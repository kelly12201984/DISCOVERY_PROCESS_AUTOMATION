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S\"/>
    </mc:Choice>
  </mc:AlternateContent>
  <xr:revisionPtr revIDLastSave="0" documentId="13_ncr:1_{3166D024-D33E-43A4-A6B0-DE666219D0CB}" xr6:coauthVersionLast="47" xr6:coauthVersionMax="47" xr10:uidLastSave="{00000000-0000-0000-0000-000000000000}"/>
  <bookViews>
    <workbookView xWindow="-28920" yWindow="-1185" windowWidth="29040" windowHeight="15720" tabRatio="500" activeTab="3" xr2:uid="{00000000-000D-0000-FFFF-FFFF00000000}"/>
  </bookViews>
  <sheets>
    <sheet name="Drawing Submittal" sheetId="1" r:id="rId1"/>
    <sheet name="Cust Dwg Return" sheetId="2" r:id="rId2"/>
    <sheet name="RTR v2" sheetId="3" r:id="rId3"/>
    <sheet name="Actual Dates" sheetId="4" r:id="rId4"/>
    <sheet name="Change Order (3)" sheetId="5" state="hidden" r:id="rId5"/>
    <sheet name="Date" sheetId="6" state="hidden" r:id="rId6"/>
    <sheet name="Date Calcs" sheetId="7" r:id="rId7"/>
    <sheet name="Ship Date" sheetId="8" r:id="rId8"/>
    <sheet name="Shipment Checklist" sheetId="9" r:id="rId9"/>
    <sheet name="OGSM 2019" sheetId="10" state="hidden" r:id="rId10"/>
    <sheet name="DRAWING EFFICIENCY" sheetId="11" state="hidden" r:id="rId11"/>
  </sheets>
  <externalReferences>
    <externalReference r:id="rId12"/>
  </externalReferences>
  <definedNames>
    <definedName name="_xlnm._FilterDatabase" localSheetId="3" hidden="1">'Actual Dates'!$A$3:$AI$156</definedName>
    <definedName name="_xlnm._FilterDatabase" localSheetId="1" hidden="1">'Cust Dwg Return'!$A$5:$J$361</definedName>
    <definedName name="_xlnm._FilterDatabase" localSheetId="0" hidden="1">'Drawing Submittal'!$A$5:$J$361</definedName>
    <definedName name="_xlnm._FilterDatabase" localSheetId="2" hidden="1">'RTR v2'!$A$4:$AW$260</definedName>
    <definedName name="_xlnm._FilterDatabase" localSheetId="7" hidden="1">'Ship Date'!$A$4:$AF$4</definedName>
    <definedName name="_xlnm._FilterDatabase" localSheetId="8" hidden="1">'Shipment Checklist'!$A$2:$L$261</definedName>
    <definedName name="Dates" localSheetId="10">#REF!</definedName>
    <definedName name="Dates" localSheetId="9">#REF!</definedName>
    <definedName name="Dates">'Actual Dates'!$A$4:$AE$156</definedName>
    <definedName name="Jobs" localSheetId="10">#REF!</definedName>
    <definedName name="Jobs" localSheetId="9">#REF!</definedName>
    <definedName name="Jobs">'Date Calcs'!$A$5:$AG$133</definedName>
    <definedName name="_xlnm.Print_Area" localSheetId="3">'Actual Dates'!#REF!</definedName>
    <definedName name="_xlnm.Print_Area" localSheetId="1">'Cust Dwg Return'!$A$1:$G$6</definedName>
    <definedName name="_xlnm.Print_Area" localSheetId="10">'DRAWING EFFICIENCY'!#REF!</definedName>
    <definedName name="_xlnm.Print_Area" localSheetId="0">'Drawing Submittal'!$A$1:$G$6</definedName>
    <definedName name="_xlnm.Print_Area" localSheetId="9">'OGSM 2019'!$A$1:$S$46</definedName>
    <definedName name="_xlnm.Print_Area" localSheetId="2">'RTR v2'!$A$2:$AF$10</definedName>
    <definedName name="_xlnm.Print_Titles" localSheetId="3">'Actual Dates'!$A:$G,'Actual Dates'!$1:$3</definedName>
    <definedName name="_xlnm.Print_Titles" localSheetId="0">'Drawing Submittal'!$1:$5</definedName>
    <definedName name="_xlnm.Print_Titles" localSheetId="2">'RTR v2'!$2:$4</definedName>
    <definedName name="_xlnm.Print_Titles" localSheetId="8">'Shipment Checklist'!$1:$2</definedName>
    <definedName name="Ship" localSheetId="7">'Ship Date'!$A$5:$AE$138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T123" i="3" l="1"/>
  <c r="Y37" i="4"/>
  <c r="Y39" i="4"/>
  <c r="Y41" i="4"/>
  <c r="Y42" i="4"/>
  <c r="Y43" i="4"/>
  <c r="Y44" i="4"/>
  <c r="Y45" i="4"/>
  <c r="Y46" i="4"/>
  <c r="Y47" i="4"/>
  <c r="Y48" i="4"/>
  <c r="Y49" i="4"/>
  <c r="Y57" i="4"/>
  <c r="Y58" i="4"/>
  <c r="Y59" i="4"/>
  <c r="Y60" i="4"/>
  <c r="Y61" i="4"/>
  <c r="Y62" i="4"/>
  <c r="Y63" i="4"/>
  <c r="Y64" i="4"/>
  <c r="Y65" i="4"/>
  <c r="Y68" i="4"/>
  <c r="Y69" i="4"/>
  <c r="Y70" i="4"/>
  <c r="Y71" i="4"/>
  <c r="Y74" i="4"/>
  <c r="Y77" i="4"/>
  <c r="Y79" i="4"/>
  <c r="Y80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12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Q124" i="8"/>
  <c r="R124" i="8" s="1"/>
  <c r="P124" i="8" s="1"/>
  <c r="O124" i="8" s="1"/>
  <c r="N124" i="8" s="1"/>
  <c r="M124" i="8" s="1"/>
  <c r="L124" i="8" s="1"/>
  <c r="K124" i="8" s="1"/>
  <c r="J124" i="8" s="1"/>
  <c r="I124" i="8" s="1"/>
  <c r="AF124" i="8"/>
  <c r="Q125" i="8"/>
  <c r="R125" i="8" s="1"/>
  <c r="P125" i="8" s="1"/>
  <c r="O125" i="8" s="1"/>
  <c r="N125" i="8" s="1"/>
  <c r="M125" i="8" s="1"/>
  <c r="L125" i="8" s="1"/>
  <c r="K125" i="8" s="1"/>
  <c r="J125" i="8" s="1"/>
  <c r="I125" i="8" s="1"/>
  <c r="AF125" i="8"/>
  <c r="Q126" i="8"/>
  <c r="R126" i="8" s="1"/>
  <c r="P126" i="8" s="1"/>
  <c r="O126" i="8" s="1"/>
  <c r="N126" i="8" s="1"/>
  <c r="M126" i="8" s="1"/>
  <c r="L126" i="8" s="1"/>
  <c r="K126" i="8" s="1"/>
  <c r="J126" i="8" s="1"/>
  <c r="I126" i="8" s="1"/>
  <c r="AF126" i="8"/>
  <c r="Q127" i="8"/>
  <c r="R127" i="8"/>
  <c r="P127" i="8" s="1"/>
  <c r="O127" i="8" s="1"/>
  <c r="N127" i="8" s="1"/>
  <c r="M127" i="8" s="1"/>
  <c r="L127" i="8" s="1"/>
  <c r="K127" i="8" s="1"/>
  <c r="J127" i="8" s="1"/>
  <c r="I127" i="8" s="1"/>
  <c r="AF127" i="8"/>
  <c r="Q128" i="8"/>
  <c r="R128" i="8" s="1"/>
  <c r="P128" i="8" s="1"/>
  <c r="O128" i="8" s="1"/>
  <c r="N128" i="8" s="1"/>
  <c r="M128" i="8" s="1"/>
  <c r="L128" i="8" s="1"/>
  <c r="K128" i="8" s="1"/>
  <c r="J128" i="8" s="1"/>
  <c r="I128" i="8" s="1"/>
  <c r="AF128" i="8"/>
  <c r="Q129" i="8"/>
  <c r="R129" i="8"/>
  <c r="P129" i="8" s="1"/>
  <c r="O129" i="8" s="1"/>
  <c r="N129" i="8" s="1"/>
  <c r="M129" i="8" s="1"/>
  <c r="L129" i="8" s="1"/>
  <c r="K129" i="8" s="1"/>
  <c r="J129" i="8" s="1"/>
  <c r="I129" i="8" s="1"/>
  <c r="AF129" i="8"/>
  <c r="Q130" i="8"/>
  <c r="R130" i="8" s="1"/>
  <c r="P130" i="8" s="1"/>
  <c r="O130" i="8" s="1"/>
  <c r="N130" i="8" s="1"/>
  <c r="M130" i="8" s="1"/>
  <c r="L130" i="8" s="1"/>
  <c r="K130" i="8" s="1"/>
  <c r="J130" i="8" s="1"/>
  <c r="I130" i="8" s="1"/>
  <c r="AF130" i="8"/>
  <c r="H128" i="7"/>
  <c r="P128" i="7"/>
  <c r="Q128" i="7"/>
  <c r="H129" i="7"/>
  <c r="P129" i="7"/>
  <c r="Q129" i="7"/>
  <c r="H130" i="7"/>
  <c r="P130" i="7"/>
  <c r="Q130" i="7"/>
  <c r="H127" i="7"/>
  <c r="P127" i="7"/>
  <c r="Q127" i="7"/>
  <c r="M6" i="1" l="1"/>
  <c r="Y10" i="4"/>
  <c r="H123" i="7" l="1"/>
  <c r="P123" i="7"/>
  <c r="Q123" i="7"/>
  <c r="H124" i="7"/>
  <c r="P124" i="7"/>
  <c r="Q124" i="7"/>
  <c r="H125" i="7"/>
  <c r="P125" i="7"/>
  <c r="Q125" i="7"/>
  <c r="H126" i="7"/>
  <c r="P126" i="7"/>
  <c r="Q126" i="7"/>
  <c r="E7" i="11" l="1"/>
  <c r="C749" i="10"/>
  <c r="B749" i="10"/>
  <c r="A749" i="10"/>
  <c r="C748" i="10"/>
  <c r="B748" i="10"/>
  <c r="A748" i="10"/>
  <c r="C747" i="10"/>
  <c r="B747" i="10"/>
  <c r="A747" i="10"/>
  <c r="C746" i="10"/>
  <c r="B746" i="10"/>
  <c r="A746" i="10"/>
  <c r="C745" i="10"/>
  <c r="B745" i="10"/>
  <c r="A745" i="10"/>
  <c r="C744" i="10"/>
  <c r="B744" i="10"/>
  <c r="A744" i="10"/>
  <c r="C743" i="10"/>
  <c r="B743" i="10"/>
  <c r="A743" i="10"/>
  <c r="C742" i="10"/>
  <c r="B742" i="10"/>
  <c r="A742" i="10"/>
  <c r="C741" i="10"/>
  <c r="B741" i="10"/>
  <c r="A741" i="10"/>
  <c r="C740" i="10"/>
  <c r="B740" i="10"/>
  <c r="A740" i="10"/>
  <c r="C739" i="10"/>
  <c r="B739" i="10"/>
  <c r="A739" i="10"/>
  <c r="C738" i="10"/>
  <c r="B738" i="10"/>
  <c r="A738" i="10"/>
  <c r="C737" i="10"/>
  <c r="B737" i="10"/>
  <c r="A737" i="10"/>
  <c r="C736" i="10"/>
  <c r="B736" i="10"/>
  <c r="A736" i="10"/>
  <c r="C735" i="10"/>
  <c r="B735" i="10"/>
  <c r="A735" i="10"/>
  <c r="C734" i="10"/>
  <c r="B734" i="10"/>
  <c r="A734" i="10"/>
  <c r="C733" i="10"/>
  <c r="B733" i="10"/>
  <c r="A733" i="10"/>
  <c r="C732" i="10"/>
  <c r="B732" i="10"/>
  <c r="A732" i="10"/>
  <c r="C731" i="10"/>
  <c r="B731" i="10"/>
  <c r="A731" i="10"/>
  <c r="C730" i="10"/>
  <c r="B730" i="10"/>
  <c r="A730" i="10"/>
  <c r="C729" i="10"/>
  <c r="B729" i="10"/>
  <c r="A729" i="10"/>
  <c r="C728" i="10"/>
  <c r="B728" i="10"/>
  <c r="A728" i="10"/>
  <c r="C727" i="10"/>
  <c r="B727" i="10"/>
  <c r="A727" i="10"/>
  <c r="C726" i="10"/>
  <c r="B726" i="10"/>
  <c r="A726" i="10"/>
  <c r="C725" i="10"/>
  <c r="B725" i="10"/>
  <c r="A725" i="10"/>
  <c r="C724" i="10"/>
  <c r="B724" i="10"/>
  <c r="A724" i="10"/>
  <c r="C723" i="10"/>
  <c r="B723" i="10"/>
  <c r="A723" i="10"/>
  <c r="C722" i="10"/>
  <c r="B722" i="10"/>
  <c r="A722" i="10"/>
  <c r="C721" i="10"/>
  <c r="B721" i="10"/>
  <c r="A721" i="10"/>
  <c r="C720" i="10"/>
  <c r="B720" i="10"/>
  <c r="A720" i="10"/>
  <c r="C719" i="10"/>
  <c r="B719" i="10"/>
  <c r="A719" i="10"/>
  <c r="C718" i="10"/>
  <c r="B718" i="10"/>
  <c r="A718" i="10"/>
  <c r="C717" i="10"/>
  <c r="B717" i="10"/>
  <c r="A717" i="10"/>
  <c r="C716" i="10"/>
  <c r="B716" i="10"/>
  <c r="A716" i="10"/>
  <c r="C715" i="10"/>
  <c r="B715" i="10"/>
  <c r="A715" i="10"/>
  <c r="C714" i="10"/>
  <c r="B714" i="10"/>
  <c r="A714" i="10"/>
  <c r="C713" i="10"/>
  <c r="B713" i="10"/>
  <c r="A713" i="10"/>
  <c r="C712" i="10"/>
  <c r="B712" i="10"/>
  <c r="A712" i="10"/>
  <c r="C711" i="10"/>
  <c r="B711" i="10"/>
  <c r="A711" i="10"/>
  <c r="C710" i="10"/>
  <c r="B710" i="10"/>
  <c r="A710" i="10"/>
  <c r="C709" i="10"/>
  <c r="B709" i="10"/>
  <c r="A709" i="10"/>
  <c r="C708" i="10"/>
  <c r="B708" i="10"/>
  <c r="A708" i="10"/>
  <c r="C707" i="10"/>
  <c r="B707" i="10"/>
  <c r="A707" i="10"/>
  <c r="C706" i="10"/>
  <c r="B706" i="10"/>
  <c r="A706" i="10"/>
  <c r="C705" i="10"/>
  <c r="B705" i="10"/>
  <c r="A705" i="10"/>
  <c r="C704" i="10"/>
  <c r="B704" i="10"/>
  <c r="A704" i="10"/>
  <c r="C703" i="10"/>
  <c r="B703" i="10"/>
  <c r="A703" i="10"/>
  <c r="C702" i="10"/>
  <c r="B702" i="10"/>
  <c r="A702" i="10"/>
  <c r="C701" i="10"/>
  <c r="B701" i="10"/>
  <c r="A701" i="10"/>
  <c r="C700" i="10"/>
  <c r="B700" i="10"/>
  <c r="A700" i="10"/>
  <c r="C699" i="10"/>
  <c r="B699" i="10"/>
  <c r="A699" i="10"/>
  <c r="C698" i="10"/>
  <c r="B698" i="10"/>
  <c r="A698" i="10"/>
  <c r="C697" i="10"/>
  <c r="B697" i="10"/>
  <c r="A697" i="10"/>
  <c r="C696" i="10"/>
  <c r="B696" i="10"/>
  <c r="A696" i="10"/>
  <c r="C695" i="10"/>
  <c r="B695" i="10"/>
  <c r="A695" i="10"/>
  <c r="C694" i="10"/>
  <c r="B694" i="10"/>
  <c r="A694" i="10"/>
  <c r="C693" i="10"/>
  <c r="B693" i="10"/>
  <c r="A693" i="10"/>
  <c r="C692" i="10"/>
  <c r="B692" i="10"/>
  <c r="A692" i="10"/>
  <c r="C691" i="10"/>
  <c r="B691" i="10"/>
  <c r="A691" i="10"/>
  <c r="C690" i="10"/>
  <c r="B690" i="10"/>
  <c r="A690" i="10"/>
  <c r="C689" i="10"/>
  <c r="B689" i="10"/>
  <c r="A689" i="10"/>
  <c r="C688" i="10"/>
  <c r="B688" i="10"/>
  <c r="A688" i="10"/>
  <c r="C687" i="10"/>
  <c r="B687" i="10"/>
  <c r="A687" i="10"/>
  <c r="C686" i="10"/>
  <c r="B686" i="10"/>
  <c r="A686" i="10"/>
  <c r="O685" i="10"/>
  <c r="C685" i="10"/>
  <c r="B685" i="10"/>
  <c r="A685" i="10"/>
  <c r="C684" i="10"/>
  <c r="B684" i="10"/>
  <c r="A684" i="10"/>
  <c r="C683" i="10"/>
  <c r="B683" i="10"/>
  <c r="A683" i="10"/>
  <c r="C682" i="10"/>
  <c r="B682" i="10"/>
  <c r="A682" i="10"/>
  <c r="C681" i="10"/>
  <c r="B681" i="10"/>
  <c r="A681" i="10"/>
  <c r="C680" i="10"/>
  <c r="B680" i="10"/>
  <c r="A680" i="10"/>
  <c r="C679" i="10"/>
  <c r="B679" i="10"/>
  <c r="A679" i="10"/>
  <c r="C678" i="10"/>
  <c r="B678" i="10"/>
  <c r="A678" i="10"/>
  <c r="C677" i="10"/>
  <c r="B677" i="10"/>
  <c r="A677" i="10"/>
  <c r="C676" i="10"/>
  <c r="B676" i="10"/>
  <c r="A676" i="10"/>
  <c r="C675" i="10"/>
  <c r="B675" i="10"/>
  <c r="A675" i="10"/>
  <c r="C674" i="10"/>
  <c r="B674" i="10"/>
  <c r="A674" i="10"/>
  <c r="C673" i="10"/>
  <c r="B673" i="10"/>
  <c r="A673" i="10"/>
  <c r="C672" i="10"/>
  <c r="B672" i="10"/>
  <c r="A672" i="10"/>
  <c r="C671" i="10"/>
  <c r="B671" i="10"/>
  <c r="A671" i="10"/>
  <c r="C670" i="10"/>
  <c r="B670" i="10"/>
  <c r="A670" i="10"/>
  <c r="C669" i="10"/>
  <c r="B669" i="10"/>
  <c r="A669" i="10"/>
  <c r="C668" i="10"/>
  <c r="B668" i="10"/>
  <c r="A668" i="10"/>
  <c r="C667" i="10"/>
  <c r="B667" i="10"/>
  <c r="A667" i="10"/>
  <c r="C666" i="10"/>
  <c r="B666" i="10"/>
  <c r="A666" i="10"/>
  <c r="C665" i="10"/>
  <c r="B665" i="10"/>
  <c r="A665" i="10"/>
  <c r="C664" i="10"/>
  <c r="B664" i="10"/>
  <c r="A664" i="10"/>
  <c r="C663" i="10"/>
  <c r="B663" i="10"/>
  <c r="A663" i="10"/>
  <c r="C662" i="10"/>
  <c r="B662" i="10"/>
  <c r="A662" i="10"/>
  <c r="C661" i="10"/>
  <c r="B661" i="10"/>
  <c r="A661" i="10"/>
  <c r="C660" i="10"/>
  <c r="B660" i="10"/>
  <c r="A660" i="10"/>
  <c r="C659" i="10"/>
  <c r="B659" i="10"/>
  <c r="A659" i="10"/>
  <c r="C658" i="10"/>
  <c r="B658" i="10"/>
  <c r="A658" i="10"/>
  <c r="C657" i="10"/>
  <c r="B657" i="10"/>
  <c r="A657" i="10"/>
  <c r="C656" i="10"/>
  <c r="B656" i="10"/>
  <c r="A656" i="10"/>
  <c r="C655" i="10"/>
  <c r="B655" i="10"/>
  <c r="A655" i="10"/>
  <c r="C654" i="10"/>
  <c r="B654" i="10"/>
  <c r="A654" i="10"/>
  <c r="C653" i="10"/>
  <c r="B653" i="10"/>
  <c r="A653" i="10"/>
  <c r="C652" i="10"/>
  <c r="B652" i="10"/>
  <c r="A652" i="10"/>
  <c r="C651" i="10"/>
  <c r="B651" i="10"/>
  <c r="A651" i="10"/>
  <c r="C650" i="10"/>
  <c r="B650" i="10"/>
  <c r="A650" i="10"/>
  <c r="C649" i="10"/>
  <c r="B649" i="10"/>
  <c r="A649" i="10"/>
  <c r="C648" i="10"/>
  <c r="B648" i="10"/>
  <c r="A648" i="10"/>
  <c r="C647" i="10"/>
  <c r="B647" i="10"/>
  <c r="A647" i="10"/>
  <c r="C646" i="10"/>
  <c r="B646" i="10"/>
  <c r="A646" i="10"/>
  <c r="M645" i="10"/>
  <c r="F645" i="10"/>
  <c r="D645" i="10"/>
  <c r="C645" i="10"/>
  <c r="B645" i="10"/>
  <c r="A645" i="10"/>
  <c r="K645" i="10" s="1"/>
  <c r="M644" i="10"/>
  <c r="K644" i="10"/>
  <c r="F644" i="10"/>
  <c r="D644" i="10"/>
  <c r="C644" i="10"/>
  <c r="B644" i="10"/>
  <c r="A644" i="10"/>
  <c r="M643" i="10"/>
  <c r="F643" i="10"/>
  <c r="D643" i="10"/>
  <c r="C643" i="10"/>
  <c r="B643" i="10"/>
  <c r="A643" i="10"/>
  <c r="M642" i="10"/>
  <c r="K642" i="10"/>
  <c r="F642" i="10"/>
  <c r="D642" i="10"/>
  <c r="C642" i="10"/>
  <c r="B642" i="10"/>
  <c r="A642" i="10"/>
  <c r="M641" i="10"/>
  <c r="F641" i="10"/>
  <c r="D641" i="10"/>
  <c r="C641" i="10"/>
  <c r="B641" i="10"/>
  <c r="A641" i="10"/>
  <c r="L641" i="10" s="1"/>
  <c r="M640" i="10"/>
  <c r="K640" i="10"/>
  <c r="F640" i="10"/>
  <c r="D640" i="10"/>
  <c r="C640" i="10"/>
  <c r="B640" i="10"/>
  <c r="A640" i="10"/>
  <c r="M639" i="10"/>
  <c r="L639" i="10"/>
  <c r="H639" i="10" s="1"/>
  <c r="F639" i="10"/>
  <c r="D639" i="10"/>
  <c r="C639" i="10"/>
  <c r="B639" i="10"/>
  <c r="A639" i="10"/>
  <c r="M638" i="10"/>
  <c r="L638" i="10"/>
  <c r="K638" i="10"/>
  <c r="F638" i="10"/>
  <c r="D638" i="10"/>
  <c r="C638" i="10"/>
  <c r="B638" i="10"/>
  <c r="A638" i="10"/>
  <c r="M637" i="10"/>
  <c r="F637" i="10"/>
  <c r="D637" i="10"/>
  <c r="C637" i="10"/>
  <c r="B637" i="10"/>
  <c r="A637" i="10"/>
  <c r="M636" i="10"/>
  <c r="K636" i="10"/>
  <c r="F636" i="10"/>
  <c r="D636" i="10"/>
  <c r="C636" i="10"/>
  <c r="B636" i="10"/>
  <c r="A636" i="10"/>
  <c r="M635" i="10"/>
  <c r="F635" i="10"/>
  <c r="D635" i="10"/>
  <c r="C635" i="10"/>
  <c r="B635" i="10"/>
  <c r="A635" i="10"/>
  <c r="K635" i="10" s="1"/>
  <c r="M634" i="10"/>
  <c r="K634" i="10"/>
  <c r="G634" i="10"/>
  <c r="P634" i="10" s="1"/>
  <c r="F634" i="10"/>
  <c r="D634" i="10"/>
  <c r="C634" i="10"/>
  <c r="B634" i="10"/>
  <c r="A634" i="10"/>
  <c r="M633" i="10"/>
  <c r="K633" i="10"/>
  <c r="F633" i="10"/>
  <c r="D633" i="10"/>
  <c r="C633" i="10"/>
  <c r="B633" i="10"/>
  <c r="A633" i="10"/>
  <c r="M632" i="10"/>
  <c r="L632" i="10"/>
  <c r="H632" i="10" s="1"/>
  <c r="G632" i="10"/>
  <c r="P632" i="10" s="1"/>
  <c r="F632" i="10"/>
  <c r="D632" i="10"/>
  <c r="C632" i="10"/>
  <c r="B632" i="10"/>
  <c r="A632" i="10"/>
  <c r="M631" i="10"/>
  <c r="F631" i="10"/>
  <c r="C631" i="10"/>
  <c r="B631" i="10"/>
  <c r="A631" i="10"/>
  <c r="K631" i="10" s="1"/>
  <c r="M630" i="10"/>
  <c r="K630" i="10"/>
  <c r="G630" i="10"/>
  <c r="F630" i="10"/>
  <c r="D630" i="10" s="1"/>
  <c r="C630" i="10"/>
  <c r="B630" i="10"/>
  <c r="A630" i="10"/>
  <c r="M629" i="10"/>
  <c r="K629" i="10"/>
  <c r="F629" i="10"/>
  <c r="D629" i="10" s="1"/>
  <c r="C629" i="10"/>
  <c r="B629" i="10"/>
  <c r="A629" i="10"/>
  <c r="M628" i="10"/>
  <c r="F628" i="10"/>
  <c r="C628" i="10"/>
  <c r="B628" i="10"/>
  <c r="A628" i="10"/>
  <c r="M627" i="10"/>
  <c r="F627" i="10"/>
  <c r="C627" i="10"/>
  <c r="B627" i="10"/>
  <c r="A627" i="10"/>
  <c r="M626" i="10"/>
  <c r="G626" i="10"/>
  <c r="F626" i="10"/>
  <c r="C626" i="10"/>
  <c r="B626" i="10"/>
  <c r="A626" i="10"/>
  <c r="K626" i="10" s="1"/>
  <c r="M625" i="10"/>
  <c r="K625" i="10"/>
  <c r="F625" i="10"/>
  <c r="C625" i="10"/>
  <c r="B625" i="10"/>
  <c r="A625" i="10"/>
  <c r="M624" i="10"/>
  <c r="L624" i="10"/>
  <c r="K624" i="10"/>
  <c r="F624" i="10"/>
  <c r="C624" i="10"/>
  <c r="B624" i="10"/>
  <c r="A624" i="10"/>
  <c r="N623" i="10"/>
  <c r="O623" i="10" s="1"/>
  <c r="M623" i="10"/>
  <c r="F623" i="10"/>
  <c r="D623" i="10" s="1"/>
  <c r="C623" i="10"/>
  <c r="B623" i="10"/>
  <c r="A623" i="10"/>
  <c r="N622" i="10"/>
  <c r="O622" i="10" s="1"/>
  <c r="M622" i="10"/>
  <c r="L622" i="10"/>
  <c r="H622" i="10" s="1"/>
  <c r="K622" i="10"/>
  <c r="F622" i="10"/>
  <c r="C622" i="10"/>
  <c r="B622" i="10"/>
  <c r="A622" i="10"/>
  <c r="M621" i="10"/>
  <c r="L621" i="10"/>
  <c r="K621" i="10"/>
  <c r="F621" i="10"/>
  <c r="D621" i="10" s="1"/>
  <c r="C621" i="10"/>
  <c r="B621" i="10"/>
  <c r="A621" i="10"/>
  <c r="C620" i="10"/>
  <c r="B620" i="10"/>
  <c r="A620" i="10"/>
  <c r="N619" i="10"/>
  <c r="O619" i="10" s="1"/>
  <c r="M619" i="10"/>
  <c r="L619" i="10"/>
  <c r="J619" i="10" s="1"/>
  <c r="K619" i="10"/>
  <c r="F619" i="10"/>
  <c r="C619" i="10"/>
  <c r="B619" i="10"/>
  <c r="A619" i="10"/>
  <c r="M618" i="10"/>
  <c r="L618" i="10"/>
  <c r="K618" i="10"/>
  <c r="F618" i="10"/>
  <c r="D618" i="10" s="1"/>
  <c r="C618" i="10"/>
  <c r="B618" i="10"/>
  <c r="A618" i="10"/>
  <c r="N617" i="10"/>
  <c r="O617" i="10" s="1"/>
  <c r="M617" i="10"/>
  <c r="L617" i="10"/>
  <c r="J617" i="10" s="1"/>
  <c r="K617" i="10"/>
  <c r="F617" i="10"/>
  <c r="D617" i="10" s="1"/>
  <c r="C617" i="10"/>
  <c r="B617" i="10"/>
  <c r="A617" i="10"/>
  <c r="M616" i="10"/>
  <c r="L616" i="10"/>
  <c r="J616" i="10" s="1"/>
  <c r="K616" i="10"/>
  <c r="F616" i="10"/>
  <c r="D616" i="10" s="1"/>
  <c r="C616" i="10"/>
  <c r="B616" i="10"/>
  <c r="A616" i="10"/>
  <c r="M615" i="10"/>
  <c r="L615" i="10"/>
  <c r="F615" i="10"/>
  <c r="D615" i="10" s="1"/>
  <c r="C615" i="10"/>
  <c r="B615" i="10"/>
  <c r="A615" i="10"/>
  <c r="M614" i="10"/>
  <c r="F614" i="10"/>
  <c r="D614" i="10" s="1"/>
  <c r="C614" i="10"/>
  <c r="B614" i="10"/>
  <c r="A614" i="10"/>
  <c r="L614" i="10" s="1"/>
  <c r="M613" i="10"/>
  <c r="L613" i="10"/>
  <c r="H613" i="10" s="1"/>
  <c r="K613" i="10"/>
  <c r="F613" i="10"/>
  <c r="D613" i="10" s="1"/>
  <c r="C613" i="10"/>
  <c r="B613" i="10"/>
  <c r="A613" i="10"/>
  <c r="M612" i="10"/>
  <c r="F612" i="10"/>
  <c r="D612" i="10" s="1"/>
  <c r="C612" i="10"/>
  <c r="B612" i="10"/>
  <c r="A612" i="10"/>
  <c r="N611" i="10"/>
  <c r="O611" i="10" s="1"/>
  <c r="M611" i="10"/>
  <c r="L611" i="10"/>
  <c r="J611" i="10" s="1"/>
  <c r="K611" i="10"/>
  <c r="F611" i="10"/>
  <c r="C611" i="10"/>
  <c r="B611" i="10"/>
  <c r="A611" i="10"/>
  <c r="M610" i="10"/>
  <c r="L610" i="10"/>
  <c r="K610" i="10"/>
  <c r="F610" i="10"/>
  <c r="D610" i="10" s="1"/>
  <c r="C610" i="10"/>
  <c r="B610" i="10"/>
  <c r="A610" i="10"/>
  <c r="N609" i="10"/>
  <c r="M609" i="10"/>
  <c r="L609" i="10"/>
  <c r="J609" i="10" s="1"/>
  <c r="F609" i="10"/>
  <c r="D609" i="10" s="1"/>
  <c r="C609" i="10"/>
  <c r="B609" i="10"/>
  <c r="A609" i="10"/>
  <c r="M608" i="10"/>
  <c r="K608" i="10"/>
  <c r="F608" i="10"/>
  <c r="D608" i="10"/>
  <c r="C608" i="10"/>
  <c r="B608" i="10"/>
  <c r="A608" i="10"/>
  <c r="N607" i="10"/>
  <c r="M607" i="10"/>
  <c r="K607" i="10"/>
  <c r="F607" i="10"/>
  <c r="D607" i="10"/>
  <c r="C607" i="10"/>
  <c r="B607" i="10"/>
  <c r="A607" i="10"/>
  <c r="M606" i="10"/>
  <c r="K606" i="10"/>
  <c r="F606" i="10"/>
  <c r="D606" i="10"/>
  <c r="C606" i="10"/>
  <c r="B606" i="10"/>
  <c r="A606" i="10"/>
  <c r="N605" i="10"/>
  <c r="M605" i="10"/>
  <c r="K605" i="10"/>
  <c r="F605" i="10"/>
  <c r="D605" i="10"/>
  <c r="C605" i="10"/>
  <c r="B605" i="10"/>
  <c r="A605" i="10"/>
  <c r="M604" i="10"/>
  <c r="K604" i="10"/>
  <c r="F604" i="10"/>
  <c r="D604" i="10"/>
  <c r="C604" i="10"/>
  <c r="B604" i="10"/>
  <c r="A604" i="10"/>
  <c r="N603" i="10"/>
  <c r="M603" i="10"/>
  <c r="K603" i="10"/>
  <c r="F603" i="10"/>
  <c r="D603" i="10"/>
  <c r="C603" i="10"/>
  <c r="B603" i="10"/>
  <c r="A603" i="10"/>
  <c r="M602" i="10"/>
  <c r="K602" i="10"/>
  <c r="F602" i="10"/>
  <c r="D602" i="10"/>
  <c r="C602" i="10"/>
  <c r="B602" i="10"/>
  <c r="A602" i="10"/>
  <c r="N601" i="10"/>
  <c r="O601" i="10" s="1"/>
  <c r="M601" i="10"/>
  <c r="K601" i="10"/>
  <c r="F601" i="10"/>
  <c r="D601" i="10"/>
  <c r="C601" i="10"/>
  <c r="B601" i="10"/>
  <c r="A601" i="10"/>
  <c r="M600" i="10"/>
  <c r="K600" i="10"/>
  <c r="F600" i="10"/>
  <c r="D600" i="10"/>
  <c r="C600" i="10"/>
  <c r="B600" i="10"/>
  <c r="A600" i="10"/>
  <c r="N599" i="10"/>
  <c r="O599" i="10" s="1"/>
  <c r="M599" i="10"/>
  <c r="K599" i="10"/>
  <c r="F599" i="10"/>
  <c r="D599" i="10"/>
  <c r="C599" i="10"/>
  <c r="B599" i="10"/>
  <c r="A599" i="10"/>
  <c r="M598" i="10"/>
  <c r="K598" i="10"/>
  <c r="F598" i="10"/>
  <c r="D598" i="10"/>
  <c r="C598" i="10"/>
  <c r="B598" i="10"/>
  <c r="A598" i="10"/>
  <c r="N597" i="10"/>
  <c r="M597" i="10"/>
  <c r="L597" i="10"/>
  <c r="J597" i="10" s="1"/>
  <c r="I597" i="10"/>
  <c r="F597" i="10"/>
  <c r="D597" i="10" s="1"/>
  <c r="C597" i="10"/>
  <c r="B597" i="10"/>
  <c r="A597" i="10"/>
  <c r="G597" i="10" s="1"/>
  <c r="P597" i="10" s="1"/>
  <c r="N596" i="10"/>
  <c r="M596" i="10"/>
  <c r="L596" i="10"/>
  <c r="I596" i="10"/>
  <c r="F596" i="10"/>
  <c r="D596" i="10"/>
  <c r="C596" i="10"/>
  <c r="B596" i="10"/>
  <c r="A596" i="10"/>
  <c r="G596" i="10" s="1"/>
  <c r="M595" i="10"/>
  <c r="K595" i="10"/>
  <c r="F595" i="10"/>
  <c r="D595" i="10"/>
  <c r="C595" i="10"/>
  <c r="B595" i="10"/>
  <c r="A595" i="10"/>
  <c r="N594" i="10"/>
  <c r="O594" i="10" s="1"/>
  <c r="M594" i="10"/>
  <c r="I594" i="10"/>
  <c r="F594" i="10"/>
  <c r="D594" i="10"/>
  <c r="C594" i="10"/>
  <c r="B594" i="10"/>
  <c r="A594" i="10"/>
  <c r="G594" i="10" s="1"/>
  <c r="N593" i="10"/>
  <c r="M593" i="10"/>
  <c r="L593" i="10"/>
  <c r="J593" i="10" s="1"/>
  <c r="I593" i="10"/>
  <c r="F593" i="10"/>
  <c r="D593" i="10"/>
  <c r="C593" i="10"/>
  <c r="B593" i="10"/>
  <c r="A593" i="10"/>
  <c r="G593" i="10" s="1"/>
  <c r="P593" i="10" s="1"/>
  <c r="N592" i="10"/>
  <c r="O592" i="10" s="1"/>
  <c r="M592" i="10"/>
  <c r="K592" i="10"/>
  <c r="I592" i="10"/>
  <c r="G592" i="10"/>
  <c r="F592" i="10"/>
  <c r="D592" i="10"/>
  <c r="C592" i="10"/>
  <c r="B592" i="10"/>
  <c r="A592" i="10"/>
  <c r="L592" i="10" s="1"/>
  <c r="N591" i="10"/>
  <c r="O591" i="10" s="1"/>
  <c r="M591" i="10"/>
  <c r="K591" i="10"/>
  <c r="I591" i="10"/>
  <c r="G591" i="10"/>
  <c r="F591" i="10"/>
  <c r="D591" i="10"/>
  <c r="C591" i="10"/>
  <c r="B591" i="10"/>
  <c r="A591" i="10"/>
  <c r="L591" i="10" s="1"/>
  <c r="N590" i="10"/>
  <c r="O590" i="10" s="1"/>
  <c r="M590" i="10"/>
  <c r="K590" i="10"/>
  <c r="I590" i="10"/>
  <c r="G590" i="10"/>
  <c r="F590" i="10"/>
  <c r="C590" i="10"/>
  <c r="B590" i="10"/>
  <c r="A590" i="10"/>
  <c r="L590" i="10" s="1"/>
  <c r="N589" i="10"/>
  <c r="O589" i="10" s="1"/>
  <c r="M589" i="10"/>
  <c r="K589" i="10"/>
  <c r="I589" i="10"/>
  <c r="G589" i="10"/>
  <c r="F589" i="10"/>
  <c r="D589" i="10"/>
  <c r="C589" i="10"/>
  <c r="B589" i="10"/>
  <c r="A589" i="10"/>
  <c r="L589" i="10" s="1"/>
  <c r="N588" i="10"/>
  <c r="O588" i="10" s="1"/>
  <c r="M588" i="10"/>
  <c r="K588" i="10"/>
  <c r="I588" i="10"/>
  <c r="G588" i="10"/>
  <c r="F588" i="10"/>
  <c r="D588" i="10"/>
  <c r="C588" i="10"/>
  <c r="B588" i="10"/>
  <c r="A588" i="10"/>
  <c r="L588" i="10" s="1"/>
  <c r="N587" i="10"/>
  <c r="O587" i="10" s="1"/>
  <c r="M587" i="10"/>
  <c r="K587" i="10"/>
  <c r="I587" i="10"/>
  <c r="G587" i="10"/>
  <c r="F587" i="10"/>
  <c r="D587" i="10"/>
  <c r="C587" i="10"/>
  <c r="B587" i="10"/>
  <c r="A587" i="10"/>
  <c r="L587" i="10" s="1"/>
  <c r="N586" i="10"/>
  <c r="O586" i="10" s="1"/>
  <c r="M586" i="10"/>
  <c r="K586" i="10"/>
  <c r="I586" i="10"/>
  <c r="G586" i="10"/>
  <c r="F586" i="10"/>
  <c r="C586" i="10"/>
  <c r="B586" i="10"/>
  <c r="A586" i="10"/>
  <c r="L586" i="10" s="1"/>
  <c r="N585" i="10"/>
  <c r="O585" i="10" s="1"/>
  <c r="M585" i="10"/>
  <c r="K585" i="10"/>
  <c r="I585" i="10"/>
  <c r="G585" i="10"/>
  <c r="F585" i="10"/>
  <c r="D585" i="10"/>
  <c r="C585" i="10"/>
  <c r="B585" i="10"/>
  <c r="A585" i="10"/>
  <c r="L585" i="10" s="1"/>
  <c r="N584" i="10"/>
  <c r="O584" i="10" s="1"/>
  <c r="M584" i="10"/>
  <c r="K584" i="10"/>
  <c r="I584" i="10"/>
  <c r="G584" i="10"/>
  <c r="F584" i="10"/>
  <c r="D584" i="10"/>
  <c r="C584" i="10"/>
  <c r="B584" i="10"/>
  <c r="A584" i="10"/>
  <c r="L584" i="10" s="1"/>
  <c r="N583" i="10"/>
  <c r="O583" i="10" s="1"/>
  <c r="M583" i="10"/>
  <c r="K583" i="10"/>
  <c r="I583" i="10"/>
  <c r="G583" i="10"/>
  <c r="F583" i="10"/>
  <c r="D583" i="10"/>
  <c r="C583" i="10"/>
  <c r="B583" i="10"/>
  <c r="A583" i="10"/>
  <c r="L583" i="10" s="1"/>
  <c r="N582" i="10"/>
  <c r="O582" i="10" s="1"/>
  <c r="M582" i="10"/>
  <c r="K582" i="10"/>
  <c r="I582" i="10"/>
  <c r="G582" i="10"/>
  <c r="F582" i="10"/>
  <c r="C582" i="10"/>
  <c r="B582" i="10"/>
  <c r="A582" i="10"/>
  <c r="L582" i="10" s="1"/>
  <c r="N581" i="10"/>
  <c r="O581" i="10" s="1"/>
  <c r="M581" i="10"/>
  <c r="K581" i="10"/>
  <c r="I581" i="10"/>
  <c r="G581" i="10"/>
  <c r="F581" i="10"/>
  <c r="D581" i="10"/>
  <c r="C581" i="10"/>
  <c r="B581" i="10"/>
  <c r="A581" i="10"/>
  <c r="L581" i="10" s="1"/>
  <c r="N580" i="10"/>
  <c r="O580" i="10" s="1"/>
  <c r="M580" i="10"/>
  <c r="K580" i="10"/>
  <c r="I580" i="10"/>
  <c r="G580" i="10"/>
  <c r="F580" i="10"/>
  <c r="D580" i="10"/>
  <c r="C580" i="10"/>
  <c r="B580" i="10"/>
  <c r="A580" i="10"/>
  <c r="L580" i="10" s="1"/>
  <c r="N579" i="10"/>
  <c r="O579" i="10" s="1"/>
  <c r="M579" i="10"/>
  <c r="K579" i="10"/>
  <c r="I579" i="10"/>
  <c r="G579" i="10"/>
  <c r="F579" i="10"/>
  <c r="D579" i="10"/>
  <c r="C579" i="10"/>
  <c r="B579" i="10"/>
  <c r="A579" i="10"/>
  <c r="L579" i="10" s="1"/>
  <c r="N578" i="10"/>
  <c r="O578" i="10" s="1"/>
  <c r="M578" i="10"/>
  <c r="K578" i="10"/>
  <c r="I578" i="10"/>
  <c r="G578" i="10"/>
  <c r="F578" i="10"/>
  <c r="C578" i="10"/>
  <c r="B578" i="10"/>
  <c r="A578" i="10"/>
  <c r="L578" i="10" s="1"/>
  <c r="N577" i="10"/>
  <c r="O577" i="10" s="1"/>
  <c r="M577" i="10"/>
  <c r="K577" i="10"/>
  <c r="I577" i="10"/>
  <c r="G577" i="10"/>
  <c r="F577" i="10"/>
  <c r="D577" i="10"/>
  <c r="C577" i="10"/>
  <c r="B577" i="10"/>
  <c r="A577" i="10"/>
  <c r="L577" i="10" s="1"/>
  <c r="N576" i="10"/>
  <c r="O576" i="10" s="1"/>
  <c r="M576" i="10"/>
  <c r="K576" i="10"/>
  <c r="I576" i="10"/>
  <c r="G576" i="10"/>
  <c r="F576" i="10"/>
  <c r="D576" i="10"/>
  <c r="C576" i="10"/>
  <c r="B576" i="10"/>
  <c r="A576" i="10"/>
  <c r="L576" i="10" s="1"/>
  <c r="N575" i="10"/>
  <c r="O575" i="10" s="1"/>
  <c r="M575" i="10"/>
  <c r="K575" i="10"/>
  <c r="I575" i="10"/>
  <c r="G575" i="10"/>
  <c r="F575" i="10"/>
  <c r="D575" i="10"/>
  <c r="C575" i="10"/>
  <c r="B575" i="10"/>
  <c r="A575" i="10"/>
  <c r="L575" i="10" s="1"/>
  <c r="N574" i="10"/>
  <c r="O574" i="10" s="1"/>
  <c r="M574" i="10"/>
  <c r="K574" i="10"/>
  <c r="I574" i="10"/>
  <c r="G574" i="10"/>
  <c r="F574" i="10"/>
  <c r="C574" i="10"/>
  <c r="B574" i="10"/>
  <c r="A574" i="10"/>
  <c r="L574" i="10" s="1"/>
  <c r="N573" i="10"/>
  <c r="O573" i="10" s="1"/>
  <c r="M573" i="10"/>
  <c r="K573" i="10"/>
  <c r="I573" i="10"/>
  <c r="G573" i="10"/>
  <c r="F573" i="10"/>
  <c r="D573" i="10"/>
  <c r="C573" i="10"/>
  <c r="B573" i="10"/>
  <c r="A573" i="10"/>
  <c r="L573" i="10" s="1"/>
  <c r="N572" i="10"/>
  <c r="O572" i="10" s="1"/>
  <c r="M572" i="10"/>
  <c r="K572" i="10"/>
  <c r="I572" i="10"/>
  <c r="G572" i="10"/>
  <c r="F572" i="10"/>
  <c r="D572" i="10"/>
  <c r="C572" i="10"/>
  <c r="B572" i="10"/>
  <c r="A572" i="10"/>
  <c r="L572" i="10" s="1"/>
  <c r="N571" i="10"/>
  <c r="O571" i="10" s="1"/>
  <c r="M571" i="10"/>
  <c r="K571" i="10"/>
  <c r="I571" i="10"/>
  <c r="G571" i="10"/>
  <c r="F571" i="10"/>
  <c r="D571" i="10"/>
  <c r="C571" i="10"/>
  <c r="B571" i="10"/>
  <c r="A571" i="10"/>
  <c r="L571" i="10" s="1"/>
  <c r="N570" i="10"/>
  <c r="O570" i="10" s="1"/>
  <c r="M570" i="10"/>
  <c r="K570" i="10"/>
  <c r="I570" i="10"/>
  <c r="G570" i="10"/>
  <c r="F570" i="10"/>
  <c r="C570" i="10"/>
  <c r="B570" i="10"/>
  <c r="A570" i="10"/>
  <c r="L570" i="10" s="1"/>
  <c r="N569" i="10"/>
  <c r="O569" i="10" s="1"/>
  <c r="M569" i="10"/>
  <c r="K569" i="10"/>
  <c r="I569" i="10"/>
  <c r="G569" i="10"/>
  <c r="F569" i="10"/>
  <c r="D569" i="10"/>
  <c r="C569" i="10"/>
  <c r="B569" i="10"/>
  <c r="A569" i="10"/>
  <c r="L569" i="10" s="1"/>
  <c r="N568" i="10"/>
  <c r="O568" i="10" s="1"/>
  <c r="M568" i="10"/>
  <c r="K568" i="10"/>
  <c r="I568" i="10"/>
  <c r="G568" i="10"/>
  <c r="F568" i="10"/>
  <c r="D568" i="10"/>
  <c r="C568" i="10"/>
  <c r="B568" i="10"/>
  <c r="A568" i="10"/>
  <c r="L568" i="10" s="1"/>
  <c r="N567" i="10"/>
  <c r="O567" i="10" s="1"/>
  <c r="M567" i="10"/>
  <c r="K567" i="10"/>
  <c r="I567" i="10"/>
  <c r="G567" i="10"/>
  <c r="F567" i="10"/>
  <c r="D567" i="10"/>
  <c r="C567" i="10"/>
  <c r="B567" i="10"/>
  <c r="A567" i="10"/>
  <c r="L567" i="10" s="1"/>
  <c r="N566" i="10"/>
  <c r="O566" i="10" s="1"/>
  <c r="M566" i="10"/>
  <c r="K566" i="10"/>
  <c r="I566" i="10"/>
  <c r="G566" i="10"/>
  <c r="F566" i="10"/>
  <c r="C566" i="10"/>
  <c r="B566" i="10"/>
  <c r="A566" i="10"/>
  <c r="L566" i="10" s="1"/>
  <c r="N565" i="10"/>
  <c r="O565" i="10" s="1"/>
  <c r="M565" i="10"/>
  <c r="K565" i="10"/>
  <c r="I565" i="10"/>
  <c r="G565" i="10"/>
  <c r="F565" i="10"/>
  <c r="C565" i="10"/>
  <c r="B565" i="10"/>
  <c r="A565" i="10"/>
  <c r="L565" i="10" s="1"/>
  <c r="N564" i="10"/>
  <c r="O564" i="10" s="1"/>
  <c r="M564" i="10"/>
  <c r="K564" i="10"/>
  <c r="I564" i="10"/>
  <c r="G564" i="10"/>
  <c r="F564" i="10"/>
  <c r="D564" i="10"/>
  <c r="C564" i="10"/>
  <c r="B564" i="10"/>
  <c r="A564" i="10"/>
  <c r="L564" i="10" s="1"/>
  <c r="N563" i="10"/>
  <c r="O563" i="10" s="1"/>
  <c r="M563" i="10"/>
  <c r="K563" i="10"/>
  <c r="I563" i="10"/>
  <c r="G563" i="10"/>
  <c r="F563" i="10"/>
  <c r="D563" i="10" s="1"/>
  <c r="C563" i="10"/>
  <c r="B563" i="10"/>
  <c r="A563" i="10"/>
  <c r="L563" i="10" s="1"/>
  <c r="N562" i="10"/>
  <c r="O562" i="10" s="1"/>
  <c r="M562" i="10"/>
  <c r="K562" i="10"/>
  <c r="I562" i="10"/>
  <c r="G562" i="10"/>
  <c r="F562" i="10"/>
  <c r="C562" i="10"/>
  <c r="B562" i="10"/>
  <c r="A562" i="10"/>
  <c r="L562" i="10" s="1"/>
  <c r="N561" i="10"/>
  <c r="O561" i="10" s="1"/>
  <c r="M561" i="10"/>
  <c r="K561" i="10"/>
  <c r="I561" i="10"/>
  <c r="G561" i="10"/>
  <c r="F561" i="10"/>
  <c r="D561" i="10"/>
  <c r="C561" i="10"/>
  <c r="B561" i="10"/>
  <c r="A561" i="10"/>
  <c r="L561" i="10" s="1"/>
  <c r="N560" i="10"/>
  <c r="O560" i="10" s="1"/>
  <c r="M560" i="10"/>
  <c r="K560" i="10"/>
  <c r="I560" i="10"/>
  <c r="G560" i="10"/>
  <c r="F560" i="10"/>
  <c r="D560" i="10"/>
  <c r="C560" i="10"/>
  <c r="B560" i="10"/>
  <c r="A560" i="10"/>
  <c r="L560" i="10" s="1"/>
  <c r="N559" i="10"/>
  <c r="O559" i="10" s="1"/>
  <c r="M559" i="10"/>
  <c r="K559" i="10"/>
  <c r="I559" i="10"/>
  <c r="G559" i="10"/>
  <c r="F559" i="10"/>
  <c r="D559" i="10"/>
  <c r="C559" i="10"/>
  <c r="B559" i="10"/>
  <c r="A559" i="10"/>
  <c r="L559" i="10" s="1"/>
  <c r="N558" i="10"/>
  <c r="O558" i="10" s="1"/>
  <c r="M558" i="10"/>
  <c r="K558" i="10"/>
  <c r="I558" i="10"/>
  <c r="G558" i="10"/>
  <c r="F558" i="10"/>
  <c r="D558" i="10"/>
  <c r="C558" i="10"/>
  <c r="B558" i="10"/>
  <c r="A558" i="10"/>
  <c r="L558" i="10" s="1"/>
  <c r="J558" i="10" s="1"/>
  <c r="N557" i="10"/>
  <c r="O557" i="10" s="1"/>
  <c r="M557" i="10"/>
  <c r="K557" i="10"/>
  <c r="I557" i="10"/>
  <c r="G557" i="10"/>
  <c r="F557" i="10"/>
  <c r="D557" i="10"/>
  <c r="C557" i="10"/>
  <c r="B557" i="10"/>
  <c r="A557" i="10"/>
  <c r="L557" i="10" s="1"/>
  <c r="N556" i="10"/>
  <c r="O556" i="10" s="1"/>
  <c r="M556" i="10"/>
  <c r="K556" i="10"/>
  <c r="I556" i="10"/>
  <c r="G556" i="10"/>
  <c r="F556" i="10"/>
  <c r="C556" i="10"/>
  <c r="B556" i="10"/>
  <c r="A556" i="10"/>
  <c r="L556" i="10" s="1"/>
  <c r="J556" i="10" s="1"/>
  <c r="N555" i="10"/>
  <c r="O555" i="10" s="1"/>
  <c r="M555" i="10"/>
  <c r="K555" i="10"/>
  <c r="I555" i="10"/>
  <c r="G555" i="10"/>
  <c r="F555" i="10"/>
  <c r="C555" i="10"/>
  <c r="B555" i="10"/>
  <c r="A555" i="10"/>
  <c r="L555" i="10" s="1"/>
  <c r="J555" i="10" s="1"/>
  <c r="N554" i="10"/>
  <c r="O554" i="10" s="1"/>
  <c r="M554" i="10"/>
  <c r="K554" i="10"/>
  <c r="I554" i="10"/>
  <c r="G554" i="10"/>
  <c r="F554" i="10"/>
  <c r="D554" i="10"/>
  <c r="C554" i="10"/>
  <c r="B554" i="10"/>
  <c r="A554" i="10"/>
  <c r="L554" i="10" s="1"/>
  <c r="J554" i="10" s="1"/>
  <c r="N553" i="10"/>
  <c r="O553" i="10" s="1"/>
  <c r="M553" i="10"/>
  <c r="K553" i="10"/>
  <c r="I553" i="10"/>
  <c r="G553" i="10"/>
  <c r="F553" i="10"/>
  <c r="D553" i="10"/>
  <c r="C553" i="10"/>
  <c r="B553" i="10"/>
  <c r="A553" i="10"/>
  <c r="L553" i="10" s="1"/>
  <c r="J553" i="10" s="1"/>
  <c r="N552" i="10"/>
  <c r="O552" i="10" s="1"/>
  <c r="M552" i="10"/>
  <c r="K552" i="10"/>
  <c r="I552" i="10"/>
  <c r="G552" i="10"/>
  <c r="F552" i="10"/>
  <c r="C552" i="10"/>
  <c r="B552" i="10"/>
  <c r="A552" i="10"/>
  <c r="L552" i="10" s="1"/>
  <c r="N551" i="10"/>
  <c r="O551" i="10" s="1"/>
  <c r="M551" i="10"/>
  <c r="K551" i="10"/>
  <c r="I551" i="10"/>
  <c r="G551" i="10"/>
  <c r="F551" i="10"/>
  <c r="D551" i="10"/>
  <c r="C551" i="10"/>
  <c r="B551" i="10"/>
  <c r="A551" i="10"/>
  <c r="L551" i="10" s="1"/>
  <c r="J551" i="10" s="1"/>
  <c r="N550" i="10"/>
  <c r="O550" i="10" s="1"/>
  <c r="M550" i="10"/>
  <c r="K550" i="10"/>
  <c r="I550" i="10"/>
  <c r="G550" i="10"/>
  <c r="F550" i="10"/>
  <c r="D550" i="10"/>
  <c r="C550" i="10"/>
  <c r="B550" i="10"/>
  <c r="A550" i="10"/>
  <c r="L550" i="10" s="1"/>
  <c r="J550" i="10" s="1"/>
  <c r="N549" i="10"/>
  <c r="O549" i="10" s="1"/>
  <c r="M549" i="10"/>
  <c r="K549" i="10"/>
  <c r="I549" i="10"/>
  <c r="G549" i="10"/>
  <c r="F549" i="10"/>
  <c r="D549" i="10"/>
  <c r="C549" i="10"/>
  <c r="B549" i="10"/>
  <c r="A549" i="10"/>
  <c r="L549" i="10" s="1"/>
  <c r="N548" i="10"/>
  <c r="O548" i="10" s="1"/>
  <c r="M548" i="10"/>
  <c r="K548" i="10"/>
  <c r="I548" i="10"/>
  <c r="G548" i="10"/>
  <c r="F548" i="10"/>
  <c r="C548" i="10"/>
  <c r="B548" i="10"/>
  <c r="A548" i="10"/>
  <c r="L548" i="10" s="1"/>
  <c r="J548" i="10" s="1"/>
  <c r="N547" i="10"/>
  <c r="M547" i="10"/>
  <c r="K547" i="10"/>
  <c r="I547" i="10"/>
  <c r="G547" i="10"/>
  <c r="F547" i="10"/>
  <c r="D547" i="10"/>
  <c r="C547" i="10"/>
  <c r="B547" i="10"/>
  <c r="A547" i="10"/>
  <c r="L547" i="10" s="1"/>
  <c r="N546" i="10"/>
  <c r="O546" i="10" s="1"/>
  <c r="M546" i="10"/>
  <c r="K546" i="10"/>
  <c r="I546" i="10"/>
  <c r="G546" i="10"/>
  <c r="F546" i="10"/>
  <c r="C546" i="10"/>
  <c r="B546" i="10"/>
  <c r="A546" i="10"/>
  <c r="L546" i="10" s="1"/>
  <c r="N545" i="10"/>
  <c r="O545" i="10" s="1"/>
  <c r="M545" i="10"/>
  <c r="K545" i="10"/>
  <c r="I545" i="10"/>
  <c r="G545" i="10"/>
  <c r="F545" i="10"/>
  <c r="D545" i="10"/>
  <c r="C545" i="10"/>
  <c r="B545" i="10"/>
  <c r="A545" i="10"/>
  <c r="L545" i="10" s="1"/>
  <c r="J545" i="10" s="1"/>
  <c r="N544" i="10"/>
  <c r="M544" i="10"/>
  <c r="K544" i="10"/>
  <c r="I544" i="10"/>
  <c r="G544" i="10"/>
  <c r="P544" i="10" s="1"/>
  <c r="F544" i="10"/>
  <c r="D544" i="10" s="1"/>
  <c r="C544" i="10"/>
  <c r="B544" i="10"/>
  <c r="A544" i="10"/>
  <c r="L544" i="10" s="1"/>
  <c r="J544" i="10" s="1"/>
  <c r="N543" i="10"/>
  <c r="Q543" i="10" s="1"/>
  <c r="M543" i="10"/>
  <c r="K543" i="10"/>
  <c r="I543" i="10"/>
  <c r="G543" i="10"/>
  <c r="F543" i="10"/>
  <c r="D543" i="10"/>
  <c r="C543" i="10"/>
  <c r="B543" i="10"/>
  <c r="A543" i="10"/>
  <c r="L543" i="10" s="1"/>
  <c r="J543" i="10" s="1"/>
  <c r="N542" i="10"/>
  <c r="O542" i="10" s="1"/>
  <c r="M542" i="10"/>
  <c r="K542" i="10"/>
  <c r="I542" i="10"/>
  <c r="G542" i="10"/>
  <c r="F542" i="10"/>
  <c r="C542" i="10"/>
  <c r="B542" i="10"/>
  <c r="A542" i="10"/>
  <c r="L542" i="10" s="1"/>
  <c r="N541" i="10"/>
  <c r="O541" i="10" s="1"/>
  <c r="M541" i="10"/>
  <c r="K541" i="10"/>
  <c r="I541" i="10"/>
  <c r="G541" i="10"/>
  <c r="F541" i="10"/>
  <c r="D541" i="10"/>
  <c r="C541" i="10"/>
  <c r="B541" i="10"/>
  <c r="A541" i="10"/>
  <c r="L541" i="10" s="1"/>
  <c r="N540" i="10"/>
  <c r="O540" i="10" s="1"/>
  <c r="M540" i="10"/>
  <c r="K540" i="10"/>
  <c r="I540" i="10"/>
  <c r="G540" i="10"/>
  <c r="F540" i="10"/>
  <c r="C540" i="10"/>
  <c r="B540" i="10"/>
  <c r="A540" i="10"/>
  <c r="L540" i="10" s="1"/>
  <c r="J540" i="10" s="1"/>
  <c r="N539" i="10"/>
  <c r="M539" i="10"/>
  <c r="K539" i="10"/>
  <c r="I539" i="10"/>
  <c r="G539" i="10"/>
  <c r="F539" i="10"/>
  <c r="D539" i="10"/>
  <c r="C539" i="10"/>
  <c r="B539" i="10"/>
  <c r="A539" i="10"/>
  <c r="L539" i="10" s="1"/>
  <c r="J539" i="10" s="1"/>
  <c r="N538" i="10"/>
  <c r="O538" i="10" s="1"/>
  <c r="M538" i="10"/>
  <c r="K538" i="10"/>
  <c r="I538" i="10"/>
  <c r="G538" i="10"/>
  <c r="F538" i="10"/>
  <c r="C538" i="10"/>
  <c r="B538" i="10"/>
  <c r="A538" i="10"/>
  <c r="L538" i="10" s="1"/>
  <c r="N537" i="10"/>
  <c r="O537" i="10" s="1"/>
  <c r="M537" i="10"/>
  <c r="K537" i="10"/>
  <c r="I537" i="10"/>
  <c r="G537" i="10"/>
  <c r="F537" i="10"/>
  <c r="C537" i="10"/>
  <c r="B537" i="10"/>
  <c r="A537" i="10"/>
  <c r="L537" i="10" s="1"/>
  <c r="J537" i="10" s="1"/>
  <c r="N536" i="10"/>
  <c r="O536" i="10" s="1"/>
  <c r="M536" i="10"/>
  <c r="K536" i="10"/>
  <c r="I536" i="10"/>
  <c r="G536" i="10"/>
  <c r="P536" i="10" s="1"/>
  <c r="F536" i="10"/>
  <c r="D536" i="10" s="1"/>
  <c r="C536" i="10"/>
  <c r="B536" i="10"/>
  <c r="A536" i="10"/>
  <c r="L536" i="10" s="1"/>
  <c r="J536" i="10" s="1"/>
  <c r="N535" i="10"/>
  <c r="M535" i="10"/>
  <c r="K535" i="10"/>
  <c r="I535" i="10"/>
  <c r="G535" i="10"/>
  <c r="F535" i="10"/>
  <c r="D535" i="10"/>
  <c r="C535" i="10"/>
  <c r="B535" i="10"/>
  <c r="A535" i="10"/>
  <c r="L535" i="10" s="1"/>
  <c r="J535" i="10" s="1"/>
  <c r="N534" i="10"/>
  <c r="O534" i="10" s="1"/>
  <c r="M534" i="10"/>
  <c r="K534" i="10"/>
  <c r="I534" i="10"/>
  <c r="G534" i="10"/>
  <c r="F534" i="10"/>
  <c r="C534" i="10"/>
  <c r="B534" i="10"/>
  <c r="A534" i="10"/>
  <c r="L534" i="10" s="1"/>
  <c r="N533" i="10"/>
  <c r="O533" i="10" s="1"/>
  <c r="M533" i="10"/>
  <c r="K533" i="10"/>
  <c r="I533" i="10"/>
  <c r="G533" i="10"/>
  <c r="F533" i="10"/>
  <c r="C533" i="10"/>
  <c r="B533" i="10"/>
  <c r="A533" i="10"/>
  <c r="L533" i="10" s="1"/>
  <c r="J533" i="10" s="1"/>
  <c r="N532" i="10"/>
  <c r="O532" i="10" s="1"/>
  <c r="M532" i="10"/>
  <c r="K532" i="10"/>
  <c r="I532" i="10"/>
  <c r="G532" i="10"/>
  <c r="P532" i="10" s="1"/>
  <c r="F532" i="10"/>
  <c r="D532" i="10" s="1"/>
  <c r="C532" i="10"/>
  <c r="B532" i="10"/>
  <c r="A532" i="10"/>
  <c r="L532" i="10" s="1"/>
  <c r="J532" i="10" s="1"/>
  <c r="N531" i="10"/>
  <c r="M531" i="10"/>
  <c r="K531" i="10"/>
  <c r="I531" i="10"/>
  <c r="G531" i="10"/>
  <c r="F531" i="10"/>
  <c r="D531" i="10"/>
  <c r="C531" i="10"/>
  <c r="B531" i="10"/>
  <c r="A531" i="10"/>
  <c r="L531" i="10" s="1"/>
  <c r="J531" i="10" s="1"/>
  <c r="N530" i="10"/>
  <c r="O530" i="10" s="1"/>
  <c r="M530" i="10"/>
  <c r="K530" i="10"/>
  <c r="I530" i="10"/>
  <c r="G530" i="10"/>
  <c r="F530" i="10"/>
  <c r="C530" i="10"/>
  <c r="B530" i="10"/>
  <c r="A530" i="10"/>
  <c r="L530" i="10" s="1"/>
  <c r="M529" i="10"/>
  <c r="F529" i="10"/>
  <c r="D529" i="10"/>
  <c r="C529" i="10"/>
  <c r="B529" i="10"/>
  <c r="A529" i="10"/>
  <c r="M528" i="10"/>
  <c r="K528" i="10"/>
  <c r="I528" i="10"/>
  <c r="F528" i="10"/>
  <c r="C528" i="10"/>
  <c r="B528" i="10"/>
  <c r="A528" i="10"/>
  <c r="L528" i="10" s="1"/>
  <c r="J528" i="10" s="1"/>
  <c r="M527" i="10"/>
  <c r="L527" i="10"/>
  <c r="J527" i="10" s="1"/>
  <c r="K527" i="10"/>
  <c r="I527" i="10"/>
  <c r="F527" i="10"/>
  <c r="D527" i="10" s="1"/>
  <c r="C527" i="10"/>
  <c r="B527" i="10"/>
  <c r="A527" i="10"/>
  <c r="G527" i="10" s="1"/>
  <c r="P527" i="10" s="1"/>
  <c r="M526" i="10"/>
  <c r="L526" i="10"/>
  <c r="J526" i="10" s="1"/>
  <c r="K526" i="10"/>
  <c r="I526" i="10"/>
  <c r="F526" i="10"/>
  <c r="D526" i="10" s="1"/>
  <c r="C526" i="10"/>
  <c r="B526" i="10"/>
  <c r="A526" i="10"/>
  <c r="G526" i="10" s="1"/>
  <c r="P526" i="10" s="1"/>
  <c r="M525" i="10"/>
  <c r="L525" i="10"/>
  <c r="J525" i="10" s="1"/>
  <c r="K525" i="10"/>
  <c r="I525" i="10"/>
  <c r="F525" i="10"/>
  <c r="D525" i="10"/>
  <c r="C525" i="10"/>
  <c r="B525" i="10"/>
  <c r="A525" i="10"/>
  <c r="G525" i="10" s="1"/>
  <c r="P525" i="10" s="1"/>
  <c r="M524" i="10"/>
  <c r="L524" i="10"/>
  <c r="K524" i="10"/>
  <c r="I524" i="10"/>
  <c r="F524" i="10"/>
  <c r="D524" i="10"/>
  <c r="C524" i="10"/>
  <c r="B524" i="10"/>
  <c r="A524" i="10"/>
  <c r="G524" i="10" s="1"/>
  <c r="P524" i="10" s="1"/>
  <c r="M523" i="10"/>
  <c r="L523" i="10"/>
  <c r="J523" i="10" s="1"/>
  <c r="K523" i="10"/>
  <c r="I523" i="10"/>
  <c r="F523" i="10"/>
  <c r="D523" i="10"/>
  <c r="C523" i="10"/>
  <c r="B523" i="10"/>
  <c r="A523" i="10"/>
  <c r="G523" i="10" s="1"/>
  <c r="P523" i="10" s="1"/>
  <c r="M522" i="10"/>
  <c r="L522" i="10"/>
  <c r="J522" i="10" s="1"/>
  <c r="K522" i="10"/>
  <c r="I522" i="10"/>
  <c r="F522" i="10"/>
  <c r="D522" i="10"/>
  <c r="C522" i="10"/>
  <c r="B522" i="10"/>
  <c r="A522" i="10"/>
  <c r="G522" i="10" s="1"/>
  <c r="P522" i="10" s="1"/>
  <c r="M521" i="10"/>
  <c r="L521" i="10"/>
  <c r="K521" i="10"/>
  <c r="I521" i="10"/>
  <c r="F521" i="10"/>
  <c r="D521" i="10"/>
  <c r="C521" i="10"/>
  <c r="B521" i="10"/>
  <c r="A521" i="10"/>
  <c r="G521" i="10" s="1"/>
  <c r="P521" i="10" s="1"/>
  <c r="M520" i="10"/>
  <c r="L520" i="10"/>
  <c r="J520" i="10" s="1"/>
  <c r="K520" i="10"/>
  <c r="I520" i="10"/>
  <c r="F520" i="10"/>
  <c r="D520" i="10"/>
  <c r="C520" i="10"/>
  <c r="B520" i="10"/>
  <c r="A520" i="10"/>
  <c r="G520" i="10" s="1"/>
  <c r="P520" i="10" s="1"/>
  <c r="M519" i="10"/>
  <c r="L519" i="10"/>
  <c r="J519" i="10" s="1"/>
  <c r="K519" i="10"/>
  <c r="I519" i="10"/>
  <c r="F519" i="10"/>
  <c r="D519" i="10"/>
  <c r="C519" i="10"/>
  <c r="B519" i="10"/>
  <c r="A519" i="10"/>
  <c r="G519" i="10" s="1"/>
  <c r="P519" i="10" s="1"/>
  <c r="M518" i="10"/>
  <c r="L518" i="10"/>
  <c r="J518" i="10" s="1"/>
  <c r="K518" i="10"/>
  <c r="I518" i="10"/>
  <c r="F518" i="10"/>
  <c r="D518" i="10"/>
  <c r="C518" i="10"/>
  <c r="B518" i="10"/>
  <c r="A518" i="10"/>
  <c r="G518" i="10" s="1"/>
  <c r="P518" i="10" s="1"/>
  <c r="M517" i="10"/>
  <c r="L517" i="10"/>
  <c r="J517" i="10" s="1"/>
  <c r="K517" i="10"/>
  <c r="I517" i="10"/>
  <c r="F517" i="10"/>
  <c r="D517" i="10"/>
  <c r="C517" i="10"/>
  <c r="B517" i="10"/>
  <c r="A517" i="10"/>
  <c r="G517" i="10" s="1"/>
  <c r="P517" i="10" s="1"/>
  <c r="M516" i="10"/>
  <c r="L516" i="10"/>
  <c r="J516" i="10" s="1"/>
  <c r="K516" i="10"/>
  <c r="I516" i="10"/>
  <c r="F516" i="10"/>
  <c r="D516" i="10"/>
  <c r="C516" i="10"/>
  <c r="B516" i="10"/>
  <c r="A516" i="10"/>
  <c r="G516" i="10" s="1"/>
  <c r="P516" i="10" s="1"/>
  <c r="M515" i="10"/>
  <c r="L515" i="10"/>
  <c r="J515" i="10" s="1"/>
  <c r="K515" i="10"/>
  <c r="I515" i="10"/>
  <c r="F515" i="10"/>
  <c r="D515" i="10"/>
  <c r="C515" i="10"/>
  <c r="B515" i="10"/>
  <c r="A515" i="10"/>
  <c r="G515" i="10" s="1"/>
  <c r="P515" i="10" s="1"/>
  <c r="M514" i="10"/>
  <c r="L514" i="10"/>
  <c r="J514" i="10" s="1"/>
  <c r="K514" i="10"/>
  <c r="I514" i="10"/>
  <c r="F514" i="10"/>
  <c r="D514" i="10"/>
  <c r="C514" i="10"/>
  <c r="B514" i="10"/>
  <c r="A514" i="10"/>
  <c r="G514" i="10" s="1"/>
  <c r="P514" i="10" s="1"/>
  <c r="M513" i="10"/>
  <c r="L513" i="10"/>
  <c r="J513" i="10" s="1"/>
  <c r="K513" i="10"/>
  <c r="I513" i="10"/>
  <c r="F513" i="10"/>
  <c r="D513" i="10"/>
  <c r="C513" i="10"/>
  <c r="B513" i="10"/>
  <c r="A513" i="10"/>
  <c r="G513" i="10" s="1"/>
  <c r="P513" i="10" s="1"/>
  <c r="M512" i="10"/>
  <c r="L512" i="10"/>
  <c r="J512" i="10" s="1"/>
  <c r="K512" i="10"/>
  <c r="I512" i="10"/>
  <c r="F512" i="10"/>
  <c r="D512" i="10"/>
  <c r="C512" i="10"/>
  <c r="B512" i="10"/>
  <c r="A512" i="10"/>
  <c r="G512" i="10" s="1"/>
  <c r="P512" i="10" s="1"/>
  <c r="M511" i="10"/>
  <c r="L511" i="10"/>
  <c r="J511" i="10" s="1"/>
  <c r="K511" i="10"/>
  <c r="I511" i="10"/>
  <c r="F511" i="10"/>
  <c r="D511" i="10"/>
  <c r="C511" i="10"/>
  <c r="B511" i="10"/>
  <c r="A511" i="10"/>
  <c r="G511" i="10" s="1"/>
  <c r="P511" i="10" s="1"/>
  <c r="M510" i="10"/>
  <c r="L510" i="10"/>
  <c r="J510" i="10" s="1"/>
  <c r="K510" i="10"/>
  <c r="I510" i="10"/>
  <c r="F510" i="10"/>
  <c r="D510" i="10"/>
  <c r="C510" i="10"/>
  <c r="B510" i="10"/>
  <c r="A510" i="10"/>
  <c r="G510" i="10" s="1"/>
  <c r="P510" i="10" s="1"/>
  <c r="M509" i="10"/>
  <c r="L509" i="10"/>
  <c r="J509" i="10" s="1"/>
  <c r="K509" i="10"/>
  <c r="I509" i="10"/>
  <c r="F509" i="10"/>
  <c r="D509" i="10"/>
  <c r="C509" i="10"/>
  <c r="B509" i="10"/>
  <c r="A509" i="10"/>
  <c r="G509" i="10" s="1"/>
  <c r="P509" i="10" s="1"/>
  <c r="M508" i="10"/>
  <c r="L508" i="10"/>
  <c r="K508" i="10"/>
  <c r="I508" i="10"/>
  <c r="F508" i="10"/>
  <c r="D508" i="10"/>
  <c r="C508" i="10"/>
  <c r="B508" i="10"/>
  <c r="A508" i="10"/>
  <c r="G508" i="10" s="1"/>
  <c r="P508" i="10" s="1"/>
  <c r="M507" i="10"/>
  <c r="L507" i="10"/>
  <c r="J507" i="10" s="1"/>
  <c r="K507" i="10"/>
  <c r="I507" i="10"/>
  <c r="F507" i="10"/>
  <c r="D507" i="10"/>
  <c r="C507" i="10"/>
  <c r="B507" i="10"/>
  <c r="A507" i="10"/>
  <c r="G507" i="10" s="1"/>
  <c r="P507" i="10" s="1"/>
  <c r="M506" i="10"/>
  <c r="L506" i="10"/>
  <c r="J506" i="10" s="1"/>
  <c r="K506" i="10"/>
  <c r="I506" i="10"/>
  <c r="F506" i="10"/>
  <c r="D506" i="10"/>
  <c r="C506" i="10"/>
  <c r="B506" i="10"/>
  <c r="A506" i="10"/>
  <c r="G506" i="10" s="1"/>
  <c r="P506" i="10" s="1"/>
  <c r="M505" i="10"/>
  <c r="L505" i="10"/>
  <c r="K505" i="10"/>
  <c r="I505" i="10"/>
  <c r="F505" i="10"/>
  <c r="D505" i="10"/>
  <c r="C505" i="10"/>
  <c r="B505" i="10"/>
  <c r="A505" i="10"/>
  <c r="G505" i="10" s="1"/>
  <c r="P505" i="10" s="1"/>
  <c r="M504" i="10"/>
  <c r="L504" i="10"/>
  <c r="J504" i="10" s="1"/>
  <c r="K504" i="10"/>
  <c r="I504" i="10"/>
  <c r="F504" i="10"/>
  <c r="D504" i="10"/>
  <c r="C504" i="10"/>
  <c r="B504" i="10"/>
  <c r="A504" i="10"/>
  <c r="G504" i="10" s="1"/>
  <c r="P504" i="10" s="1"/>
  <c r="M503" i="10"/>
  <c r="L503" i="10"/>
  <c r="J503" i="10" s="1"/>
  <c r="K503" i="10"/>
  <c r="I503" i="10"/>
  <c r="F503" i="10"/>
  <c r="D503" i="10"/>
  <c r="C503" i="10"/>
  <c r="B503" i="10"/>
  <c r="A503" i="10"/>
  <c r="G503" i="10" s="1"/>
  <c r="P503" i="10" s="1"/>
  <c r="M502" i="10"/>
  <c r="L502" i="10"/>
  <c r="J502" i="10" s="1"/>
  <c r="K502" i="10"/>
  <c r="I502" i="10"/>
  <c r="F502" i="10"/>
  <c r="D502" i="10"/>
  <c r="C502" i="10"/>
  <c r="B502" i="10"/>
  <c r="A502" i="10"/>
  <c r="G502" i="10" s="1"/>
  <c r="P502" i="10" s="1"/>
  <c r="M501" i="10"/>
  <c r="L501" i="10"/>
  <c r="J501" i="10" s="1"/>
  <c r="K501" i="10"/>
  <c r="I501" i="10"/>
  <c r="F501" i="10"/>
  <c r="D501" i="10"/>
  <c r="C501" i="10"/>
  <c r="B501" i="10"/>
  <c r="A501" i="10"/>
  <c r="G501" i="10" s="1"/>
  <c r="P501" i="10" s="1"/>
  <c r="M500" i="10"/>
  <c r="L500" i="10"/>
  <c r="J500" i="10" s="1"/>
  <c r="K500" i="10"/>
  <c r="I500" i="10"/>
  <c r="F500" i="10"/>
  <c r="D500" i="10"/>
  <c r="C500" i="10"/>
  <c r="B500" i="10"/>
  <c r="A500" i="10"/>
  <c r="G500" i="10" s="1"/>
  <c r="P500" i="10" s="1"/>
  <c r="M499" i="10"/>
  <c r="L499" i="10"/>
  <c r="J499" i="10" s="1"/>
  <c r="K499" i="10"/>
  <c r="I499" i="10"/>
  <c r="F499" i="10"/>
  <c r="D499" i="10"/>
  <c r="C499" i="10"/>
  <c r="B499" i="10"/>
  <c r="A499" i="10"/>
  <c r="G499" i="10" s="1"/>
  <c r="P499" i="10" s="1"/>
  <c r="M498" i="10"/>
  <c r="L498" i="10"/>
  <c r="J498" i="10" s="1"/>
  <c r="K498" i="10"/>
  <c r="I498" i="10"/>
  <c r="F498" i="10"/>
  <c r="D498" i="10"/>
  <c r="C498" i="10"/>
  <c r="B498" i="10"/>
  <c r="A498" i="10"/>
  <c r="G498" i="10" s="1"/>
  <c r="P498" i="10" s="1"/>
  <c r="M497" i="10"/>
  <c r="L497" i="10"/>
  <c r="J497" i="10" s="1"/>
  <c r="K497" i="10"/>
  <c r="I497" i="10"/>
  <c r="F497" i="10"/>
  <c r="D497" i="10"/>
  <c r="C497" i="10"/>
  <c r="B497" i="10"/>
  <c r="A497" i="10"/>
  <c r="G497" i="10" s="1"/>
  <c r="P497" i="10" s="1"/>
  <c r="M496" i="10"/>
  <c r="L496" i="10"/>
  <c r="J496" i="10" s="1"/>
  <c r="K496" i="10"/>
  <c r="I496" i="10"/>
  <c r="F496" i="10"/>
  <c r="D496" i="10"/>
  <c r="C496" i="10"/>
  <c r="B496" i="10"/>
  <c r="A496" i="10"/>
  <c r="G496" i="10" s="1"/>
  <c r="P496" i="10" s="1"/>
  <c r="M495" i="10"/>
  <c r="L495" i="10"/>
  <c r="J495" i="10" s="1"/>
  <c r="K495" i="10"/>
  <c r="I495" i="10"/>
  <c r="F495" i="10"/>
  <c r="D495" i="10"/>
  <c r="C495" i="10"/>
  <c r="B495" i="10"/>
  <c r="A495" i="10"/>
  <c r="G495" i="10" s="1"/>
  <c r="P495" i="10" s="1"/>
  <c r="M494" i="10"/>
  <c r="L494" i="10"/>
  <c r="J494" i="10" s="1"/>
  <c r="K494" i="10"/>
  <c r="I494" i="10"/>
  <c r="F494" i="10"/>
  <c r="D494" i="10"/>
  <c r="C494" i="10"/>
  <c r="B494" i="10"/>
  <c r="A494" i="10"/>
  <c r="G494" i="10" s="1"/>
  <c r="P494" i="10" s="1"/>
  <c r="M493" i="10"/>
  <c r="L493" i="10"/>
  <c r="J493" i="10" s="1"/>
  <c r="K493" i="10"/>
  <c r="I493" i="10"/>
  <c r="F493" i="10"/>
  <c r="D493" i="10"/>
  <c r="C493" i="10"/>
  <c r="B493" i="10"/>
  <c r="A493" i="10"/>
  <c r="G493" i="10" s="1"/>
  <c r="P493" i="10" s="1"/>
  <c r="M492" i="10"/>
  <c r="L492" i="10"/>
  <c r="K492" i="10"/>
  <c r="I492" i="10"/>
  <c r="F492" i="10"/>
  <c r="D492" i="10"/>
  <c r="C492" i="10"/>
  <c r="B492" i="10"/>
  <c r="A492" i="10"/>
  <c r="G492" i="10" s="1"/>
  <c r="P492" i="10" s="1"/>
  <c r="M491" i="10"/>
  <c r="L491" i="10"/>
  <c r="J491" i="10" s="1"/>
  <c r="K491" i="10"/>
  <c r="I491" i="10"/>
  <c r="F491" i="10"/>
  <c r="D491" i="10"/>
  <c r="C491" i="10"/>
  <c r="B491" i="10"/>
  <c r="A491" i="10"/>
  <c r="G491" i="10" s="1"/>
  <c r="P491" i="10" s="1"/>
  <c r="M490" i="10"/>
  <c r="L490" i="10"/>
  <c r="J490" i="10" s="1"/>
  <c r="K490" i="10"/>
  <c r="I490" i="10"/>
  <c r="F490" i="10"/>
  <c r="D490" i="10"/>
  <c r="C490" i="10"/>
  <c r="B490" i="10"/>
  <c r="A490" i="10"/>
  <c r="G490" i="10" s="1"/>
  <c r="P490" i="10" s="1"/>
  <c r="M489" i="10"/>
  <c r="L489" i="10"/>
  <c r="J489" i="10" s="1"/>
  <c r="K489" i="10"/>
  <c r="I489" i="10"/>
  <c r="F489" i="10"/>
  <c r="D489" i="10"/>
  <c r="C489" i="10"/>
  <c r="B489" i="10"/>
  <c r="A489" i="10"/>
  <c r="G489" i="10" s="1"/>
  <c r="P489" i="10" s="1"/>
  <c r="M488" i="10"/>
  <c r="L488" i="10"/>
  <c r="J488" i="10" s="1"/>
  <c r="K488" i="10"/>
  <c r="I488" i="10"/>
  <c r="F488" i="10"/>
  <c r="D488" i="10"/>
  <c r="C488" i="10"/>
  <c r="B488" i="10"/>
  <c r="A488" i="10"/>
  <c r="G488" i="10" s="1"/>
  <c r="P488" i="10" s="1"/>
  <c r="M487" i="10"/>
  <c r="L487" i="10"/>
  <c r="J487" i="10" s="1"/>
  <c r="K487" i="10"/>
  <c r="I487" i="10"/>
  <c r="F487" i="10"/>
  <c r="D487" i="10"/>
  <c r="C487" i="10"/>
  <c r="B487" i="10"/>
  <c r="A487" i="10"/>
  <c r="G487" i="10" s="1"/>
  <c r="P487" i="10" s="1"/>
  <c r="M486" i="10"/>
  <c r="L486" i="10"/>
  <c r="J486" i="10" s="1"/>
  <c r="K486" i="10"/>
  <c r="I486" i="10"/>
  <c r="F486" i="10"/>
  <c r="D486" i="10"/>
  <c r="C486" i="10"/>
  <c r="B486" i="10"/>
  <c r="A486" i="10"/>
  <c r="G486" i="10" s="1"/>
  <c r="P486" i="10" s="1"/>
  <c r="M485" i="10"/>
  <c r="L485" i="10"/>
  <c r="J485" i="10" s="1"/>
  <c r="I485" i="10"/>
  <c r="F485" i="10"/>
  <c r="D485" i="10"/>
  <c r="C485" i="10"/>
  <c r="B485" i="10"/>
  <c r="A485" i="10"/>
  <c r="M484" i="10"/>
  <c r="K484" i="10"/>
  <c r="F484" i="10"/>
  <c r="D484" i="10"/>
  <c r="C484" i="10"/>
  <c r="B484" i="10"/>
  <c r="A484" i="10"/>
  <c r="M483" i="10"/>
  <c r="F483" i="10"/>
  <c r="D483" i="10"/>
  <c r="C483" i="10"/>
  <c r="B483" i="10"/>
  <c r="A483" i="10"/>
  <c r="I483" i="10" s="1"/>
  <c r="M482" i="10"/>
  <c r="L482" i="10"/>
  <c r="F482" i="10"/>
  <c r="D482" i="10"/>
  <c r="C482" i="10"/>
  <c r="B482" i="10"/>
  <c r="A482" i="10"/>
  <c r="I482" i="10" s="1"/>
  <c r="M481" i="10"/>
  <c r="L481" i="10"/>
  <c r="H481" i="10" s="1"/>
  <c r="I481" i="10"/>
  <c r="F481" i="10"/>
  <c r="D481" i="10"/>
  <c r="C481" i="10"/>
  <c r="B481" i="10"/>
  <c r="A481" i="10"/>
  <c r="M480" i="10"/>
  <c r="I480" i="10"/>
  <c r="F480" i="10"/>
  <c r="D480" i="10"/>
  <c r="C480" i="10"/>
  <c r="B480" i="10"/>
  <c r="A480" i="10"/>
  <c r="M479" i="10"/>
  <c r="L479" i="10"/>
  <c r="F479" i="10"/>
  <c r="D479" i="10"/>
  <c r="C479" i="10"/>
  <c r="B479" i="10"/>
  <c r="A479" i="10"/>
  <c r="K479" i="10" s="1"/>
  <c r="M478" i="10"/>
  <c r="I478" i="10"/>
  <c r="F478" i="10"/>
  <c r="D478" i="10"/>
  <c r="C478" i="10"/>
  <c r="B478" i="10"/>
  <c r="A478" i="10"/>
  <c r="M477" i="10"/>
  <c r="L477" i="10"/>
  <c r="J477" i="10" s="1"/>
  <c r="I477" i="10"/>
  <c r="F477" i="10"/>
  <c r="D477" i="10"/>
  <c r="C477" i="10"/>
  <c r="B477" i="10"/>
  <c r="A477" i="10"/>
  <c r="M476" i="10"/>
  <c r="F476" i="10"/>
  <c r="D476" i="10"/>
  <c r="C476" i="10"/>
  <c r="B476" i="10"/>
  <c r="A476" i="10"/>
  <c r="M475" i="10"/>
  <c r="F475" i="10"/>
  <c r="D475" i="10"/>
  <c r="C475" i="10"/>
  <c r="B475" i="10"/>
  <c r="A475" i="10"/>
  <c r="I475" i="10" s="1"/>
  <c r="M474" i="10"/>
  <c r="L474" i="10"/>
  <c r="F474" i="10"/>
  <c r="D474" i="10"/>
  <c r="C474" i="10"/>
  <c r="B474" i="10"/>
  <c r="A474" i="10"/>
  <c r="I474" i="10" s="1"/>
  <c r="M473" i="10"/>
  <c r="L473" i="10"/>
  <c r="H473" i="10" s="1"/>
  <c r="I473" i="10"/>
  <c r="F473" i="10"/>
  <c r="D473" i="10"/>
  <c r="C473" i="10"/>
  <c r="B473" i="10"/>
  <c r="A473" i="10"/>
  <c r="M472" i="10"/>
  <c r="I472" i="10"/>
  <c r="F472" i="10"/>
  <c r="D472" i="10"/>
  <c r="C472" i="10"/>
  <c r="B472" i="10"/>
  <c r="A472" i="10"/>
  <c r="M471" i="10"/>
  <c r="K471" i="10"/>
  <c r="F471" i="10"/>
  <c r="D471" i="10"/>
  <c r="C471" i="10"/>
  <c r="B471" i="10"/>
  <c r="A471" i="10"/>
  <c r="M470" i="10"/>
  <c r="I470" i="10"/>
  <c r="F470" i="10"/>
  <c r="D470" i="10"/>
  <c r="C470" i="10"/>
  <c r="B470" i="10"/>
  <c r="A470" i="10"/>
  <c r="M469" i="10"/>
  <c r="L469" i="10"/>
  <c r="J469" i="10" s="1"/>
  <c r="I469" i="10"/>
  <c r="F469" i="10"/>
  <c r="D469" i="10"/>
  <c r="C469" i="10"/>
  <c r="B469" i="10"/>
  <c r="A469" i="10"/>
  <c r="M468" i="10"/>
  <c r="K468" i="10"/>
  <c r="F468" i="10"/>
  <c r="D468" i="10"/>
  <c r="C468" i="10"/>
  <c r="B468" i="10"/>
  <c r="A468" i="10"/>
  <c r="M467" i="10"/>
  <c r="F467" i="10"/>
  <c r="D467" i="10"/>
  <c r="C467" i="10"/>
  <c r="B467" i="10"/>
  <c r="A467" i="10"/>
  <c r="I467" i="10" s="1"/>
  <c r="M466" i="10"/>
  <c r="L466" i="10"/>
  <c r="F466" i="10"/>
  <c r="D466" i="10"/>
  <c r="C466" i="10"/>
  <c r="B466" i="10"/>
  <c r="A466" i="10"/>
  <c r="I466" i="10" s="1"/>
  <c r="N465" i="10"/>
  <c r="O465" i="10" s="1"/>
  <c r="M465" i="10"/>
  <c r="L465" i="10"/>
  <c r="K465" i="10"/>
  <c r="G465" i="10"/>
  <c r="F465" i="10"/>
  <c r="C465" i="10"/>
  <c r="B465" i="10"/>
  <c r="A465" i="10"/>
  <c r="I465" i="10" s="1"/>
  <c r="N464" i="10"/>
  <c r="M464" i="10"/>
  <c r="L464" i="10"/>
  <c r="K464" i="10"/>
  <c r="G464" i="10"/>
  <c r="F464" i="10"/>
  <c r="C464" i="10"/>
  <c r="B464" i="10"/>
  <c r="A464" i="10"/>
  <c r="I464" i="10" s="1"/>
  <c r="N463" i="10"/>
  <c r="O463" i="10" s="1"/>
  <c r="M463" i="10"/>
  <c r="L463" i="10"/>
  <c r="K463" i="10"/>
  <c r="G463" i="10"/>
  <c r="F463" i="10"/>
  <c r="C463" i="10"/>
  <c r="B463" i="10"/>
  <c r="A463" i="10"/>
  <c r="I463" i="10" s="1"/>
  <c r="N462" i="10"/>
  <c r="O462" i="10" s="1"/>
  <c r="M462" i="10"/>
  <c r="L462" i="10"/>
  <c r="K462" i="10"/>
  <c r="G462" i="10"/>
  <c r="F462" i="10"/>
  <c r="C462" i="10"/>
  <c r="B462" i="10"/>
  <c r="A462" i="10"/>
  <c r="I462" i="10" s="1"/>
  <c r="N461" i="10"/>
  <c r="O461" i="10" s="1"/>
  <c r="M461" i="10"/>
  <c r="L461" i="10"/>
  <c r="K461" i="10"/>
  <c r="G461" i="10"/>
  <c r="F461" i="10"/>
  <c r="C461" i="10"/>
  <c r="B461" i="10"/>
  <c r="A461" i="10"/>
  <c r="I461" i="10" s="1"/>
  <c r="N460" i="10"/>
  <c r="O460" i="10" s="1"/>
  <c r="M460" i="10"/>
  <c r="L460" i="10"/>
  <c r="K460" i="10"/>
  <c r="G460" i="10"/>
  <c r="F460" i="10"/>
  <c r="C460" i="10"/>
  <c r="B460" i="10"/>
  <c r="A460" i="10"/>
  <c r="I460" i="10" s="1"/>
  <c r="N459" i="10"/>
  <c r="M459" i="10"/>
  <c r="L459" i="10"/>
  <c r="K459" i="10"/>
  <c r="G459" i="10"/>
  <c r="F459" i="10"/>
  <c r="C459" i="10"/>
  <c r="B459" i="10"/>
  <c r="A459" i="10"/>
  <c r="I459" i="10" s="1"/>
  <c r="N458" i="10"/>
  <c r="M458" i="10"/>
  <c r="L458" i="10"/>
  <c r="K458" i="10"/>
  <c r="G458" i="10"/>
  <c r="F458" i="10"/>
  <c r="C458" i="10"/>
  <c r="B458" i="10"/>
  <c r="A458" i="10"/>
  <c r="I458" i="10" s="1"/>
  <c r="N457" i="10"/>
  <c r="O457" i="10" s="1"/>
  <c r="M457" i="10"/>
  <c r="L457" i="10"/>
  <c r="K457" i="10"/>
  <c r="G457" i="10"/>
  <c r="F457" i="10"/>
  <c r="C457" i="10"/>
  <c r="B457" i="10"/>
  <c r="A457" i="10"/>
  <c r="I457" i="10" s="1"/>
  <c r="N456" i="10"/>
  <c r="M456" i="10"/>
  <c r="L456" i="10"/>
  <c r="K456" i="10"/>
  <c r="G456" i="10"/>
  <c r="F456" i="10"/>
  <c r="C456" i="10"/>
  <c r="B456" i="10"/>
  <c r="A456" i="10"/>
  <c r="I456" i="10" s="1"/>
  <c r="N455" i="10"/>
  <c r="O455" i="10" s="1"/>
  <c r="M455" i="10"/>
  <c r="L455" i="10"/>
  <c r="K455" i="10"/>
  <c r="G455" i="10"/>
  <c r="F455" i="10"/>
  <c r="C455" i="10"/>
  <c r="B455" i="10"/>
  <c r="A455" i="10"/>
  <c r="I455" i="10" s="1"/>
  <c r="N454" i="10"/>
  <c r="O454" i="10" s="1"/>
  <c r="M454" i="10"/>
  <c r="L454" i="10"/>
  <c r="K454" i="10"/>
  <c r="G454" i="10"/>
  <c r="F454" i="10"/>
  <c r="C454" i="10"/>
  <c r="B454" i="10"/>
  <c r="A454" i="10"/>
  <c r="I454" i="10" s="1"/>
  <c r="N453" i="10"/>
  <c r="O453" i="10" s="1"/>
  <c r="M453" i="10"/>
  <c r="L453" i="10"/>
  <c r="K453" i="10"/>
  <c r="G453" i="10"/>
  <c r="F453" i="10"/>
  <c r="C453" i="10"/>
  <c r="B453" i="10"/>
  <c r="A453" i="10"/>
  <c r="I453" i="10" s="1"/>
  <c r="N452" i="10"/>
  <c r="O452" i="10" s="1"/>
  <c r="M452" i="10"/>
  <c r="L452" i="10"/>
  <c r="K452" i="10"/>
  <c r="G452" i="10"/>
  <c r="F452" i="10"/>
  <c r="C452" i="10"/>
  <c r="B452" i="10"/>
  <c r="A452" i="10"/>
  <c r="I452" i="10" s="1"/>
  <c r="N451" i="10"/>
  <c r="M451" i="10"/>
  <c r="L451" i="10"/>
  <c r="K451" i="10"/>
  <c r="G451" i="10"/>
  <c r="F451" i="10"/>
  <c r="C451" i="10"/>
  <c r="B451" i="10"/>
  <c r="A451" i="10"/>
  <c r="I451" i="10" s="1"/>
  <c r="N450" i="10"/>
  <c r="M450" i="10"/>
  <c r="L450" i="10"/>
  <c r="K450" i="10"/>
  <c r="G450" i="10"/>
  <c r="F450" i="10"/>
  <c r="C450" i="10"/>
  <c r="B450" i="10"/>
  <c r="A450" i="10"/>
  <c r="I450" i="10" s="1"/>
  <c r="N449" i="10"/>
  <c r="O449" i="10" s="1"/>
  <c r="M449" i="10"/>
  <c r="L449" i="10"/>
  <c r="K449" i="10"/>
  <c r="G449" i="10"/>
  <c r="F449" i="10"/>
  <c r="C449" i="10"/>
  <c r="B449" i="10"/>
  <c r="A449" i="10"/>
  <c r="I449" i="10" s="1"/>
  <c r="N448" i="10"/>
  <c r="M448" i="10"/>
  <c r="L448" i="10"/>
  <c r="K448" i="10"/>
  <c r="G448" i="10"/>
  <c r="F448" i="10"/>
  <c r="C448" i="10"/>
  <c r="B448" i="10"/>
  <c r="A448" i="10"/>
  <c r="I448" i="10" s="1"/>
  <c r="N447" i="10"/>
  <c r="O447" i="10" s="1"/>
  <c r="M447" i="10"/>
  <c r="L447" i="10"/>
  <c r="K447" i="10"/>
  <c r="G447" i="10"/>
  <c r="F447" i="10"/>
  <c r="C447" i="10"/>
  <c r="B447" i="10"/>
  <c r="A447" i="10"/>
  <c r="I447" i="10" s="1"/>
  <c r="N446" i="10"/>
  <c r="O446" i="10" s="1"/>
  <c r="M446" i="10"/>
  <c r="L446" i="10"/>
  <c r="K446" i="10"/>
  <c r="G446" i="10"/>
  <c r="F446" i="10"/>
  <c r="C446" i="10"/>
  <c r="B446" i="10"/>
  <c r="A446" i="10"/>
  <c r="I446" i="10" s="1"/>
  <c r="N445" i="10"/>
  <c r="O445" i="10" s="1"/>
  <c r="M445" i="10"/>
  <c r="L445" i="10"/>
  <c r="K445" i="10"/>
  <c r="G445" i="10"/>
  <c r="F445" i="10"/>
  <c r="C445" i="10"/>
  <c r="B445" i="10"/>
  <c r="A445" i="10"/>
  <c r="I445" i="10" s="1"/>
  <c r="N444" i="10"/>
  <c r="O444" i="10" s="1"/>
  <c r="M444" i="10"/>
  <c r="L444" i="10"/>
  <c r="K444" i="10"/>
  <c r="G444" i="10"/>
  <c r="F444" i="10"/>
  <c r="C444" i="10"/>
  <c r="B444" i="10"/>
  <c r="A444" i="10"/>
  <c r="I444" i="10" s="1"/>
  <c r="N443" i="10"/>
  <c r="O443" i="10" s="1"/>
  <c r="M443" i="10"/>
  <c r="L443" i="10"/>
  <c r="K443" i="10"/>
  <c r="G443" i="10"/>
  <c r="F443" i="10"/>
  <c r="C443" i="10"/>
  <c r="B443" i="10"/>
  <c r="A443" i="10"/>
  <c r="I443" i="10" s="1"/>
  <c r="N442" i="10"/>
  <c r="O442" i="10" s="1"/>
  <c r="M442" i="10"/>
  <c r="L442" i="10"/>
  <c r="K442" i="10"/>
  <c r="G442" i="10"/>
  <c r="F442" i="10"/>
  <c r="C442" i="10"/>
  <c r="B442" i="10"/>
  <c r="A442" i="10"/>
  <c r="I442" i="10" s="1"/>
  <c r="N441" i="10"/>
  <c r="O441" i="10" s="1"/>
  <c r="M441" i="10"/>
  <c r="L441" i="10"/>
  <c r="K441" i="10"/>
  <c r="G441" i="10"/>
  <c r="F441" i="10"/>
  <c r="C441" i="10"/>
  <c r="B441" i="10"/>
  <c r="A441" i="10"/>
  <c r="I441" i="10" s="1"/>
  <c r="N440" i="10"/>
  <c r="M440" i="10"/>
  <c r="L440" i="10"/>
  <c r="K440" i="10"/>
  <c r="G440" i="10"/>
  <c r="F440" i="10"/>
  <c r="C440" i="10"/>
  <c r="B440" i="10"/>
  <c r="A440" i="10"/>
  <c r="I440" i="10" s="1"/>
  <c r="N439" i="10"/>
  <c r="O439" i="10" s="1"/>
  <c r="M439" i="10"/>
  <c r="L439" i="10"/>
  <c r="K439" i="10"/>
  <c r="G439" i="10"/>
  <c r="F439" i="10"/>
  <c r="C439" i="10"/>
  <c r="B439" i="10"/>
  <c r="A439" i="10"/>
  <c r="I439" i="10" s="1"/>
  <c r="N438" i="10"/>
  <c r="O438" i="10" s="1"/>
  <c r="M438" i="10"/>
  <c r="L438" i="10"/>
  <c r="K438" i="10"/>
  <c r="G438" i="10"/>
  <c r="F438" i="10"/>
  <c r="C438" i="10"/>
  <c r="B438" i="10"/>
  <c r="A438" i="10"/>
  <c r="I438" i="10" s="1"/>
  <c r="N437" i="10"/>
  <c r="O437" i="10" s="1"/>
  <c r="M437" i="10"/>
  <c r="L437" i="10"/>
  <c r="K437" i="10"/>
  <c r="G437" i="10"/>
  <c r="F437" i="10"/>
  <c r="C437" i="10"/>
  <c r="B437" i="10"/>
  <c r="A437" i="10"/>
  <c r="I437" i="10" s="1"/>
  <c r="N436" i="10"/>
  <c r="M436" i="10"/>
  <c r="L436" i="10"/>
  <c r="K436" i="10"/>
  <c r="G436" i="10"/>
  <c r="F436" i="10"/>
  <c r="C436" i="10"/>
  <c r="B436" i="10"/>
  <c r="A436" i="10"/>
  <c r="I436" i="10" s="1"/>
  <c r="N435" i="10"/>
  <c r="O435" i="10" s="1"/>
  <c r="M435" i="10"/>
  <c r="L435" i="10"/>
  <c r="K435" i="10"/>
  <c r="G435" i="10"/>
  <c r="F435" i="10"/>
  <c r="C435" i="10"/>
  <c r="B435" i="10"/>
  <c r="A435" i="10"/>
  <c r="I435" i="10" s="1"/>
  <c r="N434" i="10"/>
  <c r="O434" i="10" s="1"/>
  <c r="M434" i="10"/>
  <c r="L434" i="10"/>
  <c r="K434" i="10"/>
  <c r="G434" i="10"/>
  <c r="F434" i="10"/>
  <c r="C434" i="10"/>
  <c r="B434" i="10"/>
  <c r="A434" i="10"/>
  <c r="I434" i="10" s="1"/>
  <c r="N433" i="10"/>
  <c r="O433" i="10" s="1"/>
  <c r="M433" i="10"/>
  <c r="L433" i="10"/>
  <c r="K433" i="10"/>
  <c r="G433" i="10"/>
  <c r="F433" i="10"/>
  <c r="C433" i="10"/>
  <c r="B433" i="10"/>
  <c r="A433" i="10"/>
  <c r="I433" i="10" s="1"/>
  <c r="N432" i="10"/>
  <c r="O432" i="10" s="1"/>
  <c r="M432" i="10"/>
  <c r="L432" i="10"/>
  <c r="K432" i="10"/>
  <c r="G432" i="10"/>
  <c r="F432" i="10"/>
  <c r="C432" i="10"/>
  <c r="B432" i="10"/>
  <c r="A432" i="10"/>
  <c r="I432" i="10" s="1"/>
  <c r="N431" i="10"/>
  <c r="O431" i="10" s="1"/>
  <c r="M431" i="10"/>
  <c r="L431" i="10"/>
  <c r="K431" i="10"/>
  <c r="G431" i="10"/>
  <c r="F431" i="10"/>
  <c r="C431" i="10"/>
  <c r="B431" i="10"/>
  <c r="A431" i="10"/>
  <c r="I431" i="10" s="1"/>
  <c r="N430" i="10"/>
  <c r="O430" i="10" s="1"/>
  <c r="M430" i="10"/>
  <c r="L430" i="10"/>
  <c r="K430" i="10"/>
  <c r="G430" i="10"/>
  <c r="F430" i="10"/>
  <c r="C430" i="10"/>
  <c r="B430" i="10"/>
  <c r="A430" i="10"/>
  <c r="I430" i="10" s="1"/>
  <c r="N429" i="10"/>
  <c r="O429" i="10" s="1"/>
  <c r="M429" i="10"/>
  <c r="F429" i="10"/>
  <c r="C429" i="10"/>
  <c r="B429" i="10"/>
  <c r="A429" i="10"/>
  <c r="M428" i="10"/>
  <c r="G428" i="10"/>
  <c r="F428" i="10"/>
  <c r="C428" i="10"/>
  <c r="B428" i="10"/>
  <c r="A428" i="10"/>
  <c r="I428" i="10" s="1"/>
  <c r="M427" i="10"/>
  <c r="L427" i="10"/>
  <c r="H427" i="10" s="1"/>
  <c r="K427" i="10"/>
  <c r="F427" i="10"/>
  <c r="C427" i="10"/>
  <c r="B427" i="10"/>
  <c r="A427" i="10"/>
  <c r="I427" i="10" s="1"/>
  <c r="M426" i="10"/>
  <c r="F426" i="10"/>
  <c r="C426" i="10"/>
  <c r="B426" i="10"/>
  <c r="A426" i="10"/>
  <c r="N426" i="10" s="1"/>
  <c r="O426" i="10" s="1"/>
  <c r="N425" i="10"/>
  <c r="O425" i="10" s="1"/>
  <c r="M425" i="10"/>
  <c r="L425" i="10"/>
  <c r="H425" i="10" s="1"/>
  <c r="K425" i="10"/>
  <c r="G425" i="10"/>
  <c r="F425" i="10"/>
  <c r="C425" i="10"/>
  <c r="B425" i="10"/>
  <c r="A425" i="10"/>
  <c r="I425" i="10" s="1"/>
  <c r="M424" i="10"/>
  <c r="L424" i="10"/>
  <c r="K424" i="10"/>
  <c r="F424" i="10"/>
  <c r="C424" i="10"/>
  <c r="B424" i="10"/>
  <c r="A424" i="10"/>
  <c r="I424" i="10" s="1"/>
  <c r="M423" i="10"/>
  <c r="K423" i="10"/>
  <c r="G423" i="10"/>
  <c r="P423" i="10" s="1"/>
  <c r="F423" i="10"/>
  <c r="D423" i="10" s="1"/>
  <c r="C423" i="10"/>
  <c r="B423" i="10"/>
  <c r="A423" i="10"/>
  <c r="I423" i="10" s="1"/>
  <c r="M422" i="10"/>
  <c r="F422" i="10"/>
  <c r="D422" i="10" s="1"/>
  <c r="C422" i="10"/>
  <c r="B422" i="10"/>
  <c r="A422" i="10"/>
  <c r="M421" i="10"/>
  <c r="K421" i="10"/>
  <c r="F421" i="10"/>
  <c r="D421" i="10" s="1"/>
  <c r="C421" i="10"/>
  <c r="B421" i="10"/>
  <c r="A421" i="10"/>
  <c r="I421" i="10" s="1"/>
  <c r="N420" i="10"/>
  <c r="O420" i="10" s="1"/>
  <c r="M420" i="10"/>
  <c r="G420" i="10"/>
  <c r="F420" i="10"/>
  <c r="C420" i="10"/>
  <c r="B420" i="10"/>
  <c r="A420" i="10"/>
  <c r="I420" i="10" s="1"/>
  <c r="M419" i="10"/>
  <c r="L419" i="10"/>
  <c r="F419" i="10"/>
  <c r="D419" i="10" s="1"/>
  <c r="C419" i="10"/>
  <c r="B419" i="10"/>
  <c r="A419" i="10"/>
  <c r="K419" i="10" s="1"/>
  <c r="N418" i="10"/>
  <c r="O418" i="10" s="1"/>
  <c r="M418" i="10"/>
  <c r="K418" i="10"/>
  <c r="G418" i="10"/>
  <c r="P418" i="10" s="1"/>
  <c r="F418" i="10"/>
  <c r="D418" i="10" s="1"/>
  <c r="C418" i="10"/>
  <c r="B418" i="10"/>
  <c r="A418" i="10"/>
  <c r="I418" i="10" s="1"/>
  <c r="N417" i="10"/>
  <c r="O417" i="10" s="1"/>
  <c r="M417" i="10"/>
  <c r="K417" i="10"/>
  <c r="G417" i="10"/>
  <c r="F417" i="10"/>
  <c r="D417" i="10" s="1"/>
  <c r="C417" i="10"/>
  <c r="B417" i="10"/>
  <c r="A417" i="10"/>
  <c r="I417" i="10" s="1"/>
  <c r="M416" i="10"/>
  <c r="K416" i="10"/>
  <c r="F416" i="10"/>
  <c r="D416" i="10" s="1"/>
  <c r="C416" i="10"/>
  <c r="B416" i="10"/>
  <c r="A416" i="10"/>
  <c r="I416" i="10" s="1"/>
  <c r="M415" i="10"/>
  <c r="K415" i="10"/>
  <c r="G415" i="10"/>
  <c r="P415" i="10" s="1"/>
  <c r="F415" i="10"/>
  <c r="D415" i="10" s="1"/>
  <c r="C415" i="10"/>
  <c r="B415" i="10"/>
  <c r="A415" i="10"/>
  <c r="I415" i="10" s="1"/>
  <c r="M414" i="10"/>
  <c r="F414" i="10"/>
  <c r="D414" i="10" s="1"/>
  <c r="C414" i="10"/>
  <c r="B414" i="10"/>
  <c r="A414" i="10"/>
  <c r="L414" i="10" s="1"/>
  <c r="M413" i="10"/>
  <c r="K413" i="10"/>
  <c r="F413" i="10"/>
  <c r="D413" i="10" s="1"/>
  <c r="C413" i="10"/>
  <c r="B413" i="10"/>
  <c r="A413" i="10"/>
  <c r="I413" i="10" s="1"/>
  <c r="N412" i="10"/>
  <c r="O412" i="10" s="1"/>
  <c r="M412" i="10"/>
  <c r="G412" i="10"/>
  <c r="F412" i="10"/>
  <c r="C412" i="10"/>
  <c r="B412" i="10"/>
  <c r="A412" i="10"/>
  <c r="I412" i="10" s="1"/>
  <c r="M411" i="10"/>
  <c r="L411" i="10"/>
  <c r="K411" i="10"/>
  <c r="F411" i="10"/>
  <c r="D411" i="10" s="1"/>
  <c r="C411" i="10"/>
  <c r="B411" i="10"/>
  <c r="A411" i="10"/>
  <c r="N410" i="10"/>
  <c r="O410" i="10" s="1"/>
  <c r="M410" i="10"/>
  <c r="K410" i="10"/>
  <c r="G410" i="10"/>
  <c r="P410" i="10" s="1"/>
  <c r="F410" i="10"/>
  <c r="D410" i="10" s="1"/>
  <c r="C410" i="10"/>
  <c r="B410" i="10"/>
  <c r="A410" i="10"/>
  <c r="I410" i="10" s="1"/>
  <c r="N409" i="10"/>
  <c r="O409" i="10" s="1"/>
  <c r="M409" i="10"/>
  <c r="F409" i="10"/>
  <c r="D409" i="10"/>
  <c r="C409" i="10"/>
  <c r="B409" i="10"/>
  <c r="A409" i="10"/>
  <c r="I409" i="10" s="1"/>
  <c r="M408" i="10"/>
  <c r="L408" i="10"/>
  <c r="K408" i="10"/>
  <c r="F408" i="10"/>
  <c r="D408" i="10"/>
  <c r="C408" i="10"/>
  <c r="B408" i="10"/>
  <c r="A408" i="10"/>
  <c r="M407" i="10"/>
  <c r="F407" i="10"/>
  <c r="D407" i="10" s="1"/>
  <c r="C407" i="10"/>
  <c r="B407" i="10"/>
  <c r="A407" i="10"/>
  <c r="I407" i="10" s="1"/>
  <c r="M406" i="10"/>
  <c r="G406" i="10"/>
  <c r="P406" i="10" s="1"/>
  <c r="F406" i="10"/>
  <c r="D406" i="10" s="1"/>
  <c r="C406" i="10"/>
  <c r="B406" i="10"/>
  <c r="A406" i="10"/>
  <c r="I406" i="10" s="1"/>
  <c r="N405" i="10"/>
  <c r="O405" i="10" s="1"/>
  <c r="M405" i="10"/>
  <c r="F405" i="10"/>
  <c r="D405" i="10"/>
  <c r="C405" i="10"/>
  <c r="B405" i="10"/>
  <c r="A405" i="10"/>
  <c r="I405" i="10" s="1"/>
  <c r="M404" i="10"/>
  <c r="L404" i="10"/>
  <c r="K404" i="10"/>
  <c r="F404" i="10"/>
  <c r="D404" i="10"/>
  <c r="C404" i="10"/>
  <c r="B404" i="10"/>
  <c r="A404" i="10"/>
  <c r="M403" i="10"/>
  <c r="F403" i="10"/>
  <c r="D403" i="10" s="1"/>
  <c r="C403" i="10"/>
  <c r="B403" i="10"/>
  <c r="A403" i="10"/>
  <c r="I403" i="10" s="1"/>
  <c r="M402" i="10"/>
  <c r="G402" i="10"/>
  <c r="F402" i="10"/>
  <c r="C402" i="10"/>
  <c r="B402" i="10"/>
  <c r="A402" i="10"/>
  <c r="I402" i="10" s="1"/>
  <c r="N401" i="10"/>
  <c r="O401" i="10" s="1"/>
  <c r="M401" i="10"/>
  <c r="K401" i="10"/>
  <c r="I401" i="10"/>
  <c r="G401" i="10"/>
  <c r="F401" i="10"/>
  <c r="C401" i="10"/>
  <c r="B401" i="10"/>
  <c r="A401" i="10"/>
  <c r="L401" i="10" s="1"/>
  <c r="N400" i="10"/>
  <c r="O400" i="10" s="1"/>
  <c r="M400" i="10"/>
  <c r="K400" i="10"/>
  <c r="I400" i="10"/>
  <c r="G400" i="10"/>
  <c r="F400" i="10"/>
  <c r="C400" i="10"/>
  <c r="B400" i="10"/>
  <c r="A400" i="10"/>
  <c r="L400" i="10" s="1"/>
  <c r="N399" i="10"/>
  <c r="O399" i="10" s="1"/>
  <c r="M399" i="10"/>
  <c r="K399" i="10"/>
  <c r="I399" i="10"/>
  <c r="G399" i="10"/>
  <c r="F399" i="10"/>
  <c r="D399" i="10"/>
  <c r="C399" i="10"/>
  <c r="B399" i="10"/>
  <c r="A399" i="10"/>
  <c r="L399" i="10" s="1"/>
  <c r="N398" i="10"/>
  <c r="O398" i="10" s="1"/>
  <c r="M398" i="10"/>
  <c r="K398" i="10"/>
  <c r="I398" i="10"/>
  <c r="G398" i="10"/>
  <c r="F398" i="10"/>
  <c r="D398" i="10"/>
  <c r="C398" i="10"/>
  <c r="B398" i="10"/>
  <c r="A398" i="10"/>
  <c r="L398" i="10" s="1"/>
  <c r="N397" i="10"/>
  <c r="O397" i="10" s="1"/>
  <c r="M397" i="10"/>
  <c r="K397" i="10"/>
  <c r="I397" i="10"/>
  <c r="G397" i="10"/>
  <c r="F397" i="10"/>
  <c r="C397" i="10"/>
  <c r="B397" i="10"/>
  <c r="A397" i="10"/>
  <c r="L397" i="10" s="1"/>
  <c r="N396" i="10"/>
  <c r="O396" i="10" s="1"/>
  <c r="M396" i="10"/>
  <c r="K396" i="10"/>
  <c r="I396" i="10"/>
  <c r="G396" i="10"/>
  <c r="F396" i="10"/>
  <c r="C396" i="10"/>
  <c r="B396" i="10"/>
  <c r="A396" i="10"/>
  <c r="L396" i="10" s="1"/>
  <c r="N395" i="10"/>
  <c r="O395" i="10" s="1"/>
  <c r="M395" i="10"/>
  <c r="K395" i="10"/>
  <c r="I395" i="10"/>
  <c r="G395" i="10"/>
  <c r="F395" i="10"/>
  <c r="D395" i="10"/>
  <c r="C395" i="10"/>
  <c r="B395" i="10"/>
  <c r="A395" i="10"/>
  <c r="L395" i="10" s="1"/>
  <c r="N394" i="10"/>
  <c r="O394" i="10" s="1"/>
  <c r="M394" i="10"/>
  <c r="K394" i="10"/>
  <c r="I394" i="10"/>
  <c r="G394" i="10"/>
  <c r="F394" i="10"/>
  <c r="D394" i="10"/>
  <c r="C394" i="10"/>
  <c r="B394" i="10"/>
  <c r="A394" i="10"/>
  <c r="L394" i="10" s="1"/>
  <c r="N393" i="10"/>
  <c r="O393" i="10" s="1"/>
  <c r="M393" i="10"/>
  <c r="K393" i="10"/>
  <c r="I393" i="10"/>
  <c r="G393" i="10"/>
  <c r="F393" i="10"/>
  <c r="C393" i="10"/>
  <c r="B393" i="10"/>
  <c r="A393" i="10"/>
  <c r="L393" i="10" s="1"/>
  <c r="N392" i="10"/>
  <c r="O392" i="10" s="1"/>
  <c r="M392" i="10"/>
  <c r="K392" i="10"/>
  <c r="I392" i="10"/>
  <c r="G392" i="10"/>
  <c r="F392" i="10"/>
  <c r="C392" i="10"/>
  <c r="B392" i="10"/>
  <c r="A392" i="10"/>
  <c r="L392" i="10" s="1"/>
  <c r="N391" i="10"/>
  <c r="O391" i="10" s="1"/>
  <c r="M391" i="10"/>
  <c r="K391" i="10"/>
  <c r="I391" i="10"/>
  <c r="G391" i="10"/>
  <c r="F391" i="10"/>
  <c r="D391" i="10"/>
  <c r="C391" i="10"/>
  <c r="B391" i="10"/>
  <c r="A391" i="10"/>
  <c r="L391" i="10" s="1"/>
  <c r="N390" i="10"/>
  <c r="O390" i="10" s="1"/>
  <c r="M390" i="10"/>
  <c r="K390" i="10"/>
  <c r="I390" i="10"/>
  <c r="G390" i="10"/>
  <c r="F390" i="10"/>
  <c r="D390" i="10"/>
  <c r="C390" i="10"/>
  <c r="B390" i="10"/>
  <c r="A390" i="10"/>
  <c r="L390" i="10" s="1"/>
  <c r="N389" i="10"/>
  <c r="O389" i="10" s="1"/>
  <c r="M389" i="10"/>
  <c r="K389" i="10"/>
  <c r="I389" i="10"/>
  <c r="G389" i="10"/>
  <c r="F389" i="10"/>
  <c r="C389" i="10"/>
  <c r="B389" i="10"/>
  <c r="A389" i="10"/>
  <c r="L389" i="10" s="1"/>
  <c r="N388" i="10"/>
  <c r="O388" i="10" s="1"/>
  <c r="M388" i="10"/>
  <c r="K388" i="10"/>
  <c r="I388" i="10"/>
  <c r="G388" i="10"/>
  <c r="F388" i="10"/>
  <c r="C388" i="10"/>
  <c r="B388" i="10"/>
  <c r="A388" i="10"/>
  <c r="L388" i="10" s="1"/>
  <c r="N387" i="10"/>
  <c r="O387" i="10" s="1"/>
  <c r="M387" i="10"/>
  <c r="K387" i="10"/>
  <c r="I387" i="10"/>
  <c r="G387" i="10"/>
  <c r="F387" i="10"/>
  <c r="D387" i="10"/>
  <c r="C387" i="10"/>
  <c r="B387" i="10"/>
  <c r="A387" i="10"/>
  <c r="L387" i="10" s="1"/>
  <c r="N386" i="10"/>
  <c r="O386" i="10" s="1"/>
  <c r="M386" i="10"/>
  <c r="K386" i="10"/>
  <c r="I386" i="10"/>
  <c r="G386" i="10"/>
  <c r="F386" i="10"/>
  <c r="D386" i="10"/>
  <c r="C386" i="10"/>
  <c r="B386" i="10"/>
  <c r="A386" i="10"/>
  <c r="L386" i="10" s="1"/>
  <c r="N385" i="10"/>
  <c r="O385" i="10" s="1"/>
  <c r="M385" i="10"/>
  <c r="K385" i="10"/>
  <c r="I385" i="10"/>
  <c r="G385" i="10"/>
  <c r="F385" i="10"/>
  <c r="C385" i="10"/>
  <c r="B385" i="10"/>
  <c r="A385" i="10"/>
  <c r="L385" i="10" s="1"/>
  <c r="N384" i="10"/>
  <c r="O384" i="10" s="1"/>
  <c r="M384" i="10"/>
  <c r="K384" i="10"/>
  <c r="I384" i="10"/>
  <c r="G384" i="10"/>
  <c r="F384" i="10"/>
  <c r="C384" i="10"/>
  <c r="B384" i="10"/>
  <c r="A384" i="10"/>
  <c r="L384" i="10" s="1"/>
  <c r="N383" i="10"/>
  <c r="O383" i="10" s="1"/>
  <c r="M383" i="10"/>
  <c r="K383" i="10"/>
  <c r="I383" i="10"/>
  <c r="G383" i="10"/>
  <c r="F383" i="10"/>
  <c r="D383" i="10"/>
  <c r="C383" i="10"/>
  <c r="B383" i="10"/>
  <c r="A383" i="10"/>
  <c r="L383" i="10" s="1"/>
  <c r="N382" i="10"/>
  <c r="O382" i="10" s="1"/>
  <c r="M382" i="10"/>
  <c r="K382" i="10"/>
  <c r="I382" i="10"/>
  <c r="G382" i="10"/>
  <c r="F382" i="10"/>
  <c r="D382" i="10"/>
  <c r="C382" i="10"/>
  <c r="B382" i="10"/>
  <c r="A382" i="10"/>
  <c r="L382" i="10" s="1"/>
  <c r="N381" i="10"/>
  <c r="O381" i="10" s="1"/>
  <c r="M381" i="10"/>
  <c r="K381" i="10"/>
  <c r="I381" i="10"/>
  <c r="G381" i="10"/>
  <c r="F381" i="10"/>
  <c r="C381" i="10"/>
  <c r="B381" i="10"/>
  <c r="A381" i="10"/>
  <c r="L381" i="10" s="1"/>
  <c r="N380" i="10"/>
  <c r="O380" i="10" s="1"/>
  <c r="M380" i="10"/>
  <c r="K380" i="10"/>
  <c r="I380" i="10"/>
  <c r="G380" i="10"/>
  <c r="F380" i="10"/>
  <c r="C380" i="10"/>
  <c r="B380" i="10"/>
  <c r="A380" i="10"/>
  <c r="L380" i="10" s="1"/>
  <c r="N379" i="10"/>
  <c r="O379" i="10" s="1"/>
  <c r="M379" i="10"/>
  <c r="K379" i="10"/>
  <c r="I379" i="10"/>
  <c r="G379" i="10"/>
  <c r="F379" i="10"/>
  <c r="D379" i="10"/>
  <c r="C379" i="10"/>
  <c r="B379" i="10"/>
  <c r="A379" i="10"/>
  <c r="L379" i="10" s="1"/>
  <c r="N378" i="10"/>
  <c r="O378" i="10" s="1"/>
  <c r="M378" i="10"/>
  <c r="K378" i="10"/>
  <c r="I378" i="10"/>
  <c r="G378" i="10"/>
  <c r="F378" i="10"/>
  <c r="D378" i="10"/>
  <c r="C378" i="10"/>
  <c r="B378" i="10"/>
  <c r="A378" i="10"/>
  <c r="L378" i="10" s="1"/>
  <c r="N377" i="10"/>
  <c r="O377" i="10" s="1"/>
  <c r="M377" i="10"/>
  <c r="K377" i="10"/>
  <c r="I377" i="10"/>
  <c r="G377" i="10"/>
  <c r="F377" i="10"/>
  <c r="C377" i="10"/>
  <c r="B377" i="10"/>
  <c r="A377" i="10"/>
  <c r="L377" i="10" s="1"/>
  <c r="N376" i="10"/>
  <c r="O376" i="10" s="1"/>
  <c r="M376" i="10"/>
  <c r="K376" i="10"/>
  <c r="I376" i="10"/>
  <c r="G376" i="10"/>
  <c r="F376" i="10"/>
  <c r="C376" i="10"/>
  <c r="B376" i="10"/>
  <c r="A376" i="10"/>
  <c r="L376" i="10" s="1"/>
  <c r="N375" i="10"/>
  <c r="O375" i="10" s="1"/>
  <c r="M375" i="10"/>
  <c r="K375" i="10"/>
  <c r="I375" i="10"/>
  <c r="G375" i="10"/>
  <c r="F375" i="10"/>
  <c r="D375" i="10"/>
  <c r="C375" i="10"/>
  <c r="B375" i="10"/>
  <c r="A375" i="10"/>
  <c r="L375" i="10" s="1"/>
  <c r="N374" i="10"/>
  <c r="O374" i="10" s="1"/>
  <c r="M374" i="10"/>
  <c r="K374" i="10"/>
  <c r="I374" i="10"/>
  <c r="G374" i="10"/>
  <c r="F374" i="10"/>
  <c r="D374" i="10"/>
  <c r="C374" i="10"/>
  <c r="B374" i="10"/>
  <c r="A374" i="10"/>
  <c r="L374" i="10" s="1"/>
  <c r="N373" i="10"/>
  <c r="O373" i="10" s="1"/>
  <c r="M373" i="10"/>
  <c r="K373" i="10"/>
  <c r="I373" i="10"/>
  <c r="G373" i="10"/>
  <c r="F373" i="10"/>
  <c r="C373" i="10"/>
  <c r="B373" i="10"/>
  <c r="A373" i="10"/>
  <c r="L373" i="10" s="1"/>
  <c r="N372" i="10"/>
  <c r="O372" i="10" s="1"/>
  <c r="M372" i="10"/>
  <c r="K372" i="10"/>
  <c r="I372" i="10"/>
  <c r="G372" i="10"/>
  <c r="F372" i="10"/>
  <c r="C372" i="10"/>
  <c r="B372" i="10"/>
  <c r="A372" i="10"/>
  <c r="L372" i="10" s="1"/>
  <c r="N371" i="10"/>
  <c r="O371" i="10" s="1"/>
  <c r="M371" i="10"/>
  <c r="K371" i="10"/>
  <c r="I371" i="10"/>
  <c r="G371" i="10"/>
  <c r="F371" i="10"/>
  <c r="D371" i="10"/>
  <c r="C371" i="10"/>
  <c r="B371" i="10"/>
  <c r="A371" i="10"/>
  <c r="L371" i="10" s="1"/>
  <c r="N370" i="10"/>
  <c r="O370" i="10" s="1"/>
  <c r="M370" i="10"/>
  <c r="K370" i="10"/>
  <c r="I370" i="10"/>
  <c r="G370" i="10"/>
  <c r="F370" i="10"/>
  <c r="D370" i="10"/>
  <c r="C370" i="10"/>
  <c r="B370" i="10"/>
  <c r="A370" i="10"/>
  <c r="L370" i="10" s="1"/>
  <c r="N369" i="10"/>
  <c r="O369" i="10" s="1"/>
  <c r="M369" i="10"/>
  <c r="L369" i="10"/>
  <c r="J369" i="10" s="1"/>
  <c r="K369" i="10"/>
  <c r="I369" i="10"/>
  <c r="G369" i="10"/>
  <c r="F369" i="10"/>
  <c r="C369" i="10"/>
  <c r="B369" i="10"/>
  <c r="A369" i="10"/>
  <c r="N368" i="10"/>
  <c r="O368" i="10" s="1"/>
  <c r="M368" i="10"/>
  <c r="K368" i="10"/>
  <c r="I368" i="10"/>
  <c r="G368" i="10"/>
  <c r="F368" i="10"/>
  <c r="D368" i="10"/>
  <c r="C368" i="10"/>
  <c r="B368" i="10"/>
  <c r="A368" i="10"/>
  <c r="L368" i="10" s="1"/>
  <c r="N367" i="10"/>
  <c r="O367" i="10" s="1"/>
  <c r="M367" i="10"/>
  <c r="K367" i="10"/>
  <c r="I367" i="10"/>
  <c r="G367" i="10"/>
  <c r="F367" i="10"/>
  <c r="D367" i="10"/>
  <c r="C367" i="10"/>
  <c r="B367" i="10"/>
  <c r="A367" i="10"/>
  <c r="L367" i="10" s="1"/>
  <c r="N366" i="10"/>
  <c r="O366" i="10" s="1"/>
  <c r="M366" i="10"/>
  <c r="K366" i="10"/>
  <c r="I366" i="10"/>
  <c r="G366" i="10"/>
  <c r="F366" i="10"/>
  <c r="C366" i="10"/>
  <c r="B366" i="10"/>
  <c r="A366" i="10"/>
  <c r="L366" i="10" s="1"/>
  <c r="N365" i="10"/>
  <c r="O365" i="10" s="1"/>
  <c r="M365" i="10"/>
  <c r="K365" i="10"/>
  <c r="I365" i="10"/>
  <c r="G365" i="10"/>
  <c r="F365" i="10"/>
  <c r="C365" i="10"/>
  <c r="B365" i="10"/>
  <c r="A365" i="10"/>
  <c r="L365" i="10" s="1"/>
  <c r="N364" i="10"/>
  <c r="O364" i="10" s="1"/>
  <c r="M364" i="10"/>
  <c r="K364" i="10"/>
  <c r="I364" i="10"/>
  <c r="G364" i="10"/>
  <c r="F364" i="10"/>
  <c r="D364" i="10"/>
  <c r="C364" i="10"/>
  <c r="B364" i="10"/>
  <c r="A364" i="10"/>
  <c r="L364" i="10" s="1"/>
  <c r="N363" i="10"/>
  <c r="O363" i="10" s="1"/>
  <c r="M363" i="10"/>
  <c r="K363" i="10"/>
  <c r="I363" i="10"/>
  <c r="G363" i="10"/>
  <c r="F363" i="10"/>
  <c r="D363" i="10"/>
  <c r="C363" i="10"/>
  <c r="B363" i="10"/>
  <c r="A363" i="10"/>
  <c r="L363" i="10" s="1"/>
  <c r="N362" i="10"/>
  <c r="O362" i="10" s="1"/>
  <c r="M362" i="10"/>
  <c r="K362" i="10"/>
  <c r="I362" i="10"/>
  <c r="G362" i="10"/>
  <c r="F362" i="10"/>
  <c r="C362" i="10"/>
  <c r="B362" i="10"/>
  <c r="A362" i="10"/>
  <c r="L362" i="10" s="1"/>
  <c r="N361" i="10"/>
  <c r="O361" i="10" s="1"/>
  <c r="M361" i="10"/>
  <c r="K361" i="10"/>
  <c r="I361" i="10"/>
  <c r="G361" i="10"/>
  <c r="F361" i="10"/>
  <c r="C361" i="10"/>
  <c r="B361" i="10"/>
  <c r="A361" i="10"/>
  <c r="L361" i="10" s="1"/>
  <c r="N360" i="10"/>
  <c r="O360" i="10" s="1"/>
  <c r="M360" i="10"/>
  <c r="K360" i="10"/>
  <c r="I360" i="10"/>
  <c r="G360" i="10"/>
  <c r="F360" i="10"/>
  <c r="D360" i="10"/>
  <c r="C360" i="10"/>
  <c r="B360" i="10"/>
  <c r="A360" i="10"/>
  <c r="L360" i="10" s="1"/>
  <c r="N359" i="10"/>
  <c r="O359" i="10" s="1"/>
  <c r="M359" i="10"/>
  <c r="L359" i="10"/>
  <c r="J359" i="10" s="1"/>
  <c r="K359" i="10"/>
  <c r="I359" i="10"/>
  <c r="G359" i="10"/>
  <c r="F359" i="10"/>
  <c r="C359" i="10"/>
  <c r="B359" i="10"/>
  <c r="A359" i="10"/>
  <c r="N358" i="10"/>
  <c r="O358" i="10" s="1"/>
  <c r="M358" i="10"/>
  <c r="L358" i="10"/>
  <c r="J358" i="10" s="1"/>
  <c r="K358" i="10"/>
  <c r="I358" i="10"/>
  <c r="G358" i="10"/>
  <c r="F358" i="10"/>
  <c r="D358" i="10"/>
  <c r="C358" i="10"/>
  <c r="B358" i="10"/>
  <c r="A358" i="10"/>
  <c r="N357" i="10"/>
  <c r="O357" i="10" s="1"/>
  <c r="M357" i="10"/>
  <c r="K357" i="10"/>
  <c r="I357" i="10"/>
  <c r="G357" i="10"/>
  <c r="F357" i="10"/>
  <c r="D357" i="10"/>
  <c r="C357" i="10"/>
  <c r="B357" i="10"/>
  <c r="A357" i="10"/>
  <c r="L357" i="10" s="1"/>
  <c r="N356" i="10"/>
  <c r="O356" i="10" s="1"/>
  <c r="M356" i="10"/>
  <c r="L356" i="10"/>
  <c r="J356" i="10" s="1"/>
  <c r="K356" i="10"/>
  <c r="I356" i="10"/>
  <c r="G356" i="10"/>
  <c r="F356" i="10"/>
  <c r="C356" i="10"/>
  <c r="B356" i="10"/>
  <c r="A356" i="10"/>
  <c r="N355" i="10"/>
  <c r="O355" i="10" s="1"/>
  <c r="M355" i="10"/>
  <c r="L355" i="10"/>
  <c r="J355" i="10" s="1"/>
  <c r="K355" i="10"/>
  <c r="I355" i="10"/>
  <c r="G355" i="10"/>
  <c r="F355" i="10"/>
  <c r="D355" i="10"/>
  <c r="C355" i="10"/>
  <c r="B355" i="10"/>
  <c r="A355" i="10"/>
  <c r="N354" i="10"/>
  <c r="O354" i="10" s="1"/>
  <c r="M354" i="10"/>
  <c r="L354" i="10"/>
  <c r="J354" i="10" s="1"/>
  <c r="K354" i="10"/>
  <c r="I354" i="10"/>
  <c r="G354" i="10"/>
  <c r="F354" i="10"/>
  <c r="C354" i="10"/>
  <c r="B354" i="10"/>
  <c r="A354" i="10"/>
  <c r="N353" i="10"/>
  <c r="O353" i="10" s="1"/>
  <c r="M353" i="10"/>
  <c r="L353" i="10"/>
  <c r="J353" i="10" s="1"/>
  <c r="K353" i="10"/>
  <c r="I353" i="10"/>
  <c r="G353" i="10"/>
  <c r="F353" i="10"/>
  <c r="D353" i="10"/>
  <c r="C353" i="10"/>
  <c r="B353" i="10"/>
  <c r="A353" i="10"/>
  <c r="N352" i="10"/>
  <c r="O352" i="10" s="1"/>
  <c r="M352" i="10"/>
  <c r="L352" i="10"/>
  <c r="J352" i="10" s="1"/>
  <c r="K352" i="10"/>
  <c r="I352" i="10"/>
  <c r="G352" i="10"/>
  <c r="F352" i="10"/>
  <c r="C352" i="10"/>
  <c r="B352" i="10"/>
  <c r="A352" i="10"/>
  <c r="N351" i="10"/>
  <c r="O351" i="10" s="1"/>
  <c r="M351" i="10"/>
  <c r="L351" i="10"/>
  <c r="J351" i="10" s="1"/>
  <c r="K351" i="10"/>
  <c r="I351" i="10"/>
  <c r="G351" i="10"/>
  <c r="F351" i="10"/>
  <c r="D351" i="10"/>
  <c r="C351" i="10"/>
  <c r="B351" i="10"/>
  <c r="A351" i="10"/>
  <c r="N350" i="10"/>
  <c r="O350" i="10" s="1"/>
  <c r="M350" i="10"/>
  <c r="L350" i="10"/>
  <c r="J350" i="10" s="1"/>
  <c r="K350" i="10"/>
  <c r="I350" i="10"/>
  <c r="G350" i="10"/>
  <c r="F350" i="10"/>
  <c r="C350" i="10"/>
  <c r="B350" i="10"/>
  <c r="A350" i="10"/>
  <c r="N349" i="10"/>
  <c r="O349" i="10" s="1"/>
  <c r="M349" i="10"/>
  <c r="L349" i="10"/>
  <c r="J349" i="10" s="1"/>
  <c r="K349" i="10"/>
  <c r="I349" i="10"/>
  <c r="G349" i="10"/>
  <c r="F349" i="10"/>
  <c r="D349" i="10"/>
  <c r="C349" i="10"/>
  <c r="B349" i="10"/>
  <c r="A349" i="10"/>
  <c r="N348" i="10"/>
  <c r="O348" i="10" s="1"/>
  <c r="M348" i="10"/>
  <c r="L348" i="10"/>
  <c r="K348" i="10"/>
  <c r="I348" i="10"/>
  <c r="G348" i="10"/>
  <c r="F348" i="10"/>
  <c r="C348" i="10"/>
  <c r="B348" i="10"/>
  <c r="A348" i="10"/>
  <c r="N347" i="10"/>
  <c r="O347" i="10" s="1"/>
  <c r="M347" i="10"/>
  <c r="L347" i="10"/>
  <c r="J347" i="10" s="1"/>
  <c r="K347" i="10"/>
  <c r="I347" i="10"/>
  <c r="G347" i="10"/>
  <c r="F347" i="10"/>
  <c r="D347" i="10"/>
  <c r="C347" i="10"/>
  <c r="B347" i="10"/>
  <c r="A347" i="10"/>
  <c r="N346" i="10"/>
  <c r="O346" i="10" s="1"/>
  <c r="M346" i="10"/>
  <c r="L346" i="10"/>
  <c r="J346" i="10" s="1"/>
  <c r="K346" i="10"/>
  <c r="I346" i="10"/>
  <c r="G346" i="10"/>
  <c r="F346" i="10"/>
  <c r="C346" i="10"/>
  <c r="B346" i="10"/>
  <c r="A346" i="10"/>
  <c r="N345" i="10"/>
  <c r="O345" i="10" s="1"/>
  <c r="M345" i="10"/>
  <c r="L345" i="10"/>
  <c r="J345" i="10" s="1"/>
  <c r="K345" i="10"/>
  <c r="I345" i="10"/>
  <c r="G345" i="10"/>
  <c r="F345" i="10"/>
  <c r="D345" i="10"/>
  <c r="C345" i="10"/>
  <c r="B345" i="10"/>
  <c r="A345" i="10"/>
  <c r="N344" i="10"/>
  <c r="O344" i="10" s="1"/>
  <c r="M344" i="10"/>
  <c r="L344" i="10"/>
  <c r="J344" i="10" s="1"/>
  <c r="K344" i="10"/>
  <c r="I344" i="10"/>
  <c r="G344" i="10"/>
  <c r="F344" i="10"/>
  <c r="C344" i="10"/>
  <c r="B344" i="10"/>
  <c r="A344" i="10"/>
  <c r="N343" i="10"/>
  <c r="O343" i="10" s="1"/>
  <c r="M343" i="10"/>
  <c r="L343" i="10"/>
  <c r="J343" i="10" s="1"/>
  <c r="K343" i="10"/>
  <c r="I343" i="10"/>
  <c r="G343" i="10"/>
  <c r="F343" i="10"/>
  <c r="D343" i="10"/>
  <c r="C343" i="10"/>
  <c r="B343" i="10"/>
  <c r="A343" i="10"/>
  <c r="N342" i="10"/>
  <c r="O342" i="10" s="1"/>
  <c r="M342" i="10"/>
  <c r="L342" i="10"/>
  <c r="J342" i="10" s="1"/>
  <c r="K342" i="10"/>
  <c r="I342" i="10"/>
  <c r="G342" i="10"/>
  <c r="F342" i="10"/>
  <c r="C342" i="10"/>
  <c r="B342" i="10"/>
  <c r="A342" i="10"/>
  <c r="N341" i="10"/>
  <c r="O341" i="10" s="1"/>
  <c r="M341" i="10"/>
  <c r="L341" i="10"/>
  <c r="K341" i="10"/>
  <c r="I341" i="10"/>
  <c r="G341" i="10"/>
  <c r="F341" i="10"/>
  <c r="D341" i="10"/>
  <c r="C341" i="10"/>
  <c r="B341" i="10"/>
  <c r="A341" i="10"/>
  <c r="N340" i="10"/>
  <c r="O340" i="10" s="1"/>
  <c r="M340" i="10"/>
  <c r="L340" i="10"/>
  <c r="J340" i="10" s="1"/>
  <c r="K340" i="10"/>
  <c r="I340" i="10"/>
  <c r="G340" i="10"/>
  <c r="F340" i="10"/>
  <c r="C340" i="10"/>
  <c r="B340" i="10"/>
  <c r="A340" i="10"/>
  <c r="N339" i="10"/>
  <c r="O339" i="10" s="1"/>
  <c r="M339" i="10"/>
  <c r="L339" i="10"/>
  <c r="J339" i="10" s="1"/>
  <c r="K339" i="10"/>
  <c r="I339" i="10"/>
  <c r="G339" i="10"/>
  <c r="F339" i="10"/>
  <c r="D339" i="10"/>
  <c r="C339" i="10"/>
  <c r="B339" i="10"/>
  <c r="A339" i="10"/>
  <c r="N338" i="10"/>
  <c r="O338" i="10" s="1"/>
  <c r="M338" i="10"/>
  <c r="L338" i="10"/>
  <c r="J338" i="10" s="1"/>
  <c r="K338" i="10"/>
  <c r="I338" i="10"/>
  <c r="G338" i="10"/>
  <c r="F338" i="10"/>
  <c r="C338" i="10"/>
  <c r="B338" i="10"/>
  <c r="A338" i="10"/>
  <c r="N337" i="10"/>
  <c r="O337" i="10" s="1"/>
  <c r="M337" i="10"/>
  <c r="L337" i="10"/>
  <c r="J337" i="10" s="1"/>
  <c r="K337" i="10"/>
  <c r="I337" i="10"/>
  <c r="G337" i="10"/>
  <c r="F337" i="10"/>
  <c r="D337" i="10"/>
  <c r="C337" i="10"/>
  <c r="B337" i="10"/>
  <c r="A337" i="10"/>
  <c r="N336" i="10"/>
  <c r="O336" i="10" s="1"/>
  <c r="M336" i="10"/>
  <c r="L336" i="10"/>
  <c r="J336" i="10" s="1"/>
  <c r="K336" i="10"/>
  <c r="I336" i="10"/>
  <c r="G336" i="10"/>
  <c r="F336" i="10"/>
  <c r="C336" i="10"/>
  <c r="B336" i="10"/>
  <c r="A336" i="10"/>
  <c r="N335" i="10"/>
  <c r="O335" i="10" s="1"/>
  <c r="M335" i="10"/>
  <c r="L335" i="10"/>
  <c r="J335" i="10" s="1"/>
  <c r="K335" i="10"/>
  <c r="I335" i="10"/>
  <c r="G335" i="10"/>
  <c r="F335" i="10"/>
  <c r="D335" i="10"/>
  <c r="C335" i="10"/>
  <c r="B335" i="10"/>
  <c r="A335" i="10"/>
  <c r="N334" i="10"/>
  <c r="O334" i="10" s="1"/>
  <c r="M334" i="10"/>
  <c r="L334" i="10"/>
  <c r="J334" i="10" s="1"/>
  <c r="K334" i="10"/>
  <c r="I334" i="10"/>
  <c r="G334" i="10"/>
  <c r="F334" i="10"/>
  <c r="C334" i="10"/>
  <c r="B334" i="10"/>
  <c r="A334" i="10"/>
  <c r="N333" i="10"/>
  <c r="O333" i="10" s="1"/>
  <c r="M333" i="10"/>
  <c r="L333" i="10"/>
  <c r="J333" i="10" s="1"/>
  <c r="K333" i="10"/>
  <c r="I333" i="10"/>
  <c r="G333" i="10"/>
  <c r="F333" i="10"/>
  <c r="D333" i="10"/>
  <c r="C333" i="10"/>
  <c r="B333" i="10"/>
  <c r="A333" i="10"/>
  <c r="N332" i="10"/>
  <c r="O332" i="10" s="1"/>
  <c r="M332" i="10"/>
  <c r="L332" i="10"/>
  <c r="K332" i="10"/>
  <c r="I332" i="10"/>
  <c r="G332" i="10"/>
  <c r="F332" i="10"/>
  <c r="C332" i="10"/>
  <c r="B332" i="10"/>
  <c r="A332" i="10"/>
  <c r="N331" i="10"/>
  <c r="O331" i="10" s="1"/>
  <c r="M331" i="10"/>
  <c r="L331" i="10"/>
  <c r="J331" i="10" s="1"/>
  <c r="K331" i="10"/>
  <c r="I331" i="10"/>
  <c r="G331" i="10"/>
  <c r="F331" i="10"/>
  <c r="D331" i="10"/>
  <c r="C331" i="10"/>
  <c r="B331" i="10"/>
  <c r="A331" i="10"/>
  <c r="N330" i="10"/>
  <c r="O330" i="10" s="1"/>
  <c r="M330" i="10"/>
  <c r="L330" i="10"/>
  <c r="K330" i="10"/>
  <c r="I330" i="10"/>
  <c r="G330" i="10"/>
  <c r="F330" i="10"/>
  <c r="C330" i="10"/>
  <c r="B330" i="10"/>
  <c r="A330" i="10"/>
  <c r="N329" i="10"/>
  <c r="O329" i="10" s="1"/>
  <c r="M329" i="10"/>
  <c r="L329" i="10"/>
  <c r="J329" i="10" s="1"/>
  <c r="K329" i="10"/>
  <c r="I329" i="10"/>
  <c r="G329" i="10"/>
  <c r="F329" i="10"/>
  <c r="D329" i="10"/>
  <c r="C329" i="10"/>
  <c r="B329" i="10"/>
  <c r="A329" i="10"/>
  <c r="N328" i="10"/>
  <c r="O328" i="10" s="1"/>
  <c r="M328" i="10"/>
  <c r="L328" i="10"/>
  <c r="J328" i="10" s="1"/>
  <c r="K328" i="10"/>
  <c r="I328" i="10"/>
  <c r="G328" i="10"/>
  <c r="F328" i="10"/>
  <c r="C328" i="10"/>
  <c r="B328" i="10"/>
  <c r="A328" i="10"/>
  <c r="N327" i="10"/>
  <c r="O327" i="10" s="1"/>
  <c r="M327" i="10"/>
  <c r="L327" i="10"/>
  <c r="J327" i="10" s="1"/>
  <c r="K327" i="10"/>
  <c r="I327" i="10"/>
  <c r="G327" i="10"/>
  <c r="F327" i="10"/>
  <c r="D327" i="10"/>
  <c r="C327" i="10"/>
  <c r="B327" i="10"/>
  <c r="A327" i="10"/>
  <c r="N326" i="10"/>
  <c r="O326" i="10" s="1"/>
  <c r="M326" i="10"/>
  <c r="L326" i="10"/>
  <c r="J326" i="10" s="1"/>
  <c r="K326" i="10"/>
  <c r="I326" i="10"/>
  <c r="G326" i="10"/>
  <c r="F326" i="10"/>
  <c r="C326" i="10"/>
  <c r="B326" i="10"/>
  <c r="A326" i="10"/>
  <c r="N325" i="10"/>
  <c r="O325" i="10" s="1"/>
  <c r="M325" i="10"/>
  <c r="L325" i="10"/>
  <c r="K325" i="10"/>
  <c r="I325" i="10"/>
  <c r="G325" i="10"/>
  <c r="F325" i="10"/>
  <c r="D325" i="10"/>
  <c r="C325" i="10"/>
  <c r="B325" i="10"/>
  <c r="A325" i="10"/>
  <c r="N324" i="10"/>
  <c r="O324" i="10" s="1"/>
  <c r="M324" i="10"/>
  <c r="L324" i="10"/>
  <c r="J324" i="10" s="1"/>
  <c r="K324" i="10"/>
  <c r="I324" i="10"/>
  <c r="G324" i="10"/>
  <c r="F324" i="10"/>
  <c r="C324" i="10"/>
  <c r="B324" i="10"/>
  <c r="A324" i="10"/>
  <c r="N323" i="10"/>
  <c r="O323" i="10" s="1"/>
  <c r="M323" i="10"/>
  <c r="L323" i="10"/>
  <c r="K323" i="10"/>
  <c r="I323" i="10"/>
  <c r="G323" i="10"/>
  <c r="F323" i="10"/>
  <c r="D323" i="10"/>
  <c r="C323" i="10"/>
  <c r="B323" i="10"/>
  <c r="A323" i="10"/>
  <c r="N322" i="10"/>
  <c r="O322" i="10" s="1"/>
  <c r="M322" i="10"/>
  <c r="L322" i="10"/>
  <c r="J322" i="10" s="1"/>
  <c r="K322" i="10"/>
  <c r="I322" i="10"/>
  <c r="G322" i="10"/>
  <c r="F322" i="10"/>
  <c r="C322" i="10"/>
  <c r="B322" i="10"/>
  <c r="A322" i="10"/>
  <c r="N321" i="10"/>
  <c r="O321" i="10" s="1"/>
  <c r="M321" i="10"/>
  <c r="L321" i="10"/>
  <c r="J321" i="10" s="1"/>
  <c r="K321" i="10"/>
  <c r="I321" i="10"/>
  <c r="G321" i="10"/>
  <c r="F321" i="10"/>
  <c r="D321" i="10"/>
  <c r="C321" i="10"/>
  <c r="B321" i="10"/>
  <c r="A321" i="10"/>
  <c r="N320" i="10"/>
  <c r="O320" i="10" s="1"/>
  <c r="M320" i="10"/>
  <c r="L320" i="10"/>
  <c r="J320" i="10" s="1"/>
  <c r="K320" i="10"/>
  <c r="I320" i="10"/>
  <c r="G320" i="10"/>
  <c r="F320" i="10"/>
  <c r="C320" i="10"/>
  <c r="B320" i="10"/>
  <c r="A320" i="10"/>
  <c r="N319" i="10"/>
  <c r="O319" i="10" s="1"/>
  <c r="M319" i="10"/>
  <c r="L319" i="10"/>
  <c r="J319" i="10" s="1"/>
  <c r="K319" i="10"/>
  <c r="I319" i="10"/>
  <c r="G319" i="10"/>
  <c r="F319" i="10"/>
  <c r="D319" i="10"/>
  <c r="C319" i="10"/>
  <c r="B319" i="10"/>
  <c r="A319" i="10"/>
  <c r="N318" i="10"/>
  <c r="O318" i="10" s="1"/>
  <c r="M318" i="10"/>
  <c r="L318" i="10"/>
  <c r="J318" i="10" s="1"/>
  <c r="K318" i="10"/>
  <c r="I318" i="10"/>
  <c r="G318" i="10"/>
  <c r="F318" i="10"/>
  <c r="C318" i="10"/>
  <c r="B318" i="10"/>
  <c r="A318" i="10"/>
  <c r="N317" i="10"/>
  <c r="O317" i="10" s="1"/>
  <c r="M317" i="10"/>
  <c r="L317" i="10"/>
  <c r="J317" i="10" s="1"/>
  <c r="K317" i="10"/>
  <c r="I317" i="10"/>
  <c r="G317" i="10"/>
  <c r="F317" i="10"/>
  <c r="D317" i="10"/>
  <c r="C317" i="10"/>
  <c r="B317" i="10"/>
  <c r="A317" i="10"/>
  <c r="N316" i="10"/>
  <c r="O316" i="10" s="1"/>
  <c r="M316" i="10"/>
  <c r="L316" i="10"/>
  <c r="K316" i="10"/>
  <c r="I316" i="10"/>
  <c r="G316" i="10"/>
  <c r="F316" i="10"/>
  <c r="C316" i="10"/>
  <c r="B316" i="10"/>
  <c r="A316" i="10"/>
  <c r="N315" i="10"/>
  <c r="O315" i="10" s="1"/>
  <c r="M315" i="10"/>
  <c r="L315" i="10"/>
  <c r="J315" i="10" s="1"/>
  <c r="K315" i="10"/>
  <c r="I315" i="10"/>
  <c r="G315" i="10"/>
  <c r="F315" i="10"/>
  <c r="D315" i="10"/>
  <c r="C315" i="10"/>
  <c r="B315" i="10"/>
  <c r="A315" i="10"/>
  <c r="N314" i="10"/>
  <c r="O314" i="10" s="1"/>
  <c r="M314" i="10"/>
  <c r="L314" i="10"/>
  <c r="K314" i="10"/>
  <c r="I314" i="10"/>
  <c r="G314" i="10"/>
  <c r="F314" i="10"/>
  <c r="C314" i="10"/>
  <c r="B314" i="10"/>
  <c r="A314" i="10"/>
  <c r="N313" i="10"/>
  <c r="O313" i="10" s="1"/>
  <c r="M313" i="10"/>
  <c r="L313" i="10"/>
  <c r="J313" i="10" s="1"/>
  <c r="K313" i="10"/>
  <c r="I313" i="10"/>
  <c r="G313" i="10"/>
  <c r="F313" i="10"/>
  <c r="D313" i="10"/>
  <c r="C313" i="10"/>
  <c r="B313" i="10"/>
  <c r="A313" i="10"/>
  <c r="N312" i="10"/>
  <c r="O312" i="10" s="1"/>
  <c r="M312" i="10"/>
  <c r="L312" i="10"/>
  <c r="J312" i="10" s="1"/>
  <c r="K312" i="10"/>
  <c r="I312" i="10"/>
  <c r="G312" i="10"/>
  <c r="F312" i="10"/>
  <c r="C312" i="10"/>
  <c r="B312" i="10"/>
  <c r="A312" i="10"/>
  <c r="N311" i="10"/>
  <c r="O311" i="10" s="1"/>
  <c r="M311" i="10"/>
  <c r="L311" i="10"/>
  <c r="J311" i="10" s="1"/>
  <c r="K311" i="10"/>
  <c r="I311" i="10"/>
  <c r="G311" i="10"/>
  <c r="F311" i="10"/>
  <c r="D311" i="10"/>
  <c r="C311" i="10"/>
  <c r="B311" i="10"/>
  <c r="A311" i="10"/>
  <c r="N310" i="10"/>
  <c r="O310" i="10" s="1"/>
  <c r="M310" i="10"/>
  <c r="L310" i="10"/>
  <c r="J310" i="10" s="1"/>
  <c r="K310" i="10"/>
  <c r="I310" i="10"/>
  <c r="G310" i="10"/>
  <c r="F310" i="10"/>
  <c r="C310" i="10"/>
  <c r="B310" i="10"/>
  <c r="A310" i="10"/>
  <c r="N309" i="10"/>
  <c r="O309" i="10" s="1"/>
  <c r="M309" i="10"/>
  <c r="L309" i="10"/>
  <c r="K309" i="10"/>
  <c r="I309" i="10"/>
  <c r="G309" i="10"/>
  <c r="F309" i="10"/>
  <c r="D309" i="10"/>
  <c r="C309" i="10"/>
  <c r="B309" i="10"/>
  <c r="A309" i="10"/>
  <c r="N308" i="10"/>
  <c r="O308" i="10" s="1"/>
  <c r="M308" i="10"/>
  <c r="L308" i="10"/>
  <c r="J308" i="10" s="1"/>
  <c r="K308" i="10"/>
  <c r="I308" i="10"/>
  <c r="G308" i="10"/>
  <c r="F308" i="10"/>
  <c r="C308" i="10"/>
  <c r="B308" i="10"/>
  <c r="A308" i="10"/>
  <c r="N307" i="10"/>
  <c r="O307" i="10" s="1"/>
  <c r="M307" i="10"/>
  <c r="L307" i="10"/>
  <c r="K307" i="10"/>
  <c r="I307" i="10"/>
  <c r="G307" i="10"/>
  <c r="F307" i="10"/>
  <c r="D307" i="10"/>
  <c r="C307" i="10"/>
  <c r="B307" i="10"/>
  <c r="A307" i="10"/>
  <c r="N306" i="10"/>
  <c r="O306" i="10" s="1"/>
  <c r="M306" i="10"/>
  <c r="L306" i="10"/>
  <c r="J306" i="10" s="1"/>
  <c r="K306" i="10"/>
  <c r="I306" i="10"/>
  <c r="G306" i="10"/>
  <c r="F306" i="10"/>
  <c r="C306" i="10"/>
  <c r="B306" i="10"/>
  <c r="A306" i="10"/>
  <c r="N305" i="10"/>
  <c r="O305" i="10" s="1"/>
  <c r="M305" i="10"/>
  <c r="L305" i="10"/>
  <c r="J305" i="10" s="1"/>
  <c r="K305" i="10"/>
  <c r="I305" i="10"/>
  <c r="G305" i="10"/>
  <c r="F305" i="10"/>
  <c r="D305" i="10"/>
  <c r="C305" i="10"/>
  <c r="B305" i="10"/>
  <c r="A305" i="10"/>
  <c r="N304" i="10"/>
  <c r="O304" i="10" s="1"/>
  <c r="M304" i="10"/>
  <c r="L304" i="10"/>
  <c r="J304" i="10" s="1"/>
  <c r="K304" i="10"/>
  <c r="I304" i="10"/>
  <c r="G304" i="10"/>
  <c r="F304" i="10"/>
  <c r="C304" i="10"/>
  <c r="B304" i="10"/>
  <c r="A304" i="10"/>
  <c r="N303" i="10"/>
  <c r="O303" i="10" s="1"/>
  <c r="M303" i="10"/>
  <c r="L303" i="10"/>
  <c r="J303" i="10" s="1"/>
  <c r="K303" i="10"/>
  <c r="I303" i="10"/>
  <c r="G303" i="10"/>
  <c r="F303" i="10"/>
  <c r="D303" i="10"/>
  <c r="C303" i="10"/>
  <c r="B303" i="10"/>
  <c r="A303" i="10"/>
  <c r="N302" i="10"/>
  <c r="O302" i="10" s="1"/>
  <c r="M302" i="10"/>
  <c r="L302" i="10"/>
  <c r="J302" i="10" s="1"/>
  <c r="K302" i="10"/>
  <c r="I302" i="10"/>
  <c r="G302" i="10"/>
  <c r="F302" i="10"/>
  <c r="D302" i="10"/>
  <c r="C302" i="10"/>
  <c r="B302" i="10"/>
  <c r="A302" i="10"/>
  <c r="N301" i="10"/>
  <c r="O301" i="10" s="1"/>
  <c r="M301" i="10"/>
  <c r="L301" i="10"/>
  <c r="J301" i="10" s="1"/>
  <c r="K301" i="10"/>
  <c r="I301" i="10"/>
  <c r="G301" i="10"/>
  <c r="F301" i="10"/>
  <c r="D301" i="10" s="1"/>
  <c r="C301" i="10"/>
  <c r="B301" i="10"/>
  <c r="A301" i="10"/>
  <c r="N300" i="10"/>
  <c r="O300" i="10" s="1"/>
  <c r="M300" i="10"/>
  <c r="L300" i="10"/>
  <c r="K300" i="10"/>
  <c r="I300" i="10"/>
  <c r="G300" i="10"/>
  <c r="F300" i="10"/>
  <c r="D300" i="10"/>
  <c r="C300" i="10"/>
  <c r="B300" i="10"/>
  <c r="A300" i="10"/>
  <c r="N299" i="10"/>
  <c r="O299" i="10" s="1"/>
  <c r="M299" i="10"/>
  <c r="L299" i="10"/>
  <c r="J299" i="10" s="1"/>
  <c r="K299" i="10"/>
  <c r="I299" i="10"/>
  <c r="G299" i="10"/>
  <c r="F299" i="10"/>
  <c r="C299" i="10"/>
  <c r="B299" i="10"/>
  <c r="A299" i="10"/>
  <c r="N298" i="10"/>
  <c r="O298" i="10" s="1"/>
  <c r="M298" i="10"/>
  <c r="L298" i="10"/>
  <c r="K298" i="10"/>
  <c r="I298" i="10"/>
  <c r="G298" i="10"/>
  <c r="F298" i="10"/>
  <c r="D298" i="10"/>
  <c r="C298" i="10"/>
  <c r="B298" i="10"/>
  <c r="A298" i="10"/>
  <c r="N297" i="10"/>
  <c r="O297" i="10" s="1"/>
  <c r="M297" i="10"/>
  <c r="L297" i="10"/>
  <c r="J297" i="10" s="1"/>
  <c r="K297" i="10"/>
  <c r="I297" i="10"/>
  <c r="G297" i="10"/>
  <c r="F297" i="10"/>
  <c r="D297" i="10"/>
  <c r="C297" i="10"/>
  <c r="B297" i="10"/>
  <c r="A297" i="10"/>
  <c r="N296" i="10"/>
  <c r="O296" i="10" s="1"/>
  <c r="M296" i="10"/>
  <c r="L296" i="10"/>
  <c r="K296" i="10"/>
  <c r="I296" i="10"/>
  <c r="G296" i="10"/>
  <c r="F296" i="10"/>
  <c r="C296" i="10"/>
  <c r="B296" i="10"/>
  <c r="A296" i="10"/>
  <c r="N295" i="10"/>
  <c r="O295" i="10" s="1"/>
  <c r="M295" i="10"/>
  <c r="L295" i="10"/>
  <c r="J295" i="10" s="1"/>
  <c r="K295" i="10"/>
  <c r="I295" i="10"/>
  <c r="G295" i="10"/>
  <c r="F295" i="10"/>
  <c r="D295" i="10" s="1"/>
  <c r="C295" i="10"/>
  <c r="B295" i="10"/>
  <c r="A295" i="10"/>
  <c r="N294" i="10"/>
  <c r="O294" i="10" s="1"/>
  <c r="M294" i="10"/>
  <c r="L294" i="10"/>
  <c r="J294" i="10" s="1"/>
  <c r="K294" i="10"/>
  <c r="I294" i="10"/>
  <c r="G294" i="10"/>
  <c r="F294" i="10"/>
  <c r="D294" i="10"/>
  <c r="C294" i="10"/>
  <c r="B294" i="10"/>
  <c r="A294" i="10"/>
  <c r="N293" i="10"/>
  <c r="O293" i="10" s="1"/>
  <c r="M293" i="10"/>
  <c r="L293" i="10"/>
  <c r="J293" i="10" s="1"/>
  <c r="K293" i="10"/>
  <c r="I293" i="10"/>
  <c r="G293" i="10"/>
  <c r="F293" i="10"/>
  <c r="D293" i="10"/>
  <c r="C293" i="10"/>
  <c r="B293" i="10"/>
  <c r="A293" i="10"/>
  <c r="N292" i="10"/>
  <c r="O292" i="10" s="1"/>
  <c r="M292" i="10"/>
  <c r="L292" i="10"/>
  <c r="J292" i="10" s="1"/>
  <c r="K292" i="10"/>
  <c r="I292" i="10"/>
  <c r="G292" i="10"/>
  <c r="F292" i="10"/>
  <c r="C292" i="10"/>
  <c r="B292" i="10"/>
  <c r="A292" i="10"/>
  <c r="N291" i="10"/>
  <c r="O291" i="10" s="1"/>
  <c r="M291" i="10"/>
  <c r="L291" i="10"/>
  <c r="J291" i="10" s="1"/>
  <c r="K291" i="10"/>
  <c r="I291" i="10"/>
  <c r="G291" i="10"/>
  <c r="F291" i="10"/>
  <c r="D291" i="10" s="1"/>
  <c r="C291" i="10"/>
  <c r="B291" i="10"/>
  <c r="A291" i="10"/>
  <c r="N290" i="10"/>
  <c r="O290" i="10" s="1"/>
  <c r="M290" i="10"/>
  <c r="L290" i="10"/>
  <c r="J290" i="10" s="1"/>
  <c r="K290" i="10"/>
  <c r="I290" i="10"/>
  <c r="G290" i="10"/>
  <c r="F290" i="10"/>
  <c r="D290" i="10"/>
  <c r="C290" i="10"/>
  <c r="B290" i="10"/>
  <c r="A290" i="10"/>
  <c r="N289" i="10"/>
  <c r="O289" i="10" s="1"/>
  <c r="M289" i="10"/>
  <c r="L289" i="10"/>
  <c r="J289" i="10" s="1"/>
  <c r="K289" i="10"/>
  <c r="I289" i="10"/>
  <c r="G289" i="10"/>
  <c r="F289" i="10"/>
  <c r="D289" i="10"/>
  <c r="C289" i="10"/>
  <c r="B289" i="10"/>
  <c r="A289" i="10"/>
  <c r="N288" i="10"/>
  <c r="O288" i="10" s="1"/>
  <c r="M288" i="10"/>
  <c r="L288" i="10"/>
  <c r="J288" i="10" s="1"/>
  <c r="K288" i="10"/>
  <c r="I288" i="10"/>
  <c r="G288" i="10"/>
  <c r="F288" i="10"/>
  <c r="C288" i="10"/>
  <c r="B288" i="10"/>
  <c r="A288" i="10"/>
  <c r="N287" i="10"/>
  <c r="M287" i="10"/>
  <c r="L287" i="10"/>
  <c r="J287" i="10" s="1"/>
  <c r="K287" i="10"/>
  <c r="I287" i="10"/>
  <c r="G287" i="10"/>
  <c r="F287" i="10"/>
  <c r="D287" i="10" s="1"/>
  <c r="C287" i="10"/>
  <c r="B287" i="10"/>
  <c r="A287" i="10"/>
  <c r="N286" i="10"/>
  <c r="O286" i="10" s="1"/>
  <c r="M286" i="10"/>
  <c r="K286" i="10"/>
  <c r="I286" i="10"/>
  <c r="G286" i="10"/>
  <c r="F286" i="10"/>
  <c r="C286" i="10"/>
  <c r="B286" i="10"/>
  <c r="A286" i="10"/>
  <c r="L286" i="10" s="1"/>
  <c r="J286" i="10" s="1"/>
  <c r="N285" i="10"/>
  <c r="O285" i="10" s="1"/>
  <c r="M285" i="10"/>
  <c r="K285" i="10"/>
  <c r="I285" i="10"/>
  <c r="G285" i="10"/>
  <c r="F285" i="10"/>
  <c r="C285" i="10"/>
  <c r="B285" i="10"/>
  <c r="A285" i="10"/>
  <c r="L285" i="10" s="1"/>
  <c r="J285" i="10" s="1"/>
  <c r="N284" i="10"/>
  <c r="M284" i="10"/>
  <c r="K284" i="10"/>
  <c r="I284" i="10"/>
  <c r="G284" i="10"/>
  <c r="F284" i="10"/>
  <c r="D284" i="10" s="1"/>
  <c r="C284" i="10"/>
  <c r="B284" i="10"/>
  <c r="A284" i="10"/>
  <c r="L284" i="10" s="1"/>
  <c r="N283" i="10"/>
  <c r="Q283" i="10" s="1"/>
  <c r="M283" i="10"/>
  <c r="K283" i="10"/>
  <c r="I283" i="10"/>
  <c r="G283" i="10"/>
  <c r="F283" i="10"/>
  <c r="D283" i="10"/>
  <c r="C283" i="10"/>
  <c r="B283" i="10"/>
  <c r="A283" i="10"/>
  <c r="L283" i="10" s="1"/>
  <c r="J283" i="10" s="1"/>
  <c r="N282" i="10"/>
  <c r="O282" i="10" s="1"/>
  <c r="M282" i="10"/>
  <c r="K282" i="10"/>
  <c r="I282" i="10"/>
  <c r="G282" i="10"/>
  <c r="F282" i="10"/>
  <c r="D282" i="10"/>
  <c r="C282" i="10"/>
  <c r="B282" i="10"/>
  <c r="A282" i="10"/>
  <c r="L282" i="10" s="1"/>
  <c r="N281" i="10"/>
  <c r="O281" i="10" s="1"/>
  <c r="M281" i="10"/>
  <c r="K281" i="10"/>
  <c r="I281" i="10"/>
  <c r="G281" i="10"/>
  <c r="F281" i="10"/>
  <c r="C281" i="10"/>
  <c r="B281" i="10"/>
  <c r="A281" i="10"/>
  <c r="L281" i="10" s="1"/>
  <c r="J281" i="10" s="1"/>
  <c r="N280" i="10"/>
  <c r="O280" i="10" s="1"/>
  <c r="M280" i="10"/>
  <c r="K280" i="10"/>
  <c r="I280" i="10"/>
  <c r="G280" i="10"/>
  <c r="P280" i="10" s="1"/>
  <c r="F280" i="10"/>
  <c r="D280" i="10" s="1"/>
  <c r="C280" i="10"/>
  <c r="B280" i="10"/>
  <c r="A280" i="10"/>
  <c r="L280" i="10" s="1"/>
  <c r="J280" i="10" s="1"/>
  <c r="N279" i="10"/>
  <c r="M279" i="10"/>
  <c r="K279" i="10"/>
  <c r="I279" i="10"/>
  <c r="G279" i="10"/>
  <c r="F279" i="10"/>
  <c r="D279" i="10"/>
  <c r="C279" i="10"/>
  <c r="B279" i="10"/>
  <c r="A279" i="10"/>
  <c r="L279" i="10" s="1"/>
  <c r="J279" i="10" s="1"/>
  <c r="N278" i="10"/>
  <c r="O278" i="10" s="1"/>
  <c r="M278" i="10"/>
  <c r="K278" i="10"/>
  <c r="I278" i="10"/>
  <c r="G278" i="10"/>
  <c r="F278" i="10"/>
  <c r="D278" i="10"/>
  <c r="C278" i="10"/>
  <c r="B278" i="10"/>
  <c r="A278" i="10"/>
  <c r="L278" i="10" s="1"/>
  <c r="N277" i="10"/>
  <c r="O277" i="10" s="1"/>
  <c r="M277" i="10"/>
  <c r="K277" i="10"/>
  <c r="I277" i="10"/>
  <c r="G277" i="10"/>
  <c r="F277" i="10"/>
  <c r="C277" i="10"/>
  <c r="B277" i="10"/>
  <c r="A277" i="10"/>
  <c r="L277" i="10" s="1"/>
  <c r="J277" i="10" s="1"/>
  <c r="N276" i="10"/>
  <c r="O276" i="10" s="1"/>
  <c r="M276" i="10"/>
  <c r="K276" i="10"/>
  <c r="I276" i="10"/>
  <c r="G276" i="10"/>
  <c r="F276" i="10"/>
  <c r="D276" i="10" s="1"/>
  <c r="C276" i="10"/>
  <c r="B276" i="10"/>
  <c r="A276" i="10"/>
  <c r="L276" i="10" s="1"/>
  <c r="J276" i="10" s="1"/>
  <c r="N275" i="10"/>
  <c r="M275" i="10"/>
  <c r="K275" i="10"/>
  <c r="I275" i="10"/>
  <c r="G275" i="10"/>
  <c r="F275" i="10"/>
  <c r="D275" i="10"/>
  <c r="C275" i="10"/>
  <c r="B275" i="10"/>
  <c r="A275" i="10"/>
  <c r="L275" i="10" s="1"/>
  <c r="J275" i="10" s="1"/>
  <c r="N274" i="10"/>
  <c r="O274" i="10" s="1"/>
  <c r="M274" i="10"/>
  <c r="K274" i="10"/>
  <c r="I274" i="10"/>
  <c r="G274" i="10"/>
  <c r="F274" i="10"/>
  <c r="D274" i="10"/>
  <c r="C274" i="10"/>
  <c r="B274" i="10"/>
  <c r="A274" i="10"/>
  <c r="L274" i="10" s="1"/>
  <c r="N273" i="10"/>
  <c r="O273" i="10" s="1"/>
  <c r="M273" i="10"/>
  <c r="K273" i="10"/>
  <c r="I273" i="10"/>
  <c r="G273" i="10"/>
  <c r="F273" i="10"/>
  <c r="C273" i="10"/>
  <c r="B273" i="10"/>
  <c r="A273" i="10"/>
  <c r="L273" i="10" s="1"/>
  <c r="J273" i="10" s="1"/>
  <c r="N272" i="10"/>
  <c r="M272" i="10"/>
  <c r="K272" i="10"/>
  <c r="I272" i="10"/>
  <c r="G272" i="10"/>
  <c r="F272" i="10"/>
  <c r="C272" i="10"/>
  <c r="B272" i="10"/>
  <c r="A272" i="10"/>
  <c r="L272" i="10" s="1"/>
  <c r="J272" i="10" s="1"/>
  <c r="N271" i="10"/>
  <c r="Q271" i="10" s="1"/>
  <c r="M271" i="10"/>
  <c r="K271" i="10"/>
  <c r="I271" i="10"/>
  <c r="G271" i="10"/>
  <c r="F271" i="10"/>
  <c r="D271" i="10"/>
  <c r="C271" i="10"/>
  <c r="B271" i="10"/>
  <c r="A271" i="10"/>
  <c r="L271" i="10" s="1"/>
  <c r="N270" i="10"/>
  <c r="O270" i="10" s="1"/>
  <c r="M270" i="10"/>
  <c r="K270" i="10"/>
  <c r="I270" i="10"/>
  <c r="G270" i="10"/>
  <c r="F270" i="10"/>
  <c r="D270" i="10"/>
  <c r="C270" i="10"/>
  <c r="B270" i="10"/>
  <c r="A270" i="10"/>
  <c r="L270" i="10" s="1"/>
  <c r="N269" i="10"/>
  <c r="O269" i="10" s="1"/>
  <c r="M269" i="10"/>
  <c r="K269" i="10"/>
  <c r="I269" i="10"/>
  <c r="G269" i="10"/>
  <c r="F269" i="10"/>
  <c r="C269" i="10"/>
  <c r="B269" i="10"/>
  <c r="A269" i="10"/>
  <c r="L269" i="10" s="1"/>
  <c r="J269" i="10" s="1"/>
  <c r="N268" i="10"/>
  <c r="O268" i="10" s="1"/>
  <c r="M268" i="10"/>
  <c r="K268" i="10"/>
  <c r="I268" i="10"/>
  <c r="G268" i="10"/>
  <c r="F268" i="10"/>
  <c r="D268" i="10" s="1"/>
  <c r="C268" i="10"/>
  <c r="B268" i="10"/>
  <c r="A268" i="10"/>
  <c r="L268" i="10" s="1"/>
  <c r="J268" i="10" s="1"/>
  <c r="N267" i="10"/>
  <c r="M267" i="10"/>
  <c r="K267" i="10"/>
  <c r="I267" i="10"/>
  <c r="G267" i="10"/>
  <c r="F267" i="10"/>
  <c r="D267" i="10"/>
  <c r="C267" i="10"/>
  <c r="B267" i="10"/>
  <c r="A267" i="10"/>
  <c r="L267" i="10" s="1"/>
  <c r="J267" i="10" s="1"/>
  <c r="N266" i="10"/>
  <c r="O266" i="10" s="1"/>
  <c r="M266" i="10"/>
  <c r="K266" i="10"/>
  <c r="I266" i="10"/>
  <c r="G266" i="10"/>
  <c r="F266" i="10"/>
  <c r="D266" i="10"/>
  <c r="C266" i="10"/>
  <c r="B266" i="10"/>
  <c r="A266" i="10"/>
  <c r="L266" i="10" s="1"/>
  <c r="N265" i="10"/>
  <c r="O265" i="10" s="1"/>
  <c r="M265" i="10"/>
  <c r="K265" i="10"/>
  <c r="I265" i="10"/>
  <c r="G265" i="10"/>
  <c r="F265" i="10"/>
  <c r="C265" i="10"/>
  <c r="B265" i="10"/>
  <c r="A265" i="10"/>
  <c r="L265" i="10" s="1"/>
  <c r="J265" i="10" s="1"/>
  <c r="N264" i="10"/>
  <c r="O264" i="10" s="1"/>
  <c r="M264" i="10"/>
  <c r="K264" i="10"/>
  <c r="I264" i="10"/>
  <c r="G264" i="10"/>
  <c r="F264" i="10"/>
  <c r="C264" i="10"/>
  <c r="B264" i="10"/>
  <c r="A264" i="10"/>
  <c r="L264" i="10" s="1"/>
  <c r="J264" i="10" s="1"/>
  <c r="N263" i="10"/>
  <c r="M263" i="10"/>
  <c r="K263" i="10"/>
  <c r="I263" i="10"/>
  <c r="G263" i="10"/>
  <c r="F263" i="10"/>
  <c r="D263" i="10"/>
  <c r="C263" i="10"/>
  <c r="B263" i="10"/>
  <c r="A263" i="10"/>
  <c r="L263" i="10" s="1"/>
  <c r="J263" i="10" s="1"/>
  <c r="N262" i="10"/>
  <c r="O262" i="10" s="1"/>
  <c r="M262" i="10"/>
  <c r="K262" i="10"/>
  <c r="I262" i="10"/>
  <c r="G262" i="10"/>
  <c r="F262" i="10"/>
  <c r="C262" i="10"/>
  <c r="B262" i="10"/>
  <c r="A262" i="10"/>
  <c r="L262" i="10" s="1"/>
  <c r="N261" i="10"/>
  <c r="O261" i="10" s="1"/>
  <c r="M261" i="10"/>
  <c r="K261" i="10"/>
  <c r="I261" i="10"/>
  <c r="G261" i="10"/>
  <c r="F261" i="10"/>
  <c r="C261" i="10"/>
  <c r="B261" i="10"/>
  <c r="A261" i="10"/>
  <c r="L261" i="10" s="1"/>
  <c r="N260" i="10"/>
  <c r="O260" i="10" s="1"/>
  <c r="M260" i="10"/>
  <c r="K260" i="10"/>
  <c r="I260" i="10"/>
  <c r="G260" i="10"/>
  <c r="P260" i="10" s="1"/>
  <c r="F260" i="10"/>
  <c r="D260" i="10" s="1"/>
  <c r="C260" i="10"/>
  <c r="B260" i="10"/>
  <c r="A260" i="10"/>
  <c r="L260" i="10" s="1"/>
  <c r="J260" i="10" s="1"/>
  <c r="N259" i="10"/>
  <c r="M259" i="10"/>
  <c r="K259" i="10"/>
  <c r="I259" i="10"/>
  <c r="G259" i="10"/>
  <c r="F259" i="10"/>
  <c r="D259" i="10"/>
  <c r="C259" i="10"/>
  <c r="B259" i="10"/>
  <c r="A259" i="10"/>
  <c r="L259" i="10" s="1"/>
  <c r="J259" i="10" s="1"/>
  <c r="N258" i="10"/>
  <c r="O258" i="10" s="1"/>
  <c r="M258" i="10"/>
  <c r="K258" i="10"/>
  <c r="I258" i="10"/>
  <c r="G258" i="10"/>
  <c r="F258" i="10"/>
  <c r="C258" i="10"/>
  <c r="B258" i="10"/>
  <c r="A258" i="10"/>
  <c r="L258" i="10" s="1"/>
  <c r="N257" i="10"/>
  <c r="O257" i="10" s="1"/>
  <c r="M257" i="10"/>
  <c r="K257" i="10"/>
  <c r="I257" i="10"/>
  <c r="G257" i="10"/>
  <c r="F257" i="10"/>
  <c r="C257" i="10"/>
  <c r="B257" i="10"/>
  <c r="A257" i="10"/>
  <c r="L257" i="10" s="1"/>
  <c r="J257" i="10" s="1"/>
  <c r="N256" i="10"/>
  <c r="M256" i="10"/>
  <c r="K256" i="10"/>
  <c r="I256" i="10"/>
  <c r="G256" i="10"/>
  <c r="P256" i="10" s="1"/>
  <c r="F256" i="10"/>
  <c r="D256" i="10" s="1"/>
  <c r="C256" i="10"/>
  <c r="B256" i="10"/>
  <c r="A256" i="10"/>
  <c r="L256" i="10" s="1"/>
  <c r="J256" i="10" s="1"/>
  <c r="N255" i="10"/>
  <c r="Q255" i="10" s="1"/>
  <c r="M255" i="10"/>
  <c r="K255" i="10"/>
  <c r="I255" i="10"/>
  <c r="G255" i="10"/>
  <c r="F255" i="10"/>
  <c r="D255" i="10"/>
  <c r="C255" i="10"/>
  <c r="B255" i="10"/>
  <c r="A255" i="10"/>
  <c r="L255" i="10" s="1"/>
  <c r="J255" i="10" s="1"/>
  <c r="N254" i="10"/>
  <c r="O254" i="10" s="1"/>
  <c r="M254" i="10"/>
  <c r="K254" i="10"/>
  <c r="I254" i="10"/>
  <c r="G254" i="10"/>
  <c r="F254" i="10"/>
  <c r="C254" i="10"/>
  <c r="B254" i="10"/>
  <c r="A254" i="10"/>
  <c r="L254" i="10" s="1"/>
  <c r="N253" i="10"/>
  <c r="O253" i="10" s="1"/>
  <c r="M253" i="10"/>
  <c r="K253" i="10"/>
  <c r="I253" i="10"/>
  <c r="G253" i="10"/>
  <c r="F253" i="10"/>
  <c r="C253" i="10"/>
  <c r="B253" i="10"/>
  <c r="A253" i="10"/>
  <c r="L253" i="10" s="1"/>
  <c r="J253" i="10" s="1"/>
  <c r="N252" i="10"/>
  <c r="O252" i="10" s="1"/>
  <c r="M252" i="10"/>
  <c r="K252" i="10"/>
  <c r="I252" i="10"/>
  <c r="G252" i="10"/>
  <c r="F252" i="10"/>
  <c r="C252" i="10"/>
  <c r="B252" i="10"/>
  <c r="A252" i="10"/>
  <c r="L252" i="10" s="1"/>
  <c r="J252" i="10" s="1"/>
  <c r="N251" i="10"/>
  <c r="M251" i="10"/>
  <c r="K251" i="10"/>
  <c r="I251" i="10"/>
  <c r="G251" i="10"/>
  <c r="F251" i="10"/>
  <c r="D251" i="10"/>
  <c r="C251" i="10"/>
  <c r="B251" i="10"/>
  <c r="A251" i="10"/>
  <c r="L251" i="10" s="1"/>
  <c r="J251" i="10" s="1"/>
  <c r="N250" i="10"/>
  <c r="M250" i="10"/>
  <c r="I250" i="10"/>
  <c r="G250" i="10"/>
  <c r="AC250" i="10" s="1"/>
  <c r="F250" i="10"/>
  <c r="D250" i="10" s="1"/>
  <c r="C250" i="10"/>
  <c r="B250" i="10"/>
  <c r="A250" i="10"/>
  <c r="K250" i="10" s="1"/>
  <c r="M249" i="10"/>
  <c r="F249" i="10"/>
  <c r="D249" i="10"/>
  <c r="C249" i="10"/>
  <c r="B249" i="10"/>
  <c r="A249" i="10"/>
  <c r="M248" i="10"/>
  <c r="F248" i="10"/>
  <c r="D248" i="10"/>
  <c r="C248" i="10"/>
  <c r="B248" i="10"/>
  <c r="A248" i="10"/>
  <c r="N247" i="10"/>
  <c r="O247" i="10" s="1"/>
  <c r="M247" i="10"/>
  <c r="L247" i="10"/>
  <c r="K247" i="10"/>
  <c r="I247" i="10"/>
  <c r="G247" i="10"/>
  <c r="F247" i="10"/>
  <c r="C247" i="10"/>
  <c r="B247" i="10"/>
  <c r="A247" i="10"/>
  <c r="N246" i="10"/>
  <c r="M246" i="10"/>
  <c r="K246" i="10"/>
  <c r="I246" i="10"/>
  <c r="G246" i="10"/>
  <c r="F246" i="10"/>
  <c r="C246" i="10"/>
  <c r="B246" i="10"/>
  <c r="A246" i="10"/>
  <c r="L246" i="10" s="1"/>
  <c r="N245" i="10"/>
  <c r="M245" i="10"/>
  <c r="I245" i="10"/>
  <c r="G245" i="10"/>
  <c r="F245" i="10"/>
  <c r="C245" i="10"/>
  <c r="B245" i="10"/>
  <c r="A245" i="10"/>
  <c r="K245" i="10" s="1"/>
  <c r="M244" i="10"/>
  <c r="K244" i="10"/>
  <c r="I244" i="10"/>
  <c r="G244" i="10"/>
  <c r="AC244" i="10" s="1"/>
  <c r="F244" i="10"/>
  <c r="D244" i="10"/>
  <c r="C244" i="10"/>
  <c r="B244" i="10"/>
  <c r="A244" i="10"/>
  <c r="M243" i="10"/>
  <c r="L243" i="10"/>
  <c r="F243" i="10"/>
  <c r="D243" i="10" s="1"/>
  <c r="C243" i="10"/>
  <c r="B243" i="10"/>
  <c r="A243" i="10"/>
  <c r="K243" i="10" s="1"/>
  <c r="M242" i="10"/>
  <c r="L242" i="10"/>
  <c r="H242" i="10" s="1"/>
  <c r="I242" i="10"/>
  <c r="G242" i="10"/>
  <c r="AC242" i="10" s="1"/>
  <c r="F242" i="10"/>
  <c r="D242" i="10"/>
  <c r="C242" i="10"/>
  <c r="B242" i="10"/>
  <c r="A242" i="10"/>
  <c r="N242" i="10" s="1"/>
  <c r="O242" i="10" s="1"/>
  <c r="N241" i="10"/>
  <c r="M241" i="10"/>
  <c r="F241" i="10"/>
  <c r="D241" i="10"/>
  <c r="C241" i="10"/>
  <c r="B241" i="10"/>
  <c r="A241" i="10"/>
  <c r="K241" i="10" s="1"/>
  <c r="N240" i="10"/>
  <c r="O240" i="10" s="1"/>
  <c r="M240" i="10"/>
  <c r="I240" i="10"/>
  <c r="G240" i="10"/>
  <c r="AC240" i="10" s="1"/>
  <c r="C5" i="11" s="1"/>
  <c r="E5" i="11" s="1"/>
  <c r="F240" i="10"/>
  <c r="C240" i="10"/>
  <c r="B240" i="10"/>
  <c r="A240" i="10"/>
  <c r="L240" i="10" s="1"/>
  <c r="M239" i="10"/>
  <c r="F239" i="10"/>
  <c r="C239" i="10"/>
  <c r="B239" i="10"/>
  <c r="A239" i="10"/>
  <c r="K239" i="10" s="1"/>
  <c r="M238" i="10"/>
  <c r="F238" i="10"/>
  <c r="D238" i="10"/>
  <c r="C238" i="10"/>
  <c r="B238" i="10"/>
  <c r="A238" i="10"/>
  <c r="I238" i="10" s="1"/>
  <c r="M237" i="10"/>
  <c r="I237" i="10"/>
  <c r="F237" i="10"/>
  <c r="D237" i="10"/>
  <c r="C237" i="10"/>
  <c r="B237" i="10"/>
  <c r="A237" i="10"/>
  <c r="M236" i="10"/>
  <c r="I236" i="10"/>
  <c r="F236" i="10"/>
  <c r="D236" i="10"/>
  <c r="C236" i="10"/>
  <c r="B236" i="10"/>
  <c r="A236" i="10"/>
  <c r="M235" i="10"/>
  <c r="F235" i="10"/>
  <c r="D235" i="10"/>
  <c r="C235" i="10"/>
  <c r="B235" i="10"/>
  <c r="A235" i="10"/>
  <c r="M234" i="10"/>
  <c r="F234" i="10"/>
  <c r="D234" i="10"/>
  <c r="C234" i="10"/>
  <c r="B234" i="10"/>
  <c r="A234" i="10"/>
  <c r="M233" i="10"/>
  <c r="F233" i="10"/>
  <c r="D233" i="10"/>
  <c r="C233" i="10"/>
  <c r="B233" i="10"/>
  <c r="A233" i="10"/>
  <c r="M232" i="10"/>
  <c r="I232" i="10"/>
  <c r="F232" i="10"/>
  <c r="D232" i="10"/>
  <c r="C232" i="10"/>
  <c r="B232" i="10"/>
  <c r="A232" i="10"/>
  <c r="M231" i="10"/>
  <c r="I231" i="10"/>
  <c r="F231" i="10"/>
  <c r="D231" i="10"/>
  <c r="C231" i="10"/>
  <c r="B231" i="10"/>
  <c r="A231" i="10"/>
  <c r="M230" i="10"/>
  <c r="F230" i="10"/>
  <c r="D230" i="10"/>
  <c r="C230" i="10"/>
  <c r="B230" i="10"/>
  <c r="A230" i="10"/>
  <c r="I230" i="10" s="1"/>
  <c r="M229" i="10"/>
  <c r="I229" i="10"/>
  <c r="F229" i="10"/>
  <c r="D229" i="10"/>
  <c r="C229" i="10"/>
  <c r="B229" i="10"/>
  <c r="A229" i="10"/>
  <c r="M228" i="10"/>
  <c r="I228" i="10"/>
  <c r="F228" i="10"/>
  <c r="D228" i="10"/>
  <c r="C228" i="10"/>
  <c r="B228" i="10"/>
  <c r="A228" i="10"/>
  <c r="M227" i="10"/>
  <c r="F227" i="10"/>
  <c r="D227" i="10"/>
  <c r="C227" i="10"/>
  <c r="B227" i="10"/>
  <c r="A227" i="10"/>
  <c r="M226" i="10"/>
  <c r="F226" i="10"/>
  <c r="D226" i="10"/>
  <c r="C226" i="10"/>
  <c r="B226" i="10"/>
  <c r="A226" i="10"/>
  <c r="M225" i="10"/>
  <c r="F225" i="10"/>
  <c r="D225" i="10"/>
  <c r="C225" i="10"/>
  <c r="B225" i="10"/>
  <c r="A225" i="10"/>
  <c r="M224" i="10"/>
  <c r="I224" i="10"/>
  <c r="F224" i="10"/>
  <c r="D224" i="10"/>
  <c r="C224" i="10"/>
  <c r="B224" i="10"/>
  <c r="A224" i="10"/>
  <c r="M223" i="10"/>
  <c r="I223" i="10"/>
  <c r="F223" i="10"/>
  <c r="D223" i="10"/>
  <c r="C223" i="10"/>
  <c r="B223" i="10"/>
  <c r="A223" i="10"/>
  <c r="M222" i="10"/>
  <c r="F222" i="10"/>
  <c r="D222" i="10"/>
  <c r="C222" i="10"/>
  <c r="B222" i="10"/>
  <c r="A222" i="10"/>
  <c r="I222" i="10" s="1"/>
  <c r="M221" i="10"/>
  <c r="I221" i="10"/>
  <c r="F221" i="10"/>
  <c r="D221" i="10"/>
  <c r="C221" i="10"/>
  <c r="B221" i="10"/>
  <c r="A221" i="10"/>
  <c r="M220" i="10"/>
  <c r="I220" i="10"/>
  <c r="F220" i="10"/>
  <c r="D220" i="10"/>
  <c r="C220" i="10"/>
  <c r="B220" i="10"/>
  <c r="A220" i="10"/>
  <c r="M219" i="10"/>
  <c r="F219" i="10"/>
  <c r="D219" i="10"/>
  <c r="C219" i="10"/>
  <c r="B219" i="10"/>
  <c r="A219" i="10"/>
  <c r="M218" i="10"/>
  <c r="F218" i="10"/>
  <c r="D218" i="10"/>
  <c r="C218" i="10"/>
  <c r="B218" i="10"/>
  <c r="A218" i="10"/>
  <c r="M217" i="10"/>
  <c r="L217" i="10"/>
  <c r="H217" i="10" s="1"/>
  <c r="I217" i="10"/>
  <c r="F217" i="10"/>
  <c r="D217" i="10"/>
  <c r="C217" i="10"/>
  <c r="B217" i="10"/>
  <c r="A217" i="10"/>
  <c r="M216" i="10"/>
  <c r="I216" i="10"/>
  <c r="F216" i="10"/>
  <c r="D216" i="10"/>
  <c r="C216" i="10"/>
  <c r="B216" i="10"/>
  <c r="A216" i="10"/>
  <c r="L216" i="10" s="1"/>
  <c r="P215" i="10"/>
  <c r="M215" i="10"/>
  <c r="L215" i="10"/>
  <c r="C215" i="10"/>
  <c r="B215" i="10"/>
  <c r="A215" i="10"/>
  <c r="N214" i="10"/>
  <c r="M214" i="10"/>
  <c r="F214" i="10"/>
  <c r="C214" i="10"/>
  <c r="B214" i="10"/>
  <c r="A214" i="10"/>
  <c r="M213" i="10"/>
  <c r="G213" i="10"/>
  <c r="F213" i="10"/>
  <c r="C213" i="10"/>
  <c r="B213" i="10"/>
  <c r="A213" i="10"/>
  <c r="I213" i="10" s="1"/>
  <c r="M212" i="10"/>
  <c r="F212" i="10"/>
  <c r="C212" i="10"/>
  <c r="B212" i="10"/>
  <c r="A212" i="10"/>
  <c r="M211" i="10"/>
  <c r="I211" i="10"/>
  <c r="F211" i="10"/>
  <c r="C211" i="10"/>
  <c r="B211" i="10"/>
  <c r="A211" i="10"/>
  <c r="G211" i="10" s="1"/>
  <c r="M210" i="10"/>
  <c r="I210" i="10"/>
  <c r="G210" i="10"/>
  <c r="F210" i="10"/>
  <c r="C210" i="10"/>
  <c r="B210" i="10"/>
  <c r="A210" i="10"/>
  <c r="N209" i="10"/>
  <c r="M209" i="10"/>
  <c r="F209" i="10"/>
  <c r="C209" i="10"/>
  <c r="B209" i="10"/>
  <c r="A209" i="10"/>
  <c r="M208" i="10"/>
  <c r="I208" i="10"/>
  <c r="G208" i="10"/>
  <c r="F208" i="10"/>
  <c r="C208" i="10"/>
  <c r="B208" i="10"/>
  <c r="A208" i="10"/>
  <c r="M207" i="10"/>
  <c r="I207" i="10"/>
  <c r="G207" i="10"/>
  <c r="F207" i="10"/>
  <c r="C207" i="10"/>
  <c r="B207" i="10"/>
  <c r="A207" i="10"/>
  <c r="N206" i="10"/>
  <c r="M206" i="10"/>
  <c r="F206" i="10"/>
  <c r="C206" i="10"/>
  <c r="B206" i="10"/>
  <c r="A206" i="10"/>
  <c r="M205" i="10"/>
  <c r="G205" i="10"/>
  <c r="F205" i="10"/>
  <c r="C205" i="10"/>
  <c r="B205" i="10"/>
  <c r="A205" i="10"/>
  <c r="I205" i="10" s="1"/>
  <c r="M204" i="10"/>
  <c r="F204" i="10"/>
  <c r="C204" i="10"/>
  <c r="B204" i="10"/>
  <c r="A204" i="10"/>
  <c r="M203" i="10"/>
  <c r="I203" i="10"/>
  <c r="F203" i="10"/>
  <c r="C203" i="10"/>
  <c r="B203" i="10"/>
  <c r="A203" i="10"/>
  <c r="G203" i="10" s="1"/>
  <c r="M202" i="10"/>
  <c r="I202" i="10"/>
  <c r="G202" i="10"/>
  <c r="F202" i="10"/>
  <c r="C202" i="10"/>
  <c r="B202" i="10"/>
  <c r="A202" i="10"/>
  <c r="N201" i="10"/>
  <c r="Q201" i="10" s="1"/>
  <c r="M201" i="10"/>
  <c r="I201" i="10"/>
  <c r="F201" i="10"/>
  <c r="D201" i="10" s="1"/>
  <c r="C201" i="10"/>
  <c r="B201" i="10"/>
  <c r="A201" i="10"/>
  <c r="G201" i="10" s="1"/>
  <c r="M200" i="10"/>
  <c r="I200" i="10"/>
  <c r="F200" i="10"/>
  <c r="D200" i="10" s="1"/>
  <c r="C200" i="10"/>
  <c r="B200" i="10"/>
  <c r="A200" i="10"/>
  <c r="M199" i="10"/>
  <c r="G199" i="10"/>
  <c r="P199" i="10" s="1"/>
  <c r="F199" i="10"/>
  <c r="D199" i="10" s="1"/>
  <c r="C199" i="10"/>
  <c r="B199" i="10"/>
  <c r="A199" i="10"/>
  <c r="I199" i="10" s="1"/>
  <c r="N198" i="10"/>
  <c r="M198" i="10"/>
  <c r="F198" i="10"/>
  <c r="D198" i="10" s="1"/>
  <c r="C198" i="10"/>
  <c r="B198" i="10"/>
  <c r="A198" i="10"/>
  <c r="N197" i="10"/>
  <c r="M197" i="10"/>
  <c r="I197" i="10"/>
  <c r="G197" i="10"/>
  <c r="F197" i="10"/>
  <c r="D197" i="10" s="1"/>
  <c r="C197" i="10"/>
  <c r="B197" i="10"/>
  <c r="A197" i="10"/>
  <c r="N196" i="10"/>
  <c r="Q196" i="10" s="1"/>
  <c r="M196" i="10"/>
  <c r="I196" i="10"/>
  <c r="G196" i="10"/>
  <c r="P196" i="10" s="1"/>
  <c r="F196" i="10"/>
  <c r="D196" i="10" s="1"/>
  <c r="C196" i="10"/>
  <c r="B196" i="10"/>
  <c r="A196" i="10"/>
  <c r="M195" i="10"/>
  <c r="F195" i="10"/>
  <c r="D195" i="10" s="1"/>
  <c r="C195" i="10"/>
  <c r="B195" i="10"/>
  <c r="A195" i="10"/>
  <c r="M194" i="10"/>
  <c r="G194" i="10"/>
  <c r="F194" i="10"/>
  <c r="D194" i="10" s="1"/>
  <c r="C194" i="10"/>
  <c r="B194" i="10"/>
  <c r="A194" i="10"/>
  <c r="I194" i="10" s="1"/>
  <c r="N193" i="10"/>
  <c r="M193" i="10"/>
  <c r="I193" i="10"/>
  <c r="F193" i="10"/>
  <c r="D193" i="10" s="1"/>
  <c r="C193" i="10"/>
  <c r="B193" i="10"/>
  <c r="A193" i="10"/>
  <c r="G193" i="10" s="1"/>
  <c r="M192" i="10"/>
  <c r="L192" i="10"/>
  <c r="H192" i="10" s="1"/>
  <c r="F192" i="10"/>
  <c r="D192" i="10" s="1"/>
  <c r="C192" i="10"/>
  <c r="B192" i="10"/>
  <c r="A192" i="10"/>
  <c r="N191" i="10"/>
  <c r="O191" i="10" s="1"/>
  <c r="M191" i="10"/>
  <c r="I191" i="10"/>
  <c r="G191" i="10"/>
  <c r="P191" i="10" s="1"/>
  <c r="F191" i="10"/>
  <c r="D191" i="10" s="1"/>
  <c r="C191" i="10"/>
  <c r="B191" i="10"/>
  <c r="A191" i="10"/>
  <c r="K191" i="10" s="1"/>
  <c r="M190" i="10"/>
  <c r="G190" i="10"/>
  <c r="P190" i="10" s="1"/>
  <c r="F190" i="10"/>
  <c r="D190" i="10" s="1"/>
  <c r="C190" i="10"/>
  <c r="B190" i="10"/>
  <c r="A190" i="10"/>
  <c r="K190" i="10" s="1"/>
  <c r="N189" i="10"/>
  <c r="M189" i="10"/>
  <c r="I189" i="10"/>
  <c r="F189" i="10"/>
  <c r="D189" i="10" s="1"/>
  <c r="C189" i="10"/>
  <c r="B189" i="10"/>
  <c r="A189" i="10"/>
  <c r="K189" i="10" s="1"/>
  <c r="M188" i="10"/>
  <c r="L188" i="10"/>
  <c r="F188" i="10"/>
  <c r="D188" i="10" s="1"/>
  <c r="C188" i="10"/>
  <c r="B188" i="10"/>
  <c r="A188" i="10"/>
  <c r="N187" i="10"/>
  <c r="O187" i="10" s="1"/>
  <c r="M187" i="10"/>
  <c r="I187" i="10"/>
  <c r="G187" i="10"/>
  <c r="P187" i="10" s="1"/>
  <c r="F187" i="10"/>
  <c r="D187" i="10" s="1"/>
  <c r="C187" i="10"/>
  <c r="B187" i="10"/>
  <c r="A187" i="10"/>
  <c r="K187" i="10" s="1"/>
  <c r="M186" i="10"/>
  <c r="G186" i="10"/>
  <c r="P186" i="10" s="1"/>
  <c r="F186" i="10"/>
  <c r="D186" i="10" s="1"/>
  <c r="C186" i="10"/>
  <c r="B186" i="10"/>
  <c r="A186" i="10"/>
  <c r="K186" i="10" s="1"/>
  <c r="N185" i="10"/>
  <c r="M185" i="10"/>
  <c r="I185" i="10"/>
  <c r="F185" i="10"/>
  <c r="D185" i="10" s="1"/>
  <c r="C185" i="10"/>
  <c r="B185" i="10"/>
  <c r="A185" i="10"/>
  <c r="K185" i="10" s="1"/>
  <c r="M184" i="10"/>
  <c r="L184" i="10"/>
  <c r="F184" i="10"/>
  <c r="D184" i="10" s="1"/>
  <c r="C184" i="10"/>
  <c r="B184" i="10"/>
  <c r="A184" i="10"/>
  <c r="N183" i="10"/>
  <c r="M183" i="10"/>
  <c r="I183" i="10"/>
  <c r="G183" i="10"/>
  <c r="P183" i="10" s="1"/>
  <c r="F183" i="10"/>
  <c r="D183" i="10" s="1"/>
  <c r="C183" i="10"/>
  <c r="B183" i="10"/>
  <c r="A183" i="10"/>
  <c r="K183" i="10" s="1"/>
  <c r="M182" i="10"/>
  <c r="G182" i="10"/>
  <c r="P182" i="10" s="1"/>
  <c r="F182" i="10"/>
  <c r="D182" i="10" s="1"/>
  <c r="C182" i="10"/>
  <c r="B182" i="10"/>
  <c r="A182" i="10"/>
  <c r="K182" i="10" s="1"/>
  <c r="N181" i="10"/>
  <c r="M181" i="10"/>
  <c r="I181" i="10"/>
  <c r="F181" i="10"/>
  <c r="D181" i="10" s="1"/>
  <c r="C181" i="10"/>
  <c r="B181" i="10"/>
  <c r="A181" i="10"/>
  <c r="K181" i="10" s="1"/>
  <c r="M180" i="10"/>
  <c r="L180" i="10"/>
  <c r="H180" i="10" s="1"/>
  <c r="F180" i="10"/>
  <c r="D180" i="10" s="1"/>
  <c r="C180" i="10"/>
  <c r="B180" i="10"/>
  <c r="A180" i="10"/>
  <c r="N179" i="10"/>
  <c r="O179" i="10" s="1"/>
  <c r="M179" i="10"/>
  <c r="I179" i="10"/>
  <c r="G179" i="10"/>
  <c r="P179" i="10" s="1"/>
  <c r="F179" i="10"/>
  <c r="D179" i="10" s="1"/>
  <c r="C179" i="10"/>
  <c r="B179" i="10"/>
  <c r="A179" i="10"/>
  <c r="K179" i="10" s="1"/>
  <c r="M178" i="10"/>
  <c r="F178" i="10"/>
  <c r="D178" i="10" s="1"/>
  <c r="C178" i="10"/>
  <c r="B178" i="10"/>
  <c r="A178" i="10"/>
  <c r="K178" i="10" s="1"/>
  <c r="N177" i="10"/>
  <c r="M177" i="10"/>
  <c r="I177" i="10"/>
  <c r="F177" i="10"/>
  <c r="D177" i="10" s="1"/>
  <c r="C177" i="10"/>
  <c r="B177" i="10"/>
  <c r="A177" i="10"/>
  <c r="K177" i="10" s="1"/>
  <c r="M176" i="10"/>
  <c r="F176" i="10"/>
  <c r="D176" i="10" s="1"/>
  <c r="C176" i="10"/>
  <c r="B176" i="10"/>
  <c r="A176" i="10"/>
  <c r="L176" i="10" s="1"/>
  <c r="H176" i="10" s="1"/>
  <c r="M175" i="10"/>
  <c r="F175" i="10"/>
  <c r="D175" i="10" s="1"/>
  <c r="C175" i="10"/>
  <c r="B175" i="10"/>
  <c r="A175" i="10"/>
  <c r="K175" i="10" s="1"/>
  <c r="M174" i="10"/>
  <c r="F174" i="10"/>
  <c r="D174" i="10" s="1"/>
  <c r="C174" i="10"/>
  <c r="B174" i="10"/>
  <c r="A174" i="10"/>
  <c r="K174" i="10" s="1"/>
  <c r="N173" i="10"/>
  <c r="M173" i="10"/>
  <c r="F173" i="10"/>
  <c r="D173" i="10" s="1"/>
  <c r="C173" i="10"/>
  <c r="B173" i="10"/>
  <c r="A173" i="10"/>
  <c r="K173" i="10" s="1"/>
  <c r="M172" i="10"/>
  <c r="F172" i="10"/>
  <c r="D172" i="10" s="1"/>
  <c r="C172" i="10"/>
  <c r="B172" i="10"/>
  <c r="A172" i="10"/>
  <c r="L172" i="10" s="1"/>
  <c r="H172" i="10" s="1"/>
  <c r="M171" i="10"/>
  <c r="F171" i="10"/>
  <c r="D171" i="10" s="1"/>
  <c r="C171" i="10"/>
  <c r="B171" i="10"/>
  <c r="A171" i="10"/>
  <c r="K171" i="10" s="1"/>
  <c r="M170" i="10"/>
  <c r="F170" i="10"/>
  <c r="D170" i="10" s="1"/>
  <c r="C170" i="10"/>
  <c r="B170" i="10"/>
  <c r="A170" i="10"/>
  <c r="K170" i="10" s="1"/>
  <c r="N169" i="10"/>
  <c r="M169" i="10"/>
  <c r="I169" i="10"/>
  <c r="F169" i="10"/>
  <c r="D169" i="10" s="1"/>
  <c r="C169" i="10"/>
  <c r="B169" i="10"/>
  <c r="A169" i="10"/>
  <c r="K169" i="10" s="1"/>
  <c r="M168" i="10"/>
  <c r="F168" i="10"/>
  <c r="D168" i="10" s="1"/>
  <c r="C168" i="10"/>
  <c r="B168" i="10"/>
  <c r="A168" i="10"/>
  <c r="L168" i="10" s="1"/>
  <c r="H168" i="10" s="1"/>
  <c r="M167" i="10"/>
  <c r="F167" i="10"/>
  <c r="D167" i="10" s="1"/>
  <c r="C167" i="10"/>
  <c r="B167" i="10"/>
  <c r="A167" i="10"/>
  <c r="K167" i="10" s="1"/>
  <c r="M166" i="10"/>
  <c r="F166" i="10"/>
  <c r="D166" i="10" s="1"/>
  <c r="C166" i="10"/>
  <c r="B166" i="10"/>
  <c r="A166" i="10"/>
  <c r="K166" i="10" s="1"/>
  <c r="M165" i="10"/>
  <c r="F165" i="10"/>
  <c r="D165" i="10" s="1"/>
  <c r="C165" i="10"/>
  <c r="B165" i="10"/>
  <c r="A165" i="10"/>
  <c r="K165" i="10" s="1"/>
  <c r="M164" i="10"/>
  <c r="F164" i="10"/>
  <c r="C164" i="10"/>
  <c r="B164" i="10"/>
  <c r="A164" i="10"/>
  <c r="L164" i="10" s="1"/>
  <c r="M163" i="10"/>
  <c r="F163" i="10"/>
  <c r="D163" i="10"/>
  <c r="C163" i="10"/>
  <c r="B163" i="10"/>
  <c r="A163" i="10"/>
  <c r="I163" i="10" s="1"/>
  <c r="M162" i="10"/>
  <c r="F162" i="10"/>
  <c r="D162" i="10"/>
  <c r="C162" i="10"/>
  <c r="B162" i="10"/>
  <c r="A162" i="10"/>
  <c r="I162" i="10" s="1"/>
  <c r="P161" i="10"/>
  <c r="N161" i="10"/>
  <c r="O161" i="10" s="1"/>
  <c r="M161" i="10"/>
  <c r="F161" i="10"/>
  <c r="D161" i="10"/>
  <c r="C161" i="10"/>
  <c r="B161" i="10"/>
  <c r="A161" i="10"/>
  <c r="L161" i="10" s="1"/>
  <c r="M160" i="10"/>
  <c r="F160" i="10"/>
  <c r="D160" i="10"/>
  <c r="C160" i="10"/>
  <c r="B160" i="10"/>
  <c r="A160" i="10"/>
  <c r="N160" i="10" s="1"/>
  <c r="O160" i="10" s="1"/>
  <c r="M159" i="10"/>
  <c r="F159" i="10"/>
  <c r="D159" i="10"/>
  <c r="C159" i="10"/>
  <c r="B159" i="10"/>
  <c r="A159" i="10"/>
  <c r="N159" i="10" s="1"/>
  <c r="M158" i="10"/>
  <c r="F158" i="10"/>
  <c r="D158" i="10"/>
  <c r="C158" i="10"/>
  <c r="B158" i="10"/>
  <c r="A158" i="10"/>
  <c r="N158" i="10" s="1"/>
  <c r="O158" i="10" s="1"/>
  <c r="M157" i="10"/>
  <c r="F157" i="10"/>
  <c r="D157" i="10"/>
  <c r="C157" i="10"/>
  <c r="B157" i="10"/>
  <c r="A157" i="10"/>
  <c r="N157" i="10" s="1"/>
  <c r="M156" i="10"/>
  <c r="F156" i="10"/>
  <c r="D156" i="10"/>
  <c r="C156" i="10"/>
  <c r="B156" i="10"/>
  <c r="A156" i="10"/>
  <c r="N156" i="10" s="1"/>
  <c r="O156" i="10" s="1"/>
  <c r="M155" i="10"/>
  <c r="F155" i="10"/>
  <c r="D155" i="10"/>
  <c r="C155" i="10"/>
  <c r="B155" i="10"/>
  <c r="A155" i="10"/>
  <c r="N155" i="10" s="1"/>
  <c r="M154" i="10"/>
  <c r="L154" i="10"/>
  <c r="J154" i="10" s="1"/>
  <c r="G154" i="10"/>
  <c r="P154" i="10" s="1"/>
  <c r="F154" i="10"/>
  <c r="D154" i="10"/>
  <c r="C154" i="10"/>
  <c r="B154" i="10"/>
  <c r="A154" i="10"/>
  <c r="N154" i="10" s="1"/>
  <c r="O154" i="10" s="1"/>
  <c r="M153" i="10"/>
  <c r="F153" i="10"/>
  <c r="D153" i="10"/>
  <c r="C153" i="10"/>
  <c r="B153" i="10"/>
  <c r="A153" i="10"/>
  <c r="N153" i="10" s="1"/>
  <c r="M152" i="10"/>
  <c r="F152" i="10"/>
  <c r="D152" i="10"/>
  <c r="C152" i="10"/>
  <c r="B152" i="10"/>
  <c r="A152" i="10"/>
  <c r="N152" i="10" s="1"/>
  <c r="O152" i="10" s="1"/>
  <c r="M151" i="10"/>
  <c r="L151" i="10"/>
  <c r="I151" i="10"/>
  <c r="F151" i="10"/>
  <c r="D151" i="10"/>
  <c r="C151" i="10"/>
  <c r="B151" i="10"/>
  <c r="A151" i="10"/>
  <c r="N151" i="10" s="1"/>
  <c r="M150" i="10"/>
  <c r="F150" i="10"/>
  <c r="D150" i="10"/>
  <c r="C150" i="10"/>
  <c r="B150" i="10"/>
  <c r="A150" i="10"/>
  <c r="G150" i="10" s="1"/>
  <c r="P150" i="10" s="1"/>
  <c r="M149" i="10"/>
  <c r="F149" i="10"/>
  <c r="D149" i="10"/>
  <c r="C149" i="10"/>
  <c r="B149" i="10"/>
  <c r="A149" i="10"/>
  <c r="G149" i="10" s="1"/>
  <c r="P149" i="10" s="1"/>
  <c r="M148" i="10"/>
  <c r="L148" i="10"/>
  <c r="J148" i="10" s="1"/>
  <c r="F148" i="10"/>
  <c r="D148" i="10"/>
  <c r="C148" i="10"/>
  <c r="B148" i="10"/>
  <c r="A148" i="10"/>
  <c r="G148" i="10" s="1"/>
  <c r="P148" i="10" s="1"/>
  <c r="M147" i="10"/>
  <c r="F147" i="10"/>
  <c r="D147" i="10"/>
  <c r="C147" i="10"/>
  <c r="B147" i="10"/>
  <c r="A147" i="10"/>
  <c r="G147" i="10" s="1"/>
  <c r="P147" i="10" s="1"/>
  <c r="M146" i="10"/>
  <c r="F146" i="10"/>
  <c r="D146" i="10"/>
  <c r="C146" i="10"/>
  <c r="B146" i="10"/>
  <c r="A146" i="10"/>
  <c r="G146" i="10" s="1"/>
  <c r="P146" i="10" s="1"/>
  <c r="M145" i="10"/>
  <c r="L145" i="10"/>
  <c r="J145" i="10" s="1"/>
  <c r="F145" i="10"/>
  <c r="D145" i="10"/>
  <c r="C145" i="10"/>
  <c r="B145" i="10"/>
  <c r="A145" i="10"/>
  <c r="G145" i="10" s="1"/>
  <c r="P145" i="10" s="1"/>
  <c r="M144" i="10"/>
  <c r="F144" i="10"/>
  <c r="D144" i="10"/>
  <c r="C144" i="10"/>
  <c r="B144" i="10"/>
  <c r="A144" i="10"/>
  <c r="G144" i="10" s="1"/>
  <c r="P144" i="10" s="1"/>
  <c r="M143" i="10"/>
  <c r="F143" i="10"/>
  <c r="D143" i="10"/>
  <c r="C143" i="10"/>
  <c r="B143" i="10"/>
  <c r="A143" i="10"/>
  <c r="G143" i="10" s="1"/>
  <c r="P143" i="10" s="1"/>
  <c r="M142" i="10"/>
  <c r="F142" i="10"/>
  <c r="D142" i="10"/>
  <c r="C142" i="10"/>
  <c r="B142" i="10"/>
  <c r="A142" i="10"/>
  <c r="G142" i="10" s="1"/>
  <c r="P142" i="10" s="1"/>
  <c r="M141" i="10"/>
  <c r="F141" i="10"/>
  <c r="D141" i="10"/>
  <c r="C141" i="10"/>
  <c r="B141" i="10"/>
  <c r="A141" i="10"/>
  <c r="G141" i="10" s="1"/>
  <c r="P141" i="10" s="1"/>
  <c r="M140" i="10"/>
  <c r="F140" i="10"/>
  <c r="D140" i="10"/>
  <c r="C140" i="10"/>
  <c r="B140" i="10"/>
  <c r="A140" i="10"/>
  <c r="G140" i="10" s="1"/>
  <c r="P140" i="10" s="1"/>
  <c r="M139" i="10"/>
  <c r="F139" i="10"/>
  <c r="D139" i="10"/>
  <c r="C139" i="10"/>
  <c r="B139" i="10"/>
  <c r="A139" i="10"/>
  <c r="G139" i="10" s="1"/>
  <c r="P139" i="10" s="1"/>
  <c r="M138" i="10"/>
  <c r="F138" i="10"/>
  <c r="D138" i="10"/>
  <c r="C138" i="10"/>
  <c r="B138" i="10"/>
  <c r="A138" i="10"/>
  <c r="G138" i="10" s="1"/>
  <c r="P138" i="10" s="1"/>
  <c r="M137" i="10"/>
  <c r="L137" i="10"/>
  <c r="J137" i="10" s="1"/>
  <c r="I137" i="10"/>
  <c r="F137" i="10"/>
  <c r="D137" i="10"/>
  <c r="C137" i="10"/>
  <c r="B137" i="10"/>
  <c r="A137" i="10"/>
  <c r="G137" i="10" s="1"/>
  <c r="P137" i="10" s="1"/>
  <c r="M136" i="10"/>
  <c r="F136" i="10"/>
  <c r="D136" i="10"/>
  <c r="C136" i="10"/>
  <c r="B136" i="10"/>
  <c r="A136" i="10"/>
  <c r="G136" i="10" s="1"/>
  <c r="P136" i="10" s="1"/>
  <c r="M135" i="10"/>
  <c r="F135" i="10"/>
  <c r="D135" i="10"/>
  <c r="C135" i="10"/>
  <c r="B135" i="10"/>
  <c r="A135" i="10"/>
  <c r="G135" i="10" s="1"/>
  <c r="P135" i="10" s="1"/>
  <c r="M134" i="10"/>
  <c r="L134" i="10"/>
  <c r="J134" i="10" s="1"/>
  <c r="I134" i="10"/>
  <c r="F134" i="10"/>
  <c r="D134" i="10"/>
  <c r="C134" i="10"/>
  <c r="B134" i="10"/>
  <c r="A134" i="10"/>
  <c r="G134" i="10" s="1"/>
  <c r="P134" i="10" s="1"/>
  <c r="M133" i="10"/>
  <c r="F133" i="10"/>
  <c r="D133" i="10"/>
  <c r="C133" i="10"/>
  <c r="B133" i="10"/>
  <c r="A133" i="10"/>
  <c r="G133" i="10" s="1"/>
  <c r="P133" i="10" s="1"/>
  <c r="M132" i="10"/>
  <c r="F132" i="10"/>
  <c r="D132" i="10"/>
  <c r="C132" i="10"/>
  <c r="B132" i="10"/>
  <c r="A132" i="10"/>
  <c r="G132" i="10" s="1"/>
  <c r="P132" i="10" s="1"/>
  <c r="M131" i="10"/>
  <c r="I131" i="10"/>
  <c r="F131" i="10"/>
  <c r="D131" i="10"/>
  <c r="C131" i="10"/>
  <c r="B131" i="10"/>
  <c r="A131" i="10"/>
  <c r="G131" i="10" s="1"/>
  <c r="P131" i="10" s="1"/>
  <c r="M130" i="10"/>
  <c r="L130" i="10"/>
  <c r="F130" i="10"/>
  <c r="D130" i="10"/>
  <c r="C130" i="10"/>
  <c r="B130" i="10"/>
  <c r="A130" i="10"/>
  <c r="G130" i="10" s="1"/>
  <c r="P130" i="10" s="1"/>
  <c r="M129" i="10"/>
  <c r="F129" i="10"/>
  <c r="D129" i="10"/>
  <c r="C129" i="10"/>
  <c r="B129" i="10"/>
  <c r="A129" i="10"/>
  <c r="G129" i="10" s="1"/>
  <c r="P129" i="10" s="1"/>
  <c r="M128" i="10"/>
  <c r="F128" i="10"/>
  <c r="D128" i="10"/>
  <c r="C128" i="10"/>
  <c r="B128" i="10"/>
  <c r="A128" i="10"/>
  <c r="G128" i="10" s="1"/>
  <c r="P128" i="10" s="1"/>
  <c r="M127" i="10"/>
  <c r="L127" i="10"/>
  <c r="J127" i="10" s="1"/>
  <c r="F127" i="10"/>
  <c r="D127" i="10"/>
  <c r="C127" i="10"/>
  <c r="B127" i="10"/>
  <c r="A127" i="10"/>
  <c r="G127" i="10" s="1"/>
  <c r="P127" i="10" s="1"/>
  <c r="M126" i="10"/>
  <c r="F126" i="10"/>
  <c r="D126" i="10"/>
  <c r="C126" i="10"/>
  <c r="B126" i="10"/>
  <c r="A126" i="10"/>
  <c r="G126" i="10" s="1"/>
  <c r="P126" i="10" s="1"/>
  <c r="M125" i="10"/>
  <c r="F125" i="10"/>
  <c r="D125" i="10"/>
  <c r="C125" i="10"/>
  <c r="B125" i="10"/>
  <c r="A125" i="10"/>
  <c r="G125" i="10" s="1"/>
  <c r="P125" i="10" s="1"/>
  <c r="M124" i="10"/>
  <c r="L124" i="10"/>
  <c r="J124" i="10" s="1"/>
  <c r="F124" i="10"/>
  <c r="D124" i="10"/>
  <c r="C124" i="10"/>
  <c r="B124" i="10"/>
  <c r="A124" i="10"/>
  <c r="G124" i="10" s="1"/>
  <c r="P124" i="10" s="1"/>
  <c r="M123" i="10"/>
  <c r="F123" i="10"/>
  <c r="D123" i="10"/>
  <c r="C123" i="10"/>
  <c r="B123" i="10"/>
  <c r="A123" i="10"/>
  <c r="G123" i="10" s="1"/>
  <c r="P123" i="10" s="1"/>
  <c r="M122" i="10"/>
  <c r="F122" i="10"/>
  <c r="D122" i="10"/>
  <c r="C122" i="10"/>
  <c r="B122" i="10"/>
  <c r="A122" i="10"/>
  <c r="G122" i="10" s="1"/>
  <c r="P122" i="10" s="1"/>
  <c r="M121" i="10"/>
  <c r="L121" i="10"/>
  <c r="J121" i="10" s="1"/>
  <c r="F121" i="10"/>
  <c r="D121" i="10"/>
  <c r="C121" i="10"/>
  <c r="B121" i="10"/>
  <c r="A121" i="10"/>
  <c r="G121" i="10" s="1"/>
  <c r="P121" i="10" s="1"/>
  <c r="M120" i="10"/>
  <c r="F120" i="10"/>
  <c r="D120" i="10"/>
  <c r="C120" i="10"/>
  <c r="B120" i="10"/>
  <c r="A120" i="10"/>
  <c r="G120" i="10" s="1"/>
  <c r="P120" i="10" s="1"/>
  <c r="M119" i="10"/>
  <c r="F119" i="10"/>
  <c r="D119" i="10"/>
  <c r="C119" i="10"/>
  <c r="B119" i="10"/>
  <c r="A119" i="10"/>
  <c r="G119" i="10" s="1"/>
  <c r="P119" i="10" s="1"/>
  <c r="M118" i="10"/>
  <c r="F118" i="10"/>
  <c r="D118" i="10"/>
  <c r="C118" i="10"/>
  <c r="B118" i="10"/>
  <c r="A118" i="10"/>
  <c r="G118" i="10" s="1"/>
  <c r="P118" i="10" s="1"/>
  <c r="M117" i="10"/>
  <c r="F117" i="10"/>
  <c r="D117" i="10"/>
  <c r="C117" i="10"/>
  <c r="B117" i="10"/>
  <c r="A117" i="10"/>
  <c r="G117" i="10" s="1"/>
  <c r="P117" i="10" s="1"/>
  <c r="M116" i="10"/>
  <c r="F116" i="10"/>
  <c r="D116" i="10"/>
  <c r="C116" i="10"/>
  <c r="B116" i="10"/>
  <c r="A116" i="10"/>
  <c r="G116" i="10" s="1"/>
  <c r="P116" i="10" s="1"/>
  <c r="M115" i="10"/>
  <c r="F115" i="10"/>
  <c r="D115" i="10"/>
  <c r="C115" i="10"/>
  <c r="B115" i="10"/>
  <c r="A115" i="10"/>
  <c r="G115" i="10" s="1"/>
  <c r="P115" i="10" s="1"/>
  <c r="O114" i="10"/>
  <c r="A114" i="10"/>
  <c r="M113" i="10"/>
  <c r="F113" i="10"/>
  <c r="C113" i="10"/>
  <c r="B113" i="10"/>
  <c r="A113" i="10"/>
  <c r="M112" i="10"/>
  <c r="F112" i="10"/>
  <c r="C112" i="10"/>
  <c r="B112" i="10"/>
  <c r="A112" i="10"/>
  <c r="K112" i="10" s="1"/>
  <c r="M111" i="10"/>
  <c r="F111" i="10"/>
  <c r="C111" i="10"/>
  <c r="B111" i="10"/>
  <c r="A111" i="10"/>
  <c r="G111" i="10" s="1"/>
  <c r="M110" i="10"/>
  <c r="F110" i="10"/>
  <c r="C110" i="10"/>
  <c r="B110" i="10"/>
  <c r="A110" i="10"/>
  <c r="K110" i="10" s="1"/>
  <c r="M109" i="10"/>
  <c r="F109" i="10"/>
  <c r="C109" i="10"/>
  <c r="B109" i="10"/>
  <c r="A109" i="10"/>
  <c r="N109" i="10" s="1"/>
  <c r="Q109" i="10" s="1"/>
  <c r="M108" i="10"/>
  <c r="F108" i="10"/>
  <c r="P108" i="10" s="1"/>
  <c r="D108" i="10"/>
  <c r="C108" i="10"/>
  <c r="B108" i="10"/>
  <c r="A108" i="10"/>
  <c r="K108" i="10" s="1"/>
  <c r="M107" i="10"/>
  <c r="I107" i="10"/>
  <c r="F107" i="10"/>
  <c r="C107" i="10"/>
  <c r="B107" i="10"/>
  <c r="A107" i="10"/>
  <c r="M106" i="10"/>
  <c r="F106" i="10"/>
  <c r="D106" i="10" s="1"/>
  <c r="C106" i="10"/>
  <c r="B106" i="10"/>
  <c r="A106" i="10"/>
  <c r="I106" i="10" s="1"/>
  <c r="M105" i="10"/>
  <c r="F105" i="10"/>
  <c r="D105" i="10"/>
  <c r="C105" i="10"/>
  <c r="B105" i="10"/>
  <c r="A105" i="10"/>
  <c r="N105" i="10" s="1"/>
  <c r="M104" i="10"/>
  <c r="F104" i="10"/>
  <c r="D104" i="10"/>
  <c r="C104" i="10"/>
  <c r="B104" i="10"/>
  <c r="A104" i="10"/>
  <c r="I104" i="10" s="1"/>
  <c r="M103" i="10"/>
  <c r="F103" i="10"/>
  <c r="C103" i="10"/>
  <c r="B103" i="10"/>
  <c r="A103" i="10"/>
  <c r="I103" i="10" s="1"/>
  <c r="M102" i="10"/>
  <c r="F102" i="10"/>
  <c r="D102" i="10" s="1"/>
  <c r="C102" i="10"/>
  <c r="B102" i="10"/>
  <c r="A102" i="10"/>
  <c r="I102" i="10" s="1"/>
  <c r="M101" i="10"/>
  <c r="F101" i="10"/>
  <c r="D101" i="10"/>
  <c r="C101" i="10"/>
  <c r="B101" i="10"/>
  <c r="A101" i="10"/>
  <c r="N101" i="10" s="1"/>
  <c r="M100" i="10"/>
  <c r="F100" i="10"/>
  <c r="D100" i="10"/>
  <c r="C100" i="10"/>
  <c r="B100" i="10"/>
  <c r="A100" i="10"/>
  <c r="I100" i="10" s="1"/>
  <c r="M99" i="10"/>
  <c r="F99" i="10"/>
  <c r="C99" i="10"/>
  <c r="B99" i="10"/>
  <c r="A99" i="10"/>
  <c r="I99" i="10" s="1"/>
  <c r="M98" i="10"/>
  <c r="F98" i="10"/>
  <c r="D98" i="10" s="1"/>
  <c r="C98" i="10"/>
  <c r="B98" i="10"/>
  <c r="A98" i="10"/>
  <c r="I98" i="10" s="1"/>
  <c r="M97" i="10"/>
  <c r="F97" i="10"/>
  <c r="D97" i="10"/>
  <c r="C97" i="10"/>
  <c r="B97" i="10"/>
  <c r="A97" i="10"/>
  <c r="M96" i="10"/>
  <c r="F96" i="10"/>
  <c r="D96" i="10"/>
  <c r="C96" i="10"/>
  <c r="B96" i="10"/>
  <c r="A96" i="10"/>
  <c r="I96" i="10" s="1"/>
  <c r="M95" i="10"/>
  <c r="I95" i="10"/>
  <c r="F95" i="10"/>
  <c r="C95" i="10"/>
  <c r="B95" i="10"/>
  <c r="A95" i="10"/>
  <c r="M94" i="10"/>
  <c r="F94" i="10"/>
  <c r="D94" i="10" s="1"/>
  <c r="C94" i="10"/>
  <c r="B94" i="10"/>
  <c r="A94" i="10"/>
  <c r="I94" i="10" s="1"/>
  <c r="M93" i="10"/>
  <c r="F93" i="10"/>
  <c r="D93" i="10"/>
  <c r="C93" i="10"/>
  <c r="B93" i="10"/>
  <c r="A93" i="10"/>
  <c r="N93" i="10" s="1"/>
  <c r="O93" i="10" s="1"/>
  <c r="M92" i="10"/>
  <c r="F92" i="10"/>
  <c r="D92" i="10"/>
  <c r="C92" i="10"/>
  <c r="B92" i="10"/>
  <c r="A92" i="10"/>
  <c r="I92" i="10" s="1"/>
  <c r="M91" i="10"/>
  <c r="I91" i="10"/>
  <c r="F91" i="10"/>
  <c r="C91" i="10"/>
  <c r="B91" i="10"/>
  <c r="A91" i="10"/>
  <c r="M90" i="10"/>
  <c r="F90" i="10"/>
  <c r="D90" i="10" s="1"/>
  <c r="C90" i="10"/>
  <c r="B90" i="10"/>
  <c r="A90" i="10"/>
  <c r="I90" i="10" s="1"/>
  <c r="M89" i="10"/>
  <c r="F89" i="10"/>
  <c r="D89" i="10"/>
  <c r="C89" i="10"/>
  <c r="B89" i="10"/>
  <c r="A89" i="10"/>
  <c r="N89" i="10" s="1"/>
  <c r="M88" i="10"/>
  <c r="F88" i="10"/>
  <c r="D88" i="10"/>
  <c r="C88" i="10"/>
  <c r="B88" i="10"/>
  <c r="A88" i="10"/>
  <c r="I88" i="10" s="1"/>
  <c r="M87" i="10"/>
  <c r="I87" i="10"/>
  <c r="F87" i="10"/>
  <c r="C87" i="10"/>
  <c r="B87" i="10"/>
  <c r="A87" i="10"/>
  <c r="M86" i="10"/>
  <c r="F86" i="10"/>
  <c r="D86" i="10" s="1"/>
  <c r="C86" i="10"/>
  <c r="B86" i="10"/>
  <c r="A86" i="10"/>
  <c r="I86" i="10" s="1"/>
  <c r="M85" i="10"/>
  <c r="F85" i="10"/>
  <c r="D85" i="10"/>
  <c r="C85" i="10"/>
  <c r="B85" i="10"/>
  <c r="A85" i="10"/>
  <c r="N85" i="10" s="1"/>
  <c r="M84" i="10"/>
  <c r="F84" i="10"/>
  <c r="D84" i="10"/>
  <c r="C84" i="10"/>
  <c r="B84" i="10"/>
  <c r="A84" i="10"/>
  <c r="I84" i="10" s="1"/>
  <c r="M83" i="10"/>
  <c r="I83" i="10"/>
  <c r="F83" i="10"/>
  <c r="C83" i="10"/>
  <c r="B83" i="10"/>
  <c r="A83" i="10"/>
  <c r="M82" i="10"/>
  <c r="F82" i="10"/>
  <c r="D82" i="10"/>
  <c r="C82" i="10"/>
  <c r="B82" i="10"/>
  <c r="A82" i="10"/>
  <c r="P81" i="10"/>
  <c r="M81" i="10"/>
  <c r="F81" i="10"/>
  <c r="D81" i="10"/>
  <c r="C81" i="10"/>
  <c r="B81" i="10"/>
  <c r="A81" i="10"/>
  <c r="L81" i="10" s="1"/>
  <c r="J81" i="10" s="1"/>
  <c r="M80" i="10"/>
  <c r="L80" i="10"/>
  <c r="I80" i="10"/>
  <c r="G80" i="10"/>
  <c r="P80" i="10" s="1"/>
  <c r="F80" i="10"/>
  <c r="D80" i="10"/>
  <c r="C80" i="10"/>
  <c r="B80" i="10"/>
  <c r="A80" i="10"/>
  <c r="N80" i="10" s="1"/>
  <c r="O80" i="10" s="1"/>
  <c r="M79" i="10"/>
  <c r="F79" i="10"/>
  <c r="D79" i="10"/>
  <c r="C79" i="10"/>
  <c r="B79" i="10"/>
  <c r="A79" i="10"/>
  <c r="I79" i="10" s="1"/>
  <c r="M78" i="10"/>
  <c r="F78" i="10"/>
  <c r="D78" i="10"/>
  <c r="C78" i="10"/>
  <c r="B78" i="10"/>
  <c r="A78" i="10"/>
  <c r="L78" i="10" s="1"/>
  <c r="J78" i="10" s="1"/>
  <c r="M77" i="10"/>
  <c r="F77" i="10"/>
  <c r="D77" i="10"/>
  <c r="C77" i="10"/>
  <c r="B77" i="10"/>
  <c r="A77" i="10"/>
  <c r="I77" i="10" s="1"/>
  <c r="M76" i="10"/>
  <c r="F76" i="10"/>
  <c r="D76" i="10"/>
  <c r="C76" i="10"/>
  <c r="B76" i="10"/>
  <c r="A76" i="10"/>
  <c r="I76" i="10" s="1"/>
  <c r="M75" i="10"/>
  <c r="F75" i="10"/>
  <c r="D75" i="10"/>
  <c r="C75" i="10"/>
  <c r="B75" i="10"/>
  <c r="A75" i="10"/>
  <c r="I75" i="10" s="1"/>
  <c r="P74" i="10"/>
  <c r="M74" i="10"/>
  <c r="I74" i="10"/>
  <c r="F74" i="10"/>
  <c r="D74" i="10" s="1"/>
  <c r="C74" i="10"/>
  <c r="B74" i="10"/>
  <c r="A74" i="10"/>
  <c r="N74" i="10" s="1"/>
  <c r="Q74" i="10" s="1"/>
  <c r="M73" i="10"/>
  <c r="F73" i="10"/>
  <c r="D73" i="10"/>
  <c r="C73" i="10"/>
  <c r="B73" i="10"/>
  <c r="A73" i="10"/>
  <c r="M72" i="10"/>
  <c r="F72" i="10"/>
  <c r="D72" i="10"/>
  <c r="C72" i="10"/>
  <c r="B72" i="10"/>
  <c r="A72" i="10"/>
  <c r="M71" i="10"/>
  <c r="F71" i="10"/>
  <c r="D71" i="10"/>
  <c r="C71" i="10"/>
  <c r="B71" i="10"/>
  <c r="A71" i="10"/>
  <c r="M70" i="10"/>
  <c r="F70" i="10"/>
  <c r="D70" i="10"/>
  <c r="C70" i="10"/>
  <c r="B70" i="10"/>
  <c r="A70" i="10"/>
  <c r="M69" i="10"/>
  <c r="F69" i="10"/>
  <c r="D69" i="10"/>
  <c r="C69" i="10"/>
  <c r="B69" i="10"/>
  <c r="A69" i="10"/>
  <c r="M68" i="10"/>
  <c r="F68" i="10"/>
  <c r="D68" i="10"/>
  <c r="C68" i="10"/>
  <c r="B68" i="10"/>
  <c r="A68" i="10"/>
  <c r="M67" i="10"/>
  <c r="F67" i="10"/>
  <c r="D67" i="10"/>
  <c r="C67" i="10"/>
  <c r="B67" i="10"/>
  <c r="A67" i="10"/>
  <c r="M66" i="10"/>
  <c r="F66" i="10"/>
  <c r="D66" i="10"/>
  <c r="C66" i="10"/>
  <c r="B66" i="10"/>
  <c r="A66" i="10"/>
  <c r="M65" i="10"/>
  <c r="F65" i="10"/>
  <c r="D65" i="10"/>
  <c r="C65" i="10"/>
  <c r="B65" i="10"/>
  <c r="A65" i="10"/>
  <c r="M64" i="10"/>
  <c r="F64" i="10"/>
  <c r="D64" i="10"/>
  <c r="C64" i="10"/>
  <c r="B64" i="10"/>
  <c r="A64" i="10"/>
  <c r="P63" i="10"/>
  <c r="M63" i="10"/>
  <c r="F63" i="10"/>
  <c r="D63" i="10"/>
  <c r="C63" i="10"/>
  <c r="B63" i="10"/>
  <c r="A63" i="10"/>
  <c r="K63" i="10" s="1"/>
  <c r="M62" i="10"/>
  <c r="F62" i="10"/>
  <c r="D62" i="10"/>
  <c r="C62" i="10"/>
  <c r="B62" i="10"/>
  <c r="A62" i="10"/>
  <c r="I62" i="10" s="1"/>
  <c r="M61" i="10"/>
  <c r="F61" i="10"/>
  <c r="D61" i="10"/>
  <c r="C61" i="10"/>
  <c r="B61" i="10"/>
  <c r="A61" i="10"/>
  <c r="I61" i="10" s="1"/>
  <c r="M60" i="10"/>
  <c r="F60" i="10"/>
  <c r="D60" i="10"/>
  <c r="C60" i="10"/>
  <c r="B60" i="10"/>
  <c r="A60" i="10"/>
  <c r="I60" i="10" s="1"/>
  <c r="M59" i="10"/>
  <c r="F59" i="10"/>
  <c r="D59" i="10"/>
  <c r="C59" i="10"/>
  <c r="B59" i="10"/>
  <c r="A59" i="10"/>
  <c r="I59" i="10" s="1"/>
  <c r="M58" i="10"/>
  <c r="F58" i="10"/>
  <c r="D58" i="10"/>
  <c r="C58" i="10"/>
  <c r="B58" i="10"/>
  <c r="A58" i="10"/>
  <c r="I58" i="10" s="1"/>
  <c r="M57" i="10"/>
  <c r="F57" i="10"/>
  <c r="D57" i="10"/>
  <c r="C57" i="10"/>
  <c r="B57" i="10"/>
  <c r="A57" i="10"/>
  <c r="M56" i="10"/>
  <c r="F56" i="10"/>
  <c r="D56" i="10"/>
  <c r="C56" i="10"/>
  <c r="B56" i="10"/>
  <c r="A56" i="10"/>
  <c r="M55" i="10"/>
  <c r="F55" i="10"/>
  <c r="D55" i="10"/>
  <c r="C55" i="10"/>
  <c r="B55" i="10"/>
  <c r="A55" i="10"/>
  <c r="I55" i="10" s="1"/>
  <c r="M54" i="10"/>
  <c r="F54" i="10"/>
  <c r="D54" i="10"/>
  <c r="C54" i="10"/>
  <c r="B54" i="10"/>
  <c r="A54" i="10"/>
  <c r="I54" i="10" s="1"/>
  <c r="M53" i="10"/>
  <c r="I53" i="10"/>
  <c r="F53" i="10"/>
  <c r="D53" i="10" s="1"/>
  <c r="C53" i="10"/>
  <c r="B53" i="10"/>
  <c r="A53" i="10"/>
  <c r="N53" i="10" s="1"/>
  <c r="O53" i="10" s="1"/>
  <c r="M52" i="10"/>
  <c r="F52" i="10"/>
  <c r="D52" i="10" s="1"/>
  <c r="C52" i="10"/>
  <c r="B52" i="10"/>
  <c r="A52" i="10"/>
  <c r="L52" i="10" s="1"/>
  <c r="J52" i="10" s="1"/>
  <c r="M51" i="10"/>
  <c r="I51" i="10"/>
  <c r="F51" i="10"/>
  <c r="D51" i="10" s="1"/>
  <c r="C51" i="10"/>
  <c r="B51" i="10"/>
  <c r="A51" i="10"/>
  <c r="L51" i="10" s="1"/>
  <c r="J51" i="10" s="1"/>
  <c r="M50" i="10"/>
  <c r="F50" i="10"/>
  <c r="D50" i="10" s="1"/>
  <c r="C50" i="10"/>
  <c r="B50" i="10"/>
  <c r="A50" i="10"/>
  <c r="L50" i="10" s="1"/>
  <c r="M49" i="10"/>
  <c r="F49" i="10"/>
  <c r="D49" i="10" s="1"/>
  <c r="C49" i="10"/>
  <c r="B49" i="10"/>
  <c r="A49" i="10"/>
  <c r="L49" i="10" s="1"/>
  <c r="J49" i="10" s="1"/>
  <c r="N48" i="10"/>
  <c r="O48" i="10" s="1"/>
  <c r="M48" i="10"/>
  <c r="I48" i="10"/>
  <c r="F48" i="10"/>
  <c r="D48" i="10" s="1"/>
  <c r="C48" i="10"/>
  <c r="B48" i="10"/>
  <c r="A48" i="10"/>
  <c r="L48" i="10" s="1"/>
  <c r="J48" i="10" s="1"/>
  <c r="M47" i="10"/>
  <c r="F47" i="10"/>
  <c r="D47" i="10" s="1"/>
  <c r="C47" i="10"/>
  <c r="B47" i="10"/>
  <c r="A47" i="10"/>
  <c r="L47" i="10" s="1"/>
  <c r="J47" i="10" s="1"/>
  <c r="M46" i="10"/>
  <c r="F46" i="10"/>
  <c r="D46" i="10" s="1"/>
  <c r="C46" i="10"/>
  <c r="B46" i="10"/>
  <c r="A46" i="10"/>
  <c r="L46" i="10" s="1"/>
  <c r="N45" i="10"/>
  <c r="O45" i="10" s="1"/>
  <c r="M45" i="10"/>
  <c r="I45" i="10"/>
  <c r="F45" i="10"/>
  <c r="D45" i="10" s="1"/>
  <c r="C45" i="10"/>
  <c r="B45" i="10"/>
  <c r="A45" i="10"/>
  <c r="L45" i="10" s="1"/>
  <c r="J45" i="10" s="1"/>
  <c r="M44" i="10"/>
  <c r="F44" i="10"/>
  <c r="D44" i="10" s="1"/>
  <c r="C44" i="10"/>
  <c r="B44" i="10"/>
  <c r="A44" i="10"/>
  <c r="L44" i="10" s="1"/>
  <c r="J44" i="10" s="1"/>
  <c r="M43" i="10"/>
  <c r="F43" i="10"/>
  <c r="D43" i="10" s="1"/>
  <c r="C43" i="10"/>
  <c r="B43" i="10"/>
  <c r="A43" i="10"/>
  <c r="L43" i="10" s="1"/>
  <c r="J43" i="10" s="1"/>
  <c r="M42" i="10"/>
  <c r="F42" i="10"/>
  <c r="D42" i="10" s="1"/>
  <c r="C42" i="10"/>
  <c r="B42" i="10"/>
  <c r="A42" i="10"/>
  <c r="L42" i="10" s="1"/>
  <c r="M41" i="10"/>
  <c r="I41" i="10"/>
  <c r="F41" i="10"/>
  <c r="D41" i="10" s="1"/>
  <c r="C41" i="10"/>
  <c r="B41" i="10"/>
  <c r="A41" i="10"/>
  <c r="L41" i="10" s="1"/>
  <c r="J41" i="10" s="1"/>
  <c r="M40" i="10"/>
  <c r="F40" i="10"/>
  <c r="D40" i="10" s="1"/>
  <c r="C40" i="10"/>
  <c r="B40" i="10"/>
  <c r="A40" i="10"/>
  <c r="L40" i="10" s="1"/>
  <c r="J40" i="10" s="1"/>
  <c r="M39" i="10"/>
  <c r="F39" i="10"/>
  <c r="D39" i="10" s="1"/>
  <c r="C39" i="10"/>
  <c r="B39" i="10"/>
  <c r="A39" i="10"/>
  <c r="L39" i="10" s="1"/>
  <c r="J39" i="10" s="1"/>
  <c r="M38" i="10"/>
  <c r="F38" i="10"/>
  <c r="D38" i="10" s="1"/>
  <c r="C38" i="10"/>
  <c r="B38" i="10"/>
  <c r="A38" i="10"/>
  <c r="L38" i="10" s="1"/>
  <c r="M37" i="10"/>
  <c r="I37" i="10"/>
  <c r="F37" i="10"/>
  <c r="D37" i="10" s="1"/>
  <c r="C37" i="10"/>
  <c r="B37" i="10"/>
  <c r="A37" i="10"/>
  <c r="L37" i="10" s="1"/>
  <c r="J37" i="10" s="1"/>
  <c r="M36" i="10"/>
  <c r="F36" i="10"/>
  <c r="D36" i="10" s="1"/>
  <c r="C36" i="10"/>
  <c r="B36" i="10"/>
  <c r="A36" i="10"/>
  <c r="L36" i="10" s="1"/>
  <c r="J36" i="10" s="1"/>
  <c r="M35" i="10"/>
  <c r="F35" i="10"/>
  <c r="D35" i="10" s="1"/>
  <c r="C35" i="10"/>
  <c r="B35" i="10"/>
  <c r="A35" i="10"/>
  <c r="L35" i="10" s="1"/>
  <c r="J35" i="10" s="1"/>
  <c r="M34" i="10"/>
  <c r="F34" i="10"/>
  <c r="D34" i="10" s="1"/>
  <c r="C34" i="10"/>
  <c r="B34" i="10"/>
  <c r="A34" i="10"/>
  <c r="L34" i="10" s="1"/>
  <c r="M33" i="10"/>
  <c r="J33" i="10"/>
  <c r="H33" i="10"/>
  <c r="F33" i="10"/>
  <c r="C33" i="10"/>
  <c r="B33" i="10"/>
  <c r="A33" i="10"/>
  <c r="K33" i="10" s="1"/>
  <c r="M32" i="10"/>
  <c r="J32" i="10"/>
  <c r="H32" i="10"/>
  <c r="F32" i="10"/>
  <c r="P32" i="10" s="1"/>
  <c r="D32" i="10"/>
  <c r="C32" i="10"/>
  <c r="B32" i="10"/>
  <c r="A32" i="10"/>
  <c r="K32" i="10" s="1"/>
  <c r="M31" i="10"/>
  <c r="J31" i="10"/>
  <c r="H31" i="10"/>
  <c r="F31" i="10"/>
  <c r="P31" i="10" s="1"/>
  <c r="D31" i="10"/>
  <c r="C31" i="10"/>
  <c r="B31" i="10"/>
  <c r="A31" i="10"/>
  <c r="K31" i="10" s="1"/>
  <c r="M30" i="10"/>
  <c r="J30" i="10"/>
  <c r="H30" i="10"/>
  <c r="F30" i="10"/>
  <c r="P30" i="10" s="1"/>
  <c r="C30" i="10"/>
  <c r="B30" i="10"/>
  <c r="A30" i="10"/>
  <c r="N30" i="10" s="1"/>
  <c r="O30" i="10" s="1"/>
  <c r="P29" i="10"/>
  <c r="M29" i="10"/>
  <c r="J29" i="10"/>
  <c r="H29" i="10"/>
  <c r="F29" i="10"/>
  <c r="D29" i="10" s="1"/>
  <c r="C29" i="10"/>
  <c r="B29" i="10"/>
  <c r="A29" i="10"/>
  <c r="K29" i="10" s="1"/>
  <c r="M28" i="10"/>
  <c r="J28" i="10"/>
  <c r="H28" i="10"/>
  <c r="F28" i="10"/>
  <c r="P28" i="10" s="1"/>
  <c r="D28" i="10"/>
  <c r="C28" i="10"/>
  <c r="B28" i="10"/>
  <c r="A28" i="10"/>
  <c r="K28" i="10" s="1"/>
  <c r="M27" i="10"/>
  <c r="J27" i="10"/>
  <c r="H27" i="10"/>
  <c r="F27" i="10"/>
  <c r="P27" i="10" s="1"/>
  <c r="D27" i="10"/>
  <c r="C27" i="10"/>
  <c r="B27" i="10"/>
  <c r="A27" i="10"/>
  <c r="K27" i="10" s="1"/>
  <c r="M26" i="10"/>
  <c r="F26" i="10"/>
  <c r="D26" i="10"/>
  <c r="C26" i="10"/>
  <c r="B26" i="10"/>
  <c r="A26" i="10"/>
  <c r="K26" i="10" s="1"/>
  <c r="M25" i="10"/>
  <c r="F25" i="10"/>
  <c r="D25" i="10"/>
  <c r="C25" i="10"/>
  <c r="B25" i="10"/>
  <c r="A25" i="10"/>
  <c r="K25" i="10" s="1"/>
  <c r="M24" i="10"/>
  <c r="F24" i="10"/>
  <c r="D24" i="10"/>
  <c r="C24" i="10"/>
  <c r="B24" i="10"/>
  <c r="A24" i="10"/>
  <c r="K24" i="10" s="1"/>
  <c r="M23" i="10"/>
  <c r="F23" i="10"/>
  <c r="D23" i="10"/>
  <c r="C23" i="10"/>
  <c r="B23" i="10"/>
  <c r="A23" i="10"/>
  <c r="K23" i="10" s="1"/>
  <c r="M22" i="10"/>
  <c r="F22" i="10"/>
  <c r="D22" i="10"/>
  <c r="C22" i="10"/>
  <c r="B22" i="10"/>
  <c r="A22" i="10"/>
  <c r="K22" i="10" s="1"/>
  <c r="P21" i="10"/>
  <c r="M21" i="10"/>
  <c r="Q21" i="10" s="1"/>
  <c r="J21" i="10"/>
  <c r="H21" i="10"/>
  <c r="F21" i="10"/>
  <c r="D21" i="10"/>
  <c r="C21" i="10"/>
  <c r="O21" i="10" s="1"/>
  <c r="B21" i="10"/>
  <c r="A21" i="10"/>
  <c r="K21" i="10" s="1"/>
  <c r="F20" i="10"/>
  <c r="D20" i="10"/>
  <c r="C20" i="10"/>
  <c r="B20" i="10"/>
  <c r="A20" i="10"/>
  <c r="L20" i="10" s="1"/>
  <c r="P19" i="10"/>
  <c r="G19" i="10"/>
  <c r="F19" i="10"/>
  <c r="D19" i="10"/>
  <c r="C19" i="10"/>
  <c r="B19" i="10"/>
  <c r="A19" i="10"/>
  <c r="L19" i="10" s="1"/>
  <c r="H19" i="10" s="1"/>
  <c r="F18" i="10"/>
  <c r="D18" i="10"/>
  <c r="C18" i="10"/>
  <c r="B18" i="10"/>
  <c r="A18" i="10"/>
  <c r="L18" i="10" s="1"/>
  <c r="H18" i="10" s="1"/>
  <c r="F17" i="10"/>
  <c r="D17" i="10"/>
  <c r="C17" i="10"/>
  <c r="B17" i="10"/>
  <c r="A17" i="10"/>
  <c r="L17" i="10" s="1"/>
  <c r="H17" i="10" s="1"/>
  <c r="I16" i="10"/>
  <c r="G16" i="10"/>
  <c r="P16" i="10" s="1"/>
  <c r="F16" i="10"/>
  <c r="D16" i="10"/>
  <c r="C16" i="10"/>
  <c r="B16" i="10"/>
  <c r="A16" i="10"/>
  <c r="L16" i="10" s="1"/>
  <c r="G15" i="10"/>
  <c r="P15" i="10" s="1"/>
  <c r="F15" i="10"/>
  <c r="D15" i="10"/>
  <c r="C15" i="10"/>
  <c r="B15" i="10"/>
  <c r="A15" i="10"/>
  <c r="L15" i="10" s="1"/>
  <c r="H15" i="10" s="1"/>
  <c r="F14" i="10"/>
  <c r="D14" i="10"/>
  <c r="C14" i="10"/>
  <c r="B14" i="10"/>
  <c r="A14" i="10"/>
  <c r="L14" i="10" s="1"/>
  <c r="H14" i="10" s="1"/>
  <c r="F13" i="10"/>
  <c r="D13" i="10"/>
  <c r="C13" i="10"/>
  <c r="B13" i="10"/>
  <c r="A13" i="10"/>
  <c r="L13" i="10" s="1"/>
  <c r="H13" i="10" s="1"/>
  <c r="P12" i="10"/>
  <c r="I12" i="10"/>
  <c r="G12" i="10"/>
  <c r="F12" i="10"/>
  <c r="D12" i="10"/>
  <c r="C12" i="10"/>
  <c r="B12" i="10"/>
  <c r="A12" i="10"/>
  <c r="L12" i="10" s="1"/>
  <c r="F11" i="10"/>
  <c r="D11" i="10"/>
  <c r="C11" i="10"/>
  <c r="B11" i="10"/>
  <c r="A11" i="10"/>
  <c r="L11" i="10" s="1"/>
  <c r="H11" i="10" s="1"/>
  <c r="P10" i="10"/>
  <c r="M10" i="10"/>
  <c r="Q10" i="10" s="1"/>
  <c r="J10" i="10"/>
  <c r="H10" i="10"/>
  <c r="F10" i="10"/>
  <c r="D10" i="10"/>
  <c r="C10" i="10"/>
  <c r="B10" i="10"/>
  <c r="A10" i="10"/>
  <c r="I10" i="10" s="1"/>
  <c r="P9" i="10"/>
  <c r="K9" i="10"/>
  <c r="F9" i="10"/>
  <c r="D9" i="10"/>
  <c r="C9" i="10"/>
  <c r="B9" i="10"/>
  <c r="A9" i="10"/>
  <c r="F8" i="10"/>
  <c r="D8" i="10" s="1"/>
  <c r="C8" i="10"/>
  <c r="B8" i="10"/>
  <c r="A8" i="10"/>
  <c r="N8" i="10" s="1"/>
  <c r="O8" i="10" s="1"/>
  <c r="F7" i="10"/>
  <c r="D7" i="10" s="1"/>
  <c r="C7" i="10"/>
  <c r="B7" i="10"/>
  <c r="A7" i="10"/>
  <c r="N7" i="10" s="1"/>
  <c r="O7" i="10" s="1"/>
  <c r="I6" i="10"/>
  <c r="F6" i="10"/>
  <c r="D6" i="10" s="1"/>
  <c r="C6" i="10"/>
  <c r="B6" i="10"/>
  <c r="A6" i="10"/>
  <c r="N6" i="10" s="1"/>
  <c r="O6" i="10" s="1"/>
  <c r="C261" i="9"/>
  <c r="B261" i="9"/>
  <c r="A261" i="9"/>
  <c r="C260" i="9"/>
  <c r="B260" i="9"/>
  <c r="A260" i="9"/>
  <c r="C259" i="9"/>
  <c r="B259" i="9"/>
  <c r="A259" i="9"/>
  <c r="B261" i="8"/>
  <c r="A261" i="8"/>
  <c r="Q260" i="8"/>
  <c r="R260" i="8" s="1"/>
  <c r="P260" i="8" s="1"/>
  <c r="O260" i="8" s="1"/>
  <c r="N260" i="8" s="1"/>
  <c r="M260" i="8" s="1"/>
  <c r="L260" i="8" s="1"/>
  <c r="K260" i="8" s="1"/>
  <c r="J260" i="8" s="1"/>
  <c r="I260" i="8" s="1"/>
  <c r="C260" i="8"/>
  <c r="AE260" i="8" s="1"/>
  <c r="AD260" i="8" s="1"/>
  <c r="B260" i="8"/>
  <c r="A260" i="8"/>
  <c r="AF260" i="8" s="1"/>
  <c r="B259" i="8"/>
  <c r="A259" i="8"/>
  <c r="Q258" i="8"/>
  <c r="R258" i="8" s="1"/>
  <c r="P258" i="8" s="1"/>
  <c r="O258" i="8" s="1"/>
  <c r="N258" i="8" s="1"/>
  <c r="M258" i="8" s="1"/>
  <c r="L258" i="8" s="1"/>
  <c r="K258" i="8" s="1"/>
  <c r="J258" i="8" s="1"/>
  <c r="I258" i="8" s="1"/>
  <c r="B258" i="8"/>
  <c r="A258" i="8"/>
  <c r="AF258" i="8" s="1"/>
  <c r="C258" i="8" s="1"/>
  <c r="AE258" i="8" s="1"/>
  <c r="AD258" i="8" s="1"/>
  <c r="AF257" i="8"/>
  <c r="C257" i="8" s="1"/>
  <c r="AE257" i="8" s="1"/>
  <c r="AD257" i="8" s="1"/>
  <c r="B257" i="8"/>
  <c r="A257" i="8"/>
  <c r="Q256" i="8"/>
  <c r="R256" i="8" s="1"/>
  <c r="P256" i="8" s="1"/>
  <c r="O256" i="8" s="1"/>
  <c r="N256" i="8" s="1"/>
  <c r="M256" i="8" s="1"/>
  <c r="L256" i="8" s="1"/>
  <c r="K256" i="8" s="1"/>
  <c r="J256" i="8" s="1"/>
  <c r="I256" i="8" s="1"/>
  <c r="C256" i="8"/>
  <c r="AE256" i="8" s="1"/>
  <c r="AD256" i="8" s="1"/>
  <c r="Z256" i="8" s="1"/>
  <c r="Y256" i="8" s="1"/>
  <c r="X256" i="8" s="1"/>
  <c r="W256" i="8" s="1"/>
  <c r="B256" i="8"/>
  <c r="A256" i="8"/>
  <c r="AF256" i="8" s="1"/>
  <c r="B255" i="8"/>
  <c r="A255" i="8"/>
  <c r="Q254" i="8"/>
  <c r="R254" i="8" s="1"/>
  <c r="P254" i="8" s="1"/>
  <c r="O254" i="8" s="1"/>
  <c r="N254" i="8" s="1"/>
  <c r="M254" i="8" s="1"/>
  <c r="L254" i="8" s="1"/>
  <c r="K254" i="8" s="1"/>
  <c r="J254" i="8" s="1"/>
  <c r="I254" i="8" s="1"/>
  <c r="B254" i="8"/>
  <c r="A254" i="8"/>
  <c r="AF254" i="8" s="1"/>
  <c r="C254" i="8" s="1"/>
  <c r="AE254" i="8" s="1"/>
  <c r="AD254" i="8" s="1"/>
  <c r="AF253" i="8"/>
  <c r="C253" i="8" s="1"/>
  <c r="AE253" i="8" s="1"/>
  <c r="AD253" i="8" s="1"/>
  <c r="B253" i="8"/>
  <c r="A253" i="8"/>
  <c r="Q252" i="8"/>
  <c r="R252" i="8" s="1"/>
  <c r="P252" i="8" s="1"/>
  <c r="O252" i="8" s="1"/>
  <c r="N252" i="8" s="1"/>
  <c r="M252" i="8" s="1"/>
  <c r="L252" i="8" s="1"/>
  <c r="K252" i="8" s="1"/>
  <c r="J252" i="8" s="1"/>
  <c r="I252" i="8" s="1"/>
  <c r="C252" i="8"/>
  <c r="AE252" i="8" s="1"/>
  <c r="AD252" i="8" s="1"/>
  <c r="Z252" i="8" s="1"/>
  <c r="Y252" i="8" s="1"/>
  <c r="X252" i="8" s="1"/>
  <c r="W252" i="8" s="1"/>
  <c r="B252" i="8"/>
  <c r="A252" i="8"/>
  <c r="AF252" i="8" s="1"/>
  <c r="B251" i="8"/>
  <c r="A251" i="8"/>
  <c r="AF251" i="8" s="1"/>
  <c r="C251" i="8" s="1"/>
  <c r="AE251" i="8" s="1"/>
  <c r="AD251" i="8" s="1"/>
  <c r="Q250" i="8"/>
  <c r="R250" i="8" s="1"/>
  <c r="P250" i="8" s="1"/>
  <c r="O250" i="8" s="1"/>
  <c r="N250" i="8" s="1"/>
  <c r="M250" i="8" s="1"/>
  <c r="L250" i="8" s="1"/>
  <c r="K250" i="8" s="1"/>
  <c r="J250" i="8" s="1"/>
  <c r="I250" i="8" s="1"/>
  <c r="B250" i="8"/>
  <c r="A250" i="8"/>
  <c r="AF250" i="8" s="1"/>
  <c r="C250" i="8" s="1"/>
  <c r="AE250" i="8" s="1"/>
  <c r="AD250" i="8" s="1"/>
  <c r="AF249" i="8"/>
  <c r="C249" i="8" s="1"/>
  <c r="AE249" i="8" s="1"/>
  <c r="AD249" i="8" s="1"/>
  <c r="B249" i="8"/>
  <c r="A249" i="8"/>
  <c r="Q248" i="8"/>
  <c r="R248" i="8" s="1"/>
  <c r="P248" i="8" s="1"/>
  <c r="O248" i="8" s="1"/>
  <c r="N248" i="8" s="1"/>
  <c r="M248" i="8" s="1"/>
  <c r="L248" i="8" s="1"/>
  <c r="K248" i="8" s="1"/>
  <c r="J248" i="8" s="1"/>
  <c r="I248" i="8" s="1"/>
  <c r="C248" i="8"/>
  <c r="AE248" i="8" s="1"/>
  <c r="AD248" i="8" s="1"/>
  <c r="Z248" i="8" s="1"/>
  <c r="Y248" i="8" s="1"/>
  <c r="X248" i="8" s="1"/>
  <c r="W248" i="8" s="1"/>
  <c r="B248" i="8"/>
  <c r="A248" i="8"/>
  <c r="AF248" i="8" s="1"/>
  <c r="B247" i="8"/>
  <c r="A247" i="8"/>
  <c r="Q246" i="8"/>
  <c r="R246" i="8" s="1"/>
  <c r="P246" i="8" s="1"/>
  <c r="O246" i="8" s="1"/>
  <c r="N246" i="8" s="1"/>
  <c r="M246" i="8" s="1"/>
  <c r="L246" i="8" s="1"/>
  <c r="K246" i="8" s="1"/>
  <c r="J246" i="8" s="1"/>
  <c r="I246" i="8" s="1"/>
  <c r="B246" i="8"/>
  <c r="A246" i="8"/>
  <c r="AF246" i="8" s="1"/>
  <c r="C246" i="8" s="1"/>
  <c r="AE246" i="8" s="1"/>
  <c r="AD246" i="8" s="1"/>
  <c r="Z246" i="8" s="1"/>
  <c r="Y246" i="8" s="1"/>
  <c r="X246" i="8" s="1"/>
  <c r="W246" i="8" s="1"/>
  <c r="AF245" i="8"/>
  <c r="C245" i="8" s="1"/>
  <c r="AE245" i="8" s="1"/>
  <c r="AD245" i="8" s="1"/>
  <c r="B245" i="8"/>
  <c r="A245" i="8"/>
  <c r="Q244" i="8"/>
  <c r="R244" i="8" s="1"/>
  <c r="P244" i="8" s="1"/>
  <c r="O244" i="8" s="1"/>
  <c r="N244" i="8" s="1"/>
  <c r="M244" i="8" s="1"/>
  <c r="L244" i="8" s="1"/>
  <c r="K244" i="8" s="1"/>
  <c r="J244" i="8" s="1"/>
  <c r="I244" i="8" s="1"/>
  <c r="C244" i="8"/>
  <c r="AE244" i="8" s="1"/>
  <c r="AD244" i="8" s="1"/>
  <c r="B244" i="8"/>
  <c r="A244" i="8"/>
  <c r="AF244" i="8" s="1"/>
  <c r="B243" i="8"/>
  <c r="A243" i="8"/>
  <c r="Q242" i="8"/>
  <c r="R242" i="8" s="1"/>
  <c r="P242" i="8" s="1"/>
  <c r="O242" i="8" s="1"/>
  <c r="N242" i="8" s="1"/>
  <c r="M242" i="8" s="1"/>
  <c r="L242" i="8" s="1"/>
  <c r="K242" i="8" s="1"/>
  <c r="J242" i="8" s="1"/>
  <c r="I242" i="8" s="1"/>
  <c r="B242" i="8"/>
  <c r="A242" i="8"/>
  <c r="AF242" i="8" s="1"/>
  <c r="C242" i="8" s="1"/>
  <c r="AE242" i="8" s="1"/>
  <c r="AD242" i="8" s="1"/>
  <c r="AF241" i="8"/>
  <c r="C241" i="8" s="1"/>
  <c r="AE241" i="8" s="1"/>
  <c r="AD241" i="8" s="1"/>
  <c r="B241" i="8"/>
  <c r="A241" i="8"/>
  <c r="Q240" i="8"/>
  <c r="R240" i="8" s="1"/>
  <c r="P240" i="8" s="1"/>
  <c r="O240" i="8" s="1"/>
  <c r="N240" i="8" s="1"/>
  <c r="M240" i="8" s="1"/>
  <c r="L240" i="8" s="1"/>
  <c r="K240" i="8" s="1"/>
  <c r="J240" i="8" s="1"/>
  <c r="I240" i="8" s="1"/>
  <c r="C240" i="8"/>
  <c r="AE240" i="8" s="1"/>
  <c r="AD240" i="8" s="1"/>
  <c r="Z240" i="8" s="1"/>
  <c r="Y240" i="8" s="1"/>
  <c r="X240" i="8" s="1"/>
  <c r="W240" i="8" s="1"/>
  <c r="B240" i="8"/>
  <c r="A240" i="8"/>
  <c r="AF240" i="8" s="1"/>
  <c r="AF239" i="8"/>
  <c r="C239" i="8" s="1"/>
  <c r="AE239" i="8" s="1"/>
  <c r="AD239" i="8" s="1"/>
  <c r="AA239" i="8" s="1"/>
  <c r="B239" i="8"/>
  <c r="A239" i="8"/>
  <c r="Q239" i="8" s="1"/>
  <c r="R239" i="8" s="1"/>
  <c r="P239" i="8" s="1"/>
  <c r="O239" i="8" s="1"/>
  <c r="N239" i="8" s="1"/>
  <c r="M239" i="8" s="1"/>
  <c r="L239" i="8" s="1"/>
  <c r="K239" i="8" s="1"/>
  <c r="J239" i="8" s="1"/>
  <c r="I239" i="8" s="1"/>
  <c r="Q238" i="8"/>
  <c r="R238" i="8" s="1"/>
  <c r="P238" i="8" s="1"/>
  <c r="O238" i="8" s="1"/>
  <c r="N238" i="8" s="1"/>
  <c r="M238" i="8" s="1"/>
  <c r="L238" i="8" s="1"/>
  <c r="K238" i="8" s="1"/>
  <c r="J238" i="8" s="1"/>
  <c r="I238" i="8" s="1"/>
  <c r="B238" i="8"/>
  <c r="A238" i="8"/>
  <c r="AF238" i="8" s="1"/>
  <c r="C238" i="8" s="1"/>
  <c r="AE238" i="8" s="1"/>
  <c r="AD238" i="8" s="1"/>
  <c r="Z238" i="8" s="1"/>
  <c r="Y238" i="8" s="1"/>
  <c r="X238" i="8" s="1"/>
  <c r="W238" i="8" s="1"/>
  <c r="B237" i="8"/>
  <c r="A237" i="8"/>
  <c r="Q236" i="8"/>
  <c r="R236" i="8" s="1"/>
  <c r="P236" i="8" s="1"/>
  <c r="O236" i="8" s="1"/>
  <c r="N236" i="8" s="1"/>
  <c r="M236" i="8" s="1"/>
  <c r="L236" i="8" s="1"/>
  <c r="K236" i="8" s="1"/>
  <c r="J236" i="8" s="1"/>
  <c r="I236" i="8" s="1"/>
  <c r="C236" i="8"/>
  <c r="AE236" i="8" s="1"/>
  <c r="AD236" i="8" s="1"/>
  <c r="B236" i="8"/>
  <c r="A236" i="8"/>
  <c r="AF236" i="8" s="1"/>
  <c r="AF235" i="8"/>
  <c r="C235" i="8" s="1"/>
  <c r="AE235" i="8" s="1"/>
  <c r="AD235" i="8" s="1"/>
  <c r="AB235" i="8" s="1"/>
  <c r="B235" i="8"/>
  <c r="A235" i="8"/>
  <c r="Q235" i="8" s="1"/>
  <c r="R235" i="8" s="1"/>
  <c r="P235" i="8" s="1"/>
  <c r="O235" i="8" s="1"/>
  <c r="N235" i="8" s="1"/>
  <c r="M235" i="8" s="1"/>
  <c r="L235" i="8" s="1"/>
  <c r="K235" i="8" s="1"/>
  <c r="J235" i="8" s="1"/>
  <c r="I235" i="8" s="1"/>
  <c r="Q234" i="8"/>
  <c r="R234" i="8" s="1"/>
  <c r="P234" i="8" s="1"/>
  <c r="O234" i="8" s="1"/>
  <c r="N234" i="8" s="1"/>
  <c r="M234" i="8" s="1"/>
  <c r="L234" i="8" s="1"/>
  <c r="K234" i="8" s="1"/>
  <c r="J234" i="8" s="1"/>
  <c r="I234" i="8" s="1"/>
  <c r="B234" i="8"/>
  <c r="A234" i="8"/>
  <c r="AF234" i="8" s="1"/>
  <c r="C234" i="8" s="1"/>
  <c r="AE234" i="8" s="1"/>
  <c r="AD234" i="8" s="1"/>
  <c r="B233" i="8"/>
  <c r="A233" i="8"/>
  <c r="Q232" i="8"/>
  <c r="R232" i="8" s="1"/>
  <c r="P232" i="8" s="1"/>
  <c r="O232" i="8" s="1"/>
  <c r="N232" i="8" s="1"/>
  <c r="M232" i="8" s="1"/>
  <c r="L232" i="8" s="1"/>
  <c r="K232" i="8" s="1"/>
  <c r="J232" i="8" s="1"/>
  <c r="I232" i="8" s="1"/>
  <c r="C232" i="8"/>
  <c r="AE232" i="8" s="1"/>
  <c r="AD232" i="8" s="1"/>
  <c r="B232" i="8"/>
  <c r="A232" i="8"/>
  <c r="AF232" i="8" s="1"/>
  <c r="AF231" i="8"/>
  <c r="C231" i="8" s="1"/>
  <c r="AE231" i="8" s="1"/>
  <c r="AD231" i="8" s="1"/>
  <c r="AA231" i="8" s="1"/>
  <c r="B231" i="8"/>
  <c r="A231" i="8"/>
  <c r="Q231" i="8" s="1"/>
  <c r="R231" i="8" s="1"/>
  <c r="P231" i="8" s="1"/>
  <c r="O231" i="8" s="1"/>
  <c r="N231" i="8" s="1"/>
  <c r="M231" i="8" s="1"/>
  <c r="L231" i="8" s="1"/>
  <c r="K231" i="8" s="1"/>
  <c r="J231" i="8" s="1"/>
  <c r="I231" i="8" s="1"/>
  <c r="Q230" i="8"/>
  <c r="R230" i="8" s="1"/>
  <c r="P230" i="8" s="1"/>
  <c r="O230" i="8" s="1"/>
  <c r="N230" i="8" s="1"/>
  <c r="M230" i="8" s="1"/>
  <c r="L230" i="8" s="1"/>
  <c r="K230" i="8" s="1"/>
  <c r="J230" i="8" s="1"/>
  <c r="I230" i="8" s="1"/>
  <c r="B230" i="8"/>
  <c r="A230" i="8"/>
  <c r="AF230" i="8" s="1"/>
  <c r="C230" i="8" s="1"/>
  <c r="AE230" i="8" s="1"/>
  <c r="AD230" i="8" s="1"/>
  <c r="Z230" i="8" s="1"/>
  <c r="Y230" i="8" s="1"/>
  <c r="X230" i="8" s="1"/>
  <c r="W230" i="8" s="1"/>
  <c r="B229" i="8"/>
  <c r="A229" i="8"/>
  <c r="Q228" i="8"/>
  <c r="R228" i="8" s="1"/>
  <c r="P228" i="8" s="1"/>
  <c r="O228" i="8" s="1"/>
  <c r="N228" i="8" s="1"/>
  <c r="M228" i="8" s="1"/>
  <c r="L228" i="8" s="1"/>
  <c r="K228" i="8" s="1"/>
  <c r="J228" i="8" s="1"/>
  <c r="I228" i="8" s="1"/>
  <c r="C228" i="8"/>
  <c r="AE228" i="8" s="1"/>
  <c r="AD228" i="8" s="1"/>
  <c r="B228" i="8"/>
  <c r="A228" i="8"/>
  <c r="AF228" i="8" s="1"/>
  <c r="AF227" i="8"/>
  <c r="C227" i="8" s="1"/>
  <c r="AE227" i="8" s="1"/>
  <c r="AD227" i="8" s="1"/>
  <c r="AB227" i="8" s="1"/>
  <c r="B227" i="8"/>
  <c r="A227" i="8"/>
  <c r="Q227" i="8" s="1"/>
  <c r="R227" i="8" s="1"/>
  <c r="P227" i="8" s="1"/>
  <c r="O227" i="8" s="1"/>
  <c r="N227" i="8" s="1"/>
  <c r="M227" i="8" s="1"/>
  <c r="L227" i="8" s="1"/>
  <c r="K227" i="8" s="1"/>
  <c r="J227" i="8" s="1"/>
  <c r="I227" i="8" s="1"/>
  <c r="Q226" i="8"/>
  <c r="R226" i="8" s="1"/>
  <c r="P226" i="8" s="1"/>
  <c r="O226" i="8" s="1"/>
  <c r="N226" i="8" s="1"/>
  <c r="M226" i="8" s="1"/>
  <c r="L226" i="8" s="1"/>
  <c r="K226" i="8" s="1"/>
  <c r="J226" i="8" s="1"/>
  <c r="I226" i="8" s="1"/>
  <c r="B226" i="8"/>
  <c r="A226" i="8"/>
  <c r="AF226" i="8" s="1"/>
  <c r="C226" i="8" s="1"/>
  <c r="AE226" i="8" s="1"/>
  <c r="AD226" i="8" s="1"/>
  <c r="Z226" i="8" s="1"/>
  <c r="Y226" i="8" s="1"/>
  <c r="X226" i="8" s="1"/>
  <c r="W226" i="8" s="1"/>
  <c r="B225" i="8"/>
  <c r="A225" i="8"/>
  <c r="Q224" i="8"/>
  <c r="R224" i="8" s="1"/>
  <c r="P224" i="8" s="1"/>
  <c r="O224" i="8" s="1"/>
  <c r="N224" i="8" s="1"/>
  <c r="M224" i="8" s="1"/>
  <c r="L224" i="8" s="1"/>
  <c r="K224" i="8" s="1"/>
  <c r="J224" i="8" s="1"/>
  <c r="I224" i="8" s="1"/>
  <c r="C224" i="8"/>
  <c r="AE224" i="8" s="1"/>
  <c r="AD224" i="8" s="1"/>
  <c r="B224" i="8"/>
  <c r="A224" i="8"/>
  <c r="AF224" i="8" s="1"/>
  <c r="AF223" i="8"/>
  <c r="C223" i="8" s="1"/>
  <c r="AE223" i="8" s="1"/>
  <c r="AD223" i="8" s="1"/>
  <c r="AA223" i="8" s="1"/>
  <c r="B223" i="8"/>
  <c r="A223" i="8"/>
  <c r="Q223" i="8" s="1"/>
  <c r="R223" i="8" s="1"/>
  <c r="P223" i="8" s="1"/>
  <c r="O223" i="8" s="1"/>
  <c r="N223" i="8" s="1"/>
  <c r="M223" i="8" s="1"/>
  <c r="L223" i="8" s="1"/>
  <c r="K223" i="8" s="1"/>
  <c r="J223" i="8" s="1"/>
  <c r="I223" i="8" s="1"/>
  <c r="Q222" i="8"/>
  <c r="R222" i="8" s="1"/>
  <c r="P222" i="8" s="1"/>
  <c r="O222" i="8" s="1"/>
  <c r="N222" i="8" s="1"/>
  <c r="M222" i="8" s="1"/>
  <c r="L222" i="8" s="1"/>
  <c r="K222" i="8" s="1"/>
  <c r="J222" i="8" s="1"/>
  <c r="I222" i="8" s="1"/>
  <c r="B222" i="8"/>
  <c r="A222" i="8"/>
  <c r="AF222" i="8" s="1"/>
  <c r="C222" i="8" s="1"/>
  <c r="AE222" i="8" s="1"/>
  <c r="AD222" i="8" s="1"/>
  <c r="B221" i="8"/>
  <c r="A221" i="8"/>
  <c r="Q220" i="8"/>
  <c r="R220" i="8" s="1"/>
  <c r="P220" i="8" s="1"/>
  <c r="O220" i="8" s="1"/>
  <c r="N220" i="8" s="1"/>
  <c r="M220" i="8" s="1"/>
  <c r="L220" i="8" s="1"/>
  <c r="K220" i="8" s="1"/>
  <c r="J220" i="8" s="1"/>
  <c r="I220" i="8" s="1"/>
  <c r="C220" i="8"/>
  <c r="AE220" i="8" s="1"/>
  <c r="AD220" i="8" s="1"/>
  <c r="B220" i="8"/>
  <c r="A220" i="8"/>
  <c r="AF220" i="8" s="1"/>
  <c r="AF219" i="8"/>
  <c r="C219" i="8" s="1"/>
  <c r="AE219" i="8" s="1"/>
  <c r="AD219" i="8" s="1"/>
  <c r="AB219" i="8" s="1"/>
  <c r="B219" i="8"/>
  <c r="A219" i="8"/>
  <c r="Q219" i="8" s="1"/>
  <c r="R219" i="8" s="1"/>
  <c r="P219" i="8" s="1"/>
  <c r="O219" i="8" s="1"/>
  <c r="N219" i="8" s="1"/>
  <c r="M219" i="8" s="1"/>
  <c r="L219" i="8" s="1"/>
  <c r="K219" i="8" s="1"/>
  <c r="J219" i="8" s="1"/>
  <c r="I219" i="8" s="1"/>
  <c r="Q218" i="8"/>
  <c r="R218" i="8" s="1"/>
  <c r="P218" i="8" s="1"/>
  <c r="O218" i="8" s="1"/>
  <c r="N218" i="8" s="1"/>
  <c r="M218" i="8" s="1"/>
  <c r="L218" i="8" s="1"/>
  <c r="K218" i="8" s="1"/>
  <c r="J218" i="8" s="1"/>
  <c r="I218" i="8" s="1"/>
  <c r="B218" i="8"/>
  <c r="A218" i="8"/>
  <c r="AF218" i="8" s="1"/>
  <c r="C218" i="8" s="1"/>
  <c r="AE218" i="8" s="1"/>
  <c r="AD218" i="8" s="1"/>
  <c r="B217" i="8"/>
  <c r="A217" i="8"/>
  <c r="Q216" i="8"/>
  <c r="R216" i="8" s="1"/>
  <c r="P216" i="8" s="1"/>
  <c r="O216" i="8" s="1"/>
  <c r="N216" i="8" s="1"/>
  <c r="M216" i="8" s="1"/>
  <c r="L216" i="8" s="1"/>
  <c r="K216" i="8" s="1"/>
  <c r="J216" i="8" s="1"/>
  <c r="I216" i="8" s="1"/>
  <c r="C216" i="8"/>
  <c r="AE216" i="8" s="1"/>
  <c r="AD216" i="8" s="1"/>
  <c r="B216" i="8"/>
  <c r="A216" i="8"/>
  <c r="AF216" i="8" s="1"/>
  <c r="AF215" i="8"/>
  <c r="C215" i="8" s="1"/>
  <c r="AE215" i="8" s="1"/>
  <c r="AD215" i="8" s="1"/>
  <c r="AB215" i="8" s="1"/>
  <c r="B215" i="8"/>
  <c r="A215" i="8"/>
  <c r="Q215" i="8" s="1"/>
  <c r="R215" i="8" s="1"/>
  <c r="P215" i="8" s="1"/>
  <c r="O215" i="8" s="1"/>
  <c r="N215" i="8" s="1"/>
  <c r="M215" i="8" s="1"/>
  <c r="L215" i="8" s="1"/>
  <c r="K215" i="8" s="1"/>
  <c r="J215" i="8" s="1"/>
  <c r="I215" i="8" s="1"/>
  <c r="Q214" i="8"/>
  <c r="R214" i="8" s="1"/>
  <c r="P214" i="8" s="1"/>
  <c r="O214" i="8" s="1"/>
  <c r="N214" i="8" s="1"/>
  <c r="M214" i="8" s="1"/>
  <c r="L214" i="8" s="1"/>
  <c r="K214" i="8" s="1"/>
  <c r="J214" i="8" s="1"/>
  <c r="I214" i="8" s="1"/>
  <c r="B214" i="8"/>
  <c r="A214" i="8"/>
  <c r="AF214" i="8" s="1"/>
  <c r="C214" i="8" s="1"/>
  <c r="AE214" i="8" s="1"/>
  <c r="AD214" i="8" s="1"/>
  <c r="B213" i="8"/>
  <c r="A213" i="8"/>
  <c r="Q212" i="8"/>
  <c r="R212" i="8" s="1"/>
  <c r="P212" i="8" s="1"/>
  <c r="O212" i="8" s="1"/>
  <c r="N212" i="8" s="1"/>
  <c r="M212" i="8" s="1"/>
  <c r="L212" i="8" s="1"/>
  <c r="K212" i="8" s="1"/>
  <c r="J212" i="8" s="1"/>
  <c r="I212" i="8" s="1"/>
  <c r="C212" i="8"/>
  <c r="AE212" i="8" s="1"/>
  <c r="AD212" i="8" s="1"/>
  <c r="B212" i="8"/>
  <c r="A212" i="8"/>
  <c r="AF212" i="8" s="1"/>
  <c r="AF211" i="8"/>
  <c r="C211" i="8" s="1"/>
  <c r="AE211" i="8" s="1"/>
  <c r="AD211" i="8" s="1"/>
  <c r="AB211" i="8" s="1"/>
  <c r="B211" i="8"/>
  <c r="A211" i="8"/>
  <c r="Q211" i="8" s="1"/>
  <c r="R211" i="8" s="1"/>
  <c r="P211" i="8" s="1"/>
  <c r="O211" i="8" s="1"/>
  <c r="N211" i="8" s="1"/>
  <c r="M211" i="8" s="1"/>
  <c r="L211" i="8" s="1"/>
  <c r="K211" i="8" s="1"/>
  <c r="J211" i="8" s="1"/>
  <c r="I211" i="8" s="1"/>
  <c r="Q210" i="8"/>
  <c r="R210" i="8" s="1"/>
  <c r="P210" i="8" s="1"/>
  <c r="O210" i="8" s="1"/>
  <c r="N210" i="8" s="1"/>
  <c r="M210" i="8" s="1"/>
  <c r="L210" i="8" s="1"/>
  <c r="K210" i="8" s="1"/>
  <c r="J210" i="8" s="1"/>
  <c r="I210" i="8" s="1"/>
  <c r="B210" i="8"/>
  <c r="A210" i="8"/>
  <c r="AF210" i="8" s="1"/>
  <c r="C210" i="8" s="1"/>
  <c r="AE210" i="8" s="1"/>
  <c r="AD210" i="8" s="1"/>
  <c r="Z210" i="8" s="1"/>
  <c r="Y210" i="8" s="1"/>
  <c r="X210" i="8" s="1"/>
  <c r="W210" i="8" s="1"/>
  <c r="B209" i="8"/>
  <c r="A209" i="8"/>
  <c r="Q208" i="8"/>
  <c r="R208" i="8" s="1"/>
  <c r="P208" i="8" s="1"/>
  <c r="O208" i="8" s="1"/>
  <c r="N208" i="8" s="1"/>
  <c r="M208" i="8" s="1"/>
  <c r="L208" i="8" s="1"/>
  <c r="K208" i="8" s="1"/>
  <c r="J208" i="8" s="1"/>
  <c r="I208" i="8" s="1"/>
  <c r="C208" i="8"/>
  <c r="AE208" i="8" s="1"/>
  <c r="AD208" i="8" s="1"/>
  <c r="B208" i="8"/>
  <c r="A208" i="8"/>
  <c r="AF208" i="8" s="1"/>
  <c r="AF207" i="8"/>
  <c r="C207" i="8" s="1"/>
  <c r="AE207" i="8" s="1"/>
  <c r="AD207" i="8" s="1"/>
  <c r="AB207" i="8" s="1"/>
  <c r="B207" i="8"/>
  <c r="A207" i="8"/>
  <c r="Q207" i="8" s="1"/>
  <c r="R207" i="8" s="1"/>
  <c r="P207" i="8" s="1"/>
  <c r="O207" i="8" s="1"/>
  <c r="N207" i="8" s="1"/>
  <c r="M207" i="8" s="1"/>
  <c r="L207" i="8" s="1"/>
  <c r="K207" i="8" s="1"/>
  <c r="J207" i="8" s="1"/>
  <c r="I207" i="8" s="1"/>
  <c r="Q206" i="8"/>
  <c r="R206" i="8" s="1"/>
  <c r="P206" i="8" s="1"/>
  <c r="O206" i="8" s="1"/>
  <c r="N206" i="8" s="1"/>
  <c r="M206" i="8" s="1"/>
  <c r="L206" i="8" s="1"/>
  <c r="K206" i="8" s="1"/>
  <c r="J206" i="8" s="1"/>
  <c r="I206" i="8" s="1"/>
  <c r="B206" i="8"/>
  <c r="A206" i="8"/>
  <c r="AF206" i="8" s="1"/>
  <c r="C206" i="8" s="1"/>
  <c r="AE206" i="8" s="1"/>
  <c r="AD206" i="8" s="1"/>
  <c r="B205" i="8"/>
  <c r="A205" i="8"/>
  <c r="Q204" i="8"/>
  <c r="R204" i="8" s="1"/>
  <c r="P204" i="8" s="1"/>
  <c r="O204" i="8" s="1"/>
  <c r="N204" i="8" s="1"/>
  <c r="M204" i="8" s="1"/>
  <c r="L204" i="8" s="1"/>
  <c r="K204" i="8" s="1"/>
  <c r="J204" i="8" s="1"/>
  <c r="I204" i="8" s="1"/>
  <c r="C204" i="8"/>
  <c r="AE204" i="8" s="1"/>
  <c r="AD204" i="8" s="1"/>
  <c r="B204" i="8"/>
  <c r="A204" i="8"/>
  <c r="AF204" i="8" s="1"/>
  <c r="AF203" i="8"/>
  <c r="C203" i="8" s="1"/>
  <c r="AE203" i="8" s="1"/>
  <c r="AD203" i="8" s="1"/>
  <c r="AB203" i="8" s="1"/>
  <c r="B203" i="8"/>
  <c r="A203" i="8"/>
  <c r="Q203" i="8" s="1"/>
  <c r="R203" i="8" s="1"/>
  <c r="P203" i="8" s="1"/>
  <c r="O203" i="8" s="1"/>
  <c r="N203" i="8" s="1"/>
  <c r="M203" i="8" s="1"/>
  <c r="L203" i="8" s="1"/>
  <c r="K203" i="8" s="1"/>
  <c r="J203" i="8" s="1"/>
  <c r="I203" i="8" s="1"/>
  <c r="Q202" i="8"/>
  <c r="R202" i="8" s="1"/>
  <c r="P202" i="8" s="1"/>
  <c r="O202" i="8" s="1"/>
  <c r="N202" i="8" s="1"/>
  <c r="M202" i="8" s="1"/>
  <c r="L202" i="8" s="1"/>
  <c r="K202" i="8" s="1"/>
  <c r="J202" i="8" s="1"/>
  <c r="I202" i="8" s="1"/>
  <c r="B202" i="8"/>
  <c r="A202" i="8"/>
  <c r="AF202" i="8" s="1"/>
  <c r="C202" i="8" s="1"/>
  <c r="AE202" i="8" s="1"/>
  <c r="AD202" i="8" s="1"/>
  <c r="Z202" i="8" s="1"/>
  <c r="Y202" i="8" s="1"/>
  <c r="X202" i="8" s="1"/>
  <c r="W202" i="8" s="1"/>
  <c r="B201" i="8"/>
  <c r="A201" i="8"/>
  <c r="Q200" i="8"/>
  <c r="R200" i="8" s="1"/>
  <c r="P200" i="8" s="1"/>
  <c r="O200" i="8" s="1"/>
  <c r="N200" i="8" s="1"/>
  <c r="M200" i="8" s="1"/>
  <c r="L200" i="8" s="1"/>
  <c r="K200" i="8" s="1"/>
  <c r="J200" i="8" s="1"/>
  <c r="I200" i="8" s="1"/>
  <c r="C200" i="8"/>
  <c r="AE200" i="8" s="1"/>
  <c r="AD200" i="8" s="1"/>
  <c r="B200" i="8"/>
  <c r="A200" i="8"/>
  <c r="AF200" i="8" s="1"/>
  <c r="AF199" i="8"/>
  <c r="C199" i="8" s="1"/>
  <c r="AE199" i="8" s="1"/>
  <c r="AD199" i="8" s="1"/>
  <c r="B199" i="8"/>
  <c r="A199" i="8"/>
  <c r="Q199" i="8" s="1"/>
  <c r="R199" i="8" s="1"/>
  <c r="P199" i="8" s="1"/>
  <c r="O199" i="8" s="1"/>
  <c r="N199" i="8" s="1"/>
  <c r="M199" i="8" s="1"/>
  <c r="L199" i="8" s="1"/>
  <c r="K199" i="8" s="1"/>
  <c r="J199" i="8" s="1"/>
  <c r="I199" i="8" s="1"/>
  <c r="Q198" i="8"/>
  <c r="R198" i="8" s="1"/>
  <c r="P198" i="8" s="1"/>
  <c r="O198" i="8" s="1"/>
  <c r="N198" i="8" s="1"/>
  <c r="M198" i="8" s="1"/>
  <c r="L198" i="8" s="1"/>
  <c r="K198" i="8" s="1"/>
  <c r="J198" i="8" s="1"/>
  <c r="I198" i="8" s="1"/>
  <c r="B198" i="8"/>
  <c r="A198" i="8"/>
  <c r="AF198" i="8" s="1"/>
  <c r="C198" i="8" s="1"/>
  <c r="AE198" i="8" s="1"/>
  <c r="AD198" i="8" s="1"/>
  <c r="Z198" i="8" s="1"/>
  <c r="Y198" i="8" s="1"/>
  <c r="X198" i="8" s="1"/>
  <c r="W198" i="8" s="1"/>
  <c r="B197" i="8"/>
  <c r="A197" i="8"/>
  <c r="Q196" i="8"/>
  <c r="R196" i="8" s="1"/>
  <c r="P196" i="8" s="1"/>
  <c r="O196" i="8" s="1"/>
  <c r="N196" i="8" s="1"/>
  <c r="M196" i="8" s="1"/>
  <c r="L196" i="8" s="1"/>
  <c r="K196" i="8" s="1"/>
  <c r="J196" i="8" s="1"/>
  <c r="I196" i="8" s="1"/>
  <c r="C196" i="8"/>
  <c r="AE196" i="8" s="1"/>
  <c r="AD196" i="8" s="1"/>
  <c r="B196" i="8"/>
  <c r="A196" i="8"/>
  <c r="AF196" i="8" s="1"/>
  <c r="AF195" i="8"/>
  <c r="C195" i="8" s="1"/>
  <c r="AE195" i="8" s="1"/>
  <c r="AD195" i="8" s="1"/>
  <c r="B195" i="8"/>
  <c r="A195" i="8"/>
  <c r="Q195" i="8" s="1"/>
  <c r="R195" i="8" s="1"/>
  <c r="P195" i="8" s="1"/>
  <c r="O195" i="8" s="1"/>
  <c r="N195" i="8" s="1"/>
  <c r="M195" i="8" s="1"/>
  <c r="L195" i="8" s="1"/>
  <c r="K195" i="8" s="1"/>
  <c r="J195" i="8" s="1"/>
  <c r="I195" i="8" s="1"/>
  <c r="Q194" i="8"/>
  <c r="R194" i="8" s="1"/>
  <c r="P194" i="8" s="1"/>
  <c r="O194" i="8" s="1"/>
  <c r="N194" i="8" s="1"/>
  <c r="M194" i="8" s="1"/>
  <c r="L194" i="8" s="1"/>
  <c r="K194" i="8" s="1"/>
  <c r="J194" i="8" s="1"/>
  <c r="I194" i="8" s="1"/>
  <c r="B194" i="8"/>
  <c r="A194" i="8"/>
  <c r="AF194" i="8" s="1"/>
  <c r="C194" i="8" s="1"/>
  <c r="AE194" i="8" s="1"/>
  <c r="AD194" i="8" s="1"/>
  <c r="Z194" i="8" s="1"/>
  <c r="Y194" i="8" s="1"/>
  <c r="X194" i="8" s="1"/>
  <c r="W194" i="8" s="1"/>
  <c r="B193" i="8"/>
  <c r="A193" i="8"/>
  <c r="Q192" i="8"/>
  <c r="R192" i="8" s="1"/>
  <c r="P192" i="8" s="1"/>
  <c r="O192" i="8" s="1"/>
  <c r="N192" i="8" s="1"/>
  <c r="M192" i="8" s="1"/>
  <c r="L192" i="8" s="1"/>
  <c r="K192" i="8" s="1"/>
  <c r="J192" i="8" s="1"/>
  <c r="I192" i="8" s="1"/>
  <c r="C192" i="8"/>
  <c r="AE192" i="8" s="1"/>
  <c r="AD192" i="8" s="1"/>
  <c r="B192" i="8"/>
  <c r="A192" i="8"/>
  <c r="AF192" i="8" s="1"/>
  <c r="AF191" i="8"/>
  <c r="C191" i="8" s="1"/>
  <c r="AE191" i="8" s="1"/>
  <c r="AD191" i="8" s="1"/>
  <c r="AB191" i="8" s="1"/>
  <c r="B191" i="8"/>
  <c r="A191" i="8"/>
  <c r="Q191" i="8" s="1"/>
  <c r="R191" i="8" s="1"/>
  <c r="P191" i="8" s="1"/>
  <c r="O191" i="8" s="1"/>
  <c r="N191" i="8" s="1"/>
  <c r="M191" i="8" s="1"/>
  <c r="L191" i="8" s="1"/>
  <c r="K191" i="8" s="1"/>
  <c r="J191" i="8" s="1"/>
  <c r="I191" i="8" s="1"/>
  <c r="Q190" i="8"/>
  <c r="R190" i="8" s="1"/>
  <c r="P190" i="8" s="1"/>
  <c r="O190" i="8" s="1"/>
  <c r="N190" i="8" s="1"/>
  <c r="M190" i="8" s="1"/>
  <c r="L190" i="8" s="1"/>
  <c r="K190" i="8" s="1"/>
  <c r="J190" i="8" s="1"/>
  <c r="I190" i="8" s="1"/>
  <c r="B190" i="8"/>
  <c r="A190" i="8"/>
  <c r="AF190" i="8" s="1"/>
  <c r="C190" i="8" s="1"/>
  <c r="AE190" i="8" s="1"/>
  <c r="AD190" i="8" s="1"/>
  <c r="B189" i="8"/>
  <c r="A189" i="8"/>
  <c r="Q188" i="8"/>
  <c r="R188" i="8" s="1"/>
  <c r="P188" i="8" s="1"/>
  <c r="O188" i="8" s="1"/>
  <c r="N188" i="8" s="1"/>
  <c r="M188" i="8" s="1"/>
  <c r="L188" i="8" s="1"/>
  <c r="K188" i="8" s="1"/>
  <c r="J188" i="8" s="1"/>
  <c r="I188" i="8" s="1"/>
  <c r="C188" i="8"/>
  <c r="AE188" i="8" s="1"/>
  <c r="AD188" i="8" s="1"/>
  <c r="B188" i="8"/>
  <c r="A188" i="8"/>
  <c r="AF188" i="8" s="1"/>
  <c r="AF187" i="8"/>
  <c r="C187" i="8" s="1"/>
  <c r="AE187" i="8" s="1"/>
  <c r="AD187" i="8" s="1"/>
  <c r="AB187" i="8" s="1"/>
  <c r="B187" i="8"/>
  <c r="A187" i="8"/>
  <c r="Q187" i="8" s="1"/>
  <c r="R187" i="8" s="1"/>
  <c r="P187" i="8" s="1"/>
  <c r="O187" i="8" s="1"/>
  <c r="N187" i="8" s="1"/>
  <c r="M187" i="8" s="1"/>
  <c r="L187" i="8" s="1"/>
  <c r="K187" i="8" s="1"/>
  <c r="J187" i="8" s="1"/>
  <c r="I187" i="8" s="1"/>
  <c r="Q186" i="8"/>
  <c r="R186" i="8" s="1"/>
  <c r="P186" i="8" s="1"/>
  <c r="O186" i="8" s="1"/>
  <c r="N186" i="8" s="1"/>
  <c r="M186" i="8" s="1"/>
  <c r="L186" i="8" s="1"/>
  <c r="K186" i="8" s="1"/>
  <c r="J186" i="8" s="1"/>
  <c r="I186" i="8" s="1"/>
  <c r="B186" i="8"/>
  <c r="A186" i="8"/>
  <c r="AF186" i="8" s="1"/>
  <c r="C186" i="8" s="1"/>
  <c r="AE186" i="8" s="1"/>
  <c r="AD186" i="8" s="1"/>
  <c r="Z186" i="8" s="1"/>
  <c r="Y186" i="8" s="1"/>
  <c r="X186" i="8" s="1"/>
  <c r="W186" i="8" s="1"/>
  <c r="B185" i="8"/>
  <c r="A185" i="8"/>
  <c r="Q184" i="8"/>
  <c r="R184" i="8" s="1"/>
  <c r="P184" i="8" s="1"/>
  <c r="O184" i="8" s="1"/>
  <c r="N184" i="8" s="1"/>
  <c r="M184" i="8" s="1"/>
  <c r="L184" i="8" s="1"/>
  <c r="K184" i="8" s="1"/>
  <c r="J184" i="8" s="1"/>
  <c r="I184" i="8" s="1"/>
  <c r="C184" i="8"/>
  <c r="AE184" i="8" s="1"/>
  <c r="AD184" i="8" s="1"/>
  <c r="B184" i="8"/>
  <c r="A184" i="8"/>
  <c r="AF184" i="8" s="1"/>
  <c r="AF183" i="8"/>
  <c r="C183" i="8" s="1"/>
  <c r="AE183" i="8" s="1"/>
  <c r="AD183" i="8" s="1"/>
  <c r="B183" i="8"/>
  <c r="A183" i="8"/>
  <c r="Q183" i="8" s="1"/>
  <c r="R183" i="8" s="1"/>
  <c r="P183" i="8" s="1"/>
  <c r="O183" i="8" s="1"/>
  <c r="N183" i="8" s="1"/>
  <c r="M183" i="8" s="1"/>
  <c r="L183" i="8" s="1"/>
  <c r="K183" i="8" s="1"/>
  <c r="J183" i="8" s="1"/>
  <c r="I183" i="8" s="1"/>
  <c r="B182" i="8"/>
  <c r="A182" i="8"/>
  <c r="Q181" i="8"/>
  <c r="R181" i="8" s="1"/>
  <c r="P181" i="8" s="1"/>
  <c r="O181" i="8" s="1"/>
  <c r="N181" i="8" s="1"/>
  <c r="M181" i="8" s="1"/>
  <c r="L181" i="8" s="1"/>
  <c r="K181" i="8" s="1"/>
  <c r="J181" i="8" s="1"/>
  <c r="I181" i="8" s="1"/>
  <c r="B181" i="8"/>
  <c r="A181" i="8"/>
  <c r="Q180" i="8"/>
  <c r="R180" i="8" s="1"/>
  <c r="P180" i="8" s="1"/>
  <c r="O180" i="8" s="1"/>
  <c r="N180" i="8" s="1"/>
  <c r="M180" i="8" s="1"/>
  <c r="L180" i="8" s="1"/>
  <c r="K180" i="8" s="1"/>
  <c r="J180" i="8" s="1"/>
  <c r="I180" i="8" s="1"/>
  <c r="C180" i="8"/>
  <c r="AE180" i="8" s="1"/>
  <c r="AD180" i="8" s="1"/>
  <c r="B180" i="8"/>
  <c r="A180" i="8"/>
  <c r="AF180" i="8" s="1"/>
  <c r="AF179" i="8"/>
  <c r="C179" i="8"/>
  <c r="AE179" i="8" s="1"/>
  <c r="AD179" i="8" s="1"/>
  <c r="B179" i="8"/>
  <c r="A179" i="8"/>
  <c r="Q179" i="8" s="1"/>
  <c r="R179" i="8" s="1"/>
  <c r="P179" i="8" s="1"/>
  <c r="O179" i="8" s="1"/>
  <c r="N179" i="8" s="1"/>
  <c r="M179" i="8" s="1"/>
  <c r="L179" i="8" s="1"/>
  <c r="K179" i="8" s="1"/>
  <c r="J179" i="8" s="1"/>
  <c r="I179" i="8" s="1"/>
  <c r="AF178" i="8"/>
  <c r="C178" i="8" s="1"/>
  <c r="AE178" i="8" s="1"/>
  <c r="AD178" i="8" s="1"/>
  <c r="B178" i="8"/>
  <c r="A178" i="8"/>
  <c r="Q178" i="8" s="1"/>
  <c r="R178" i="8" s="1"/>
  <c r="P178" i="8" s="1"/>
  <c r="O178" i="8" s="1"/>
  <c r="N178" i="8" s="1"/>
  <c r="M178" i="8" s="1"/>
  <c r="L178" i="8" s="1"/>
  <c r="K178" i="8" s="1"/>
  <c r="J178" i="8" s="1"/>
  <c r="I178" i="8" s="1"/>
  <c r="Q177" i="8"/>
  <c r="R177" i="8" s="1"/>
  <c r="P177" i="8" s="1"/>
  <c r="O177" i="8" s="1"/>
  <c r="N177" i="8" s="1"/>
  <c r="M177" i="8" s="1"/>
  <c r="L177" i="8" s="1"/>
  <c r="K177" i="8" s="1"/>
  <c r="J177" i="8" s="1"/>
  <c r="I177" i="8" s="1"/>
  <c r="B177" i="8"/>
  <c r="A177" i="8"/>
  <c r="Q176" i="8"/>
  <c r="R176" i="8" s="1"/>
  <c r="P176" i="8" s="1"/>
  <c r="O176" i="8" s="1"/>
  <c r="N176" i="8" s="1"/>
  <c r="M176" i="8" s="1"/>
  <c r="L176" i="8" s="1"/>
  <c r="K176" i="8" s="1"/>
  <c r="J176" i="8" s="1"/>
  <c r="I176" i="8" s="1"/>
  <c r="C176" i="8"/>
  <c r="AE176" i="8" s="1"/>
  <c r="AD176" i="8" s="1"/>
  <c r="AB176" i="8" s="1"/>
  <c r="B176" i="8"/>
  <c r="A176" i="8"/>
  <c r="AF176" i="8" s="1"/>
  <c r="AF175" i="8"/>
  <c r="C175" i="8"/>
  <c r="AE175" i="8" s="1"/>
  <c r="AD175" i="8" s="1"/>
  <c r="B175" i="8"/>
  <c r="A175" i="8"/>
  <c r="Q175" i="8" s="1"/>
  <c r="R175" i="8" s="1"/>
  <c r="P175" i="8" s="1"/>
  <c r="O175" i="8" s="1"/>
  <c r="N175" i="8" s="1"/>
  <c r="M175" i="8" s="1"/>
  <c r="L175" i="8" s="1"/>
  <c r="K175" i="8" s="1"/>
  <c r="J175" i="8" s="1"/>
  <c r="I175" i="8" s="1"/>
  <c r="AF174" i="8"/>
  <c r="C174" i="8" s="1"/>
  <c r="AE174" i="8" s="1"/>
  <c r="AD174" i="8" s="1"/>
  <c r="B174" i="8"/>
  <c r="A174" i="8"/>
  <c r="Q174" i="8" s="1"/>
  <c r="R174" i="8" s="1"/>
  <c r="P174" i="8" s="1"/>
  <c r="O174" i="8" s="1"/>
  <c r="N174" i="8" s="1"/>
  <c r="M174" i="8" s="1"/>
  <c r="L174" i="8" s="1"/>
  <c r="K174" i="8" s="1"/>
  <c r="J174" i="8" s="1"/>
  <c r="I174" i="8" s="1"/>
  <c r="Q173" i="8"/>
  <c r="R173" i="8" s="1"/>
  <c r="P173" i="8" s="1"/>
  <c r="O173" i="8" s="1"/>
  <c r="N173" i="8" s="1"/>
  <c r="M173" i="8" s="1"/>
  <c r="L173" i="8" s="1"/>
  <c r="K173" i="8" s="1"/>
  <c r="J173" i="8" s="1"/>
  <c r="I173" i="8" s="1"/>
  <c r="B173" i="8"/>
  <c r="A173" i="8"/>
  <c r="Q172" i="8"/>
  <c r="R172" i="8" s="1"/>
  <c r="P172" i="8" s="1"/>
  <c r="O172" i="8" s="1"/>
  <c r="N172" i="8" s="1"/>
  <c r="M172" i="8" s="1"/>
  <c r="L172" i="8" s="1"/>
  <c r="K172" i="8" s="1"/>
  <c r="J172" i="8" s="1"/>
  <c r="I172" i="8" s="1"/>
  <c r="C172" i="8"/>
  <c r="AE172" i="8" s="1"/>
  <c r="AD172" i="8" s="1"/>
  <c r="B172" i="8"/>
  <c r="A172" i="8"/>
  <c r="AF172" i="8" s="1"/>
  <c r="AF171" i="8"/>
  <c r="C171" i="8"/>
  <c r="AE171" i="8" s="1"/>
  <c r="AD171" i="8" s="1"/>
  <c r="B171" i="8"/>
  <c r="A171" i="8"/>
  <c r="Q171" i="8" s="1"/>
  <c r="R171" i="8" s="1"/>
  <c r="P171" i="8" s="1"/>
  <c r="O171" i="8" s="1"/>
  <c r="N171" i="8" s="1"/>
  <c r="M171" i="8" s="1"/>
  <c r="L171" i="8" s="1"/>
  <c r="K171" i="8" s="1"/>
  <c r="J171" i="8" s="1"/>
  <c r="I171" i="8" s="1"/>
  <c r="AF170" i="8"/>
  <c r="C170" i="8" s="1"/>
  <c r="AE170" i="8" s="1"/>
  <c r="AD170" i="8" s="1"/>
  <c r="B170" i="8"/>
  <c r="A170" i="8"/>
  <c r="Q170" i="8" s="1"/>
  <c r="R170" i="8" s="1"/>
  <c r="P170" i="8" s="1"/>
  <c r="O170" i="8" s="1"/>
  <c r="N170" i="8" s="1"/>
  <c r="M170" i="8" s="1"/>
  <c r="L170" i="8" s="1"/>
  <c r="K170" i="8" s="1"/>
  <c r="J170" i="8" s="1"/>
  <c r="I170" i="8" s="1"/>
  <c r="Q169" i="8"/>
  <c r="R169" i="8" s="1"/>
  <c r="P169" i="8" s="1"/>
  <c r="O169" i="8" s="1"/>
  <c r="N169" i="8" s="1"/>
  <c r="M169" i="8" s="1"/>
  <c r="L169" i="8" s="1"/>
  <c r="K169" i="8" s="1"/>
  <c r="J169" i="8" s="1"/>
  <c r="I169" i="8" s="1"/>
  <c r="B169" i="8"/>
  <c r="A169" i="8"/>
  <c r="Q168" i="8"/>
  <c r="R168" i="8" s="1"/>
  <c r="P168" i="8" s="1"/>
  <c r="O168" i="8" s="1"/>
  <c r="N168" i="8" s="1"/>
  <c r="M168" i="8" s="1"/>
  <c r="L168" i="8" s="1"/>
  <c r="K168" i="8" s="1"/>
  <c r="J168" i="8" s="1"/>
  <c r="I168" i="8" s="1"/>
  <c r="C168" i="8"/>
  <c r="AE168" i="8" s="1"/>
  <c r="AD168" i="8" s="1"/>
  <c r="B168" i="8"/>
  <c r="A168" i="8"/>
  <c r="AF168" i="8" s="1"/>
  <c r="AF167" i="8"/>
  <c r="C167" i="8"/>
  <c r="AE167" i="8" s="1"/>
  <c r="AD167" i="8" s="1"/>
  <c r="B167" i="8"/>
  <c r="A167" i="8"/>
  <c r="Q167" i="8" s="1"/>
  <c r="R167" i="8" s="1"/>
  <c r="P167" i="8" s="1"/>
  <c r="O167" i="8" s="1"/>
  <c r="N167" i="8" s="1"/>
  <c r="M167" i="8" s="1"/>
  <c r="L167" i="8" s="1"/>
  <c r="K167" i="8" s="1"/>
  <c r="J167" i="8" s="1"/>
  <c r="I167" i="8" s="1"/>
  <c r="AF166" i="8"/>
  <c r="C166" i="8" s="1"/>
  <c r="AE166" i="8" s="1"/>
  <c r="AD166" i="8" s="1"/>
  <c r="Z166" i="8" s="1"/>
  <c r="Y166" i="8" s="1"/>
  <c r="X166" i="8" s="1"/>
  <c r="W166" i="8" s="1"/>
  <c r="B166" i="8"/>
  <c r="A166" i="8"/>
  <c r="Q166" i="8" s="1"/>
  <c r="R166" i="8" s="1"/>
  <c r="P166" i="8" s="1"/>
  <c r="O166" i="8" s="1"/>
  <c r="N166" i="8" s="1"/>
  <c r="M166" i="8" s="1"/>
  <c r="L166" i="8" s="1"/>
  <c r="K166" i="8" s="1"/>
  <c r="J166" i="8" s="1"/>
  <c r="I166" i="8" s="1"/>
  <c r="B165" i="8"/>
  <c r="A165" i="8"/>
  <c r="Q164" i="8"/>
  <c r="R164" i="8" s="1"/>
  <c r="P164" i="8" s="1"/>
  <c r="O164" i="8" s="1"/>
  <c r="N164" i="8" s="1"/>
  <c r="M164" i="8" s="1"/>
  <c r="L164" i="8" s="1"/>
  <c r="K164" i="8" s="1"/>
  <c r="J164" i="8" s="1"/>
  <c r="I164" i="8" s="1"/>
  <c r="C164" i="8"/>
  <c r="AE164" i="8" s="1"/>
  <c r="AD164" i="8" s="1"/>
  <c r="B164" i="8"/>
  <c r="A164" i="8"/>
  <c r="AF164" i="8" s="1"/>
  <c r="AF163" i="8"/>
  <c r="C163" i="8"/>
  <c r="AE163" i="8" s="1"/>
  <c r="AD163" i="8" s="1"/>
  <c r="AA163" i="8" s="1"/>
  <c r="B163" i="8"/>
  <c r="A163" i="8"/>
  <c r="Q163" i="8" s="1"/>
  <c r="R163" i="8" s="1"/>
  <c r="P163" i="8" s="1"/>
  <c r="O163" i="8" s="1"/>
  <c r="N163" i="8" s="1"/>
  <c r="M163" i="8" s="1"/>
  <c r="L163" i="8" s="1"/>
  <c r="K163" i="8" s="1"/>
  <c r="J163" i="8" s="1"/>
  <c r="I163" i="8" s="1"/>
  <c r="AF162" i="8"/>
  <c r="C162" i="8" s="1"/>
  <c r="AE162" i="8" s="1"/>
  <c r="AD162" i="8" s="1"/>
  <c r="U162" i="8" s="1"/>
  <c r="B162" i="8"/>
  <c r="A162" i="8"/>
  <c r="Q162" i="8" s="1"/>
  <c r="R162" i="8" s="1"/>
  <c r="P162" i="8" s="1"/>
  <c r="O162" i="8" s="1"/>
  <c r="N162" i="8" s="1"/>
  <c r="M162" i="8" s="1"/>
  <c r="L162" i="8" s="1"/>
  <c r="K162" i="8" s="1"/>
  <c r="J162" i="8" s="1"/>
  <c r="I162" i="8" s="1"/>
  <c r="B161" i="8"/>
  <c r="A161" i="8"/>
  <c r="Q161" i="8" s="1"/>
  <c r="R161" i="8" s="1"/>
  <c r="P161" i="8" s="1"/>
  <c r="O161" i="8" s="1"/>
  <c r="N161" i="8" s="1"/>
  <c r="M161" i="8" s="1"/>
  <c r="L161" i="8" s="1"/>
  <c r="K161" i="8" s="1"/>
  <c r="J161" i="8" s="1"/>
  <c r="I161" i="8" s="1"/>
  <c r="Q160" i="8"/>
  <c r="R160" i="8" s="1"/>
  <c r="P160" i="8" s="1"/>
  <c r="O160" i="8" s="1"/>
  <c r="N160" i="8" s="1"/>
  <c r="M160" i="8" s="1"/>
  <c r="L160" i="8" s="1"/>
  <c r="K160" i="8" s="1"/>
  <c r="J160" i="8" s="1"/>
  <c r="I160" i="8" s="1"/>
  <c r="C160" i="8"/>
  <c r="AE160" i="8" s="1"/>
  <c r="AD160" i="8" s="1"/>
  <c r="B160" i="8"/>
  <c r="A160" i="8"/>
  <c r="AF160" i="8" s="1"/>
  <c r="AF159" i="8"/>
  <c r="C159" i="8"/>
  <c r="AE159" i="8" s="1"/>
  <c r="AD159" i="8" s="1"/>
  <c r="B159" i="8"/>
  <c r="A159" i="8"/>
  <c r="Q159" i="8" s="1"/>
  <c r="R159" i="8" s="1"/>
  <c r="P159" i="8" s="1"/>
  <c r="O159" i="8" s="1"/>
  <c r="N159" i="8" s="1"/>
  <c r="M159" i="8" s="1"/>
  <c r="L159" i="8" s="1"/>
  <c r="K159" i="8" s="1"/>
  <c r="J159" i="8" s="1"/>
  <c r="I159" i="8" s="1"/>
  <c r="AF158" i="8"/>
  <c r="C158" i="8" s="1"/>
  <c r="AE158" i="8" s="1"/>
  <c r="AD158" i="8" s="1"/>
  <c r="B158" i="8"/>
  <c r="A158" i="8"/>
  <c r="Q158" i="8" s="1"/>
  <c r="R158" i="8" s="1"/>
  <c r="P158" i="8" s="1"/>
  <c r="O158" i="8" s="1"/>
  <c r="N158" i="8" s="1"/>
  <c r="M158" i="8" s="1"/>
  <c r="L158" i="8" s="1"/>
  <c r="K158" i="8" s="1"/>
  <c r="J158" i="8" s="1"/>
  <c r="I158" i="8" s="1"/>
  <c r="Q157" i="8"/>
  <c r="R157" i="8" s="1"/>
  <c r="P157" i="8" s="1"/>
  <c r="O157" i="8" s="1"/>
  <c r="N157" i="8" s="1"/>
  <c r="M157" i="8" s="1"/>
  <c r="L157" i="8" s="1"/>
  <c r="K157" i="8" s="1"/>
  <c r="J157" i="8" s="1"/>
  <c r="I157" i="8" s="1"/>
  <c r="B157" i="8"/>
  <c r="A157" i="8"/>
  <c r="Q156" i="8"/>
  <c r="R156" i="8" s="1"/>
  <c r="P156" i="8" s="1"/>
  <c r="O156" i="8" s="1"/>
  <c r="N156" i="8" s="1"/>
  <c r="M156" i="8" s="1"/>
  <c r="L156" i="8" s="1"/>
  <c r="K156" i="8" s="1"/>
  <c r="J156" i="8" s="1"/>
  <c r="I156" i="8" s="1"/>
  <c r="C156" i="8"/>
  <c r="AE156" i="8" s="1"/>
  <c r="AD156" i="8" s="1"/>
  <c r="B156" i="8"/>
  <c r="A156" i="8"/>
  <c r="AF156" i="8" s="1"/>
  <c r="AF155" i="8"/>
  <c r="C155" i="8"/>
  <c r="AE155" i="8" s="1"/>
  <c r="AD155" i="8" s="1"/>
  <c r="B155" i="8"/>
  <c r="A155" i="8"/>
  <c r="Q155" i="8" s="1"/>
  <c r="R155" i="8" s="1"/>
  <c r="P155" i="8" s="1"/>
  <c r="O155" i="8" s="1"/>
  <c r="N155" i="8" s="1"/>
  <c r="M155" i="8" s="1"/>
  <c r="L155" i="8" s="1"/>
  <c r="K155" i="8" s="1"/>
  <c r="J155" i="8" s="1"/>
  <c r="I155" i="8" s="1"/>
  <c r="AF154" i="8"/>
  <c r="C154" i="8" s="1"/>
  <c r="AE154" i="8" s="1"/>
  <c r="AD154" i="8" s="1"/>
  <c r="B154" i="8"/>
  <c r="A154" i="8"/>
  <c r="Q154" i="8" s="1"/>
  <c r="R154" i="8" s="1"/>
  <c r="P154" i="8" s="1"/>
  <c r="O154" i="8" s="1"/>
  <c r="N154" i="8" s="1"/>
  <c r="M154" i="8" s="1"/>
  <c r="L154" i="8" s="1"/>
  <c r="K154" i="8" s="1"/>
  <c r="J154" i="8" s="1"/>
  <c r="I154" i="8" s="1"/>
  <c r="B153" i="8"/>
  <c r="A153" i="8"/>
  <c r="Q152" i="8"/>
  <c r="R152" i="8" s="1"/>
  <c r="P152" i="8" s="1"/>
  <c r="O152" i="8" s="1"/>
  <c r="N152" i="8" s="1"/>
  <c r="M152" i="8" s="1"/>
  <c r="L152" i="8" s="1"/>
  <c r="K152" i="8" s="1"/>
  <c r="J152" i="8" s="1"/>
  <c r="I152" i="8" s="1"/>
  <c r="C152" i="8"/>
  <c r="AE152" i="8" s="1"/>
  <c r="AD152" i="8" s="1"/>
  <c r="AB152" i="8" s="1"/>
  <c r="B152" i="8"/>
  <c r="A152" i="8"/>
  <c r="AF152" i="8" s="1"/>
  <c r="AF151" i="8"/>
  <c r="C151" i="8"/>
  <c r="AE151" i="8" s="1"/>
  <c r="AD151" i="8" s="1"/>
  <c r="B151" i="8"/>
  <c r="A151" i="8"/>
  <c r="Q151" i="8" s="1"/>
  <c r="R151" i="8" s="1"/>
  <c r="P151" i="8" s="1"/>
  <c r="O151" i="8" s="1"/>
  <c r="N151" i="8" s="1"/>
  <c r="M151" i="8" s="1"/>
  <c r="L151" i="8" s="1"/>
  <c r="K151" i="8" s="1"/>
  <c r="J151" i="8" s="1"/>
  <c r="I151" i="8" s="1"/>
  <c r="AF150" i="8"/>
  <c r="C150" i="8" s="1"/>
  <c r="AE150" i="8" s="1"/>
  <c r="AD150" i="8" s="1"/>
  <c r="B150" i="8"/>
  <c r="A150" i="8"/>
  <c r="Q150" i="8" s="1"/>
  <c r="R150" i="8" s="1"/>
  <c r="P150" i="8" s="1"/>
  <c r="O150" i="8" s="1"/>
  <c r="N150" i="8" s="1"/>
  <c r="M150" i="8" s="1"/>
  <c r="L150" i="8" s="1"/>
  <c r="K150" i="8" s="1"/>
  <c r="J150" i="8" s="1"/>
  <c r="I150" i="8" s="1"/>
  <c r="B149" i="8"/>
  <c r="A149" i="8"/>
  <c r="B148" i="8"/>
  <c r="A148" i="8"/>
  <c r="B147" i="8"/>
  <c r="A147" i="8"/>
  <c r="Q147" i="8" s="1"/>
  <c r="R147" i="8" s="1"/>
  <c r="P147" i="8" s="1"/>
  <c r="O147" i="8" s="1"/>
  <c r="N147" i="8" s="1"/>
  <c r="M147" i="8" s="1"/>
  <c r="L147" i="8" s="1"/>
  <c r="K147" i="8" s="1"/>
  <c r="J147" i="8" s="1"/>
  <c r="I147" i="8" s="1"/>
  <c r="AF146" i="8"/>
  <c r="C146" i="8"/>
  <c r="AE146" i="8" s="1"/>
  <c r="AD146" i="8" s="1"/>
  <c r="B146" i="8"/>
  <c r="A146" i="8"/>
  <c r="Q146" i="8" s="1"/>
  <c r="R146" i="8" s="1"/>
  <c r="P146" i="8" s="1"/>
  <c r="O146" i="8" s="1"/>
  <c r="N146" i="8" s="1"/>
  <c r="M146" i="8" s="1"/>
  <c r="L146" i="8" s="1"/>
  <c r="K146" i="8" s="1"/>
  <c r="J146" i="8" s="1"/>
  <c r="I146" i="8" s="1"/>
  <c r="B145" i="8"/>
  <c r="A145" i="8"/>
  <c r="Q144" i="8"/>
  <c r="R144" i="8" s="1"/>
  <c r="P144" i="8" s="1"/>
  <c r="O144" i="8" s="1"/>
  <c r="N144" i="8" s="1"/>
  <c r="M144" i="8" s="1"/>
  <c r="L144" i="8" s="1"/>
  <c r="K144" i="8" s="1"/>
  <c r="J144" i="8" s="1"/>
  <c r="I144" i="8" s="1"/>
  <c r="B144" i="8"/>
  <c r="A144" i="8"/>
  <c r="Q143" i="8"/>
  <c r="R143" i="8" s="1"/>
  <c r="P143" i="8" s="1"/>
  <c r="O143" i="8" s="1"/>
  <c r="N143" i="8" s="1"/>
  <c r="M143" i="8" s="1"/>
  <c r="L143" i="8" s="1"/>
  <c r="K143" i="8" s="1"/>
  <c r="J143" i="8" s="1"/>
  <c r="I143" i="8" s="1"/>
  <c r="C143" i="8"/>
  <c r="AE143" i="8" s="1"/>
  <c r="AD143" i="8" s="1"/>
  <c r="Z143" i="8" s="1"/>
  <c r="Y143" i="8" s="1"/>
  <c r="X143" i="8" s="1"/>
  <c r="W143" i="8" s="1"/>
  <c r="B143" i="8"/>
  <c r="A143" i="8"/>
  <c r="AF143" i="8" s="1"/>
  <c r="AF142" i="8"/>
  <c r="C142" i="8" s="1"/>
  <c r="AE142" i="8" s="1"/>
  <c r="AD142" i="8" s="1"/>
  <c r="B142" i="8"/>
  <c r="A142" i="8"/>
  <c r="Q142" i="8" s="1"/>
  <c r="R142" i="8" s="1"/>
  <c r="P142" i="8" s="1"/>
  <c r="O142" i="8" s="1"/>
  <c r="N142" i="8" s="1"/>
  <c r="M142" i="8" s="1"/>
  <c r="L142" i="8" s="1"/>
  <c r="K142" i="8" s="1"/>
  <c r="J142" i="8" s="1"/>
  <c r="I142" i="8" s="1"/>
  <c r="B141" i="8"/>
  <c r="A141" i="8"/>
  <c r="AF140" i="8"/>
  <c r="C140" i="8" s="1"/>
  <c r="AE140" i="8" s="1"/>
  <c r="AD140" i="8" s="1"/>
  <c r="AC140" i="8" s="1"/>
  <c r="Q140" i="8"/>
  <c r="R140" i="8" s="1"/>
  <c r="P140" i="8" s="1"/>
  <c r="O140" i="8" s="1"/>
  <c r="N140" i="8" s="1"/>
  <c r="M140" i="8" s="1"/>
  <c r="L140" i="8" s="1"/>
  <c r="K140" i="8" s="1"/>
  <c r="J140" i="8" s="1"/>
  <c r="I140" i="8" s="1"/>
  <c r="B140" i="8"/>
  <c r="A140" i="8"/>
  <c r="Q139" i="8"/>
  <c r="R139" i="8" s="1"/>
  <c r="P139" i="8" s="1"/>
  <c r="O139" i="8" s="1"/>
  <c r="N139" i="8" s="1"/>
  <c r="M139" i="8" s="1"/>
  <c r="L139" i="8" s="1"/>
  <c r="K139" i="8" s="1"/>
  <c r="J139" i="8" s="1"/>
  <c r="I139" i="8" s="1"/>
  <c r="C139" i="8"/>
  <c r="AE139" i="8" s="1"/>
  <c r="AD139" i="8" s="1"/>
  <c r="B139" i="8"/>
  <c r="A139" i="8"/>
  <c r="AF139" i="8" s="1"/>
  <c r="B138" i="8"/>
  <c r="A138" i="8"/>
  <c r="Q138" i="8" s="1"/>
  <c r="R138" i="8" s="1"/>
  <c r="P138" i="8" s="1"/>
  <c r="O138" i="8" s="1"/>
  <c r="N138" i="8" s="1"/>
  <c r="M138" i="8" s="1"/>
  <c r="L138" i="8" s="1"/>
  <c r="K138" i="8" s="1"/>
  <c r="J138" i="8" s="1"/>
  <c r="I138" i="8" s="1"/>
  <c r="B137" i="8"/>
  <c r="A137" i="8"/>
  <c r="Q136" i="8"/>
  <c r="R136" i="8" s="1"/>
  <c r="P136" i="8" s="1"/>
  <c r="O136" i="8" s="1"/>
  <c r="N136" i="8" s="1"/>
  <c r="M136" i="8" s="1"/>
  <c r="L136" i="8" s="1"/>
  <c r="K136" i="8" s="1"/>
  <c r="J136" i="8" s="1"/>
  <c r="I136" i="8" s="1"/>
  <c r="B136" i="8"/>
  <c r="A136" i="8"/>
  <c r="Q135" i="8"/>
  <c r="R135" i="8" s="1"/>
  <c r="P135" i="8" s="1"/>
  <c r="O135" i="8" s="1"/>
  <c r="N135" i="8" s="1"/>
  <c r="M135" i="8" s="1"/>
  <c r="L135" i="8" s="1"/>
  <c r="K135" i="8" s="1"/>
  <c r="J135" i="8" s="1"/>
  <c r="I135" i="8" s="1"/>
  <c r="C135" i="8"/>
  <c r="AE135" i="8" s="1"/>
  <c r="AD135" i="8" s="1"/>
  <c r="AA135" i="8" s="1"/>
  <c r="B135" i="8"/>
  <c r="A135" i="8"/>
  <c r="AF135" i="8" s="1"/>
  <c r="B134" i="8"/>
  <c r="A134" i="8"/>
  <c r="AF134" i="8" s="1"/>
  <c r="C134" i="8" s="1"/>
  <c r="AE134" i="8" s="1"/>
  <c r="AD134" i="8" s="1"/>
  <c r="AF133" i="8"/>
  <c r="Q133" i="8"/>
  <c r="R133" i="8" s="1"/>
  <c r="P133" i="8" s="1"/>
  <c r="O133" i="8" s="1"/>
  <c r="N133" i="8" s="1"/>
  <c r="M133" i="8" s="1"/>
  <c r="L133" i="8" s="1"/>
  <c r="K133" i="8" s="1"/>
  <c r="J133" i="8" s="1"/>
  <c r="I133" i="8" s="1"/>
  <c r="C133" i="8"/>
  <c r="AE133" i="8" s="1"/>
  <c r="AD133" i="8" s="1"/>
  <c r="AB133" i="8" s="1"/>
  <c r="B133" i="8"/>
  <c r="A133" i="8"/>
  <c r="AF132" i="8"/>
  <c r="Q132" i="8"/>
  <c r="R132" i="8" s="1"/>
  <c r="P132" i="8" s="1"/>
  <c r="O132" i="8" s="1"/>
  <c r="N132" i="8" s="1"/>
  <c r="M132" i="8" s="1"/>
  <c r="L132" i="8" s="1"/>
  <c r="K132" i="8" s="1"/>
  <c r="J132" i="8" s="1"/>
  <c r="I132" i="8" s="1"/>
  <c r="C132" i="8"/>
  <c r="AE132" i="8" s="1"/>
  <c r="AD132" i="8" s="1"/>
  <c r="AC132" i="8" s="1"/>
  <c r="B132" i="8"/>
  <c r="A132" i="8"/>
  <c r="AF131" i="8"/>
  <c r="C131" i="8" s="1"/>
  <c r="AE131" i="8" s="1"/>
  <c r="AD131" i="8" s="1"/>
  <c r="AC131" i="8" s="1"/>
  <c r="B131" i="8"/>
  <c r="A131" i="8"/>
  <c r="B130" i="8"/>
  <c r="A130" i="8"/>
  <c r="AE130" i="8" s="1"/>
  <c r="AD130" i="8" s="1"/>
  <c r="AE129" i="8"/>
  <c r="AD129" i="8" s="1"/>
  <c r="B129" i="8"/>
  <c r="A129" i="8"/>
  <c r="AE128" i="8"/>
  <c r="AD128" i="8" s="1"/>
  <c r="B128" i="8"/>
  <c r="A128" i="8"/>
  <c r="B127" i="8"/>
  <c r="A127" i="8"/>
  <c r="AE127" i="8" s="1"/>
  <c r="AD127" i="8" s="1"/>
  <c r="B126" i="8"/>
  <c r="A126" i="8"/>
  <c r="C126" i="8" s="1"/>
  <c r="AE126" i="8" s="1"/>
  <c r="AD126" i="8" s="1"/>
  <c r="B125" i="8"/>
  <c r="A125" i="8"/>
  <c r="B124" i="8"/>
  <c r="A124" i="8"/>
  <c r="C124" i="8" s="1"/>
  <c r="AE124" i="8" s="1"/>
  <c r="AD124" i="8" s="1"/>
  <c r="AF123" i="8"/>
  <c r="C123" i="8" s="1"/>
  <c r="AE123" i="8" s="1"/>
  <c r="AD123" i="8" s="1"/>
  <c r="AB123" i="8" s="1"/>
  <c r="B123" i="8"/>
  <c r="A123" i="8"/>
  <c r="Q122" i="8"/>
  <c r="R122" i="8" s="1"/>
  <c r="P122" i="8" s="1"/>
  <c r="O122" i="8" s="1"/>
  <c r="N122" i="8" s="1"/>
  <c r="M122" i="8" s="1"/>
  <c r="L122" i="8" s="1"/>
  <c r="K122" i="8" s="1"/>
  <c r="J122" i="8" s="1"/>
  <c r="I122" i="8" s="1"/>
  <c r="C122" i="8"/>
  <c r="AE122" i="8" s="1"/>
  <c r="AD122" i="8" s="1"/>
  <c r="AC122" i="8" s="1"/>
  <c r="B122" i="8"/>
  <c r="A122" i="8"/>
  <c r="AF122" i="8" s="1"/>
  <c r="AF121" i="8"/>
  <c r="C121" i="8" s="1"/>
  <c r="AE121" i="8" s="1"/>
  <c r="AD121" i="8" s="1"/>
  <c r="B121" i="8"/>
  <c r="A121" i="8"/>
  <c r="AF120" i="8"/>
  <c r="Q120" i="8"/>
  <c r="R120" i="8" s="1"/>
  <c r="P120" i="8" s="1"/>
  <c r="O120" i="8" s="1"/>
  <c r="N120" i="8" s="1"/>
  <c r="M120" i="8" s="1"/>
  <c r="L120" i="8" s="1"/>
  <c r="K120" i="8" s="1"/>
  <c r="J120" i="8" s="1"/>
  <c r="I120" i="8" s="1"/>
  <c r="C120" i="8"/>
  <c r="AE120" i="8" s="1"/>
  <c r="AD120" i="8" s="1"/>
  <c r="AA120" i="8" s="1"/>
  <c r="B120" i="8"/>
  <c r="A120" i="8"/>
  <c r="B119" i="8"/>
  <c r="A119" i="8"/>
  <c r="Q119" i="8" s="1"/>
  <c r="R119" i="8" s="1"/>
  <c r="P119" i="8" s="1"/>
  <c r="O119" i="8" s="1"/>
  <c r="N119" i="8" s="1"/>
  <c r="M119" i="8" s="1"/>
  <c r="L119" i="8" s="1"/>
  <c r="K119" i="8" s="1"/>
  <c r="J119" i="8" s="1"/>
  <c r="I119" i="8" s="1"/>
  <c r="AF118" i="8"/>
  <c r="C118" i="8" s="1"/>
  <c r="AE118" i="8" s="1"/>
  <c r="AD118" i="8" s="1"/>
  <c r="AC118" i="8" s="1"/>
  <c r="B118" i="8"/>
  <c r="A118" i="8"/>
  <c r="Q118" i="8" s="1"/>
  <c r="R118" i="8" s="1"/>
  <c r="P118" i="8" s="1"/>
  <c r="O118" i="8" s="1"/>
  <c r="N118" i="8" s="1"/>
  <c r="M118" i="8" s="1"/>
  <c r="L118" i="8" s="1"/>
  <c r="K118" i="8" s="1"/>
  <c r="J118" i="8" s="1"/>
  <c r="I118" i="8" s="1"/>
  <c r="Q117" i="8"/>
  <c r="R117" i="8" s="1"/>
  <c r="P117" i="8" s="1"/>
  <c r="O117" i="8" s="1"/>
  <c r="N117" i="8" s="1"/>
  <c r="M117" i="8" s="1"/>
  <c r="L117" i="8" s="1"/>
  <c r="K117" i="8" s="1"/>
  <c r="J117" i="8" s="1"/>
  <c r="I117" i="8" s="1"/>
  <c r="B117" i="8"/>
  <c r="A117" i="8"/>
  <c r="AF116" i="8"/>
  <c r="Q116" i="8"/>
  <c r="R116" i="8" s="1"/>
  <c r="P116" i="8" s="1"/>
  <c r="O116" i="8" s="1"/>
  <c r="N116" i="8" s="1"/>
  <c r="M116" i="8" s="1"/>
  <c r="L116" i="8" s="1"/>
  <c r="K116" i="8" s="1"/>
  <c r="J116" i="8" s="1"/>
  <c r="I116" i="8" s="1"/>
  <c r="C116" i="8"/>
  <c r="AE116" i="8" s="1"/>
  <c r="AD116" i="8" s="1"/>
  <c r="AA116" i="8" s="1"/>
  <c r="B116" i="8"/>
  <c r="A116" i="8"/>
  <c r="B115" i="8"/>
  <c r="A115" i="8"/>
  <c r="AF114" i="8"/>
  <c r="C114" i="8" s="1"/>
  <c r="AE114" i="8" s="1"/>
  <c r="AD114" i="8" s="1"/>
  <c r="Q114" i="8"/>
  <c r="R114" i="8" s="1"/>
  <c r="P114" i="8" s="1"/>
  <c r="O114" i="8" s="1"/>
  <c r="N114" i="8" s="1"/>
  <c r="M114" i="8" s="1"/>
  <c r="L114" i="8" s="1"/>
  <c r="K114" i="8" s="1"/>
  <c r="J114" i="8" s="1"/>
  <c r="I114" i="8" s="1"/>
  <c r="B114" i="8"/>
  <c r="A114" i="8"/>
  <c r="B113" i="8"/>
  <c r="A113" i="8"/>
  <c r="AF112" i="8"/>
  <c r="Q112" i="8"/>
  <c r="R112" i="8" s="1"/>
  <c r="P112" i="8" s="1"/>
  <c r="O112" i="8" s="1"/>
  <c r="N112" i="8" s="1"/>
  <c r="M112" i="8" s="1"/>
  <c r="L112" i="8" s="1"/>
  <c r="K112" i="8" s="1"/>
  <c r="J112" i="8" s="1"/>
  <c r="I112" i="8" s="1"/>
  <c r="C112" i="8"/>
  <c r="AE112" i="8" s="1"/>
  <c r="AD112" i="8" s="1"/>
  <c r="AC112" i="8" s="1"/>
  <c r="B112" i="8"/>
  <c r="A112" i="8"/>
  <c r="B111" i="8"/>
  <c r="A111" i="8"/>
  <c r="Q110" i="8"/>
  <c r="R110" i="8" s="1"/>
  <c r="P110" i="8" s="1"/>
  <c r="O110" i="8" s="1"/>
  <c r="N110" i="8" s="1"/>
  <c r="M110" i="8" s="1"/>
  <c r="L110" i="8" s="1"/>
  <c r="K110" i="8" s="1"/>
  <c r="J110" i="8" s="1"/>
  <c r="I110" i="8" s="1"/>
  <c r="C110" i="8"/>
  <c r="AE110" i="8" s="1"/>
  <c r="AD110" i="8" s="1"/>
  <c r="B110" i="8"/>
  <c r="A110" i="8"/>
  <c r="AF110" i="8" s="1"/>
  <c r="B109" i="8"/>
  <c r="A109" i="8"/>
  <c r="AF108" i="8"/>
  <c r="Q108" i="8"/>
  <c r="R108" i="8" s="1"/>
  <c r="P108" i="8" s="1"/>
  <c r="O108" i="8" s="1"/>
  <c r="N108" i="8" s="1"/>
  <c r="M108" i="8" s="1"/>
  <c r="L108" i="8" s="1"/>
  <c r="K108" i="8" s="1"/>
  <c r="J108" i="8" s="1"/>
  <c r="I108" i="8" s="1"/>
  <c r="C108" i="8"/>
  <c r="AE108" i="8" s="1"/>
  <c r="AD108" i="8" s="1"/>
  <c r="B108" i="8"/>
  <c r="A108" i="8"/>
  <c r="AF107" i="8"/>
  <c r="C107" i="8" s="1"/>
  <c r="AE107" i="8" s="1"/>
  <c r="AD107" i="8" s="1"/>
  <c r="B107" i="8"/>
  <c r="A107" i="8"/>
  <c r="Q107" i="8" s="1"/>
  <c r="R107" i="8" s="1"/>
  <c r="P107" i="8" s="1"/>
  <c r="O107" i="8" s="1"/>
  <c r="N107" i="8" s="1"/>
  <c r="M107" i="8" s="1"/>
  <c r="L107" i="8" s="1"/>
  <c r="K107" i="8" s="1"/>
  <c r="J107" i="8" s="1"/>
  <c r="I107" i="8" s="1"/>
  <c r="AF106" i="8"/>
  <c r="C106" i="8" s="1"/>
  <c r="AE106" i="8" s="1"/>
  <c r="AD106" i="8" s="1"/>
  <c r="B106" i="8"/>
  <c r="A106" i="8"/>
  <c r="Q106" i="8" s="1"/>
  <c r="R106" i="8" s="1"/>
  <c r="P106" i="8" s="1"/>
  <c r="O106" i="8" s="1"/>
  <c r="N106" i="8" s="1"/>
  <c r="M106" i="8" s="1"/>
  <c r="L106" i="8" s="1"/>
  <c r="K106" i="8" s="1"/>
  <c r="J106" i="8" s="1"/>
  <c r="I106" i="8" s="1"/>
  <c r="AF105" i="8"/>
  <c r="Q105" i="8"/>
  <c r="R105" i="8" s="1"/>
  <c r="P105" i="8" s="1"/>
  <c r="O105" i="8" s="1"/>
  <c r="N105" i="8" s="1"/>
  <c r="M105" i="8" s="1"/>
  <c r="L105" i="8" s="1"/>
  <c r="K105" i="8" s="1"/>
  <c r="J105" i="8" s="1"/>
  <c r="I105" i="8" s="1"/>
  <c r="C105" i="8"/>
  <c r="AE105" i="8" s="1"/>
  <c r="AD105" i="8" s="1"/>
  <c r="B105" i="8"/>
  <c r="A105" i="8"/>
  <c r="AF104" i="8"/>
  <c r="Q104" i="8"/>
  <c r="R104" i="8" s="1"/>
  <c r="P104" i="8" s="1"/>
  <c r="O104" i="8" s="1"/>
  <c r="N104" i="8" s="1"/>
  <c r="M104" i="8" s="1"/>
  <c r="L104" i="8" s="1"/>
  <c r="K104" i="8" s="1"/>
  <c r="J104" i="8" s="1"/>
  <c r="I104" i="8" s="1"/>
  <c r="C104" i="8"/>
  <c r="AE104" i="8" s="1"/>
  <c r="AD104" i="8" s="1"/>
  <c r="Z104" i="8" s="1"/>
  <c r="Y104" i="8" s="1"/>
  <c r="X104" i="8" s="1"/>
  <c r="W104" i="8" s="1"/>
  <c r="B104" i="8"/>
  <c r="A104" i="8"/>
  <c r="AF103" i="8"/>
  <c r="C103" i="8" s="1"/>
  <c r="AE103" i="8" s="1"/>
  <c r="AD103" i="8" s="1"/>
  <c r="B103" i="8"/>
  <c r="A103" i="8"/>
  <c r="Q103" i="8" s="1"/>
  <c r="R103" i="8" s="1"/>
  <c r="P103" i="8" s="1"/>
  <c r="O103" i="8" s="1"/>
  <c r="N103" i="8" s="1"/>
  <c r="M103" i="8" s="1"/>
  <c r="L103" i="8" s="1"/>
  <c r="K103" i="8" s="1"/>
  <c r="J103" i="8" s="1"/>
  <c r="I103" i="8" s="1"/>
  <c r="AF102" i="8"/>
  <c r="Q102" i="8"/>
  <c r="R102" i="8" s="1"/>
  <c r="P102" i="8" s="1"/>
  <c r="O102" i="8" s="1"/>
  <c r="N102" i="8" s="1"/>
  <c r="M102" i="8" s="1"/>
  <c r="L102" i="8" s="1"/>
  <c r="K102" i="8" s="1"/>
  <c r="J102" i="8" s="1"/>
  <c r="I102" i="8" s="1"/>
  <c r="C102" i="8"/>
  <c r="AE102" i="8" s="1"/>
  <c r="AD102" i="8" s="1"/>
  <c r="B102" i="8"/>
  <c r="A102" i="8"/>
  <c r="AF101" i="8"/>
  <c r="C101" i="8" s="1"/>
  <c r="AE101" i="8" s="1"/>
  <c r="AD101" i="8" s="1"/>
  <c r="B101" i="8"/>
  <c r="A101" i="8"/>
  <c r="Q101" i="8" s="1"/>
  <c r="R101" i="8" s="1"/>
  <c r="P101" i="8" s="1"/>
  <c r="O101" i="8" s="1"/>
  <c r="N101" i="8" s="1"/>
  <c r="M101" i="8" s="1"/>
  <c r="L101" i="8" s="1"/>
  <c r="K101" i="8" s="1"/>
  <c r="J101" i="8" s="1"/>
  <c r="I101" i="8" s="1"/>
  <c r="AF100" i="8"/>
  <c r="Q100" i="8"/>
  <c r="R100" i="8" s="1"/>
  <c r="P100" i="8" s="1"/>
  <c r="O100" i="8" s="1"/>
  <c r="N100" i="8" s="1"/>
  <c r="M100" i="8" s="1"/>
  <c r="L100" i="8" s="1"/>
  <c r="K100" i="8" s="1"/>
  <c r="J100" i="8" s="1"/>
  <c r="I100" i="8" s="1"/>
  <c r="C100" i="8"/>
  <c r="AE100" i="8" s="1"/>
  <c r="AD100" i="8" s="1"/>
  <c r="AB100" i="8" s="1"/>
  <c r="B100" i="8"/>
  <c r="A100" i="8"/>
  <c r="Q99" i="8"/>
  <c r="R99" i="8" s="1"/>
  <c r="P99" i="8" s="1"/>
  <c r="O99" i="8" s="1"/>
  <c r="N99" i="8" s="1"/>
  <c r="M99" i="8" s="1"/>
  <c r="L99" i="8" s="1"/>
  <c r="K99" i="8" s="1"/>
  <c r="J99" i="8" s="1"/>
  <c r="I99" i="8" s="1"/>
  <c r="B99" i="8"/>
  <c r="A99" i="8"/>
  <c r="AF99" i="8" s="1"/>
  <c r="C99" i="8" s="1"/>
  <c r="AE99" i="8" s="1"/>
  <c r="AD99" i="8" s="1"/>
  <c r="AA99" i="8" s="1"/>
  <c r="AF98" i="8"/>
  <c r="C98" i="8" s="1"/>
  <c r="AE98" i="8" s="1"/>
  <c r="AD98" i="8" s="1"/>
  <c r="B98" i="8"/>
  <c r="A98" i="8"/>
  <c r="B97" i="8"/>
  <c r="A97" i="8"/>
  <c r="AF96" i="8"/>
  <c r="C96" i="8" s="1"/>
  <c r="AE96" i="8" s="1"/>
  <c r="AD96" i="8" s="1"/>
  <c r="Q96" i="8"/>
  <c r="R96" i="8" s="1"/>
  <c r="P96" i="8" s="1"/>
  <c r="O96" i="8" s="1"/>
  <c r="N96" i="8" s="1"/>
  <c r="M96" i="8" s="1"/>
  <c r="L96" i="8" s="1"/>
  <c r="K96" i="8" s="1"/>
  <c r="J96" i="8" s="1"/>
  <c r="I96" i="8" s="1"/>
  <c r="B96" i="8"/>
  <c r="A96" i="8"/>
  <c r="AF95" i="8"/>
  <c r="C95" i="8" s="1"/>
  <c r="AE95" i="8" s="1"/>
  <c r="AD95" i="8" s="1"/>
  <c r="Q95" i="8"/>
  <c r="R95" i="8" s="1"/>
  <c r="P95" i="8" s="1"/>
  <c r="O95" i="8" s="1"/>
  <c r="N95" i="8" s="1"/>
  <c r="M95" i="8" s="1"/>
  <c r="L95" i="8" s="1"/>
  <c r="K95" i="8" s="1"/>
  <c r="J95" i="8" s="1"/>
  <c r="I95" i="8" s="1"/>
  <c r="B95" i="8"/>
  <c r="A95" i="8"/>
  <c r="Q94" i="8"/>
  <c r="R94" i="8" s="1"/>
  <c r="P94" i="8" s="1"/>
  <c r="O94" i="8" s="1"/>
  <c r="N94" i="8" s="1"/>
  <c r="M94" i="8" s="1"/>
  <c r="L94" i="8" s="1"/>
  <c r="K94" i="8" s="1"/>
  <c r="J94" i="8" s="1"/>
  <c r="I94" i="8" s="1"/>
  <c r="C94" i="8"/>
  <c r="AE94" i="8" s="1"/>
  <c r="AD94" i="8" s="1"/>
  <c r="B94" i="8"/>
  <c r="A94" i="8"/>
  <c r="AF94" i="8" s="1"/>
  <c r="AF93" i="8"/>
  <c r="C93" i="8" s="1"/>
  <c r="AE93" i="8" s="1"/>
  <c r="AD93" i="8" s="1"/>
  <c r="B93" i="8"/>
  <c r="A93" i="8"/>
  <c r="Q93" i="8" s="1"/>
  <c r="R93" i="8" s="1"/>
  <c r="P93" i="8" s="1"/>
  <c r="O93" i="8" s="1"/>
  <c r="N93" i="8" s="1"/>
  <c r="M93" i="8" s="1"/>
  <c r="L93" i="8" s="1"/>
  <c r="K93" i="8" s="1"/>
  <c r="J93" i="8" s="1"/>
  <c r="I93" i="8" s="1"/>
  <c r="AF92" i="8"/>
  <c r="Q92" i="8"/>
  <c r="R92" i="8" s="1"/>
  <c r="P92" i="8" s="1"/>
  <c r="O92" i="8" s="1"/>
  <c r="N92" i="8" s="1"/>
  <c r="M92" i="8" s="1"/>
  <c r="L92" i="8" s="1"/>
  <c r="K92" i="8" s="1"/>
  <c r="J92" i="8" s="1"/>
  <c r="I92" i="8" s="1"/>
  <c r="C92" i="8"/>
  <c r="AE92" i="8" s="1"/>
  <c r="AD92" i="8" s="1"/>
  <c r="AB92" i="8" s="1"/>
  <c r="B92" i="8"/>
  <c r="A92" i="8"/>
  <c r="Q91" i="8"/>
  <c r="R91" i="8" s="1"/>
  <c r="P91" i="8" s="1"/>
  <c r="O91" i="8" s="1"/>
  <c r="N91" i="8" s="1"/>
  <c r="M91" i="8" s="1"/>
  <c r="L91" i="8" s="1"/>
  <c r="K91" i="8" s="1"/>
  <c r="J91" i="8" s="1"/>
  <c r="I91" i="8" s="1"/>
  <c r="B91" i="8"/>
  <c r="A91" i="8"/>
  <c r="AF91" i="8" s="1"/>
  <c r="C91" i="8" s="1"/>
  <c r="AE91" i="8" s="1"/>
  <c r="AD91" i="8" s="1"/>
  <c r="B90" i="8"/>
  <c r="A90" i="8"/>
  <c r="B89" i="8"/>
  <c r="A89" i="8"/>
  <c r="AF89" i="8" s="1"/>
  <c r="C89" i="8" s="1"/>
  <c r="AE89" i="8" s="1"/>
  <c r="AD89" i="8" s="1"/>
  <c r="AF88" i="8"/>
  <c r="C88" i="8" s="1"/>
  <c r="AE88" i="8" s="1"/>
  <c r="AD88" i="8" s="1"/>
  <c r="Q88" i="8"/>
  <c r="R88" i="8" s="1"/>
  <c r="P88" i="8" s="1"/>
  <c r="O88" i="8" s="1"/>
  <c r="N88" i="8" s="1"/>
  <c r="M88" i="8" s="1"/>
  <c r="L88" i="8" s="1"/>
  <c r="K88" i="8" s="1"/>
  <c r="J88" i="8" s="1"/>
  <c r="I88" i="8" s="1"/>
  <c r="B88" i="8"/>
  <c r="A88" i="8"/>
  <c r="AF87" i="8"/>
  <c r="C87" i="8" s="1"/>
  <c r="AE87" i="8" s="1"/>
  <c r="AD87" i="8" s="1"/>
  <c r="Q87" i="8"/>
  <c r="R87" i="8" s="1"/>
  <c r="P87" i="8" s="1"/>
  <c r="O87" i="8" s="1"/>
  <c r="N87" i="8" s="1"/>
  <c r="M87" i="8" s="1"/>
  <c r="L87" i="8" s="1"/>
  <c r="K87" i="8" s="1"/>
  <c r="J87" i="8" s="1"/>
  <c r="I87" i="8" s="1"/>
  <c r="B87" i="8"/>
  <c r="A87" i="8"/>
  <c r="Q86" i="8"/>
  <c r="R86" i="8" s="1"/>
  <c r="P86" i="8" s="1"/>
  <c r="O86" i="8" s="1"/>
  <c r="N86" i="8" s="1"/>
  <c r="M86" i="8" s="1"/>
  <c r="L86" i="8" s="1"/>
  <c r="K86" i="8" s="1"/>
  <c r="J86" i="8" s="1"/>
  <c r="I86" i="8" s="1"/>
  <c r="C86" i="8"/>
  <c r="AE86" i="8" s="1"/>
  <c r="AD86" i="8" s="1"/>
  <c r="B86" i="8"/>
  <c r="A86" i="8"/>
  <c r="AF86" i="8" s="1"/>
  <c r="AF85" i="8"/>
  <c r="C85" i="8" s="1"/>
  <c r="AE85" i="8" s="1"/>
  <c r="AD85" i="8" s="1"/>
  <c r="AB85" i="8" s="1"/>
  <c r="B85" i="8"/>
  <c r="A85" i="8"/>
  <c r="Q85" i="8" s="1"/>
  <c r="R85" i="8" s="1"/>
  <c r="P85" i="8" s="1"/>
  <c r="O85" i="8" s="1"/>
  <c r="N85" i="8" s="1"/>
  <c r="M85" i="8" s="1"/>
  <c r="L85" i="8" s="1"/>
  <c r="K85" i="8" s="1"/>
  <c r="J85" i="8" s="1"/>
  <c r="I85" i="8" s="1"/>
  <c r="AF84" i="8"/>
  <c r="C84" i="8" s="1"/>
  <c r="AE84" i="8" s="1"/>
  <c r="AD84" i="8" s="1"/>
  <c r="U84" i="8" s="1"/>
  <c r="Q84" i="8"/>
  <c r="R84" i="8" s="1"/>
  <c r="P84" i="8" s="1"/>
  <c r="O84" i="8" s="1"/>
  <c r="N84" i="8" s="1"/>
  <c r="M84" i="8" s="1"/>
  <c r="L84" i="8" s="1"/>
  <c r="K84" i="8" s="1"/>
  <c r="J84" i="8" s="1"/>
  <c r="I84" i="8" s="1"/>
  <c r="B84" i="8"/>
  <c r="A84" i="8"/>
  <c r="Q83" i="8"/>
  <c r="R83" i="8" s="1"/>
  <c r="P83" i="8" s="1"/>
  <c r="O83" i="8" s="1"/>
  <c r="N83" i="8" s="1"/>
  <c r="M83" i="8" s="1"/>
  <c r="L83" i="8" s="1"/>
  <c r="K83" i="8" s="1"/>
  <c r="J83" i="8" s="1"/>
  <c r="I83" i="8" s="1"/>
  <c r="B83" i="8"/>
  <c r="A83" i="8"/>
  <c r="AF83" i="8" s="1"/>
  <c r="C83" i="8" s="1"/>
  <c r="AE83" i="8" s="1"/>
  <c r="AD83" i="8" s="1"/>
  <c r="AA83" i="8" s="1"/>
  <c r="AF82" i="8"/>
  <c r="C82" i="8" s="1"/>
  <c r="AE82" i="8" s="1"/>
  <c r="AD82" i="8" s="1"/>
  <c r="Z82" i="8" s="1"/>
  <c r="Y82" i="8" s="1"/>
  <c r="X82" i="8" s="1"/>
  <c r="W82" i="8" s="1"/>
  <c r="B82" i="8"/>
  <c r="A82" i="8"/>
  <c r="B81" i="8"/>
  <c r="A81" i="8"/>
  <c r="AF80" i="8"/>
  <c r="Q80" i="8"/>
  <c r="R80" i="8" s="1"/>
  <c r="P80" i="8" s="1"/>
  <c r="O80" i="8" s="1"/>
  <c r="N80" i="8" s="1"/>
  <c r="M80" i="8" s="1"/>
  <c r="L80" i="8" s="1"/>
  <c r="K80" i="8" s="1"/>
  <c r="J80" i="8" s="1"/>
  <c r="I80" i="8" s="1"/>
  <c r="C80" i="8"/>
  <c r="AE80" i="8" s="1"/>
  <c r="AD80" i="8" s="1"/>
  <c r="AA80" i="8" s="1"/>
  <c r="B80" i="8"/>
  <c r="A80" i="8"/>
  <c r="AF79" i="8"/>
  <c r="C79" i="8" s="1"/>
  <c r="AE79" i="8" s="1"/>
  <c r="AD79" i="8" s="1"/>
  <c r="Q79" i="8"/>
  <c r="R79" i="8" s="1"/>
  <c r="P79" i="8" s="1"/>
  <c r="O79" i="8" s="1"/>
  <c r="N79" i="8" s="1"/>
  <c r="M79" i="8" s="1"/>
  <c r="L79" i="8" s="1"/>
  <c r="K79" i="8" s="1"/>
  <c r="J79" i="8" s="1"/>
  <c r="I79" i="8" s="1"/>
  <c r="B79" i="8"/>
  <c r="A79" i="8"/>
  <c r="B78" i="8"/>
  <c r="A78" i="8"/>
  <c r="AF77" i="8"/>
  <c r="C77" i="8" s="1"/>
  <c r="AE77" i="8" s="1"/>
  <c r="AD77" i="8" s="1"/>
  <c r="B77" i="8"/>
  <c r="A77" i="8"/>
  <c r="Q77" i="8" s="1"/>
  <c r="R77" i="8" s="1"/>
  <c r="P77" i="8" s="1"/>
  <c r="O77" i="8" s="1"/>
  <c r="N77" i="8" s="1"/>
  <c r="M77" i="8" s="1"/>
  <c r="L77" i="8" s="1"/>
  <c r="K77" i="8" s="1"/>
  <c r="J77" i="8" s="1"/>
  <c r="I77" i="8" s="1"/>
  <c r="AF76" i="8"/>
  <c r="Q76" i="8"/>
  <c r="R76" i="8" s="1"/>
  <c r="P76" i="8" s="1"/>
  <c r="O76" i="8" s="1"/>
  <c r="N76" i="8" s="1"/>
  <c r="M76" i="8" s="1"/>
  <c r="L76" i="8" s="1"/>
  <c r="K76" i="8" s="1"/>
  <c r="J76" i="8" s="1"/>
  <c r="I76" i="8" s="1"/>
  <c r="C76" i="8"/>
  <c r="AE76" i="8" s="1"/>
  <c r="AD76" i="8" s="1"/>
  <c r="AC76" i="8" s="1"/>
  <c r="B76" i="8"/>
  <c r="A76" i="8"/>
  <c r="Q75" i="8"/>
  <c r="R75" i="8" s="1"/>
  <c r="P75" i="8" s="1"/>
  <c r="O75" i="8" s="1"/>
  <c r="N75" i="8" s="1"/>
  <c r="M75" i="8" s="1"/>
  <c r="L75" i="8" s="1"/>
  <c r="K75" i="8" s="1"/>
  <c r="J75" i="8" s="1"/>
  <c r="I75" i="8" s="1"/>
  <c r="B75" i="8"/>
  <c r="A75" i="8"/>
  <c r="AF75" i="8" s="1"/>
  <c r="C75" i="8" s="1"/>
  <c r="AE75" i="8" s="1"/>
  <c r="AD75" i="8" s="1"/>
  <c r="U75" i="8" s="1"/>
  <c r="AF74" i="8"/>
  <c r="C74" i="8" s="1"/>
  <c r="AE74" i="8" s="1"/>
  <c r="AD74" i="8" s="1"/>
  <c r="U74" i="8" s="1"/>
  <c r="B74" i="8"/>
  <c r="A74" i="8"/>
  <c r="Q73" i="8"/>
  <c r="R73" i="8" s="1"/>
  <c r="P73" i="8" s="1"/>
  <c r="O73" i="8" s="1"/>
  <c r="N73" i="8" s="1"/>
  <c r="M73" i="8" s="1"/>
  <c r="L73" i="8" s="1"/>
  <c r="K73" i="8" s="1"/>
  <c r="J73" i="8" s="1"/>
  <c r="I73" i="8" s="1"/>
  <c r="B73" i="8"/>
  <c r="A73" i="8"/>
  <c r="AF72" i="8"/>
  <c r="Q72" i="8"/>
  <c r="R72" i="8" s="1"/>
  <c r="P72" i="8" s="1"/>
  <c r="O72" i="8" s="1"/>
  <c r="N72" i="8" s="1"/>
  <c r="M72" i="8" s="1"/>
  <c r="L72" i="8" s="1"/>
  <c r="K72" i="8" s="1"/>
  <c r="J72" i="8" s="1"/>
  <c r="I72" i="8" s="1"/>
  <c r="C72" i="8"/>
  <c r="AE72" i="8" s="1"/>
  <c r="AD72" i="8" s="1"/>
  <c r="B72" i="8"/>
  <c r="A72" i="8"/>
  <c r="AF71" i="8"/>
  <c r="C71" i="8" s="1"/>
  <c r="AE71" i="8" s="1"/>
  <c r="AD71" i="8" s="1"/>
  <c r="AB71" i="8" s="1"/>
  <c r="Q71" i="8"/>
  <c r="R71" i="8" s="1"/>
  <c r="P71" i="8" s="1"/>
  <c r="O71" i="8" s="1"/>
  <c r="N71" i="8" s="1"/>
  <c r="M71" i="8" s="1"/>
  <c r="L71" i="8" s="1"/>
  <c r="K71" i="8" s="1"/>
  <c r="J71" i="8" s="1"/>
  <c r="I71" i="8" s="1"/>
  <c r="B71" i="8"/>
  <c r="A71" i="8"/>
  <c r="C70" i="8"/>
  <c r="AE70" i="8" s="1"/>
  <c r="AD70" i="8" s="1"/>
  <c r="B70" i="8"/>
  <c r="A70" i="8"/>
  <c r="AF70" i="8" s="1"/>
  <c r="B69" i="8"/>
  <c r="A69" i="8"/>
  <c r="AF69" i="8" s="1"/>
  <c r="C69" i="8" s="1"/>
  <c r="AE69" i="8" s="1"/>
  <c r="AD69" i="8" s="1"/>
  <c r="AF68" i="8"/>
  <c r="Q68" i="8"/>
  <c r="R68" i="8" s="1"/>
  <c r="P68" i="8" s="1"/>
  <c r="O68" i="8" s="1"/>
  <c r="N68" i="8" s="1"/>
  <c r="M68" i="8" s="1"/>
  <c r="L68" i="8" s="1"/>
  <c r="K68" i="8" s="1"/>
  <c r="J68" i="8" s="1"/>
  <c r="I68" i="8" s="1"/>
  <c r="AE68" i="8"/>
  <c r="AD68" i="8" s="1"/>
  <c r="B68" i="8"/>
  <c r="A68" i="8"/>
  <c r="AF67" i="8"/>
  <c r="C67" i="8" s="1"/>
  <c r="AE67" i="8" s="1"/>
  <c r="AD67" i="8" s="1"/>
  <c r="Q67" i="8"/>
  <c r="R67" i="8" s="1"/>
  <c r="P67" i="8" s="1"/>
  <c r="O67" i="8" s="1"/>
  <c r="N67" i="8" s="1"/>
  <c r="M67" i="8" s="1"/>
  <c r="L67" i="8" s="1"/>
  <c r="K67" i="8" s="1"/>
  <c r="J67" i="8" s="1"/>
  <c r="I67" i="8" s="1"/>
  <c r="B67" i="8"/>
  <c r="A67" i="8"/>
  <c r="AF66" i="8"/>
  <c r="C66" i="8" s="1"/>
  <c r="AE66" i="8" s="1"/>
  <c r="AD66" i="8" s="1"/>
  <c r="AC66" i="8" s="1"/>
  <c r="B66" i="8"/>
  <c r="A66" i="8"/>
  <c r="Q66" i="8" s="1"/>
  <c r="R66" i="8" s="1"/>
  <c r="P66" i="8" s="1"/>
  <c r="O66" i="8" s="1"/>
  <c r="N66" i="8" s="1"/>
  <c r="M66" i="8" s="1"/>
  <c r="L66" i="8" s="1"/>
  <c r="K66" i="8" s="1"/>
  <c r="J66" i="8" s="1"/>
  <c r="I66" i="8" s="1"/>
  <c r="B65" i="8"/>
  <c r="A65" i="8"/>
  <c r="AF65" i="8" s="1"/>
  <c r="C65" i="8" s="1"/>
  <c r="AE65" i="8" s="1"/>
  <c r="AD65" i="8" s="1"/>
  <c r="AF64" i="8"/>
  <c r="Q64" i="8"/>
  <c r="R64" i="8" s="1"/>
  <c r="P64" i="8" s="1"/>
  <c r="O64" i="8" s="1"/>
  <c r="N64" i="8" s="1"/>
  <c r="M64" i="8" s="1"/>
  <c r="L64" i="8" s="1"/>
  <c r="K64" i="8" s="1"/>
  <c r="J64" i="8" s="1"/>
  <c r="I64" i="8" s="1"/>
  <c r="C64" i="8"/>
  <c r="AE64" i="8" s="1"/>
  <c r="AD64" i="8" s="1"/>
  <c r="AC64" i="8" s="1"/>
  <c r="B64" i="8"/>
  <c r="A64" i="8"/>
  <c r="AF63" i="8"/>
  <c r="C63" i="8" s="1"/>
  <c r="AE63" i="8" s="1"/>
  <c r="AD63" i="8" s="1"/>
  <c r="AC63" i="8" s="1"/>
  <c r="Q63" i="8"/>
  <c r="R63" i="8" s="1"/>
  <c r="P63" i="8" s="1"/>
  <c r="O63" i="8" s="1"/>
  <c r="N63" i="8" s="1"/>
  <c r="M63" i="8" s="1"/>
  <c r="L63" i="8" s="1"/>
  <c r="K63" i="8" s="1"/>
  <c r="J63" i="8" s="1"/>
  <c r="I63" i="8" s="1"/>
  <c r="B63" i="8"/>
  <c r="A63" i="8"/>
  <c r="Q62" i="8"/>
  <c r="R62" i="8" s="1"/>
  <c r="P62" i="8" s="1"/>
  <c r="O62" i="8" s="1"/>
  <c r="N62" i="8" s="1"/>
  <c r="M62" i="8" s="1"/>
  <c r="L62" i="8" s="1"/>
  <c r="K62" i="8" s="1"/>
  <c r="J62" i="8" s="1"/>
  <c r="I62" i="8" s="1"/>
  <c r="B62" i="8"/>
  <c r="A62" i="8"/>
  <c r="B61" i="8"/>
  <c r="A61" i="8"/>
  <c r="AF60" i="8"/>
  <c r="C60" i="8" s="1"/>
  <c r="AE60" i="8" s="1"/>
  <c r="AD60" i="8" s="1"/>
  <c r="Q60" i="8"/>
  <c r="R60" i="8" s="1"/>
  <c r="P60" i="8" s="1"/>
  <c r="O60" i="8" s="1"/>
  <c r="N60" i="8" s="1"/>
  <c r="M60" i="8" s="1"/>
  <c r="L60" i="8" s="1"/>
  <c r="K60" i="8" s="1"/>
  <c r="J60" i="8" s="1"/>
  <c r="I60" i="8" s="1"/>
  <c r="B60" i="8"/>
  <c r="A60" i="8"/>
  <c r="AF59" i="8"/>
  <c r="C59" i="8" s="1"/>
  <c r="AE59" i="8" s="1"/>
  <c r="AD59" i="8" s="1"/>
  <c r="AA59" i="8" s="1"/>
  <c r="Q59" i="8"/>
  <c r="R59" i="8" s="1"/>
  <c r="P59" i="8" s="1"/>
  <c r="O59" i="8" s="1"/>
  <c r="N59" i="8" s="1"/>
  <c r="M59" i="8" s="1"/>
  <c r="L59" i="8" s="1"/>
  <c r="K59" i="8" s="1"/>
  <c r="J59" i="8" s="1"/>
  <c r="I59" i="8" s="1"/>
  <c r="B59" i="8"/>
  <c r="A59" i="8"/>
  <c r="AF58" i="8"/>
  <c r="C58" i="8" s="1"/>
  <c r="AE58" i="8" s="1"/>
  <c r="AD58" i="8" s="1"/>
  <c r="Q58" i="8"/>
  <c r="R58" i="8" s="1"/>
  <c r="P58" i="8" s="1"/>
  <c r="O58" i="8" s="1"/>
  <c r="N58" i="8" s="1"/>
  <c r="M58" i="8" s="1"/>
  <c r="L58" i="8" s="1"/>
  <c r="K58" i="8" s="1"/>
  <c r="J58" i="8" s="1"/>
  <c r="I58" i="8" s="1"/>
  <c r="B58" i="8"/>
  <c r="A58" i="8"/>
  <c r="B57" i="8"/>
  <c r="A57" i="8"/>
  <c r="AF56" i="8"/>
  <c r="C56" i="8" s="1"/>
  <c r="AE56" i="8" s="1"/>
  <c r="AD56" i="8" s="1"/>
  <c r="AC56" i="8" s="1"/>
  <c r="Q56" i="8"/>
  <c r="R56" i="8" s="1"/>
  <c r="P56" i="8" s="1"/>
  <c r="O56" i="8" s="1"/>
  <c r="N56" i="8" s="1"/>
  <c r="M56" i="8" s="1"/>
  <c r="L56" i="8" s="1"/>
  <c r="K56" i="8" s="1"/>
  <c r="J56" i="8" s="1"/>
  <c r="I56" i="8" s="1"/>
  <c r="B56" i="8"/>
  <c r="A56" i="8"/>
  <c r="B55" i="8"/>
  <c r="A55" i="8"/>
  <c r="Q54" i="8"/>
  <c r="R54" i="8" s="1"/>
  <c r="P54" i="8" s="1"/>
  <c r="O54" i="8" s="1"/>
  <c r="N54" i="8" s="1"/>
  <c r="M54" i="8" s="1"/>
  <c r="L54" i="8" s="1"/>
  <c r="K54" i="8" s="1"/>
  <c r="J54" i="8" s="1"/>
  <c r="I54" i="8" s="1"/>
  <c r="B54" i="8"/>
  <c r="A54" i="8"/>
  <c r="AF54" i="8" s="1"/>
  <c r="C54" i="8" s="1"/>
  <c r="AE54" i="8" s="1"/>
  <c r="AD54" i="8" s="1"/>
  <c r="AC54" i="8" s="1"/>
  <c r="B53" i="8"/>
  <c r="A53" i="8"/>
  <c r="AF52" i="8"/>
  <c r="C52" i="8" s="1"/>
  <c r="AE52" i="8" s="1"/>
  <c r="AD52" i="8" s="1"/>
  <c r="AC52" i="8" s="1"/>
  <c r="Q52" i="8"/>
  <c r="R52" i="8" s="1"/>
  <c r="P52" i="8" s="1"/>
  <c r="O52" i="8" s="1"/>
  <c r="N52" i="8" s="1"/>
  <c r="M52" i="8" s="1"/>
  <c r="L52" i="8" s="1"/>
  <c r="K52" i="8" s="1"/>
  <c r="J52" i="8" s="1"/>
  <c r="I52" i="8" s="1"/>
  <c r="B52" i="8"/>
  <c r="A52" i="8"/>
  <c r="B51" i="8"/>
  <c r="A51" i="8"/>
  <c r="Q50" i="8"/>
  <c r="R50" i="8" s="1"/>
  <c r="P50" i="8" s="1"/>
  <c r="O50" i="8" s="1"/>
  <c r="N50" i="8" s="1"/>
  <c r="M50" i="8" s="1"/>
  <c r="L50" i="8" s="1"/>
  <c r="K50" i="8" s="1"/>
  <c r="J50" i="8" s="1"/>
  <c r="I50" i="8" s="1"/>
  <c r="B50" i="8"/>
  <c r="A50" i="8"/>
  <c r="AF50" i="8" s="1"/>
  <c r="C50" i="8" s="1"/>
  <c r="AE50" i="8" s="1"/>
  <c r="AD50" i="8" s="1"/>
  <c r="B49" i="8"/>
  <c r="A49" i="8"/>
  <c r="AF48" i="8"/>
  <c r="C48" i="8" s="1"/>
  <c r="AE48" i="8" s="1"/>
  <c r="AD48" i="8" s="1"/>
  <c r="AC48" i="8" s="1"/>
  <c r="Q48" i="8"/>
  <c r="R48" i="8" s="1"/>
  <c r="P48" i="8" s="1"/>
  <c r="O48" i="8" s="1"/>
  <c r="N48" i="8" s="1"/>
  <c r="M48" i="8" s="1"/>
  <c r="L48" i="8" s="1"/>
  <c r="K48" i="8" s="1"/>
  <c r="J48" i="8" s="1"/>
  <c r="I48" i="8" s="1"/>
  <c r="B48" i="8"/>
  <c r="A48" i="8"/>
  <c r="B47" i="8"/>
  <c r="A47" i="8"/>
  <c r="Q46" i="8"/>
  <c r="R46" i="8" s="1"/>
  <c r="P46" i="8" s="1"/>
  <c r="O46" i="8" s="1"/>
  <c r="N46" i="8" s="1"/>
  <c r="M46" i="8" s="1"/>
  <c r="L46" i="8" s="1"/>
  <c r="K46" i="8" s="1"/>
  <c r="J46" i="8" s="1"/>
  <c r="I46" i="8" s="1"/>
  <c r="B46" i="8"/>
  <c r="A46" i="8"/>
  <c r="AF46" i="8" s="1"/>
  <c r="C46" i="8" s="1"/>
  <c r="AE46" i="8" s="1"/>
  <c r="AD46" i="8" s="1"/>
  <c r="B45" i="8"/>
  <c r="A45" i="8"/>
  <c r="AF44" i="8"/>
  <c r="C44" i="8" s="1"/>
  <c r="AE44" i="8" s="1"/>
  <c r="AD44" i="8" s="1"/>
  <c r="Q44" i="8"/>
  <c r="R44" i="8" s="1"/>
  <c r="P44" i="8" s="1"/>
  <c r="O44" i="8" s="1"/>
  <c r="N44" i="8" s="1"/>
  <c r="M44" i="8" s="1"/>
  <c r="L44" i="8" s="1"/>
  <c r="K44" i="8" s="1"/>
  <c r="J44" i="8" s="1"/>
  <c r="I44" i="8" s="1"/>
  <c r="B44" i="8"/>
  <c r="A44" i="8"/>
  <c r="B43" i="8"/>
  <c r="A43" i="8"/>
  <c r="Q42" i="8"/>
  <c r="R42" i="8" s="1"/>
  <c r="P42" i="8" s="1"/>
  <c r="O42" i="8" s="1"/>
  <c r="N42" i="8" s="1"/>
  <c r="M42" i="8" s="1"/>
  <c r="L42" i="8" s="1"/>
  <c r="K42" i="8" s="1"/>
  <c r="J42" i="8" s="1"/>
  <c r="I42" i="8" s="1"/>
  <c r="B42" i="8"/>
  <c r="A42" i="8"/>
  <c r="AF42" i="8" s="1"/>
  <c r="C42" i="8" s="1"/>
  <c r="AE42" i="8" s="1"/>
  <c r="AD42" i="8" s="1"/>
  <c r="AC42" i="8" s="1"/>
  <c r="B41" i="8"/>
  <c r="A41" i="8"/>
  <c r="AF40" i="8"/>
  <c r="C40" i="8" s="1"/>
  <c r="AE40" i="8" s="1"/>
  <c r="AD40" i="8" s="1"/>
  <c r="Q40" i="8"/>
  <c r="R40" i="8" s="1"/>
  <c r="P40" i="8" s="1"/>
  <c r="O40" i="8" s="1"/>
  <c r="N40" i="8" s="1"/>
  <c r="M40" i="8" s="1"/>
  <c r="L40" i="8" s="1"/>
  <c r="K40" i="8" s="1"/>
  <c r="J40" i="8" s="1"/>
  <c r="I40" i="8" s="1"/>
  <c r="B40" i="8"/>
  <c r="A40" i="8"/>
  <c r="Q39" i="8"/>
  <c r="R39" i="8" s="1"/>
  <c r="P39" i="8" s="1"/>
  <c r="O39" i="8" s="1"/>
  <c r="N39" i="8" s="1"/>
  <c r="M39" i="8" s="1"/>
  <c r="L39" i="8" s="1"/>
  <c r="K39" i="8" s="1"/>
  <c r="J39" i="8" s="1"/>
  <c r="I39" i="8" s="1"/>
  <c r="B39" i="8"/>
  <c r="A39" i="8"/>
  <c r="Q38" i="8"/>
  <c r="R38" i="8" s="1"/>
  <c r="P38" i="8" s="1"/>
  <c r="O38" i="8" s="1"/>
  <c r="N38" i="8" s="1"/>
  <c r="M38" i="8" s="1"/>
  <c r="L38" i="8" s="1"/>
  <c r="K38" i="8" s="1"/>
  <c r="J38" i="8" s="1"/>
  <c r="I38" i="8" s="1"/>
  <c r="B38" i="8"/>
  <c r="A38" i="8"/>
  <c r="AF38" i="8" s="1"/>
  <c r="C38" i="8" s="1"/>
  <c r="AE38" i="8" s="1"/>
  <c r="AD38" i="8" s="1"/>
  <c r="AC38" i="8" s="1"/>
  <c r="B37" i="8"/>
  <c r="A37" i="8"/>
  <c r="AF36" i="8"/>
  <c r="C36" i="8" s="1"/>
  <c r="AE36" i="8" s="1"/>
  <c r="AD36" i="8" s="1"/>
  <c r="Q36" i="8"/>
  <c r="R36" i="8" s="1"/>
  <c r="P36" i="8" s="1"/>
  <c r="O36" i="8" s="1"/>
  <c r="N36" i="8" s="1"/>
  <c r="M36" i="8" s="1"/>
  <c r="L36" i="8" s="1"/>
  <c r="K36" i="8" s="1"/>
  <c r="J36" i="8" s="1"/>
  <c r="I36" i="8" s="1"/>
  <c r="B36" i="8"/>
  <c r="A36" i="8"/>
  <c r="Q35" i="8"/>
  <c r="R35" i="8" s="1"/>
  <c r="P35" i="8" s="1"/>
  <c r="O35" i="8" s="1"/>
  <c r="N35" i="8" s="1"/>
  <c r="M35" i="8" s="1"/>
  <c r="L35" i="8" s="1"/>
  <c r="K35" i="8" s="1"/>
  <c r="J35" i="8" s="1"/>
  <c r="I35" i="8" s="1"/>
  <c r="B35" i="8"/>
  <c r="A35" i="8"/>
  <c r="Q34" i="8"/>
  <c r="R34" i="8" s="1"/>
  <c r="P34" i="8" s="1"/>
  <c r="O34" i="8" s="1"/>
  <c r="N34" i="8" s="1"/>
  <c r="M34" i="8" s="1"/>
  <c r="L34" i="8" s="1"/>
  <c r="K34" i="8" s="1"/>
  <c r="J34" i="8" s="1"/>
  <c r="I34" i="8" s="1"/>
  <c r="B34" i="8"/>
  <c r="A34" i="8"/>
  <c r="AF34" i="8" s="1"/>
  <c r="C34" i="8" s="1"/>
  <c r="AE34" i="8" s="1"/>
  <c r="AD34" i="8" s="1"/>
  <c r="B33" i="8"/>
  <c r="A33" i="8"/>
  <c r="AF32" i="8"/>
  <c r="C32" i="8" s="1"/>
  <c r="AE32" i="8" s="1"/>
  <c r="AD32" i="8" s="1"/>
  <c r="AC32" i="8" s="1"/>
  <c r="Q32" i="8"/>
  <c r="R32" i="8" s="1"/>
  <c r="P32" i="8" s="1"/>
  <c r="O32" i="8" s="1"/>
  <c r="N32" i="8" s="1"/>
  <c r="M32" i="8" s="1"/>
  <c r="L32" i="8" s="1"/>
  <c r="K32" i="8" s="1"/>
  <c r="J32" i="8" s="1"/>
  <c r="I32" i="8" s="1"/>
  <c r="B32" i="8"/>
  <c r="A32" i="8"/>
  <c r="Q31" i="8"/>
  <c r="R31" i="8" s="1"/>
  <c r="P31" i="8" s="1"/>
  <c r="O31" i="8" s="1"/>
  <c r="N31" i="8" s="1"/>
  <c r="M31" i="8" s="1"/>
  <c r="L31" i="8" s="1"/>
  <c r="K31" i="8" s="1"/>
  <c r="J31" i="8" s="1"/>
  <c r="I31" i="8" s="1"/>
  <c r="B31" i="8"/>
  <c r="A31" i="8"/>
  <c r="Q30" i="8"/>
  <c r="R30" i="8" s="1"/>
  <c r="P30" i="8" s="1"/>
  <c r="O30" i="8" s="1"/>
  <c r="N30" i="8" s="1"/>
  <c r="M30" i="8" s="1"/>
  <c r="L30" i="8" s="1"/>
  <c r="K30" i="8" s="1"/>
  <c r="J30" i="8" s="1"/>
  <c r="I30" i="8" s="1"/>
  <c r="B30" i="8"/>
  <c r="A30" i="8"/>
  <c r="AF30" i="8" s="1"/>
  <c r="C30" i="8" s="1"/>
  <c r="AE30" i="8" s="1"/>
  <c r="AD30" i="8" s="1"/>
  <c r="AC30" i="8" s="1"/>
  <c r="B29" i="8"/>
  <c r="A29" i="8"/>
  <c r="AF28" i="8"/>
  <c r="C28" i="8" s="1"/>
  <c r="AE28" i="8" s="1"/>
  <c r="AD28" i="8" s="1"/>
  <c r="AC28" i="8" s="1"/>
  <c r="Q28" i="8"/>
  <c r="R28" i="8" s="1"/>
  <c r="P28" i="8" s="1"/>
  <c r="O28" i="8" s="1"/>
  <c r="N28" i="8" s="1"/>
  <c r="M28" i="8" s="1"/>
  <c r="L28" i="8" s="1"/>
  <c r="K28" i="8" s="1"/>
  <c r="J28" i="8" s="1"/>
  <c r="I28" i="8" s="1"/>
  <c r="B28" i="8"/>
  <c r="A28" i="8"/>
  <c r="Q27" i="8"/>
  <c r="R27" i="8" s="1"/>
  <c r="P27" i="8" s="1"/>
  <c r="O27" i="8" s="1"/>
  <c r="N27" i="8" s="1"/>
  <c r="M27" i="8" s="1"/>
  <c r="L27" i="8" s="1"/>
  <c r="K27" i="8" s="1"/>
  <c r="J27" i="8" s="1"/>
  <c r="I27" i="8" s="1"/>
  <c r="B27" i="8"/>
  <c r="A27" i="8"/>
  <c r="Q26" i="8"/>
  <c r="R26" i="8" s="1"/>
  <c r="P26" i="8" s="1"/>
  <c r="O26" i="8" s="1"/>
  <c r="N26" i="8" s="1"/>
  <c r="M26" i="8" s="1"/>
  <c r="L26" i="8" s="1"/>
  <c r="K26" i="8" s="1"/>
  <c r="J26" i="8" s="1"/>
  <c r="I26" i="8" s="1"/>
  <c r="B26" i="8"/>
  <c r="A26" i="8"/>
  <c r="AF26" i="8" s="1"/>
  <c r="C26" i="8" s="1"/>
  <c r="AE26" i="8" s="1"/>
  <c r="AD26" i="8" s="1"/>
  <c r="AC26" i="8" s="1"/>
  <c r="B25" i="8"/>
  <c r="A25" i="8"/>
  <c r="AF24" i="8"/>
  <c r="C24" i="8" s="1"/>
  <c r="AE24" i="8" s="1"/>
  <c r="AD24" i="8" s="1"/>
  <c r="Q24" i="8"/>
  <c r="R24" i="8" s="1"/>
  <c r="P24" i="8" s="1"/>
  <c r="O24" i="8" s="1"/>
  <c r="N24" i="8" s="1"/>
  <c r="M24" i="8" s="1"/>
  <c r="L24" i="8" s="1"/>
  <c r="K24" i="8" s="1"/>
  <c r="J24" i="8" s="1"/>
  <c r="I24" i="8" s="1"/>
  <c r="B24" i="8"/>
  <c r="A24" i="8"/>
  <c r="B23" i="8"/>
  <c r="A23" i="8"/>
  <c r="Q22" i="8"/>
  <c r="R22" i="8" s="1"/>
  <c r="P22" i="8" s="1"/>
  <c r="O22" i="8" s="1"/>
  <c r="N22" i="8" s="1"/>
  <c r="M22" i="8" s="1"/>
  <c r="L22" i="8" s="1"/>
  <c r="K22" i="8" s="1"/>
  <c r="J22" i="8" s="1"/>
  <c r="I22" i="8" s="1"/>
  <c r="B22" i="8"/>
  <c r="A22" i="8"/>
  <c r="AF22" i="8" s="1"/>
  <c r="C22" i="8" s="1"/>
  <c r="AE22" i="8" s="1"/>
  <c r="AD22" i="8" s="1"/>
  <c r="AC22" i="8" s="1"/>
  <c r="B21" i="8"/>
  <c r="A21" i="8"/>
  <c r="AF20" i="8"/>
  <c r="C20" i="8" s="1"/>
  <c r="AE20" i="8" s="1"/>
  <c r="AD20" i="8" s="1"/>
  <c r="AC20" i="8" s="1"/>
  <c r="Q20" i="8"/>
  <c r="R20" i="8" s="1"/>
  <c r="P20" i="8" s="1"/>
  <c r="O20" i="8" s="1"/>
  <c r="N20" i="8" s="1"/>
  <c r="M20" i="8" s="1"/>
  <c r="L20" i="8" s="1"/>
  <c r="K20" i="8" s="1"/>
  <c r="J20" i="8" s="1"/>
  <c r="I20" i="8" s="1"/>
  <c r="B20" i="8"/>
  <c r="A20" i="8"/>
  <c r="Q19" i="8"/>
  <c r="R19" i="8" s="1"/>
  <c r="P19" i="8" s="1"/>
  <c r="O19" i="8" s="1"/>
  <c r="N19" i="8" s="1"/>
  <c r="M19" i="8" s="1"/>
  <c r="L19" i="8" s="1"/>
  <c r="K19" i="8" s="1"/>
  <c r="J19" i="8" s="1"/>
  <c r="I19" i="8" s="1"/>
  <c r="B19" i="8"/>
  <c r="A19" i="8"/>
  <c r="Q18" i="8"/>
  <c r="R18" i="8" s="1"/>
  <c r="P18" i="8" s="1"/>
  <c r="O18" i="8" s="1"/>
  <c r="N18" i="8" s="1"/>
  <c r="M18" i="8" s="1"/>
  <c r="L18" i="8" s="1"/>
  <c r="K18" i="8" s="1"/>
  <c r="J18" i="8" s="1"/>
  <c r="I18" i="8" s="1"/>
  <c r="B18" i="8"/>
  <c r="A18" i="8"/>
  <c r="AF18" i="8" s="1"/>
  <c r="C18" i="8" s="1"/>
  <c r="AE18" i="8" s="1"/>
  <c r="AD18" i="8" s="1"/>
  <c r="B17" i="8"/>
  <c r="A17" i="8"/>
  <c r="AF16" i="8"/>
  <c r="C16" i="8" s="1"/>
  <c r="AE16" i="8" s="1"/>
  <c r="AD16" i="8" s="1"/>
  <c r="AC16" i="8" s="1"/>
  <c r="Q16" i="8"/>
  <c r="R16" i="8" s="1"/>
  <c r="P16" i="8" s="1"/>
  <c r="O16" i="8" s="1"/>
  <c r="N16" i="8" s="1"/>
  <c r="M16" i="8" s="1"/>
  <c r="L16" i="8" s="1"/>
  <c r="K16" i="8" s="1"/>
  <c r="J16" i="8" s="1"/>
  <c r="I16" i="8" s="1"/>
  <c r="B16" i="8"/>
  <c r="A16" i="8"/>
  <c r="B15" i="8"/>
  <c r="A15" i="8"/>
  <c r="Q14" i="8"/>
  <c r="R14" i="8" s="1"/>
  <c r="P14" i="8" s="1"/>
  <c r="O14" i="8" s="1"/>
  <c r="N14" i="8" s="1"/>
  <c r="M14" i="8" s="1"/>
  <c r="L14" i="8" s="1"/>
  <c r="K14" i="8" s="1"/>
  <c r="J14" i="8" s="1"/>
  <c r="I14" i="8" s="1"/>
  <c r="B14" i="8"/>
  <c r="A14" i="8"/>
  <c r="AF14" i="8" s="1"/>
  <c r="C14" i="8" s="1"/>
  <c r="AE14" i="8" s="1"/>
  <c r="AD14" i="8" s="1"/>
  <c r="AC14" i="8" s="1"/>
  <c r="B13" i="8"/>
  <c r="A13" i="8"/>
  <c r="AF12" i="8"/>
  <c r="C12" i="8" s="1"/>
  <c r="AE12" i="8" s="1"/>
  <c r="AD12" i="8" s="1"/>
  <c r="Q12" i="8"/>
  <c r="R12" i="8" s="1"/>
  <c r="P12" i="8" s="1"/>
  <c r="O12" i="8" s="1"/>
  <c r="N12" i="8" s="1"/>
  <c r="M12" i="8" s="1"/>
  <c r="L12" i="8" s="1"/>
  <c r="K12" i="8" s="1"/>
  <c r="J12" i="8" s="1"/>
  <c r="I12" i="8" s="1"/>
  <c r="B12" i="8"/>
  <c r="A12" i="8"/>
  <c r="B11" i="8"/>
  <c r="A11" i="8"/>
  <c r="Q10" i="8"/>
  <c r="R10" i="8" s="1"/>
  <c r="P10" i="8" s="1"/>
  <c r="O10" i="8" s="1"/>
  <c r="N10" i="8" s="1"/>
  <c r="M10" i="8" s="1"/>
  <c r="L10" i="8" s="1"/>
  <c r="K10" i="8" s="1"/>
  <c r="J10" i="8" s="1"/>
  <c r="I10" i="8" s="1"/>
  <c r="B10" i="8"/>
  <c r="A10" i="8"/>
  <c r="AF10" i="8" s="1"/>
  <c r="C10" i="8" s="1"/>
  <c r="AE10" i="8" s="1"/>
  <c r="AD10" i="8" s="1"/>
  <c r="B9" i="8"/>
  <c r="A9" i="8"/>
  <c r="AF8" i="8"/>
  <c r="C8" i="8" s="1"/>
  <c r="AE8" i="8" s="1"/>
  <c r="AD8" i="8" s="1"/>
  <c r="Q8" i="8"/>
  <c r="R8" i="8" s="1"/>
  <c r="P8" i="8" s="1"/>
  <c r="O8" i="8" s="1"/>
  <c r="N8" i="8" s="1"/>
  <c r="M8" i="8" s="1"/>
  <c r="L8" i="8" s="1"/>
  <c r="K8" i="8" s="1"/>
  <c r="J8" i="8" s="1"/>
  <c r="I8" i="8" s="1"/>
  <c r="B8" i="8"/>
  <c r="A8" i="8"/>
  <c r="Q7" i="8"/>
  <c r="R7" i="8" s="1"/>
  <c r="P7" i="8" s="1"/>
  <c r="O7" i="8" s="1"/>
  <c r="N7" i="8" s="1"/>
  <c r="M7" i="8" s="1"/>
  <c r="L7" i="8" s="1"/>
  <c r="K7" i="8" s="1"/>
  <c r="J7" i="8" s="1"/>
  <c r="I7" i="8" s="1"/>
  <c r="B7" i="8"/>
  <c r="A7" i="8"/>
  <c r="Q6" i="8"/>
  <c r="R6" i="8" s="1"/>
  <c r="P6" i="8" s="1"/>
  <c r="O6" i="8" s="1"/>
  <c r="N6" i="8" s="1"/>
  <c r="M6" i="8" s="1"/>
  <c r="L6" i="8" s="1"/>
  <c r="K6" i="8" s="1"/>
  <c r="J6" i="8" s="1"/>
  <c r="I6" i="8" s="1"/>
  <c r="B6" i="8"/>
  <c r="A6" i="8"/>
  <c r="AF6" i="8" s="1"/>
  <c r="C6" i="8" s="1"/>
  <c r="AE6" i="8" s="1"/>
  <c r="AD6" i="8" s="1"/>
  <c r="B5" i="8"/>
  <c r="A5" i="8"/>
  <c r="Q2" i="8"/>
  <c r="Q122" i="7"/>
  <c r="P122" i="7"/>
  <c r="H122" i="7"/>
  <c r="Q121" i="7"/>
  <c r="P121" i="7"/>
  <c r="H121" i="7"/>
  <c r="Q120" i="7"/>
  <c r="P120" i="7"/>
  <c r="H120" i="7"/>
  <c r="Q119" i="7"/>
  <c r="P119" i="7"/>
  <c r="H119" i="7"/>
  <c r="Q118" i="7"/>
  <c r="P118" i="7"/>
  <c r="H118" i="7"/>
  <c r="Q117" i="7"/>
  <c r="P117" i="7"/>
  <c r="H117" i="7"/>
  <c r="Q116" i="7"/>
  <c r="P116" i="7"/>
  <c r="H116" i="7"/>
  <c r="Q115" i="7"/>
  <c r="P115" i="7"/>
  <c r="H115" i="7"/>
  <c r="Q114" i="7"/>
  <c r="P114" i="7"/>
  <c r="H114" i="7"/>
  <c r="Q113" i="7"/>
  <c r="P113" i="7"/>
  <c r="H113" i="7"/>
  <c r="Q112" i="7"/>
  <c r="P112" i="7"/>
  <c r="H112" i="7"/>
  <c r="Q111" i="7"/>
  <c r="P111" i="7"/>
  <c r="H111" i="7"/>
  <c r="Q110" i="7"/>
  <c r="P110" i="7"/>
  <c r="H110" i="7"/>
  <c r="Q109" i="7"/>
  <c r="P109" i="7"/>
  <c r="H109" i="7"/>
  <c r="F749" i="10" s="1"/>
  <c r="Q108" i="7"/>
  <c r="P108" i="7"/>
  <c r="H108" i="7"/>
  <c r="F748" i="10" s="1"/>
  <c r="AE107" i="7"/>
  <c r="AC107" i="7"/>
  <c r="X107" i="7"/>
  <c r="Q107" i="7"/>
  <c r="P107" i="7"/>
  <c r="H107" i="7"/>
  <c r="F747" i="10" s="1"/>
  <c r="Q106" i="7"/>
  <c r="P106" i="7"/>
  <c r="H106" i="7"/>
  <c r="F746" i="10" s="1"/>
  <c r="Q105" i="7"/>
  <c r="P105" i="7"/>
  <c r="H105" i="7"/>
  <c r="F745" i="10" s="1"/>
  <c r="Q104" i="7"/>
  <c r="P104" i="7"/>
  <c r="H104" i="7"/>
  <c r="F744" i="10" s="1"/>
  <c r="Q103" i="7"/>
  <c r="P103" i="7"/>
  <c r="H103" i="7"/>
  <c r="F743" i="10" s="1"/>
  <c r="Q102" i="7"/>
  <c r="P102" i="7"/>
  <c r="H102" i="7"/>
  <c r="F742" i="10" s="1"/>
  <c r="Q101" i="7"/>
  <c r="P101" i="7"/>
  <c r="H101" i="7"/>
  <c r="F741" i="10" s="1"/>
  <c r="Q100" i="7"/>
  <c r="P100" i="7"/>
  <c r="H100" i="7"/>
  <c r="F740" i="10" s="1"/>
  <c r="Q99" i="7"/>
  <c r="P99" i="7"/>
  <c r="H99" i="7"/>
  <c r="F739" i="10" s="1"/>
  <c r="Q98" i="7"/>
  <c r="P98" i="7"/>
  <c r="H98" i="7"/>
  <c r="F738" i="10" s="1"/>
  <c r="Q97" i="7"/>
  <c r="P97" i="7"/>
  <c r="H97" i="7"/>
  <c r="F737" i="10" s="1"/>
  <c r="Q96" i="7"/>
  <c r="P96" i="7"/>
  <c r="H96" i="7"/>
  <c r="F736" i="10" s="1"/>
  <c r="Q95" i="7"/>
  <c r="P95" i="7"/>
  <c r="H95" i="7"/>
  <c r="F735" i="10" s="1"/>
  <c r="Q94" i="7"/>
  <c r="P94" i="7"/>
  <c r="H94" i="7"/>
  <c r="F734" i="10" s="1"/>
  <c r="Q93" i="7"/>
  <c r="P93" i="7"/>
  <c r="H93" i="7"/>
  <c r="F733" i="10" s="1"/>
  <c r="Q92" i="7"/>
  <c r="P92" i="7"/>
  <c r="H92" i="7"/>
  <c r="F732" i="10" s="1"/>
  <c r="Q91" i="7"/>
  <c r="P91" i="7"/>
  <c r="H91" i="7"/>
  <c r="F731" i="10" s="1"/>
  <c r="Q90" i="7"/>
  <c r="P90" i="7"/>
  <c r="H90" i="7"/>
  <c r="F730" i="10" s="1"/>
  <c r="Q89" i="7"/>
  <c r="P89" i="7"/>
  <c r="H89" i="7"/>
  <c r="F729" i="10" s="1"/>
  <c r="Q88" i="7"/>
  <c r="P88" i="7"/>
  <c r="H88" i="7"/>
  <c r="F728" i="10" s="1"/>
  <c r="Q87" i="7"/>
  <c r="P87" i="7"/>
  <c r="H87" i="7"/>
  <c r="F727" i="10" s="1"/>
  <c r="Q86" i="7"/>
  <c r="P86" i="7"/>
  <c r="H86" i="7"/>
  <c r="F726" i="10" s="1"/>
  <c r="Q85" i="7"/>
  <c r="P85" i="7"/>
  <c r="H85" i="7"/>
  <c r="F725" i="10" s="1"/>
  <c r="Q84" i="7"/>
  <c r="P84" i="7"/>
  <c r="H84" i="7"/>
  <c r="F724" i="10" s="1"/>
  <c r="Q83" i="7"/>
  <c r="P83" i="7"/>
  <c r="H83" i="7"/>
  <c r="F723" i="10" s="1"/>
  <c r="AD82" i="7"/>
  <c r="AF82" i="7" s="1"/>
  <c r="M722" i="10" s="1"/>
  <c r="AB82" i="7"/>
  <c r="Q82" i="7"/>
  <c r="P82" i="7"/>
  <c r="H82" i="7"/>
  <c r="F722" i="10" s="1"/>
  <c r="Q81" i="7"/>
  <c r="P81" i="7"/>
  <c r="H81" i="7"/>
  <c r="F721" i="10" s="1"/>
  <c r="Q80" i="7"/>
  <c r="P80" i="7"/>
  <c r="H80" i="7"/>
  <c r="F720" i="10" s="1"/>
  <c r="Q79" i="7"/>
  <c r="P79" i="7"/>
  <c r="H79" i="7"/>
  <c r="F719" i="10" s="1"/>
  <c r="Q78" i="7"/>
  <c r="P78" i="7"/>
  <c r="H78" i="7"/>
  <c r="F718" i="10" s="1"/>
  <c r="Q77" i="7"/>
  <c r="P77" i="7"/>
  <c r="H77" i="7"/>
  <c r="F717" i="10" s="1"/>
  <c r="Q76" i="7"/>
  <c r="P76" i="7"/>
  <c r="H76" i="7"/>
  <c r="F716" i="10" s="1"/>
  <c r="Q75" i="7"/>
  <c r="P75" i="7"/>
  <c r="H75" i="7"/>
  <c r="F715" i="10" s="1"/>
  <c r="Q74" i="7"/>
  <c r="P74" i="7"/>
  <c r="H74" i="7"/>
  <c r="F714" i="10" s="1"/>
  <c r="Q73" i="7"/>
  <c r="P73" i="7"/>
  <c r="H73" i="7"/>
  <c r="F713" i="10" s="1"/>
  <c r="Q72" i="7"/>
  <c r="P72" i="7"/>
  <c r="H72" i="7"/>
  <c r="F712" i="10" s="1"/>
  <c r="Q71" i="7"/>
  <c r="P71" i="7"/>
  <c r="H71" i="7"/>
  <c r="F711" i="10" s="1"/>
  <c r="Q70" i="7"/>
  <c r="P70" i="7"/>
  <c r="H70" i="7"/>
  <c r="F710" i="10" s="1"/>
  <c r="Q69" i="7"/>
  <c r="P69" i="7"/>
  <c r="H69" i="7"/>
  <c r="F709" i="10" s="1"/>
  <c r="Q68" i="7"/>
  <c r="P68" i="7"/>
  <c r="H68" i="7"/>
  <c r="F708" i="10" s="1"/>
  <c r="Q67" i="7"/>
  <c r="P67" i="7"/>
  <c r="H67" i="7"/>
  <c r="F707" i="10" s="1"/>
  <c r="Q66" i="7"/>
  <c r="P66" i="7"/>
  <c r="H66" i="7"/>
  <c r="F706" i="10" s="1"/>
  <c r="Q65" i="7"/>
  <c r="P65" i="7"/>
  <c r="H65" i="7"/>
  <c r="F705" i="10" s="1"/>
  <c r="Q64" i="7"/>
  <c r="P64" i="7"/>
  <c r="H64" i="7"/>
  <c r="F704" i="10" s="1"/>
  <c r="Q63" i="7"/>
  <c r="P63" i="7"/>
  <c r="H63" i="7"/>
  <c r="F703" i="10" s="1"/>
  <c r="Q62" i="7"/>
  <c r="P62" i="7"/>
  <c r="H62" i="7"/>
  <c r="F702" i="10" s="1"/>
  <c r="Q61" i="7"/>
  <c r="P61" i="7"/>
  <c r="H61" i="7"/>
  <c r="F701" i="10" s="1"/>
  <c r="Q60" i="7"/>
  <c r="P60" i="7"/>
  <c r="H60" i="7"/>
  <c r="F700" i="10" s="1"/>
  <c r="Q59" i="7"/>
  <c r="P59" i="7"/>
  <c r="H59" i="7"/>
  <c r="F699" i="10" s="1"/>
  <c r="Q58" i="7"/>
  <c r="P58" i="7"/>
  <c r="H58" i="7"/>
  <c r="F698" i="10" s="1"/>
  <c r="Q57" i="7"/>
  <c r="P57" i="7"/>
  <c r="H57" i="7"/>
  <c r="F697" i="10" s="1"/>
  <c r="Q56" i="7"/>
  <c r="P56" i="7"/>
  <c r="H56" i="7"/>
  <c r="F696" i="10" s="1"/>
  <c r="Q55" i="7"/>
  <c r="P55" i="7"/>
  <c r="H55" i="7"/>
  <c r="F695" i="10" s="1"/>
  <c r="Q54" i="7"/>
  <c r="P54" i="7"/>
  <c r="H54" i="7"/>
  <c r="F694" i="10" s="1"/>
  <c r="Q53" i="7"/>
  <c r="P53" i="7"/>
  <c r="H53" i="7"/>
  <c r="F693" i="10" s="1"/>
  <c r="Q52" i="7"/>
  <c r="P52" i="7"/>
  <c r="H52" i="7"/>
  <c r="F692" i="10" s="1"/>
  <c r="Q51" i="7"/>
  <c r="P51" i="7"/>
  <c r="H51" i="7"/>
  <c r="F691" i="10" s="1"/>
  <c r="Q50" i="7"/>
  <c r="P50" i="7"/>
  <c r="H50" i="7"/>
  <c r="F690" i="10" s="1"/>
  <c r="Q49" i="7"/>
  <c r="P49" i="7"/>
  <c r="H49" i="7"/>
  <c r="F689" i="10" s="1"/>
  <c r="Q48" i="7"/>
  <c r="P48" i="7"/>
  <c r="H48" i="7"/>
  <c r="F688" i="10" s="1"/>
  <c r="Q47" i="7"/>
  <c r="P47" i="7"/>
  <c r="H47" i="7"/>
  <c r="F687" i="10" s="1"/>
  <c r="Q46" i="7"/>
  <c r="P46" i="7"/>
  <c r="H46" i="7"/>
  <c r="F686" i="10" s="1"/>
  <c r="Q45" i="7"/>
  <c r="P45" i="7"/>
  <c r="H45" i="7"/>
  <c r="F685" i="10" s="1"/>
  <c r="Q44" i="7"/>
  <c r="P44" i="7"/>
  <c r="H44" i="7"/>
  <c r="F684" i="10" s="1"/>
  <c r="Q43" i="7"/>
  <c r="P43" i="7"/>
  <c r="H43" i="7"/>
  <c r="F683" i="10" s="1"/>
  <c r="Q42" i="7"/>
  <c r="P42" i="7"/>
  <c r="H42" i="7"/>
  <c r="F682" i="10" s="1"/>
  <c r="Q41" i="7"/>
  <c r="P41" i="7"/>
  <c r="H41" i="7"/>
  <c r="F681" i="10" s="1"/>
  <c r="Q40" i="7"/>
  <c r="P40" i="7"/>
  <c r="H40" i="7"/>
  <c r="F680" i="10" s="1"/>
  <c r="Q39" i="7"/>
  <c r="P39" i="7"/>
  <c r="H39" i="7"/>
  <c r="F679" i="10" s="1"/>
  <c r="Q38" i="7"/>
  <c r="P38" i="7"/>
  <c r="H38" i="7"/>
  <c r="F678" i="10" s="1"/>
  <c r="Q37" i="7"/>
  <c r="P37" i="7"/>
  <c r="H37" i="7"/>
  <c r="F677" i="10" s="1"/>
  <c r="Q36" i="7"/>
  <c r="P36" i="7"/>
  <c r="H36" i="7"/>
  <c r="F676" i="10" s="1"/>
  <c r="Q35" i="7"/>
  <c r="P35" i="7"/>
  <c r="H35" i="7"/>
  <c r="F675" i="10" s="1"/>
  <c r="Q34" i="7"/>
  <c r="P34" i="7"/>
  <c r="H34" i="7"/>
  <c r="F674" i="10" s="1"/>
  <c r="Q33" i="7"/>
  <c r="P33" i="7"/>
  <c r="H33" i="7"/>
  <c r="F673" i="10" s="1"/>
  <c r="Q32" i="7"/>
  <c r="P32" i="7"/>
  <c r="H32" i="7"/>
  <c r="F672" i="10" s="1"/>
  <c r="Q31" i="7"/>
  <c r="P31" i="7"/>
  <c r="H31" i="7"/>
  <c r="F671" i="10" s="1"/>
  <c r="Q30" i="7"/>
  <c r="P30" i="7"/>
  <c r="H30" i="7"/>
  <c r="F670" i="10" s="1"/>
  <c r="Q29" i="7"/>
  <c r="P29" i="7"/>
  <c r="H29" i="7"/>
  <c r="F669" i="10" s="1"/>
  <c r="Q28" i="7"/>
  <c r="P28" i="7"/>
  <c r="H28" i="7"/>
  <c r="F668" i="10" s="1"/>
  <c r="Q27" i="7"/>
  <c r="P27" i="7"/>
  <c r="H27" i="7"/>
  <c r="F667" i="10" s="1"/>
  <c r="Q26" i="7"/>
  <c r="P26" i="7"/>
  <c r="H26" i="7"/>
  <c r="F666" i="10" s="1"/>
  <c r="Q25" i="7"/>
  <c r="P25" i="7"/>
  <c r="H25" i="7"/>
  <c r="F665" i="10" s="1"/>
  <c r="Q24" i="7"/>
  <c r="P24" i="7"/>
  <c r="H24" i="7"/>
  <c r="F664" i="10" s="1"/>
  <c r="Q23" i="7"/>
  <c r="P23" i="7"/>
  <c r="H23" i="7"/>
  <c r="F663" i="10" s="1"/>
  <c r="Q22" i="7"/>
  <c r="P22" i="7"/>
  <c r="H22" i="7"/>
  <c r="F662" i="10" s="1"/>
  <c r="Q21" i="7"/>
  <c r="P21" i="7"/>
  <c r="H21" i="7"/>
  <c r="F661" i="10" s="1"/>
  <c r="Q20" i="7"/>
  <c r="P20" i="7"/>
  <c r="H20" i="7"/>
  <c r="F660" i="10" s="1"/>
  <c r="Q19" i="7"/>
  <c r="P19" i="7"/>
  <c r="H19" i="7"/>
  <c r="F659" i="10" s="1"/>
  <c r="Q18" i="7"/>
  <c r="P18" i="7"/>
  <c r="H18" i="7"/>
  <c r="F658" i="10" s="1"/>
  <c r="Q17" i="7"/>
  <c r="P17" i="7"/>
  <c r="H17" i="7"/>
  <c r="F657" i="10" s="1"/>
  <c r="Q16" i="7"/>
  <c r="P16" i="7"/>
  <c r="H16" i="7"/>
  <c r="F656" i="10" s="1"/>
  <c r="Q15" i="7"/>
  <c r="P15" i="7"/>
  <c r="H15" i="7"/>
  <c r="F655" i="10" s="1"/>
  <c r="Q14" i="7"/>
  <c r="P14" i="7"/>
  <c r="H14" i="7"/>
  <c r="F654" i="10" s="1"/>
  <c r="Q13" i="7"/>
  <c r="P13" i="7"/>
  <c r="H13" i="7"/>
  <c r="F653" i="10" s="1"/>
  <c r="Q12" i="7"/>
  <c r="P12" i="7"/>
  <c r="H12" i="7"/>
  <c r="F652" i="10" s="1"/>
  <c r="Q11" i="7"/>
  <c r="P11" i="7"/>
  <c r="H11" i="7"/>
  <c r="F651" i="10" s="1"/>
  <c r="Q10" i="7"/>
  <c r="P10" i="7"/>
  <c r="H10" i="7"/>
  <c r="F650" i="10" s="1"/>
  <c r="Q9" i="7"/>
  <c r="P9" i="7"/>
  <c r="H9" i="7"/>
  <c r="F649" i="10" s="1"/>
  <c r="Q8" i="7"/>
  <c r="P8" i="7"/>
  <c r="H8" i="7"/>
  <c r="F648" i="10" s="1"/>
  <c r="Q7" i="7"/>
  <c r="P7" i="7"/>
  <c r="H7" i="7"/>
  <c r="F647" i="10" s="1"/>
  <c r="Q6" i="7"/>
  <c r="P6" i="7"/>
  <c r="H6" i="7"/>
  <c r="F646" i="10" s="1"/>
  <c r="Q5" i="7"/>
  <c r="P5" i="7"/>
  <c r="H5" i="7"/>
  <c r="F620" i="10" s="1"/>
  <c r="B3" i="6"/>
  <c r="AB101" i="5"/>
  <c r="B101" i="5"/>
  <c r="AB100" i="5"/>
  <c r="B100" i="5"/>
  <c r="AB99" i="5"/>
  <c r="B99" i="5"/>
  <c r="AB98" i="5"/>
  <c r="B98" i="5"/>
  <c r="AB97" i="5"/>
  <c r="B97" i="5"/>
  <c r="AB96" i="5"/>
  <c r="B96" i="5"/>
  <c r="AB95" i="5"/>
  <c r="B95" i="5"/>
  <c r="AB94" i="5"/>
  <c r="B94" i="5"/>
  <c r="AB93" i="5"/>
  <c r="B93" i="5"/>
  <c r="AB92" i="5"/>
  <c r="B92" i="5"/>
  <c r="AB91" i="5"/>
  <c r="B91" i="5"/>
  <c r="AB90" i="5"/>
  <c r="B90" i="5"/>
  <c r="AB89" i="5"/>
  <c r="B89" i="5"/>
  <c r="AB88" i="5"/>
  <c r="B88" i="5"/>
  <c r="AB87" i="5"/>
  <c r="B87" i="5"/>
  <c r="AB86" i="5"/>
  <c r="B86" i="5"/>
  <c r="AB85" i="5"/>
  <c r="B85" i="5"/>
  <c r="AB84" i="5"/>
  <c r="B84" i="5"/>
  <c r="AB83" i="5"/>
  <c r="B83" i="5"/>
  <c r="AB82" i="5"/>
  <c r="B82" i="5"/>
  <c r="AB81" i="5"/>
  <c r="B81" i="5"/>
  <c r="AB80" i="5"/>
  <c r="B80" i="5"/>
  <c r="AB79" i="5"/>
  <c r="B79" i="5"/>
  <c r="AB78" i="5"/>
  <c r="B78" i="5"/>
  <c r="AB77" i="5"/>
  <c r="B77" i="5"/>
  <c r="AB76" i="5"/>
  <c r="B76" i="5"/>
  <c r="AB75" i="5"/>
  <c r="B75" i="5"/>
  <c r="AB74" i="5"/>
  <c r="B74" i="5"/>
  <c r="AB73" i="5"/>
  <c r="B73" i="5"/>
  <c r="AB72" i="5"/>
  <c r="B72" i="5"/>
  <c r="AB71" i="5"/>
  <c r="B71" i="5"/>
  <c r="AB70" i="5"/>
  <c r="B70" i="5"/>
  <c r="AB69" i="5"/>
  <c r="B69" i="5"/>
  <c r="AB68" i="5"/>
  <c r="B68" i="5"/>
  <c r="AB67" i="5"/>
  <c r="B67" i="5"/>
  <c r="AB66" i="5"/>
  <c r="B66" i="5"/>
  <c r="AB65" i="5"/>
  <c r="B65" i="5"/>
  <c r="AB64" i="5"/>
  <c r="B64" i="5"/>
  <c r="AB63" i="5"/>
  <c r="B63" i="5"/>
  <c r="AB62" i="5"/>
  <c r="B62" i="5"/>
  <c r="AB61" i="5"/>
  <c r="B61" i="5"/>
  <c r="AB60" i="5"/>
  <c r="B60" i="5"/>
  <c r="AB59" i="5"/>
  <c r="B59" i="5"/>
  <c r="AB58" i="5"/>
  <c r="B58" i="5"/>
  <c r="AB57" i="5"/>
  <c r="B57" i="5"/>
  <c r="AB56" i="5"/>
  <c r="B56" i="5"/>
  <c r="AB55" i="5"/>
  <c r="B55" i="5"/>
  <c r="AB54" i="5"/>
  <c r="B54" i="5"/>
  <c r="AB53" i="5"/>
  <c r="B53" i="5"/>
  <c r="AB52" i="5"/>
  <c r="B52" i="5"/>
  <c r="AB51" i="5"/>
  <c r="B51" i="5"/>
  <c r="AB50" i="5"/>
  <c r="B50" i="5"/>
  <c r="AB49" i="5"/>
  <c r="B49" i="5"/>
  <c r="AB48" i="5"/>
  <c r="B48" i="5"/>
  <c r="AB47" i="5"/>
  <c r="B47" i="5"/>
  <c r="AB46" i="5"/>
  <c r="B46" i="5"/>
  <c r="AB45" i="5"/>
  <c r="B45" i="5"/>
  <c r="AB44" i="5"/>
  <c r="B44" i="5"/>
  <c r="AB43" i="5"/>
  <c r="B43" i="5"/>
  <c r="AB42" i="5"/>
  <c r="B42" i="5"/>
  <c r="AB41" i="5"/>
  <c r="B41" i="5"/>
  <c r="AB40" i="5"/>
  <c r="B40" i="5"/>
  <c r="AB39" i="5"/>
  <c r="B39" i="5"/>
  <c r="AB38" i="5"/>
  <c r="B38" i="5"/>
  <c r="AB37" i="5"/>
  <c r="B37" i="5"/>
  <c r="AB36" i="5"/>
  <c r="B36" i="5"/>
  <c r="AB35" i="5"/>
  <c r="B35" i="5"/>
  <c r="AB34" i="5"/>
  <c r="B34" i="5"/>
  <c r="AB33" i="5"/>
  <c r="B33" i="5"/>
  <c r="AB32" i="5"/>
  <c r="B32" i="5"/>
  <c r="AB31" i="5"/>
  <c r="B31" i="5"/>
  <c r="AB30" i="5"/>
  <c r="B30" i="5"/>
  <c r="AB29" i="5"/>
  <c r="B29" i="5"/>
  <c r="AB28" i="5"/>
  <c r="B28" i="5"/>
  <c r="AB27" i="5"/>
  <c r="B27" i="5"/>
  <c r="AB26" i="5"/>
  <c r="B26" i="5"/>
  <c r="AB25" i="5"/>
  <c r="B25" i="5"/>
  <c r="AB24" i="5"/>
  <c r="B24" i="5"/>
  <c r="AB23" i="5"/>
  <c r="B23" i="5"/>
  <c r="AB22" i="5"/>
  <c r="B22" i="5"/>
  <c r="AB21" i="5"/>
  <c r="B21" i="5"/>
  <c r="AB20" i="5"/>
  <c r="B20" i="5"/>
  <c r="AB19" i="5"/>
  <c r="B19" i="5"/>
  <c r="AB18" i="5"/>
  <c r="B18" i="5"/>
  <c r="AB17" i="5"/>
  <c r="B17" i="5"/>
  <c r="AB16" i="5"/>
  <c r="B16" i="5"/>
  <c r="AB15" i="5"/>
  <c r="B15" i="5"/>
  <c r="AB14" i="5"/>
  <c r="B14" i="5"/>
  <c r="AB13" i="5"/>
  <c r="B13" i="5"/>
  <c r="AB12" i="5"/>
  <c r="B12" i="5"/>
  <c r="AB11" i="5"/>
  <c r="B11" i="5"/>
  <c r="AB10" i="5"/>
  <c r="B10" i="5"/>
  <c r="AB9" i="5"/>
  <c r="B9" i="5"/>
  <c r="AB8" i="5"/>
  <c r="B8" i="5"/>
  <c r="AB7" i="5"/>
  <c r="B7" i="5"/>
  <c r="AB6" i="5"/>
  <c r="B6" i="5"/>
  <c r="A260" i="3"/>
  <c r="A258" i="9" s="1"/>
  <c r="A259" i="3"/>
  <c r="A257" i="9" s="1"/>
  <c r="A258" i="3"/>
  <c r="A256" i="9" s="1"/>
  <c r="A257" i="3"/>
  <c r="A256" i="3"/>
  <c r="A254" i="9" s="1"/>
  <c r="A255" i="3"/>
  <c r="D255" i="3" s="1"/>
  <c r="A254" i="3"/>
  <c r="A252" i="9" s="1"/>
  <c r="A253" i="3"/>
  <c r="A252" i="3"/>
  <c r="A250" i="9" s="1"/>
  <c r="A251" i="3"/>
  <c r="A250" i="3"/>
  <c r="A248" i="9" s="1"/>
  <c r="A249" i="3"/>
  <c r="A248" i="3"/>
  <c r="A246" i="9" s="1"/>
  <c r="A247" i="3"/>
  <c r="D247" i="3" s="1"/>
  <c r="A246" i="3"/>
  <c r="B246" i="3" s="1"/>
  <c r="B244" i="9" s="1"/>
  <c r="A245" i="3"/>
  <c r="D245" i="3" s="1"/>
  <c r="A244" i="3"/>
  <c r="A242" i="9" s="1"/>
  <c r="A243" i="3"/>
  <c r="A242" i="3"/>
  <c r="B242" i="3" s="1"/>
  <c r="B240" i="9" s="1"/>
  <c r="A241" i="3"/>
  <c r="D241" i="3" s="1"/>
  <c r="A240" i="3"/>
  <c r="A238" i="9" s="1"/>
  <c r="A239" i="3"/>
  <c r="A238" i="3"/>
  <c r="B238" i="3" s="1"/>
  <c r="B236" i="9" s="1"/>
  <c r="D237" i="3"/>
  <c r="A237" i="3"/>
  <c r="A236" i="3"/>
  <c r="A234" i="9" s="1"/>
  <c r="A235" i="3"/>
  <c r="A234" i="3"/>
  <c r="B234" i="3" s="1"/>
  <c r="B232" i="9" s="1"/>
  <c r="A233" i="3"/>
  <c r="B233" i="3" s="1"/>
  <c r="B231" i="9" s="1"/>
  <c r="A232" i="3"/>
  <c r="A230" i="9" s="1"/>
  <c r="A231" i="3"/>
  <c r="B231" i="3" s="1"/>
  <c r="B229" i="9" s="1"/>
  <c r="A230" i="3"/>
  <c r="B230" i="3" s="1"/>
  <c r="B228" i="9" s="1"/>
  <c r="A229" i="3"/>
  <c r="A227" i="9" s="1"/>
  <c r="D228" i="3"/>
  <c r="A228" i="3"/>
  <c r="A226" i="9" s="1"/>
  <c r="A227" i="3"/>
  <c r="A225" i="9" s="1"/>
  <c r="A226" i="3"/>
  <c r="A224" i="9" s="1"/>
  <c r="A225" i="3"/>
  <c r="A223" i="9" s="1"/>
  <c r="A224" i="3"/>
  <c r="A222" i="9" s="1"/>
  <c r="A223" i="3"/>
  <c r="A221" i="9" s="1"/>
  <c r="A222" i="3"/>
  <c r="A220" i="9" s="1"/>
  <c r="A221" i="3"/>
  <c r="A219" i="9" s="1"/>
  <c r="A220" i="3"/>
  <c r="A218" i="9" s="1"/>
  <c r="A219" i="3"/>
  <c r="A218" i="3"/>
  <c r="A216" i="9" s="1"/>
  <c r="A217" i="3"/>
  <c r="A215" i="9" s="1"/>
  <c r="A216" i="3"/>
  <c r="A214" i="9" s="1"/>
  <c r="A215" i="3"/>
  <c r="A214" i="3"/>
  <c r="A212" i="9" s="1"/>
  <c r="A213" i="3"/>
  <c r="A211" i="9" s="1"/>
  <c r="A212" i="3"/>
  <c r="A210" i="9" s="1"/>
  <c r="A211" i="3"/>
  <c r="A210" i="3"/>
  <c r="A209" i="3"/>
  <c r="A207" i="9" s="1"/>
  <c r="A208" i="3"/>
  <c r="A206" i="9" s="1"/>
  <c r="A207" i="3"/>
  <c r="B206" i="3"/>
  <c r="B204" i="9" s="1"/>
  <c r="A206" i="3"/>
  <c r="A204" i="9" s="1"/>
  <c r="A205" i="3"/>
  <c r="A203" i="9" s="1"/>
  <c r="A204" i="3"/>
  <c r="A202" i="9" s="1"/>
  <c r="A203" i="3"/>
  <c r="A202" i="3"/>
  <c r="A201" i="3"/>
  <c r="A199" i="9" s="1"/>
  <c r="A200" i="3"/>
  <c r="A198" i="9" s="1"/>
  <c r="A199" i="3"/>
  <c r="A198" i="3"/>
  <c r="A197" i="3"/>
  <c r="A195" i="9" s="1"/>
  <c r="A196" i="3"/>
  <c r="A194" i="9" s="1"/>
  <c r="A195" i="3"/>
  <c r="A194" i="3"/>
  <c r="A193" i="3"/>
  <c r="A191" i="9" s="1"/>
  <c r="A192" i="3"/>
  <c r="A190" i="9" s="1"/>
  <c r="A191" i="3"/>
  <c r="A190" i="3"/>
  <c r="A189" i="3"/>
  <c r="A187" i="9" s="1"/>
  <c r="A188" i="3"/>
  <c r="A186" i="9" s="1"/>
  <c r="A187" i="3"/>
  <c r="A186" i="3"/>
  <c r="D185" i="3"/>
  <c r="B185" i="3"/>
  <c r="B183" i="9" s="1"/>
  <c r="A185" i="3"/>
  <c r="A183" i="9" s="1"/>
  <c r="A184" i="3"/>
  <c r="A183" i="3"/>
  <c r="A182" i="3"/>
  <c r="B182" i="3" s="1"/>
  <c r="B180" i="9" s="1"/>
  <c r="A181" i="3"/>
  <c r="A179" i="9" s="1"/>
  <c r="A180" i="3"/>
  <c r="A179" i="3"/>
  <c r="A178" i="3"/>
  <c r="A177" i="3"/>
  <c r="A175" i="9" s="1"/>
  <c r="A176" i="3"/>
  <c r="A175" i="3"/>
  <c r="A174" i="3"/>
  <c r="A173" i="3"/>
  <c r="A171" i="9" s="1"/>
  <c r="A172" i="3"/>
  <c r="A171" i="3"/>
  <c r="A170" i="3"/>
  <c r="A169" i="3"/>
  <c r="A167" i="9" s="1"/>
  <c r="A168" i="3"/>
  <c r="D168" i="3" s="1"/>
  <c r="A167" i="3"/>
  <c r="B167" i="3" s="1"/>
  <c r="B165" i="9" s="1"/>
  <c r="A166" i="3"/>
  <c r="A165" i="3"/>
  <c r="A163" i="9" s="1"/>
  <c r="A164" i="3"/>
  <c r="A163" i="3"/>
  <c r="B163" i="3" s="1"/>
  <c r="B161" i="9" s="1"/>
  <c r="A162" i="3"/>
  <c r="D162" i="3" s="1"/>
  <c r="A161" i="3"/>
  <c r="D161" i="3" s="1"/>
  <c r="A160" i="3"/>
  <c r="D160" i="3" s="1"/>
  <c r="A159" i="3"/>
  <c r="D159" i="3" s="1"/>
  <c r="A158" i="3"/>
  <c r="A361" i="1"/>
  <c r="B361" i="1" s="1"/>
  <c r="A360" i="1"/>
  <c r="W359" i="1"/>
  <c r="A359" i="1"/>
  <c r="U359" i="1" s="1"/>
  <c r="A358" i="1"/>
  <c r="A357" i="1"/>
  <c r="B357" i="1" s="1"/>
  <c r="A356" i="1"/>
  <c r="B356" i="1" s="1"/>
  <c r="A355" i="1"/>
  <c r="A354" i="1"/>
  <c r="S354" i="1" s="1"/>
  <c r="A353" i="1"/>
  <c r="A352" i="1"/>
  <c r="A351" i="1"/>
  <c r="A350" i="1"/>
  <c r="A349" i="1"/>
  <c r="A348" i="1"/>
  <c r="U347" i="1"/>
  <c r="A347" i="1"/>
  <c r="W347" i="1" s="1"/>
  <c r="A346" i="1"/>
  <c r="W346" i="1" s="1"/>
  <c r="A345" i="1"/>
  <c r="A344" i="1"/>
  <c r="T344" i="1" s="1"/>
  <c r="A343" i="1"/>
  <c r="W343" i="1" s="1"/>
  <c r="A342" i="1"/>
  <c r="A341" i="1"/>
  <c r="A340" i="1"/>
  <c r="U340" i="1" s="1"/>
  <c r="A339" i="1"/>
  <c r="V339" i="1" s="1"/>
  <c r="A338" i="1"/>
  <c r="A337" i="1"/>
  <c r="A336" i="1"/>
  <c r="B336" i="1" s="1"/>
  <c r="A335" i="1"/>
  <c r="A334" i="1"/>
  <c r="A333" i="1"/>
  <c r="A332" i="1"/>
  <c r="A331" i="1"/>
  <c r="U331" i="1" s="1"/>
  <c r="A330" i="1"/>
  <c r="A329" i="1"/>
  <c r="A328" i="1"/>
  <c r="V328" i="1" s="1"/>
  <c r="A327" i="1"/>
  <c r="U327" i="1" s="1"/>
  <c r="A326" i="1"/>
  <c r="A325" i="1"/>
  <c r="A324" i="1"/>
  <c r="V324" i="1" s="1"/>
  <c r="A323" i="1"/>
  <c r="V323" i="1" s="1"/>
  <c r="A322" i="1"/>
  <c r="W322" i="1" s="1"/>
  <c r="A321" i="1"/>
  <c r="A320" i="1"/>
  <c r="A319" i="1"/>
  <c r="A318" i="1"/>
  <c r="A317" i="1"/>
  <c r="A316" i="1"/>
  <c r="A315" i="1"/>
  <c r="A314" i="1"/>
  <c r="A313" i="1"/>
  <c r="A312" i="1"/>
  <c r="V312" i="1" s="1"/>
  <c r="A311" i="1"/>
  <c r="W311" i="1" s="1"/>
  <c r="A310" i="1"/>
  <c r="A309" i="1"/>
  <c r="A308" i="1"/>
  <c r="A307" i="1"/>
  <c r="A306" i="1"/>
  <c r="A305" i="1"/>
  <c r="A304" i="1"/>
  <c r="B304" i="1" s="1"/>
  <c r="A303" i="1"/>
  <c r="W303" i="1" s="1"/>
  <c r="A302" i="1"/>
  <c r="A301" i="1"/>
  <c r="A300" i="1"/>
  <c r="V300" i="1" s="1"/>
  <c r="A299" i="1"/>
  <c r="A298" i="1"/>
  <c r="W298" i="1" s="1"/>
  <c r="A297" i="1"/>
  <c r="A296" i="1"/>
  <c r="V295" i="1"/>
  <c r="A295" i="1"/>
  <c r="U295" i="1" s="1"/>
  <c r="A294" i="1"/>
  <c r="A293" i="1"/>
  <c r="A292" i="1"/>
  <c r="V292" i="1" s="1"/>
  <c r="A291" i="1"/>
  <c r="T291" i="1" s="1"/>
  <c r="A290" i="1"/>
  <c r="A289" i="1"/>
  <c r="A288" i="1"/>
  <c r="A287" i="1"/>
  <c r="U287" i="1" s="1"/>
  <c r="A286" i="1"/>
  <c r="A285" i="1"/>
  <c r="A284" i="1"/>
  <c r="B284" i="1" s="1"/>
  <c r="A283" i="1"/>
  <c r="A282" i="1"/>
  <c r="A281" i="1"/>
  <c r="A280" i="1"/>
  <c r="T280" i="1" s="1"/>
  <c r="A279" i="1"/>
  <c r="W279" i="1" s="1"/>
  <c r="A278" i="1"/>
  <c r="T277" i="1"/>
  <c r="A277" i="1"/>
  <c r="A276" i="1"/>
  <c r="B276" i="1" s="1"/>
  <c r="A275" i="1"/>
  <c r="B275" i="1" s="1"/>
  <c r="A274" i="1"/>
  <c r="A273" i="1"/>
  <c r="A272" i="1"/>
  <c r="A271" i="1"/>
  <c r="W271" i="1" s="1"/>
  <c r="A270" i="1"/>
  <c r="A269" i="1"/>
  <c r="W269" i="1" s="1"/>
  <c r="A268" i="1"/>
  <c r="A267" i="1"/>
  <c r="B267" i="1" s="1"/>
  <c r="A266" i="1"/>
  <c r="A265" i="1"/>
  <c r="W265" i="1" s="1"/>
  <c r="A264" i="1"/>
  <c r="A263" i="1"/>
  <c r="A262" i="1"/>
  <c r="A261" i="1"/>
  <c r="A260" i="1"/>
  <c r="A259" i="1"/>
  <c r="A258" i="1"/>
  <c r="A257" i="1"/>
  <c r="A256" i="1"/>
  <c r="A255" i="1"/>
  <c r="U255" i="1" s="1"/>
  <c r="A254" i="1"/>
  <c r="A253" i="1"/>
  <c r="A252" i="1"/>
  <c r="A251" i="1"/>
  <c r="T251" i="1" s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U238" i="1" s="1"/>
  <c r="A237" i="1"/>
  <c r="T237" i="1" s="1"/>
  <c r="A236" i="1"/>
  <c r="A235" i="1"/>
  <c r="U235" i="1" s="1"/>
  <c r="A234" i="1"/>
  <c r="A233" i="1"/>
  <c r="A232" i="1"/>
  <c r="A231" i="1"/>
  <c r="W231" i="1" s="1"/>
  <c r="A230" i="1"/>
  <c r="A229" i="1"/>
  <c r="A228" i="1"/>
  <c r="U228" i="1" s="1"/>
  <c r="A227" i="1"/>
  <c r="A226" i="1"/>
  <c r="A225" i="1"/>
  <c r="W225" i="1" s="1"/>
  <c r="A224" i="1"/>
  <c r="V224" i="1" s="1"/>
  <c r="A223" i="1"/>
  <c r="W223" i="1" s="1"/>
  <c r="A222" i="1"/>
  <c r="A221" i="1"/>
  <c r="W221" i="1" s="1"/>
  <c r="A220" i="1"/>
  <c r="A219" i="1"/>
  <c r="A218" i="1"/>
  <c r="A217" i="1"/>
  <c r="A216" i="1"/>
  <c r="W215" i="1"/>
  <c r="A215" i="1"/>
  <c r="U215" i="1" s="1"/>
  <c r="A214" i="1"/>
  <c r="A213" i="1"/>
  <c r="V212" i="1"/>
  <c r="B212" i="1"/>
  <c r="A212" i="1"/>
  <c r="S212" i="1" s="1"/>
  <c r="A211" i="1"/>
  <c r="W211" i="1" s="1"/>
  <c r="A210" i="1"/>
  <c r="A209" i="1"/>
  <c r="A208" i="1"/>
  <c r="A207" i="1"/>
  <c r="T207" i="1" s="1"/>
  <c r="A206" i="1"/>
  <c r="A205" i="1"/>
  <c r="A204" i="1"/>
  <c r="A203" i="1"/>
  <c r="W203" i="1" s="1"/>
  <c r="A202" i="1"/>
  <c r="A201" i="1"/>
  <c r="A200" i="1"/>
  <c r="A199" i="1"/>
  <c r="A198" i="1"/>
  <c r="W198" i="1" s="1"/>
  <c r="A197" i="1"/>
  <c r="A196" i="1"/>
  <c r="A195" i="1"/>
  <c r="A194" i="1"/>
  <c r="A193" i="1"/>
  <c r="A192" i="1"/>
  <c r="A191" i="1"/>
  <c r="A190" i="1"/>
  <c r="A189" i="1"/>
  <c r="A188" i="1"/>
  <c r="V188" i="1" s="1"/>
  <c r="A187" i="1"/>
  <c r="A186" i="1"/>
  <c r="A185" i="1"/>
  <c r="A184" i="1"/>
  <c r="U184" i="1" s="1"/>
  <c r="A183" i="1"/>
  <c r="A182" i="1"/>
  <c r="A181" i="1"/>
  <c r="V181" i="1" s="1"/>
  <c r="A180" i="1"/>
  <c r="A179" i="1"/>
  <c r="A178" i="1"/>
  <c r="A177" i="1"/>
  <c r="A176" i="1"/>
  <c r="A175" i="1"/>
  <c r="A174" i="1"/>
  <c r="T174" i="1" s="1"/>
  <c r="A173" i="1"/>
  <c r="A172" i="1"/>
  <c r="A171" i="1"/>
  <c r="A170" i="1"/>
  <c r="T170" i="1" s="1"/>
  <c r="A169" i="1"/>
  <c r="V169" i="1" s="1"/>
  <c r="A168" i="1"/>
  <c r="A167" i="1"/>
  <c r="A166" i="1"/>
  <c r="A165" i="1"/>
  <c r="A164" i="1"/>
  <c r="A163" i="1"/>
  <c r="A162" i="1"/>
  <c r="A161" i="1"/>
  <c r="A160" i="1"/>
  <c r="V160" i="1" s="1"/>
  <c r="A159" i="1"/>
  <c r="A157" i="1"/>
  <c r="A151" i="1"/>
  <c r="A149" i="1"/>
  <c r="S156" i="4"/>
  <c r="R156" i="4"/>
  <c r="G156" i="4"/>
  <c r="F156" i="4"/>
  <c r="E156" i="4"/>
  <c r="D156" i="4"/>
  <c r="C156" i="4"/>
  <c r="B156" i="4"/>
  <c r="A156" i="4"/>
  <c r="S155" i="4"/>
  <c r="R155" i="4"/>
  <c r="G155" i="4"/>
  <c r="F155" i="4"/>
  <c r="E155" i="4"/>
  <c r="D155" i="4"/>
  <c r="C155" i="4"/>
  <c r="B155" i="4"/>
  <c r="A155" i="4"/>
  <c r="S154" i="4"/>
  <c r="R154" i="4"/>
  <c r="G154" i="4"/>
  <c r="F154" i="4"/>
  <c r="E154" i="4"/>
  <c r="D154" i="4"/>
  <c r="C154" i="4"/>
  <c r="B154" i="4"/>
  <c r="A154" i="4"/>
  <c r="S153" i="4"/>
  <c r="R153" i="4"/>
  <c r="G153" i="4"/>
  <c r="F153" i="4"/>
  <c r="E153" i="4"/>
  <c r="D153" i="4"/>
  <c r="C153" i="4"/>
  <c r="B153" i="4"/>
  <c r="A153" i="4"/>
  <c r="A155" i="1" s="1"/>
  <c r="S152" i="4"/>
  <c r="R152" i="4"/>
  <c r="G152" i="4"/>
  <c r="F152" i="4"/>
  <c r="E152" i="4"/>
  <c r="D152" i="4"/>
  <c r="C152" i="4"/>
  <c r="B152" i="4"/>
  <c r="A152" i="4"/>
  <c r="S151" i="4"/>
  <c r="R151" i="4"/>
  <c r="G151" i="4"/>
  <c r="F151" i="4"/>
  <c r="E151" i="4"/>
  <c r="D151" i="4"/>
  <c r="C151" i="4"/>
  <c r="B151" i="4"/>
  <c r="A151" i="4"/>
  <c r="S150" i="4"/>
  <c r="R150" i="4"/>
  <c r="G150" i="4"/>
  <c r="F150" i="4"/>
  <c r="E150" i="4"/>
  <c r="D150" i="4"/>
  <c r="C150" i="4"/>
  <c r="B150" i="4"/>
  <c r="A150" i="4"/>
  <c r="S149" i="4"/>
  <c r="R149" i="4"/>
  <c r="G149" i="4"/>
  <c r="F149" i="4"/>
  <c r="E149" i="4"/>
  <c r="D149" i="4"/>
  <c r="C149" i="4"/>
  <c r="B149" i="4"/>
  <c r="A149" i="4"/>
  <c r="S148" i="4"/>
  <c r="R148" i="4"/>
  <c r="G148" i="4"/>
  <c r="F148" i="4"/>
  <c r="E148" i="4"/>
  <c r="D148" i="4"/>
  <c r="C148" i="4"/>
  <c r="B148" i="4"/>
  <c r="A148" i="4"/>
  <c r="S147" i="4"/>
  <c r="R147" i="4"/>
  <c r="G147" i="4"/>
  <c r="F147" i="4"/>
  <c r="E147" i="4"/>
  <c r="D147" i="4"/>
  <c r="C147" i="4"/>
  <c r="B147" i="4"/>
  <c r="A147" i="4"/>
  <c r="S146" i="4"/>
  <c r="R146" i="4"/>
  <c r="G146" i="4"/>
  <c r="F146" i="4"/>
  <c r="E146" i="4"/>
  <c r="D146" i="4"/>
  <c r="C146" i="4"/>
  <c r="B146" i="4"/>
  <c r="A146" i="4"/>
  <c r="S145" i="4"/>
  <c r="R145" i="4"/>
  <c r="G145" i="4"/>
  <c r="F145" i="4"/>
  <c r="E145" i="4"/>
  <c r="D145" i="4"/>
  <c r="C145" i="4"/>
  <c r="B145" i="4"/>
  <c r="A145" i="4"/>
  <c r="S144" i="4"/>
  <c r="R144" i="4"/>
  <c r="G144" i="4"/>
  <c r="F144" i="4"/>
  <c r="E144" i="4"/>
  <c r="D144" i="4"/>
  <c r="C144" i="4"/>
  <c r="B144" i="4"/>
  <c r="A144" i="4"/>
  <c r="S143" i="4"/>
  <c r="R143" i="4"/>
  <c r="G143" i="4"/>
  <c r="F143" i="4"/>
  <c r="E143" i="4"/>
  <c r="D143" i="4"/>
  <c r="C143" i="4"/>
  <c r="B143" i="4"/>
  <c r="A143" i="4"/>
  <c r="S142" i="4"/>
  <c r="R142" i="4"/>
  <c r="G142" i="4"/>
  <c r="F142" i="4"/>
  <c r="E142" i="4"/>
  <c r="D142" i="4"/>
  <c r="C142" i="4"/>
  <c r="B142" i="4"/>
  <c r="A142" i="4"/>
  <c r="S141" i="4"/>
  <c r="R141" i="4"/>
  <c r="G141" i="4"/>
  <c r="F141" i="4"/>
  <c r="E141" i="4"/>
  <c r="D141" i="4"/>
  <c r="C141" i="4"/>
  <c r="B141" i="4"/>
  <c r="A141" i="4"/>
  <c r="S140" i="4"/>
  <c r="R140" i="4"/>
  <c r="G140" i="4"/>
  <c r="F140" i="4"/>
  <c r="E140" i="4"/>
  <c r="D140" i="4"/>
  <c r="C140" i="4"/>
  <c r="B140" i="4"/>
  <c r="A140" i="4"/>
  <c r="S139" i="4"/>
  <c r="R139" i="4"/>
  <c r="G139" i="4"/>
  <c r="F139" i="4"/>
  <c r="E139" i="4"/>
  <c r="D139" i="4"/>
  <c r="C139" i="4"/>
  <c r="B139" i="4"/>
  <c r="A139" i="4"/>
  <c r="S138" i="4"/>
  <c r="R138" i="4"/>
  <c r="G138" i="4"/>
  <c r="F138" i="4"/>
  <c r="E138" i="4"/>
  <c r="D138" i="4"/>
  <c r="C138" i="4"/>
  <c r="B138" i="4"/>
  <c r="A138" i="4"/>
  <c r="S137" i="4"/>
  <c r="R137" i="4"/>
  <c r="G137" i="4"/>
  <c r="F137" i="4"/>
  <c r="E137" i="4"/>
  <c r="D137" i="4"/>
  <c r="C137" i="4"/>
  <c r="B137" i="4"/>
  <c r="A137" i="4"/>
  <c r="S136" i="4"/>
  <c r="R136" i="4"/>
  <c r="G136" i="4"/>
  <c r="F136" i="4"/>
  <c r="E136" i="4"/>
  <c r="D136" i="4"/>
  <c r="C136" i="4"/>
  <c r="B136" i="4"/>
  <c r="A136" i="4"/>
  <c r="S135" i="4"/>
  <c r="R135" i="4"/>
  <c r="G135" i="4"/>
  <c r="F135" i="4"/>
  <c r="E135" i="4"/>
  <c r="D135" i="4"/>
  <c r="C135" i="4"/>
  <c r="B135" i="4"/>
  <c r="A135" i="4"/>
  <c r="S134" i="4"/>
  <c r="R134" i="4"/>
  <c r="G134" i="4"/>
  <c r="F134" i="4"/>
  <c r="E134" i="4"/>
  <c r="D134" i="4"/>
  <c r="C134" i="4"/>
  <c r="B134" i="4"/>
  <c r="A134" i="4"/>
  <c r="S133" i="4"/>
  <c r="R133" i="4"/>
  <c r="G133" i="4"/>
  <c r="F133" i="4"/>
  <c r="E133" i="4"/>
  <c r="D133" i="4"/>
  <c r="C133" i="4"/>
  <c r="B133" i="4"/>
  <c r="A133" i="4"/>
  <c r="A135" i="1" s="1"/>
  <c r="S132" i="4"/>
  <c r="R132" i="4"/>
  <c r="G132" i="4"/>
  <c r="F132" i="4"/>
  <c r="E132" i="4"/>
  <c r="D132" i="4"/>
  <c r="C132" i="4"/>
  <c r="B132" i="4"/>
  <c r="A132" i="4"/>
  <c r="S131" i="4"/>
  <c r="R131" i="4"/>
  <c r="G131" i="4"/>
  <c r="F131" i="4"/>
  <c r="E131" i="4"/>
  <c r="D131" i="4"/>
  <c r="C131" i="4"/>
  <c r="B131" i="4"/>
  <c r="A131" i="4"/>
  <c r="A133" i="1" s="1"/>
  <c r="S130" i="4"/>
  <c r="R130" i="4"/>
  <c r="G130" i="4"/>
  <c r="F130" i="4"/>
  <c r="E130" i="4"/>
  <c r="D130" i="4"/>
  <c r="C130" i="4"/>
  <c r="B130" i="4"/>
  <c r="A130" i="4"/>
  <c r="S129" i="4"/>
  <c r="R129" i="4"/>
  <c r="G129" i="4"/>
  <c r="F129" i="4"/>
  <c r="E129" i="4"/>
  <c r="D129" i="4"/>
  <c r="C129" i="4"/>
  <c r="B129" i="4"/>
  <c r="A129" i="4"/>
  <c r="AF129" i="4" s="1"/>
  <c r="S128" i="4"/>
  <c r="R128" i="4"/>
  <c r="G128" i="4"/>
  <c r="F128" i="4"/>
  <c r="E128" i="4"/>
  <c r="D128" i="4"/>
  <c r="C128" i="4"/>
  <c r="B128" i="4"/>
  <c r="A128" i="4"/>
  <c r="AF128" i="4" s="1"/>
  <c r="S127" i="4"/>
  <c r="R127" i="4"/>
  <c r="G127" i="4"/>
  <c r="F127" i="4"/>
  <c r="E127" i="4"/>
  <c r="D127" i="4"/>
  <c r="C127" i="4"/>
  <c r="B127" i="4"/>
  <c r="A127" i="4"/>
  <c r="AF127" i="4" s="1"/>
  <c r="S126" i="4"/>
  <c r="R126" i="4"/>
  <c r="G126" i="4"/>
  <c r="F126" i="4"/>
  <c r="E126" i="4"/>
  <c r="D126" i="4"/>
  <c r="C126" i="4"/>
  <c r="B126" i="4"/>
  <c r="A126" i="4"/>
  <c r="AF126" i="4" s="1"/>
  <c r="S125" i="4"/>
  <c r="R125" i="4"/>
  <c r="G125" i="4"/>
  <c r="F125" i="4"/>
  <c r="E125" i="4"/>
  <c r="D125" i="4"/>
  <c r="C125" i="4"/>
  <c r="B125" i="4"/>
  <c r="A125" i="4"/>
  <c r="A127" i="1" s="1"/>
  <c r="S124" i="4"/>
  <c r="R124" i="4"/>
  <c r="G124" i="4"/>
  <c r="F124" i="4"/>
  <c r="E124" i="4"/>
  <c r="D124" i="4"/>
  <c r="C124" i="4"/>
  <c r="B124" i="4"/>
  <c r="A124" i="4"/>
  <c r="S123" i="4"/>
  <c r="R123" i="4"/>
  <c r="G123" i="4"/>
  <c r="F123" i="4"/>
  <c r="E123" i="4"/>
  <c r="D123" i="4"/>
  <c r="C123" i="4"/>
  <c r="B123" i="4"/>
  <c r="A123" i="4"/>
  <c r="S122" i="4"/>
  <c r="R122" i="4"/>
  <c r="G122" i="4"/>
  <c r="F122" i="4"/>
  <c r="E122" i="4"/>
  <c r="D122" i="4"/>
  <c r="C122" i="4"/>
  <c r="B122" i="4"/>
  <c r="A122" i="4"/>
  <c r="S121" i="4"/>
  <c r="R121" i="4"/>
  <c r="G121" i="4"/>
  <c r="F121" i="4"/>
  <c r="E121" i="4"/>
  <c r="D121" i="4"/>
  <c r="C121" i="4"/>
  <c r="B121" i="4"/>
  <c r="A121" i="4"/>
  <c r="S120" i="4"/>
  <c r="R120" i="4"/>
  <c r="G120" i="4"/>
  <c r="F120" i="4"/>
  <c r="E120" i="4"/>
  <c r="D120" i="4"/>
  <c r="C120" i="4"/>
  <c r="B120" i="4"/>
  <c r="A120" i="4"/>
  <c r="S119" i="4"/>
  <c r="R119" i="4"/>
  <c r="G119" i="4"/>
  <c r="F119" i="4"/>
  <c r="E119" i="4"/>
  <c r="D119" i="4"/>
  <c r="C119" i="4"/>
  <c r="B119" i="4"/>
  <c r="A119" i="4"/>
  <c r="A121" i="1" s="1"/>
  <c r="S118" i="4"/>
  <c r="R118" i="4"/>
  <c r="G118" i="4"/>
  <c r="F118" i="4"/>
  <c r="E118" i="4"/>
  <c r="D118" i="4"/>
  <c r="C118" i="4"/>
  <c r="B118" i="4"/>
  <c r="A118" i="4"/>
  <c r="S117" i="4"/>
  <c r="R117" i="4"/>
  <c r="G117" i="4"/>
  <c r="F117" i="4"/>
  <c r="E117" i="4"/>
  <c r="D117" i="4"/>
  <c r="C117" i="4"/>
  <c r="B117" i="4"/>
  <c r="A117" i="4"/>
  <c r="S116" i="4"/>
  <c r="R116" i="4"/>
  <c r="G116" i="4"/>
  <c r="F116" i="4"/>
  <c r="E116" i="4"/>
  <c r="D116" i="4"/>
  <c r="C116" i="4"/>
  <c r="B116" i="4"/>
  <c r="A116" i="4"/>
  <c r="S115" i="4"/>
  <c r="R115" i="4"/>
  <c r="G115" i="4"/>
  <c r="F115" i="4"/>
  <c r="E115" i="4"/>
  <c r="D115" i="4"/>
  <c r="C115" i="4"/>
  <c r="B115" i="4"/>
  <c r="A115" i="4"/>
  <c r="S114" i="4"/>
  <c r="R114" i="4"/>
  <c r="G114" i="4"/>
  <c r="F114" i="4"/>
  <c r="E114" i="4"/>
  <c r="D114" i="4"/>
  <c r="C114" i="4"/>
  <c r="B114" i="4"/>
  <c r="A114" i="4"/>
  <c r="S113" i="4"/>
  <c r="R113" i="4"/>
  <c r="G113" i="4"/>
  <c r="F113" i="4"/>
  <c r="E113" i="4"/>
  <c r="D113" i="4"/>
  <c r="C113" i="4"/>
  <c r="B113" i="4"/>
  <c r="A113" i="4"/>
  <c r="S112" i="4"/>
  <c r="R112" i="4"/>
  <c r="G112" i="4"/>
  <c r="F112" i="4"/>
  <c r="E112" i="4"/>
  <c r="D112" i="4"/>
  <c r="C112" i="4"/>
  <c r="B112" i="4"/>
  <c r="A112" i="4"/>
  <c r="S111" i="4"/>
  <c r="R111" i="4"/>
  <c r="G111" i="4"/>
  <c r="F111" i="4"/>
  <c r="E111" i="4"/>
  <c r="D111" i="4"/>
  <c r="C111" i="4"/>
  <c r="B111" i="4"/>
  <c r="A111" i="4"/>
  <c r="S110" i="4"/>
  <c r="R110" i="4"/>
  <c r="G110" i="4"/>
  <c r="F110" i="4"/>
  <c r="E110" i="4"/>
  <c r="D110" i="4"/>
  <c r="C110" i="4"/>
  <c r="B110" i="4"/>
  <c r="A110" i="4"/>
  <c r="S109" i="4"/>
  <c r="R109" i="4"/>
  <c r="G109" i="4"/>
  <c r="F109" i="4"/>
  <c r="E109" i="4"/>
  <c r="D109" i="4"/>
  <c r="C109" i="4"/>
  <c r="B109" i="4"/>
  <c r="A109" i="4"/>
  <c r="S108" i="4"/>
  <c r="R108" i="4"/>
  <c r="G108" i="4"/>
  <c r="F108" i="4"/>
  <c r="E108" i="4"/>
  <c r="D108" i="4"/>
  <c r="C108" i="4"/>
  <c r="B108" i="4"/>
  <c r="A108" i="4"/>
  <c r="S107" i="4"/>
  <c r="R107" i="4"/>
  <c r="G107" i="4"/>
  <c r="F107" i="4"/>
  <c r="E107" i="4"/>
  <c r="D107" i="4"/>
  <c r="C107" i="4"/>
  <c r="B107" i="4"/>
  <c r="A107" i="4"/>
  <c r="S106" i="4"/>
  <c r="R106" i="4"/>
  <c r="G106" i="4"/>
  <c r="F106" i="4"/>
  <c r="E106" i="4"/>
  <c r="D106" i="4"/>
  <c r="C106" i="4"/>
  <c r="B106" i="4"/>
  <c r="S105" i="4"/>
  <c r="R105" i="4"/>
  <c r="G105" i="4"/>
  <c r="F105" i="4"/>
  <c r="E105" i="4"/>
  <c r="D105" i="4"/>
  <c r="C105" i="4"/>
  <c r="B105" i="4"/>
  <c r="A105" i="4"/>
  <c r="S104" i="4"/>
  <c r="R104" i="4"/>
  <c r="G104" i="4"/>
  <c r="F104" i="4"/>
  <c r="E104" i="4"/>
  <c r="D104" i="4"/>
  <c r="C104" i="4"/>
  <c r="B104" i="4"/>
  <c r="A104" i="4"/>
  <c r="S103" i="4"/>
  <c r="R103" i="4"/>
  <c r="G103" i="4"/>
  <c r="F103" i="4"/>
  <c r="E103" i="4"/>
  <c r="D103" i="4"/>
  <c r="C103" i="4"/>
  <c r="B103" i="4"/>
  <c r="A103" i="4"/>
  <c r="S102" i="4"/>
  <c r="R102" i="4"/>
  <c r="G102" i="4"/>
  <c r="F102" i="4"/>
  <c r="E102" i="4"/>
  <c r="D102" i="4"/>
  <c r="C102" i="4"/>
  <c r="B102" i="4"/>
  <c r="A102" i="4"/>
  <c r="S101" i="4"/>
  <c r="R101" i="4"/>
  <c r="G101" i="4"/>
  <c r="F101" i="4"/>
  <c r="E101" i="4"/>
  <c r="D101" i="4"/>
  <c r="C101" i="4"/>
  <c r="B101" i="4"/>
  <c r="A101" i="4"/>
  <c r="S100" i="4"/>
  <c r="R100" i="4"/>
  <c r="G100" i="4"/>
  <c r="F100" i="4"/>
  <c r="E100" i="4"/>
  <c r="D100" i="4"/>
  <c r="C100" i="4"/>
  <c r="B100" i="4"/>
  <c r="A100" i="4"/>
  <c r="S99" i="4"/>
  <c r="R99" i="4"/>
  <c r="G99" i="4"/>
  <c r="F99" i="4"/>
  <c r="E99" i="4"/>
  <c r="D99" i="4"/>
  <c r="C99" i="4"/>
  <c r="B99" i="4"/>
  <c r="A99" i="4"/>
  <c r="S98" i="4"/>
  <c r="R98" i="4"/>
  <c r="G98" i="4"/>
  <c r="F98" i="4"/>
  <c r="E98" i="4"/>
  <c r="D98" i="4"/>
  <c r="C98" i="4"/>
  <c r="B98" i="4"/>
  <c r="A98" i="4"/>
  <c r="S97" i="4"/>
  <c r="R97" i="4"/>
  <c r="G97" i="4"/>
  <c r="F97" i="4"/>
  <c r="E97" i="4"/>
  <c r="D97" i="4"/>
  <c r="C97" i="4"/>
  <c r="B97" i="4"/>
  <c r="A97" i="4"/>
  <c r="S96" i="4"/>
  <c r="R96" i="4"/>
  <c r="G96" i="4"/>
  <c r="F96" i="4"/>
  <c r="E96" i="4"/>
  <c r="D96" i="4"/>
  <c r="C96" i="4"/>
  <c r="B96" i="4"/>
  <c r="A96" i="4"/>
  <c r="S95" i="4"/>
  <c r="R95" i="4"/>
  <c r="G95" i="4"/>
  <c r="F95" i="4"/>
  <c r="E95" i="4"/>
  <c r="D95" i="4"/>
  <c r="C95" i="4"/>
  <c r="B95" i="4"/>
  <c r="A95" i="4"/>
  <c r="S94" i="4"/>
  <c r="R94" i="4"/>
  <c r="G94" i="4"/>
  <c r="F94" i="4"/>
  <c r="E94" i="4"/>
  <c r="D94" i="4"/>
  <c r="C94" i="4"/>
  <c r="B94" i="4"/>
  <c r="A94" i="4"/>
  <c r="S93" i="4"/>
  <c r="R93" i="4"/>
  <c r="G93" i="4"/>
  <c r="F93" i="4"/>
  <c r="E93" i="4"/>
  <c r="D93" i="4"/>
  <c r="C93" i="4"/>
  <c r="B93" i="4"/>
  <c r="A93" i="4"/>
  <c r="S92" i="4"/>
  <c r="R92" i="4"/>
  <c r="G92" i="4"/>
  <c r="F92" i="4"/>
  <c r="E92" i="4"/>
  <c r="D92" i="4"/>
  <c r="C92" i="4"/>
  <c r="B92" i="4"/>
  <c r="A92" i="4"/>
  <c r="S91" i="4"/>
  <c r="R91" i="4"/>
  <c r="G91" i="4"/>
  <c r="F91" i="4"/>
  <c r="E91" i="4"/>
  <c r="D91" i="4"/>
  <c r="C91" i="4"/>
  <c r="B91" i="4"/>
  <c r="A91" i="4"/>
  <c r="S90" i="4"/>
  <c r="R90" i="4"/>
  <c r="G90" i="4"/>
  <c r="F90" i="4"/>
  <c r="E90" i="4"/>
  <c r="D90" i="4"/>
  <c r="C90" i="4"/>
  <c r="B90" i="4"/>
  <c r="A90" i="4"/>
  <c r="S89" i="4"/>
  <c r="R89" i="4"/>
  <c r="G89" i="4"/>
  <c r="F89" i="4"/>
  <c r="E89" i="4"/>
  <c r="D89" i="4"/>
  <c r="C89" i="4"/>
  <c r="B89" i="4"/>
  <c r="A89" i="4"/>
  <c r="S88" i="4"/>
  <c r="R88" i="4"/>
  <c r="G88" i="4"/>
  <c r="F88" i="4"/>
  <c r="E88" i="4"/>
  <c r="D88" i="4"/>
  <c r="C88" i="4"/>
  <c r="B88" i="4"/>
  <c r="A88" i="4"/>
  <c r="S87" i="4"/>
  <c r="R87" i="4"/>
  <c r="G87" i="4"/>
  <c r="F87" i="4"/>
  <c r="E87" i="4"/>
  <c r="D87" i="4"/>
  <c r="C87" i="4"/>
  <c r="B87" i="4"/>
  <c r="A87" i="4"/>
  <c r="S86" i="4"/>
  <c r="R86" i="4"/>
  <c r="G86" i="4"/>
  <c r="F86" i="4"/>
  <c r="E86" i="4"/>
  <c r="D86" i="4"/>
  <c r="C86" i="4"/>
  <c r="B86" i="4"/>
  <c r="A86" i="4"/>
  <c r="S85" i="4"/>
  <c r="R85" i="4"/>
  <c r="G85" i="4"/>
  <c r="F85" i="4"/>
  <c r="E85" i="4"/>
  <c r="D85" i="4"/>
  <c r="C85" i="4"/>
  <c r="B85" i="4"/>
  <c r="A85" i="4"/>
  <c r="S84" i="4"/>
  <c r="R84" i="4"/>
  <c r="G84" i="4"/>
  <c r="F84" i="4"/>
  <c r="E84" i="4"/>
  <c r="D84" i="4"/>
  <c r="C84" i="4"/>
  <c r="B84" i="4"/>
  <c r="A84" i="4"/>
  <c r="S83" i="4"/>
  <c r="R83" i="4"/>
  <c r="G83" i="4"/>
  <c r="F83" i="4"/>
  <c r="E83" i="4"/>
  <c r="D83" i="4"/>
  <c r="C83" i="4"/>
  <c r="B83" i="4"/>
  <c r="A83" i="4"/>
  <c r="S82" i="4"/>
  <c r="R82" i="4"/>
  <c r="G82" i="4"/>
  <c r="F82" i="4"/>
  <c r="E82" i="4"/>
  <c r="D82" i="4"/>
  <c r="C82" i="4"/>
  <c r="B82" i="4"/>
  <c r="A82" i="4"/>
  <c r="S81" i="4"/>
  <c r="R81" i="4"/>
  <c r="G81" i="4"/>
  <c r="F81" i="4"/>
  <c r="E81" i="4"/>
  <c r="D81" i="4"/>
  <c r="C81" i="4"/>
  <c r="B81" i="4"/>
  <c r="A81" i="4"/>
  <c r="S80" i="4"/>
  <c r="R80" i="4"/>
  <c r="G80" i="4"/>
  <c r="F80" i="4"/>
  <c r="E80" i="4"/>
  <c r="D80" i="4"/>
  <c r="C80" i="4"/>
  <c r="B80" i="4"/>
  <c r="A80" i="4"/>
  <c r="S79" i="4"/>
  <c r="R79" i="4"/>
  <c r="G79" i="4"/>
  <c r="F79" i="4"/>
  <c r="E79" i="4"/>
  <c r="D79" i="4"/>
  <c r="C79" i="4"/>
  <c r="B79" i="4"/>
  <c r="A79" i="4"/>
  <c r="S78" i="4"/>
  <c r="R78" i="4"/>
  <c r="G78" i="4"/>
  <c r="F78" i="4"/>
  <c r="E78" i="4"/>
  <c r="D78" i="4"/>
  <c r="C78" i="4"/>
  <c r="B78" i="4"/>
  <c r="A78" i="4"/>
  <c r="S77" i="4"/>
  <c r="R77" i="4"/>
  <c r="G77" i="4"/>
  <c r="F77" i="4"/>
  <c r="E77" i="4"/>
  <c r="D77" i="4"/>
  <c r="C77" i="4"/>
  <c r="B77" i="4"/>
  <c r="A77" i="4"/>
  <c r="S76" i="4"/>
  <c r="R76" i="4"/>
  <c r="G76" i="4"/>
  <c r="F76" i="4"/>
  <c r="E76" i="4"/>
  <c r="D76" i="4"/>
  <c r="C76" i="4"/>
  <c r="B76" i="4"/>
  <c r="A76" i="4"/>
  <c r="S75" i="4"/>
  <c r="R75" i="4"/>
  <c r="G75" i="4"/>
  <c r="F75" i="4"/>
  <c r="E75" i="4"/>
  <c r="D75" i="4"/>
  <c r="C75" i="4"/>
  <c r="B75" i="4"/>
  <c r="A75" i="4"/>
  <c r="S74" i="4"/>
  <c r="R74" i="4"/>
  <c r="G74" i="4"/>
  <c r="F74" i="4"/>
  <c r="E74" i="4"/>
  <c r="D74" i="4"/>
  <c r="C74" i="4"/>
  <c r="B74" i="4"/>
  <c r="A74" i="4"/>
  <c r="S73" i="4"/>
  <c r="R73" i="4"/>
  <c r="G73" i="4"/>
  <c r="F73" i="4"/>
  <c r="E73" i="4"/>
  <c r="D73" i="4"/>
  <c r="C73" i="4"/>
  <c r="B73" i="4"/>
  <c r="A73" i="4"/>
  <c r="S72" i="4"/>
  <c r="R72" i="4"/>
  <c r="G72" i="4"/>
  <c r="F72" i="4"/>
  <c r="E72" i="4"/>
  <c r="D72" i="4"/>
  <c r="C72" i="4"/>
  <c r="B72" i="4"/>
  <c r="A72" i="4"/>
  <c r="S71" i="4"/>
  <c r="R71" i="4"/>
  <c r="G71" i="4"/>
  <c r="F71" i="4"/>
  <c r="E71" i="4"/>
  <c r="D71" i="4"/>
  <c r="C71" i="4"/>
  <c r="B71" i="4"/>
  <c r="A71" i="4"/>
  <c r="S70" i="4"/>
  <c r="R70" i="4"/>
  <c r="G70" i="4"/>
  <c r="F70" i="4"/>
  <c r="E70" i="4"/>
  <c r="D70" i="4"/>
  <c r="C70" i="4"/>
  <c r="B70" i="4"/>
  <c r="A70" i="4"/>
  <c r="S69" i="4"/>
  <c r="R69" i="4"/>
  <c r="G69" i="4"/>
  <c r="F69" i="4"/>
  <c r="E69" i="4"/>
  <c r="D69" i="4"/>
  <c r="C69" i="4"/>
  <c r="B69" i="4"/>
  <c r="A69" i="4"/>
  <c r="S68" i="4"/>
  <c r="R68" i="4"/>
  <c r="G68" i="4"/>
  <c r="F68" i="4"/>
  <c r="E68" i="4"/>
  <c r="D68" i="4"/>
  <c r="C68" i="4"/>
  <c r="B68" i="4"/>
  <c r="A68" i="4"/>
  <c r="S67" i="4"/>
  <c r="R67" i="4"/>
  <c r="G67" i="4"/>
  <c r="F67" i="4"/>
  <c r="E67" i="4"/>
  <c r="D67" i="4"/>
  <c r="C67" i="4"/>
  <c r="B67" i="4"/>
  <c r="A67" i="4"/>
  <c r="S66" i="4"/>
  <c r="R66" i="4"/>
  <c r="G66" i="4"/>
  <c r="F66" i="4"/>
  <c r="E66" i="4"/>
  <c r="D66" i="4"/>
  <c r="C66" i="4"/>
  <c r="B66" i="4"/>
  <c r="A66" i="4"/>
  <c r="S65" i="4"/>
  <c r="R65" i="4"/>
  <c r="G65" i="4"/>
  <c r="F65" i="4"/>
  <c r="E65" i="4"/>
  <c r="D65" i="4"/>
  <c r="C65" i="4"/>
  <c r="B65" i="4"/>
  <c r="A65" i="4"/>
  <c r="S64" i="4"/>
  <c r="R64" i="4"/>
  <c r="G64" i="4"/>
  <c r="F64" i="4"/>
  <c r="E64" i="4"/>
  <c r="D64" i="4"/>
  <c r="C64" i="4"/>
  <c r="B64" i="4"/>
  <c r="A64" i="4"/>
  <c r="S63" i="4"/>
  <c r="R63" i="4"/>
  <c r="G63" i="4"/>
  <c r="F63" i="4"/>
  <c r="E63" i="4"/>
  <c r="D63" i="4"/>
  <c r="C63" i="4"/>
  <c r="B63" i="4"/>
  <c r="A63" i="4"/>
  <c r="S62" i="4"/>
  <c r="R62" i="4"/>
  <c r="G62" i="4"/>
  <c r="F62" i="4"/>
  <c r="E62" i="4"/>
  <c r="D62" i="4"/>
  <c r="C62" i="4"/>
  <c r="B62" i="4"/>
  <c r="A62" i="4"/>
  <c r="S61" i="4"/>
  <c r="R61" i="4"/>
  <c r="G61" i="4"/>
  <c r="F61" i="4"/>
  <c r="E61" i="4"/>
  <c r="D61" i="4"/>
  <c r="C61" i="4"/>
  <c r="B61" i="4"/>
  <c r="A61" i="4"/>
  <c r="S60" i="4"/>
  <c r="R60" i="4"/>
  <c r="G60" i="4"/>
  <c r="F60" i="4"/>
  <c r="E60" i="4"/>
  <c r="D60" i="4"/>
  <c r="C60" i="4"/>
  <c r="B60" i="4"/>
  <c r="A60" i="4"/>
  <c r="S59" i="4"/>
  <c r="R59" i="4"/>
  <c r="G59" i="4"/>
  <c r="F59" i="4"/>
  <c r="E59" i="4"/>
  <c r="D59" i="4"/>
  <c r="C59" i="4"/>
  <c r="B59" i="4"/>
  <c r="A59" i="4"/>
  <c r="S58" i="4"/>
  <c r="R58" i="4"/>
  <c r="G58" i="4"/>
  <c r="F58" i="4"/>
  <c r="E58" i="4"/>
  <c r="D58" i="4"/>
  <c r="C58" i="4"/>
  <c r="B58" i="4"/>
  <c r="A58" i="4"/>
  <c r="S57" i="4"/>
  <c r="R57" i="4"/>
  <c r="G57" i="4"/>
  <c r="F57" i="4"/>
  <c r="E57" i="4"/>
  <c r="D57" i="4"/>
  <c r="C57" i="4"/>
  <c r="B57" i="4"/>
  <c r="A57" i="4"/>
  <c r="S56" i="4"/>
  <c r="R56" i="4"/>
  <c r="G56" i="4"/>
  <c r="F56" i="4"/>
  <c r="E56" i="4"/>
  <c r="D56" i="4"/>
  <c r="C56" i="4"/>
  <c r="B56" i="4"/>
  <c r="A56" i="4"/>
  <c r="S55" i="4"/>
  <c r="R55" i="4"/>
  <c r="G55" i="4"/>
  <c r="F55" i="4"/>
  <c r="E55" i="4"/>
  <c r="D55" i="4"/>
  <c r="C55" i="4"/>
  <c r="B55" i="4"/>
  <c r="A55" i="4"/>
  <c r="S54" i="4"/>
  <c r="R54" i="4"/>
  <c r="G54" i="4"/>
  <c r="F54" i="4"/>
  <c r="E54" i="4"/>
  <c r="D54" i="4"/>
  <c r="C54" i="4"/>
  <c r="B54" i="4"/>
  <c r="A54" i="4"/>
  <c r="S53" i="4"/>
  <c r="R53" i="4"/>
  <c r="G53" i="4"/>
  <c r="F53" i="4"/>
  <c r="E53" i="4"/>
  <c r="D53" i="4"/>
  <c r="C53" i="4"/>
  <c r="B53" i="4"/>
  <c r="A53" i="4"/>
  <c r="S52" i="4"/>
  <c r="R52" i="4"/>
  <c r="G52" i="4"/>
  <c r="F52" i="4"/>
  <c r="E52" i="4"/>
  <c r="D52" i="4"/>
  <c r="C52" i="4"/>
  <c r="B52" i="4"/>
  <c r="A52" i="4"/>
  <c r="S51" i="4"/>
  <c r="R51" i="4"/>
  <c r="G51" i="4"/>
  <c r="F51" i="4"/>
  <c r="E51" i="4"/>
  <c r="D51" i="4"/>
  <c r="C51" i="4"/>
  <c r="B51" i="4"/>
  <c r="A51" i="4"/>
  <c r="S50" i="4"/>
  <c r="R50" i="4"/>
  <c r="G50" i="4"/>
  <c r="F50" i="4"/>
  <c r="E50" i="4"/>
  <c r="D50" i="4"/>
  <c r="C50" i="4"/>
  <c r="B50" i="4"/>
  <c r="A50" i="4"/>
  <c r="S49" i="4"/>
  <c r="R49" i="4"/>
  <c r="G49" i="4"/>
  <c r="F49" i="4"/>
  <c r="E49" i="4"/>
  <c r="D49" i="4"/>
  <c r="C49" i="4"/>
  <c r="B49" i="4"/>
  <c r="A49" i="4"/>
  <c r="S48" i="4"/>
  <c r="R48" i="4"/>
  <c r="G48" i="4"/>
  <c r="F48" i="4"/>
  <c r="E48" i="4"/>
  <c r="D48" i="4"/>
  <c r="C48" i="4"/>
  <c r="B48" i="4"/>
  <c r="A48" i="4"/>
  <c r="S47" i="4"/>
  <c r="R47" i="4"/>
  <c r="G47" i="4"/>
  <c r="F47" i="4"/>
  <c r="E47" i="4"/>
  <c r="D47" i="4"/>
  <c r="C47" i="4"/>
  <c r="B47" i="4"/>
  <c r="A47" i="4"/>
  <c r="S46" i="4"/>
  <c r="R46" i="4"/>
  <c r="G46" i="4"/>
  <c r="F46" i="4"/>
  <c r="E46" i="4"/>
  <c r="D46" i="4"/>
  <c r="C46" i="4"/>
  <c r="B46" i="4"/>
  <c r="A46" i="4"/>
  <c r="S45" i="4"/>
  <c r="R45" i="4"/>
  <c r="G45" i="4"/>
  <c r="F45" i="4"/>
  <c r="E45" i="4"/>
  <c r="D45" i="4"/>
  <c r="C45" i="4"/>
  <c r="B45" i="4"/>
  <c r="A45" i="4"/>
  <c r="S44" i="4"/>
  <c r="R44" i="4"/>
  <c r="G44" i="4"/>
  <c r="F44" i="4"/>
  <c r="E44" i="4"/>
  <c r="D44" i="4"/>
  <c r="C44" i="4"/>
  <c r="B44" i="4"/>
  <c r="A44" i="4"/>
  <c r="S43" i="4"/>
  <c r="R43" i="4"/>
  <c r="G43" i="4"/>
  <c r="F43" i="4"/>
  <c r="E43" i="4"/>
  <c r="D43" i="4"/>
  <c r="C43" i="4"/>
  <c r="B43" i="4"/>
  <c r="A43" i="4"/>
  <c r="S42" i="4"/>
  <c r="R42" i="4"/>
  <c r="G42" i="4"/>
  <c r="F42" i="4"/>
  <c r="E42" i="4"/>
  <c r="D42" i="4"/>
  <c r="C42" i="4"/>
  <c r="B42" i="4"/>
  <c r="A42" i="4"/>
  <c r="S41" i="4"/>
  <c r="R41" i="4"/>
  <c r="G41" i="4"/>
  <c r="F41" i="4"/>
  <c r="E41" i="4"/>
  <c r="D41" i="4"/>
  <c r="C41" i="4"/>
  <c r="B41" i="4"/>
  <c r="A41" i="4"/>
  <c r="S40" i="4"/>
  <c r="R40" i="4"/>
  <c r="G40" i="4"/>
  <c r="F40" i="4"/>
  <c r="E40" i="4"/>
  <c r="D40" i="4"/>
  <c r="C40" i="4"/>
  <c r="B40" i="4"/>
  <c r="A40" i="4"/>
  <c r="S39" i="4"/>
  <c r="R39" i="4"/>
  <c r="G39" i="4"/>
  <c r="F39" i="4"/>
  <c r="E39" i="4"/>
  <c r="D39" i="4"/>
  <c r="C39" i="4"/>
  <c r="B39" i="4"/>
  <c r="A39" i="4"/>
  <c r="S38" i="4"/>
  <c r="R38" i="4"/>
  <c r="G38" i="4"/>
  <c r="F38" i="4"/>
  <c r="E38" i="4"/>
  <c r="D38" i="4"/>
  <c r="C38" i="4"/>
  <c r="B38" i="4"/>
  <c r="A38" i="4"/>
  <c r="S37" i="4"/>
  <c r="R37" i="4"/>
  <c r="G37" i="4"/>
  <c r="F37" i="4"/>
  <c r="E37" i="4"/>
  <c r="D37" i="4"/>
  <c r="C37" i="4"/>
  <c r="B37" i="4"/>
  <c r="A37" i="4"/>
  <c r="S36" i="4"/>
  <c r="R36" i="4"/>
  <c r="G36" i="4"/>
  <c r="F36" i="4"/>
  <c r="E36" i="4"/>
  <c r="D36" i="4"/>
  <c r="C36" i="4"/>
  <c r="B36" i="4"/>
  <c r="A36" i="4"/>
  <c r="S35" i="4"/>
  <c r="R35" i="4"/>
  <c r="G35" i="4"/>
  <c r="F35" i="4"/>
  <c r="E35" i="4"/>
  <c r="D35" i="4"/>
  <c r="C35" i="4"/>
  <c r="B35" i="4"/>
  <c r="A35" i="4"/>
  <c r="S34" i="4"/>
  <c r="R34" i="4"/>
  <c r="G34" i="4"/>
  <c r="F34" i="4"/>
  <c r="E34" i="4"/>
  <c r="D34" i="4"/>
  <c r="C34" i="4"/>
  <c r="B34" i="4"/>
  <c r="A34" i="4"/>
  <c r="S33" i="4"/>
  <c r="R33" i="4"/>
  <c r="G33" i="4"/>
  <c r="F33" i="4"/>
  <c r="E33" i="4"/>
  <c r="D33" i="4"/>
  <c r="C33" i="4"/>
  <c r="B33" i="4"/>
  <c r="A33" i="4"/>
  <c r="S32" i="4"/>
  <c r="R32" i="4"/>
  <c r="G32" i="4"/>
  <c r="F32" i="4"/>
  <c r="E32" i="4"/>
  <c r="D32" i="4"/>
  <c r="C32" i="4"/>
  <c r="B32" i="4"/>
  <c r="A32" i="4"/>
  <c r="S31" i="4"/>
  <c r="R31" i="4"/>
  <c r="G31" i="4"/>
  <c r="F31" i="4"/>
  <c r="E31" i="4"/>
  <c r="D31" i="4"/>
  <c r="C31" i="4"/>
  <c r="B31" i="4"/>
  <c r="A31" i="4"/>
  <c r="S30" i="4"/>
  <c r="R30" i="4"/>
  <c r="G30" i="4"/>
  <c r="F30" i="4"/>
  <c r="E30" i="4"/>
  <c r="D30" i="4"/>
  <c r="C30" i="4"/>
  <c r="B30" i="4"/>
  <c r="A30" i="4"/>
  <c r="S29" i="4"/>
  <c r="R29" i="4"/>
  <c r="G29" i="4"/>
  <c r="F29" i="4"/>
  <c r="E29" i="4"/>
  <c r="D29" i="4"/>
  <c r="C29" i="4"/>
  <c r="B29" i="4"/>
  <c r="A29" i="4"/>
  <c r="S28" i="4"/>
  <c r="R28" i="4"/>
  <c r="G28" i="4"/>
  <c r="F28" i="4"/>
  <c r="E28" i="4"/>
  <c r="D28" i="4"/>
  <c r="C28" i="4"/>
  <c r="B28" i="4"/>
  <c r="A28" i="4"/>
  <c r="S27" i="4"/>
  <c r="R27" i="4"/>
  <c r="G27" i="4"/>
  <c r="F27" i="4"/>
  <c r="E27" i="4"/>
  <c r="D27" i="4"/>
  <c r="C27" i="4"/>
  <c r="B27" i="4"/>
  <c r="A27" i="4"/>
  <c r="S26" i="4"/>
  <c r="R26" i="4"/>
  <c r="G26" i="4"/>
  <c r="F26" i="4"/>
  <c r="E26" i="4"/>
  <c r="D26" i="4"/>
  <c r="C26" i="4"/>
  <c r="B26" i="4"/>
  <c r="A26" i="4"/>
  <c r="S25" i="4"/>
  <c r="R25" i="4"/>
  <c r="G25" i="4"/>
  <c r="F25" i="4"/>
  <c r="E25" i="4"/>
  <c r="D25" i="4"/>
  <c r="C25" i="4"/>
  <c r="B25" i="4"/>
  <c r="A25" i="4"/>
  <c r="S24" i="4"/>
  <c r="R24" i="4"/>
  <c r="G24" i="4"/>
  <c r="F24" i="4"/>
  <c r="E24" i="4"/>
  <c r="D24" i="4"/>
  <c r="C24" i="4"/>
  <c r="B24" i="4"/>
  <c r="A24" i="4"/>
  <c r="S23" i="4"/>
  <c r="R23" i="4"/>
  <c r="G23" i="4"/>
  <c r="F23" i="4"/>
  <c r="E23" i="4"/>
  <c r="D23" i="4"/>
  <c r="C23" i="4"/>
  <c r="B23" i="4"/>
  <c r="A23" i="4"/>
  <c r="S22" i="4"/>
  <c r="R22" i="4"/>
  <c r="G22" i="4"/>
  <c r="F22" i="4"/>
  <c r="E22" i="4"/>
  <c r="D22" i="4"/>
  <c r="C22" i="4"/>
  <c r="B22" i="4"/>
  <c r="A22" i="4"/>
  <c r="S21" i="4"/>
  <c r="R21" i="4"/>
  <c r="G21" i="4"/>
  <c r="F21" i="4"/>
  <c r="E21" i="4"/>
  <c r="D21" i="4"/>
  <c r="C21" i="4"/>
  <c r="B21" i="4"/>
  <c r="A21" i="4"/>
  <c r="S20" i="4"/>
  <c r="R20" i="4"/>
  <c r="G20" i="4"/>
  <c r="F20" i="4"/>
  <c r="E20" i="4"/>
  <c r="D20" i="4"/>
  <c r="C20" i="4"/>
  <c r="B20" i="4"/>
  <c r="A20" i="4"/>
  <c r="S19" i="4"/>
  <c r="R19" i="4"/>
  <c r="G19" i="4"/>
  <c r="F19" i="4"/>
  <c r="E19" i="4"/>
  <c r="D19" i="4"/>
  <c r="C19" i="4"/>
  <c r="B19" i="4"/>
  <c r="A19" i="4"/>
  <c r="S18" i="4"/>
  <c r="R18" i="4"/>
  <c r="G18" i="4"/>
  <c r="F18" i="4"/>
  <c r="E18" i="4"/>
  <c r="D18" i="4"/>
  <c r="C18" i="4"/>
  <c r="B18" i="4"/>
  <c r="A18" i="4"/>
  <c r="S17" i="4"/>
  <c r="R17" i="4"/>
  <c r="G17" i="4"/>
  <c r="F17" i="4"/>
  <c r="E17" i="4"/>
  <c r="D17" i="4"/>
  <c r="C17" i="4"/>
  <c r="B17" i="4"/>
  <c r="A17" i="4"/>
  <c r="S16" i="4"/>
  <c r="R16" i="4"/>
  <c r="G16" i="4"/>
  <c r="F16" i="4"/>
  <c r="E16" i="4"/>
  <c r="D16" i="4"/>
  <c r="C16" i="4"/>
  <c r="B16" i="4"/>
  <c r="A16" i="4"/>
  <c r="S15" i="4"/>
  <c r="R15" i="4"/>
  <c r="G15" i="4"/>
  <c r="F15" i="4"/>
  <c r="E15" i="4"/>
  <c r="D15" i="4"/>
  <c r="C15" i="4"/>
  <c r="B15" i="4"/>
  <c r="A15" i="4"/>
  <c r="S14" i="4"/>
  <c r="R14" i="4"/>
  <c r="G14" i="4"/>
  <c r="F14" i="4"/>
  <c r="E14" i="4"/>
  <c r="D14" i="4"/>
  <c r="C14" i="4"/>
  <c r="B14" i="4"/>
  <c r="A14" i="4"/>
  <c r="S13" i="4"/>
  <c r="R13" i="4"/>
  <c r="G13" i="4"/>
  <c r="F13" i="4"/>
  <c r="E13" i="4"/>
  <c r="D13" i="4"/>
  <c r="C13" i="4"/>
  <c r="B13" i="4"/>
  <c r="A13" i="4"/>
  <c r="S12" i="4"/>
  <c r="R12" i="4"/>
  <c r="G12" i="4"/>
  <c r="F12" i="4"/>
  <c r="E12" i="4"/>
  <c r="D12" i="4"/>
  <c r="C12" i="4"/>
  <c r="B12" i="4"/>
  <c r="A12" i="4"/>
  <c r="S11" i="4"/>
  <c r="R11" i="4"/>
  <c r="G11" i="4"/>
  <c r="F11" i="4"/>
  <c r="E11" i="4"/>
  <c r="D11" i="4"/>
  <c r="C11" i="4"/>
  <c r="B11" i="4"/>
  <c r="A11" i="4"/>
  <c r="S10" i="4"/>
  <c r="R10" i="4"/>
  <c r="G10" i="4"/>
  <c r="F10" i="4"/>
  <c r="E10" i="4"/>
  <c r="D10" i="4"/>
  <c r="C10" i="4"/>
  <c r="B10" i="4"/>
  <c r="A10" i="4"/>
  <c r="S9" i="4"/>
  <c r="R9" i="4"/>
  <c r="G9" i="4"/>
  <c r="F9" i="4"/>
  <c r="E9" i="4"/>
  <c r="D9" i="4"/>
  <c r="C9" i="4"/>
  <c r="B9" i="4"/>
  <c r="A9" i="4"/>
  <c r="S8" i="4"/>
  <c r="R8" i="4"/>
  <c r="G8" i="4"/>
  <c r="F8" i="4"/>
  <c r="E8" i="4"/>
  <c r="D8" i="4"/>
  <c r="C8" i="4"/>
  <c r="B8" i="4"/>
  <c r="A8" i="4"/>
  <c r="S7" i="4"/>
  <c r="R7" i="4"/>
  <c r="G7" i="4"/>
  <c r="F7" i="4"/>
  <c r="E7" i="4"/>
  <c r="D7" i="4"/>
  <c r="C7" i="4"/>
  <c r="B7" i="4"/>
  <c r="A7" i="4"/>
  <c r="S6" i="4"/>
  <c r="R6" i="4"/>
  <c r="G6" i="4"/>
  <c r="F6" i="4"/>
  <c r="E6" i="4"/>
  <c r="D6" i="4"/>
  <c r="C6" i="4"/>
  <c r="B6" i="4"/>
  <c r="A6" i="4"/>
  <c r="S5" i="4"/>
  <c r="R5" i="4"/>
  <c r="G5" i="4"/>
  <c r="F5" i="4"/>
  <c r="E5" i="4"/>
  <c r="D5" i="4"/>
  <c r="C5" i="4"/>
  <c r="B5" i="4"/>
  <c r="A5" i="4"/>
  <c r="S4" i="4"/>
  <c r="R4" i="4"/>
  <c r="G4" i="4"/>
  <c r="F4" i="4"/>
  <c r="E4" i="4"/>
  <c r="D4" i="4"/>
  <c r="C4" i="4"/>
  <c r="B4" i="4"/>
  <c r="A4" i="4"/>
  <c r="A7" i="3" l="1"/>
  <c r="AF6" i="4"/>
  <c r="A15" i="3"/>
  <c r="AF14" i="4"/>
  <c r="A23" i="3"/>
  <c r="L663" i="10"/>
  <c r="AF22" i="4"/>
  <c r="A31" i="3"/>
  <c r="AF30" i="4"/>
  <c r="A39" i="3"/>
  <c r="AF38" i="4"/>
  <c r="A47" i="3"/>
  <c r="L687" i="10"/>
  <c r="AF46" i="4"/>
  <c r="A55" i="3"/>
  <c r="AF54" i="4"/>
  <c r="A63" i="3"/>
  <c r="AF62" i="4"/>
  <c r="L703" i="10"/>
  <c r="A71" i="3"/>
  <c r="AF70" i="4"/>
  <c r="A79" i="3"/>
  <c r="AF78" i="4"/>
  <c r="A87" i="3"/>
  <c r="AF86" i="4"/>
  <c r="A95" i="3"/>
  <c r="AF94" i="4"/>
  <c r="A103" i="3"/>
  <c r="AF102" i="4"/>
  <c r="A111" i="3"/>
  <c r="AF110" i="4"/>
  <c r="A119" i="3"/>
  <c r="AF118" i="4"/>
  <c r="A135" i="3"/>
  <c r="A143" i="3"/>
  <c r="P143" i="3" s="1"/>
  <c r="A151" i="3"/>
  <c r="D189" i="3"/>
  <c r="D209" i="3"/>
  <c r="Q206" i="10"/>
  <c r="T304" i="1"/>
  <c r="I34" i="10"/>
  <c r="I38" i="10"/>
  <c r="L128" i="10"/>
  <c r="J128" i="10" s="1"/>
  <c r="G152" i="10"/>
  <c r="P152" i="10" s="1"/>
  <c r="G155" i="10"/>
  <c r="P155" i="10" s="1"/>
  <c r="V223" i="1"/>
  <c r="G13" i="10"/>
  <c r="P13" i="10" s="1"/>
  <c r="G77" i="10"/>
  <c r="P77" i="10" s="1"/>
  <c r="L118" i="10"/>
  <c r="J118" i="10" s="1"/>
  <c r="L142" i="10"/>
  <c r="J142" i="10" s="1"/>
  <c r="I152" i="10"/>
  <c r="L155" i="10"/>
  <c r="J155" i="10" s="1"/>
  <c r="G166" i="10"/>
  <c r="P166" i="10" s="1"/>
  <c r="G174" i="10"/>
  <c r="P174" i="10" s="1"/>
  <c r="A74" i="3"/>
  <c r="L714" i="10"/>
  <c r="AF73" i="4"/>
  <c r="S340" i="1"/>
  <c r="I129" i="7"/>
  <c r="J129" i="7" s="1"/>
  <c r="K129" i="7" s="1"/>
  <c r="L129" i="7" s="1"/>
  <c r="M129" i="7" s="1"/>
  <c r="N129" i="7" s="1"/>
  <c r="O129" i="7" s="1"/>
  <c r="I127" i="7"/>
  <c r="J127" i="7" s="1"/>
  <c r="K127" i="7" s="1"/>
  <c r="L127" i="7" s="1"/>
  <c r="M127" i="7" s="1"/>
  <c r="N127" i="7" s="1"/>
  <c r="O127" i="7" s="1"/>
  <c r="I128" i="7"/>
  <c r="J128" i="7" s="1"/>
  <c r="K128" i="7" s="1"/>
  <c r="L128" i="7" s="1"/>
  <c r="M128" i="7" s="1"/>
  <c r="N128" i="7" s="1"/>
  <c r="O128" i="7" s="1"/>
  <c r="I130" i="7"/>
  <c r="J130" i="7" s="1"/>
  <c r="AF4" i="4"/>
  <c r="L620" i="10"/>
  <c r="I123" i="7"/>
  <c r="J123" i="7" s="1"/>
  <c r="K123" i="7" s="1"/>
  <c r="L123" i="7" s="1"/>
  <c r="M123" i="7" s="1"/>
  <c r="N123" i="7" s="1"/>
  <c r="O123" i="7" s="1"/>
  <c r="I124" i="7"/>
  <c r="J124" i="7" s="1"/>
  <c r="K124" i="7" s="1"/>
  <c r="L124" i="7" s="1"/>
  <c r="M124" i="7" s="1"/>
  <c r="N124" i="7" s="1"/>
  <c r="O124" i="7" s="1"/>
  <c r="I126" i="7"/>
  <c r="J126" i="7" s="1"/>
  <c r="I125" i="7"/>
  <c r="J125" i="7" s="1"/>
  <c r="K125" i="7" s="1"/>
  <c r="L125" i="7" s="1"/>
  <c r="M125" i="7" s="1"/>
  <c r="N125" i="7" s="1"/>
  <c r="O125" i="7" s="1"/>
  <c r="A29" i="3"/>
  <c r="K29" i="3" s="1"/>
  <c r="AF28" i="4"/>
  <c r="L669" i="10"/>
  <c r="A45" i="3"/>
  <c r="AD45" i="3" s="1"/>
  <c r="AP45" i="3" s="1"/>
  <c r="L685" i="10"/>
  <c r="AF44" i="4"/>
  <c r="A53" i="3"/>
  <c r="AF52" i="4"/>
  <c r="L693" i="10"/>
  <c r="A101" i="3"/>
  <c r="AF100" i="4"/>
  <c r="A133" i="3"/>
  <c r="A141" i="3"/>
  <c r="S304" i="1"/>
  <c r="I42" i="10"/>
  <c r="I128" i="10"/>
  <c r="N38" i="10"/>
  <c r="A83" i="3"/>
  <c r="AF82" i="4"/>
  <c r="A107" i="3"/>
  <c r="A105" i="9" s="1"/>
  <c r="AF106" i="4"/>
  <c r="A147" i="3"/>
  <c r="G170" i="10"/>
  <c r="P170" i="10" s="1"/>
  <c r="L139" i="10"/>
  <c r="J139" i="10" s="1"/>
  <c r="B211" i="1"/>
  <c r="A22" i="3"/>
  <c r="A20" i="9" s="1"/>
  <c r="AF21" i="4"/>
  <c r="L662" i="10"/>
  <c r="A38" i="3"/>
  <c r="I32" i="3" s="1"/>
  <c r="AF37" i="4"/>
  <c r="A78" i="3"/>
  <c r="AF77" i="4"/>
  <c r="K6" i="10"/>
  <c r="V211" i="1"/>
  <c r="S292" i="1"/>
  <c r="S331" i="1"/>
  <c r="B240" i="3"/>
  <c r="B238" i="9" s="1"/>
  <c r="I18" i="10"/>
  <c r="I35" i="10"/>
  <c r="N51" i="10"/>
  <c r="O51" i="10" s="1"/>
  <c r="L136" i="10"/>
  <c r="J136" i="10" s="1"/>
  <c r="G167" i="10"/>
  <c r="P167" i="10" s="1"/>
  <c r="G175" i="10"/>
  <c r="P175" i="10" s="1"/>
  <c r="A26" i="3"/>
  <c r="T26" i="3" s="1"/>
  <c r="AF25" i="4"/>
  <c r="L666" i="10"/>
  <c r="A50" i="3"/>
  <c r="AF49" i="4"/>
  <c r="L690" i="10"/>
  <c r="A90" i="3"/>
  <c r="B90" i="3" s="1"/>
  <c r="B88" i="9" s="1"/>
  <c r="AF89" i="4"/>
  <c r="A114" i="3"/>
  <c r="A77" i="3"/>
  <c r="AF76" i="4"/>
  <c r="L717" i="10"/>
  <c r="W323" i="1"/>
  <c r="I13" i="10"/>
  <c r="L152" i="10"/>
  <c r="A27" i="3"/>
  <c r="AF26" i="4"/>
  <c r="A35" i="3"/>
  <c r="F35" i="3" s="1"/>
  <c r="AF34" i="4"/>
  <c r="L675" i="10"/>
  <c r="A75" i="3"/>
  <c r="AF74" i="4"/>
  <c r="L149" i="10"/>
  <c r="J149" i="10" s="1"/>
  <c r="B225" i="1"/>
  <c r="S225" i="1"/>
  <c r="T211" i="1"/>
  <c r="U344" i="1"/>
  <c r="U361" i="1"/>
  <c r="D201" i="3"/>
  <c r="N47" i="10"/>
  <c r="O47" i="10" s="1"/>
  <c r="A131" i="1"/>
  <c r="I131" i="1" s="1"/>
  <c r="T331" i="1"/>
  <c r="I119" i="10"/>
  <c r="I143" i="10"/>
  <c r="I167" i="10"/>
  <c r="A42" i="3"/>
  <c r="AF41" i="4"/>
  <c r="A98" i="3"/>
  <c r="H92" i="3" s="1"/>
  <c r="AF97" i="4"/>
  <c r="A106" i="3"/>
  <c r="B106" i="3" s="1"/>
  <c r="B104" i="9" s="1"/>
  <c r="AF105" i="4"/>
  <c r="A122" i="3"/>
  <c r="AC122" i="3" s="1"/>
  <c r="A146" i="3"/>
  <c r="A154" i="3"/>
  <c r="R154" i="3" s="1"/>
  <c r="A125" i="3"/>
  <c r="AF124" i="4"/>
  <c r="A149" i="3"/>
  <c r="T340" i="1"/>
  <c r="L131" i="10"/>
  <c r="J131" i="10" s="1"/>
  <c r="A16" i="3"/>
  <c r="AF15" i="4"/>
  <c r="L656" i="10"/>
  <c r="A32" i="3"/>
  <c r="AF31" i="4"/>
  <c r="A40" i="3"/>
  <c r="L680" i="10"/>
  <c r="AF39" i="4"/>
  <c r="A48" i="3"/>
  <c r="R48" i="3" s="1"/>
  <c r="L688" i="10"/>
  <c r="AF47" i="4"/>
  <c r="A56" i="3"/>
  <c r="L696" i="10"/>
  <c r="AF55" i="4"/>
  <c r="A64" i="3"/>
  <c r="K64" i="3" s="1"/>
  <c r="AF63" i="4"/>
  <c r="A72" i="3"/>
  <c r="AF71" i="4"/>
  <c r="A88" i="3"/>
  <c r="AF87" i="4"/>
  <c r="A104" i="3"/>
  <c r="AF103" i="4"/>
  <c r="A112" i="3"/>
  <c r="A110" i="9" s="1"/>
  <c r="AF111" i="4"/>
  <c r="A120" i="3"/>
  <c r="AF119" i="4"/>
  <c r="A152" i="3"/>
  <c r="F152" i="3" s="1"/>
  <c r="A11" i="3"/>
  <c r="AB11" i="3" s="1"/>
  <c r="L651" i="10"/>
  <c r="AF10" i="4"/>
  <c r="A59" i="3"/>
  <c r="AG59" i="3" s="1"/>
  <c r="L699" i="10"/>
  <c r="AF58" i="4"/>
  <c r="A91" i="3"/>
  <c r="AV91" i="3" s="1"/>
  <c r="C89" i="9" s="1"/>
  <c r="AF90" i="4"/>
  <c r="S344" i="1"/>
  <c r="A14" i="3"/>
  <c r="AF13" i="4"/>
  <c r="L654" i="10"/>
  <c r="A46" i="3"/>
  <c r="L686" i="10"/>
  <c r="AF45" i="4"/>
  <c r="A86" i="3"/>
  <c r="AR86" i="3" s="1"/>
  <c r="AF85" i="4"/>
  <c r="L726" i="10"/>
  <c r="A118" i="3"/>
  <c r="A25" i="3"/>
  <c r="V25" i="3" s="1"/>
  <c r="AF24" i="4"/>
  <c r="L665" i="10"/>
  <c r="A33" i="3"/>
  <c r="D33" i="3" s="1"/>
  <c r="L673" i="10"/>
  <c r="AF32" i="4"/>
  <c r="A41" i="3"/>
  <c r="L681" i="10"/>
  <c r="AF40" i="4"/>
  <c r="A49" i="3"/>
  <c r="F49" i="3" s="1"/>
  <c r="L689" i="10"/>
  <c r="AF48" i="4"/>
  <c r="A65" i="3"/>
  <c r="AF64" i="4"/>
  <c r="A73" i="3"/>
  <c r="AF72" i="4"/>
  <c r="L713" i="10"/>
  <c r="A81" i="3"/>
  <c r="AF80" i="4"/>
  <c r="A89" i="3"/>
  <c r="AF88" i="4"/>
  <c r="A97" i="3"/>
  <c r="Z97" i="3" s="1"/>
  <c r="L737" i="10"/>
  <c r="AF96" i="4"/>
  <c r="A105" i="3"/>
  <c r="AV105" i="3" s="1"/>
  <c r="C103" i="9" s="1"/>
  <c r="AF104" i="4"/>
  <c r="A113" i="3"/>
  <c r="AF112" i="4"/>
  <c r="A121" i="3"/>
  <c r="P121" i="3" s="1"/>
  <c r="A137" i="3"/>
  <c r="S137" i="3" s="1"/>
  <c r="A145" i="3"/>
  <c r="A153" i="3"/>
  <c r="AV153" i="3" s="1"/>
  <c r="C151" i="9" s="1"/>
  <c r="V331" i="1"/>
  <c r="I29" i="10"/>
  <c r="K111" i="10"/>
  <c r="L119" i="10"/>
  <c r="J119" i="10" s="1"/>
  <c r="L143" i="10"/>
  <c r="J143" i="10" s="1"/>
  <c r="L153" i="10"/>
  <c r="J153" i="10" s="1"/>
  <c r="G160" i="10"/>
  <c r="P160" i="10" s="1"/>
  <c r="A58" i="3"/>
  <c r="T58" i="3" s="1"/>
  <c r="AF57" i="4"/>
  <c r="A21" i="3"/>
  <c r="G21" i="3" s="1"/>
  <c r="AF20" i="4"/>
  <c r="A93" i="3"/>
  <c r="AF92" i="4"/>
  <c r="A117" i="3"/>
  <c r="T117" i="3" s="1"/>
  <c r="V184" i="1"/>
  <c r="I50" i="10"/>
  <c r="A8" i="3"/>
  <c r="P8" i="3" s="1"/>
  <c r="L648" i="10"/>
  <c r="AF7" i="4"/>
  <c r="A24" i="3"/>
  <c r="L664" i="10"/>
  <c r="AF23" i="4"/>
  <c r="A96" i="3"/>
  <c r="T96" i="3" s="1"/>
  <c r="AF95" i="4"/>
  <c r="N34" i="10"/>
  <c r="O34" i="10" s="1"/>
  <c r="I149" i="10"/>
  <c r="A99" i="3"/>
  <c r="AD99" i="3" s="1"/>
  <c r="AP99" i="3" s="1"/>
  <c r="AF98" i="4"/>
  <c r="A115" i="3"/>
  <c r="P115" i="3" s="1"/>
  <c r="A131" i="3"/>
  <c r="A139" i="3"/>
  <c r="A155" i="3"/>
  <c r="AR155" i="3" s="1"/>
  <c r="B344" i="1"/>
  <c r="S291" i="1"/>
  <c r="I122" i="10"/>
  <c r="A54" i="3"/>
  <c r="AF53" i="4"/>
  <c r="L694" i="10"/>
  <c r="A102" i="3"/>
  <c r="AE102" i="3" s="1"/>
  <c r="AF101" i="4"/>
  <c r="A110" i="3"/>
  <c r="AF109" i="4"/>
  <c r="A126" i="3"/>
  <c r="AF125" i="4"/>
  <c r="A150" i="3"/>
  <c r="L122" i="10"/>
  <c r="J122" i="10" s="1"/>
  <c r="L146" i="10"/>
  <c r="J146" i="10" s="1"/>
  <c r="A9" i="3"/>
  <c r="AF8" i="4"/>
  <c r="L649" i="10"/>
  <c r="A17" i="3"/>
  <c r="F17" i="3" s="1"/>
  <c r="AF16" i="4"/>
  <c r="L657" i="10"/>
  <c r="A57" i="3"/>
  <c r="AF56" i="4"/>
  <c r="W331" i="1"/>
  <c r="B347" i="1"/>
  <c r="D204" i="3"/>
  <c r="D224" i="3"/>
  <c r="I44" i="10"/>
  <c r="L133" i="10"/>
  <c r="J133" i="10" s="1"/>
  <c r="I160" i="10"/>
  <c r="N167" i="10"/>
  <c r="O167" i="10" s="1"/>
  <c r="A10" i="3"/>
  <c r="AV10" i="3" s="1"/>
  <c r="C8" i="9" s="1"/>
  <c r="AF9" i="4"/>
  <c r="A66" i="3"/>
  <c r="L706" i="10"/>
  <c r="AF65" i="4"/>
  <c r="A82" i="3"/>
  <c r="AF81" i="4"/>
  <c r="A138" i="3"/>
  <c r="B303" i="1"/>
  <c r="A69" i="3"/>
  <c r="F69" i="3" s="1"/>
  <c r="AF68" i="4"/>
  <c r="A85" i="3"/>
  <c r="AF84" i="4"/>
  <c r="A109" i="3"/>
  <c r="AF108" i="4"/>
  <c r="A43" i="3"/>
  <c r="L683" i="10"/>
  <c r="AF42" i="4"/>
  <c r="A67" i="3"/>
  <c r="AB67" i="3" s="1"/>
  <c r="L707" i="10"/>
  <c r="AF66" i="4"/>
  <c r="L77" i="10"/>
  <c r="H77" i="10" s="1"/>
  <c r="L115" i="10"/>
  <c r="J115" i="10" s="1"/>
  <c r="U291" i="1"/>
  <c r="A139" i="1"/>
  <c r="I116" i="10"/>
  <c r="I140" i="10"/>
  <c r="L160" i="10"/>
  <c r="J160" i="10" s="1"/>
  <c r="A18" i="3"/>
  <c r="A16" i="9" s="1"/>
  <c r="AF17" i="4"/>
  <c r="A34" i="3"/>
  <c r="AF33" i="4"/>
  <c r="S284" i="1"/>
  <c r="B232" i="3"/>
  <c r="B230" i="9" s="1"/>
  <c r="A157" i="3"/>
  <c r="I159" i="10"/>
  <c r="A51" i="3"/>
  <c r="AF50" i="4"/>
  <c r="A123" i="3"/>
  <c r="A121" i="9" s="1"/>
  <c r="L125" i="10"/>
  <c r="J125" i="10" s="1"/>
  <c r="Q547" i="10"/>
  <c r="A12" i="3"/>
  <c r="AF11" i="4"/>
  <c r="L652" i="10"/>
  <c r="A20" i="3"/>
  <c r="L660" i="10"/>
  <c r="AF19" i="4"/>
  <c r="A28" i="3"/>
  <c r="AA28" i="3" s="1"/>
  <c r="L668" i="10"/>
  <c r="AF27" i="4"/>
  <c r="A36" i="3"/>
  <c r="AF35" i="4"/>
  <c r="A44" i="3"/>
  <c r="R44" i="3" s="1"/>
  <c r="L684" i="10"/>
  <c r="AF43" i="4"/>
  <c r="A52" i="3"/>
  <c r="AF51" i="4"/>
  <c r="A60" i="3"/>
  <c r="R60" i="3" s="1"/>
  <c r="AF59" i="4"/>
  <c r="A68" i="3"/>
  <c r="P68" i="3" s="1"/>
  <c r="L708" i="10"/>
  <c r="AF67" i="4"/>
  <c r="A76" i="3"/>
  <c r="E76" i="3" s="1"/>
  <c r="AF75" i="4"/>
  <c r="L716" i="10"/>
  <c r="A84" i="3"/>
  <c r="AF83" i="4"/>
  <c r="L724" i="10"/>
  <c r="A92" i="3"/>
  <c r="A90" i="9" s="1"/>
  <c r="AF91" i="4"/>
  <c r="L732" i="10"/>
  <c r="A100" i="3"/>
  <c r="L740" i="10"/>
  <c r="AF99" i="4"/>
  <c r="A108" i="3"/>
  <c r="AA108" i="3" s="1"/>
  <c r="AF107" i="4"/>
  <c r="A116" i="3"/>
  <c r="A124" i="3"/>
  <c r="AF123" i="4"/>
  <c r="A132" i="3"/>
  <c r="H126" i="3" s="1"/>
  <c r="A140" i="3"/>
  <c r="K140" i="3" s="1"/>
  <c r="A148" i="3"/>
  <c r="M148" i="3" s="1"/>
  <c r="A156" i="3"/>
  <c r="A141" i="1"/>
  <c r="J141" i="1" s="1"/>
  <c r="N29" i="10"/>
  <c r="O29" i="10" s="1"/>
  <c r="N44" i="10"/>
  <c r="O44" i="10" s="1"/>
  <c r="I52" i="10"/>
  <c r="L116" i="10"/>
  <c r="J116" i="10" s="1"/>
  <c r="L140" i="10"/>
  <c r="Q245" i="10"/>
  <c r="Q279" i="10"/>
  <c r="Q214" i="10"/>
  <c r="T323" i="1"/>
  <c r="A13" i="3"/>
  <c r="AF12" i="4"/>
  <c r="L653" i="10"/>
  <c r="A37" i="3"/>
  <c r="AF36" i="4"/>
  <c r="A61" i="3"/>
  <c r="I55" i="3" s="1"/>
  <c r="AF60" i="4"/>
  <c r="L701" i="10"/>
  <c r="U323" i="1"/>
  <c r="A80" i="3"/>
  <c r="H74" i="3" s="1"/>
  <c r="AF79" i="4"/>
  <c r="A136" i="3"/>
  <c r="AV136" i="3" s="1"/>
  <c r="C134" i="9" s="1"/>
  <c r="A144" i="3"/>
  <c r="V207" i="1"/>
  <c r="T223" i="1"/>
  <c r="I125" i="10"/>
  <c r="A19" i="3"/>
  <c r="L659" i="10"/>
  <c r="AF18" i="4"/>
  <c r="T361" i="1"/>
  <c r="D220" i="3"/>
  <c r="I146" i="10"/>
  <c r="A6" i="3"/>
  <c r="AF5" i="4"/>
  <c r="A30" i="3"/>
  <c r="R30" i="3" s="1"/>
  <c r="AF29" i="4"/>
  <c r="L670" i="10"/>
  <c r="A62" i="3"/>
  <c r="K62" i="3" s="1"/>
  <c r="L702" i="10"/>
  <c r="AF61" i="4"/>
  <c r="A70" i="3"/>
  <c r="AA70" i="3" s="1"/>
  <c r="AF69" i="4"/>
  <c r="A94" i="3"/>
  <c r="A92" i="9" s="1"/>
  <c r="L734" i="10"/>
  <c r="AF93" i="4"/>
  <c r="A134" i="3"/>
  <c r="A142" i="3"/>
  <c r="P142" i="3" s="1"/>
  <c r="A143" i="1"/>
  <c r="R143" i="1" s="1"/>
  <c r="A147" i="1"/>
  <c r="A147" i="2" s="1"/>
  <c r="J147" i="2" s="1"/>
  <c r="T279" i="1"/>
  <c r="I19" i="10"/>
  <c r="N52" i="10"/>
  <c r="O52" i="10" s="1"/>
  <c r="S324" i="1"/>
  <c r="L74" i="10"/>
  <c r="J74" i="10" s="1"/>
  <c r="G157" i="10"/>
  <c r="P157" i="10" s="1"/>
  <c r="S295" i="1"/>
  <c r="B260" i="3"/>
  <c r="B258" i="9" s="1"/>
  <c r="N41" i="10"/>
  <c r="O41" i="10" s="1"/>
  <c r="I157" i="10"/>
  <c r="T324" i="1"/>
  <c r="D208" i="3"/>
  <c r="B311" i="1"/>
  <c r="D192" i="3"/>
  <c r="D260" i="3"/>
  <c r="L157" i="10"/>
  <c r="J157" i="10" s="1"/>
  <c r="Q275" i="10"/>
  <c r="T235" i="1"/>
  <c r="B287" i="1"/>
  <c r="T327" i="1"/>
  <c r="D212" i="3"/>
  <c r="N35" i="10"/>
  <c r="O35" i="10" s="1"/>
  <c r="I49" i="10"/>
  <c r="I155" i="10"/>
  <c r="Q539" i="10"/>
  <c r="B244" i="3"/>
  <c r="B242" i="9" s="1"/>
  <c r="N32" i="10"/>
  <c r="Q32" i="10" s="1"/>
  <c r="N42" i="10"/>
  <c r="O42" i="10" s="1"/>
  <c r="G75" i="10"/>
  <c r="P75" i="10" s="1"/>
  <c r="G78" i="10"/>
  <c r="P78" i="10" s="1"/>
  <c r="G171" i="10"/>
  <c r="P171" i="10" s="1"/>
  <c r="G178" i="10"/>
  <c r="P178" i="10" s="1"/>
  <c r="I171" i="10"/>
  <c r="Q531" i="10"/>
  <c r="S235" i="1"/>
  <c r="S327" i="1"/>
  <c r="V235" i="1"/>
  <c r="W287" i="1"/>
  <c r="V327" i="1"/>
  <c r="B339" i="1"/>
  <c r="G20" i="10"/>
  <c r="P20" i="10" s="1"/>
  <c r="I39" i="10"/>
  <c r="N49" i="10"/>
  <c r="O49" i="10" s="1"/>
  <c r="I78" i="10"/>
  <c r="G158" i="10"/>
  <c r="P158" i="10" s="1"/>
  <c r="U211" i="1"/>
  <c r="W235" i="1"/>
  <c r="W327" i="1"/>
  <c r="B162" i="3"/>
  <c r="B160" i="9" s="1"/>
  <c r="B181" i="3"/>
  <c r="B179" i="9" s="1"/>
  <c r="I7" i="10"/>
  <c r="I20" i="10"/>
  <c r="I46" i="10"/>
  <c r="I81" i="10"/>
  <c r="I117" i="10"/>
  <c r="I120" i="10"/>
  <c r="I123" i="10"/>
  <c r="I126" i="10"/>
  <c r="I129" i="10"/>
  <c r="I132" i="10"/>
  <c r="I135" i="10"/>
  <c r="I138" i="10"/>
  <c r="I141" i="10"/>
  <c r="I144" i="10"/>
  <c r="I147" i="10"/>
  <c r="I150" i="10"/>
  <c r="I158" i="10"/>
  <c r="K7" i="10"/>
  <c r="G17" i="10"/>
  <c r="P17" i="10" s="1"/>
  <c r="N39" i="10"/>
  <c r="O39" i="10" s="1"/>
  <c r="L117" i="10"/>
  <c r="H117" i="10" s="1"/>
  <c r="L120" i="10"/>
  <c r="L123" i="10"/>
  <c r="J123" i="10" s="1"/>
  <c r="L126" i="10"/>
  <c r="J126" i="10" s="1"/>
  <c r="L129" i="10"/>
  <c r="J129" i="10" s="1"/>
  <c r="L132" i="10"/>
  <c r="J132" i="10" s="1"/>
  <c r="L135" i="10"/>
  <c r="J135" i="10" s="1"/>
  <c r="L138" i="10"/>
  <c r="J138" i="10" s="1"/>
  <c r="L141" i="10"/>
  <c r="J141" i="10" s="1"/>
  <c r="L144" i="10"/>
  <c r="J144" i="10" s="1"/>
  <c r="L147" i="10"/>
  <c r="J147" i="10" s="1"/>
  <c r="L150" i="10"/>
  <c r="H150" i="10" s="1"/>
  <c r="L158" i="10"/>
  <c r="H158" i="10" s="1"/>
  <c r="N171" i="10"/>
  <c r="O171" i="10" s="1"/>
  <c r="B193" i="3"/>
  <c r="B191" i="9" s="1"/>
  <c r="D177" i="3"/>
  <c r="B328" i="1"/>
  <c r="D216" i="3"/>
  <c r="G14" i="10"/>
  <c r="P14" i="10" s="1"/>
  <c r="I17" i="10"/>
  <c r="I30" i="10"/>
  <c r="I36" i="10"/>
  <c r="N46" i="10"/>
  <c r="O46" i="10" s="1"/>
  <c r="N81" i="10"/>
  <c r="O81" i="10" s="1"/>
  <c r="G153" i="10"/>
  <c r="P153" i="10" s="1"/>
  <c r="I161" i="10"/>
  <c r="I175" i="10"/>
  <c r="Q263" i="10"/>
  <c r="B235" i="1"/>
  <c r="T328" i="1"/>
  <c r="B201" i="3"/>
  <c r="B199" i="9" s="1"/>
  <c r="I14" i="10"/>
  <c r="I43" i="10"/>
  <c r="I153" i="10"/>
  <c r="I33" i="10"/>
  <c r="N36" i="10"/>
  <c r="O36" i="10" s="1"/>
  <c r="N175" i="10"/>
  <c r="Q175" i="10" s="1"/>
  <c r="D165" i="3"/>
  <c r="B236" i="3"/>
  <c r="B234" i="9" s="1"/>
  <c r="B252" i="3"/>
  <c r="B250" i="9" s="1"/>
  <c r="G11" i="10"/>
  <c r="P11" i="10" s="1"/>
  <c r="N43" i="10"/>
  <c r="O43" i="10" s="1"/>
  <c r="G110" i="10"/>
  <c r="P110" i="10" s="1"/>
  <c r="G156" i="10"/>
  <c r="P156" i="10" s="1"/>
  <c r="I8" i="10"/>
  <c r="I40" i="10"/>
  <c r="N50" i="10"/>
  <c r="O50" i="10" s="1"/>
  <c r="I156" i="10"/>
  <c r="I165" i="10"/>
  <c r="B323" i="1"/>
  <c r="B343" i="1"/>
  <c r="L8" i="10"/>
  <c r="M8" i="10" s="1"/>
  <c r="Q8" i="10" s="1"/>
  <c r="N33" i="10"/>
  <c r="O33" i="10" s="1"/>
  <c r="I47" i="10"/>
  <c r="G79" i="10"/>
  <c r="P79" i="10" s="1"/>
  <c r="L156" i="10"/>
  <c r="J156" i="10" s="1"/>
  <c r="B279" i="1"/>
  <c r="S279" i="1"/>
  <c r="B292" i="1"/>
  <c r="S323" i="1"/>
  <c r="B331" i="1"/>
  <c r="G18" i="10"/>
  <c r="P18" i="10" s="1"/>
  <c r="I21" i="10"/>
  <c r="N40" i="10"/>
  <c r="O40" i="10" s="1"/>
  <c r="I115" i="10"/>
  <c r="I118" i="10"/>
  <c r="I121" i="10"/>
  <c r="I124" i="10"/>
  <c r="I127" i="10"/>
  <c r="I130" i="10"/>
  <c r="I133" i="10"/>
  <c r="I136" i="10"/>
  <c r="I139" i="10"/>
  <c r="I142" i="10"/>
  <c r="I145" i="10"/>
  <c r="I148" i="10"/>
  <c r="G151" i="10"/>
  <c r="P151" i="10" s="1"/>
  <c r="G159" i="10"/>
  <c r="P159" i="10" s="1"/>
  <c r="N165" i="10"/>
  <c r="Q165" i="10" s="1"/>
  <c r="Q197" i="10"/>
  <c r="S215" i="1"/>
  <c r="T292" i="1"/>
  <c r="D169" i="3"/>
  <c r="D205" i="3"/>
  <c r="B256" i="3"/>
  <c r="B254" i="9" s="1"/>
  <c r="I15" i="10"/>
  <c r="N28" i="10"/>
  <c r="Q28" i="10" s="1"/>
  <c r="L159" i="10"/>
  <c r="J159" i="10" s="1"/>
  <c r="S203" i="1"/>
  <c r="B359" i="1"/>
  <c r="N37" i="10"/>
  <c r="O37" i="10" s="1"/>
  <c r="Q251" i="10"/>
  <c r="I154" i="10"/>
  <c r="I173" i="10"/>
  <c r="J121" i="1"/>
  <c r="I121" i="1"/>
  <c r="R121" i="1"/>
  <c r="I127" i="1"/>
  <c r="J127" i="1"/>
  <c r="R127" i="1"/>
  <c r="Z128" i="8"/>
  <c r="Y128" i="8" s="1"/>
  <c r="X128" i="8" s="1"/>
  <c r="W128" i="8" s="1"/>
  <c r="AC128" i="8"/>
  <c r="AB128" i="8"/>
  <c r="AA128" i="8"/>
  <c r="Z127" i="8"/>
  <c r="Y127" i="8" s="1"/>
  <c r="X127" i="8" s="1"/>
  <c r="W127" i="8" s="1"/>
  <c r="AA127" i="8"/>
  <c r="AC127" i="8"/>
  <c r="AB127" i="8"/>
  <c r="AA130" i="8"/>
  <c r="Z130" i="8"/>
  <c r="Y130" i="8" s="1"/>
  <c r="X130" i="8" s="1"/>
  <c r="W130" i="8" s="1"/>
  <c r="AC130" i="8"/>
  <c r="AB130" i="8"/>
  <c r="Z124" i="8"/>
  <c r="Y124" i="8" s="1"/>
  <c r="X124" i="8" s="1"/>
  <c r="W124" i="8" s="1"/>
  <c r="AC124" i="8"/>
  <c r="AB124" i="8"/>
  <c r="AA124" i="8"/>
  <c r="AA126" i="8"/>
  <c r="Z126" i="8"/>
  <c r="Y126" i="8" s="1"/>
  <c r="X126" i="8" s="1"/>
  <c r="W126" i="8" s="1"/>
  <c r="AB126" i="8"/>
  <c r="AC126" i="8"/>
  <c r="AC129" i="8"/>
  <c r="AA129" i="8"/>
  <c r="AB129" i="8"/>
  <c r="Z129" i="8"/>
  <c r="Y129" i="8" s="1"/>
  <c r="X129" i="8" s="1"/>
  <c r="W129" i="8" s="1"/>
  <c r="U130" i="8"/>
  <c r="U127" i="8"/>
  <c r="U124" i="8"/>
  <c r="U128" i="8"/>
  <c r="U126" i="8"/>
  <c r="U129" i="8"/>
  <c r="A129" i="3"/>
  <c r="P129" i="3" s="1"/>
  <c r="A130" i="3"/>
  <c r="A128" i="3"/>
  <c r="AG128" i="3" s="1"/>
  <c r="A127" i="3"/>
  <c r="I162" i="1"/>
  <c r="I166" i="1"/>
  <c r="I170" i="1"/>
  <c r="I174" i="1"/>
  <c r="I178" i="1"/>
  <c r="I182" i="1"/>
  <c r="I186" i="1"/>
  <c r="I190" i="1"/>
  <c r="I194" i="1"/>
  <c r="I198" i="1"/>
  <c r="I202" i="1"/>
  <c r="I206" i="1"/>
  <c r="I210" i="1"/>
  <c r="I214" i="1"/>
  <c r="I218" i="1"/>
  <c r="I222" i="1"/>
  <c r="I226" i="1"/>
  <c r="I234" i="1"/>
  <c r="I238" i="1"/>
  <c r="I250" i="1"/>
  <c r="I258" i="1"/>
  <c r="I266" i="1"/>
  <c r="I274" i="1"/>
  <c r="I282" i="1"/>
  <c r="I290" i="1"/>
  <c r="I298" i="1"/>
  <c r="I306" i="1"/>
  <c r="I314" i="1"/>
  <c r="I322" i="1"/>
  <c r="I330" i="1"/>
  <c r="I338" i="1"/>
  <c r="I350" i="1"/>
  <c r="I358" i="1"/>
  <c r="J200" i="1"/>
  <c r="J224" i="1"/>
  <c r="J248" i="1"/>
  <c r="J280" i="1"/>
  <c r="J308" i="1"/>
  <c r="J332" i="1"/>
  <c r="J360" i="1"/>
  <c r="J162" i="1"/>
  <c r="J166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330" i="1"/>
  <c r="J334" i="1"/>
  <c r="J338" i="1"/>
  <c r="J342" i="1"/>
  <c r="J346" i="1"/>
  <c r="J350" i="1"/>
  <c r="J354" i="1"/>
  <c r="J358" i="1"/>
  <c r="I223" i="1"/>
  <c r="I235" i="1"/>
  <c r="I243" i="1"/>
  <c r="I251" i="1"/>
  <c r="I259" i="1"/>
  <c r="I263" i="1"/>
  <c r="I271" i="1"/>
  <c r="I279" i="1"/>
  <c r="I287" i="1"/>
  <c r="I295" i="1"/>
  <c r="I303" i="1"/>
  <c r="I311" i="1"/>
  <c r="I319" i="1"/>
  <c r="I327" i="1"/>
  <c r="I335" i="1"/>
  <c r="I343" i="1"/>
  <c r="I347" i="1"/>
  <c r="I355" i="1"/>
  <c r="J180" i="1"/>
  <c r="J204" i="1"/>
  <c r="J220" i="1"/>
  <c r="J244" i="1"/>
  <c r="J268" i="1"/>
  <c r="J292" i="1"/>
  <c r="J316" i="1"/>
  <c r="J340" i="1"/>
  <c r="I133" i="1"/>
  <c r="I135" i="1"/>
  <c r="I139" i="1"/>
  <c r="I143" i="1"/>
  <c r="I147" i="1"/>
  <c r="I151" i="1"/>
  <c r="I155" i="1"/>
  <c r="I159" i="1"/>
  <c r="I163" i="1"/>
  <c r="I167" i="1"/>
  <c r="I171" i="1"/>
  <c r="I175" i="1"/>
  <c r="I179" i="1"/>
  <c r="I183" i="1"/>
  <c r="I187" i="1"/>
  <c r="I191" i="1"/>
  <c r="I195" i="1"/>
  <c r="I199" i="1"/>
  <c r="I203" i="1"/>
  <c r="I207" i="1"/>
  <c r="I211" i="1"/>
  <c r="I215" i="1"/>
  <c r="I219" i="1"/>
  <c r="I227" i="1"/>
  <c r="I231" i="1"/>
  <c r="I239" i="1"/>
  <c r="I247" i="1"/>
  <c r="I255" i="1"/>
  <c r="I267" i="1"/>
  <c r="I275" i="1"/>
  <c r="I283" i="1"/>
  <c r="I291" i="1"/>
  <c r="I299" i="1"/>
  <c r="I307" i="1"/>
  <c r="I315" i="1"/>
  <c r="I323" i="1"/>
  <c r="I331" i="1"/>
  <c r="I339" i="1"/>
  <c r="I351" i="1"/>
  <c r="I359" i="1"/>
  <c r="J188" i="1"/>
  <c r="J212" i="1"/>
  <c r="J236" i="1"/>
  <c r="J252" i="1"/>
  <c r="J276" i="1"/>
  <c r="J304" i="1"/>
  <c r="J336" i="1"/>
  <c r="J356" i="1"/>
  <c r="I157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I272" i="1"/>
  <c r="I284" i="1"/>
  <c r="I292" i="1"/>
  <c r="I300" i="1"/>
  <c r="I308" i="1"/>
  <c r="I316" i="1"/>
  <c r="I324" i="1"/>
  <c r="I332" i="1"/>
  <c r="I340" i="1"/>
  <c r="I348" i="1"/>
  <c r="I356" i="1"/>
  <c r="J164" i="1"/>
  <c r="J172" i="1"/>
  <c r="J184" i="1"/>
  <c r="J196" i="1"/>
  <c r="J216" i="1"/>
  <c r="J240" i="1"/>
  <c r="J260" i="1"/>
  <c r="J284" i="1"/>
  <c r="J300" i="1"/>
  <c r="J324" i="1"/>
  <c r="J348" i="1"/>
  <c r="I160" i="1"/>
  <c r="I164" i="1"/>
  <c r="I168" i="1"/>
  <c r="I172" i="1"/>
  <c r="I176" i="1"/>
  <c r="I180" i="1"/>
  <c r="I184" i="1"/>
  <c r="I188" i="1"/>
  <c r="I192" i="1"/>
  <c r="I196" i="1"/>
  <c r="I200" i="1"/>
  <c r="I204" i="1"/>
  <c r="I208" i="1"/>
  <c r="I212" i="1"/>
  <c r="I216" i="1"/>
  <c r="I220" i="1"/>
  <c r="I224" i="1"/>
  <c r="I228" i="1"/>
  <c r="I232" i="1"/>
  <c r="I236" i="1"/>
  <c r="I240" i="1"/>
  <c r="I244" i="1"/>
  <c r="I248" i="1"/>
  <c r="I252" i="1"/>
  <c r="I256" i="1"/>
  <c r="I260" i="1"/>
  <c r="I264" i="1"/>
  <c r="I268" i="1"/>
  <c r="I276" i="1"/>
  <c r="I280" i="1"/>
  <c r="I288" i="1"/>
  <c r="I296" i="1"/>
  <c r="I304" i="1"/>
  <c r="I312" i="1"/>
  <c r="I320" i="1"/>
  <c r="I328" i="1"/>
  <c r="I336" i="1"/>
  <c r="I344" i="1"/>
  <c r="I352" i="1"/>
  <c r="I360" i="1"/>
  <c r="J160" i="1"/>
  <c r="J168" i="1"/>
  <c r="J176" i="1"/>
  <c r="J192" i="1"/>
  <c r="J208" i="1"/>
  <c r="J232" i="1"/>
  <c r="J256" i="1"/>
  <c r="J272" i="1"/>
  <c r="J296" i="1"/>
  <c r="J320" i="1"/>
  <c r="J344" i="1"/>
  <c r="I149" i="1"/>
  <c r="J133" i="1"/>
  <c r="J149" i="1"/>
  <c r="J157" i="1"/>
  <c r="J161" i="1"/>
  <c r="J165" i="1"/>
  <c r="J169" i="1"/>
  <c r="J173" i="1"/>
  <c r="J177" i="1"/>
  <c r="J181" i="1"/>
  <c r="J185" i="1"/>
  <c r="J189" i="1"/>
  <c r="J193" i="1"/>
  <c r="J197" i="1"/>
  <c r="J201" i="1"/>
  <c r="J205" i="1"/>
  <c r="J209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349" i="1"/>
  <c r="J353" i="1"/>
  <c r="J357" i="1"/>
  <c r="J361" i="1"/>
  <c r="I230" i="1"/>
  <c r="I242" i="1"/>
  <c r="I246" i="1"/>
  <c r="I254" i="1"/>
  <c r="I262" i="1"/>
  <c r="I270" i="1"/>
  <c r="I278" i="1"/>
  <c r="I286" i="1"/>
  <c r="I294" i="1"/>
  <c r="I302" i="1"/>
  <c r="I310" i="1"/>
  <c r="I318" i="1"/>
  <c r="I326" i="1"/>
  <c r="I334" i="1"/>
  <c r="I342" i="1"/>
  <c r="I346" i="1"/>
  <c r="I354" i="1"/>
  <c r="J228" i="1"/>
  <c r="J264" i="1"/>
  <c r="J288" i="1"/>
  <c r="J312" i="1"/>
  <c r="J328" i="1"/>
  <c r="J352" i="1"/>
  <c r="I177" i="1"/>
  <c r="I305" i="1"/>
  <c r="I201" i="1"/>
  <c r="I181" i="1"/>
  <c r="I213" i="1"/>
  <c r="I245" i="1"/>
  <c r="I277" i="1"/>
  <c r="I309" i="1"/>
  <c r="I341" i="1"/>
  <c r="I345" i="1"/>
  <c r="I253" i="1"/>
  <c r="I317" i="1"/>
  <c r="I293" i="1"/>
  <c r="I329" i="1"/>
  <c r="I185" i="1"/>
  <c r="I217" i="1"/>
  <c r="I249" i="1"/>
  <c r="I281" i="1"/>
  <c r="I313" i="1"/>
  <c r="I221" i="1"/>
  <c r="I285" i="1"/>
  <c r="I349" i="1"/>
  <c r="I261" i="1"/>
  <c r="I265" i="1"/>
  <c r="I189" i="1"/>
  <c r="I197" i="1"/>
  <c r="I325" i="1"/>
  <c r="I297" i="1"/>
  <c r="I161" i="1"/>
  <c r="I193" i="1"/>
  <c r="I225" i="1"/>
  <c r="I257" i="1"/>
  <c r="I289" i="1"/>
  <c r="I321" i="1"/>
  <c r="I353" i="1"/>
  <c r="I165" i="1"/>
  <c r="I229" i="1"/>
  <c r="I357" i="1"/>
  <c r="I233" i="1"/>
  <c r="I173" i="1"/>
  <c r="I205" i="1"/>
  <c r="I237" i="1"/>
  <c r="I269" i="1"/>
  <c r="I301" i="1"/>
  <c r="I333" i="1"/>
  <c r="I209" i="1"/>
  <c r="I241" i="1"/>
  <c r="I273" i="1"/>
  <c r="I337" i="1"/>
  <c r="I169" i="1"/>
  <c r="I361" i="1"/>
  <c r="R168" i="1"/>
  <c r="R184" i="1"/>
  <c r="R200" i="1"/>
  <c r="R216" i="1"/>
  <c r="R232" i="1"/>
  <c r="R248" i="1"/>
  <c r="R264" i="1"/>
  <c r="R280" i="1"/>
  <c r="R296" i="1"/>
  <c r="R312" i="1"/>
  <c r="R328" i="1"/>
  <c r="R344" i="1"/>
  <c r="R360" i="1"/>
  <c r="R266" i="1"/>
  <c r="R298" i="1"/>
  <c r="R330" i="1"/>
  <c r="R157" i="1"/>
  <c r="R205" i="1"/>
  <c r="R245" i="1"/>
  <c r="R293" i="1"/>
  <c r="R341" i="1"/>
  <c r="R254" i="1"/>
  <c r="R310" i="1"/>
  <c r="R350" i="1"/>
  <c r="R161" i="1"/>
  <c r="R169" i="1"/>
  <c r="R177" i="1"/>
  <c r="R185" i="1"/>
  <c r="R193" i="1"/>
  <c r="R201" i="1"/>
  <c r="R209" i="1"/>
  <c r="R217" i="1"/>
  <c r="R225" i="1"/>
  <c r="R233" i="1"/>
  <c r="R241" i="1"/>
  <c r="R249" i="1"/>
  <c r="R257" i="1"/>
  <c r="R265" i="1"/>
  <c r="R273" i="1"/>
  <c r="R281" i="1"/>
  <c r="R289" i="1"/>
  <c r="R297" i="1"/>
  <c r="R305" i="1"/>
  <c r="R313" i="1"/>
  <c r="R321" i="1"/>
  <c r="R329" i="1"/>
  <c r="R337" i="1"/>
  <c r="R345" i="1"/>
  <c r="R353" i="1"/>
  <c r="R274" i="1"/>
  <c r="R314" i="1"/>
  <c r="R346" i="1"/>
  <c r="R347" i="1"/>
  <c r="R276" i="1"/>
  <c r="R324" i="1"/>
  <c r="R133" i="1"/>
  <c r="R149" i="1"/>
  <c r="R173" i="1"/>
  <c r="R197" i="1"/>
  <c r="R229" i="1"/>
  <c r="R269" i="1"/>
  <c r="R309" i="1"/>
  <c r="R357" i="1"/>
  <c r="R214" i="1"/>
  <c r="R286" i="1"/>
  <c r="R334" i="1"/>
  <c r="R162" i="1"/>
  <c r="R170" i="1"/>
  <c r="R178" i="1"/>
  <c r="R186" i="1"/>
  <c r="R194" i="1"/>
  <c r="R202" i="1"/>
  <c r="R210" i="1"/>
  <c r="R218" i="1"/>
  <c r="R226" i="1"/>
  <c r="Q226" i="1" s="1"/>
  <c r="P226" i="1" s="1"/>
  <c r="O226" i="1" s="1"/>
  <c r="N226" i="1" s="1"/>
  <c r="M226" i="1" s="1"/>
  <c r="R234" i="1"/>
  <c r="R242" i="1"/>
  <c r="R250" i="1"/>
  <c r="R258" i="1"/>
  <c r="R290" i="1"/>
  <c r="R322" i="1"/>
  <c r="R354" i="1"/>
  <c r="R308" i="1"/>
  <c r="R348" i="1"/>
  <c r="R317" i="1"/>
  <c r="R222" i="1"/>
  <c r="R294" i="1"/>
  <c r="R342" i="1"/>
  <c r="R155" i="1"/>
  <c r="R163" i="1"/>
  <c r="R171" i="1"/>
  <c r="R179" i="1"/>
  <c r="R187" i="1"/>
  <c r="R195" i="1"/>
  <c r="Q195" i="1" s="1"/>
  <c r="P195" i="1" s="1"/>
  <c r="O195" i="1" s="1"/>
  <c r="N195" i="1" s="1"/>
  <c r="M195" i="1" s="1"/>
  <c r="R203" i="1"/>
  <c r="R211" i="1"/>
  <c r="R219" i="1"/>
  <c r="R227" i="1"/>
  <c r="R235" i="1"/>
  <c r="R243" i="1"/>
  <c r="Q243" i="1" s="1"/>
  <c r="P243" i="1" s="1"/>
  <c r="O243" i="1" s="1"/>
  <c r="N243" i="1" s="1"/>
  <c r="M243" i="1" s="1"/>
  <c r="R251" i="1"/>
  <c r="R259" i="1"/>
  <c r="R267" i="1"/>
  <c r="R275" i="1"/>
  <c r="R283" i="1"/>
  <c r="R291" i="1"/>
  <c r="R299" i="1"/>
  <c r="R307" i="1"/>
  <c r="Q307" i="1" s="1"/>
  <c r="P307" i="1" s="1"/>
  <c r="O307" i="1" s="1"/>
  <c r="N307" i="1" s="1"/>
  <c r="M307" i="1" s="1"/>
  <c r="R315" i="1"/>
  <c r="R323" i="1"/>
  <c r="Q323" i="1" s="1"/>
  <c r="P323" i="1" s="1"/>
  <c r="O323" i="1" s="1"/>
  <c r="N323" i="1" s="1"/>
  <c r="M323" i="1" s="1"/>
  <c r="R331" i="1"/>
  <c r="R355" i="1"/>
  <c r="R284" i="1"/>
  <c r="R340" i="1"/>
  <c r="R261" i="1"/>
  <c r="R301" i="1"/>
  <c r="R349" i="1"/>
  <c r="R174" i="1"/>
  <c r="R190" i="1"/>
  <c r="R230" i="1"/>
  <c r="R262" i="1"/>
  <c r="R302" i="1"/>
  <c r="R358" i="1"/>
  <c r="R164" i="1"/>
  <c r="R172" i="1"/>
  <c r="R180" i="1"/>
  <c r="R188" i="1"/>
  <c r="R196" i="1"/>
  <c r="R204" i="1"/>
  <c r="R212" i="1"/>
  <c r="R220" i="1"/>
  <c r="R228" i="1"/>
  <c r="R236" i="1"/>
  <c r="R244" i="1"/>
  <c r="R252" i="1"/>
  <c r="R260" i="1"/>
  <c r="R292" i="1"/>
  <c r="R316" i="1"/>
  <c r="R356" i="1"/>
  <c r="R165" i="1"/>
  <c r="R189" i="1"/>
  <c r="R221" i="1"/>
  <c r="R253" i="1"/>
  <c r="R285" i="1"/>
  <c r="R325" i="1"/>
  <c r="R198" i="1"/>
  <c r="R238" i="1"/>
  <c r="R278" i="1"/>
  <c r="R318" i="1"/>
  <c r="R135" i="1"/>
  <c r="R151" i="1"/>
  <c r="R159" i="1"/>
  <c r="R167" i="1"/>
  <c r="Q167" i="1" s="1"/>
  <c r="P167" i="1" s="1"/>
  <c r="O167" i="1" s="1"/>
  <c r="N167" i="1" s="1"/>
  <c r="M167" i="1" s="1"/>
  <c r="R175" i="1"/>
  <c r="R183" i="1"/>
  <c r="R191" i="1"/>
  <c r="R199" i="1"/>
  <c r="Q199" i="1" s="1"/>
  <c r="P199" i="1" s="1"/>
  <c r="O199" i="1" s="1"/>
  <c r="N199" i="1" s="1"/>
  <c r="M199" i="1" s="1"/>
  <c r="R207" i="1"/>
  <c r="R215" i="1"/>
  <c r="R223" i="1"/>
  <c r="Q223" i="1" s="1"/>
  <c r="P223" i="1" s="1"/>
  <c r="O223" i="1" s="1"/>
  <c r="N223" i="1" s="1"/>
  <c r="M223" i="1" s="1"/>
  <c r="R231" i="1"/>
  <c r="Q231" i="1" s="1"/>
  <c r="P231" i="1" s="1"/>
  <c r="O231" i="1" s="1"/>
  <c r="N231" i="1" s="1"/>
  <c r="M231" i="1" s="1"/>
  <c r="R239" i="1"/>
  <c r="R247" i="1"/>
  <c r="R255" i="1"/>
  <c r="R263" i="1"/>
  <c r="Q263" i="1" s="1"/>
  <c r="P263" i="1" s="1"/>
  <c r="O263" i="1" s="1"/>
  <c r="N263" i="1" s="1"/>
  <c r="M263" i="1" s="1"/>
  <c r="R271" i="1"/>
  <c r="R279" i="1"/>
  <c r="R287" i="1"/>
  <c r="Q287" i="1" s="1"/>
  <c r="P287" i="1" s="1"/>
  <c r="O287" i="1" s="1"/>
  <c r="N287" i="1" s="1"/>
  <c r="M287" i="1" s="1"/>
  <c r="R295" i="1"/>
  <c r="Q295" i="1" s="1"/>
  <c r="P295" i="1" s="1"/>
  <c r="O295" i="1" s="1"/>
  <c r="N295" i="1" s="1"/>
  <c r="M295" i="1" s="1"/>
  <c r="R303" i="1"/>
  <c r="R311" i="1"/>
  <c r="R319" i="1"/>
  <c r="R327" i="1"/>
  <c r="Q327" i="1" s="1"/>
  <c r="P327" i="1" s="1"/>
  <c r="O327" i="1" s="1"/>
  <c r="N327" i="1" s="1"/>
  <c r="M327" i="1" s="1"/>
  <c r="R335" i="1"/>
  <c r="R343" i="1"/>
  <c r="R351" i="1"/>
  <c r="R359" i="1"/>
  <c r="Q359" i="1" s="1"/>
  <c r="P359" i="1" s="1"/>
  <c r="O359" i="1" s="1"/>
  <c r="N359" i="1" s="1"/>
  <c r="M359" i="1" s="1"/>
  <c r="R160" i="1"/>
  <c r="R176" i="1"/>
  <c r="R192" i="1"/>
  <c r="R208" i="1"/>
  <c r="R224" i="1"/>
  <c r="R240" i="1"/>
  <c r="R256" i="1"/>
  <c r="R272" i="1"/>
  <c r="R288" i="1"/>
  <c r="R304" i="1"/>
  <c r="R320" i="1"/>
  <c r="R336" i="1"/>
  <c r="R352" i="1"/>
  <c r="R361" i="1"/>
  <c r="R282" i="1"/>
  <c r="R306" i="1"/>
  <c r="R338" i="1"/>
  <c r="R339" i="1"/>
  <c r="R268" i="1"/>
  <c r="R300" i="1"/>
  <c r="R332" i="1"/>
  <c r="R181" i="1"/>
  <c r="R213" i="1"/>
  <c r="R237" i="1"/>
  <c r="R277" i="1"/>
  <c r="Q277" i="1" s="1"/>
  <c r="P277" i="1" s="1"/>
  <c r="O277" i="1" s="1"/>
  <c r="N277" i="1" s="1"/>
  <c r="M277" i="1" s="1"/>
  <c r="R333" i="1"/>
  <c r="R166" i="1"/>
  <c r="R182" i="1"/>
  <c r="R206" i="1"/>
  <c r="R246" i="1"/>
  <c r="R270" i="1"/>
  <c r="R326" i="1"/>
  <c r="U222" i="1"/>
  <c r="U176" i="1"/>
  <c r="U195" i="1"/>
  <c r="S205" i="1"/>
  <c r="T176" i="1"/>
  <c r="W218" i="1"/>
  <c r="U267" i="1"/>
  <c r="T239" i="1"/>
  <c r="V242" i="1"/>
  <c r="S248" i="1"/>
  <c r="S320" i="1"/>
  <c r="W348" i="1"/>
  <c r="T168" i="1"/>
  <c r="S201" i="1"/>
  <c r="S213" i="1"/>
  <c r="B219" i="1"/>
  <c r="V234" i="1"/>
  <c r="B239" i="1"/>
  <c r="W243" i="1"/>
  <c r="T253" i="1"/>
  <c r="B263" i="1"/>
  <c r="T267" i="1"/>
  <c r="B272" i="1"/>
  <c r="T275" i="1"/>
  <c r="B280" i="1"/>
  <c r="S303" i="1"/>
  <c r="U311" i="1"/>
  <c r="T315" i="1"/>
  <c r="W330" i="1"/>
  <c r="B335" i="1"/>
  <c r="S336" i="1"/>
  <c r="S339" i="1"/>
  <c r="S343" i="1"/>
  <c r="B348" i="1"/>
  <c r="S356" i="1"/>
  <c r="T186" i="1"/>
  <c r="U160" i="1"/>
  <c r="T164" i="1"/>
  <c r="U168" i="1"/>
  <c r="U192" i="1"/>
  <c r="V196" i="1"/>
  <c r="W201" i="1"/>
  <c r="S204" i="1"/>
  <c r="S209" i="1"/>
  <c r="W213" i="1"/>
  <c r="U216" i="1"/>
  <c r="B236" i="1"/>
  <c r="S239" i="1"/>
  <c r="V250" i="1"/>
  <c r="V258" i="1"/>
  <c r="V267" i="1"/>
  <c r="B271" i="1"/>
  <c r="S272" i="1"/>
  <c r="U275" i="1"/>
  <c r="U279" i="1"/>
  <c r="S280" i="1"/>
  <c r="T289" i="1"/>
  <c r="V291" i="1"/>
  <c r="B296" i="1"/>
  <c r="T303" i="1"/>
  <c r="V315" i="1"/>
  <c r="W326" i="1"/>
  <c r="B332" i="1"/>
  <c r="S335" i="1"/>
  <c r="T336" i="1"/>
  <c r="T339" i="1"/>
  <c r="V340" i="1"/>
  <c r="T343" i="1"/>
  <c r="S348" i="1"/>
  <c r="U353" i="1"/>
  <c r="T356" i="1"/>
  <c r="V360" i="1"/>
  <c r="W205" i="1"/>
  <c r="B229" i="1"/>
  <c r="T192" i="1"/>
  <c r="B204" i="1"/>
  <c r="T160" i="1"/>
  <c r="U164" i="1"/>
  <c r="V168" i="1"/>
  <c r="V173" i="1"/>
  <c r="T178" i="1"/>
  <c r="T184" i="1"/>
  <c r="U188" i="1"/>
  <c r="W202" i="1"/>
  <c r="U204" i="1"/>
  <c r="B207" i="1"/>
  <c r="V216" i="1"/>
  <c r="B221" i="1"/>
  <c r="B224" i="1"/>
  <c r="U226" i="1"/>
  <c r="U231" i="1"/>
  <c r="S236" i="1"/>
  <c r="U239" i="1"/>
  <c r="T245" i="1"/>
  <c r="B255" i="1"/>
  <c r="W267" i="1"/>
  <c r="S271" i="1"/>
  <c r="T272" i="1"/>
  <c r="V275" i="1"/>
  <c r="W291" i="1"/>
  <c r="W295" i="1"/>
  <c r="S296" i="1"/>
  <c r="T312" i="1"/>
  <c r="S332" i="1"/>
  <c r="T335" i="1"/>
  <c r="V336" i="1"/>
  <c r="U339" i="1"/>
  <c r="W340" i="1"/>
  <c r="V348" i="1"/>
  <c r="B360" i="1"/>
  <c r="S256" i="1"/>
  <c r="W195" i="1"/>
  <c r="W262" i="1"/>
  <c r="V280" i="1"/>
  <c r="V164" i="1"/>
  <c r="V204" i="1"/>
  <c r="S207" i="1"/>
  <c r="U224" i="1"/>
  <c r="V231" i="1"/>
  <c r="V239" i="1"/>
  <c r="S251" i="1"/>
  <c r="T255" i="1"/>
  <c r="W259" i="1"/>
  <c r="T271" i="1"/>
  <c r="V272" i="1"/>
  <c r="V276" i="1"/>
  <c r="W290" i="1"/>
  <c r="B295" i="1"/>
  <c r="T296" i="1"/>
  <c r="V304" i="1"/>
  <c r="B312" i="1"/>
  <c r="B324" i="1"/>
  <c r="B327" i="1"/>
  <c r="S328" i="1"/>
  <c r="T332" i="1"/>
  <c r="U335" i="1"/>
  <c r="W336" i="1"/>
  <c r="W344" i="1"/>
  <c r="V347" i="1"/>
  <c r="B354" i="1"/>
  <c r="T360" i="1"/>
  <c r="W266" i="1"/>
  <c r="U271" i="1"/>
  <c r="V296" i="1"/>
  <c r="V332" i="1"/>
  <c r="V335" i="1"/>
  <c r="W360" i="1"/>
  <c r="V161" i="1"/>
  <c r="T166" i="1"/>
  <c r="T190" i="1"/>
  <c r="T195" i="1"/>
  <c r="W199" i="1"/>
  <c r="T203" i="1"/>
  <c r="B205" i="1"/>
  <c r="U207" i="1"/>
  <c r="S211" i="1"/>
  <c r="U212" i="1"/>
  <c r="T215" i="1"/>
  <c r="U218" i="1"/>
  <c r="B223" i="1"/>
  <c r="B228" i="1"/>
  <c r="S232" i="1"/>
  <c r="B247" i="1"/>
  <c r="W251" i="1"/>
  <c r="W255" i="1"/>
  <c r="U266" i="1"/>
  <c r="T269" i="1"/>
  <c r="V271" i="1"/>
  <c r="T276" i="1"/>
  <c r="V279" i="1"/>
  <c r="B291" i="1"/>
  <c r="T295" i="1"/>
  <c r="W302" i="1"/>
  <c r="W310" i="1"/>
  <c r="W318" i="1"/>
  <c r="W335" i="1"/>
  <c r="B340" i="1"/>
  <c r="W342" i="1"/>
  <c r="W350" i="1"/>
  <c r="V359" i="1"/>
  <c r="W361" i="1"/>
  <c r="V303" i="1"/>
  <c r="V311" i="1"/>
  <c r="W339" i="1"/>
  <c r="V343" i="1"/>
  <c r="A171" i="2"/>
  <c r="B171" i="2" s="1"/>
  <c r="U214" i="1"/>
  <c r="W214" i="1"/>
  <c r="S219" i="1"/>
  <c r="W219" i="1"/>
  <c r="V219" i="1"/>
  <c r="T219" i="1"/>
  <c r="U219" i="1"/>
  <c r="V259" i="1"/>
  <c r="B259" i="1"/>
  <c r="U259" i="1"/>
  <c r="T259" i="1"/>
  <c r="S259" i="1"/>
  <c r="A322" i="2"/>
  <c r="J322" i="2" s="1"/>
  <c r="A326" i="2"/>
  <c r="C326" i="2" s="1"/>
  <c r="A330" i="2"/>
  <c r="C330" i="2" s="1"/>
  <c r="A334" i="2"/>
  <c r="C334" i="2" s="1"/>
  <c r="W334" i="1"/>
  <c r="A143" i="2"/>
  <c r="J143" i="2" s="1"/>
  <c r="W222" i="1"/>
  <c r="V263" i="1"/>
  <c r="W263" i="1"/>
  <c r="U263" i="1"/>
  <c r="S263" i="1"/>
  <c r="T263" i="1"/>
  <c r="A172" i="2"/>
  <c r="B172" i="2" s="1"/>
  <c r="U172" i="1"/>
  <c r="A175" i="2"/>
  <c r="J175" i="2" s="1"/>
  <c r="A180" i="2"/>
  <c r="C180" i="2" s="1"/>
  <c r="T180" i="1"/>
  <c r="V180" i="1"/>
  <c r="U180" i="1"/>
  <c r="V200" i="1"/>
  <c r="S200" i="1"/>
  <c r="U200" i="1"/>
  <c r="W206" i="1"/>
  <c r="W227" i="1"/>
  <c r="S227" i="1"/>
  <c r="V227" i="1"/>
  <c r="T227" i="1"/>
  <c r="U227" i="1"/>
  <c r="W230" i="1"/>
  <c r="T244" i="1"/>
  <c r="S244" i="1"/>
  <c r="S264" i="1"/>
  <c r="T264" i="1"/>
  <c r="V264" i="1"/>
  <c r="A288" i="2"/>
  <c r="J288" i="2" s="1"/>
  <c r="T288" i="1"/>
  <c r="S288" i="1"/>
  <c r="B288" i="1"/>
  <c r="V288" i="1"/>
  <c r="A306" i="2"/>
  <c r="B306" i="2" s="1"/>
  <c r="W306" i="1"/>
  <c r="A165" i="2"/>
  <c r="J165" i="2" s="1"/>
  <c r="T172" i="1"/>
  <c r="W193" i="1"/>
  <c r="B200" i="1"/>
  <c r="B208" i="1"/>
  <c r="V208" i="1"/>
  <c r="U208" i="1"/>
  <c r="S208" i="1"/>
  <c r="W217" i="1"/>
  <c r="S217" i="1"/>
  <c r="S220" i="1"/>
  <c r="U220" i="1"/>
  <c r="V220" i="1"/>
  <c r="B227" i="1"/>
  <c r="T260" i="1"/>
  <c r="S260" i="1"/>
  <c r="B264" i="1"/>
  <c r="A307" i="2"/>
  <c r="C307" i="2" s="1"/>
  <c r="B307" i="1"/>
  <c r="W307" i="1"/>
  <c r="U307" i="1"/>
  <c r="T307" i="1"/>
  <c r="S307" i="1"/>
  <c r="V307" i="1"/>
  <c r="A133" i="2"/>
  <c r="C133" i="2" s="1"/>
  <c r="A155" i="2"/>
  <c r="J155" i="2" s="1"/>
  <c r="A162" i="2"/>
  <c r="B162" i="2" s="1"/>
  <c r="T162" i="1"/>
  <c r="V165" i="1"/>
  <c r="V172" i="1"/>
  <c r="A185" i="2"/>
  <c r="J185" i="2" s="1"/>
  <c r="A189" i="2"/>
  <c r="C189" i="2" s="1"/>
  <c r="V189" i="1"/>
  <c r="W194" i="1"/>
  <c r="U206" i="1"/>
  <c r="B209" i="1"/>
  <c r="W209" i="1"/>
  <c r="B217" i="1"/>
  <c r="B220" i="1"/>
  <c r="U230" i="1"/>
  <c r="T240" i="1"/>
  <c r="B240" i="1"/>
  <c r="S240" i="1"/>
  <c r="W249" i="1"/>
  <c r="T249" i="1"/>
  <c r="A319" i="2"/>
  <c r="J319" i="2" s="1"/>
  <c r="V319" i="1"/>
  <c r="T319" i="1"/>
  <c r="B319" i="1"/>
  <c r="W319" i="1"/>
  <c r="A135" i="2"/>
  <c r="C135" i="2" s="1"/>
  <c r="A157" i="2"/>
  <c r="J157" i="2" s="1"/>
  <c r="A182" i="2"/>
  <c r="J182" i="2" s="1"/>
  <c r="T182" i="1"/>
  <c r="V185" i="1"/>
  <c r="U234" i="1"/>
  <c r="V238" i="1"/>
  <c r="W253" i="1"/>
  <c r="S319" i="1"/>
  <c r="A139" i="2"/>
  <c r="B139" i="2" s="1"/>
  <c r="A159" i="2"/>
  <c r="J159" i="2" s="1"/>
  <c r="A163" i="2"/>
  <c r="J163" i="2" s="1"/>
  <c r="A178" i="2"/>
  <c r="J178" i="2" s="1"/>
  <c r="U242" i="1"/>
  <c r="V247" i="1"/>
  <c r="S247" i="1"/>
  <c r="W247" i="1"/>
  <c r="T247" i="1"/>
  <c r="U247" i="1"/>
  <c r="A299" i="2"/>
  <c r="J299" i="2" s="1"/>
  <c r="S299" i="1"/>
  <c r="B299" i="1"/>
  <c r="W299" i="1"/>
  <c r="V299" i="1"/>
  <c r="T299" i="1"/>
  <c r="U299" i="1"/>
  <c r="U319" i="1"/>
  <c r="V243" i="1"/>
  <c r="B243" i="1"/>
  <c r="U243" i="1"/>
  <c r="T243" i="1"/>
  <c r="S243" i="1"/>
  <c r="A316" i="2"/>
  <c r="C316" i="2" s="1"/>
  <c r="V316" i="1"/>
  <c r="S316" i="1"/>
  <c r="B316" i="1"/>
  <c r="T316" i="1"/>
  <c r="U199" i="1"/>
  <c r="B199" i="1"/>
  <c r="V199" i="1"/>
  <c r="T199" i="1"/>
  <c r="S199" i="1"/>
  <c r="U254" i="1"/>
  <c r="V254" i="1"/>
  <c r="U258" i="1"/>
  <c r="S268" i="1"/>
  <c r="B268" i="1"/>
  <c r="V268" i="1"/>
  <c r="T268" i="1"/>
  <c r="A283" i="2"/>
  <c r="B283" i="2" s="1"/>
  <c r="W283" i="1"/>
  <c r="U283" i="1"/>
  <c r="T283" i="1"/>
  <c r="B283" i="1"/>
  <c r="V283" i="1"/>
  <c r="S283" i="1"/>
  <c r="A294" i="2"/>
  <c r="B294" i="2" s="1"/>
  <c r="W294" i="1"/>
  <c r="A121" i="2"/>
  <c r="J121" i="2" s="1"/>
  <c r="A164" i="2"/>
  <c r="J164" i="2" s="1"/>
  <c r="A170" i="2"/>
  <c r="B170" i="2" s="1"/>
  <c r="A173" i="2"/>
  <c r="J173" i="2" s="1"/>
  <c r="A184" i="2"/>
  <c r="J184" i="2" s="1"/>
  <c r="A187" i="2"/>
  <c r="J187" i="2" s="1"/>
  <c r="S216" i="1"/>
  <c r="B216" i="1"/>
  <c r="W226" i="1"/>
  <c r="T252" i="1"/>
  <c r="W275" i="1"/>
  <c r="S276" i="1"/>
  <c r="A287" i="2"/>
  <c r="J287" i="2" s="1"/>
  <c r="V287" i="1"/>
  <c r="T287" i="1"/>
  <c r="S287" i="1"/>
  <c r="A300" i="2"/>
  <c r="J300" i="2" s="1"/>
  <c r="S300" i="1"/>
  <c r="B300" i="1"/>
  <c r="A308" i="2"/>
  <c r="B308" i="2" s="1"/>
  <c r="B308" i="1"/>
  <c r="V308" i="1"/>
  <c r="T308" i="1"/>
  <c r="A314" i="2"/>
  <c r="B314" i="2" s="1"/>
  <c r="W314" i="1"/>
  <c r="A351" i="2"/>
  <c r="C351" i="2" s="1"/>
  <c r="V351" i="1"/>
  <c r="U351" i="1"/>
  <c r="T351" i="1"/>
  <c r="B351" i="1"/>
  <c r="S351" i="1"/>
  <c r="A357" i="2"/>
  <c r="J357" i="2" s="1"/>
  <c r="W357" i="1"/>
  <c r="S357" i="1"/>
  <c r="U223" i="1"/>
  <c r="B231" i="1"/>
  <c r="W245" i="1"/>
  <c r="U250" i="1"/>
  <c r="V255" i="1"/>
  <c r="A320" i="2"/>
  <c r="B320" i="2" s="1"/>
  <c r="T320" i="1"/>
  <c r="B320" i="1"/>
  <c r="A127" i="2"/>
  <c r="J127" i="2" s="1"/>
  <c r="A149" i="2"/>
  <c r="C149" i="2" s="1"/>
  <c r="A167" i="2"/>
  <c r="C167" i="2" s="1"/>
  <c r="A177" i="2"/>
  <c r="J177" i="2" s="1"/>
  <c r="A188" i="2"/>
  <c r="J188" i="2" s="1"/>
  <c r="A191" i="2"/>
  <c r="J191" i="2" s="1"/>
  <c r="S195" i="1"/>
  <c r="V203" i="1"/>
  <c r="U210" i="1"/>
  <c r="B215" i="1"/>
  <c r="S229" i="1"/>
  <c r="S231" i="1"/>
  <c r="W233" i="1"/>
  <c r="W241" i="1"/>
  <c r="U246" i="1"/>
  <c r="V251" i="1"/>
  <c r="W257" i="1"/>
  <c r="T261" i="1"/>
  <c r="A315" i="2"/>
  <c r="C315" i="2" s="1"/>
  <c r="W315" i="1"/>
  <c r="U315" i="1"/>
  <c r="S315" i="1"/>
  <c r="V320" i="1"/>
  <c r="A131" i="2"/>
  <c r="C131" i="2" s="1"/>
  <c r="A151" i="2"/>
  <c r="J151" i="2" s="1"/>
  <c r="A161" i="2"/>
  <c r="B161" i="2" s="1"/>
  <c r="A168" i="2"/>
  <c r="C168" i="2" s="1"/>
  <c r="A174" i="2"/>
  <c r="J174" i="2" s="1"/>
  <c r="V177" i="1"/>
  <c r="A181" i="2"/>
  <c r="J181" i="2" s="1"/>
  <c r="T188" i="1"/>
  <c r="A192" i="2"/>
  <c r="J192" i="2" s="1"/>
  <c r="V192" i="1"/>
  <c r="B195" i="1"/>
  <c r="W197" i="1"/>
  <c r="B201" i="1"/>
  <c r="B203" i="1"/>
  <c r="W210" i="1"/>
  <c r="B213" i="1"/>
  <c r="S221" i="1"/>
  <c r="S223" i="1"/>
  <c r="S228" i="1"/>
  <c r="W229" i="1"/>
  <c r="T231" i="1"/>
  <c r="T233" i="1"/>
  <c r="W237" i="1"/>
  <c r="T241" i="1"/>
  <c r="V246" i="1"/>
  <c r="T248" i="1"/>
  <c r="B251" i="1"/>
  <c r="S252" i="1"/>
  <c r="S255" i="1"/>
  <c r="T257" i="1"/>
  <c r="S275" i="1"/>
  <c r="A284" i="2"/>
  <c r="J284" i="2" s="1"/>
  <c r="V284" i="1"/>
  <c r="T284" i="1"/>
  <c r="T300" i="1"/>
  <c r="S308" i="1"/>
  <c r="B315" i="1"/>
  <c r="W351" i="1"/>
  <c r="A352" i="2"/>
  <c r="C352" i="2" s="1"/>
  <c r="W352" i="1"/>
  <c r="V352" i="1"/>
  <c r="U352" i="1"/>
  <c r="S352" i="1"/>
  <c r="B352" i="1"/>
  <c r="A358" i="2"/>
  <c r="C358" i="2" s="1"/>
  <c r="W358" i="1"/>
  <c r="V358" i="1"/>
  <c r="A338" i="2"/>
  <c r="C338" i="2" s="1"/>
  <c r="W338" i="1"/>
  <c r="T352" i="1"/>
  <c r="A353" i="2"/>
  <c r="B353" i="2" s="1"/>
  <c r="W353" i="1"/>
  <c r="V353" i="1"/>
  <c r="T353" i="1"/>
  <c r="S353" i="1"/>
  <c r="A160" i="2"/>
  <c r="J160" i="2" s="1"/>
  <c r="A166" i="2"/>
  <c r="C166" i="2" s="1"/>
  <c r="A169" i="2"/>
  <c r="J169" i="2" s="1"/>
  <c r="A176" i="2"/>
  <c r="J176" i="2" s="1"/>
  <c r="V176" i="1"/>
  <c r="A179" i="2"/>
  <c r="J179" i="2" s="1"/>
  <c r="A186" i="2"/>
  <c r="J186" i="2" s="1"/>
  <c r="A190" i="2"/>
  <c r="C190" i="2" s="1"/>
  <c r="V195" i="1"/>
  <c r="U202" i="1"/>
  <c r="U203" i="1"/>
  <c r="W207" i="1"/>
  <c r="V215" i="1"/>
  <c r="S224" i="1"/>
  <c r="V228" i="1"/>
  <c r="T232" i="1"/>
  <c r="B232" i="1"/>
  <c r="W239" i="1"/>
  <c r="U251" i="1"/>
  <c r="T256" i="1"/>
  <c r="S267" i="1"/>
  <c r="W270" i="1"/>
  <c r="A276" i="2"/>
  <c r="J276" i="2" s="1"/>
  <c r="T285" i="1"/>
  <c r="B353" i="1"/>
  <c r="A183" i="2"/>
  <c r="B183" i="2" s="1"/>
  <c r="T236" i="1"/>
  <c r="A271" i="2"/>
  <c r="C271" i="2" s="1"/>
  <c r="A291" i="2"/>
  <c r="C291" i="2" s="1"/>
  <c r="A292" i="2"/>
  <c r="C292" i="2" s="1"/>
  <c r="A298" i="2"/>
  <c r="J298" i="2" s="1"/>
  <c r="U303" i="1"/>
  <c r="S311" i="1"/>
  <c r="S312" i="1"/>
  <c r="A323" i="2"/>
  <c r="C323" i="2" s="1"/>
  <c r="A324" i="2"/>
  <c r="C324" i="2" s="1"/>
  <c r="A327" i="2"/>
  <c r="C327" i="2" s="1"/>
  <c r="A328" i="2"/>
  <c r="C328" i="2" s="1"/>
  <c r="A331" i="2"/>
  <c r="J331" i="2" s="1"/>
  <c r="A332" i="2"/>
  <c r="B332" i="2" s="1"/>
  <c r="A335" i="2"/>
  <c r="C335" i="2" s="1"/>
  <c r="A336" i="2"/>
  <c r="B336" i="2" s="1"/>
  <c r="U343" i="1"/>
  <c r="V344" i="1"/>
  <c r="S347" i="1"/>
  <c r="T348" i="1"/>
  <c r="S359" i="1"/>
  <c r="U360" i="1"/>
  <c r="T281" i="1"/>
  <c r="A295" i="2"/>
  <c r="B295" i="2" s="1"/>
  <c r="A296" i="2"/>
  <c r="C296" i="2" s="1"/>
  <c r="A302" i="2"/>
  <c r="J302" i="2" s="1"/>
  <c r="T311" i="1"/>
  <c r="A339" i="2"/>
  <c r="B339" i="2" s="1"/>
  <c r="A340" i="2"/>
  <c r="C340" i="2" s="1"/>
  <c r="A342" i="2"/>
  <c r="C342" i="2" s="1"/>
  <c r="T347" i="1"/>
  <c r="U348" i="1"/>
  <c r="A356" i="2"/>
  <c r="C356" i="2" s="1"/>
  <c r="T359" i="1"/>
  <c r="A279" i="2"/>
  <c r="C279" i="2" s="1"/>
  <c r="W282" i="1"/>
  <c r="A303" i="2"/>
  <c r="B303" i="2" s="1"/>
  <c r="A304" i="2"/>
  <c r="C304" i="2" s="1"/>
  <c r="A310" i="2"/>
  <c r="J310" i="2" s="1"/>
  <c r="A343" i="2"/>
  <c r="J343" i="2" s="1"/>
  <c r="A344" i="2"/>
  <c r="B344" i="2" s="1"/>
  <c r="A346" i="2"/>
  <c r="C346" i="2" s="1"/>
  <c r="A361" i="2"/>
  <c r="C361" i="2" s="1"/>
  <c r="A311" i="2"/>
  <c r="B311" i="2" s="1"/>
  <c r="A312" i="2"/>
  <c r="C312" i="2" s="1"/>
  <c r="A318" i="2"/>
  <c r="J318" i="2" s="1"/>
  <c r="A347" i="2"/>
  <c r="C347" i="2" s="1"/>
  <c r="A348" i="2"/>
  <c r="C348" i="2" s="1"/>
  <c r="A350" i="2"/>
  <c r="B350" i="2" s="1"/>
  <c r="A354" i="2"/>
  <c r="J354" i="2" s="1"/>
  <c r="A359" i="2"/>
  <c r="C359" i="2" s="1"/>
  <c r="A360" i="2"/>
  <c r="B360" i="2" s="1"/>
  <c r="S361" i="1"/>
  <c r="B159" i="3"/>
  <c r="B157" i="9" s="1"/>
  <c r="D181" i="3"/>
  <c r="D200" i="3"/>
  <c r="B213" i="3"/>
  <c r="B211" i="9" s="1"/>
  <c r="B217" i="3"/>
  <c r="B215" i="9" s="1"/>
  <c r="B221" i="3"/>
  <c r="B219" i="9" s="1"/>
  <c r="B225" i="3"/>
  <c r="B223" i="9" s="1"/>
  <c r="B229" i="3"/>
  <c r="B227" i="9" s="1"/>
  <c r="D232" i="3"/>
  <c r="D236" i="3"/>
  <c r="D240" i="3"/>
  <c r="D244" i="3"/>
  <c r="B248" i="3"/>
  <c r="B246" i="9" s="1"/>
  <c r="D252" i="3"/>
  <c r="D256" i="3"/>
  <c r="B177" i="3"/>
  <c r="B175" i="9" s="1"/>
  <c r="D196" i="3"/>
  <c r="B205" i="3"/>
  <c r="B203" i="9" s="1"/>
  <c r="B209" i="3"/>
  <c r="B207" i="9" s="1"/>
  <c r="D213" i="3"/>
  <c r="D217" i="3"/>
  <c r="D221" i="3"/>
  <c r="D225" i="3"/>
  <c r="D229" i="3"/>
  <c r="D248" i="3"/>
  <c r="B173" i="3"/>
  <c r="B171" i="9" s="1"/>
  <c r="D188" i="3"/>
  <c r="B197" i="3"/>
  <c r="B195" i="9" s="1"/>
  <c r="B214" i="3"/>
  <c r="B212" i="9" s="1"/>
  <c r="B218" i="3"/>
  <c r="B216" i="9" s="1"/>
  <c r="B222" i="3"/>
  <c r="B220" i="9" s="1"/>
  <c r="B226" i="3"/>
  <c r="B224" i="9" s="1"/>
  <c r="B254" i="3"/>
  <c r="B252" i="9" s="1"/>
  <c r="B258" i="3"/>
  <c r="B256" i="9" s="1"/>
  <c r="D173" i="3"/>
  <c r="D197" i="3"/>
  <c r="B250" i="3"/>
  <c r="B248" i="9" s="1"/>
  <c r="B165" i="3"/>
  <c r="B163" i="9" s="1"/>
  <c r="B169" i="3"/>
  <c r="B167" i="9" s="1"/>
  <c r="B189" i="3"/>
  <c r="B187" i="9" s="1"/>
  <c r="D193" i="3"/>
  <c r="V157" i="1"/>
  <c r="V141" i="1"/>
  <c r="V149" i="1"/>
  <c r="V133" i="1"/>
  <c r="AC194" i="8"/>
  <c r="Z71" i="8"/>
  <c r="Y71" i="8" s="1"/>
  <c r="X71" i="8" s="1"/>
  <c r="W71" i="8" s="1"/>
  <c r="V71" i="8" s="1"/>
  <c r="T71" i="8" s="1"/>
  <c r="U104" i="8"/>
  <c r="AB140" i="8"/>
  <c r="AC198" i="8"/>
  <c r="U66" i="8"/>
  <c r="AB93" i="8"/>
  <c r="Z93" i="8"/>
  <c r="Y93" i="8" s="1"/>
  <c r="X93" i="8" s="1"/>
  <c r="W93" i="8" s="1"/>
  <c r="AR162" i="3"/>
  <c r="AR185" i="3"/>
  <c r="AR197" i="3"/>
  <c r="AR256" i="3"/>
  <c r="AR173" i="3"/>
  <c r="AR209" i="3"/>
  <c r="AR229" i="3"/>
  <c r="AR238" i="3"/>
  <c r="AR164" i="3"/>
  <c r="AR230" i="3"/>
  <c r="AR248" i="3"/>
  <c r="AR221" i="3"/>
  <c r="Z64" i="8"/>
  <c r="Y64" i="8" s="1"/>
  <c r="X64" i="8" s="1"/>
  <c r="W64" i="8" s="1"/>
  <c r="AR165" i="3"/>
  <c r="AR177" i="3"/>
  <c r="AR222" i="3"/>
  <c r="AR250" i="3"/>
  <c r="AR260" i="3"/>
  <c r="AR189" i="3"/>
  <c r="AR201" i="3"/>
  <c r="AR231" i="3"/>
  <c r="AR240" i="3"/>
  <c r="AB83" i="8"/>
  <c r="AR214" i="3"/>
  <c r="AR233" i="3"/>
  <c r="AR159" i="3"/>
  <c r="AR181" i="3"/>
  <c r="AR193" i="3"/>
  <c r="AR205" i="3"/>
  <c r="AR225" i="3"/>
  <c r="AR234" i="3"/>
  <c r="AR178" i="3"/>
  <c r="AR213" i="3"/>
  <c r="AR166" i="3"/>
  <c r="AR252" i="3"/>
  <c r="AR169" i="3"/>
  <c r="AR206" i="3"/>
  <c r="AR226" i="3"/>
  <c r="AR170" i="3"/>
  <c r="AR217" i="3"/>
  <c r="AB223" i="8"/>
  <c r="AR171" i="3"/>
  <c r="AR244" i="3"/>
  <c r="AR254" i="3"/>
  <c r="AR236" i="3"/>
  <c r="AR237" i="3"/>
  <c r="AB231" i="8"/>
  <c r="AR179" i="3"/>
  <c r="AR241" i="3"/>
  <c r="AR232" i="3"/>
  <c r="AR242" i="3"/>
  <c r="AC210" i="8"/>
  <c r="AR163" i="3"/>
  <c r="AR174" i="3"/>
  <c r="U116" i="8"/>
  <c r="AR175" i="3"/>
  <c r="AR258" i="3"/>
  <c r="AB116" i="8"/>
  <c r="AR218" i="3"/>
  <c r="AR246" i="3"/>
  <c r="AB239" i="8"/>
  <c r="J217" i="10"/>
  <c r="J622" i="10"/>
  <c r="A125" i="1"/>
  <c r="I125" i="1" s="1"/>
  <c r="C328" i="1"/>
  <c r="X328" i="1" s="1"/>
  <c r="Y328" i="1" s="1"/>
  <c r="Z328" i="1" s="1"/>
  <c r="D328" i="1" s="1"/>
  <c r="P285" i="10"/>
  <c r="H303" i="10"/>
  <c r="H306" i="10"/>
  <c r="P460" i="10"/>
  <c r="P561" i="10"/>
  <c r="Q599" i="10"/>
  <c r="P462" i="10"/>
  <c r="Q327" i="10"/>
  <c r="P329" i="10"/>
  <c r="Q453" i="10"/>
  <c r="Q461" i="10"/>
  <c r="P465" i="10"/>
  <c r="Q297" i="10"/>
  <c r="P309" i="10"/>
  <c r="P306" i="10"/>
  <c r="H311" i="10"/>
  <c r="Q316" i="10"/>
  <c r="Q348" i="10"/>
  <c r="P365" i="10"/>
  <c r="Q536" i="10"/>
  <c r="P278" i="10"/>
  <c r="Q281" i="10"/>
  <c r="P316" i="10"/>
  <c r="H469" i="10"/>
  <c r="P320" i="10"/>
  <c r="Q261" i="10"/>
  <c r="H553" i="10"/>
  <c r="Q285" i="10"/>
  <c r="P288" i="10"/>
  <c r="Q350" i="10"/>
  <c r="H351" i="10"/>
  <c r="H354" i="10"/>
  <c r="Q359" i="10"/>
  <c r="P367" i="10"/>
  <c r="Q451" i="10"/>
  <c r="P455" i="10"/>
  <c r="Q459" i="10"/>
  <c r="H545" i="10"/>
  <c r="P546" i="10"/>
  <c r="Q253" i="10"/>
  <c r="P304" i="10"/>
  <c r="H327" i="10"/>
  <c r="Q332" i="10"/>
  <c r="H333" i="10"/>
  <c r="Q391" i="10"/>
  <c r="P394" i="10"/>
  <c r="Q430" i="10"/>
  <c r="Q438" i="10"/>
  <c r="Q445" i="10"/>
  <c r="P457" i="10"/>
  <c r="P246" i="10"/>
  <c r="Q247" i="10"/>
  <c r="P263" i="10"/>
  <c r="Q266" i="10"/>
  <c r="H273" i="10"/>
  <c r="Q191" i="10"/>
  <c r="P553" i="10"/>
  <c r="P293" i="10"/>
  <c r="H310" i="10"/>
  <c r="Q433" i="10"/>
  <c r="Q448" i="10"/>
  <c r="Q456" i="10"/>
  <c r="P577" i="10"/>
  <c r="P582" i="10"/>
  <c r="Q584" i="10"/>
  <c r="P591" i="10"/>
  <c r="Q48" i="10"/>
  <c r="P348" i="10"/>
  <c r="Q292" i="10"/>
  <c r="P303" i="10"/>
  <c r="H308" i="10"/>
  <c r="Q312" i="10"/>
  <c r="P342" i="10"/>
  <c r="J613" i="10"/>
  <c r="O196" i="10"/>
  <c r="Q264" i="10"/>
  <c r="P290" i="10"/>
  <c r="Q306" i="10"/>
  <c r="P313" i="10"/>
  <c r="P326" i="10"/>
  <c r="P332" i="10"/>
  <c r="P347" i="10"/>
  <c r="Q361" i="10"/>
  <c r="P369" i="10"/>
  <c r="Q376" i="10"/>
  <c r="H506" i="10"/>
  <c r="Q542" i="10"/>
  <c r="Q555" i="10"/>
  <c r="H507" i="10"/>
  <c r="Q548" i="10"/>
  <c r="Q580" i="10"/>
  <c r="P587" i="10"/>
  <c r="Q295" i="10"/>
  <c r="Q322" i="10"/>
  <c r="P336" i="10"/>
  <c r="Q343" i="10"/>
  <c r="P345" i="10"/>
  <c r="Q358" i="10"/>
  <c r="H81" i="10"/>
  <c r="O255" i="10"/>
  <c r="P279" i="10"/>
  <c r="Q458" i="10"/>
  <c r="H490" i="10"/>
  <c r="H503" i="10"/>
  <c r="P542" i="10"/>
  <c r="Q553" i="10"/>
  <c r="H554" i="10"/>
  <c r="P555" i="10"/>
  <c r="Q605" i="10"/>
  <c r="J639" i="10"/>
  <c r="Q338" i="10"/>
  <c r="H516" i="10"/>
  <c r="P566" i="10"/>
  <c r="Q568" i="10"/>
  <c r="H154" i="10"/>
  <c r="O251" i="10"/>
  <c r="P255" i="10"/>
  <c r="P261" i="10"/>
  <c r="H279" i="10"/>
  <c r="H289" i="10"/>
  <c r="P331" i="10"/>
  <c r="P372" i="10"/>
  <c r="Q380" i="10"/>
  <c r="P388" i="10"/>
  <c r="H616" i="10"/>
  <c r="H619" i="10"/>
  <c r="H343" i="10"/>
  <c r="H349" i="10"/>
  <c r="P533" i="10"/>
  <c r="H137" i="10"/>
  <c r="J172" i="10"/>
  <c r="O245" i="10"/>
  <c r="P254" i="10"/>
  <c r="H257" i="10"/>
  <c r="P258" i="10"/>
  <c r="P274" i="10"/>
  <c r="H319" i="10"/>
  <c r="H322" i="10"/>
  <c r="P325" i="10"/>
  <c r="H335" i="10"/>
  <c r="H338" i="10"/>
  <c r="P341" i="10"/>
  <c r="P352" i="10"/>
  <c r="P376" i="10"/>
  <c r="Q384" i="10"/>
  <c r="P392" i="10"/>
  <c r="Q400" i="10"/>
  <c r="J425" i="10"/>
  <c r="Q442" i="10"/>
  <c r="H497" i="10"/>
  <c r="H528" i="10"/>
  <c r="P531" i="10"/>
  <c r="Q534" i="10"/>
  <c r="Q562" i="10"/>
  <c r="P574" i="10"/>
  <c r="Q576" i="10"/>
  <c r="P583" i="10"/>
  <c r="Q585" i="10"/>
  <c r="Q590" i="10"/>
  <c r="P592" i="10"/>
  <c r="P240" i="10"/>
  <c r="P267" i="10"/>
  <c r="Q268" i="10"/>
  <c r="Q269" i="10"/>
  <c r="Q273" i="10"/>
  <c r="Q294" i="10"/>
  <c r="H301" i="10"/>
  <c r="H317" i="10"/>
  <c r="Q396" i="10"/>
  <c r="Q444" i="10"/>
  <c r="P463" i="10"/>
  <c r="J473" i="10"/>
  <c r="H531" i="10"/>
  <c r="P550" i="10"/>
  <c r="H40" i="10"/>
  <c r="H121" i="10"/>
  <c r="J168" i="10"/>
  <c r="Q187" i="10"/>
  <c r="Q252" i="10"/>
  <c r="H263" i="10"/>
  <c r="Q282" i="10"/>
  <c r="H288" i="10"/>
  <c r="Q289" i="10"/>
  <c r="H290" i="10"/>
  <c r="Q291" i="10"/>
  <c r="Q300" i="10"/>
  <c r="P310" i="10"/>
  <c r="H331" i="10"/>
  <c r="H347" i="10"/>
  <c r="Q354" i="10"/>
  <c r="Q360" i="10"/>
  <c r="P363" i="10"/>
  <c r="Q366" i="10"/>
  <c r="P368" i="10"/>
  <c r="Q370" i="10"/>
  <c r="Q375" i="10"/>
  <c r="P378" i="10"/>
  <c r="Q381" i="10"/>
  <c r="P383" i="10"/>
  <c r="Q386" i="10"/>
  <c r="Q397" i="10"/>
  <c r="P399" i="10"/>
  <c r="Q405" i="10"/>
  <c r="J481" i="10"/>
  <c r="H494" i="10"/>
  <c r="H498" i="10"/>
  <c r="H513" i="10"/>
  <c r="H522" i="10"/>
  <c r="P558" i="10"/>
  <c r="Q578" i="10"/>
  <c r="P580" i="10"/>
  <c r="P589" i="10"/>
  <c r="H597" i="10"/>
  <c r="Q623" i="10"/>
  <c r="Q30" i="10"/>
  <c r="H145" i="10"/>
  <c r="J192" i="10"/>
  <c r="H251" i="10"/>
  <c r="H255" i="10"/>
  <c r="H259" i="10"/>
  <c r="H267" i="10"/>
  <c r="Q270" i="10"/>
  <c r="H275" i="10"/>
  <c r="H299" i="10"/>
  <c r="H315" i="10"/>
  <c r="H326" i="10"/>
  <c r="H334" i="10"/>
  <c r="H342" i="10"/>
  <c r="P543" i="10"/>
  <c r="H550" i="10"/>
  <c r="Q560" i="10"/>
  <c r="Q603" i="10"/>
  <c r="H35" i="10"/>
  <c r="H36" i="10"/>
  <c r="P273" i="10"/>
  <c r="P277" i="10"/>
  <c r="Q325" i="10"/>
  <c r="Q341" i="10"/>
  <c r="P351" i="10"/>
  <c r="P354" i="10"/>
  <c r="H356" i="10"/>
  <c r="H359" i="10"/>
  <c r="Q367" i="10"/>
  <c r="P374" i="10"/>
  <c r="Q377" i="10"/>
  <c r="P379" i="10"/>
  <c r="Q382" i="10"/>
  <c r="P390" i="10"/>
  <c r="Q393" i="10"/>
  <c r="P395" i="10"/>
  <c r="Q398" i="10"/>
  <c r="Q409" i="10"/>
  <c r="P530" i="10"/>
  <c r="Q541" i="10"/>
  <c r="H558" i="10"/>
  <c r="Q570" i="10"/>
  <c r="P572" i="10"/>
  <c r="P581" i="10"/>
  <c r="P586" i="10"/>
  <c r="Q588" i="10"/>
  <c r="Q596" i="10"/>
  <c r="H47" i="10"/>
  <c r="H51" i="10"/>
  <c r="H52" i="10"/>
  <c r="H134" i="10"/>
  <c r="P262" i="10"/>
  <c r="H285" i="10"/>
  <c r="P286" i="10"/>
  <c r="P300" i="10"/>
  <c r="Q309" i="10"/>
  <c r="P319" i="10"/>
  <c r="P322" i="10"/>
  <c r="H324" i="10"/>
  <c r="Q328" i="10"/>
  <c r="P335" i="10"/>
  <c r="P338" i="10"/>
  <c r="H340" i="10"/>
  <c r="Q344" i="10"/>
  <c r="Q355" i="10"/>
  <c r="Q432" i="10"/>
  <c r="H500" i="10"/>
  <c r="H510" i="10"/>
  <c r="H514" i="10"/>
  <c r="H519" i="10"/>
  <c r="P357" i="10"/>
  <c r="Q464" i="10"/>
  <c r="H486" i="10"/>
  <c r="H491" i="10"/>
  <c r="H526" i="10"/>
  <c r="Q538" i="10"/>
  <c r="H539" i="10"/>
  <c r="P549" i="10"/>
  <c r="H551" i="10"/>
  <c r="P552" i="10"/>
  <c r="P564" i="10"/>
  <c r="P569" i="10"/>
  <c r="P573" i="10"/>
  <c r="Q589" i="10"/>
  <c r="H44" i="10"/>
  <c r="O74" i="10"/>
  <c r="Q161" i="10"/>
  <c r="H184" i="10"/>
  <c r="J184" i="10"/>
  <c r="Q280" i="10"/>
  <c r="J284" i="10"/>
  <c r="H284" i="10"/>
  <c r="O284" i="10"/>
  <c r="Q284" i="10"/>
  <c r="Q318" i="10"/>
  <c r="J332" i="10"/>
  <c r="H332" i="10"/>
  <c r="Q334" i="10"/>
  <c r="J348" i="10"/>
  <c r="H348" i="10"/>
  <c r="J524" i="10"/>
  <c r="H524" i="10"/>
  <c r="J547" i="10"/>
  <c r="H547" i="10"/>
  <c r="J151" i="10"/>
  <c r="H151" i="10"/>
  <c r="J316" i="10"/>
  <c r="H316" i="10"/>
  <c r="J505" i="10"/>
  <c r="H505" i="10"/>
  <c r="H48" i="10"/>
  <c r="Q242" i="10"/>
  <c r="J246" i="10"/>
  <c r="H246" i="10"/>
  <c r="Q246" i="10"/>
  <c r="O246" i="10"/>
  <c r="J300" i="10"/>
  <c r="H300" i="10"/>
  <c r="P315" i="10"/>
  <c r="J330" i="10"/>
  <c r="H330" i="10"/>
  <c r="O544" i="10"/>
  <c r="Q544" i="10"/>
  <c r="O183" i="10"/>
  <c r="Q183" i="10"/>
  <c r="J240" i="10"/>
  <c r="H240" i="10"/>
  <c r="J314" i="10"/>
  <c r="H314" i="10"/>
  <c r="J492" i="10"/>
  <c r="H492" i="10"/>
  <c r="Q45" i="10"/>
  <c r="H148" i="10"/>
  <c r="H188" i="10"/>
  <c r="J188" i="10"/>
  <c r="J298" i="10"/>
  <c r="H298" i="10"/>
  <c r="J325" i="10"/>
  <c r="H325" i="10"/>
  <c r="J341" i="10"/>
  <c r="H341" i="10"/>
  <c r="J521" i="10"/>
  <c r="H521" i="10"/>
  <c r="H39" i="10"/>
  <c r="H253" i="10"/>
  <c r="H269" i="10"/>
  <c r="J271" i="10"/>
  <c r="H271" i="10"/>
  <c r="O287" i="10"/>
  <c r="Q287" i="10"/>
  <c r="P297" i="10"/>
  <c r="J309" i="10"/>
  <c r="H309" i="10"/>
  <c r="Q311" i="10"/>
  <c r="J541" i="10"/>
  <c r="H541" i="10"/>
  <c r="H281" i="10"/>
  <c r="J296" i="10"/>
  <c r="H296" i="10"/>
  <c r="J323" i="10"/>
  <c r="H323" i="10"/>
  <c r="J508" i="10"/>
  <c r="H508" i="10"/>
  <c r="H43" i="10"/>
  <c r="Q53" i="10"/>
  <c r="O256" i="10"/>
  <c r="Q256" i="10"/>
  <c r="J261" i="10"/>
  <c r="H261" i="10"/>
  <c r="O272" i="10"/>
  <c r="Q272" i="10"/>
  <c r="J307" i="10"/>
  <c r="H307" i="10"/>
  <c r="P251" i="10"/>
  <c r="P257" i="10"/>
  <c r="Q262" i="10"/>
  <c r="Q265" i="10"/>
  <c r="P270" i="10"/>
  <c r="Q278" i="10"/>
  <c r="P282" i="10"/>
  <c r="H292" i="10"/>
  <c r="Q293" i="10"/>
  <c r="H294" i="10"/>
  <c r="P299" i="10"/>
  <c r="Q304" i="10"/>
  <c r="H305" i="10"/>
  <c r="P308" i="10"/>
  <c r="H312" i="10"/>
  <c r="P317" i="10"/>
  <c r="Q320" i="10"/>
  <c r="H321" i="10"/>
  <c r="P324" i="10"/>
  <c r="H328" i="10"/>
  <c r="P333" i="10"/>
  <c r="Q336" i="10"/>
  <c r="H337" i="10"/>
  <c r="P340" i="10"/>
  <c r="H344" i="10"/>
  <c r="P349" i="10"/>
  <c r="Q352" i="10"/>
  <c r="H353" i="10"/>
  <c r="P356" i="10"/>
  <c r="Q357" i="10"/>
  <c r="H358" i="10"/>
  <c r="Q365" i="10"/>
  <c r="Q369" i="10"/>
  <c r="P371" i="10"/>
  <c r="Q374" i="10"/>
  <c r="P382" i="10"/>
  <c r="Q385" i="10"/>
  <c r="P387" i="10"/>
  <c r="Q390" i="10"/>
  <c r="P398" i="10"/>
  <c r="Q401" i="10"/>
  <c r="J427" i="10"/>
  <c r="Q431" i="10"/>
  <c r="Q436" i="10"/>
  <c r="O440" i="10"/>
  <c r="Q443" i="10"/>
  <c r="Q449" i="10"/>
  <c r="Q457" i="10"/>
  <c r="P461" i="10"/>
  <c r="Q465" i="10"/>
  <c r="H485" i="10"/>
  <c r="H493" i="10"/>
  <c r="H496" i="10"/>
  <c r="H509" i="10"/>
  <c r="H512" i="10"/>
  <c r="H525" i="10"/>
  <c r="H535" i="10"/>
  <c r="Q537" i="10"/>
  <c r="P539" i="10"/>
  <c r="Q540" i="10"/>
  <c r="P545" i="10"/>
  <c r="P551" i="10"/>
  <c r="P554" i="10"/>
  <c r="Q556" i="10"/>
  <c r="P585" i="10"/>
  <c r="P590" i="10"/>
  <c r="Q592" i="10"/>
  <c r="P594" i="10"/>
  <c r="P596" i="10"/>
  <c r="Q607" i="10"/>
  <c r="Q254" i="10"/>
  <c r="P265" i="10"/>
  <c r="P271" i="10"/>
  <c r="H277" i="10"/>
  <c r="H280" i="10"/>
  <c r="P283" i="10"/>
  <c r="H286" i="10"/>
  <c r="P289" i="10"/>
  <c r="H295" i="10"/>
  <c r="Q296" i="10"/>
  <c r="H297" i="10"/>
  <c r="P302" i="10"/>
  <c r="Q307" i="10"/>
  <c r="P311" i="10"/>
  <c r="Q314" i="10"/>
  <c r="P318" i="10"/>
  <c r="Q323" i="10"/>
  <c r="P327" i="10"/>
  <c r="Q330" i="10"/>
  <c r="P334" i="10"/>
  <c r="Q339" i="10"/>
  <c r="P343" i="10"/>
  <c r="Q346" i="10"/>
  <c r="P350" i="10"/>
  <c r="Q362" i="10"/>
  <c r="P364" i="10"/>
  <c r="P384" i="10"/>
  <c r="Q392" i="10"/>
  <c r="P400" i="10"/>
  <c r="O436" i="10"/>
  <c r="Q439" i="10"/>
  <c r="P456" i="10"/>
  <c r="Q460" i="10"/>
  <c r="P464" i="10"/>
  <c r="H523" i="10"/>
  <c r="H527" i="10"/>
  <c r="H533" i="10"/>
  <c r="P534" i="10"/>
  <c r="P537" i="10"/>
  <c r="H611" i="10"/>
  <c r="H291" i="10"/>
  <c r="H293" i="10"/>
  <c r="H304" i="10"/>
  <c r="H313" i="10"/>
  <c r="H320" i="10"/>
  <c r="H329" i="10"/>
  <c r="H336" i="10"/>
  <c r="H345" i="10"/>
  <c r="H352" i="10"/>
  <c r="H369" i="10"/>
  <c r="H501" i="10"/>
  <c r="H504" i="10"/>
  <c r="H517" i="10"/>
  <c r="H520" i="10"/>
  <c r="H543" i="10"/>
  <c r="H555" i="10"/>
  <c r="Q594" i="10"/>
  <c r="J176" i="10"/>
  <c r="P253" i="10"/>
  <c r="Q257" i="10"/>
  <c r="P259" i="10"/>
  <c r="H265" i="10"/>
  <c r="P269" i="10"/>
  <c r="P275" i="10"/>
  <c r="Q276" i="10"/>
  <c r="P281" i="10"/>
  <c r="H287" i="10"/>
  <c r="Q288" i="10"/>
  <c r="Q290" i="10"/>
  <c r="P296" i="10"/>
  <c r="P298" i="10"/>
  <c r="Q301" i="10"/>
  <c r="H302" i="10"/>
  <c r="Q303" i="10"/>
  <c r="P307" i="10"/>
  <c r="Q310" i="10"/>
  <c r="P314" i="10"/>
  <c r="H318" i="10"/>
  <c r="Q319" i="10"/>
  <c r="P323" i="10"/>
  <c r="Q326" i="10"/>
  <c r="P330" i="10"/>
  <c r="Q335" i="10"/>
  <c r="P339" i="10"/>
  <c r="Q342" i="10"/>
  <c r="P346" i="10"/>
  <c r="H350" i="10"/>
  <c r="Q351" i="10"/>
  <c r="P355" i="10"/>
  <c r="P360" i="10"/>
  <c r="Q363" i="10"/>
  <c r="Q368" i="10"/>
  <c r="Q372" i="10"/>
  <c r="P380" i="10"/>
  <c r="Q388" i="10"/>
  <c r="P396" i="10"/>
  <c r="Q434" i="10"/>
  <c r="Q440" i="10"/>
  <c r="Q446" i="10"/>
  <c r="Q454" i="10"/>
  <c r="P458" i="10"/>
  <c r="Q462" i="10"/>
  <c r="H477" i="10"/>
  <c r="H488" i="10"/>
  <c r="H495" i="10"/>
  <c r="H511" i="10"/>
  <c r="Q530" i="10"/>
  <c r="Q532" i="10"/>
  <c r="H537" i="10"/>
  <c r="P538" i="10"/>
  <c r="P541" i="10"/>
  <c r="Q545" i="10"/>
  <c r="P547" i="10"/>
  <c r="Q551" i="10"/>
  <c r="Q561" i="10"/>
  <c r="Q565" i="10"/>
  <c r="Q569" i="10"/>
  <c r="P579" i="10"/>
  <c r="Q581" i="10"/>
  <c r="Q586" i="10"/>
  <c r="P588" i="10"/>
  <c r="Q179" i="10"/>
  <c r="Q258" i="10"/>
  <c r="Q260" i="10"/>
  <c r="P266" i="10"/>
  <c r="Q274" i="10"/>
  <c r="Q277" i="10"/>
  <c r="Q286" i="10"/>
  <c r="P292" i="10"/>
  <c r="P294" i="10"/>
  <c r="Q299" i="10"/>
  <c r="P305" i="10"/>
  <c r="Q308" i="10"/>
  <c r="P312" i="10"/>
  <c r="Q317" i="10"/>
  <c r="P321" i="10"/>
  <c r="Q324" i="10"/>
  <c r="P328" i="10"/>
  <c r="Q333" i="10"/>
  <c r="P337" i="10"/>
  <c r="Q340" i="10"/>
  <c r="P344" i="10"/>
  <c r="Q349" i="10"/>
  <c r="P353" i="10"/>
  <c r="Q356" i="10"/>
  <c r="P358" i="10"/>
  <c r="P361" i="10"/>
  <c r="P370" i="10"/>
  <c r="Q373" i="10"/>
  <c r="P375" i="10"/>
  <c r="Q378" i="10"/>
  <c r="Q383" i="10"/>
  <c r="P386" i="10"/>
  <c r="Q389" i="10"/>
  <c r="P391" i="10"/>
  <c r="Q394" i="10"/>
  <c r="Q399" i="10"/>
  <c r="Q429" i="10"/>
  <c r="Q435" i="10"/>
  <c r="Q447" i="10"/>
  <c r="Q455" i="10"/>
  <c r="P459" i="10"/>
  <c r="Q463" i="10"/>
  <c r="Q533" i="10"/>
  <c r="P535" i="10"/>
  <c r="Q546" i="10"/>
  <c r="Q552" i="10"/>
  <c r="P557" i="10"/>
  <c r="Q573" i="10"/>
  <c r="Q577" i="10"/>
  <c r="Q582" i="10"/>
  <c r="P584" i="10"/>
  <c r="H339" i="10"/>
  <c r="H346" i="10"/>
  <c r="H355" i="10"/>
  <c r="H499" i="10"/>
  <c r="H502" i="10"/>
  <c r="H515" i="10"/>
  <c r="H518" i="10"/>
  <c r="G8" i="3"/>
  <c r="AV8" i="3"/>
  <c r="C6" i="9" s="1"/>
  <c r="F8" i="3"/>
  <c r="AD8" i="3"/>
  <c r="AP8" i="3" s="1"/>
  <c r="N8" i="3"/>
  <c r="D8" i="3"/>
  <c r="AB8" i="3"/>
  <c r="T8" i="3"/>
  <c r="AN8" i="3" s="1"/>
  <c r="B8" i="3"/>
  <c r="B6" i="9" s="1"/>
  <c r="Z8" i="3"/>
  <c r="R8" i="3"/>
  <c r="E32" i="3"/>
  <c r="A46" i="9"/>
  <c r="Z48" i="3"/>
  <c r="H42" i="3"/>
  <c r="G48" i="3"/>
  <c r="N48" i="3"/>
  <c r="AB48" i="3"/>
  <c r="A54" i="9"/>
  <c r="AV56" i="3"/>
  <c r="C54" i="9" s="1"/>
  <c r="AE56" i="3"/>
  <c r="F56" i="3"/>
  <c r="AD56" i="3"/>
  <c r="AP56" i="3" s="1"/>
  <c r="V56" i="3"/>
  <c r="E56" i="3"/>
  <c r="I50" i="3"/>
  <c r="D56" i="3"/>
  <c r="H50" i="3"/>
  <c r="AR56" i="3"/>
  <c r="AB56" i="3"/>
  <c r="T56" i="3"/>
  <c r="AN56" i="3" s="1"/>
  <c r="K56" i="3"/>
  <c r="Z56" i="3"/>
  <c r="R56" i="3"/>
  <c r="AG56" i="3"/>
  <c r="X56" i="3"/>
  <c r="P56" i="3"/>
  <c r="G56" i="3"/>
  <c r="AR64" i="3"/>
  <c r="AA64" i="3"/>
  <c r="AG64" i="3"/>
  <c r="P64" i="3"/>
  <c r="E64" i="3"/>
  <c r="A57" i="9"/>
  <c r="Y59" i="3"/>
  <c r="X59" i="3"/>
  <c r="P59" i="3"/>
  <c r="G59" i="3"/>
  <c r="F59" i="3"/>
  <c r="AV59" i="3"/>
  <c r="C57" i="9" s="1"/>
  <c r="AD59" i="3"/>
  <c r="AP59" i="3" s="1"/>
  <c r="N59" i="3"/>
  <c r="E59" i="3"/>
  <c r="D59" i="3"/>
  <c r="I53" i="3"/>
  <c r="AR59" i="3"/>
  <c r="AB59" i="3"/>
  <c r="T59" i="3"/>
  <c r="H53" i="3"/>
  <c r="AA59" i="3"/>
  <c r="K59" i="3"/>
  <c r="Z59" i="3"/>
  <c r="R59" i="3"/>
  <c r="AV67" i="3"/>
  <c r="C65" i="9" s="1"/>
  <c r="N67" i="3"/>
  <c r="I61" i="3"/>
  <c r="L720" i="10"/>
  <c r="A81" i="9"/>
  <c r="AV83" i="3"/>
  <c r="C81" i="9" s="1"/>
  <c r="F83" i="3"/>
  <c r="H77" i="3"/>
  <c r="D83" i="3"/>
  <c r="AG83" i="3"/>
  <c r="V83" i="3"/>
  <c r="T83" i="3"/>
  <c r="AN83" i="3" s="1"/>
  <c r="G83" i="3"/>
  <c r="AR83" i="3"/>
  <c r="E83" i="3"/>
  <c r="AD83" i="3"/>
  <c r="AP83" i="3" s="1"/>
  <c r="R83" i="3"/>
  <c r="B83" i="3"/>
  <c r="B81" i="9" s="1"/>
  <c r="AB83" i="3"/>
  <c r="P83" i="3"/>
  <c r="N83" i="3"/>
  <c r="Z83" i="3"/>
  <c r="I77" i="3"/>
  <c r="X83" i="3"/>
  <c r="K83" i="3"/>
  <c r="L728" i="10"/>
  <c r="A89" i="9"/>
  <c r="AC91" i="3"/>
  <c r="D91" i="3"/>
  <c r="Y91" i="3"/>
  <c r="H85" i="3"/>
  <c r="Z91" i="3"/>
  <c r="V91" i="3"/>
  <c r="I85" i="3"/>
  <c r="T99" i="3"/>
  <c r="AN99" i="3" s="1"/>
  <c r="P99" i="3"/>
  <c r="G107" i="3"/>
  <c r="AR107" i="3"/>
  <c r="Z107" i="3"/>
  <c r="AV107" i="3"/>
  <c r="C105" i="9" s="1"/>
  <c r="K107" i="3"/>
  <c r="D107" i="3"/>
  <c r="AE136" i="3"/>
  <c r="W136" i="3"/>
  <c r="F136" i="3"/>
  <c r="AD136" i="3"/>
  <c r="AP136" i="3" s="1"/>
  <c r="V136" i="3"/>
  <c r="N136" i="3"/>
  <c r="U136" i="3"/>
  <c r="D136" i="3"/>
  <c r="AA136" i="3"/>
  <c r="S136" i="3"/>
  <c r="K136" i="3"/>
  <c r="Z136" i="3"/>
  <c r="AG136" i="3"/>
  <c r="Y136" i="3"/>
  <c r="AB136" i="3"/>
  <c r="I130" i="3"/>
  <c r="T136" i="3"/>
  <c r="P136" i="3"/>
  <c r="L136" i="3"/>
  <c r="G136" i="3"/>
  <c r="B136" i="3"/>
  <c r="B134" i="9" s="1"/>
  <c r="A142" i="9"/>
  <c r="AE144" i="3"/>
  <c r="W144" i="3"/>
  <c r="F144" i="3"/>
  <c r="V144" i="3"/>
  <c r="N144" i="3"/>
  <c r="E144" i="3"/>
  <c r="U144" i="3"/>
  <c r="M144" i="3"/>
  <c r="D144" i="3"/>
  <c r="AA144" i="3"/>
  <c r="H138" i="3"/>
  <c r="Z144" i="3"/>
  <c r="T144" i="3"/>
  <c r="P144" i="3"/>
  <c r="AR144" i="3"/>
  <c r="L144" i="3"/>
  <c r="G144" i="3"/>
  <c r="AB144" i="3"/>
  <c r="T152" i="3"/>
  <c r="P152" i="3"/>
  <c r="W152" i="3"/>
  <c r="AE152" i="3"/>
  <c r="AV152" i="3"/>
  <c r="C150" i="9" s="1"/>
  <c r="AA152" i="3"/>
  <c r="B152" i="3"/>
  <c r="B150" i="9" s="1"/>
  <c r="V152" i="3"/>
  <c r="B121" i="1"/>
  <c r="S121" i="1"/>
  <c r="W127" i="1"/>
  <c r="W131" i="1"/>
  <c r="B133" i="1"/>
  <c r="S133" i="1"/>
  <c r="W135" i="1"/>
  <c r="S141" i="1"/>
  <c r="W143" i="1"/>
  <c r="B149" i="1"/>
  <c r="S149" i="1"/>
  <c r="W151" i="1"/>
  <c r="W155" i="1"/>
  <c r="B157" i="1"/>
  <c r="S157" i="1"/>
  <c r="W159" i="1"/>
  <c r="B161" i="1"/>
  <c r="S161" i="1"/>
  <c r="W163" i="1"/>
  <c r="B165" i="1"/>
  <c r="S165" i="1"/>
  <c r="W167" i="1"/>
  <c r="B169" i="1"/>
  <c r="S169" i="1"/>
  <c r="W171" i="1"/>
  <c r="B173" i="1"/>
  <c r="S173" i="1"/>
  <c r="W175" i="1"/>
  <c r="B177" i="1"/>
  <c r="S177" i="1"/>
  <c r="W179" i="1"/>
  <c r="B181" i="1"/>
  <c r="S181" i="1"/>
  <c r="W183" i="1"/>
  <c r="B185" i="1"/>
  <c r="S185" i="1"/>
  <c r="W187" i="1"/>
  <c r="B189" i="1"/>
  <c r="S189" i="1"/>
  <c r="W191" i="1"/>
  <c r="B193" i="1"/>
  <c r="S193" i="1"/>
  <c r="T194" i="1"/>
  <c r="C194" i="1"/>
  <c r="X194" i="1" s="1"/>
  <c r="Y194" i="1" s="1"/>
  <c r="Z194" i="1" s="1"/>
  <c r="D194" i="1" s="1"/>
  <c r="A194" i="2"/>
  <c r="S194" i="1"/>
  <c r="A196" i="2"/>
  <c r="S196" i="1"/>
  <c r="V197" i="1"/>
  <c r="E197" i="1"/>
  <c r="A197" i="2"/>
  <c r="S197" i="1"/>
  <c r="T198" i="1"/>
  <c r="C198" i="1"/>
  <c r="X198" i="1" s="1"/>
  <c r="Y198" i="1" s="1"/>
  <c r="Z198" i="1" s="1"/>
  <c r="D198" i="1" s="1"/>
  <c r="A198" i="2"/>
  <c r="S198" i="1"/>
  <c r="C200" i="1"/>
  <c r="X200" i="1" s="1"/>
  <c r="Y200" i="1" s="1"/>
  <c r="Z200" i="1" s="1"/>
  <c r="D200" i="1" s="1"/>
  <c r="C204" i="1"/>
  <c r="X204" i="1" s="1"/>
  <c r="Y204" i="1" s="1"/>
  <c r="Z204" i="1" s="1"/>
  <c r="D204" i="1" s="1"/>
  <c r="C208" i="1"/>
  <c r="X208" i="1" s="1"/>
  <c r="Y208" i="1" s="1"/>
  <c r="Z208" i="1" s="1"/>
  <c r="D208" i="1" s="1"/>
  <c r="C212" i="1"/>
  <c r="X212" i="1" s="1"/>
  <c r="Y212" i="1" s="1"/>
  <c r="Z212" i="1" s="1"/>
  <c r="D212" i="1" s="1"/>
  <c r="C216" i="1"/>
  <c r="X216" i="1" s="1"/>
  <c r="Y216" i="1" s="1"/>
  <c r="Z216" i="1" s="1"/>
  <c r="D216" i="1" s="1"/>
  <c r="C220" i="1"/>
  <c r="X220" i="1" s="1"/>
  <c r="Y220" i="1" s="1"/>
  <c r="Z220" i="1" s="1"/>
  <c r="D220" i="1" s="1"/>
  <c r="C224" i="1"/>
  <c r="X224" i="1" s="1"/>
  <c r="Y224" i="1" s="1"/>
  <c r="Z224" i="1" s="1"/>
  <c r="D224" i="1" s="1"/>
  <c r="C228" i="1"/>
  <c r="X228" i="1" s="1"/>
  <c r="Y228" i="1" s="1"/>
  <c r="Z228" i="1" s="1"/>
  <c r="D228" i="1" s="1"/>
  <c r="E232" i="1"/>
  <c r="E236" i="1"/>
  <c r="E240" i="1"/>
  <c r="E244" i="1"/>
  <c r="E248" i="1"/>
  <c r="E252" i="1"/>
  <c r="E256" i="1"/>
  <c r="E260" i="1"/>
  <c r="V261" i="1"/>
  <c r="E261" i="1"/>
  <c r="U261" i="1"/>
  <c r="S261" i="1"/>
  <c r="B261" i="1"/>
  <c r="A261" i="2"/>
  <c r="U270" i="1"/>
  <c r="V274" i="1"/>
  <c r="E274" i="1"/>
  <c r="U274" i="1"/>
  <c r="A274" i="2"/>
  <c r="T274" i="1"/>
  <c r="C274" i="1"/>
  <c r="X274" i="1" s="1"/>
  <c r="Y274" i="1" s="1"/>
  <c r="Z274" i="1" s="1"/>
  <c r="D274" i="1" s="1"/>
  <c r="S274" i="1"/>
  <c r="B274" i="1"/>
  <c r="C280" i="1"/>
  <c r="X280" i="1" s="1"/>
  <c r="Y280" i="1" s="1"/>
  <c r="Z280" i="1" s="1"/>
  <c r="D280" i="1" s="1"/>
  <c r="C281" i="1"/>
  <c r="X281" i="1" s="1"/>
  <c r="Y281" i="1" s="1"/>
  <c r="Z281" i="1" s="1"/>
  <c r="D281" i="1" s="1"/>
  <c r="E283" i="1"/>
  <c r="E299" i="1"/>
  <c r="E307" i="1"/>
  <c r="E315" i="1"/>
  <c r="C320" i="1"/>
  <c r="X320" i="1" s="1"/>
  <c r="Y320" i="1" s="1"/>
  <c r="Z320" i="1" s="1"/>
  <c r="D320" i="1" s="1"/>
  <c r="E335" i="1"/>
  <c r="C340" i="1"/>
  <c r="X340" i="1" s="1"/>
  <c r="Y340" i="1" s="1"/>
  <c r="Z340" i="1" s="1"/>
  <c r="D340" i="1" s="1"/>
  <c r="C344" i="1"/>
  <c r="X344" i="1" s="1"/>
  <c r="Y344" i="1" s="1"/>
  <c r="Z344" i="1" s="1"/>
  <c r="D344" i="1" s="1"/>
  <c r="C348" i="1"/>
  <c r="X348" i="1" s="1"/>
  <c r="Y348" i="1" s="1"/>
  <c r="Z348" i="1" s="1"/>
  <c r="D348" i="1" s="1"/>
  <c r="C353" i="1"/>
  <c r="X353" i="1" s="1"/>
  <c r="Y353" i="1" s="1"/>
  <c r="Z353" i="1" s="1"/>
  <c r="D353" i="1" s="1"/>
  <c r="A25" i="9"/>
  <c r="AG27" i="3"/>
  <c r="Y27" i="3"/>
  <c r="H21" i="3"/>
  <c r="X27" i="3"/>
  <c r="P27" i="3"/>
  <c r="G27" i="3"/>
  <c r="F27" i="3"/>
  <c r="AV27" i="3"/>
  <c r="C25" i="9" s="1"/>
  <c r="AD27" i="3"/>
  <c r="AP27" i="3" s="1"/>
  <c r="V27" i="3"/>
  <c r="N27" i="3"/>
  <c r="E27" i="3"/>
  <c r="D27" i="3"/>
  <c r="AB27" i="3"/>
  <c r="T27" i="3"/>
  <c r="B27" i="3"/>
  <c r="B25" i="9" s="1"/>
  <c r="AA27" i="3"/>
  <c r="K27" i="3"/>
  <c r="Z27" i="3"/>
  <c r="R27" i="3"/>
  <c r="I21" i="3"/>
  <c r="H29" i="3"/>
  <c r="V35" i="3"/>
  <c r="T35" i="3"/>
  <c r="Z35" i="3"/>
  <c r="L712" i="10"/>
  <c r="A28" i="9"/>
  <c r="D30" i="3"/>
  <c r="AR30" i="3"/>
  <c r="T30" i="3"/>
  <c r="B30" i="3"/>
  <c r="B28" i="9" s="1"/>
  <c r="AA30" i="3"/>
  <c r="K30" i="3"/>
  <c r="I24" i="3"/>
  <c r="Y30" i="3"/>
  <c r="H24" i="3"/>
  <c r="X30" i="3"/>
  <c r="P30" i="3"/>
  <c r="G30" i="3"/>
  <c r="AV30" i="3"/>
  <c r="C28" i="9" s="1"/>
  <c r="N30" i="3"/>
  <c r="E30" i="3"/>
  <c r="A36" i="9"/>
  <c r="AR38" i="3"/>
  <c r="AB38" i="3"/>
  <c r="T38" i="3"/>
  <c r="AA38" i="3"/>
  <c r="K38" i="3"/>
  <c r="Z38" i="3"/>
  <c r="R38" i="3"/>
  <c r="AG38" i="3"/>
  <c r="Y38" i="3"/>
  <c r="AD38" i="3"/>
  <c r="AP38" i="3" s="1"/>
  <c r="V38" i="3"/>
  <c r="E38" i="3"/>
  <c r="D38" i="3"/>
  <c r="A52" i="9"/>
  <c r="AG54" i="3"/>
  <c r="X54" i="3"/>
  <c r="P54" i="3"/>
  <c r="G54" i="3"/>
  <c r="AV54" i="3"/>
  <c r="C52" i="9" s="1"/>
  <c r="F54" i="3"/>
  <c r="H48" i="3"/>
  <c r="AD54" i="3"/>
  <c r="AP54" i="3" s="1"/>
  <c r="V54" i="3"/>
  <c r="N54" i="3"/>
  <c r="D54" i="3"/>
  <c r="AR54" i="3"/>
  <c r="AB54" i="3"/>
  <c r="T54" i="3"/>
  <c r="AN54" i="3" s="1"/>
  <c r="B54" i="3"/>
  <c r="B52" i="9" s="1"/>
  <c r="K54" i="3"/>
  <c r="R54" i="3"/>
  <c r="AB62" i="3"/>
  <c r="AA62" i="3"/>
  <c r="Y62" i="3"/>
  <c r="G62" i="3"/>
  <c r="AD62" i="3"/>
  <c r="AP62" i="3" s="1"/>
  <c r="E62" i="3"/>
  <c r="A76" i="9"/>
  <c r="B78" i="3"/>
  <c r="B76" i="9" s="1"/>
  <c r="Z78" i="3"/>
  <c r="R78" i="3"/>
  <c r="AV78" i="3"/>
  <c r="C76" i="9" s="1"/>
  <c r="AD78" i="3"/>
  <c r="AP78" i="3" s="1"/>
  <c r="V78" i="3"/>
  <c r="E78" i="3"/>
  <c r="X78" i="3"/>
  <c r="K78" i="3"/>
  <c r="AG78" i="3"/>
  <c r="G78" i="3"/>
  <c r="F78" i="3"/>
  <c r="P78" i="3"/>
  <c r="I72" i="3"/>
  <c r="H72" i="3"/>
  <c r="L723" i="10"/>
  <c r="F86" i="3"/>
  <c r="AD94" i="3"/>
  <c r="AP94" i="3" s="1"/>
  <c r="AR94" i="3"/>
  <c r="Z94" i="3"/>
  <c r="F94" i="3"/>
  <c r="AC94" i="3"/>
  <c r="AG102" i="3"/>
  <c r="AV102" i="3"/>
  <c r="C100" i="9" s="1"/>
  <c r="U102" i="3"/>
  <c r="I96" i="3"/>
  <c r="P102" i="3"/>
  <c r="AR102" i="3"/>
  <c r="G102" i="3"/>
  <c r="T102" i="3"/>
  <c r="A108" i="9"/>
  <c r="AG110" i="3"/>
  <c r="Y110" i="3"/>
  <c r="AV110" i="3"/>
  <c r="C108" i="9" s="1"/>
  <c r="AE110" i="3"/>
  <c r="W110" i="3"/>
  <c r="F110" i="3"/>
  <c r="AC110" i="3"/>
  <c r="U110" i="3"/>
  <c r="M110" i="3"/>
  <c r="AR110" i="3"/>
  <c r="AB110" i="3"/>
  <c r="T110" i="3"/>
  <c r="B110" i="3"/>
  <c r="B108" i="9" s="1"/>
  <c r="AA110" i="3"/>
  <c r="S110" i="3"/>
  <c r="K110" i="3"/>
  <c r="AD110" i="3"/>
  <c r="AP110" i="3" s="1"/>
  <c r="G110" i="3"/>
  <c r="Z110" i="3"/>
  <c r="E110" i="3"/>
  <c r="X110" i="3"/>
  <c r="V110" i="3"/>
  <c r="R110" i="3"/>
  <c r="N110" i="3"/>
  <c r="I104" i="3"/>
  <c r="Y116" i="3"/>
  <c r="Q116" i="3"/>
  <c r="AC116" i="3"/>
  <c r="U116" i="3"/>
  <c r="X116" i="3"/>
  <c r="R116" i="3"/>
  <c r="G123" i="3"/>
  <c r="AD123" i="3"/>
  <c r="AP123" i="3" s="1"/>
  <c r="AR123" i="3"/>
  <c r="AA123" i="3"/>
  <c r="Z123" i="3"/>
  <c r="Y123" i="3"/>
  <c r="AT214" i="3"/>
  <c r="X131" i="3"/>
  <c r="P131" i="3"/>
  <c r="G131" i="3"/>
  <c r="AV131" i="3"/>
  <c r="C129" i="9" s="1"/>
  <c r="AE131" i="3"/>
  <c r="W131" i="3"/>
  <c r="F131" i="3"/>
  <c r="N131" i="3"/>
  <c r="E131" i="3"/>
  <c r="AR131" i="3"/>
  <c r="AB131" i="3"/>
  <c r="T131" i="3"/>
  <c r="L131" i="3"/>
  <c r="I125" i="3"/>
  <c r="S131" i="3"/>
  <c r="K131" i="3"/>
  <c r="H125" i="3"/>
  <c r="Z131" i="3"/>
  <c r="R131" i="3"/>
  <c r="AC131" i="3"/>
  <c r="Y131" i="3"/>
  <c r="Q131" i="3"/>
  <c r="M131" i="3"/>
  <c r="D131" i="3"/>
  <c r="A137" i="9"/>
  <c r="AE139" i="3"/>
  <c r="N139" i="3"/>
  <c r="T139" i="3"/>
  <c r="R139" i="3"/>
  <c r="D139" i="3"/>
  <c r="A145" i="9"/>
  <c r="X147" i="3"/>
  <c r="G147" i="3"/>
  <c r="AV147" i="3"/>
  <c r="C145" i="9" s="1"/>
  <c r="AE147" i="3"/>
  <c r="W147" i="3"/>
  <c r="F147" i="3"/>
  <c r="AD147" i="3"/>
  <c r="AP147" i="3" s="1"/>
  <c r="V147" i="3"/>
  <c r="E147" i="3"/>
  <c r="AR147" i="3"/>
  <c r="AB147" i="3"/>
  <c r="T147" i="3"/>
  <c r="L147" i="3"/>
  <c r="B147" i="3"/>
  <c r="B145" i="9" s="1"/>
  <c r="I141" i="3"/>
  <c r="S147" i="3"/>
  <c r="K147" i="3"/>
  <c r="H141" i="3"/>
  <c r="Z147" i="3"/>
  <c r="R147" i="3"/>
  <c r="Q147" i="3"/>
  <c r="M147" i="3"/>
  <c r="AG147" i="3"/>
  <c r="AC147" i="3"/>
  <c r="Y147" i="3"/>
  <c r="U147" i="3"/>
  <c r="M155" i="3"/>
  <c r="R155" i="3"/>
  <c r="Y155" i="3"/>
  <c r="AG155" i="3"/>
  <c r="B155" i="3"/>
  <c r="B153" i="9" s="1"/>
  <c r="V155" i="3"/>
  <c r="K155" i="3"/>
  <c r="AB155" i="3"/>
  <c r="A10" i="1"/>
  <c r="A14" i="1"/>
  <c r="A18" i="1"/>
  <c r="A22" i="1"/>
  <c r="A26" i="1"/>
  <c r="A30" i="1"/>
  <c r="A34" i="1"/>
  <c r="A38" i="1"/>
  <c r="A42" i="1"/>
  <c r="A46" i="1"/>
  <c r="A50" i="1"/>
  <c r="A54" i="1"/>
  <c r="A58" i="1"/>
  <c r="A62" i="1"/>
  <c r="A66" i="1"/>
  <c r="A70" i="1"/>
  <c r="A74" i="1"/>
  <c r="A78" i="1"/>
  <c r="A82" i="1"/>
  <c r="A86" i="1"/>
  <c r="A90" i="1"/>
  <c r="A94" i="1"/>
  <c r="A98" i="1"/>
  <c r="A102" i="1"/>
  <c r="A106" i="1"/>
  <c r="A110" i="1"/>
  <c r="A114" i="1"/>
  <c r="A118" i="1"/>
  <c r="C121" i="1"/>
  <c r="A122" i="1"/>
  <c r="I122" i="1" s="1"/>
  <c r="A126" i="1"/>
  <c r="A130" i="1"/>
  <c r="J130" i="1" s="1"/>
  <c r="C133" i="1"/>
  <c r="X133" i="1" s="1"/>
  <c r="Y133" i="1" s="1"/>
  <c r="Z133" i="1" s="1"/>
  <c r="D133" i="1" s="1"/>
  <c r="T133" i="1"/>
  <c r="A134" i="1"/>
  <c r="R134" i="1" s="1"/>
  <c r="A138" i="1"/>
  <c r="R138" i="1" s="1"/>
  <c r="A142" i="1"/>
  <c r="R142" i="1" s="1"/>
  <c r="A146" i="1"/>
  <c r="I146" i="1" s="1"/>
  <c r="C149" i="1"/>
  <c r="X149" i="1" s="1"/>
  <c r="Y149" i="1" s="1"/>
  <c r="Z149" i="1" s="1"/>
  <c r="D149" i="1" s="1"/>
  <c r="T149" i="1"/>
  <c r="A150" i="1"/>
  <c r="I150" i="1" s="1"/>
  <c r="A154" i="1"/>
  <c r="I154" i="1" s="1"/>
  <c r="C157" i="1"/>
  <c r="X157" i="1" s="1"/>
  <c r="Y157" i="1" s="1"/>
  <c r="Z157" i="1" s="1"/>
  <c r="D157" i="1" s="1"/>
  <c r="T157" i="1"/>
  <c r="A158" i="1"/>
  <c r="I158" i="1" s="1"/>
  <c r="E160" i="1"/>
  <c r="C161" i="1"/>
  <c r="X161" i="1" s="1"/>
  <c r="Y161" i="1" s="1"/>
  <c r="Z161" i="1" s="1"/>
  <c r="D161" i="1" s="1"/>
  <c r="T161" i="1"/>
  <c r="E164" i="1"/>
  <c r="C165" i="1"/>
  <c r="X165" i="1" s="1"/>
  <c r="Y165" i="1" s="1"/>
  <c r="Z165" i="1" s="1"/>
  <c r="D165" i="1" s="1"/>
  <c r="T165" i="1"/>
  <c r="E168" i="1"/>
  <c r="C169" i="1"/>
  <c r="X169" i="1" s="1"/>
  <c r="Y169" i="1" s="1"/>
  <c r="Z169" i="1" s="1"/>
  <c r="D169" i="1" s="1"/>
  <c r="T169" i="1"/>
  <c r="E172" i="1"/>
  <c r="C173" i="1"/>
  <c r="X173" i="1" s="1"/>
  <c r="Y173" i="1" s="1"/>
  <c r="Z173" i="1" s="1"/>
  <c r="D173" i="1" s="1"/>
  <c r="T173" i="1"/>
  <c r="E176" i="1"/>
  <c r="C177" i="1"/>
  <c r="X177" i="1" s="1"/>
  <c r="Y177" i="1" s="1"/>
  <c r="Z177" i="1" s="1"/>
  <c r="D177" i="1" s="1"/>
  <c r="T177" i="1"/>
  <c r="E180" i="1"/>
  <c r="C181" i="1"/>
  <c r="X181" i="1" s="1"/>
  <c r="Y181" i="1" s="1"/>
  <c r="Z181" i="1" s="1"/>
  <c r="D181" i="1" s="1"/>
  <c r="T181" i="1"/>
  <c r="E184" i="1"/>
  <c r="C185" i="1"/>
  <c r="X185" i="1" s="1"/>
  <c r="Y185" i="1" s="1"/>
  <c r="Z185" i="1" s="1"/>
  <c r="D185" i="1" s="1"/>
  <c r="T185" i="1"/>
  <c r="E188" i="1"/>
  <c r="C189" i="1"/>
  <c r="X189" i="1" s="1"/>
  <c r="Y189" i="1" s="1"/>
  <c r="Z189" i="1" s="1"/>
  <c r="D189" i="1" s="1"/>
  <c r="T189" i="1"/>
  <c r="E192" i="1"/>
  <c r="C193" i="1"/>
  <c r="X193" i="1" s="1"/>
  <c r="Y193" i="1" s="1"/>
  <c r="Z193" i="1" s="1"/>
  <c r="D193" i="1" s="1"/>
  <c r="T193" i="1"/>
  <c r="B194" i="1"/>
  <c r="U194" i="1"/>
  <c r="B196" i="1"/>
  <c r="T196" i="1"/>
  <c r="B197" i="1"/>
  <c r="T197" i="1"/>
  <c r="B198" i="1"/>
  <c r="U198" i="1"/>
  <c r="C199" i="1"/>
  <c r="X199" i="1" s="1"/>
  <c r="Y199" i="1" s="1"/>
  <c r="Z199" i="1" s="1"/>
  <c r="D199" i="1" s="1"/>
  <c r="C203" i="1"/>
  <c r="X203" i="1" s="1"/>
  <c r="Y203" i="1" s="1"/>
  <c r="Z203" i="1" s="1"/>
  <c r="D203" i="1" s="1"/>
  <c r="C207" i="1"/>
  <c r="X207" i="1" s="1"/>
  <c r="Y207" i="1" s="1"/>
  <c r="Z207" i="1" s="1"/>
  <c r="D207" i="1" s="1"/>
  <c r="C211" i="1"/>
  <c r="X211" i="1" s="1"/>
  <c r="Y211" i="1" s="1"/>
  <c r="Z211" i="1" s="1"/>
  <c r="D211" i="1" s="1"/>
  <c r="C215" i="1"/>
  <c r="X215" i="1" s="1"/>
  <c r="Y215" i="1" s="1"/>
  <c r="Z215" i="1" s="1"/>
  <c r="D215" i="1" s="1"/>
  <c r="C219" i="1"/>
  <c r="X219" i="1" s="1"/>
  <c r="Y219" i="1" s="1"/>
  <c r="Z219" i="1" s="1"/>
  <c r="D219" i="1" s="1"/>
  <c r="C223" i="1"/>
  <c r="X223" i="1" s="1"/>
  <c r="Y223" i="1" s="1"/>
  <c r="Z223" i="1" s="1"/>
  <c r="D223" i="1" s="1"/>
  <c r="C227" i="1"/>
  <c r="X227" i="1" s="1"/>
  <c r="Y227" i="1" s="1"/>
  <c r="Z227" i="1" s="1"/>
  <c r="D227" i="1" s="1"/>
  <c r="C231" i="1"/>
  <c r="X231" i="1" s="1"/>
  <c r="Y231" i="1" s="1"/>
  <c r="Z231" i="1" s="1"/>
  <c r="D231" i="1" s="1"/>
  <c r="V233" i="1"/>
  <c r="E233" i="1"/>
  <c r="U233" i="1"/>
  <c r="S233" i="1"/>
  <c r="B233" i="1"/>
  <c r="A233" i="2"/>
  <c r="C235" i="1"/>
  <c r="X235" i="1" s="1"/>
  <c r="Y235" i="1" s="1"/>
  <c r="Z235" i="1" s="1"/>
  <c r="D235" i="1" s="1"/>
  <c r="V237" i="1"/>
  <c r="E237" i="1"/>
  <c r="U237" i="1"/>
  <c r="S237" i="1"/>
  <c r="B237" i="1"/>
  <c r="A237" i="2"/>
  <c r="C239" i="1"/>
  <c r="X239" i="1" s="1"/>
  <c r="Y239" i="1" s="1"/>
  <c r="Z239" i="1" s="1"/>
  <c r="D239" i="1" s="1"/>
  <c r="V241" i="1"/>
  <c r="E241" i="1"/>
  <c r="U241" i="1"/>
  <c r="S241" i="1"/>
  <c r="B241" i="1"/>
  <c r="A241" i="2"/>
  <c r="C243" i="1"/>
  <c r="X243" i="1" s="1"/>
  <c r="Y243" i="1" s="1"/>
  <c r="Z243" i="1" s="1"/>
  <c r="D243" i="1" s="1"/>
  <c r="V245" i="1"/>
  <c r="E245" i="1"/>
  <c r="U245" i="1"/>
  <c r="S245" i="1"/>
  <c r="B245" i="1"/>
  <c r="A245" i="2"/>
  <c r="C247" i="1"/>
  <c r="X247" i="1" s="1"/>
  <c r="Y247" i="1" s="1"/>
  <c r="Z247" i="1" s="1"/>
  <c r="D247" i="1" s="1"/>
  <c r="V249" i="1"/>
  <c r="E249" i="1"/>
  <c r="U249" i="1"/>
  <c r="S249" i="1"/>
  <c r="B249" i="1"/>
  <c r="A249" i="2"/>
  <c r="C251" i="1"/>
  <c r="X251" i="1" s="1"/>
  <c r="Y251" i="1" s="1"/>
  <c r="Z251" i="1" s="1"/>
  <c r="D251" i="1" s="1"/>
  <c r="V253" i="1"/>
  <c r="E253" i="1"/>
  <c r="U253" i="1"/>
  <c r="S253" i="1"/>
  <c r="B253" i="1"/>
  <c r="A253" i="2"/>
  <c r="C255" i="1"/>
  <c r="X255" i="1" s="1"/>
  <c r="Y255" i="1" s="1"/>
  <c r="Z255" i="1" s="1"/>
  <c r="D255" i="1" s="1"/>
  <c r="V257" i="1"/>
  <c r="E257" i="1"/>
  <c r="U257" i="1"/>
  <c r="S257" i="1"/>
  <c r="B257" i="1"/>
  <c r="A257" i="2"/>
  <c r="C259" i="1"/>
  <c r="X259" i="1" s="1"/>
  <c r="Y259" i="1" s="1"/>
  <c r="Z259" i="1" s="1"/>
  <c r="D259" i="1" s="1"/>
  <c r="C261" i="1"/>
  <c r="X261" i="1" s="1"/>
  <c r="Y261" i="1" s="1"/>
  <c r="Z261" i="1" s="1"/>
  <c r="D261" i="1" s="1"/>
  <c r="V262" i="1"/>
  <c r="E262" i="1"/>
  <c r="T262" i="1"/>
  <c r="C262" i="1"/>
  <c r="X262" i="1" s="1"/>
  <c r="Y262" i="1" s="1"/>
  <c r="Z262" i="1" s="1"/>
  <c r="D262" i="1" s="1"/>
  <c r="S262" i="1"/>
  <c r="B262" i="1"/>
  <c r="A262" i="2"/>
  <c r="C264" i="1"/>
  <c r="X264" i="1" s="1"/>
  <c r="Y264" i="1" s="1"/>
  <c r="Z264" i="1" s="1"/>
  <c r="D264" i="1" s="1"/>
  <c r="V265" i="1"/>
  <c r="E265" i="1"/>
  <c r="U265" i="1"/>
  <c r="S265" i="1"/>
  <c r="B265" i="1"/>
  <c r="A265" i="2"/>
  <c r="A273" i="2"/>
  <c r="W273" i="1"/>
  <c r="V273" i="1"/>
  <c r="E273" i="1"/>
  <c r="U273" i="1"/>
  <c r="S273" i="1"/>
  <c r="B273" i="1"/>
  <c r="E280" i="1"/>
  <c r="A286" i="2"/>
  <c r="V286" i="1"/>
  <c r="E286" i="1"/>
  <c r="U286" i="1"/>
  <c r="T286" i="1"/>
  <c r="C286" i="1"/>
  <c r="X286" i="1" s="1"/>
  <c r="Y286" i="1" s="1"/>
  <c r="Z286" i="1" s="1"/>
  <c r="D286" i="1" s="1"/>
  <c r="S286" i="1"/>
  <c r="B286" i="1"/>
  <c r="C292" i="1"/>
  <c r="X292" i="1" s="1"/>
  <c r="Y292" i="1" s="1"/>
  <c r="Z292" i="1" s="1"/>
  <c r="D292" i="1" s="1"/>
  <c r="C300" i="1"/>
  <c r="X300" i="1" s="1"/>
  <c r="Y300" i="1" s="1"/>
  <c r="Z300" i="1" s="1"/>
  <c r="D300" i="1" s="1"/>
  <c r="C308" i="1"/>
  <c r="X308" i="1" s="1"/>
  <c r="Y308" i="1" s="1"/>
  <c r="Z308" i="1" s="1"/>
  <c r="D308" i="1" s="1"/>
  <c r="C316" i="1"/>
  <c r="X316" i="1" s="1"/>
  <c r="Y316" i="1" s="1"/>
  <c r="Z316" i="1" s="1"/>
  <c r="D316" i="1" s="1"/>
  <c r="A329" i="2"/>
  <c r="W329" i="1"/>
  <c r="V329" i="1"/>
  <c r="E329" i="1"/>
  <c r="U329" i="1"/>
  <c r="T329" i="1"/>
  <c r="C329" i="1"/>
  <c r="X329" i="1" s="1"/>
  <c r="Y329" i="1" s="1"/>
  <c r="Z329" i="1" s="1"/>
  <c r="D329" i="1" s="1"/>
  <c r="S329" i="1"/>
  <c r="B329" i="1"/>
  <c r="C336" i="1"/>
  <c r="X336" i="1" s="1"/>
  <c r="Y336" i="1" s="1"/>
  <c r="Z336" i="1" s="1"/>
  <c r="D336" i="1" s="1"/>
  <c r="A355" i="2"/>
  <c r="W355" i="1"/>
  <c r="V355" i="1"/>
  <c r="E355" i="1"/>
  <c r="U355" i="1"/>
  <c r="T355" i="1"/>
  <c r="C355" i="1"/>
  <c r="X355" i="1" s="1"/>
  <c r="Y355" i="1" s="1"/>
  <c r="Z355" i="1" s="1"/>
  <c r="D355" i="1" s="1"/>
  <c r="S355" i="1"/>
  <c r="B355" i="1"/>
  <c r="A22" i="9"/>
  <c r="D24" i="3"/>
  <c r="AB24" i="3"/>
  <c r="B24" i="3"/>
  <c r="B22" i="9" s="1"/>
  <c r="AA24" i="3"/>
  <c r="K24" i="3"/>
  <c r="Z24" i="3"/>
  <c r="R24" i="3"/>
  <c r="AG24" i="3"/>
  <c r="Y24" i="3"/>
  <c r="X24" i="3"/>
  <c r="P24" i="3"/>
  <c r="G24" i="3"/>
  <c r="F24" i="3"/>
  <c r="AD24" i="3"/>
  <c r="AP24" i="3" s="1"/>
  <c r="V24" i="3"/>
  <c r="N24" i="3"/>
  <c r="A38" i="9"/>
  <c r="AR40" i="3"/>
  <c r="AB40" i="3"/>
  <c r="T40" i="3"/>
  <c r="B40" i="3"/>
  <c r="B38" i="9" s="1"/>
  <c r="AA40" i="3"/>
  <c r="K40" i="3"/>
  <c r="Z40" i="3"/>
  <c r="R40" i="3"/>
  <c r="AG40" i="3"/>
  <c r="Y40" i="3"/>
  <c r="I34" i="3"/>
  <c r="X40" i="3"/>
  <c r="P40" i="3"/>
  <c r="G40" i="3"/>
  <c r="H34" i="3"/>
  <c r="F40" i="3"/>
  <c r="AV40" i="3"/>
  <c r="C38" i="9" s="1"/>
  <c r="AD40" i="3"/>
  <c r="AP40" i="3" s="1"/>
  <c r="V40" i="3"/>
  <c r="N40" i="3"/>
  <c r="E40" i="3"/>
  <c r="D40" i="3"/>
  <c r="V80" i="3"/>
  <c r="A86" i="9"/>
  <c r="V88" i="3"/>
  <c r="N88" i="3"/>
  <c r="E88" i="3"/>
  <c r="AB88" i="3"/>
  <c r="T88" i="3"/>
  <c r="B88" i="3"/>
  <c r="B86" i="9" s="1"/>
  <c r="I82" i="3"/>
  <c r="R88" i="3"/>
  <c r="X88" i="3"/>
  <c r="G88" i="3"/>
  <c r="W88" i="3"/>
  <c r="F88" i="3"/>
  <c r="D88" i="3"/>
  <c r="AG88" i="3"/>
  <c r="AE88" i="3"/>
  <c r="AC88" i="3"/>
  <c r="K88" i="3"/>
  <c r="Y88" i="3"/>
  <c r="I5" i="3"/>
  <c r="A17" i="9"/>
  <c r="AG19" i="3"/>
  <c r="Y19" i="3"/>
  <c r="I13" i="3"/>
  <c r="X19" i="3"/>
  <c r="H13" i="3"/>
  <c r="F19" i="3"/>
  <c r="AV19" i="3"/>
  <c r="C17" i="9" s="1"/>
  <c r="AD19" i="3"/>
  <c r="AP19" i="3" s="1"/>
  <c r="V19" i="3"/>
  <c r="N19" i="3"/>
  <c r="E19" i="3"/>
  <c r="T19" i="3"/>
  <c r="B19" i="3"/>
  <c r="B17" i="9" s="1"/>
  <c r="AA19" i="3"/>
  <c r="K19" i="3"/>
  <c r="Z19" i="3"/>
  <c r="R19" i="3"/>
  <c r="A41" i="9"/>
  <c r="F43" i="3"/>
  <c r="AV43" i="3"/>
  <c r="C41" i="9" s="1"/>
  <c r="AD43" i="3"/>
  <c r="AP43" i="3" s="1"/>
  <c r="V43" i="3"/>
  <c r="N43" i="3"/>
  <c r="E43" i="3"/>
  <c r="AB43" i="3"/>
  <c r="T43" i="3"/>
  <c r="B43" i="3"/>
  <c r="B41" i="9" s="1"/>
  <c r="AA43" i="3"/>
  <c r="K43" i="3"/>
  <c r="Z43" i="3"/>
  <c r="R43" i="3"/>
  <c r="Y43" i="3"/>
  <c r="I37" i="3"/>
  <c r="X43" i="3"/>
  <c r="P43" i="3"/>
  <c r="G43" i="3"/>
  <c r="H37" i="3"/>
  <c r="A49" i="9"/>
  <c r="AV51" i="3"/>
  <c r="C49" i="9" s="1"/>
  <c r="AD51" i="3"/>
  <c r="AP51" i="3" s="1"/>
  <c r="V51" i="3"/>
  <c r="N51" i="3"/>
  <c r="E51" i="3"/>
  <c r="D51" i="3"/>
  <c r="AB51" i="3"/>
  <c r="B51" i="3"/>
  <c r="B49" i="9" s="1"/>
  <c r="AA51" i="3"/>
  <c r="K51" i="3"/>
  <c r="Z51" i="3"/>
  <c r="R51" i="3"/>
  <c r="I45" i="3"/>
  <c r="AG51" i="3"/>
  <c r="H45" i="3"/>
  <c r="X51" i="3"/>
  <c r="P51" i="3"/>
  <c r="G51" i="3"/>
  <c r="A73" i="9"/>
  <c r="Z75" i="3"/>
  <c r="R75" i="3"/>
  <c r="P75" i="3"/>
  <c r="G75" i="3"/>
  <c r="AR75" i="3"/>
  <c r="K75" i="3"/>
  <c r="AD75" i="3"/>
  <c r="AP75" i="3" s="1"/>
  <c r="T75" i="3"/>
  <c r="F75" i="3"/>
  <c r="E75" i="3"/>
  <c r="AA75" i="3"/>
  <c r="D75" i="3"/>
  <c r="Y75" i="3"/>
  <c r="N75" i="3"/>
  <c r="B75" i="3"/>
  <c r="B73" i="9" s="1"/>
  <c r="I69" i="3"/>
  <c r="M75" i="3"/>
  <c r="H69" i="3"/>
  <c r="V75" i="3"/>
  <c r="AV75" i="3"/>
  <c r="C73" i="9" s="1"/>
  <c r="AG75" i="3"/>
  <c r="A12" i="9"/>
  <c r="V14" i="3"/>
  <c r="N14" i="3"/>
  <c r="E14" i="3"/>
  <c r="D14" i="3"/>
  <c r="AR14" i="3"/>
  <c r="AB14" i="3"/>
  <c r="T14" i="3"/>
  <c r="AN14" i="3" s="1"/>
  <c r="K14" i="3"/>
  <c r="Z14" i="3"/>
  <c r="R14" i="3"/>
  <c r="AG14" i="3"/>
  <c r="X14" i="3"/>
  <c r="P14" i="3"/>
  <c r="G14" i="3"/>
  <c r="AV14" i="3"/>
  <c r="C12" i="9" s="1"/>
  <c r="F14" i="3"/>
  <c r="H8" i="3"/>
  <c r="AB22" i="3"/>
  <c r="K22" i="3"/>
  <c r="AG22" i="3"/>
  <c r="P22" i="3"/>
  <c r="N22" i="3"/>
  <c r="L667" i="10"/>
  <c r="A44" i="9"/>
  <c r="AA46" i="3"/>
  <c r="K46" i="3"/>
  <c r="Z46" i="3"/>
  <c r="R46" i="3"/>
  <c r="AG46" i="3"/>
  <c r="I40" i="3"/>
  <c r="X46" i="3"/>
  <c r="P46" i="3"/>
  <c r="G46" i="3"/>
  <c r="H40" i="3"/>
  <c r="F46" i="3"/>
  <c r="AV46" i="3"/>
  <c r="C44" i="9" s="1"/>
  <c r="V46" i="3"/>
  <c r="N46" i="3"/>
  <c r="E46" i="3"/>
  <c r="D46" i="3"/>
  <c r="AR46" i="3"/>
  <c r="AB46" i="3"/>
  <c r="T46" i="3"/>
  <c r="L691" i="10"/>
  <c r="A68" i="9"/>
  <c r="P70" i="3"/>
  <c r="N70" i="3"/>
  <c r="L646" i="10"/>
  <c r="A7" i="9"/>
  <c r="K9" i="3"/>
  <c r="Z9" i="3"/>
  <c r="R9" i="3"/>
  <c r="AG9" i="3"/>
  <c r="P9" i="3"/>
  <c r="G9" i="3"/>
  <c r="AV9" i="3"/>
  <c r="C7" i="9" s="1"/>
  <c r="F9" i="3"/>
  <c r="AD9" i="3"/>
  <c r="AP9" i="3" s="1"/>
  <c r="V9" i="3"/>
  <c r="E9" i="3"/>
  <c r="D9" i="3"/>
  <c r="T9" i="3"/>
  <c r="AN9" i="3" s="1"/>
  <c r="B9" i="3"/>
  <c r="B7" i="9" s="1"/>
  <c r="AB9" i="3"/>
  <c r="X17" i="3"/>
  <c r="H11" i="3"/>
  <c r="N17" i="3"/>
  <c r="AB17" i="3"/>
  <c r="R17" i="3"/>
  <c r="G25" i="3"/>
  <c r="AD25" i="3"/>
  <c r="AP25" i="3" s="1"/>
  <c r="P33" i="3"/>
  <c r="L678" i="10"/>
  <c r="A39" i="9"/>
  <c r="X41" i="3"/>
  <c r="P41" i="3"/>
  <c r="G41" i="3"/>
  <c r="AE41" i="3"/>
  <c r="F41" i="3"/>
  <c r="AD41" i="3"/>
  <c r="V41" i="3"/>
  <c r="N41" i="3"/>
  <c r="E41" i="3"/>
  <c r="AC41" i="3"/>
  <c r="AB41" i="3"/>
  <c r="T41" i="3"/>
  <c r="B41" i="3"/>
  <c r="B39" i="9" s="1"/>
  <c r="K41" i="3"/>
  <c r="Z41" i="3"/>
  <c r="R41" i="3"/>
  <c r="I35" i="3"/>
  <c r="AG41" i="3"/>
  <c r="A47" i="9"/>
  <c r="N49" i="3"/>
  <c r="AB49" i="3"/>
  <c r="Z49" i="3"/>
  <c r="AG49" i="3"/>
  <c r="G49" i="3"/>
  <c r="A55" i="9"/>
  <c r="Z57" i="3"/>
  <c r="R57" i="3"/>
  <c r="AG57" i="3"/>
  <c r="X57" i="3"/>
  <c r="P57" i="3"/>
  <c r="G57" i="3"/>
  <c r="AV57" i="3"/>
  <c r="C55" i="9" s="1"/>
  <c r="AE57" i="3"/>
  <c r="F57" i="3"/>
  <c r="AD57" i="3"/>
  <c r="AP57" i="3" s="1"/>
  <c r="V57" i="3"/>
  <c r="N57" i="3"/>
  <c r="E57" i="3"/>
  <c r="D57" i="3"/>
  <c r="I51" i="3"/>
  <c r="AB57" i="3"/>
  <c r="T57" i="3"/>
  <c r="AN57" i="3" s="1"/>
  <c r="B57" i="3"/>
  <c r="B55" i="9" s="1"/>
  <c r="H51" i="3"/>
  <c r="K57" i="3"/>
  <c r="A63" i="9"/>
  <c r="AG65" i="3"/>
  <c r="Y65" i="3"/>
  <c r="H59" i="3"/>
  <c r="X65" i="3"/>
  <c r="P65" i="3"/>
  <c r="G65" i="3"/>
  <c r="F65" i="3"/>
  <c r="AV65" i="3"/>
  <c r="C63" i="9" s="1"/>
  <c r="AD65" i="3"/>
  <c r="AP65" i="3" s="1"/>
  <c r="V65" i="3"/>
  <c r="N65" i="3"/>
  <c r="E65" i="3"/>
  <c r="D65" i="3"/>
  <c r="AR65" i="3"/>
  <c r="AB65" i="3"/>
  <c r="T65" i="3"/>
  <c r="B65" i="3"/>
  <c r="B63" i="9" s="1"/>
  <c r="AA65" i="3"/>
  <c r="K65" i="3"/>
  <c r="Z65" i="3"/>
  <c r="R65" i="3"/>
  <c r="I59" i="3"/>
  <c r="Z73" i="3"/>
  <c r="G73" i="3"/>
  <c r="K73" i="3"/>
  <c r="AB73" i="3"/>
  <c r="L718" i="10"/>
  <c r="AV81" i="3"/>
  <c r="C79" i="9" s="1"/>
  <c r="V81" i="3"/>
  <c r="H75" i="3"/>
  <c r="D81" i="3"/>
  <c r="B89" i="3"/>
  <c r="B87" i="9" s="1"/>
  <c r="AD97" i="3"/>
  <c r="I91" i="3"/>
  <c r="Y105" i="3"/>
  <c r="A111" i="9"/>
  <c r="Z113" i="3"/>
  <c r="R113" i="3"/>
  <c r="X113" i="3"/>
  <c r="P113" i="3"/>
  <c r="G113" i="3"/>
  <c r="V113" i="3"/>
  <c r="N113" i="3"/>
  <c r="E113" i="3"/>
  <c r="AC113" i="3"/>
  <c r="D113" i="3"/>
  <c r="AB113" i="3"/>
  <c r="T113" i="3"/>
  <c r="I107" i="3"/>
  <c r="W113" i="3"/>
  <c r="AG113" i="3"/>
  <c r="K113" i="3"/>
  <c r="H107" i="3"/>
  <c r="AE113" i="3"/>
  <c r="AA113" i="3"/>
  <c r="Y113" i="3"/>
  <c r="AV113" i="3"/>
  <c r="C111" i="9" s="1"/>
  <c r="A118" i="9"/>
  <c r="AV120" i="3"/>
  <c r="C118" i="9" s="1"/>
  <c r="AE120" i="3"/>
  <c r="W120" i="3"/>
  <c r="F120" i="3"/>
  <c r="AD120" i="3"/>
  <c r="AP120" i="3" s="1"/>
  <c r="V120" i="3"/>
  <c r="N120" i="3"/>
  <c r="E120" i="3"/>
  <c r="AC120" i="3"/>
  <c r="D120" i="3"/>
  <c r="AA120" i="3"/>
  <c r="K120" i="3"/>
  <c r="H114" i="3"/>
  <c r="Z120" i="3"/>
  <c r="R120" i="3"/>
  <c r="AG120" i="3"/>
  <c r="Y120" i="3"/>
  <c r="P120" i="3"/>
  <c r="AR120" i="3"/>
  <c r="G120" i="3"/>
  <c r="B120" i="3"/>
  <c r="B118" i="9" s="1"/>
  <c r="I114" i="3"/>
  <c r="AB120" i="3"/>
  <c r="X120" i="3"/>
  <c r="T120" i="3"/>
  <c r="F126" i="3"/>
  <c r="AR126" i="3"/>
  <c r="I120" i="3"/>
  <c r="Z126" i="3"/>
  <c r="E126" i="3"/>
  <c r="G134" i="3"/>
  <c r="AV134" i="3"/>
  <c r="C132" i="9" s="1"/>
  <c r="AB134" i="3"/>
  <c r="T134" i="3"/>
  <c r="X142" i="3"/>
  <c r="U142" i="3"/>
  <c r="I136" i="3"/>
  <c r="AD142" i="3"/>
  <c r="AP142" i="3" s="1"/>
  <c r="P150" i="3"/>
  <c r="G150" i="3"/>
  <c r="D150" i="3"/>
  <c r="AR150" i="3"/>
  <c r="K150" i="3"/>
  <c r="H144" i="3"/>
  <c r="A6" i="1"/>
  <c r="U133" i="1"/>
  <c r="U141" i="1"/>
  <c r="U149" i="1"/>
  <c r="U157" i="1"/>
  <c r="W160" i="1"/>
  <c r="U161" i="1"/>
  <c r="B162" i="1"/>
  <c r="S162" i="1"/>
  <c r="W164" i="1"/>
  <c r="U165" i="1"/>
  <c r="B166" i="1"/>
  <c r="S166" i="1"/>
  <c r="W168" i="1"/>
  <c r="U169" i="1"/>
  <c r="B170" i="1"/>
  <c r="S170" i="1"/>
  <c r="W172" i="1"/>
  <c r="U173" i="1"/>
  <c r="B174" i="1"/>
  <c r="S174" i="1"/>
  <c r="W176" i="1"/>
  <c r="U177" i="1"/>
  <c r="B178" i="1"/>
  <c r="S178" i="1"/>
  <c r="W180" i="1"/>
  <c r="U181" i="1"/>
  <c r="B182" i="1"/>
  <c r="S182" i="1"/>
  <c r="W184" i="1"/>
  <c r="U185" i="1"/>
  <c r="B186" i="1"/>
  <c r="S186" i="1"/>
  <c r="W188" i="1"/>
  <c r="U189" i="1"/>
  <c r="B190" i="1"/>
  <c r="S190" i="1"/>
  <c r="W192" i="1"/>
  <c r="U193" i="1"/>
  <c r="V194" i="1"/>
  <c r="C195" i="1"/>
  <c r="X195" i="1" s="1"/>
  <c r="Y195" i="1" s="1"/>
  <c r="Z195" i="1" s="1"/>
  <c r="D195" i="1" s="1"/>
  <c r="C196" i="1"/>
  <c r="X196" i="1" s="1"/>
  <c r="Y196" i="1" s="1"/>
  <c r="Z196" i="1" s="1"/>
  <c r="D196" i="1" s="1"/>
  <c r="U196" i="1"/>
  <c r="C197" i="1"/>
  <c r="X197" i="1" s="1"/>
  <c r="Y197" i="1" s="1"/>
  <c r="Z197" i="1" s="1"/>
  <c r="D197" i="1" s="1"/>
  <c r="U197" i="1"/>
  <c r="V198" i="1"/>
  <c r="E200" i="1"/>
  <c r="T202" i="1"/>
  <c r="C202" i="1"/>
  <c r="X202" i="1" s="1"/>
  <c r="Y202" i="1" s="1"/>
  <c r="Z202" i="1" s="1"/>
  <c r="D202" i="1" s="1"/>
  <c r="S202" i="1"/>
  <c r="B202" i="1"/>
  <c r="A202" i="2"/>
  <c r="V202" i="1"/>
  <c r="E204" i="1"/>
  <c r="T206" i="1"/>
  <c r="C206" i="1"/>
  <c r="X206" i="1" s="1"/>
  <c r="Y206" i="1" s="1"/>
  <c r="Z206" i="1" s="1"/>
  <c r="D206" i="1" s="1"/>
  <c r="S206" i="1"/>
  <c r="B206" i="1"/>
  <c r="A206" i="2"/>
  <c r="V206" i="1"/>
  <c r="E208" i="1"/>
  <c r="T210" i="1"/>
  <c r="C210" i="1"/>
  <c r="X210" i="1" s="1"/>
  <c r="Y210" i="1" s="1"/>
  <c r="Z210" i="1" s="1"/>
  <c r="D210" i="1" s="1"/>
  <c r="S210" i="1"/>
  <c r="B210" i="1"/>
  <c r="A210" i="2"/>
  <c r="V210" i="1"/>
  <c r="E212" i="1"/>
  <c r="T214" i="1"/>
  <c r="C214" i="1"/>
  <c r="X214" i="1" s="1"/>
  <c r="Y214" i="1" s="1"/>
  <c r="Z214" i="1" s="1"/>
  <c r="D214" i="1" s="1"/>
  <c r="S214" i="1"/>
  <c r="B214" i="1"/>
  <c r="A214" i="2"/>
  <c r="V214" i="1"/>
  <c r="E216" i="1"/>
  <c r="T218" i="1"/>
  <c r="C218" i="1"/>
  <c r="X218" i="1" s="1"/>
  <c r="Y218" i="1" s="1"/>
  <c r="Z218" i="1" s="1"/>
  <c r="D218" i="1" s="1"/>
  <c r="S218" i="1"/>
  <c r="B218" i="1"/>
  <c r="A218" i="2"/>
  <c r="V218" i="1"/>
  <c r="E220" i="1"/>
  <c r="T222" i="1"/>
  <c r="C222" i="1"/>
  <c r="X222" i="1" s="1"/>
  <c r="Y222" i="1" s="1"/>
  <c r="Z222" i="1" s="1"/>
  <c r="D222" i="1" s="1"/>
  <c r="S222" i="1"/>
  <c r="B222" i="1"/>
  <c r="A222" i="2"/>
  <c r="V222" i="1"/>
  <c r="E224" i="1"/>
  <c r="T226" i="1"/>
  <c r="C226" i="1"/>
  <c r="X226" i="1" s="1"/>
  <c r="Y226" i="1" s="1"/>
  <c r="Z226" i="1" s="1"/>
  <c r="D226" i="1" s="1"/>
  <c r="S226" i="1"/>
  <c r="B226" i="1"/>
  <c r="A226" i="2"/>
  <c r="V226" i="1"/>
  <c r="E228" i="1"/>
  <c r="T230" i="1"/>
  <c r="C230" i="1"/>
  <c r="X230" i="1" s="1"/>
  <c r="Y230" i="1" s="1"/>
  <c r="Z230" i="1" s="1"/>
  <c r="D230" i="1" s="1"/>
  <c r="S230" i="1"/>
  <c r="B230" i="1"/>
  <c r="A230" i="2"/>
  <c r="V230" i="1"/>
  <c r="C233" i="1"/>
  <c r="X233" i="1" s="1"/>
  <c r="Y233" i="1" s="1"/>
  <c r="Z233" i="1" s="1"/>
  <c r="D233" i="1" s="1"/>
  <c r="C237" i="1"/>
  <c r="X237" i="1" s="1"/>
  <c r="Y237" i="1" s="1"/>
  <c r="Z237" i="1" s="1"/>
  <c r="D237" i="1" s="1"/>
  <c r="C241" i="1"/>
  <c r="X241" i="1" s="1"/>
  <c r="Y241" i="1" s="1"/>
  <c r="Z241" i="1" s="1"/>
  <c r="D241" i="1" s="1"/>
  <c r="C245" i="1"/>
  <c r="X245" i="1" s="1"/>
  <c r="Y245" i="1" s="1"/>
  <c r="Z245" i="1" s="1"/>
  <c r="D245" i="1" s="1"/>
  <c r="C249" i="1"/>
  <c r="X249" i="1" s="1"/>
  <c r="Y249" i="1" s="1"/>
  <c r="Z249" i="1" s="1"/>
  <c r="D249" i="1" s="1"/>
  <c r="C253" i="1"/>
  <c r="X253" i="1" s="1"/>
  <c r="Y253" i="1" s="1"/>
  <c r="Z253" i="1" s="1"/>
  <c r="D253" i="1" s="1"/>
  <c r="C257" i="1"/>
  <c r="X257" i="1" s="1"/>
  <c r="Y257" i="1" s="1"/>
  <c r="Z257" i="1" s="1"/>
  <c r="D257" i="1" s="1"/>
  <c r="E264" i="1"/>
  <c r="C265" i="1"/>
  <c r="X265" i="1" s="1"/>
  <c r="Y265" i="1" s="1"/>
  <c r="Z265" i="1" s="1"/>
  <c r="D265" i="1" s="1"/>
  <c r="V266" i="1"/>
  <c r="E266" i="1"/>
  <c r="T266" i="1"/>
  <c r="C266" i="1"/>
  <c r="X266" i="1" s="1"/>
  <c r="Y266" i="1" s="1"/>
  <c r="Z266" i="1" s="1"/>
  <c r="D266" i="1" s="1"/>
  <c r="S266" i="1"/>
  <c r="B266" i="1"/>
  <c r="A266" i="2"/>
  <c r="C268" i="1"/>
  <c r="X268" i="1" s="1"/>
  <c r="Y268" i="1" s="1"/>
  <c r="Z268" i="1" s="1"/>
  <c r="D268" i="1" s="1"/>
  <c r="V269" i="1"/>
  <c r="E269" i="1"/>
  <c r="U269" i="1"/>
  <c r="S269" i="1"/>
  <c r="B269" i="1"/>
  <c r="A269" i="2"/>
  <c r="C272" i="1"/>
  <c r="X272" i="1" s="1"/>
  <c r="Y272" i="1" s="1"/>
  <c r="Z272" i="1" s="1"/>
  <c r="D272" i="1" s="1"/>
  <c r="C273" i="1"/>
  <c r="X273" i="1" s="1"/>
  <c r="Y273" i="1" s="1"/>
  <c r="Z273" i="1" s="1"/>
  <c r="D273" i="1" s="1"/>
  <c r="E275" i="1"/>
  <c r="A285" i="2"/>
  <c r="W285" i="1"/>
  <c r="V285" i="1"/>
  <c r="E285" i="1"/>
  <c r="U285" i="1"/>
  <c r="S285" i="1"/>
  <c r="B285" i="1"/>
  <c r="E331" i="1"/>
  <c r="A18" i="9"/>
  <c r="D20" i="3"/>
  <c r="AR20" i="3"/>
  <c r="AB20" i="3"/>
  <c r="T20" i="3"/>
  <c r="AA20" i="3"/>
  <c r="K20" i="3"/>
  <c r="Z20" i="3"/>
  <c r="R20" i="3"/>
  <c r="AG20" i="3"/>
  <c r="Y20" i="3"/>
  <c r="I14" i="3"/>
  <c r="P20" i="3"/>
  <c r="G20" i="3"/>
  <c r="H14" i="3"/>
  <c r="F20" i="3"/>
  <c r="AV20" i="3"/>
  <c r="C18" i="9" s="1"/>
  <c r="AD20" i="3"/>
  <c r="AP20" i="3" s="1"/>
  <c r="V20" i="3"/>
  <c r="N20" i="3"/>
  <c r="E20" i="3"/>
  <c r="AR28" i="3"/>
  <c r="B28" i="3"/>
  <c r="B26" i="9" s="1"/>
  <c r="I22" i="3"/>
  <c r="H22" i="3"/>
  <c r="N28" i="3"/>
  <c r="AD28" i="3"/>
  <c r="AP28" i="3" s="1"/>
  <c r="B60" i="3"/>
  <c r="B58" i="9" s="1"/>
  <c r="Z60" i="3"/>
  <c r="R68" i="3"/>
  <c r="X68" i="3"/>
  <c r="A106" i="9"/>
  <c r="H102" i="3"/>
  <c r="AV108" i="3"/>
  <c r="C106" i="9" s="1"/>
  <c r="AC108" i="3"/>
  <c r="T108" i="3"/>
  <c r="AD108" i="3"/>
  <c r="AP108" i="3" s="1"/>
  <c r="I102" i="3"/>
  <c r="V108" i="3"/>
  <c r="AG129" i="3"/>
  <c r="X129" i="3"/>
  <c r="AV129" i="3"/>
  <c r="C127" i="9" s="1"/>
  <c r="AE129" i="3"/>
  <c r="I131" i="3"/>
  <c r="A143" i="9"/>
  <c r="Z145" i="3"/>
  <c r="R145" i="3"/>
  <c r="AG145" i="3"/>
  <c r="Y145" i="3"/>
  <c r="Q145" i="3"/>
  <c r="X145" i="3"/>
  <c r="P145" i="3"/>
  <c r="G145" i="3"/>
  <c r="AD145" i="3"/>
  <c r="AP145" i="3" s="1"/>
  <c r="V145" i="3"/>
  <c r="N145" i="3"/>
  <c r="E145" i="3"/>
  <c r="AC145" i="3"/>
  <c r="U145" i="3"/>
  <c r="M145" i="3"/>
  <c r="D145" i="3"/>
  <c r="AR145" i="3"/>
  <c r="AB145" i="3"/>
  <c r="T145" i="3"/>
  <c r="L145" i="3"/>
  <c r="B145" i="3"/>
  <c r="B143" i="9" s="1"/>
  <c r="I139" i="3"/>
  <c r="K145" i="3"/>
  <c r="F145" i="3"/>
  <c r="AE145" i="3"/>
  <c r="AA145" i="3"/>
  <c r="H139" i="3"/>
  <c r="W145" i="3"/>
  <c r="S145" i="3"/>
  <c r="AV145" i="3"/>
  <c r="C143" i="9" s="1"/>
  <c r="A151" i="9"/>
  <c r="F153" i="3"/>
  <c r="G153" i="3"/>
  <c r="AG153" i="3"/>
  <c r="V153" i="3"/>
  <c r="U153" i="3"/>
  <c r="K153" i="3"/>
  <c r="AA153" i="3"/>
  <c r="A7" i="1"/>
  <c r="A11" i="1"/>
  <c r="A15" i="1"/>
  <c r="A19" i="1"/>
  <c r="A23" i="1"/>
  <c r="A27" i="1"/>
  <c r="A31" i="1"/>
  <c r="A35" i="1"/>
  <c r="A39" i="1"/>
  <c r="A43" i="1"/>
  <c r="A47" i="1"/>
  <c r="A51" i="1"/>
  <c r="A55" i="1"/>
  <c r="A59" i="1"/>
  <c r="A63" i="1"/>
  <c r="A67" i="1"/>
  <c r="A71" i="1"/>
  <c r="A75" i="1"/>
  <c r="A79" i="1"/>
  <c r="A83" i="1"/>
  <c r="A87" i="1"/>
  <c r="A91" i="1"/>
  <c r="A95" i="1"/>
  <c r="A99" i="1"/>
  <c r="A103" i="1"/>
  <c r="A107" i="1"/>
  <c r="A111" i="1"/>
  <c r="A115" i="1"/>
  <c r="A119" i="1"/>
  <c r="E121" i="1"/>
  <c r="A123" i="1"/>
  <c r="E133" i="1"/>
  <c r="E149" i="1"/>
  <c r="E157" i="1"/>
  <c r="E161" i="1"/>
  <c r="C162" i="1"/>
  <c r="X162" i="1" s="1"/>
  <c r="Y162" i="1" s="1"/>
  <c r="Z162" i="1" s="1"/>
  <c r="D162" i="1" s="1"/>
  <c r="E165" i="1"/>
  <c r="C166" i="1"/>
  <c r="X166" i="1" s="1"/>
  <c r="Y166" i="1" s="1"/>
  <c r="Z166" i="1" s="1"/>
  <c r="D166" i="1" s="1"/>
  <c r="E169" i="1"/>
  <c r="C170" i="1"/>
  <c r="X170" i="1" s="1"/>
  <c r="Y170" i="1" s="1"/>
  <c r="Z170" i="1" s="1"/>
  <c r="D170" i="1" s="1"/>
  <c r="E173" i="1"/>
  <c r="C174" i="1"/>
  <c r="X174" i="1" s="1"/>
  <c r="Y174" i="1" s="1"/>
  <c r="Z174" i="1" s="1"/>
  <c r="D174" i="1" s="1"/>
  <c r="E177" i="1"/>
  <c r="C178" i="1"/>
  <c r="X178" i="1" s="1"/>
  <c r="Y178" i="1" s="1"/>
  <c r="Z178" i="1" s="1"/>
  <c r="D178" i="1" s="1"/>
  <c r="E181" i="1"/>
  <c r="C182" i="1"/>
  <c r="X182" i="1" s="1"/>
  <c r="Y182" i="1" s="1"/>
  <c r="Z182" i="1" s="1"/>
  <c r="D182" i="1" s="1"/>
  <c r="E185" i="1"/>
  <c r="C186" i="1"/>
  <c r="X186" i="1" s="1"/>
  <c r="Y186" i="1" s="1"/>
  <c r="Z186" i="1" s="1"/>
  <c r="D186" i="1" s="1"/>
  <c r="E189" i="1"/>
  <c r="C190" i="1"/>
  <c r="X190" i="1" s="1"/>
  <c r="Y190" i="1" s="1"/>
  <c r="Z190" i="1" s="1"/>
  <c r="D190" i="1" s="1"/>
  <c r="E193" i="1"/>
  <c r="E194" i="1"/>
  <c r="E198" i="1"/>
  <c r="E199" i="1"/>
  <c r="E203" i="1"/>
  <c r="E207" i="1"/>
  <c r="E211" i="1"/>
  <c r="E215" i="1"/>
  <c r="E219" i="1"/>
  <c r="E223" i="1"/>
  <c r="E227" i="1"/>
  <c r="E231" i="1"/>
  <c r="E235" i="1"/>
  <c r="E239" i="1"/>
  <c r="E243" i="1"/>
  <c r="E247" i="1"/>
  <c r="E251" i="1"/>
  <c r="E255" i="1"/>
  <c r="E259" i="1"/>
  <c r="E268" i="1"/>
  <c r="C269" i="1"/>
  <c r="X269" i="1" s="1"/>
  <c r="Y269" i="1" s="1"/>
  <c r="Z269" i="1" s="1"/>
  <c r="D269" i="1" s="1"/>
  <c r="A270" i="2"/>
  <c r="V270" i="1"/>
  <c r="E270" i="1"/>
  <c r="T270" i="1"/>
  <c r="C270" i="1"/>
  <c r="X270" i="1" s="1"/>
  <c r="Y270" i="1" s="1"/>
  <c r="Z270" i="1" s="1"/>
  <c r="D270" i="1" s="1"/>
  <c r="S270" i="1"/>
  <c r="B270" i="1"/>
  <c r="E272" i="1"/>
  <c r="V278" i="1"/>
  <c r="E278" i="1"/>
  <c r="U278" i="1"/>
  <c r="T278" i="1"/>
  <c r="C278" i="1"/>
  <c r="X278" i="1" s="1"/>
  <c r="Y278" i="1" s="1"/>
  <c r="Z278" i="1" s="1"/>
  <c r="D278" i="1" s="1"/>
  <c r="S278" i="1"/>
  <c r="B278" i="1"/>
  <c r="A278" i="2"/>
  <c r="C284" i="1"/>
  <c r="X284" i="1" s="1"/>
  <c r="Y284" i="1" s="1"/>
  <c r="Z284" i="1" s="1"/>
  <c r="D284" i="1" s="1"/>
  <c r="C285" i="1"/>
  <c r="X285" i="1" s="1"/>
  <c r="Y285" i="1" s="1"/>
  <c r="Z285" i="1" s="1"/>
  <c r="D285" i="1" s="1"/>
  <c r="E287" i="1"/>
  <c r="A297" i="2"/>
  <c r="W297" i="1"/>
  <c r="V297" i="1"/>
  <c r="E297" i="1"/>
  <c r="U297" i="1"/>
  <c r="T297" i="1"/>
  <c r="C297" i="1"/>
  <c r="X297" i="1" s="1"/>
  <c r="Y297" i="1" s="1"/>
  <c r="Z297" i="1" s="1"/>
  <c r="D297" i="1" s="1"/>
  <c r="S297" i="1"/>
  <c r="B297" i="1"/>
  <c r="A305" i="2"/>
  <c r="W305" i="1"/>
  <c r="V305" i="1"/>
  <c r="E305" i="1"/>
  <c r="U305" i="1"/>
  <c r="T305" i="1"/>
  <c r="C305" i="1"/>
  <c r="X305" i="1" s="1"/>
  <c r="Y305" i="1" s="1"/>
  <c r="Z305" i="1" s="1"/>
  <c r="D305" i="1" s="1"/>
  <c r="S305" i="1"/>
  <c r="B305" i="1"/>
  <c r="A313" i="2"/>
  <c r="W313" i="1"/>
  <c r="V313" i="1"/>
  <c r="E313" i="1"/>
  <c r="U313" i="1"/>
  <c r="T313" i="1"/>
  <c r="C313" i="1"/>
  <c r="X313" i="1" s="1"/>
  <c r="Y313" i="1" s="1"/>
  <c r="Z313" i="1" s="1"/>
  <c r="D313" i="1" s="1"/>
  <c r="S313" i="1"/>
  <c r="B313" i="1"/>
  <c r="A325" i="2"/>
  <c r="W325" i="1"/>
  <c r="V325" i="1"/>
  <c r="E325" i="1"/>
  <c r="U325" i="1"/>
  <c r="T325" i="1"/>
  <c r="C325" i="1"/>
  <c r="X325" i="1" s="1"/>
  <c r="Y325" i="1" s="1"/>
  <c r="Z325" i="1" s="1"/>
  <c r="D325" i="1" s="1"/>
  <c r="S325" i="1"/>
  <c r="B325" i="1"/>
  <c r="C332" i="1"/>
  <c r="X332" i="1" s="1"/>
  <c r="Y332" i="1" s="1"/>
  <c r="Z332" i="1" s="1"/>
  <c r="D332" i="1" s="1"/>
  <c r="A34" i="9"/>
  <c r="AR36" i="3"/>
  <c r="AB36" i="3"/>
  <c r="T36" i="3"/>
  <c r="B36" i="3"/>
  <c r="B34" i="9" s="1"/>
  <c r="AA36" i="3"/>
  <c r="K36" i="3"/>
  <c r="Z36" i="3"/>
  <c r="R36" i="3"/>
  <c r="AG36" i="3"/>
  <c r="Y36" i="3"/>
  <c r="I30" i="3"/>
  <c r="X36" i="3"/>
  <c r="P36" i="3"/>
  <c r="G36" i="3"/>
  <c r="H30" i="3"/>
  <c r="F36" i="3"/>
  <c r="AV36" i="3"/>
  <c r="C34" i="9" s="1"/>
  <c r="AD36" i="3"/>
  <c r="AP36" i="3" s="1"/>
  <c r="V36" i="3"/>
  <c r="N36" i="3"/>
  <c r="E36" i="3"/>
  <c r="D36" i="3"/>
  <c r="Z44" i="3"/>
  <c r="I38" i="3"/>
  <c r="H38" i="3"/>
  <c r="V44" i="3"/>
  <c r="B44" i="3"/>
  <c r="B42" i="9" s="1"/>
  <c r="P92" i="3"/>
  <c r="V92" i="3"/>
  <c r="T92" i="3"/>
  <c r="AN92" i="3" s="1"/>
  <c r="AG92" i="3"/>
  <c r="H86" i="3"/>
  <c r="F92" i="3"/>
  <c r="A98" i="9"/>
  <c r="Z100" i="3"/>
  <c r="R100" i="3"/>
  <c r="X100" i="3"/>
  <c r="P100" i="3"/>
  <c r="G100" i="3"/>
  <c r="AD100" i="3"/>
  <c r="AP100" i="3" s="1"/>
  <c r="V100" i="3"/>
  <c r="N100" i="3"/>
  <c r="E100" i="3"/>
  <c r="AR100" i="3"/>
  <c r="AB100" i="3"/>
  <c r="T100" i="3"/>
  <c r="AN100" i="3" s="1"/>
  <c r="B100" i="3"/>
  <c r="B98" i="9" s="1"/>
  <c r="I94" i="3"/>
  <c r="K100" i="3"/>
  <c r="H94" i="3"/>
  <c r="Y100" i="3"/>
  <c r="F100" i="3"/>
  <c r="D100" i="3"/>
  <c r="S100" i="3"/>
  <c r="AG100" i="3"/>
  <c r="Q100" i="3"/>
  <c r="AV100" i="3"/>
  <c r="C98" i="9" s="1"/>
  <c r="AE100" i="3"/>
  <c r="V117" i="3"/>
  <c r="AB117" i="3"/>
  <c r="R117" i="3"/>
  <c r="Q117" i="3"/>
  <c r="AE117" i="3"/>
  <c r="F117" i="3"/>
  <c r="U117" i="3"/>
  <c r="A5" i="9"/>
  <c r="AB7" i="3"/>
  <c r="T7" i="3"/>
  <c r="B7" i="3"/>
  <c r="B5" i="9" s="1"/>
  <c r="AA7" i="3"/>
  <c r="K7" i="3"/>
  <c r="Z7" i="3"/>
  <c r="R7" i="3"/>
  <c r="AG7" i="3"/>
  <c r="Y7" i="3"/>
  <c r="X7" i="3"/>
  <c r="P7" i="3"/>
  <c r="G7" i="3"/>
  <c r="F7" i="3"/>
  <c r="AV7" i="3"/>
  <c r="C5" i="9" s="1"/>
  <c r="AD7" i="3"/>
  <c r="V7" i="3"/>
  <c r="N7" i="3"/>
  <c r="E7" i="3"/>
  <c r="D7" i="3"/>
  <c r="A13" i="9"/>
  <c r="AG15" i="3"/>
  <c r="X15" i="3"/>
  <c r="P15" i="3"/>
  <c r="G15" i="3"/>
  <c r="I9" i="3"/>
  <c r="F15" i="3"/>
  <c r="H9" i="3"/>
  <c r="AV15" i="3"/>
  <c r="C13" i="9" s="1"/>
  <c r="AD15" i="3"/>
  <c r="AP15" i="3" s="1"/>
  <c r="V15" i="3"/>
  <c r="N15" i="3"/>
  <c r="E15" i="3"/>
  <c r="D15" i="3"/>
  <c r="AB15" i="3"/>
  <c r="T15" i="3"/>
  <c r="AN15" i="3" s="1"/>
  <c r="B15" i="3"/>
  <c r="B13" i="9" s="1"/>
  <c r="K15" i="3"/>
  <c r="Z15" i="3"/>
  <c r="R15" i="3"/>
  <c r="A29" i="9"/>
  <c r="AG31" i="3"/>
  <c r="Y31" i="3"/>
  <c r="H25" i="3"/>
  <c r="X31" i="3"/>
  <c r="P31" i="3"/>
  <c r="G31" i="3"/>
  <c r="F31" i="3"/>
  <c r="AV31" i="3"/>
  <c r="C29" i="9" s="1"/>
  <c r="AD31" i="3"/>
  <c r="AP31" i="3" s="1"/>
  <c r="V31" i="3"/>
  <c r="N31" i="3"/>
  <c r="E31" i="3"/>
  <c r="D31" i="3"/>
  <c r="AB31" i="3"/>
  <c r="T31" i="3"/>
  <c r="B31" i="3"/>
  <c r="B29" i="9" s="1"/>
  <c r="AA31" i="3"/>
  <c r="K31" i="3"/>
  <c r="I25" i="3"/>
  <c r="Z31" i="3"/>
  <c r="R31" i="3"/>
  <c r="L676" i="10"/>
  <c r="A37" i="9"/>
  <c r="X39" i="3"/>
  <c r="P39" i="3"/>
  <c r="G39" i="3"/>
  <c r="H33" i="3"/>
  <c r="F39" i="3"/>
  <c r="AV39" i="3"/>
  <c r="C37" i="9" s="1"/>
  <c r="AD39" i="3"/>
  <c r="AP39" i="3" s="1"/>
  <c r="V39" i="3"/>
  <c r="N39" i="3"/>
  <c r="E39" i="3"/>
  <c r="M39" i="3"/>
  <c r="D39" i="3"/>
  <c r="AB39" i="3"/>
  <c r="T39" i="3"/>
  <c r="AN39" i="3" s="1"/>
  <c r="B39" i="3"/>
  <c r="B37" i="9" s="1"/>
  <c r="AA39" i="3"/>
  <c r="K39" i="3"/>
  <c r="Z39" i="3"/>
  <c r="R39" i="3"/>
  <c r="AG39" i="3"/>
  <c r="I33" i="3"/>
  <c r="A45" i="9"/>
  <c r="F47" i="3"/>
  <c r="AV47" i="3"/>
  <c r="C45" i="9" s="1"/>
  <c r="AD47" i="3"/>
  <c r="AP47" i="3" s="1"/>
  <c r="V47" i="3"/>
  <c r="N47" i="3"/>
  <c r="E47" i="3"/>
  <c r="D47" i="3"/>
  <c r="AB47" i="3"/>
  <c r="T47" i="3"/>
  <c r="B47" i="3"/>
  <c r="B45" i="9" s="1"/>
  <c r="AA47" i="3"/>
  <c r="K47" i="3"/>
  <c r="Z47" i="3"/>
  <c r="R47" i="3"/>
  <c r="AG47" i="3"/>
  <c r="Y47" i="3"/>
  <c r="I41" i="3"/>
  <c r="G47" i="3"/>
  <c r="H41" i="3"/>
  <c r="X47" i="3"/>
  <c r="P47" i="3"/>
  <c r="L692" i="10"/>
  <c r="A53" i="9"/>
  <c r="AB55" i="3"/>
  <c r="T55" i="3"/>
  <c r="AN55" i="3" s="1"/>
  <c r="B55" i="3"/>
  <c r="B53" i="9" s="1"/>
  <c r="K55" i="3"/>
  <c r="Z55" i="3"/>
  <c r="R55" i="3"/>
  <c r="AG55" i="3"/>
  <c r="X55" i="3"/>
  <c r="P55" i="3"/>
  <c r="G55" i="3"/>
  <c r="AV55" i="3"/>
  <c r="C53" i="9" s="1"/>
  <c r="AE55" i="3"/>
  <c r="F55" i="3"/>
  <c r="I49" i="3"/>
  <c r="AD55" i="3"/>
  <c r="AP55" i="3" s="1"/>
  <c r="V55" i="3"/>
  <c r="N55" i="3"/>
  <c r="E55" i="3"/>
  <c r="H49" i="3"/>
  <c r="D55" i="3"/>
  <c r="L700" i="10"/>
  <c r="A61" i="9"/>
  <c r="AG63" i="3"/>
  <c r="Y63" i="3"/>
  <c r="I57" i="3"/>
  <c r="X63" i="3"/>
  <c r="P63" i="3"/>
  <c r="G63" i="3"/>
  <c r="H57" i="3"/>
  <c r="F63" i="3"/>
  <c r="AV63" i="3"/>
  <c r="C61" i="9" s="1"/>
  <c r="AD63" i="3"/>
  <c r="AP63" i="3" s="1"/>
  <c r="V63" i="3"/>
  <c r="N63" i="3"/>
  <c r="E63" i="3"/>
  <c r="D63" i="3"/>
  <c r="AR63" i="3"/>
  <c r="AB63" i="3"/>
  <c r="T63" i="3"/>
  <c r="B63" i="3"/>
  <c r="B61" i="9" s="1"/>
  <c r="AA63" i="3"/>
  <c r="K63" i="3"/>
  <c r="Z63" i="3"/>
  <c r="R63" i="3"/>
  <c r="A69" i="9"/>
  <c r="X71" i="3"/>
  <c r="P71" i="3"/>
  <c r="Y71" i="3"/>
  <c r="F71" i="3"/>
  <c r="H65" i="3"/>
  <c r="AG71" i="3"/>
  <c r="N71" i="3"/>
  <c r="E71" i="3"/>
  <c r="V71" i="3"/>
  <c r="D71" i="3"/>
  <c r="AD71" i="3"/>
  <c r="AP71" i="3" s="1"/>
  <c r="B71" i="3"/>
  <c r="B69" i="9" s="1"/>
  <c r="T71" i="3"/>
  <c r="AN71" i="3" s="1"/>
  <c r="K71" i="3"/>
  <c r="AV71" i="3"/>
  <c r="C69" i="9" s="1"/>
  <c r="AB71" i="3"/>
  <c r="AA71" i="3"/>
  <c r="R71" i="3"/>
  <c r="Z71" i="3"/>
  <c r="G71" i="3"/>
  <c r="I65" i="3"/>
  <c r="AR71" i="3"/>
  <c r="A77" i="9"/>
  <c r="X79" i="3"/>
  <c r="P79" i="3"/>
  <c r="G79" i="3"/>
  <c r="I73" i="3"/>
  <c r="AV79" i="3"/>
  <c r="C77" i="9" s="1"/>
  <c r="AD79" i="3"/>
  <c r="AP79" i="3" s="1"/>
  <c r="V79" i="3"/>
  <c r="N79" i="3"/>
  <c r="E79" i="3"/>
  <c r="Z79" i="3"/>
  <c r="R79" i="3"/>
  <c r="AG79" i="3"/>
  <c r="T79" i="3"/>
  <c r="F79" i="3"/>
  <c r="AR79" i="3"/>
  <c r="D79" i="3"/>
  <c r="AC79" i="3"/>
  <c r="B79" i="3"/>
  <c r="B77" i="9" s="1"/>
  <c r="AB79" i="3"/>
  <c r="H73" i="3"/>
  <c r="AA79" i="3"/>
  <c r="M79" i="3"/>
  <c r="Y79" i="3"/>
  <c r="W79" i="3"/>
  <c r="K79" i="3"/>
  <c r="A93" i="9"/>
  <c r="K95" i="3"/>
  <c r="H89" i="3"/>
  <c r="AG95" i="3"/>
  <c r="Y95" i="3"/>
  <c r="AV95" i="3"/>
  <c r="C93" i="9" s="1"/>
  <c r="AE95" i="3"/>
  <c r="W95" i="3"/>
  <c r="F95" i="3"/>
  <c r="AC95" i="3"/>
  <c r="D95" i="3"/>
  <c r="AR95" i="3"/>
  <c r="AB95" i="3"/>
  <c r="I89" i="3"/>
  <c r="Z95" i="3"/>
  <c r="X95" i="3"/>
  <c r="G95" i="3"/>
  <c r="V95" i="3"/>
  <c r="E95" i="3"/>
  <c r="T95" i="3"/>
  <c r="B95" i="3"/>
  <c r="B93" i="9" s="1"/>
  <c r="R95" i="3"/>
  <c r="P95" i="3"/>
  <c r="N95" i="3"/>
  <c r="AD95" i="3"/>
  <c r="AP95" i="3" s="1"/>
  <c r="A101" i="9"/>
  <c r="AR103" i="3"/>
  <c r="AB103" i="3"/>
  <c r="T103" i="3"/>
  <c r="B103" i="3"/>
  <c r="B101" i="9" s="1"/>
  <c r="H97" i="3"/>
  <c r="Z103" i="3"/>
  <c r="R103" i="3"/>
  <c r="X103" i="3"/>
  <c r="P103" i="3"/>
  <c r="G103" i="3"/>
  <c r="AD103" i="3"/>
  <c r="AP103" i="3" s="1"/>
  <c r="V103" i="3"/>
  <c r="N103" i="3"/>
  <c r="E103" i="3"/>
  <c r="U103" i="3"/>
  <c r="D103" i="3"/>
  <c r="S103" i="3"/>
  <c r="AG103" i="3"/>
  <c r="Q103" i="3"/>
  <c r="AV103" i="3"/>
  <c r="C101" i="9" s="1"/>
  <c r="AE103" i="3"/>
  <c r="AC103" i="3"/>
  <c r="M103" i="3"/>
  <c r="I97" i="3"/>
  <c r="AA103" i="3"/>
  <c r="K103" i="3"/>
  <c r="Y103" i="3"/>
  <c r="W103" i="3"/>
  <c r="F103" i="3"/>
  <c r="A109" i="9"/>
  <c r="AB111" i="3"/>
  <c r="T111" i="3"/>
  <c r="B111" i="3"/>
  <c r="B109" i="9" s="1"/>
  <c r="I105" i="3"/>
  <c r="Z111" i="3"/>
  <c r="R111" i="3"/>
  <c r="X111" i="3"/>
  <c r="P111" i="3"/>
  <c r="G111" i="3"/>
  <c r="AV111" i="3"/>
  <c r="C109" i="9" s="1"/>
  <c r="AE111" i="3"/>
  <c r="W111" i="3"/>
  <c r="F111" i="3"/>
  <c r="AD111" i="3"/>
  <c r="V111" i="3"/>
  <c r="N111" i="3"/>
  <c r="E111" i="3"/>
  <c r="AA111" i="3"/>
  <c r="D111" i="3"/>
  <c r="Y111" i="3"/>
  <c r="H105" i="3"/>
  <c r="U111" i="3"/>
  <c r="S111" i="3"/>
  <c r="Q111" i="3"/>
  <c r="M111" i="3"/>
  <c r="AG111" i="3"/>
  <c r="K111" i="3"/>
  <c r="AC111" i="3"/>
  <c r="A122" i="9"/>
  <c r="AA124" i="3"/>
  <c r="K124" i="3"/>
  <c r="H118" i="3"/>
  <c r="Z124" i="3"/>
  <c r="R124" i="3"/>
  <c r="AG124" i="3"/>
  <c r="Y124" i="3"/>
  <c r="AV124" i="3"/>
  <c r="C122" i="9" s="1"/>
  <c r="W124" i="3"/>
  <c r="F124" i="3"/>
  <c r="AD124" i="3"/>
  <c r="AP124" i="3" s="1"/>
  <c r="V124" i="3"/>
  <c r="N124" i="3"/>
  <c r="E124" i="3"/>
  <c r="AC124" i="3"/>
  <c r="D124" i="3"/>
  <c r="AB124" i="3"/>
  <c r="I118" i="3"/>
  <c r="X124" i="3"/>
  <c r="T124" i="3"/>
  <c r="P124" i="3"/>
  <c r="AR124" i="3"/>
  <c r="G124" i="3"/>
  <c r="B124" i="3"/>
  <c r="B122" i="9" s="1"/>
  <c r="K132" i="3"/>
  <c r="AG132" i="3"/>
  <c r="AE132" i="3"/>
  <c r="V132" i="3"/>
  <c r="U132" i="3"/>
  <c r="P132" i="3"/>
  <c r="B132" i="3"/>
  <c r="B130" i="9" s="1"/>
  <c r="S140" i="3"/>
  <c r="AG140" i="3"/>
  <c r="AV140" i="3"/>
  <c r="C138" i="9" s="1"/>
  <c r="V140" i="3"/>
  <c r="AC140" i="3"/>
  <c r="L140" i="3"/>
  <c r="AB140" i="3"/>
  <c r="F148" i="3"/>
  <c r="A154" i="9"/>
  <c r="X156" i="3"/>
  <c r="P156" i="3"/>
  <c r="G156" i="3"/>
  <c r="AB156" i="3"/>
  <c r="S156" i="3"/>
  <c r="H150" i="3"/>
  <c r="AA156" i="3"/>
  <c r="R156" i="3"/>
  <c r="AR156" i="3"/>
  <c r="Z156" i="3"/>
  <c r="Q156" i="3"/>
  <c r="F156" i="3"/>
  <c r="Y156" i="3"/>
  <c r="E156" i="3"/>
  <c r="AG156" i="3"/>
  <c r="W156" i="3"/>
  <c r="N156" i="3"/>
  <c r="D156" i="3"/>
  <c r="AE156" i="3"/>
  <c r="V156" i="3"/>
  <c r="M156" i="3"/>
  <c r="B156" i="3"/>
  <c r="B154" i="9" s="1"/>
  <c r="AD156" i="3"/>
  <c r="AP156" i="3" s="1"/>
  <c r="U156" i="3"/>
  <c r="L156" i="3"/>
  <c r="AV156" i="3"/>
  <c r="C154" i="9" s="1"/>
  <c r="I150" i="3"/>
  <c r="AC156" i="3"/>
  <c r="T156" i="3"/>
  <c r="K156" i="3"/>
  <c r="W121" i="1"/>
  <c r="B127" i="1"/>
  <c r="S127" i="1"/>
  <c r="B131" i="1"/>
  <c r="S131" i="1"/>
  <c r="W133" i="1"/>
  <c r="B135" i="1"/>
  <c r="S135" i="1"/>
  <c r="B139" i="1"/>
  <c r="S139" i="1"/>
  <c r="B143" i="1"/>
  <c r="S143" i="1"/>
  <c r="W149" i="1"/>
  <c r="B151" i="1"/>
  <c r="S151" i="1"/>
  <c r="B155" i="1"/>
  <c r="S155" i="1"/>
  <c r="W157" i="1"/>
  <c r="B159" i="1"/>
  <c r="S159" i="1"/>
  <c r="W161" i="1"/>
  <c r="U162" i="1"/>
  <c r="B163" i="1"/>
  <c r="S163" i="1"/>
  <c r="W165" i="1"/>
  <c r="U166" i="1"/>
  <c r="B167" i="1"/>
  <c r="S167" i="1"/>
  <c r="W169" i="1"/>
  <c r="U170" i="1"/>
  <c r="B171" i="1"/>
  <c r="S171" i="1"/>
  <c r="W173" i="1"/>
  <c r="U174" i="1"/>
  <c r="B175" i="1"/>
  <c r="S175" i="1"/>
  <c r="W177" i="1"/>
  <c r="U178" i="1"/>
  <c r="B179" i="1"/>
  <c r="S179" i="1"/>
  <c r="W181" i="1"/>
  <c r="U182" i="1"/>
  <c r="B183" i="1"/>
  <c r="S183" i="1"/>
  <c r="W185" i="1"/>
  <c r="U186" i="1"/>
  <c r="B187" i="1"/>
  <c r="S187" i="1"/>
  <c r="W189" i="1"/>
  <c r="U190" i="1"/>
  <c r="B191" i="1"/>
  <c r="S191" i="1"/>
  <c r="E195" i="1"/>
  <c r="E196" i="1"/>
  <c r="W196" i="1"/>
  <c r="V201" i="1"/>
  <c r="E201" i="1"/>
  <c r="U201" i="1"/>
  <c r="A201" i="2"/>
  <c r="T201" i="1"/>
  <c r="E202" i="1"/>
  <c r="V205" i="1"/>
  <c r="E205" i="1"/>
  <c r="U205" i="1"/>
  <c r="A205" i="2"/>
  <c r="T205" i="1"/>
  <c r="E206" i="1"/>
  <c r="V209" i="1"/>
  <c r="E209" i="1"/>
  <c r="U209" i="1"/>
  <c r="A209" i="2"/>
  <c r="T209" i="1"/>
  <c r="E210" i="1"/>
  <c r="V213" i="1"/>
  <c r="E213" i="1"/>
  <c r="U213" i="1"/>
  <c r="A213" i="2"/>
  <c r="T213" i="1"/>
  <c r="E214" i="1"/>
  <c r="V217" i="1"/>
  <c r="E217" i="1"/>
  <c r="U217" i="1"/>
  <c r="A217" i="2"/>
  <c r="T217" i="1"/>
  <c r="E218" i="1"/>
  <c r="V221" i="1"/>
  <c r="E221" i="1"/>
  <c r="U221" i="1"/>
  <c r="A221" i="2"/>
  <c r="T221" i="1"/>
  <c r="E222" i="1"/>
  <c r="V225" i="1"/>
  <c r="E225" i="1"/>
  <c r="U225" i="1"/>
  <c r="A225" i="2"/>
  <c r="T225" i="1"/>
  <c r="E226" i="1"/>
  <c r="V229" i="1"/>
  <c r="E229" i="1"/>
  <c r="U229" i="1"/>
  <c r="A229" i="2"/>
  <c r="T229" i="1"/>
  <c r="E230" i="1"/>
  <c r="T234" i="1"/>
  <c r="C234" i="1"/>
  <c r="X234" i="1" s="1"/>
  <c r="Y234" i="1" s="1"/>
  <c r="Z234" i="1" s="1"/>
  <c r="D234" i="1" s="1"/>
  <c r="S234" i="1"/>
  <c r="B234" i="1"/>
  <c r="A234" i="2"/>
  <c r="W234" i="1"/>
  <c r="T238" i="1"/>
  <c r="C238" i="1"/>
  <c r="X238" i="1" s="1"/>
  <c r="Y238" i="1" s="1"/>
  <c r="Z238" i="1" s="1"/>
  <c r="D238" i="1" s="1"/>
  <c r="S238" i="1"/>
  <c r="B238" i="1"/>
  <c r="A238" i="2"/>
  <c r="W238" i="1"/>
  <c r="T242" i="1"/>
  <c r="C242" i="1"/>
  <c r="X242" i="1" s="1"/>
  <c r="Y242" i="1" s="1"/>
  <c r="Z242" i="1" s="1"/>
  <c r="D242" i="1" s="1"/>
  <c r="S242" i="1"/>
  <c r="B242" i="1"/>
  <c r="A242" i="2"/>
  <c r="W242" i="1"/>
  <c r="T246" i="1"/>
  <c r="C246" i="1"/>
  <c r="X246" i="1" s="1"/>
  <c r="Y246" i="1" s="1"/>
  <c r="Z246" i="1" s="1"/>
  <c r="D246" i="1" s="1"/>
  <c r="S246" i="1"/>
  <c r="B246" i="1"/>
  <c r="A246" i="2"/>
  <c r="W246" i="1"/>
  <c r="T250" i="1"/>
  <c r="C250" i="1"/>
  <c r="X250" i="1" s="1"/>
  <c r="Y250" i="1" s="1"/>
  <c r="Z250" i="1" s="1"/>
  <c r="D250" i="1" s="1"/>
  <c r="S250" i="1"/>
  <c r="B250" i="1"/>
  <c r="A250" i="2"/>
  <c r="W250" i="1"/>
  <c r="T254" i="1"/>
  <c r="C254" i="1"/>
  <c r="X254" i="1" s="1"/>
  <c r="Y254" i="1" s="1"/>
  <c r="Z254" i="1" s="1"/>
  <c r="D254" i="1" s="1"/>
  <c r="S254" i="1"/>
  <c r="B254" i="1"/>
  <c r="A254" i="2"/>
  <c r="W254" i="1"/>
  <c r="T258" i="1"/>
  <c r="C258" i="1"/>
  <c r="X258" i="1" s="1"/>
  <c r="Y258" i="1" s="1"/>
  <c r="Z258" i="1" s="1"/>
  <c r="D258" i="1" s="1"/>
  <c r="S258" i="1"/>
  <c r="B258" i="1"/>
  <c r="A258" i="2"/>
  <c r="W258" i="1"/>
  <c r="W274" i="1"/>
  <c r="W277" i="1"/>
  <c r="V277" i="1"/>
  <c r="E277" i="1"/>
  <c r="A277" i="2"/>
  <c r="U277" i="1"/>
  <c r="S277" i="1"/>
  <c r="B277" i="1"/>
  <c r="E284" i="1"/>
  <c r="A290" i="2"/>
  <c r="V290" i="1"/>
  <c r="E290" i="1"/>
  <c r="U290" i="1"/>
  <c r="T290" i="1"/>
  <c r="C290" i="1"/>
  <c r="X290" i="1" s="1"/>
  <c r="Y290" i="1" s="1"/>
  <c r="Z290" i="1" s="1"/>
  <c r="D290" i="1" s="1"/>
  <c r="S290" i="1"/>
  <c r="B290" i="1"/>
  <c r="E295" i="1"/>
  <c r="E303" i="1"/>
  <c r="E311" i="1"/>
  <c r="E327" i="1"/>
  <c r="A50" i="9"/>
  <c r="K52" i="3"/>
  <c r="P52" i="3"/>
  <c r="G52" i="3"/>
  <c r="D52" i="3"/>
  <c r="AR52" i="3"/>
  <c r="N76" i="3"/>
  <c r="A82" i="9"/>
  <c r="Z84" i="3"/>
  <c r="R84" i="3"/>
  <c r="X84" i="3"/>
  <c r="P84" i="3"/>
  <c r="G84" i="3"/>
  <c r="I78" i="3"/>
  <c r="AR84" i="3"/>
  <c r="AB84" i="3"/>
  <c r="T84" i="3"/>
  <c r="AN84" i="3" s="1"/>
  <c r="B84" i="3"/>
  <c r="B82" i="9" s="1"/>
  <c r="N84" i="3"/>
  <c r="H78" i="3"/>
  <c r="K84" i="3"/>
  <c r="AV84" i="3"/>
  <c r="C82" i="9" s="1"/>
  <c r="V84" i="3"/>
  <c r="AG84" i="3"/>
  <c r="F84" i="3"/>
  <c r="AE84" i="3"/>
  <c r="E84" i="3"/>
  <c r="AD84" i="3"/>
  <c r="AP84" i="3" s="1"/>
  <c r="D84" i="3"/>
  <c r="A56" i="9"/>
  <c r="AB58" i="3"/>
  <c r="A72" i="9"/>
  <c r="AV74" i="3"/>
  <c r="C72" i="9" s="1"/>
  <c r="AD74" i="3"/>
  <c r="AP74" i="3" s="1"/>
  <c r="V74" i="3"/>
  <c r="N74" i="3"/>
  <c r="E74" i="3"/>
  <c r="AR74" i="3"/>
  <c r="AB74" i="3"/>
  <c r="T74" i="3"/>
  <c r="B74" i="3"/>
  <c r="B72" i="9" s="1"/>
  <c r="AG74" i="3"/>
  <c r="W74" i="3"/>
  <c r="K74" i="3"/>
  <c r="I68" i="3"/>
  <c r="AC74" i="3"/>
  <c r="R74" i="3"/>
  <c r="G74" i="3"/>
  <c r="H68" i="3"/>
  <c r="AA74" i="3"/>
  <c r="F74" i="3"/>
  <c r="Z74" i="3"/>
  <c r="P74" i="3"/>
  <c r="D74" i="3"/>
  <c r="Y74" i="3"/>
  <c r="X74" i="3"/>
  <c r="A80" i="9"/>
  <c r="AR82" i="3"/>
  <c r="AB82" i="3"/>
  <c r="T82" i="3"/>
  <c r="AN82" i="3" s="1"/>
  <c r="B82" i="3"/>
  <c r="B80" i="9" s="1"/>
  <c r="Z82" i="3"/>
  <c r="R82" i="3"/>
  <c r="AD82" i="3"/>
  <c r="AP82" i="3" s="1"/>
  <c r="V82" i="3"/>
  <c r="N82" i="3"/>
  <c r="E82" i="3"/>
  <c r="AC82" i="3"/>
  <c r="P82" i="3"/>
  <c r="Y82" i="3"/>
  <c r="I76" i="3"/>
  <c r="X82" i="3"/>
  <c r="K82" i="3"/>
  <c r="H76" i="3"/>
  <c r="W82" i="3"/>
  <c r="AV82" i="3"/>
  <c r="C80" i="9" s="1"/>
  <c r="AG82" i="3"/>
  <c r="G82" i="3"/>
  <c r="F82" i="3"/>
  <c r="D82" i="3"/>
  <c r="AE82" i="3"/>
  <c r="T90" i="3"/>
  <c r="X90" i="3"/>
  <c r="AD90" i="3"/>
  <c r="AA90" i="3"/>
  <c r="W90" i="3"/>
  <c r="S90" i="3"/>
  <c r="AV90" i="3"/>
  <c r="C88" i="9" s="1"/>
  <c r="AE98" i="3"/>
  <c r="K98" i="3"/>
  <c r="G106" i="3"/>
  <c r="T106" i="3"/>
  <c r="A112" i="9"/>
  <c r="AC114" i="3"/>
  <c r="U114" i="3"/>
  <c r="M114" i="3"/>
  <c r="D114" i="3"/>
  <c r="AA114" i="3"/>
  <c r="S114" i="3"/>
  <c r="K114" i="3"/>
  <c r="H108" i="3"/>
  <c r="AG114" i="3"/>
  <c r="Y114" i="3"/>
  <c r="Q114" i="3"/>
  <c r="X114" i="3"/>
  <c r="P114" i="3"/>
  <c r="G114" i="3"/>
  <c r="AV114" i="3"/>
  <c r="C112" i="9" s="1"/>
  <c r="AE114" i="3"/>
  <c r="W114" i="3"/>
  <c r="F114" i="3"/>
  <c r="T114" i="3"/>
  <c r="R114" i="3"/>
  <c r="N114" i="3"/>
  <c r="AD114" i="3"/>
  <c r="AP114" i="3" s="1"/>
  <c r="AB114" i="3"/>
  <c r="E114" i="3"/>
  <c r="I108" i="3"/>
  <c r="Z114" i="3"/>
  <c r="B114" i="3"/>
  <c r="B112" i="9" s="1"/>
  <c r="AR114" i="3"/>
  <c r="V114" i="3"/>
  <c r="A116" i="9"/>
  <c r="AG118" i="3"/>
  <c r="Y118" i="3"/>
  <c r="Q118" i="3"/>
  <c r="AV118" i="3"/>
  <c r="C116" i="9" s="1"/>
  <c r="AE118" i="3"/>
  <c r="W118" i="3"/>
  <c r="F118" i="3"/>
  <c r="AC118" i="3"/>
  <c r="U118" i="3"/>
  <c r="M118" i="3"/>
  <c r="D118" i="3"/>
  <c r="AR118" i="3"/>
  <c r="AB118" i="3"/>
  <c r="T118" i="3"/>
  <c r="B118" i="3"/>
  <c r="B116" i="9" s="1"/>
  <c r="I112" i="3"/>
  <c r="AA118" i="3"/>
  <c r="S118" i="3"/>
  <c r="K118" i="3"/>
  <c r="H112" i="3"/>
  <c r="AD118" i="3"/>
  <c r="AP118" i="3" s="1"/>
  <c r="G118" i="3"/>
  <c r="Z118" i="3"/>
  <c r="E118" i="3"/>
  <c r="X118" i="3"/>
  <c r="V118" i="3"/>
  <c r="R118" i="3"/>
  <c r="P118" i="3"/>
  <c r="N118" i="3"/>
  <c r="AG121" i="3"/>
  <c r="X121" i="3"/>
  <c r="N121" i="3"/>
  <c r="U121" i="3"/>
  <c r="B121" i="3"/>
  <c r="B119" i="9" s="1"/>
  <c r="AA121" i="3"/>
  <c r="K121" i="3"/>
  <c r="A125" i="9"/>
  <c r="AR127" i="3"/>
  <c r="AB127" i="3"/>
  <c r="T127" i="3"/>
  <c r="B127" i="3"/>
  <c r="B125" i="9" s="1"/>
  <c r="I121" i="3"/>
  <c r="AA127" i="3"/>
  <c r="S127" i="3"/>
  <c r="K127" i="3"/>
  <c r="H121" i="3"/>
  <c r="Z127" i="3"/>
  <c r="R127" i="3"/>
  <c r="X127" i="3"/>
  <c r="P127" i="3"/>
  <c r="G127" i="3"/>
  <c r="AV127" i="3"/>
  <c r="C125" i="9" s="1"/>
  <c r="AE127" i="3"/>
  <c r="W127" i="3"/>
  <c r="F127" i="3"/>
  <c r="AD127" i="3"/>
  <c r="AP127" i="3" s="1"/>
  <c r="V127" i="3"/>
  <c r="N127" i="3"/>
  <c r="E127" i="3"/>
  <c r="U127" i="3"/>
  <c r="Q127" i="3"/>
  <c r="M127" i="3"/>
  <c r="D127" i="3"/>
  <c r="AG127" i="3"/>
  <c r="AC127" i="3"/>
  <c r="Y127" i="3"/>
  <c r="A133" i="9"/>
  <c r="AR135" i="3"/>
  <c r="AB135" i="3"/>
  <c r="T135" i="3"/>
  <c r="L135" i="3"/>
  <c r="B135" i="3"/>
  <c r="B133" i="9" s="1"/>
  <c r="I129" i="3"/>
  <c r="AA135" i="3"/>
  <c r="S135" i="3"/>
  <c r="K135" i="3"/>
  <c r="H129" i="3"/>
  <c r="Z135" i="3"/>
  <c r="R135" i="3"/>
  <c r="X135" i="3"/>
  <c r="P135" i="3"/>
  <c r="G135" i="3"/>
  <c r="AV135" i="3"/>
  <c r="C133" i="9" s="1"/>
  <c r="AE135" i="3"/>
  <c r="W135" i="3"/>
  <c r="F135" i="3"/>
  <c r="AD135" i="3"/>
  <c r="AP135" i="3" s="1"/>
  <c r="V135" i="3"/>
  <c r="N135" i="3"/>
  <c r="E135" i="3"/>
  <c r="M135" i="3"/>
  <c r="D135" i="3"/>
  <c r="AG135" i="3"/>
  <c r="AC135" i="3"/>
  <c r="Y135" i="3"/>
  <c r="U135" i="3"/>
  <c r="Q135" i="3"/>
  <c r="K143" i="3"/>
  <c r="H137" i="3"/>
  <c r="X143" i="3"/>
  <c r="A149" i="9"/>
  <c r="AR151" i="3"/>
  <c r="AB151" i="3"/>
  <c r="T151" i="3"/>
  <c r="L151" i="3"/>
  <c r="B151" i="3"/>
  <c r="B149" i="9" s="1"/>
  <c r="I145" i="3"/>
  <c r="AA151" i="3"/>
  <c r="S151" i="3"/>
  <c r="K151" i="3"/>
  <c r="H145" i="3"/>
  <c r="Z151" i="3"/>
  <c r="R151" i="3"/>
  <c r="X151" i="3"/>
  <c r="P151" i="3"/>
  <c r="G151" i="3"/>
  <c r="AV151" i="3"/>
  <c r="C149" i="9" s="1"/>
  <c r="AE151" i="3"/>
  <c r="W151" i="3"/>
  <c r="F151" i="3"/>
  <c r="AD151" i="3"/>
  <c r="AP151" i="3" s="1"/>
  <c r="V151" i="3"/>
  <c r="N151" i="3"/>
  <c r="E151" i="3"/>
  <c r="AC151" i="3"/>
  <c r="Y151" i="3"/>
  <c r="U151" i="3"/>
  <c r="Q151" i="3"/>
  <c r="M151" i="3"/>
  <c r="D151" i="3"/>
  <c r="AG151" i="3"/>
  <c r="A8" i="1"/>
  <c r="A12" i="1"/>
  <c r="A16" i="1"/>
  <c r="A20" i="1"/>
  <c r="A24" i="1"/>
  <c r="A28" i="1"/>
  <c r="A32" i="1"/>
  <c r="A36" i="1"/>
  <c r="A40" i="1"/>
  <c r="A44" i="1"/>
  <c r="A48" i="1"/>
  <c r="A52" i="1"/>
  <c r="A56" i="1"/>
  <c r="A60" i="1"/>
  <c r="A64" i="1"/>
  <c r="A68" i="1"/>
  <c r="A72" i="1"/>
  <c r="A76" i="1"/>
  <c r="A80" i="1"/>
  <c r="A84" i="1"/>
  <c r="A88" i="1"/>
  <c r="A92" i="1"/>
  <c r="A96" i="1"/>
  <c r="A100" i="1"/>
  <c r="A104" i="1"/>
  <c r="I104" i="1" s="1"/>
  <c r="A108" i="1"/>
  <c r="A112" i="1"/>
  <c r="A116" i="1"/>
  <c r="A120" i="1"/>
  <c r="A124" i="1"/>
  <c r="C127" i="1"/>
  <c r="X127" i="1" s="1"/>
  <c r="Y127" i="1" s="1"/>
  <c r="Z127" i="1" s="1"/>
  <c r="D127" i="1" s="1"/>
  <c r="A128" i="1"/>
  <c r="C131" i="1"/>
  <c r="X131" i="1" s="1"/>
  <c r="Y131" i="1" s="1"/>
  <c r="Z131" i="1" s="1"/>
  <c r="D131" i="1" s="1"/>
  <c r="A132" i="1"/>
  <c r="R132" i="1" s="1"/>
  <c r="C135" i="1"/>
  <c r="X135" i="1" s="1"/>
  <c r="Y135" i="1" s="1"/>
  <c r="Z135" i="1" s="1"/>
  <c r="D135" i="1" s="1"/>
  <c r="T135" i="1"/>
  <c r="A136" i="1"/>
  <c r="I136" i="1" s="1"/>
  <c r="C139" i="1"/>
  <c r="X139" i="1" s="1"/>
  <c r="Y139" i="1" s="1"/>
  <c r="Z139" i="1" s="1"/>
  <c r="D139" i="1" s="1"/>
  <c r="T139" i="1"/>
  <c r="A140" i="1"/>
  <c r="J140" i="1" s="1"/>
  <c r="C143" i="1"/>
  <c r="X143" i="1" s="1"/>
  <c r="Y143" i="1" s="1"/>
  <c r="Z143" i="1" s="1"/>
  <c r="D143" i="1" s="1"/>
  <c r="T143" i="1"/>
  <c r="A144" i="1"/>
  <c r="I144" i="1" s="1"/>
  <c r="T147" i="1"/>
  <c r="A148" i="1"/>
  <c r="J148" i="1" s="1"/>
  <c r="C151" i="1"/>
  <c r="X151" i="1" s="1"/>
  <c r="Y151" i="1" s="1"/>
  <c r="Z151" i="1" s="1"/>
  <c r="D151" i="1" s="1"/>
  <c r="T151" i="1"/>
  <c r="A152" i="1"/>
  <c r="J152" i="1" s="1"/>
  <c r="C155" i="1"/>
  <c r="X155" i="1" s="1"/>
  <c r="Y155" i="1" s="1"/>
  <c r="Z155" i="1" s="1"/>
  <c r="D155" i="1" s="1"/>
  <c r="T155" i="1"/>
  <c r="A156" i="1"/>
  <c r="J156" i="1" s="1"/>
  <c r="C159" i="1"/>
  <c r="X159" i="1" s="1"/>
  <c r="Y159" i="1" s="1"/>
  <c r="Z159" i="1" s="1"/>
  <c r="D159" i="1" s="1"/>
  <c r="T159" i="1"/>
  <c r="E162" i="1"/>
  <c r="V162" i="1"/>
  <c r="C163" i="1"/>
  <c r="X163" i="1" s="1"/>
  <c r="Y163" i="1" s="1"/>
  <c r="Z163" i="1" s="1"/>
  <c r="D163" i="1" s="1"/>
  <c r="T163" i="1"/>
  <c r="E166" i="1"/>
  <c r="V166" i="1"/>
  <c r="C167" i="1"/>
  <c r="X167" i="1" s="1"/>
  <c r="Y167" i="1" s="1"/>
  <c r="Z167" i="1" s="1"/>
  <c r="D167" i="1" s="1"/>
  <c r="T167" i="1"/>
  <c r="E170" i="1"/>
  <c r="V170" i="1"/>
  <c r="C171" i="1"/>
  <c r="X171" i="1" s="1"/>
  <c r="Y171" i="1" s="1"/>
  <c r="Z171" i="1" s="1"/>
  <c r="D171" i="1" s="1"/>
  <c r="T171" i="1"/>
  <c r="E174" i="1"/>
  <c r="V174" i="1"/>
  <c r="C175" i="1"/>
  <c r="X175" i="1" s="1"/>
  <c r="Y175" i="1" s="1"/>
  <c r="Z175" i="1" s="1"/>
  <c r="D175" i="1" s="1"/>
  <c r="T175" i="1"/>
  <c r="E178" i="1"/>
  <c r="V178" i="1"/>
  <c r="C179" i="1"/>
  <c r="X179" i="1" s="1"/>
  <c r="Y179" i="1" s="1"/>
  <c r="Z179" i="1" s="1"/>
  <c r="D179" i="1" s="1"/>
  <c r="T179" i="1"/>
  <c r="E182" i="1"/>
  <c r="V182" i="1"/>
  <c r="C183" i="1"/>
  <c r="X183" i="1" s="1"/>
  <c r="Y183" i="1" s="1"/>
  <c r="Z183" i="1" s="1"/>
  <c r="D183" i="1" s="1"/>
  <c r="T183" i="1"/>
  <c r="E186" i="1"/>
  <c r="V186" i="1"/>
  <c r="C187" i="1"/>
  <c r="X187" i="1" s="1"/>
  <c r="Y187" i="1" s="1"/>
  <c r="Z187" i="1" s="1"/>
  <c r="D187" i="1" s="1"/>
  <c r="T187" i="1"/>
  <c r="E190" i="1"/>
  <c r="V190" i="1"/>
  <c r="C191" i="1"/>
  <c r="X191" i="1" s="1"/>
  <c r="Y191" i="1" s="1"/>
  <c r="Z191" i="1" s="1"/>
  <c r="D191" i="1" s="1"/>
  <c r="T191" i="1"/>
  <c r="W232" i="1"/>
  <c r="U232" i="1"/>
  <c r="A232" i="2"/>
  <c r="V232" i="1"/>
  <c r="W236" i="1"/>
  <c r="U236" i="1"/>
  <c r="A236" i="2"/>
  <c r="V236" i="1"/>
  <c r="W240" i="1"/>
  <c r="U240" i="1"/>
  <c r="A240" i="2"/>
  <c r="V240" i="1"/>
  <c r="W244" i="1"/>
  <c r="U244" i="1"/>
  <c r="A244" i="2"/>
  <c r="V244" i="1"/>
  <c r="W248" i="1"/>
  <c r="U248" i="1"/>
  <c r="A248" i="2"/>
  <c r="V248" i="1"/>
  <c r="W252" i="1"/>
  <c r="U252" i="1"/>
  <c r="A252" i="2"/>
  <c r="V252" i="1"/>
  <c r="W256" i="1"/>
  <c r="U256" i="1"/>
  <c r="A256" i="2"/>
  <c r="V256" i="1"/>
  <c r="W260" i="1"/>
  <c r="U260" i="1"/>
  <c r="A260" i="2"/>
  <c r="V260" i="1"/>
  <c r="E263" i="1"/>
  <c r="T273" i="1"/>
  <c r="C276" i="1"/>
  <c r="X276" i="1" s="1"/>
  <c r="Y276" i="1" s="1"/>
  <c r="Z276" i="1" s="1"/>
  <c r="D276" i="1" s="1"/>
  <c r="C277" i="1"/>
  <c r="X277" i="1" s="1"/>
  <c r="Y277" i="1" s="1"/>
  <c r="Z277" i="1" s="1"/>
  <c r="D277" i="1" s="1"/>
  <c r="E279" i="1"/>
  <c r="W286" i="1"/>
  <c r="A289" i="2"/>
  <c r="W289" i="1"/>
  <c r="V289" i="1"/>
  <c r="E289" i="1"/>
  <c r="U289" i="1"/>
  <c r="S289" i="1"/>
  <c r="B289" i="1"/>
  <c r="C296" i="1"/>
  <c r="X296" i="1" s="1"/>
  <c r="Y296" i="1" s="1"/>
  <c r="Z296" i="1" s="1"/>
  <c r="D296" i="1" s="1"/>
  <c r="C304" i="1"/>
  <c r="X304" i="1" s="1"/>
  <c r="Y304" i="1" s="1"/>
  <c r="Z304" i="1" s="1"/>
  <c r="D304" i="1" s="1"/>
  <c r="C312" i="1"/>
  <c r="X312" i="1" s="1"/>
  <c r="Y312" i="1" s="1"/>
  <c r="Z312" i="1" s="1"/>
  <c r="D312" i="1" s="1"/>
  <c r="A321" i="2"/>
  <c r="W321" i="1"/>
  <c r="V321" i="1"/>
  <c r="E321" i="1"/>
  <c r="U321" i="1"/>
  <c r="T321" i="1"/>
  <c r="C321" i="1"/>
  <c r="X321" i="1" s="1"/>
  <c r="Y321" i="1" s="1"/>
  <c r="Z321" i="1" s="1"/>
  <c r="D321" i="1" s="1"/>
  <c r="S321" i="1"/>
  <c r="B321" i="1"/>
  <c r="A14" i="9"/>
  <c r="D16" i="3"/>
  <c r="AR16" i="3"/>
  <c r="AB16" i="3"/>
  <c r="T16" i="3"/>
  <c r="B16" i="3"/>
  <c r="B14" i="9" s="1"/>
  <c r="AA16" i="3"/>
  <c r="K16" i="3"/>
  <c r="Z16" i="3"/>
  <c r="R16" i="3"/>
  <c r="AG16" i="3"/>
  <c r="Y16" i="3"/>
  <c r="I10" i="3"/>
  <c r="X16" i="3"/>
  <c r="P16" i="3"/>
  <c r="G16" i="3"/>
  <c r="H10" i="3"/>
  <c r="F16" i="3"/>
  <c r="AD16" i="3"/>
  <c r="AP16" i="3" s="1"/>
  <c r="V16" i="3"/>
  <c r="N16" i="3"/>
  <c r="E16" i="3"/>
  <c r="AV16" i="3"/>
  <c r="C14" i="9" s="1"/>
  <c r="A8" i="9"/>
  <c r="N10" i="3"/>
  <c r="AB10" i="3"/>
  <c r="K10" i="3"/>
  <c r="Y10" i="3"/>
  <c r="F10" i="3"/>
  <c r="T18" i="3"/>
  <c r="B18" i="3"/>
  <c r="B16" i="9" s="1"/>
  <c r="K18" i="3"/>
  <c r="I12" i="3"/>
  <c r="X18" i="3"/>
  <c r="G18" i="3"/>
  <c r="AD18" i="3"/>
  <c r="AP18" i="3" s="1"/>
  <c r="V18" i="3"/>
  <c r="AB26" i="3"/>
  <c r="A32" i="9"/>
  <c r="D34" i="3"/>
  <c r="AR34" i="3"/>
  <c r="AB34" i="3"/>
  <c r="T34" i="3"/>
  <c r="AN34" i="3" s="1"/>
  <c r="B34" i="3"/>
  <c r="B32" i="9" s="1"/>
  <c r="K34" i="3"/>
  <c r="Z34" i="3"/>
  <c r="R34" i="3"/>
  <c r="I28" i="3"/>
  <c r="AG34" i="3"/>
  <c r="H28" i="3"/>
  <c r="X34" i="3"/>
  <c r="P34" i="3"/>
  <c r="G34" i="3"/>
  <c r="AV34" i="3"/>
  <c r="C32" i="9" s="1"/>
  <c r="AE34" i="3"/>
  <c r="F34" i="3"/>
  <c r="E34" i="3"/>
  <c r="AD34" i="3"/>
  <c r="AP34" i="3" s="1"/>
  <c r="V34" i="3"/>
  <c r="N34" i="3"/>
  <c r="Y42" i="3"/>
  <c r="I36" i="3"/>
  <c r="AD42" i="3"/>
  <c r="AP42" i="3" s="1"/>
  <c r="V42" i="3"/>
  <c r="AR42" i="3"/>
  <c r="A48" i="9"/>
  <c r="AA50" i="3"/>
  <c r="K50" i="3"/>
  <c r="Z50" i="3"/>
  <c r="R50" i="3"/>
  <c r="I44" i="3"/>
  <c r="AG50" i="3"/>
  <c r="Y50" i="3"/>
  <c r="H44" i="3"/>
  <c r="X50" i="3"/>
  <c r="P50" i="3"/>
  <c r="G50" i="3"/>
  <c r="F50" i="3"/>
  <c r="AV50" i="3"/>
  <c r="C48" i="9" s="1"/>
  <c r="AD50" i="3"/>
  <c r="AP50" i="3" s="1"/>
  <c r="V50" i="3"/>
  <c r="N50" i="3"/>
  <c r="E50" i="3"/>
  <c r="D50" i="3"/>
  <c r="B50" i="3"/>
  <c r="B48" i="9" s="1"/>
  <c r="AR50" i="3"/>
  <c r="AB50" i="3"/>
  <c r="T50" i="3"/>
  <c r="AN50" i="3" s="1"/>
  <c r="A64" i="9"/>
  <c r="D66" i="3"/>
  <c r="Z66" i="3"/>
  <c r="R66" i="3"/>
  <c r="G66" i="3"/>
  <c r="F66" i="3"/>
  <c r="K712" i="10"/>
  <c r="K707" i="10"/>
  <c r="K706" i="10"/>
  <c r="G747" i="10"/>
  <c r="P747" i="10" s="1"/>
  <c r="G746" i="10"/>
  <c r="P746" i="10" s="1"/>
  <c r="G742" i="10"/>
  <c r="P742" i="10" s="1"/>
  <c r="G738" i="10"/>
  <c r="P738" i="10" s="1"/>
  <c r="G743" i="10"/>
  <c r="P743" i="10" s="1"/>
  <c r="G735" i="10"/>
  <c r="P735" i="10" s="1"/>
  <c r="G719" i="10"/>
  <c r="P719" i="10" s="1"/>
  <c r="G712" i="10"/>
  <c r="P712" i="10" s="1"/>
  <c r="G707" i="10"/>
  <c r="P707" i="10" s="1"/>
  <c r="I706" i="10"/>
  <c r="G704" i="10"/>
  <c r="P704" i="10" s="1"/>
  <c r="K703" i="10"/>
  <c r="G679" i="10"/>
  <c r="P679" i="10" s="1"/>
  <c r="G722" i="10"/>
  <c r="P722" i="10" s="1"/>
  <c r="K708" i="10"/>
  <c r="L705" i="10"/>
  <c r="I703" i="10"/>
  <c r="G701" i="10"/>
  <c r="P701" i="10" s="1"/>
  <c r="G723" i="10"/>
  <c r="P723" i="10" s="1"/>
  <c r="G706" i="10"/>
  <c r="P706" i="10" s="1"/>
  <c r="K705" i="10"/>
  <c r="I681" i="10"/>
  <c r="N679" i="10"/>
  <c r="O679" i="10" s="1"/>
  <c r="G739" i="10"/>
  <c r="P739" i="10" s="1"/>
  <c r="G726" i="10"/>
  <c r="P726" i="10" s="1"/>
  <c r="K714" i="10"/>
  <c r="G709" i="10"/>
  <c r="P709" i="10" s="1"/>
  <c r="I705" i="10"/>
  <c r="G703" i="10"/>
  <c r="P703" i="10" s="1"/>
  <c r="K702" i="10"/>
  <c r="G727" i="10"/>
  <c r="P727" i="10" s="1"/>
  <c r="I702" i="10"/>
  <c r="G730" i="10"/>
  <c r="P730" i="10" s="1"/>
  <c r="G705" i="10"/>
  <c r="P705" i="10" s="1"/>
  <c r="K704" i="10"/>
  <c r="G731" i="10"/>
  <c r="P731" i="10" s="1"/>
  <c r="G715" i="10"/>
  <c r="P715" i="10" s="1"/>
  <c r="G734" i="10"/>
  <c r="P734" i="10" s="1"/>
  <c r="N684" i="10"/>
  <c r="O684" i="10" s="1"/>
  <c r="G673" i="10"/>
  <c r="P673" i="10" s="1"/>
  <c r="G671" i="10"/>
  <c r="P671" i="10" s="1"/>
  <c r="I695" i="10"/>
  <c r="K675" i="10"/>
  <c r="K701" i="10"/>
  <c r="I693" i="10"/>
  <c r="I679" i="10"/>
  <c r="I704" i="10"/>
  <c r="I701" i="10"/>
  <c r="N681" i="10"/>
  <c r="O681" i="10" s="1"/>
  <c r="G666" i="10"/>
  <c r="P666" i="10" s="1"/>
  <c r="G662" i="10"/>
  <c r="P662" i="10" s="1"/>
  <c r="I707" i="10"/>
  <c r="I699" i="10"/>
  <c r="I691" i="10"/>
  <c r="I687" i="10"/>
  <c r="G718" i="10"/>
  <c r="P718" i="10" s="1"/>
  <c r="K711" i="10"/>
  <c r="G682" i="10"/>
  <c r="P682" i="10" s="1"/>
  <c r="K673" i="10"/>
  <c r="G667" i="10"/>
  <c r="P667" i="10" s="1"/>
  <c r="N666" i="10"/>
  <c r="O666" i="10" s="1"/>
  <c r="G663" i="10"/>
  <c r="P663" i="10" s="1"/>
  <c r="N662" i="10"/>
  <c r="O662" i="10" s="1"/>
  <c r="G702" i="10"/>
  <c r="P702" i="10" s="1"/>
  <c r="I697" i="10"/>
  <c r="I683" i="10"/>
  <c r="N667" i="10"/>
  <c r="O667" i="10" s="1"/>
  <c r="N663" i="10"/>
  <c r="O663" i="10" s="1"/>
  <c r="K648" i="10"/>
  <c r="N668" i="10"/>
  <c r="O668" i="10" s="1"/>
  <c r="N664" i="10"/>
  <c r="O664" i="10" s="1"/>
  <c r="L647" i="10"/>
  <c r="G668" i="10"/>
  <c r="P668" i="10" s="1"/>
  <c r="G664" i="10"/>
  <c r="P664" i="10" s="1"/>
  <c r="G669" i="10"/>
  <c r="P669" i="10" s="1"/>
  <c r="G665" i="10"/>
  <c r="P665" i="10" s="1"/>
  <c r="K647" i="10"/>
  <c r="N620" i="10"/>
  <c r="O620" i="10" s="1"/>
  <c r="S119" i="7"/>
  <c r="L119" i="3" s="1"/>
  <c r="J119" i="7"/>
  <c r="K119" i="7" s="1"/>
  <c r="L119" i="7" s="1"/>
  <c r="M119" i="7" s="1"/>
  <c r="N119" i="7" s="1"/>
  <c r="O119" i="7" s="1"/>
  <c r="I113" i="7"/>
  <c r="S107" i="7"/>
  <c r="J107" i="7"/>
  <c r="I106" i="7"/>
  <c r="K100" i="7"/>
  <c r="S99" i="7"/>
  <c r="L99" i="3" s="1"/>
  <c r="J99" i="7"/>
  <c r="I98" i="7"/>
  <c r="N95" i="7"/>
  <c r="M94" i="7"/>
  <c r="I110" i="7"/>
  <c r="J110" i="7" s="1"/>
  <c r="K110" i="7" s="1"/>
  <c r="L110" i="7" s="1"/>
  <c r="M110" i="7" s="1"/>
  <c r="N110" i="7" s="1"/>
  <c r="O110" i="7" s="1"/>
  <c r="M107" i="7"/>
  <c r="N107" i="7" s="1"/>
  <c r="O107" i="7" s="1"/>
  <c r="L106" i="7"/>
  <c r="S104" i="7"/>
  <c r="L104" i="3" s="1"/>
  <c r="J104" i="7"/>
  <c r="K104" i="7" s="1"/>
  <c r="L104" i="7" s="1"/>
  <c r="M104" i="7" s="1"/>
  <c r="N104" i="7" s="1"/>
  <c r="O104" i="7" s="1"/>
  <c r="I103" i="7"/>
  <c r="M99" i="7"/>
  <c r="N99" i="7" s="1"/>
  <c r="O99" i="7" s="1"/>
  <c r="L98" i="7"/>
  <c r="K97" i="7"/>
  <c r="S96" i="7"/>
  <c r="J96" i="7"/>
  <c r="I95" i="7"/>
  <c r="I120" i="7"/>
  <c r="I112" i="7"/>
  <c r="S112" i="7" s="1"/>
  <c r="J108" i="7"/>
  <c r="K107" i="7"/>
  <c r="N106" i="7"/>
  <c r="I104" i="7"/>
  <c r="S101" i="7"/>
  <c r="L101" i="3" s="1"/>
  <c r="I100" i="7"/>
  <c r="K99" i="7"/>
  <c r="I96" i="7"/>
  <c r="L95" i="7"/>
  <c r="O94" i="7"/>
  <c r="L93" i="7"/>
  <c r="K92" i="7"/>
  <c r="S91" i="7"/>
  <c r="J91" i="7"/>
  <c r="I90" i="7"/>
  <c r="N87" i="7"/>
  <c r="O87" i="7" s="1"/>
  <c r="M86" i="7"/>
  <c r="L85" i="7"/>
  <c r="K84" i="7"/>
  <c r="L84" i="7" s="1"/>
  <c r="M84" i="7" s="1"/>
  <c r="N84" i="7" s="1"/>
  <c r="O84" i="7" s="1"/>
  <c r="S83" i="7"/>
  <c r="J83" i="7"/>
  <c r="M79" i="7"/>
  <c r="N79" i="7" s="1"/>
  <c r="O79" i="7" s="1"/>
  <c r="K77" i="7"/>
  <c r="S76" i="7"/>
  <c r="J76" i="7"/>
  <c r="I75" i="7"/>
  <c r="L70" i="7"/>
  <c r="K69" i="7"/>
  <c r="L69" i="7" s="1"/>
  <c r="M69" i="7" s="1"/>
  <c r="N69" i="7" s="1"/>
  <c r="O69" i="7" s="1"/>
  <c r="S68" i="7"/>
  <c r="J68" i="7"/>
  <c r="I67" i="7"/>
  <c r="I111" i="7"/>
  <c r="J111" i="7" s="1"/>
  <c r="K111" i="7" s="1"/>
  <c r="L111" i="7" s="1"/>
  <c r="M111" i="7" s="1"/>
  <c r="N111" i="7" s="1"/>
  <c r="O111" i="7" s="1"/>
  <c r="S108" i="7"/>
  <c r="K106" i="7"/>
  <c r="J103" i="7"/>
  <c r="K103" i="7" s="1"/>
  <c r="L103" i="7" s="1"/>
  <c r="M103" i="7" s="1"/>
  <c r="N103" i="7" s="1"/>
  <c r="O103" i="7" s="1"/>
  <c r="K98" i="7"/>
  <c r="N97" i="7"/>
  <c r="O97" i="7" s="1"/>
  <c r="J95" i="7"/>
  <c r="L94" i="7"/>
  <c r="S93" i="7"/>
  <c r="L93" i="3" s="1"/>
  <c r="J93" i="7"/>
  <c r="I92" i="7"/>
  <c r="N89" i="7"/>
  <c r="O89" i="7" s="1"/>
  <c r="M88" i="7"/>
  <c r="L87" i="7"/>
  <c r="K86" i="7"/>
  <c r="S85" i="7"/>
  <c r="L85" i="3" s="1"/>
  <c r="J85" i="7"/>
  <c r="I84" i="7"/>
  <c r="K79" i="7"/>
  <c r="I77" i="7"/>
  <c r="K113" i="7"/>
  <c r="L113" i="7" s="1"/>
  <c r="M113" i="7" s="1"/>
  <c r="N113" i="7" s="1"/>
  <c r="O113" i="7" s="1"/>
  <c r="S106" i="7"/>
  <c r="J102" i="7"/>
  <c r="S98" i="7"/>
  <c r="L97" i="7"/>
  <c r="J94" i="7"/>
  <c r="O92" i="7"/>
  <c r="L89" i="7"/>
  <c r="K88" i="7"/>
  <c r="S87" i="7"/>
  <c r="J87" i="7"/>
  <c r="I86" i="7"/>
  <c r="K81" i="7"/>
  <c r="L81" i="7" s="1"/>
  <c r="M81" i="7" s="1"/>
  <c r="N81" i="7" s="1"/>
  <c r="O81" i="7" s="1"/>
  <c r="S80" i="7"/>
  <c r="J80" i="7"/>
  <c r="I79" i="7"/>
  <c r="M75" i="7"/>
  <c r="K73" i="7"/>
  <c r="L73" i="7" s="1"/>
  <c r="M73" i="7" s="1"/>
  <c r="N73" i="7" s="1"/>
  <c r="O73" i="7" s="1"/>
  <c r="I122" i="7"/>
  <c r="J122" i="7" s="1"/>
  <c r="K122" i="7" s="1"/>
  <c r="L122" i="7" s="1"/>
  <c r="M122" i="7" s="1"/>
  <c r="N122" i="7" s="1"/>
  <c r="O122" i="7" s="1"/>
  <c r="I117" i="7"/>
  <c r="S117" i="7" s="1"/>
  <c r="J113" i="7"/>
  <c r="K109" i="7"/>
  <c r="L109" i="7" s="1"/>
  <c r="M109" i="7" s="1"/>
  <c r="N109" i="7" s="1"/>
  <c r="O109" i="7" s="1"/>
  <c r="S102" i="7"/>
  <c r="L102" i="3" s="1"/>
  <c r="I102" i="7"/>
  <c r="K101" i="7"/>
  <c r="L101" i="7" s="1"/>
  <c r="M101" i="7" s="1"/>
  <c r="N101" i="7" s="1"/>
  <c r="O101" i="7" s="1"/>
  <c r="M100" i="7"/>
  <c r="N100" i="7" s="1"/>
  <c r="O100" i="7" s="1"/>
  <c r="J97" i="7"/>
  <c r="M96" i="7"/>
  <c r="N96" i="7" s="1"/>
  <c r="O96" i="7" s="1"/>
  <c r="S94" i="7"/>
  <c r="I94" i="7"/>
  <c r="O93" i="7"/>
  <c r="N92" i="7"/>
  <c r="L90" i="7"/>
  <c r="M90" i="7" s="1"/>
  <c r="N90" i="7" s="1"/>
  <c r="O90" i="7" s="1"/>
  <c r="K89" i="7"/>
  <c r="S88" i="7"/>
  <c r="J88" i="7"/>
  <c r="I87" i="7"/>
  <c r="K82" i="7"/>
  <c r="L82" i="7" s="1"/>
  <c r="M82" i="7" s="1"/>
  <c r="N82" i="7" s="1"/>
  <c r="O82" i="7" s="1"/>
  <c r="S81" i="7"/>
  <c r="J81" i="7"/>
  <c r="I80" i="7"/>
  <c r="M76" i="7"/>
  <c r="N76" i="7" s="1"/>
  <c r="O76" i="7" s="1"/>
  <c r="L75" i="7"/>
  <c r="S73" i="7"/>
  <c r="J73" i="7"/>
  <c r="I72" i="7"/>
  <c r="O70" i="7"/>
  <c r="M68" i="7"/>
  <c r="L67" i="7"/>
  <c r="K66" i="7"/>
  <c r="L66" i="7" s="1"/>
  <c r="M66" i="7" s="1"/>
  <c r="N66" i="7" s="1"/>
  <c r="O66" i="7" s="1"/>
  <c r="S65" i="7"/>
  <c r="J65" i="7"/>
  <c r="I64" i="7"/>
  <c r="I121" i="7"/>
  <c r="S121" i="7" s="1"/>
  <c r="J120" i="7"/>
  <c r="T121" i="1" s="1"/>
  <c r="I116" i="7"/>
  <c r="J116" i="7" s="1"/>
  <c r="K116" i="7" s="1"/>
  <c r="L116" i="7" s="1"/>
  <c r="M116" i="7" s="1"/>
  <c r="N116" i="7" s="1"/>
  <c r="O116" i="7" s="1"/>
  <c r="S109" i="7"/>
  <c r="I109" i="7"/>
  <c r="K108" i="7"/>
  <c r="L108" i="7" s="1"/>
  <c r="M108" i="7" s="1"/>
  <c r="N108" i="7" s="1"/>
  <c r="O108" i="7" s="1"/>
  <c r="L107" i="7"/>
  <c r="O106" i="7"/>
  <c r="I101" i="7"/>
  <c r="J100" i="7"/>
  <c r="L99" i="7"/>
  <c r="K96" i="7"/>
  <c r="M95" i="7"/>
  <c r="M93" i="7"/>
  <c r="L92" i="7"/>
  <c r="K91" i="7"/>
  <c r="S90" i="7"/>
  <c r="J90" i="7"/>
  <c r="I89" i="7"/>
  <c r="N86" i="7"/>
  <c r="O86" i="7" s="1"/>
  <c r="M85" i="7"/>
  <c r="K83" i="7"/>
  <c r="L83" i="7" s="1"/>
  <c r="M83" i="7" s="1"/>
  <c r="N83" i="7" s="1"/>
  <c r="O83" i="7" s="1"/>
  <c r="I82" i="7"/>
  <c r="L77" i="7"/>
  <c r="K76" i="7"/>
  <c r="S75" i="7"/>
  <c r="L75" i="3" s="1"/>
  <c r="J75" i="7"/>
  <c r="I74" i="7"/>
  <c r="S74" i="7" s="1"/>
  <c r="J109" i="7"/>
  <c r="J98" i="7"/>
  <c r="L91" i="7"/>
  <c r="M91" i="7" s="1"/>
  <c r="N91" i="7" s="1"/>
  <c r="O91" i="7" s="1"/>
  <c r="L88" i="7"/>
  <c r="K85" i="7"/>
  <c r="L79" i="7"/>
  <c r="I76" i="7"/>
  <c r="I73" i="7"/>
  <c r="S70" i="7"/>
  <c r="I69" i="7"/>
  <c r="K68" i="7"/>
  <c r="N67" i="7"/>
  <c r="O67" i="7" s="1"/>
  <c r="I65" i="7"/>
  <c r="M64" i="7"/>
  <c r="N64" i="7" s="1"/>
  <c r="O64" i="7" s="1"/>
  <c r="S63" i="7"/>
  <c r="L63" i="3" s="1"/>
  <c r="J63" i="7"/>
  <c r="K61" i="7"/>
  <c r="K59" i="7"/>
  <c r="L59" i="7" s="1"/>
  <c r="M59" i="7" s="1"/>
  <c r="N59" i="7" s="1"/>
  <c r="O59" i="7" s="1"/>
  <c r="I58" i="7"/>
  <c r="M54" i="7"/>
  <c r="N54" i="7" s="1"/>
  <c r="O54" i="7" s="1"/>
  <c r="L53" i="7"/>
  <c r="K52" i="7"/>
  <c r="S51" i="7"/>
  <c r="J51" i="7"/>
  <c r="I50" i="7"/>
  <c r="M46" i="7"/>
  <c r="N46" i="7" s="1"/>
  <c r="O46" i="7" s="1"/>
  <c r="L45" i="7"/>
  <c r="K44" i="7"/>
  <c r="S43" i="7"/>
  <c r="J43" i="7"/>
  <c r="I42" i="7"/>
  <c r="M38" i="7"/>
  <c r="L37" i="7"/>
  <c r="K36" i="7"/>
  <c r="S35" i="7"/>
  <c r="L35" i="3" s="1"/>
  <c r="J35" i="7"/>
  <c r="I34" i="7"/>
  <c r="M30" i="7"/>
  <c r="N30" i="7" s="1"/>
  <c r="O30" i="7" s="1"/>
  <c r="L29" i="7"/>
  <c r="K28" i="7"/>
  <c r="S27" i="7"/>
  <c r="J27" i="7"/>
  <c r="I26" i="7"/>
  <c r="M22" i="7"/>
  <c r="N22" i="7" s="1"/>
  <c r="O22" i="7" s="1"/>
  <c r="L21" i="7"/>
  <c r="K20" i="7"/>
  <c r="S19" i="7"/>
  <c r="J19" i="7"/>
  <c r="I18" i="7"/>
  <c r="O16" i="7"/>
  <c r="M14" i="7"/>
  <c r="N14" i="7" s="1"/>
  <c r="O14" i="7" s="1"/>
  <c r="K12" i="7"/>
  <c r="L12" i="7" s="1"/>
  <c r="M12" i="7" s="1"/>
  <c r="N12" i="7" s="1"/>
  <c r="O12" i="7" s="1"/>
  <c r="S11" i="7"/>
  <c r="J11" i="7"/>
  <c r="I10" i="7"/>
  <c r="M6" i="7"/>
  <c r="N6" i="7" s="1"/>
  <c r="O6" i="7" s="1"/>
  <c r="L5" i="7"/>
  <c r="S101" i="5"/>
  <c r="K101" i="5"/>
  <c r="U100" i="5"/>
  <c r="M100" i="5"/>
  <c r="D100" i="5"/>
  <c r="W99" i="5"/>
  <c r="O99" i="5"/>
  <c r="F99" i="5"/>
  <c r="Y98" i="5"/>
  <c r="Q98" i="5"/>
  <c r="H98" i="5"/>
  <c r="S97" i="5"/>
  <c r="K97" i="5"/>
  <c r="U96" i="5"/>
  <c r="M96" i="5"/>
  <c r="D96" i="5"/>
  <c r="W95" i="5"/>
  <c r="O95" i="5"/>
  <c r="F95" i="5"/>
  <c r="Y94" i="5"/>
  <c r="Q94" i="5"/>
  <c r="H94" i="5"/>
  <c r="S93" i="5"/>
  <c r="K93" i="5"/>
  <c r="U92" i="5"/>
  <c r="M92" i="5"/>
  <c r="D92" i="5"/>
  <c r="W91" i="5"/>
  <c r="O91" i="5"/>
  <c r="F91" i="5"/>
  <c r="Y90" i="5"/>
  <c r="Q90" i="5"/>
  <c r="H90" i="5"/>
  <c r="S89" i="5"/>
  <c r="K89" i="5"/>
  <c r="U88" i="5"/>
  <c r="M88" i="5"/>
  <c r="D88" i="5"/>
  <c r="W87" i="5"/>
  <c r="O87" i="5"/>
  <c r="F87" i="5"/>
  <c r="Y86" i="5"/>
  <c r="Q86" i="5"/>
  <c r="H86" i="5"/>
  <c r="S85" i="5"/>
  <c r="K85" i="5"/>
  <c r="U84" i="5"/>
  <c r="M84" i="5"/>
  <c r="D84" i="5"/>
  <c r="W83" i="5"/>
  <c r="O83" i="5"/>
  <c r="F83" i="5"/>
  <c r="Y82" i="5"/>
  <c r="Q82" i="5"/>
  <c r="H82" i="5"/>
  <c r="S81" i="5"/>
  <c r="K81" i="5"/>
  <c r="U80" i="5"/>
  <c r="M80" i="5"/>
  <c r="D80" i="5"/>
  <c r="W79" i="5"/>
  <c r="O79" i="5"/>
  <c r="F79" i="5"/>
  <c r="Y78" i="5"/>
  <c r="Q78" i="5"/>
  <c r="H78" i="5"/>
  <c r="S77" i="5"/>
  <c r="K77" i="5"/>
  <c r="U76" i="5"/>
  <c r="M76" i="5"/>
  <c r="D76" i="5"/>
  <c r="W75" i="5"/>
  <c r="O75" i="5"/>
  <c r="F75" i="5"/>
  <c r="Y74" i="5"/>
  <c r="Q74" i="5"/>
  <c r="H74" i="5"/>
  <c r="S73" i="5"/>
  <c r="I114" i="7"/>
  <c r="S114" i="7" s="1"/>
  <c r="S97" i="7"/>
  <c r="I93" i="7"/>
  <c r="M89" i="7"/>
  <c r="L86" i="7"/>
  <c r="I83" i="7"/>
  <c r="M77" i="7"/>
  <c r="N77" i="7" s="1"/>
  <c r="O77" i="7" s="1"/>
  <c r="S71" i="7"/>
  <c r="I71" i="7"/>
  <c r="K70" i="7"/>
  <c r="O68" i="7"/>
  <c r="J66" i="7"/>
  <c r="M65" i="7"/>
  <c r="N65" i="7" s="1"/>
  <c r="O65" i="7" s="1"/>
  <c r="M63" i="7"/>
  <c r="N63" i="7" s="1"/>
  <c r="O63" i="7" s="1"/>
  <c r="J62" i="7"/>
  <c r="J60" i="7"/>
  <c r="K57" i="7"/>
  <c r="S56" i="7"/>
  <c r="J56" i="7"/>
  <c r="I55" i="7"/>
  <c r="M51" i="7"/>
  <c r="N51" i="7" s="1"/>
  <c r="O51" i="7" s="1"/>
  <c r="L50" i="7"/>
  <c r="K49" i="7"/>
  <c r="S48" i="7"/>
  <c r="J48" i="7"/>
  <c r="I47" i="7"/>
  <c r="M43" i="7"/>
  <c r="N43" i="7" s="1"/>
  <c r="O43" i="7" s="1"/>
  <c r="L42" i="7"/>
  <c r="K41" i="7"/>
  <c r="L41" i="7" s="1"/>
  <c r="M41" i="7" s="1"/>
  <c r="N41" i="7" s="1"/>
  <c r="O41" i="7" s="1"/>
  <c r="S40" i="7"/>
  <c r="J40" i="7"/>
  <c r="I39" i="7"/>
  <c r="S39" i="7" s="1"/>
  <c r="L39" i="3" s="1"/>
  <c r="O37" i="7"/>
  <c r="M35" i="7"/>
  <c r="N35" i="7" s="1"/>
  <c r="O35" i="7" s="1"/>
  <c r="K33" i="7"/>
  <c r="L33" i="7" s="1"/>
  <c r="M33" i="7" s="1"/>
  <c r="N33" i="7" s="1"/>
  <c r="O33" i="7" s="1"/>
  <c r="S32" i="7"/>
  <c r="J32" i="7"/>
  <c r="I31" i="7"/>
  <c r="M27" i="7"/>
  <c r="N27" i="7" s="1"/>
  <c r="O27" i="7" s="1"/>
  <c r="L26" i="7"/>
  <c r="K25" i="7"/>
  <c r="S24" i="7"/>
  <c r="L24" i="3" s="1"/>
  <c r="J24" i="7"/>
  <c r="I23" i="7"/>
  <c r="M19" i="7"/>
  <c r="N19" i="7" s="1"/>
  <c r="O19" i="7" s="1"/>
  <c r="L18" i="7"/>
  <c r="K17" i="7"/>
  <c r="S16" i="7"/>
  <c r="L16" i="3" s="1"/>
  <c r="J16" i="7"/>
  <c r="I15" i="7"/>
  <c r="K9" i="7"/>
  <c r="L9" i="7" s="1"/>
  <c r="M9" i="7" s="1"/>
  <c r="N9" i="7" s="1"/>
  <c r="O9" i="7" s="1"/>
  <c r="S8" i="7"/>
  <c r="J8" i="7"/>
  <c r="I7" i="7"/>
  <c r="O5" i="7"/>
  <c r="V101" i="5"/>
  <c r="N101" i="5"/>
  <c r="E101" i="5"/>
  <c r="X100" i="5"/>
  <c r="P100" i="5"/>
  <c r="G100" i="5"/>
  <c r="Z99" i="5"/>
  <c r="R99" i="5"/>
  <c r="I99" i="5"/>
  <c r="AC98" i="5"/>
  <c r="AD98" i="5" s="1"/>
  <c r="T98" i="5"/>
  <c r="L98" i="5"/>
  <c r="V97" i="5"/>
  <c r="N97" i="5"/>
  <c r="E97" i="5"/>
  <c r="X96" i="5"/>
  <c r="P96" i="5"/>
  <c r="G96" i="5"/>
  <c r="Z95" i="5"/>
  <c r="R95" i="5"/>
  <c r="I95" i="5"/>
  <c r="AC94" i="5"/>
  <c r="AD94" i="5" s="1"/>
  <c r="T94" i="5"/>
  <c r="L94" i="5"/>
  <c r="V93" i="5"/>
  <c r="N93" i="5"/>
  <c r="E93" i="5"/>
  <c r="X92" i="5"/>
  <c r="P92" i="5"/>
  <c r="G92" i="5"/>
  <c r="Z91" i="5"/>
  <c r="R91" i="5"/>
  <c r="I91" i="5"/>
  <c r="AC90" i="5"/>
  <c r="AD90" i="5" s="1"/>
  <c r="T90" i="5"/>
  <c r="L90" i="5"/>
  <c r="V89" i="5"/>
  <c r="N89" i="5"/>
  <c r="E89" i="5"/>
  <c r="X88" i="5"/>
  <c r="P88" i="5"/>
  <c r="G88" i="5"/>
  <c r="Z87" i="5"/>
  <c r="R87" i="5"/>
  <c r="I87" i="5"/>
  <c r="AC86" i="5"/>
  <c r="AD86" i="5" s="1"/>
  <c r="T86" i="5"/>
  <c r="L86" i="5"/>
  <c r="V85" i="5"/>
  <c r="N85" i="5"/>
  <c r="E85" i="5"/>
  <c r="X84" i="5"/>
  <c r="P84" i="5"/>
  <c r="G84" i="5"/>
  <c r="Z83" i="5"/>
  <c r="R83" i="5"/>
  <c r="I83" i="5"/>
  <c r="AC82" i="5"/>
  <c r="AD82" i="5" s="1"/>
  <c r="T82" i="5"/>
  <c r="L82" i="5"/>
  <c r="V81" i="5"/>
  <c r="N81" i="5"/>
  <c r="E81" i="5"/>
  <c r="X80" i="5"/>
  <c r="P80" i="5"/>
  <c r="G80" i="5"/>
  <c r="Z79" i="5"/>
  <c r="R79" i="5"/>
  <c r="I79" i="5"/>
  <c r="AC78" i="5"/>
  <c r="AD78" i="5" s="1"/>
  <c r="T78" i="5"/>
  <c r="L78" i="5"/>
  <c r="V77" i="5"/>
  <c r="N77" i="5"/>
  <c r="E77" i="5"/>
  <c r="X76" i="5"/>
  <c r="P76" i="5"/>
  <c r="G76" i="5"/>
  <c r="Z75" i="5"/>
  <c r="R75" i="5"/>
  <c r="I75" i="5"/>
  <c r="AC74" i="5"/>
  <c r="AD74" i="5" s="1"/>
  <c r="T74" i="5"/>
  <c r="L74" i="5"/>
  <c r="V73" i="5"/>
  <c r="N73" i="5"/>
  <c r="E73" i="5"/>
  <c r="X72" i="5"/>
  <c r="P72" i="5"/>
  <c r="G72" i="5"/>
  <c r="Z71" i="5"/>
  <c r="R71" i="5"/>
  <c r="I71" i="5"/>
  <c r="AC70" i="5"/>
  <c r="AD70" i="5" s="1"/>
  <c r="T70" i="5"/>
  <c r="L70" i="5"/>
  <c r="V69" i="5"/>
  <c r="N69" i="5"/>
  <c r="E69" i="5"/>
  <c r="X68" i="5"/>
  <c r="P68" i="5"/>
  <c r="G68" i="5"/>
  <c r="Z67" i="5"/>
  <c r="R67" i="5"/>
  <c r="I67" i="5"/>
  <c r="AC66" i="5"/>
  <c r="AD66" i="5" s="1"/>
  <c r="T66" i="5"/>
  <c r="L66" i="5"/>
  <c r="V65" i="5"/>
  <c r="N65" i="5"/>
  <c r="E65" i="5"/>
  <c r="X64" i="5"/>
  <c r="P64" i="5"/>
  <c r="G64" i="5"/>
  <c r="Z63" i="5"/>
  <c r="R63" i="5"/>
  <c r="I63" i="5"/>
  <c r="AC62" i="5"/>
  <c r="AD62" i="5" s="1"/>
  <c r="T62" i="5"/>
  <c r="L62" i="5"/>
  <c r="V61" i="5"/>
  <c r="N61" i="5"/>
  <c r="E61" i="5"/>
  <c r="X60" i="5"/>
  <c r="P60" i="5"/>
  <c r="G60" i="5"/>
  <c r="Z59" i="5"/>
  <c r="R59" i="5"/>
  <c r="I59" i="5"/>
  <c r="AC58" i="5"/>
  <c r="AD58" i="5" s="1"/>
  <c r="T58" i="5"/>
  <c r="S120" i="7"/>
  <c r="O95" i="7"/>
  <c r="K94" i="7"/>
  <c r="J92" i="7"/>
  <c r="S86" i="7"/>
  <c r="J82" i="7"/>
  <c r="K75" i="7"/>
  <c r="J70" i="7"/>
  <c r="M67" i="7"/>
  <c r="S62" i="7"/>
  <c r="S61" i="7"/>
  <c r="J57" i="7"/>
  <c r="M56" i="7"/>
  <c r="N56" i="7" s="1"/>
  <c r="O56" i="7" s="1"/>
  <c r="S54" i="7"/>
  <c r="L54" i="3" s="1"/>
  <c r="I54" i="7"/>
  <c r="K53" i="7"/>
  <c r="M52" i="7"/>
  <c r="N52" i="7" s="1"/>
  <c r="O52" i="7" s="1"/>
  <c r="J49" i="7"/>
  <c r="M48" i="7"/>
  <c r="N48" i="7" s="1"/>
  <c r="O48" i="7" s="1"/>
  <c r="S46" i="7"/>
  <c r="L46" i="3" s="1"/>
  <c r="I46" i="7"/>
  <c r="K45" i="7"/>
  <c r="M44" i="7"/>
  <c r="N44" i="7" s="1"/>
  <c r="O44" i="7" s="1"/>
  <c r="J41" i="7"/>
  <c r="M40" i="7"/>
  <c r="N40" i="7" s="1"/>
  <c r="O40" i="7" s="1"/>
  <c r="S38" i="7"/>
  <c r="I38" i="7"/>
  <c r="K37" i="7"/>
  <c r="M36" i="7"/>
  <c r="N36" i="7" s="1"/>
  <c r="O36" i="7" s="1"/>
  <c r="J33" i="7"/>
  <c r="M32" i="7"/>
  <c r="N32" i="7" s="1"/>
  <c r="O32" i="7" s="1"/>
  <c r="S30" i="7"/>
  <c r="L30" i="3" s="1"/>
  <c r="I30" i="7"/>
  <c r="K29" i="7"/>
  <c r="M28" i="7"/>
  <c r="N28" i="7" s="1"/>
  <c r="O28" i="7" s="1"/>
  <c r="J25" i="7"/>
  <c r="M24" i="7"/>
  <c r="N24" i="7" s="1"/>
  <c r="O24" i="7" s="1"/>
  <c r="S22" i="7"/>
  <c r="I22" i="7"/>
  <c r="K21" i="7"/>
  <c r="M20" i="7"/>
  <c r="N20" i="7" s="1"/>
  <c r="O20" i="7" s="1"/>
  <c r="J17" i="7"/>
  <c r="M16" i="7"/>
  <c r="S14" i="7"/>
  <c r="I14" i="7"/>
  <c r="K13" i="7"/>
  <c r="L13" i="7" s="1"/>
  <c r="M13" i="7" s="1"/>
  <c r="N13" i="7" s="1"/>
  <c r="O13" i="7" s="1"/>
  <c r="J9" i="7"/>
  <c r="M8" i="7"/>
  <c r="N8" i="7" s="1"/>
  <c r="O8" i="7" s="1"/>
  <c r="S6" i="7"/>
  <c r="I6" i="7"/>
  <c r="K5" i="7"/>
  <c r="Z101" i="5"/>
  <c r="P101" i="5"/>
  <c r="D101" i="5"/>
  <c r="T100" i="5"/>
  <c r="I100" i="5"/>
  <c r="Y99" i="5"/>
  <c r="N99" i="5"/>
  <c r="S98" i="5"/>
  <c r="G98" i="5"/>
  <c r="Z97" i="5"/>
  <c r="P97" i="5"/>
  <c r="D97" i="5"/>
  <c r="T96" i="5"/>
  <c r="I96" i="5"/>
  <c r="Y95" i="5"/>
  <c r="N95" i="5"/>
  <c r="S94" i="5"/>
  <c r="G94" i="5"/>
  <c r="Z93" i="5"/>
  <c r="P93" i="5"/>
  <c r="D93" i="5"/>
  <c r="T92" i="5"/>
  <c r="I92" i="5"/>
  <c r="Y91" i="5"/>
  <c r="N91" i="5"/>
  <c r="S90" i="5"/>
  <c r="G90" i="5"/>
  <c r="Z89" i="5"/>
  <c r="P89" i="5"/>
  <c r="D89" i="5"/>
  <c r="T88" i="5"/>
  <c r="I88" i="5"/>
  <c r="Y87" i="5"/>
  <c r="N87" i="5"/>
  <c r="S86" i="5"/>
  <c r="G86" i="5"/>
  <c r="Z85" i="5"/>
  <c r="P85" i="5"/>
  <c r="D85" i="5"/>
  <c r="T84" i="5"/>
  <c r="I84" i="5"/>
  <c r="Y83" i="5"/>
  <c r="N83" i="5"/>
  <c r="S82" i="5"/>
  <c r="G82" i="5"/>
  <c r="Z81" i="5"/>
  <c r="P81" i="5"/>
  <c r="D81" i="5"/>
  <c r="T80" i="5"/>
  <c r="I80" i="5"/>
  <c r="Y79" i="5"/>
  <c r="N79" i="5"/>
  <c r="S78" i="5"/>
  <c r="G78" i="5"/>
  <c r="Z77" i="5"/>
  <c r="P77" i="5"/>
  <c r="D77" i="5"/>
  <c r="T76" i="5"/>
  <c r="I76" i="5"/>
  <c r="Y75" i="5"/>
  <c r="N75" i="5"/>
  <c r="S74" i="5"/>
  <c r="G74" i="5"/>
  <c r="Z73" i="5"/>
  <c r="P73" i="5"/>
  <c r="F73" i="5"/>
  <c r="W72" i="5"/>
  <c r="N72" i="5"/>
  <c r="D72" i="5"/>
  <c r="V71" i="5"/>
  <c r="M71" i="5"/>
  <c r="U70" i="5"/>
  <c r="K70" i="5"/>
  <c r="T69" i="5"/>
  <c r="K69" i="5"/>
  <c r="AC68" i="5"/>
  <c r="AD68" i="5" s="1"/>
  <c r="S68" i="5"/>
  <c r="I68" i="5"/>
  <c r="Q67" i="5"/>
  <c r="G67" i="5"/>
  <c r="Y66" i="5"/>
  <c r="P66" i="5"/>
  <c r="F66" i="5"/>
  <c r="Y65" i="5"/>
  <c r="P65" i="5"/>
  <c r="F65" i="5"/>
  <c r="W64" i="5"/>
  <c r="N64" i="5"/>
  <c r="D64" i="5"/>
  <c r="V63" i="5"/>
  <c r="M63" i="5"/>
  <c r="U62" i="5"/>
  <c r="K62" i="5"/>
  <c r="T61" i="5"/>
  <c r="K61" i="5"/>
  <c r="AC60" i="5"/>
  <c r="AD60" i="5" s="1"/>
  <c r="S60" i="5"/>
  <c r="I60" i="5"/>
  <c r="Q59" i="5"/>
  <c r="G59" i="5"/>
  <c r="Y58" i="5"/>
  <c r="P58" i="5"/>
  <c r="G58" i="5"/>
  <c r="Z57" i="5"/>
  <c r="R57" i="5"/>
  <c r="I57" i="5"/>
  <c r="AC56" i="5"/>
  <c r="AD56" i="5" s="1"/>
  <c r="T56" i="5"/>
  <c r="L56" i="5"/>
  <c r="V55" i="5"/>
  <c r="N55" i="5"/>
  <c r="E55" i="5"/>
  <c r="X54" i="5"/>
  <c r="P54" i="5"/>
  <c r="G54" i="5"/>
  <c r="Z53" i="5"/>
  <c r="R53" i="5"/>
  <c r="I53" i="5"/>
  <c r="AC52" i="5"/>
  <c r="AD52" i="5" s="1"/>
  <c r="T52" i="5"/>
  <c r="L52" i="5"/>
  <c r="V51" i="5"/>
  <c r="N51" i="5"/>
  <c r="E51" i="5"/>
  <c r="X50" i="5"/>
  <c r="P50" i="5"/>
  <c r="G50" i="5"/>
  <c r="Z49" i="5"/>
  <c r="R49" i="5"/>
  <c r="I49" i="5"/>
  <c r="AC48" i="5"/>
  <c r="AD48" i="5" s="1"/>
  <c r="T48" i="5"/>
  <c r="L48" i="5"/>
  <c r="V47" i="5"/>
  <c r="N47" i="5"/>
  <c r="E47" i="5"/>
  <c r="X46" i="5"/>
  <c r="P46" i="5"/>
  <c r="G46" i="5"/>
  <c r="Z45" i="5"/>
  <c r="R45" i="5"/>
  <c r="I45" i="5"/>
  <c r="AC44" i="5"/>
  <c r="AD44" i="5" s="1"/>
  <c r="I119" i="7"/>
  <c r="I118" i="7"/>
  <c r="S118" i="7" s="1"/>
  <c r="M97" i="7"/>
  <c r="L96" i="7"/>
  <c r="K95" i="7"/>
  <c r="I91" i="7"/>
  <c r="I70" i="7"/>
  <c r="S69" i="7"/>
  <c r="N68" i="7"/>
  <c r="K67" i="7"/>
  <c r="I66" i="7"/>
  <c r="S57" i="7"/>
  <c r="I57" i="7"/>
  <c r="L56" i="7"/>
  <c r="J53" i="7"/>
  <c r="L52" i="7"/>
  <c r="S49" i="7"/>
  <c r="L49" i="3" s="1"/>
  <c r="I49" i="7"/>
  <c r="L48" i="7"/>
  <c r="J45" i="7"/>
  <c r="L44" i="7"/>
  <c r="S41" i="7"/>
  <c r="L41" i="3" s="1"/>
  <c r="I41" i="7"/>
  <c r="L40" i="7"/>
  <c r="J37" i="7"/>
  <c r="L36" i="7"/>
  <c r="S33" i="7"/>
  <c r="I33" i="7"/>
  <c r="L32" i="7"/>
  <c r="J29" i="7"/>
  <c r="L28" i="7"/>
  <c r="S25" i="7"/>
  <c r="I25" i="7"/>
  <c r="L24" i="7"/>
  <c r="J21" i="7"/>
  <c r="L20" i="7"/>
  <c r="S17" i="7"/>
  <c r="I17" i="7"/>
  <c r="L16" i="7"/>
  <c r="J13" i="7"/>
  <c r="S9" i="7"/>
  <c r="I9" i="7"/>
  <c r="L8" i="7"/>
  <c r="J5" i="7"/>
  <c r="Y101" i="5"/>
  <c r="O101" i="5"/>
  <c r="S100" i="5"/>
  <c r="H100" i="5"/>
  <c r="X99" i="5"/>
  <c r="M99" i="5"/>
  <c r="R98" i="5"/>
  <c r="F98" i="5"/>
  <c r="Y97" i="5"/>
  <c r="O97" i="5"/>
  <c r="S96" i="5"/>
  <c r="H96" i="5"/>
  <c r="X95" i="5"/>
  <c r="M95" i="5"/>
  <c r="R94" i="5"/>
  <c r="F94" i="5"/>
  <c r="Y93" i="5"/>
  <c r="O93" i="5"/>
  <c r="S92" i="5"/>
  <c r="H92" i="5"/>
  <c r="X91" i="5"/>
  <c r="M91" i="5"/>
  <c r="R90" i="5"/>
  <c r="F90" i="5"/>
  <c r="Y89" i="5"/>
  <c r="O89" i="5"/>
  <c r="S88" i="5"/>
  <c r="H88" i="5"/>
  <c r="X87" i="5"/>
  <c r="M87" i="5"/>
  <c r="R86" i="5"/>
  <c r="F86" i="5"/>
  <c r="Y85" i="5"/>
  <c r="O85" i="5"/>
  <c r="S84" i="5"/>
  <c r="H84" i="5"/>
  <c r="X83" i="5"/>
  <c r="M83" i="5"/>
  <c r="R82" i="5"/>
  <c r="F82" i="5"/>
  <c r="Y81" i="5"/>
  <c r="O81" i="5"/>
  <c r="S80" i="5"/>
  <c r="H80" i="5"/>
  <c r="X79" i="5"/>
  <c r="M79" i="5"/>
  <c r="R78" i="5"/>
  <c r="F78" i="5"/>
  <c r="Y77" i="5"/>
  <c r="O77" i="5"/>
  <c r="S76" i="5"/>
  <c r="H76" i="5"/>
  <c r="X75" i="5"/>
  <c r="M75" i="5"/>
  <c r="R74" i="5"/>
  <c r="F74" i="5"/>
  <c r="Y73" i="5"/>
  <c r="O73" i="5"/>
  <c r="D73" i="5"/>
  <c r="V72" i="5"/>
  <c r="M72" i="5"/>
  <c r="U71" i="5"/>
  <c r="L71" i="5"/>
  <c r="S70" i="5"/>
  <c r="I70" i="5"/>
  <c r="AC69" i="5"/>
  <c r="AD69" i="5" s="1"/>
  <c r="S69" i="5"/>
  <c r="I69" i="5"/>
  <c r="R68" i="5"/>
  <c r="H68" i="5"/>
  <c r="Y67" i="5"/>
  <c r="P67" i="5"/>
  <c r="F67" i="5"/>
  <c r="X66" i="5"/>
  <c r="O66" i="5"/>
  <c r="E66" i="5"/>
  <c r="X65" i="5"/>
  <c r="O65" i="5"/>
  <c r="D65" i="5"/>
  <c r="V64" i="5"/>
  <c r="M64" i="5"/>
  <c r="U63" i="5"/>
  <c r="L63" i="5"/>
  <c r="S62" i="5"/>
  <c r="I62" i="5"/>
  <c r="AC61" i="5"/>
  <c r="AD61" i="5" s="1"/>
  <c r="S61" i="5"/>
  <c r="I61" i="5"/>
  <c r="R60" i="5"/>
  <c r="H60" i="5"/>
  <c r="Y59" i="5"/>
  <c r="P59" i="5"/>
  <c r="F59" i="5"/>
  <c r="X58" i="5"/>
  <c r="O58" i="5"/>
  <c r="F58" i="5"/>
  <c r="Y57" i="5"/>
  <c r="Q57" i="5"/>
  <c r="H57" i="5"/>
  <c r="S56" i="5"/>
  <c r="K56" i="5"/>
  <c r="U55" i="5"/>
  <c r="M55" i="5"/>
  <c r="D55" i="5"/>
  <c r="W54" i="5"/>
  <c r="O54" i="5"/>
  <c r="F54" i="5"/>
  <c r="Y53" i="5"/>
  <c r="Q53" i="5"/>
  <c r="H53" i="5"/>
  <c r="S52" i="5"/>
  <c r="K52" i="5"/>
  <c r="U51" i="5"/>
  <c r="M51" i="5"/>
  <c r="D51" i="5"/>
  <c r="W50" i="5"/>
  <c r="O50" i="5"/>
  <c r="F50" i="5"/>
  <c r="Y49" i="5"/>
  <c r="Q49" i="5"/>
  <c r="H49" i="5"/>
  <c r="S48" i="5"/>
  <c r="K48" i="5"/>
  <c r="U47" i="5"/>
  <c r="M47" i="5"/>
  <c r="D47" i="5"/>
  <c r="W46" i="5"/>
  <c r="O46" i="5"/>
  <c r="F46" i="5"/>
  <c r="Y45" i="5"/>
  <c r="Q45" i="5"/>
  <c r="H45" i="5"/>
  <c r="S44" i="5"/>
  <c r="K44" i="5"/>
  <c r="U43" i="5"/>
  <c r="M43" i="5"/>
  <c r="D43" i="5"/>
  <c r="W42" i="5"/>
  <c r="O42" i="5"/>
  <c r="F42" i="5"/>
  <c r="Y41" i="5"/>
  <c r="Q41" i="5"/>
  <c r="H41" i="5"/>
  <c r="S40" i="5"/>
  <c r="K40" i="5"/>
  <c r="U39" i="5"/>
  <c r="M39" i="5"/>
  <c r="D39" i="5"/>
  <c r="W38" i="5"/>
  <c r="O38" i="5"/>
  <c r="F38" i="5"/>
  <c r="Y37" i="5"/>
  <c r="Q37" i="5"/>
  <c r="S113" i="7"/>
  <c r="I108" i="7"/>
  <c r="M106" i="7"/>
  <c r="K102" i="7"/>
  <c r="L102" i="7" s="1"/>
  <c r="M102" i="7" s="1"/>
  <c r="N102" i="7" s="1"/>
  <c r="O102" i="7" s="1"/>
  <c r="J101" i="7"/>
  <c r="L100" i="7"/>
  <c r="I99" i="7"/>
  <c r="M98" i="7"/>
  <c r="N98" i="7" s="1"/>
  <c r="O98" i="7" s="1"/>
  <c r="I97" i="7"/>
  <c r="K90" i="7"/>
  <c r="J89" i="7"/>
  <c r="N88" i="7"/>
  <c r="O88" i="7" s="1"/>
  <c r="S84" i="7"/>
  <c r="I81" i="7"/>
  <c r="K80" i="7"/>
  <c r="L80" i="7" s="1"/>
  <c r="M80" i="7" s="1"/>
  <c r="N80" i="7" s="1"/>
  <c r="O80" i="7" s="1"/>
  <c r="S77" i="7"/>
  <c r="L77" i="3" s="1"/>
  <c r="K71" i="7"/>
  <c r="L71" i="7" s="1"/>
  <c r="M71" i="7" s="1"/>
  <c r="N71" i="7" s="1"/>
  <c r="O71" i="7" s="1"/>
  <c r="L68" i="7"/>
  <c r="J67" i="7"/>
  <c r="S66" i="7"/>
  <c r="K56" i="7"/>
  <c r="M55" i="7"/>
  <c r="N55" i="7" s="1"/>
  <c r="O55" i="7" s="1"/>
  <c r="I53" i="7"/>
  <c r="J52" i="7"/>
  <c r="L51" i="7"/>
  <c r="K48" i="7"/>
  <c r="M47" i="7"/>
  <c r="N47" i="7" s="1"/>
  <c r="O47" i="7" s="1"/>
  <c r="I45" i="7"/>
  <c r="J44" i="7"/>
  <c r="L43" i="7"/>
  <c r="K40" i="7"/>
  <c r="I37" i="7"/>
  <c r="J36" i="7"/>
  <c r="L35" i="7"/>
  <c r="K32" i="7"/>
  <c r="M31" i="7"/>
  <c r="N31" i="7" s="1"/>
  <c r="O31" i="7" s="1"/>
  <c r="I29" i="7"/>
  <c r="J28" i="7"/>
  <c r="L27" i="7"/>
  <c r="K24" i="7"/>
  <c r="M23" i="7"/>
  <c r="N23" i="7" s="1"/>
  <c r="O23" i="7" s="1"/>
  <c r="I21" i="7"/>
  <c r="J20" i="7"/>
  <c r="L19" i="7"/>
  <c r="K16" i="7"/>
  <c r="M15" i="7"/>
  <c r="N15" i="7" s="1"/>
  <c r="O15" i="7" s="1"/>
  <c r="I13" i="7"/>
  <c r="J12" i="7"/>
  <c r="K8" i="7"/>
  <c r="M7" i="7"/>
  <c r="N7" i="7" s="1"/>
  <c r="O7" i="7" s="1"/>
  <c r="I5" i="7"/>
  <c r="X101" i="5"/>
  <c r="M101" i="5"/>
  <c r="AC100" i="5"/>
  <c r="AD100" i="5" s="1"/>
  <c r="R100" i="5"/>
  <c r="F100" i="5"/>
  <c r="V99" i="5"/>
  <c r="L99" i="5"/>
  <c r="P98" i="5"/>
  <c r="E98" i="5"/>
  <c r="X97" i="5"/>
  <c r="M97" i="5"/>
  <c r="AC96" i="5"/>
  <c r="AD96" i="5" s="1"/>
  <c r="R96" i="5"/>
  <c r="F96" i="5"/>
  <c r="V95" i="5"/>
  <c r="L95" i="5"/>
  <c r="P94" i="5"/>
  <c r="E94" i="5"/>
  <c r="X93" i="5"/>
  <c r="M93" i="5"/>
  <c r="AC92" i="5"/>
  <c r="AD92" i="5" s="1"/>
  <c r="R92" i="5"/>
  <c r="F92" i="5"/>
  <c r="V91" i="5"/>
  <c r="L91" i="5"/>
  <c r="P90" i="5"/>
  <c r="E90" i="5"/>
  <c r="X89" i="5"/>
  <c r="M89" i="5"/>
  <c r="AC88" i="5"/>
  <c r="AD88" i="5" s="1"/>
  <c r="R88" i="5"/>
  <c r="F88" i="5"/>
  <c r="V87" i="5"/>
  <c r="L87" i="5"/>
  <c r="P86" i="5"/>
  <c r="E86" i="5"/>
  <c r="X85" i="5"/>
  <c r="M85" i="5"/>
  <c r="AC84" i="5"/>
  <c r="AD84" i="5" s="1"/>
  <c r="R84" i="5"/>
  <c r="F84" i="5"/>
  <c r="V83" i="5"/>
  <c r="L83" i="5"/>
  <c r="P82" i="5"/>
  <c r="E82" i="5"/>
  <c r="X81" i="5"/>
  <c r="M81" i="5"/>
  <c r="AC80" i="5"/>
  <c r="AD80" i="5" s="1"/>
  <c r="R80" i="5"/>
  <c r="F80" i="5"/>
  <c r="V79" i="5"/>
  <c r="L79" i="5"/>
  <c r="P78" i="5"/>
  <c r="E78" i="5"/>
  <c r="X77" i="5"/>
  <c r="M77" i="5"/>
  <c r="AC76" i="5"/>
  <c r="AD76" i="5" s="1"/>
  <c r="R76" i="5"/>
  <c r="F76" i="5"/>
  <c r="V75" i="5"/>
  <c r="L75" i="5"/>
  <c r="P74" i="5"/>
  <c r="E74" i="5"/>
  <c r="X73" i="5"/>
  <c r="M73" i="5"/>
  <c r="U72" i="5"/>
  <c r="L72" i="5"/>
  <c r="T71" i="5"/>
  <c r="K71" i="5"/>
  <c r="R70" i="5"/>
  <c r="H70" i="5"/>
  <c r="R69" i="5"/>
  <c r="H69" i="5"/>
  <c r="Z68" i="5"/>
  <c r="Q68" i="5"/>
  <c r="F68" i="5"/>
  <c r="X67" i="5"/>
  <c r="O67" i="5"/>
  <c r="E67" i="5"/>
  <c r="W66" i="5"/>
  <c r="N66" i="5"/>
  <c r="D66" i="5"/>
  <c r="W65" i="5"/>
  <c r="M65" i="5"/>
  <c r="U64" i="5"/>
  <c r="L64" i="5"/>
  <c r="T63" i="5"/>
  <c r="K63" i="5"/>
  <c r="R62" i="5"/>
  <c r="H62" i="5"/>
  <c r="R61" i="5"/>
  <c r="H61" i="5"/>
  <c r="Z60" i="5"/>
  <c r="Q60" i="5"/>
  <c r="F60" i="5"/>
  <c r="X59" i="5"/>
  <c r="O59" i="5"/>
  <c r="E59" i="5"/>
  <c r="W58" i="5"/>
  <c r="N58" i="5"/>
  <c r="E58" i="5"/>
  <c r="X57" i="5"/>
  <c r="P57" i="5"/>
  <c r="G57" i="5"/>
  <c r="Z56" i="5"/>
  <c r="R56" i="5"/>
  <c r="I56" i="5"/>
  <c r="AC55" i="5"/>
  <c r="AD55" i="5" s="1"/>
  <c r="T55" i="5"/>
  <c r="L55" i="5"/>
  <c r="V54" i="5"/>
  <c r="N54" i="5"/>
  <c r="E54" i="5"/>
  <c r="X53" i="5"/>
  <c r="P53" i="5"/>
  <c r="G53" i="5"/>
  <c r="Z52" i="5"/>
  <c r="R52" i="5"/>
  <c r="I52" i="5"/>
  <c r="AC51" i="5"/>
  <c r="AD51" i="5" s="1"/>
  <c r="T51" i="5"/>
  <c r="L51" i="5"/>
  <c r="V50" i="5"/>
  <c r="N50" i="5"/>
  <c r="E50" i="5"/>
  <c r="X49" i="5"/>
  <c r="P49" i="5"/>
  <c r="G49" i="5"/>
  <c r="Z48" i="5"/>
  <c r="R48" i="5"/>
  <c r="I48" i="5"/>
  <c r="AC47" i="5"/>
  <c r="AD47" i="5" s="1"/>
  <c r="T47" i="5"/>
  <c r="L47" i="5"/>
  <c r="J106" i="7"/>
  <c r="I105" i="7"/>
  <c r="J105" i="7" s="1"/>
  <c r="K105" i="7" s="1"/>
  <c r="L105" i="7" s="1"/>
  <c r="M105" i="7" s="1"/>
  <c r="N105" i="7" s="1"/>
  <c r="O105" i="7" s="1"/>
  <c r="I88" i="7"/>
  <c r="M87" i="7"/>
  <c r="J79" i="7"/>
  <c r="J71" i="7"/>
  <c r="I68" i="7"/>
  <c r="M61" i="7"/>
  <c r="N61" i="7" s="1"/>
  <c r="O61" i="7" s="1"/>
  <c r="I56" i="7"/>
  <c r="L55" i="7"/>
  <c r="S53" i="7"/>
  <c r="L53" i="3" s="1"/>
  <c r="I52" i="7"/>
  <c r="K51" i="7"/>
  <c r="I48" i="7"/>
  <c r="L47" i="7"/>
  <c r="S45" i="7"/>
  <c r="I44" i="7"/>
  <c r="K43" i="7"/>
  <c r="I40" i="7"/>
  <c r="O38" i="7"/>
  <c r="S37" i="7"/>
  <c r="L37" i="3" s="1"/>
  <c r="I36" i="7"/>
  <c r="K35" i="7"/>
  <c r="I32" i="7"/>
  <c r="L31" i="7"/>
  <c r="S29" i="7"/>
  <c r="I28" i="7"/>
  <c r="K27" i="7"/>
  <c r="I24" i="7"/>
  <c r="L23" i="7"/>
  <c r="S21" i="7"/>
  <c r="I20" i="7"/>
  <c r="K19" i="7"/>
  <c r="I16" i="7"/>
  <c r="L15" i="7"/>
  <c r="S13" i="7"/>
  <c r="I12" i="7"/>
  <c r="K11" i="7"/>
  <c r="L11" i="7" s="1"/>
  <c r="M11" i="7" s="1"/>
  <c r="N11" i="7" s="1"/>
  <c r="O11" i="7" s="1"/>
  <c r="I8" i="7"/>
  <c r="L7" i="7"/>
  <c r="S5" i="7"/>
  <c r="W101" i="5"/>
  <c r="L101" i="5"/>
  <c r="Q100" i="5"/>
  <c r="E100" i="5"/>
  <c r="U99" i="5"/>
  <c r="K99" i="5"/>
  <c r="Z98" i="5"/>
  <c r="O98" i="5"/>
  <c r="D98" i="5"/>
  <c r="W97" i="5"/>
  <c r="L97" i="5"/>
  <c r="Q96" i="5"/>
  <c r="E96" i="5"/>
  <c r="U95" i="5"/>
  <c r="K95" i="5"/>
  <c r="Z94" i="5"/>
  <c r="O94" i="5"/>
  <c r="D94" i="5"/>
  <c r="W93" i="5"/>
  <c r="L93" i="5"/>
  <c r="Q92" i="5"/>
  <c r="E92" i="5"/>
  <c r="U91" i="5"/>
  <c r="K91" i="5"/>
  <c r="Z90" i="5"/>
  <c r="O90" i="5"/>
  <c r="D90" i="5"/>
  <c r="W89" i="5"/>
  <c r="L89" i="5"/>
  <c r="Q88" i="5"/>
  <c r="E88" i="5"/>
  <c r="U87" i="5"/>
  <c r="K87" i="5"/>
  <c r="Z86" i="5"/>
  <c r="O86" i="5"/>
  <c r="D86" i="5"/>
  <c r="W85" i="5"/>
  <c r="L85" i="5"/>
  <c r="Q84" i="5"/>
  <c r="E84" i="5"/>
  <c r="U83" i="5"/>
  <c r="K83" i="5"/>
  <c r="Z82" i="5"/>
  <c r="O82" i="5"/>
  <c r="D82" i="5"/>
  <c r="W81" i="5"/>
  <c r="L81" i="5"/>
  <c r="Q80" i="5"/>
  <c r="E80" i="5"/>
  <c r="U79" i="5"/>
  <c r="K79" i="5"/>
  <c r="Z78" i="5"/>
  <c r="O78" i="5"/>
  <c r="D78" i="5"/>
  <c r="W77" i="5"/>
  <c r="L77" i="5"/>
  <c r="Q76" i="5"/>
  <c r="E76" i="5"/>
  <c r="U75" i="5"/>
  <c r="K75" i="5"/>
  <c r="Z74" i="5"/>
  <c r="O74" i="5"/>
  <c r="D74" i="5"/>
  <c r="W73" i="5"/>
  <c r="L73" i="5"/>
  <c r="T72" i="5"/>
  <c r="K72" i="5"/>
  <c r="AC71" i="5"/>
  <c r="AD71" i="5" s="1"/>
  <c r="S71" i="5"/>
  <c r="H71" i="5"/>
  <c r="Z70" i="5"/>
  <c r="Q70" i="5"/>
  <c r="G70" i="5"/>
  <c r="Z69" i="5"/>
  <c r="Q69" i="5"/>
  <c r="G69" i="5"/>
  <c r="Y68" i="5"/>
  <c r="O68" i="5"/>
  <c r="E68" i="5"/>
  <c r="W67" i="5"/>
  <c r="N67" i="5"/>
  <c r="D67" i="5"/>
  <c r="V66" i="5"/>
  <c r="M66" i="5"/>
  <c r="U65" i="5"/>
  <c r="L65" i="5"/>
  <c r="T64" i="5"/>
  <c r="K64" i="5"/>
  <c r="AC63" i="5"/>
  <c r="AD63" i="5" s="1"/>
  <c r="S63" i="5"/>
  <c r="H63" i="5"/>
  <c r="Z62" i="5"/>
  <c r="Q62" i="5"/>
  <c r="G62" i="5"/>
  <c r="Z61" i="5"/>
  <c r="Q61" i="5"/>
  <c r="G61" i="5"/>
  <c r="Y60" i="5"/>
  <c r="O60" i="5"/>
  <c r="E60" i="5"/>
  <c r="W59" i="5"/>
  <c r="N59" i="5"/>
  <c r="D59" i="5"/>
  <c r="V58" i="5"/>
  <c r="M58" i="5"/>
  <c r="D58" i="5"/>
  <c r="W57" i="5"/>
  <c r="O57" i="5"/>
  <c r="F57" i="5"/>
  <c r="Y56" i="5"/>
  <c r="Q56" i="5"/>
  <c r="H56" i="5"/>
  <c r="S55" i="5"/>
  <c r="K55" i="5"/>
  <c r="U54" i="5"/>
  <c r="M54" i="5"/>
  <c r="D54" i="5"/>
  <c r="W53" i="5"/>
  <c r="O53" i="5"/>
  <c r="F53" i="5"/>
  <c r="Y52" i="5"/>
  <c r="Q52" i="5"/>
  <c r="H52" i="5"/>
  <c r="S51" i="5"/>
  <c r="K51" i="5"/>
  <c r="U50" i="5"/>
  <c r="M50" i="5"/>
  <c r="D50" i="5"/>
  <c r="W49" i="5"/>
  <c r="O49" i="5"/>
  <c r="F49" i="5"/>
  <c r="Y48" i="5"/>
  <c r="Q48" i="5"/>
  <c r="H48" i="5"/>
  <c r="S47" i="5"/>
  <c r="K47" i="5"/>
  <c r="U46" i="5"/>
  <c r="M46" i="5"/>
  <c r="D46" i="5"/>
  <c r="W45" i="5"/>
  <c r="O45" i="5"/>
  <c r="F45" i="5"/>
  <c r="Y44" i="5"/>
  <c r="Q44" i="5"/>
  <c r="H44" i="5"/>
  <c r="S43" i="5"/>
  <c r="K43" i="5"/>
  <c r="U42" i="5"/>
  <c r="M42" i="5"/>
  <c r="D42" i="5"/>
  <c r="I107" i="7"/>
  <c r="S92" i="7"/>
  <c r="K87" i="7"/>
  <c r="J86" i="7"/>
  <c r="N85" i="7"/>
  <c r="O85" i="7" s="1"/>
  <c r="S82" i="7"/>
  <c r="K78" i="7"/>
  <c r="L78" i="7" s="1"/>
  <c r="M78" i="7" s="1"/>
  <c r="N78" i="7" s="1"/>
  <c r="O78" i="7" s="1"/>
  <c r="K72" i="7"/>
  <c r="L72" i="7" s="1"/>
  <c r="M72" i="7" s="1"/>
  <c r="N72" i="7" s="1"/>
  <c r="O72" i="7" s="1"/>
  <c r="S67" i="7"/>
  <c r="L64" i="7"/>
  <c r="L63" i="7"/>
  <c r="L61" i="7"/>
  <c r="J59" i="7"/>
  <c r="K55" i="7"/>
  <c r="S52" i="7"/>
  <c r="I51" i="7"/>
  <c r="M50" i="7"/>
  <c r="N50" i="7" s="1"/>
  <c r="O50" i="7" s="1"/>
  <c r="K47" i="7"/>
  <c r="S44" i="7"/>
  <c r="I43" i="7"/>
  <c r="M42" i="7"/>
  <c r="N42" i="7" s="1"/>
  <c r="O42" i="7" s="1"/>
  <c r="N38" i="7"/>
  <c r="S36" i="7"/>
  <c r="I35" i="7"/>
  <c r="K31" i="7"/>
  <c r="S28" i="7"/>
  <c r="I27" i="7"/>
  <c r="M26" i="7"/>
  <c r="N26" i="7" s="1"/>
  <c r="O26" i="7" s="1"/>
  <c r="K23" i="7"/>
  <c r="S20" i="7"/>
  <c r="I19" i="7"/>
  <c r="M18" i="7"/>
  <c r="N18" i="7" s="1"/>
  <c r="O18" i="7" s="1"/>
  <c r="K15" i="7"/>
  <c r="S12" i="7"/>
  <c r="I11" i="7"/>
  <c r="K7" i="7"/>
  <c r="U101" i="5"/>
  <c r="I101" i="5"/>
  <c r="Z100" i="5"/>
  <c r="O100" i="5"/>
  <c r="T99" i="5"/>
  <c r="H99" i="5"/>
  <c r="X98" i="5"/>
  <c r="N98" i="5"/>
  <c r="U97" i="5"/>
  <c r="I97" i="5"/>
  <c r="Z96" i="5"/>
  <c r="O96" i="5"/>
  <c r="T95" i="5"/>
  <c r="H95" i="5"/>
  <c r="X94" i="5"/>
  <c r="N94" i="5"/>
  <c r="U93" i="5"/>
  <c r="I93" i="5"/>
  <c r="Z92" i="5"/>
  <c r="O92" i="5"/>
  <c r="T91" i="5"/>
  <c r="H91" i="5"/>
  <c r="X90" i="5"/>
  <c r="N90" i="5"/>
  <c r="U89" i="5"/>
  <c r="I89" i="5"/>
  <c r="Z88" i="5"/>
  <c r="O88" i="5"/>
  <c r="T87" i="5"/>
  <c r="H87" i="5"/>
  <c r="X86" i="5"/>
  <c r="N86" i="5"/>
  <c r="U85" i="5"/>
  <c r="I85" i="5"/>
  <c r="Z84" i="5"/>
  <c r="O84" i="5"/>
  <c r="T83" i="5"/>
  <c r="H83" i="5"/>
  <c r="X82" i="5"/>
  <c r="N82" i="5"/>
  <c r="U81" i="5"/>
  <c r="I81" i="5"/>
  <c r="Z80" i="5"/>
  <c r="O80" i="5"/>
  <c r="T79" i="5"/>
  <c r="H79" i="5"/>
  <c r="X78" i="5"/>
  <c r="N78" i="5"/>
  <c r="U77" i="5"/>
  <c r="I77" i="5"/>
  <c r="Z76" i="5"/>
  <c r="O76" i="5"/>
  <c r="T75" i="5"/>
  <c r="H75" i="5"/>
  <c r="X74" i="5"/>
  <c r="N74" i="5"/>
  <c r="U73" i="5"/>
  <c r="K73" i="5"/>
  <c r="AC72" i="5"/>
  <c r="AD72" i="5" s="1"/>
  <c r="S72" i="5"/>
  <c r="I72" i="5"/>
  <c r="Q71" i="5"/>
  <c r="G71" i="5"/>
  <c r="Y70" i="5"/>
  <c r="P70" i="5"/>
  <c r="F70" i="5"/>
  <c r="Y69" i="5"/>
  <c r="P69" i="5"/>
  <c r="F69" i="5"/>
  <c r="W68" i="5"/>
  <c r="N68" i="5"/>
  <c r="D68" i="5"/>
  <c r="V67" i="5"/>
  <c r="M67" i="5"/>
  <c r="U66" i="5"/>
  <c r="K66" i="5"/>
  <c r="T65" i="5"/>
  <c r="K65" i="5"/>
  <c r="AC64" i="5"/>
  <c r="AD64" i="5" s="1"/>
  <c r="S64" i="5"/>
  <c r="I64" i="5"/>
  <c r="Q63" i="5"/>
  <c r="G63" i="5"/>
  <c r="Y62" i="5"/>
  <c r="P62" i="5"/>
  <c r="F62" i="5"/>
  <c r="Y61" i="5"/>
  <c r="P61" i="5"/>
  <c r="F61" i="5"/>
  <c r="W60" i="5"/>
  <c r="N60" i="5"/>
  <c r="D60" i="5"/>
  <c r="V59" i="5"/>
  <c r="M59" i="5"/>
  <c r="U58" i="5"/>
  <c r="L58" i="5"/>
  <c r="V57" i="5"/>
  <c r="N57" i="5"/>
  <c r="E57" i="5"/>
  <c r="X56" i="5"/>
  <c r="P56" i="5"/>
  <c r="G56" i="5"/>
  <c r="Z55" i="5"/>
  <c r="R55" i="5"/>
  <c r="I55" i="5"/>
  <c r="AC54" i="5"/>
  <c r="AD54" i="5" s="1"/>
  <c r="T54" i="5"/>
  <c r="L54" i="5"/>
  <c r="V53" i="5"/>
  <c r="N53" i="5"/>
  <c r="E53" i="5"/>
  <c r="X52" i="5"/>
  <c r="P52" i="5"/>
  <c r="G52" i="5"/>
  <c r="Z51" i="5"/>
  <c r="R51" i="5"/>
  <c r="I51" i="5"/>
  <c r="AC50" i="5"/>
  <c r="AD50" i="5" s="1"/>
  <c r="T50" i="5"/>
  <c r="L50" i="5"/>
  <c r="V49" i="5"/>
  <c r="N49" i="5"/>
  <c r="E49" i="5"/>
  <c r="X48" i="5"/>
  <c r="P48" i="5"/>
  <c r="G48" i="5"/>
  <c r="Z47" i="5"/>
  <c r="R47" i="5"/>
  <c r="I47" i="5"/>
  <c r="AC46" i="5"/>
  <c r="AD46" i="5" s="1"/>
  <c r="T46" i="5"/>
  <c r="L46" i="5"/>
  <c r="V45" i="5"/>
  <c r="N45" i="5"/>
  <c r="S103" i="7"/>
  <c r="N93" i="7"/>
  <c r="S89" i="7"/>
  <c r="J84" i="7"/>
  <c r="O75" i="7"/>
  <c r="N70" i="7"/>
  <c r="J69" i="7"/>
  <c r="K65" i="7"/>
  <c r="J64" i="7"/>
  <c r="I63" i="7"/>
  <c r="K62" i="7"/>
  <c r="L62" i="7" s="1"/>
  <c r="M62" i="7" s="1"/>
  <c r="N62" i="7" s="1"/>
  <c r="O62" i="7" s="1"/>
  <c r="I61" i="7"/>
  <c r="I60" i="7"/>
  <c r="J58" i="7"/>
  <c r="M57" i="7"/>
  <c r="N57" i="7" s="1"/>
  <c r="O57" i="7" s="1"/>
  <c r="S55" i="7"/>
  <c r="K54" i="7"/>
  <c r="J50" i="7"/>
  <c r="M49" i="7"/>
  <c r="N49" i="7" s="1"/>
  <c r="O49" i="7" s="1"/>
  <c r="S47" i="7"/>
  <c r="K46" i="7"/>
  <c r="J42" i="7"/>
  <c r="K38" i="7"/>
  <c r="N37" i="7"/>
  <c r="J34" i="7"/>
  <c r="S31" i="7"/>
  <c r="K30" i="7"/>
  <c r="J26" i="7"/>
  <c r="M25" i="7"/>
  <c r="N25" i="7" s="1"/>
  <c r="O25" i="7" s="1"/>
  <c r="S23" i="7"/>
  <c r="K22" i="7"/>
  <c r="J18" i="7"/>
  <c r="M17" i="7"/>
  <c r="N17" i="7" s="1"/>
  <c r="O17" i="7" s="1"/>
  <c r="S15" i="7"/>
  <c r="K14" i="7"/>
  <c r="J10" i="7"/>
  <c r="S7" i="7"/>
  <c r="K6" i="7"/>
  <c r="N5" i="7"/>
  <c r="AC101" i="5"/>
  <c r="AD101" i="5" s="1"/>
  <c r="R101" i="5"/>
  <c r="G101" i="5"/>
  <c r="W100" i="5"/>
  <c r="L100" i="5"/>
  <c r="AC99" i="5"/>
  <c r="AD99" i="5" s="1"/>
  <c r="Q99" i="5"/>
  <c r="E99" i="5"/>
  <c r="V98" i="5"/>
  <c r="K98" i="5"/>
  <c r="AC97" i="5"/>
  <c r="AD97" i="5" s="1"/>
  <c r="R97" i="5"/>
  <c r="G97" i="5"/>
  <c r="W96" i="5"/>
  <c r="L96" i="5"/>
  <c r="AC95" i="5"/>
  <c r="AD95" i="5" s="1"/>
  <c r="Q95" i="5"/>
  <c r="E95" i="5"/>
  <c r="V94" i="5"/>
  <c r="K94" i="5"/>
  <c r="AC93" i="5"/>
  <c r="AD93" i="5" s="1"/>
  <c r="R93" i="5"/>
  <c r="G93" i="5"/>
  <c r="W92" i="5"/>
  <c r="L92" i="5"/>
  <c r="AC91" i="5"/>
  <c r="AD91" i="5" s="1"/>
  <c r="Q91" i="5"/>
  <c r="E91" i="5"/>
  <c r="V90" i="5"/>
  <c r="K90" i="5"/>
  <c r="AC89" i="5"/>
  <c r="AD89" i="5" s="1"/>
  <c r="R89" i="5"/>
  <c r="G89" i="5"/>
  <c r="W88" i="5"/>
  <c r="L88" i="5"/>
  <c r="AC87" i="5"/>
  <c r="AD87" i="5" s="1"/>
  <c r="Q87" i="5"/>
  <c r="E87" i="5"/>
  <c r="V86" i="5"/>
  <c r="K86" i="5"/>
  <c r="AC85" i="5"/>
  <c r="AD85" i="5" s="1"/>
  <c r="R85" i="5"/>
  <c r="G85" i="5"/>
  <c r="W84" i="5"/>
  <c r="L84" i="5"/>
  <c r="AC83" i="5"/>
  <c r="AD83" i="5" s="1"/>
  <c r="Q83" i="5"/>
  <c r="E83" i="5"/>
  <c r="V82" i="5"/>
  <c r="K82" i="5"/>
  <c r="AC81" i="5"/>
  <c r="AD81" i="5" s="1"/>
  <c r="R81" i="5"/>
  <c r="G81" i="5"/>
  <c r="W80" i="5"/>
  <c r="L80" i="5"/>
  <c r="AC79" i="5"/>
  <c r="AD79" i="5" s="1"/>
  <c r="Q79" i="5"/>
  <c r="E79" i="5"/>
  <c r="V78" i="5"/>
  <c r="K78" i="5"/>
  <c r="AC77" i="5"/>
  <c r="AD77" i="5" s="1"/>
  <c r="R77" i="5"/>
  <c r="G77" i="5"/>
  <c r="W76" i="5"/>
  <c r="L76" i="5"/>
  <c r="AC75" i="5"/>
  <c r="AD75" i="5" s="1"/>
  <c r="Q75" i="5"/>
  <c r="E75" i="5"/>
  <c r="V74" i="5"/>
  <c r="K74" i="5"/>
  <c r="AC73" i="5"/>
  <c r="AD73" i="5" s="1"/>
  <c r="R73" i="5"/>
  <c r="H73" i="5"/>
  <c r="Z72" i="5"/>
  <c r="Q72" i="5"/>
  <c r="F72" i="5"/>
  <c r="X71" i="5"/>
  <c r="O71" i="5"/>
  <c r="E71" i="5"/>
  <c r="W70" i="5"/>
  <c r="N70" i="5"/>
  <c r="D70" i="5"/>
  <c r="W69" i="5"/>
  <c r="M69" i="5"/>
  <c r="U68" i="5"/>
  <c r="L68" i="5"/>
  <c r="T67" i="5"/>
  <c r="K67" i="5"/>
  <c r="R66" i="5"/>
  <c r="H66" i="5"/>
  <c r="R65" i="5"/>
  <c r="H65" i="5"/>
  <c r="Z64" i="5"/>
  <c r="Q64" i="5"/>
  <c r="F64" i="5"/>
  <c r="X63" i="5"/>
  <c r="O63" i="5"/>
  <c r="E63" i="5"/>
  <c r="W62" i="5"/>
  <c r="N62" i="5"/>
  <c r="D62" i="5"/>
  <c r="W61" i="5"/>
  <c r="M61" i="5"/>
  <c r="U60" i="5"/>
  <c r="L60" i="5"/>
  <c r="T59" i="5"/>
  <c r="K59" i="5"/>
  <c r="R58" i="5"/>
  <c r="I58" i="5"/>
  <c r="AC57" i="5"/>
  <c r="AD57" i="5" s="1"/>
  <c r="T57" i="5"/>
  <c r="L57" i="5"/>
  <c r="V56" i="5"/>
  <c r="N56" i="5"/>
  <c r="E56" i="5"/>
  <c r="X55" i="5"/>
  <c r="P55" i="5"/>
  <c r="G55" i="5"/>
  <c r="Z54" i="5"/>
  <c r="R54" i="5"/>
  <c r="I54" i="5"/>
  <c r="AC53" i="5"/>
  <c r="AD53" i="5" s="1"/>
  <c r="T53" i="5"/>
  <c r="L53" i="5"/>
  <c r="V52" i="5"/>
  <c r="N52" i="5"/>
  <c r="E52" i="5"/>
  <c r="X51" i="5"/>
  <c r="P51" i="5"/>
  <c r="G51" i="5"/>
  <c r="Z50" i="5"/>
  <c r="R50" i="5"/>
  <c r="I50" i="5"/>
  <c r="AC49" i="5"/>
  <c r="AD49" i="5" s="1"/>
  <c r="T49" i="5"/>
  <c r="L49" i="5"/>
  <c r="V48" i="5"/>
  <c r="N48" i="5"/>
  <c r="E48" i="5"/>
  <c r="X47" i="5"/>
  <c r="P47" i="5"/>
  <c r="G47" i="5"/>
  <c r="Z46" i="5"/>
  <c r="R46" i="5"/>
  <c r="I46" i="5"/>
  <c r="AC45" i="5"/>
  <c r="AD45" i="5" s="1"/>
  <c r="T45" i="5"/>
  <c r="L45" i="5"/>
  <c r="V44" i="5"/>
  <c r="N44" i="5"/>
  <c r="E44" i="5"/>
  <c r="X43" i="5"/>
  <c r="P43" i="5"/>
  <c r="G43" i="5"/>
  <c r="Z42" i="5"/>
  <c r="R42" i="5"/>
  <c r="I42" i="5"/>
  <c r="AC41" i="5"/>
  <c r="AD41" i="5" s="1"/>
  <c r="T41" i="5"/>
  <c r="L41" i="5"/>
  <c r="V40" i="5"/>
  <c r="N40" i="5"/>
  <c r="E40" i="5"/>
  <c r="X39" i="5"/>
  <c r="P39" i="5"/>
  <c r="G39" i="5"/>
  <c r="Z38" i="5"/>
  <c r="R38" i="5"/>
  <c r="S100" i="7"/>
  <c r="L100" i="3" s="1"/>
  <c r="L76" i="7"/>
  <c r="M70" i="7"/>
  <c r="S64" i="7"/>
  <c r="I62" i="7"/>
  <c r="L57" i="7"/>
  <c r="M45" i="7"/>
  <c r="N45" i="7" s="1"/>
  <c r="O45" i="7" s="1"/>
  <c r="S42" i="7"/>
  <c r="L42" i="3" s="1"/>
  <c r="K34" i="7"/>
  <c r="L34" i="7" s="1"/>
  <c r="M34" i="7" s="1"/>
  <c r="N34" i="7" s="1"/>
  <c r="O34" i="7" s="1"/>
  <c r="L22" i="7"/>
  <c r="H101" i="5"/>
  <c r="T97" i="5"/>
  <c r="N96" i="5"/>
  <c r="D95" i="5"/>
  <c r="Y92" i="5"/>
  <c r="P91" i="5"/>
  <c r="I90" i="5"/>
  <c r="U86" i="5"/>
  <c r="H85" i="5"/>
  <c r="T81" i="5"/>
  <c r="N80" i="5"/>
  <c r="D79" i="5"/>
  <c r="Y76" i="5"/>
  <c r="P75" i="5"/>
  <c r="I74" i="5"/>
  <c r="X69" i="5"/>
  <c r="V68" i="5"/>
  <c r="S67" i="5"/>
  <c r="Q66" i="5"/>
  <c r="Q65" i="5"/>
  <c r="H64" i="5"/>
  <c r="F63" i="5"/>
  <c r="E62" i="5"/>
  <c r="AC59" i="5"/>
  <c r="AD59" i="5" s="1"/>
  <c r="E46" i="5"/>
  <c r="M45" i="5"/>
  <c r="Z44" i="5"/>
  <c r="M44" i="5"/>
  <c r="O43" i="5"/>
  <c r="AC42" i="5"/>
  <c r="AD42" i="5" s="1"/>
  <c r="P42" i="5"/>
  <c r="R41" i="5"/>
  <c r="F41" i="5"/>
  <c r="Y40" i="5"/>
  <c r="O40" i="5"/>
  <c r="S39" i="5"/>
  <c r="H39" i="5"/>
  <c r="X38" i="5"/>
  <c r="M38" i="5"/>
  <c r="U37" i="5"/>
  <c r="L37" i="5"/>
  <c r="V36" i="5"/>
  <c r="N36" i="5"/>
  <c r="E36" i="5"/>
  <c r="X35" i="5"/>
  <c r="P35" i="5"/>
  <c r="G35" i="5"/>
  <c r="Z34" i="5"/>
  <c r="R34" i="5"/>
  <c r="I34" i="5"/>
  <c r="AC33" i="5"/>
  <c r="AD33" i="5" s="1"/>
  <c r="T33" i="5"/>
  <c r="L33" i="5"/>
  <c r="V32" i="5"/>
  <c r="N32" i="5"/>
  <c r="E32" i="5"/>
  <c r="X31" i="5"/>
  <c r="P31" i="5"/>
  <c r="G31" i="5"/>
  <c r="Z30" i="5"/>
  <c r="R30" i="5"/>
  <c r="I30" i="5"/>
  <c r="AC29" i="5"/>
  <c r="AD29" i="5" s="1"/>
  <c r="T29" i="5"/>
  <c r="L29" i="5"/>
  <c r="V28" i="5"/>
  <c r="N28" i="5"/>
  <c r="E28" i="5"/>
  <c r="X27" i="5"/>
  <c r="P27" i="5"/>
  <c r="G27" i="5"/>
  <c r="Z26" i="5"/>
  <c r="R26" i="5"/>
  <c r="I26" i="5"/>
  <c r="AC25" i="5"/>
  <c r="AD25" i="5" s="1"/>
  <c r="T25" i="5"/>
  <c r="L25" i="5"/>
  <c r="V24" i="5"/>
  <c r="N24" i="5"/>
  <c r="E24" i="5"/>
  <c r="X23" i="5"/>
  <c r="P23" i="5"/>
  <c r="G23" i="5"/>
  <c r="Z22" i="5"/>
  <c r="R22" i="5"/>
  <c r="I22" i="5"/>
  <c r="AC21" i="5"/>
  <c r="AD21" i="5" s="1"/>
  <c r="T21" i="5"/>
  <c r="L21" i="5"/>
  <c r="V20" i="5"/>
  <c r="N20" i="5"/>
  <c r="E20" i="5"/>
  <c r="X19" i="5"/>
  <c r="P19" i="5"/>
  <c r="G19" i="5"/>
  <c r="Z18" i="5"/>
  <c r="R18" i="5"/>
  <c r="I18" i="5"/>
  <c r="AC17" i="5"/>
  <c r="AD17" i="5" s="1"/>
  <c r="T17" i="5"/>
  <c r="L17" i="5"/>
  <c r="V16" i="5"/>
  <c r="N16" i="5"/>
  <c r="E16" i="5"/>
  <c r="X15" i="5"/>
  <c r="P15" i="5"/>
  <c r="G15" i="5"/>
  <c r="Z14" i="5"/>
  <c r="R14" i="5"/>
  <c r="I14" i="5"/>
  <c r="AC13" i="5"/>
  <c r="AD13" i="5" s="1"/>
  <c r="T13" i="5"/>
  <c r="L13" i="5"/>
  <c r="V12" i="5"/>
  <c r="N12" i="5"/>
  <c r="E12" i="5"/>
  <c r="X11" i="5"/>
  <c r="P11" i="5"/>
  <c r="G11" i="5"/>
  <c r="Z10" i="5"/>
  <c r="R10" i="5"/>
  <c r="I10" i="5"/>
  <c r="AC9" i="5"/>
  <c r="AD9" i="5" s="1"/>
  <c r="T9" i="5"/>
  <c r="L9" i="5"/>
  <c r="V8" i="5"/>
  <c r="N8" i="5"/>
  <c r="E8" i="5"/>
  <c r="X7" i="5"/>
  <c r="P7" i="5"/>
  <c r="G7" i="5"/>
  <c r="Z6" i="5"/>
  <c r="R6" i="5"/>
  <c r="I6" i="5"/>
  <c r="AD260" i="3"/>
  <c r="AP260" i="3" s="1"/>
  <c r="V260" i="3"/>
  <c r="N260" i="3"/>
  <c r="E260" i="3"/>
  <c r="X258" i="3"/>
  <c r="P258" i="3"/>
  <c r="G258" i="3"/>
  <c r="Z256" i="3"/>
  <c r="R256" i="3"/>
  <c r="I256" i="3"/>
  <c r="K63" i="7"/>
  <c r="S60" i="7"/>
  <c r="K58" i="7"/>
  <c r="L58" i="7" s="1"/>
  <c r="M58" i="7" s="1"/>
  <c r="N58" i="7" s="1"/>
  <c r="O58" i="7" s="1"/>
  <c r="L46" i="7"/>
  <c r="J23" i="7"/>
  <c r="J22" i="7"/>
  <c r="L17" i="7"/>
  <c r="M5" i="7"/>
  <c r="F101" i="5"/>
  <c r="W98" i="5"/>
  <c r="Q97" i="5"/>
  <c r="K96" i="5"/>
  <c r="V92" i="5"/>
  <c r="G91" i="5"/>
  <c r="S87" i="5"/>
  <c r="M86" i="5"/>
  <c r="F85" i="5"/>
  <c r="W82" i="5"/>
  <c r="Q81" i="5"/>
  <c r="K80" i="5"/>
  <c r="V76" i="5"/>
  <c r="G75" i="5"/>
  <c r="Y71" i="5"/>
  <c r="X70" i="5"/>
  <c r="U69" i="5"/>
  <c r="T68" i="5"/>
  <c r="L67" i="5"/>
  <c r="I66" i="5"/>
  <c r="I65" i="5"/>
  <c r="E64" i="5"/>
  <c r="D63" i="5"/>
  <c r="Z58" i="5"/>
  <c r="U57" i="5"/>
  <c r="W56" i="5"/>
  <c r="Y55" i="5"/>
  <c r="Y54" i="5"/>
  <c r="U53" i="5"/>
  <c r="W52" i="5"/>
  <c r="Y51" i="5"/>
  <c r="Y50" i="5"/>
  <c r="U49" i="5"/>
  <c r="W48" i="5"/>
  <c r="Y47" i="5"/>
  <c r="Y46" i="5"/>
  <c r="K45" i="5"/>
  <c r="X44" i="5"/>
  <c r="L44" i="5"/>
  <c r="Z43" i="5"/>
  <c r="N43" i="5"/>
  <c r="N42" i="5"/>
  <c r="P41" i="5"/>
  <c r="E41" i="5"/>
  <c r="X40" i="5"/>
  <c r="M40" i="5"/>
  <c r="AC39" i="5"/>
  <c r="AD39" i="5" s="1"/>
  <c r="R39" i="5"/>
  <c r="F39" i="5"/>
  <c r="V38" i="5"/>
  <c r="L38" i="5"/>
  <c r="T37" i="5"/>
  <c r="K37" i="5"/>
  <c r="U36" i="5"/>
  <c r="M36" i="5"/>
  <c r="D36" i="5"/>
  <c r="W35" i="5"/>
  <c r="O35" i="5"/>
  <c r="F35" i="5"/>
  <c r="Y34" i="5"/>
  <c r="Q34" i="5"/>
  <c r="H34" i="5"/>
  <c r="S33" i="5"/>
  <c r="K33" i="5"/>
  <c r="U32" i="5"/>
  <c r="M32" i="5"/>
  <c r="D32" i="5"/>
  <c r="W31" i="5"/>
  <c r="O31" i="5"/>
  <c r="F31" i="5"/>
  <c r="Y30" i="5"/>
  <c r="Q30" i="5"/>
  <c r="H30" i="5"/>
  <c r="S29" i="5"/>
  <c r="K29" i="5"/>
  <c r="U28" i="5"/>
  <c r="M28" i="5"/>
  <c r="D28" i="5"/>
  <c r="W27" i="5"/>
  <c r="O27" i="5"/>
  <c r="F27" i="5"/>
  <c r="Y26" i="5"/>
  <c r="Q26" i="5"/>
  <c r="H26" i="5"/>
  <c r="S25" i="5"/>
  <c r="K25" i="5"/>
  <c r="U24" i="5"/>
  <c r="M24" i="5"/>
  <c r="D24" i="5"/>
  <c r="W23" i="5"/>
  <c r="O23" i="5"/>
  <c r="F23" i="5"/>
  <c r="Y22" i="5"/>
  <c r="Q22" i="5"/>
  <c r="H22" i="5"/>
  <c r="S21" i="5"/>
  <c r="K21" i="5"/>
  <c r="U20" i="5"/>
  <c r="M20" i="5"/>
  <c r="D20" i="5"/>
  <c r="W19" i="5"/>
  <c r="O19" i="5"/>
  <c r="F19" i="5"/>
  <c r="Y18" i="5"/>
  <c r="Q18" i="5"/>
  <c r="H18" i="5"/>
  <c r="S17" i="5"/>
  <c r="K17" i="5"/>
  <c r="U16" i="5"/>
  <c r="M16" i="5"/>
  <c r="D16" i="5"/>
  <c r="W15" i="5"/>
  <c r="O15" i="5"/>
  <c r="F15" i="5"/>
  <c r="Y14" i="5"/>
  <c r="Q14" i="5"/>
  <c r="H14" i="5"/>
  <c r="S13" i="5"/>
  <c r="K13" i="5"/>
  <c r="U12" i="5"/>
  <c r="M12" i="5"/>
  <c r="D12" i="5"/>
  <c r="W11" i="5"/>
  <c r="O11" i="5"/>
  <c r="F11" i="5"/>
  <c r="Y10" i="5"/>
  <c r="Q10" i="5"/>
  <c r="H10" i="5"/>
  <c r="S9" i="5"/>
  <c r="K9" i="5"/>
  <c r="U8" i="5"/>
  <c r="M8" i="5"/>
  <c r="D8" i="5"/>
  <c r="W7" i="5"/>
  <c r="O7" i="5"/>
  <c r="F7" i="5"/>
  <c r="Y6" i="5"/>
  <c r="Q6" i="5"/>
  <c r="H6" i="5"/>
  <c r="AC260" i="3"/>
  <c r="U260" i="3"/>
  <c r="M260" i="3"/>
  <c r="I259" i="3"/>
  <c r="AV258" i="3"/>
  <c r="C256" i="9" s="1"/>
  <c r="AE258" i="3"/>
  <c r="W258" i="3"/>
  <c r="F258" i="3"/>
  <c r="AG256" i="3"/>
  <c r="Y256" i="3"/>
  <c r="Q256" i="3"/>
  <c r="H256" i="3"/>
  <c r="AC252" i="3"/>
  <c r="U252" i="3"/>
  <c r="M252" i="3"/>
  <c r="AV250" i="3"/>
  <c r="C248" i="9" s="1"/>
  <c r="AE250" i="3"/>
  <c r="W250" i="3"/>
  <c r="F250" i="3"/>
  <c r="I85" i="7"/>
  <c r="S72" i="7"/>
  <c r="I59" i="7"/>
  <c r="J47" i="7"/>
  <c r="J46" i="7"/>
  <c r="M29" i="7"/>
  <c r="N29" i="7" s="1"/>
  <c r="O29" i="7" s="1"/>
  <c r="S26" i="7"/>
  <c r="K18" i="7"/>
  <c r="L6" i="7"/>
  <c r="U98" i="5"/>
  <c r="H97" i="5"/>
  <c r="T93" i="5"/>
  <c r="N92" i="5"/>
  <c r="D91" i="5"/>
  <c r="Y88" i="5"/>
  <c r="P87" i="5"/>
  <c r="I86" i="5"/>
  <c r="U82" i="5"/>
  <c r="H81" i="5"/>
  <c r="T77" i="5"/>
  <c r="N76" i="5"/>
  <c r="D75" i="5"/>
  <c r="Y72" i="5"/>
  <c r="W71" i="5"/>
  <c r="V70" i="5"/>
  <c r="O69" i="5"/>
  <c r="M68" i="5"/>
  <c r="H67" i="5"/>
  <c r="G66" i="5"/>
  <c r="G65" i="5"/>
  <c r="U59" i="5"/>
  <c r="S58" i="5"/>
  <c r="S57" i="5"/>
  <c r="U56" i="5"/>
  <c r="W55" i="5"/>
  <c r="S54" i="5"/>
  <c r="S53" i="5"/>
  <c r="U52" i="5"/>
  <c r="W51" i="5"/>
  <c r="S50" i="5"/>
  <c r="S49" i="5"/>
  <c r="U48" i="5"/>
  <c r="W47" i="5"/>
  <c r="V46" i="5"/>
  <c r="G45" i="5"/>
  <c r="W44" i="5"/>
  <c r="I44" i="5"/>
  <c r="Y43" i="5"/>
  <c r="L43" i="5"/>
  <c r="Y42" i="5"/>
  <c r="L42" i="5"/>
  <c r="Z41" i="5"/>
  <c r="O41" i="5"/>
  <c r="D41" i="5"/>
  <c r="W40" i="5"/>
  <c r="L40" i="5"/>
  <c r="Q39" i="5"/>
  <c r="E39" i="5"/>
  <c r="U38" i="5"/>
  <c r="K38" i="5"/>
  <c r="AC37" i="5"/>
  <c r="AD37" i="5" s="1"/>
  <c r="S37" i="5"/>
  <c r="I37" i="5"/>
  <c r="AC36" i="5"/>
  <c r="AD36" i="5" s="1"/>
  <c r="T36" i="5"/>
  <c r="L36" i="5"/>
  <c r="V35" i="5"/>
  <c r="N35" i="5"/>
  <c r="E35" i="5"/>
  <c r="X34" i="5"/>
  <c r="P34" i="5"/>
  <c r="G34" i="5"/>
  <c r="Z33" i="5"/>
  <c r="R33" i="5"/>
  <c r="I33" i="5"/>
  <c r="AC32" i="5"/>
  <c r="AD32" i="5" s="1"/>
  <c r="T32" i="5"/>
  <c r="L32" i="5"/>
  <c r="V31" i="5"/>
  <c r="N31" i="5"/>
  <c r="E31" i="5"/>
  <c r="X30" i="5"/>
  <c r="P30" i="5"/>
  <c r="G30" i="5"/>
  <c r="Z29" i="5"/>
  <c r="R29" i="5"/>
  <c r="I29" i="5"/>
  <c r="AC28" i="5"/>
  <c r="AD28" i="5" s="1"/>
  <c r="T28" i="5"/>
  <c r="L28" i="5"/>
  <c r="V27" i="5"/>
  <c r="N27" i="5"/>
  <c r="E27" i="5"/>
  <c r="X26" i="5"/>
  <c r="P26" i="5"/>
  <c r="G26" i="5"/>
  <c r="Z25" i="5"/>
  <c r="R25" i="5"/>
  <c r="I25" i="5"/>
  <c r="AC24" i="5"/>
  <c r="AD24" i="5" s="1"/>
  <c r="T24" i="5"/>
  <c r="L24" i="5"/>
  <c r="V23" i="5"/>
  <c r="N23" i="5"/>
  <c r="E23" i="5"/>
  <c r="X22" i="5"/>
  <c r="P22" i="5"/>
  <c r="G22" i="5"/>
  <c r="Z21" i="5"/>
  <c r="R21" i="5"/>
  <c r="I21" i="5"/>
  <c r="AC20" i="5"/>
  <c r="AD20" i="5" s="1"/>
  <c r="T20" i="5"/>
  <c r="L20" i="5"/>
  <c r="V19" i="5"/>
  <c r="N19" i="5"/>
  <c r="E19" i="5"/>
  <c r="X18" i="5"/>
  <c r="P18" i="5"/>
  <c r="G18" i="5"/>
  <c r="Z17" i="5"/>
  <c r="R17" i="5"/>
  <c r="I17" i="5"/>
  <c r="AC16" i="5"/>
  <c r="AD16" i="5" s="1"/>
  <c r="T16" i="5"/>
  <c r="L16" i="5"/>
  <c r="V15" i="5"/>
  <c r="N15" i="5"/>
  <c r="E15" i="5"/>
  <c r="X14" i="5"/>
  <c r="P14" i="5"/>
  <c r="G14" i="5"/>
  <c r="Z13" i="5"/>
  <c r="R13" i="5"/>
  <c r="I13" i="5"/>
  <c r="AC12" i="5"/>
  <c r="AD12" i="5" s="1"/>
  <c r="T12" i="5"/>
  <c r="L12" i="5"/>
  <c r="V11" i="5"/>
  <c r="N11" i="5"/>
  <c r="E11" i="5"/>
  <c r="X10" i="5"/>
  <c r="P10" i="5"/>
  <c r="G10" i="5"/>
  <c r="Z9" i="5"/>
  <c r="R9" i="5"/>
  <c r="I9" i="5"/>
  <c r="AC8" i="5"/>
  <c r="AD8" i="5" s="1"/>
  <c r="T8" i="5"/>
  <c r="L8" i="5"/>
  <c r="V7" i="5"/>
  <c r="N7" i="5"/>
  <c r="E7" i="5"/>
  <c r="X6" i="5"/>
  <c r="P6" i="5"/>
  <c r="G6" i="5"/>
  <c r="AB260" i="3"/>
  <c r="T260" i="3"/>
  <c r="L260" i="3"/>
  <c r="AG259" i="3"/>
  <c r="Y259" i="3"/>
  <c r="Q259" i="3"/>
  <c r="N94" i="7"/>
  <c r="M92" i="7"/>
  <c r="J77" i="7"/>
  <c r="K64" i="7"/>
  <c r="M53" i="7"/>
  <c r="N53" i="7" s="1"/>
  <c r="O53" i="7" s="1"/>
  <c r="S50" i="7"/>
  <c r="L50" i="3" s="1"/>
  <c r="K42" i="7"/>
  <c r="L30" i="7"/>
  <c r="J7" i="7"/>
  <c r="J6" i="7"/>
  <c r="S99" i="5"/>
  <c r="M98" i="5"/>
  <c r="F97" i="5"/>
  <c r="W94" i="5"/>
  <c r="Q93" i="5"/>
  <c r="K92" i="5"/>
  <c r="V88" i="5"/>
  <c r="G87" i="5"/>
  <c r="S83" i="5"/>
  <c r="M82" i="5"/>
  <c r="F81" i="5"/>
  <c r="W78" i="5"/>
  <c r="Q77" i="5"/>
  <c r="K76" i="5"/>
  <c r="R72" i="5"/>
  <c r="P71" i="5"/>
  <c r="O70" i="5"/>
  <c r="L69" i="5"/>
  <c r="K68" i="5"/>
  <c r="X61" i="5"/>
  <c r="V60" i="5"/>
  <c r="S59" i="5"/>
  <c r="Q58" i="5"/>
  <c r="M57" i="5"/>
  <c r="O56" i="5"/>
  <c r="Q55" i="5"/>
  <c r="Q54" i="5"/>
  <c r="M53" i="5"/>
  <c r="O52" i="5"/>
  <c r="Q51" i="5"/>
  <c r="Q50" i="5"/>
  <c r="M49" i="5"/>
  <c r="O48" i="5"/>
  <c r="Q47" i="5"/>
  <c r="S46" i="5"/>
  <c r="E45" i="5"/>
  <c r="U44" i="5"/>
  <c r="G44" i="5"/>
  <c r="W43" i="5"/>
  <c r="I43" i="5"/>
  <c r="X42" i="5"/>
  <c r="K42" i="5"/>
  <c r="X41" i="5"/>
  <c r="N41" i="5"/>
  <c r="U40" i="5"/>
  <c r="I40" i="5"/>
  <c r="Z39" i="5"/>
  <c r="O39" i="5"/>
  <c r="T38" i="5"/>
  <c r="I38" i="5"/>
  <c r="R37" i="5"/>
  <c r="H37" i="5"/>
  <c r="S36" i="5"/>
  <c r="K36" i="5"/>
  <c r="U35" i="5"/>
  <c r="M35" i="5"/>
  <c r="D35" i="5"/>
  <c r="W34" i="5"/>
  <c r="O34" i="5"/>
  <c r="F34" i="5"/>
  <c r="Y33" i="5"/>
  <c r="Q33" i="5"/>
  <c r="H33" i="5"/>
  <c r="S32" i="5"/>
  <c r="K32" i="5"/>
  <c r="U31" i="5"/>
  <c r="M31" i="5"/>
  <c r="D31" i="5"/>
  <c r="W30" i="5"/>
  <c r="O30" i="5"/>
  <c r="F30" i="5"/>
  <c r="Y29" i="5"/>
  <c r="Q29" i="5"/>
  <c r="H29" i="5"/>
  <c r="S28" i="5"/>
  <c r="K28" i="5"/>
  <c r="U27" i="5"/>
  <c r="M27" i="5"/>
  <c r="D27" i="5"/>
  <c r="W26" i="5"/>
  <c r="O26" i="5"/>
  <c r="F26" i="5"/>
  <c r="Y25" i="5"/>
  <c r="Q25" i="5"/>
  <c r="H25" i="5"/>
  <c r="S24" i="5"/>
  <c r="K24" i="5"/>
  <c r="U23" i="5"/>
  <c r="M23" i="5"/>
  <c r="D23" i="5"/>
  <c r="W22" i="5"/>
  <c r="O22" i="5"/>
  <c r="F22" i="5"/>
  <c r="Y21" i="5"/>
  <c r="Q21" i="5"/>
  <c r="H21" i="5"/>
  <c r="S20" i="5"/>
  <c r="K20" i="5"/>
  <c r="U19" i="5"/>
  <c r="M19" i="5"/>
  <c r="D19" i="5"/>
  <c r="W18" i="5"/>
  <c r="O18" i="5"/>
  <c r="F18" i="5"/>
  <c r="Y17" i="5"/>
  <c r="Q17" i="5"/>
  <c r="H17" i="5"/>
  <c r="S16" i="5"/>
  <c r="K16" i="5"/>
  <c r="U15" i="5"/>
  <c r="M15" i="5"/>
  <c r="D15" i="5"/>
  <c r="W14" i="5"/>
  <c r="O14" i="5"/>
  <c r="F14" i="5"/>
  <c r="Y13" i="5"/>
  <c r="Q13" i="5"/>
  <c r="H13" i="5"/>
  <c r="S12" i="5"/>
  <c r="K12" i="5"/>
  <c r="U11" i="5"/>
  <c r="M11" i="5"/>
  <c r="D11" i="5"/>
  <c r="W10" i="5"/>
  <c r="O10" i="5"/>
  <c r="F10" i="5"/>
  <c r="Y9" i="5"/>
  <c r="Q9" i="5"/>
  <c r="H9" i="5"/>
  <c r="S8" i="5"/>
  <c r="K8" i="5"/>
  <c r="U7" i="5"/>
  <c r="M7" i="5"/>
  <c r="D7" i="5"/>
  <c r="W6" i="5"/>
  <c r="O6" i="5"/>
  <c r="F6" i="5"/>
  <c r="I257" i="3"/>
  <c r="AV256" i="3"/>
  <c r="C254" i="9" s="1"/>
  <c r="AE256" i="3"/>
  <c r="W256" i="3"/>
  <c r="F256" i="3"/>
  <c r="H254" i="3"/>
  <c r="AV248" i="3"/>
  <c r="C246" i="9" s="1"/>
  <c r="AE248" i="3"/>
  <c r="W248" i="3"/>
  <c r="F248" i="3"/>
  <c r="H246" i="3"/>
  <c r="AV240" i="3"/>
  <c r="C238" i="9" s="1"/>
  <c r="AE240" i="3"/>
  <c r="W240" i="3"/>
  <c r="F240" i="3"/>
  <c r="H238" i="3"/>
  <c r="K60" i="7"/>
  <c r="L60" i="7" s="1"/>
  <c r="M60" i="7" s="1"/>
  <c r="N60" i="7" s="1"/>
  <c r="O60" i="7" s="1"/>
  <c r="L54" i="7"/>
  <c r="J31" i="7"/>
  <c r="J30" i="7"/>
  <c r="L25" i="7"/>
  <c r="S10" i="7"/>
  <c r="Y100" i="5"/>
  <c r="P99" i="5"/>
  <c r="I98" i="5"/>
  <c r="U94" i="5"/>
  <c r="H93" i="5"/>
  <c r="T89" i="5"/>
  <c r="N88" i="5"/>
  <c r="D87" i="5"/>
  <c r="Y84" i="5"/>
  <c r="P83" i="5"/>
  <c r="I82" i="5"/>
  <c r="U78" i="5"/>
  <c r="H77" i="5"/>
  <c r="T73" i="5"/>
  <c r="O72" i="5"/>
  <c r="N71" i="5"/>
  <c r="M70" i="5"/>
  <c r="D69" i="5"/>
  <c r="AC65" i="5"/>
  <c r="AD65" i="5" s="1"/>
  <c r="Y63" i="5"/>
  <c r="X62" i="5"/>
  <c r="U61" i="5"/>
  <c r="T60" i="5"/>
  <c r="L59" i="5"/>
  <c r="K58" i="5"/>
  <c r="K57" i="5"/>
  <c r="M56" i="5"/>
  <c r="O55" i="5"/>
  <c r="K54" i="5"/>
  <c r="K53" i="5"/>
  <c r="M52" i="5"/>
  <c r="O51" i="5"/>
  <c r="K50" i="5"/>
  <c r="K49" i="5"/>
  <c r="M48" i="5"/>
  <c r="O47" i="5"/>
  <c r="Q46" i="5"/>
  <c r="X45" i="5"/>
  <c r="D45" i="5"/>
  <c r="T44" i="5"/>
  <c r="F44" i="5"/>
  <c r="V43" i="5"/>
  <c r="H43" i="5"/>
  <c r="V42" i="5"/>
  <c r="H42" i="5"/>
  <c r="W41" i="5"/>
  <c r="M41" i="5"/>
  <c r="T40" i="5"/>
  <c r="H40" i="5"/>
  <c r="Y39" i="5"/>
  <c r="N39" i="5"/>
  <c r="S38" i="5"/>
  <c r="H38" i="5"/>
  <c r="Z37" i="5"/>
  <c r="P37" i="5"/>
  <c r="G37" i="5"/>
  <c r="Z36" i="5"/>
  <c r="R36" i="5"/>
  <c r="I36" i="5"/>
  <c r="AC35" i="5"/>
  <c r="AD35" i="5" s="1"/>
  <c r="T35" i="5"/>
  <c r="L35" i="5"/>
  <c r="V34" i="5"/>
  <c r="N34" i="5"/>
  <c r="E34" i="5"/>
  <c r="X33" i="5"/>
  <c r="P33" i="5"/>
  <c r="G33" i="5"/>
  <c r="Z32" i="5"/>
  <c r="R32" i="5"/>
  <c r="I32" i="5"/>
  <c r="AC31" i="5"/>
  <c r="AD31" i="5" s="1"/>
  <c r="T31" i="5"/>
  <c r="L31" i="5"/>
  <c r="V30" i="5"/>
  <c r="N30" i="5"/>
  <c r="E30" i="5"/>
  <c r="X29" i="5"/>
  <c r="P29" i="5"/>
  <c r="G29" i="5"/>
  <c r="Z28" i="5"/>
  <c r="R28" i="5"/>
  <c r="I28" i="5"/>
  <c r="AC27" i="5"/>
  <c r="AD27" i="5" s="1"/>
  <c r="T27" i="5"/>
  <c r="L27" i="5"/>
  <c r="V26" i="5"/>
  <c r="N26" i="5"/>
  <c r="E26" i="5"/>
  <c r="X25" i="5"/>
  <c r="P25" i="5"/>
  <c r="G25" i="5"/>
  <c r="Z24" i="5"/>
  <c r="R24" i="5"/>
  <c r="I24" i="5"/>
  <c r="AC23" i="5"/>
  <c r="AD23" i="5" s="1"/>
  <c r="T23" i="5"/>
  <c r="L23" i="5"/>
  <c r="V22" i="5"/>
  <c r="N22" i="5"/>
  <c r="E22" i="5"/>
  <c r="X21" i="5"/>
  <c r="P21" i="5"/>
  <c r="G21" i="5"/>
  <c r="Z20" i="5"/>
  <c r="R20" i="5"/>
  <c r="I20" i="5"/>
  <c r="AC19" i="5"/>
  <c r="AD19" i="5" s="1"/>
  <c r="T19" i="5"/>
  <c r="L19" i="5"/>
  <c r="V18" i="5"/>
  <c r="N18" i="5"/>
  <c r="E18" i="5"/>
  <c r="X17" i="5"/>
  <c r="P17" i="5"/>
  <c r="G17" i="5"/>
  <c r="Z16" i="5"/>
  <c r="R16" i="5"/>
  <c r="I16" i="5"/>
  <c r="AC15" i="5"/>
  <c r="AD15" i="5" s="1"/>
  <c r="T15" i="5"/>
  <c r="L15" i="5"/>
  <c r="V14" i="5"/>
  <c r="N14" i="5"/>
  <c r="E14" i="5"/>
  <c r="X13" i="5"/>
  <c r="P13" i="5"/>
  <c r="G13" i="5"/>
  <c r="Z12" i="5"/>
  <c r="R12" i="5"/>
  <c r="I12" i="5"/>
  <c r="AC11" i="5"/>
  <c r="AD11" i="5" s="1"/>
  <c r="T11" i="5"/>
  <c r="L11" i="5"/>
  <c r="V10" i="5"/>
  <c r="N10" i="5"/>
  <c r="E10" i="5"/>
  <c r="X9" i="5"/>
  <c r="P9" i="5"/>
  <c r="G9" i="5"/>
  <c r="Z8" i="5"/>
  <c r="R8" i="5"/>
  <c r="I8" i="5"/>
  <c r="AC7" i="5"/>
  <c r="AD7" i="5" s="1"/>
  <c r="T7" i="5"/>
  <c r="L7" i="5"/>
  <c r="V6" i="5"/>
  <c r="N6" i="5"/>
  <c r="E6" i="5"/>
  <c r="Z260" i="3"/>
  <c r="R260" i="3"/>
  <c r="I260" i="3"/>
  <c r="AB258" i="3"/>
  <c r="I115" i="7"/>
  <c r="S115" i="7" s="1"/>
  <c r="S95" i="7"/>
  <c r="N75" i="7"/>
  <c r="J72" i="7"/>
  <c r="L65" i="7"/>
  <c r="J55" i="7"/>
  <c r="J54" i="7"/>
  <c r="L49" i="7"/>
  <c r="M37" i="7"/>
  <c r="S34" i="7"/>
  <c r="L34" i="3" s="1"/>
  <c r="K26" i="7"/>
  <c r="L14" i="7"/>
  <c r="V100" i="5"/>
  <c r="G99" i="5"/>
  <c r="S95" i="5"/>
  <c r="M94" i="5"/>
  <c r="F93" i="5"/>
  <c r="W90" i="5"/>
  <c r="Q89" i="5"/>
  <c r="K88" i="5"/>
  <c r="V84" i="5"/>
  <c r="G83" i="5"/>
  <c r="S79" i="5"/>
  <c r="M78" i="5"/>
  <c r="F77" i="5"/>
  <c r="W74" i="5"/>
  <c r="Q73" i="5"/>
  <c r="H72" i="5"/>
  <c r="F71" i="5"/>
  <c r="E70" i="5"/>
  <c r="AC67" i="5"/>
  <c r="AD67" i="5" s="1"/>
  <c r="Y64" i="5"/>
  <c r="W63" i="5"/>
  <c r="V62" i="5"/>
  <c r="O61" i="5"/>
  <c r="M60" i="5"/>
  <c r="H59" i="5"/>
  <c r="H58" i="5"/>
  <c r="D57" i="5"/>
  <c r="F56" i="5"/>
  <c r="H55" i="5"/>
  <c r="H54" i="5"/>
  <c r="D53" i="5"/>
  <c r="F52" i="5"/>
  <c r="H51" i="5"/>
  <c r="H50" i="5"/>
  <c r="D49" i="5"/>
  <c r="F48" i="5"/>
  <c r="H47" i="5"/>
  <c r="N46" i="5"/>
  <c r="U45" i="5"/>
  <c r="R44" i="5"/>
  <c r="D44" i="5"/>
  <c r="T43" i="5"/>
  <c r="F43" i="5"/>
  <c r="T42" i="5"/>
  <c r="G42" i="5"/>
  <c r="V41" i="5"/>
  <c r="K41" i="5"/>
  <c r="AC40" i="5"/>
  <c r="AD40" i="5" s="1"/>
  <c r="R40" i="5"/>
  <c r="G40" i="5"/>
  <c r="W39" i="5"/>
  <c r="L39" i="5"/>
  <c r="AC38" i="5"/>
  <c r="AD38" i="5" s="1"/>
  <c r="Q38" i="5"/>
  <c r="G38" i="5"/>
  <c r="X37" i="5"/>
  <c r="O37" i="5"/>
  <c r="F37" i="5"/>
  <c r="Y36" i="5"/>
  <c r="Q36" i="5"/>
  <c r="H36" i="5"/>
  <c r="S35" i="5"/>
  <c r="K35" i="5"/>
  <c r="U34" i="5"/>
  <c r="M34" i="5"/>
  <c r="D34" i="5"/>
  <c r="W33" i="5"/>
  <c r="O33" i="5"/>
  <c r="F33" i="5"/>
  <c r="Y32" i="5"/>
  <c r="Q32" i="5"/>
  <c r="H32" i="5"/>
  <c r="S31" i="5"/>
  <c r="K31" i="5"/>
  <c r="U30" i="5"/>
  <c r="M30" i="5"/>
  <c r="D30" i="5"/>
  <c r="W29" i="5"/>
  <c r="O29" i="5"/>
  <c r="F29" i="5"/>
  <c r="Y28" i="5"/>
  <c r="Q28" i="5"/>
  <c r="H28" i="5"/>
  <c r="S27" i="5"/>
  <c r="K27" i="5"/>
  <c r="U26" i="5"/>
  <c r="M26" i="5"/>
  <c r="D26" i="5"/>
  <c r="W25" i="5"/>
  <c r="O25" i="5"/>
  <c r="F25" i="5"/>
  <c r="Y24" i="5"/>
  <c r="Q24" i="5"/>
  <c r="H24" i="5"/>
  <c r="S23" i="5"/>
  <c r="K23" i="5"/>
  <c r="U22" i="5"/>
  <c r="M22" i="5"/>
  <c r="D22" i="5"/>
  <c r="W21" i="5"/>
  <c r="O21" i="5"/>
  <c r="F21" i="5"/>
  <c r="Y20" i="5"/>
  <c r="Q20" i="5"/>
  <c r="H20" i="5"/>
  <c r="S19" i="5"/>
  <c r="K19" i="5"/>
  <c r="U18" i="5"/>
  <c r="M18" i="5"/>
  <c r="D18" i="5"/>
  <c r="W17" i="5"/>
  <c r="O17" i="5"/>
  <c r="F17" i="5"/>
  <c r="Y16" i="5"/>
  <c r="Q16" i="5"/>
  <c r="H16" i="5"/>
  <c r="S15" i="5"/>
  <c r="K15" i="5"/>
  <c r="U14" i="5"/>
  <c r="M14" i="5"/>
  <c r="D14" i="5"/>
  <c r="W13" i="5"/>
  <c r="O13" i="5"/>
  <c r="F13" i="5"/>
  <c r="Y12" i="5"/>
  <c r="Q12" i="5"/>
  <c r="H12" i="5"/>
  <c r="S11" i="5"/>
  <c r="K11" i="5"/>
  <c r="U10" i="5"/>
  <c r="M10" i="5"/>
  <c r="D10" i="5"/>
  <c r="W9" i="5"/>
  <c r="O9" i="5"/>
  <c r="F9" i="5"/>
  <c r="Y8" i="5"/>
  <c r="Q8" i="5"/>
  <c r="H8" i="5"/>
  <c r="S7" i="5"/>
  <c r="K7" i="5"/>
  <c r="U6" i="5"/>
  <c r="M6" i="5"/>
  <c r="D6" i="5"/>
  <c r="AG260" i="3"/>
  <c r="Y260" i="3"/>
  <c r="Q260" i="3"/>
  <c r="H260" i="3"/>
  <c r="AC256" i="3"/>
  <c r="U256" i="3"/>
  <c r="M256" i="3"/>
  <c r="I255" i="3"/>
  <c r="AG252" i="3"/>
  <c r="Y252" i="3"/>
  <c r="Q252" i="3"/>
  <c r="H252" i="3"/>
  <c r="AC248" i="3"/>
  <c r="U248" i="3"/>
  <c r="M248" i="3"/>
  <c r="S79" i="7"/>
  <c r="I78" i="7"/>
  <c r="S78" i="7" s="1"/>
  <c r="J61" i="7"/>
  <c r="S58" i="7"/>
  <c r="K50" i="7"/>
  <c r="L38" i="7"/>
  <c r="J15" i="7"/>
  <c r="J14" i="7"/>
  <c r="T101" i="5"/>
  <c r="N100" i="5"/>
  <c r="D99" i="5"/>
  <c r="Y96" i="5"/>
  <c r="P95" i="5"/>
  <c r="I94" i="5"/>
  <c r="U90" i="5"/>
  <c r="H89" i="5"/>
  <c r="T85" i="5"/>
  <c r="N84" i="5"/>
  <c r="D83" i="5"/>
  <c r="Y80" i="5"/>
  <c r="P79" i="5"/>
  <c r="I78" i="5"/>
  <c r="U74" i="5"/>
  <c r="I73" i="5"/>
  <c r="E72" i="5"/>
  <c r="D71" i="5"/>
  <c r="Z66" i="5"/>
  <c r="Z65" i="5"/>
  <c r="R64" i="5"/>
  <c r="P63" i="5"/>
  <c r="O62" i="5"/>
  <c r="L61" i="5"/>
  <c r="K60" i="5"/>
  <c r="D56" i="5"/>
  <c r="F55" i="5"/>
  <c r="D52" i="5"/>
  <c r="F51" i="5"/>
  <c r="D48" i="5"/>
  <c r="F47" i="5"/>
  <c r="K46" i="5"/>
  <c r="S45" i="5"/>
  <c r="P44" i="5"/>
  <c r="R43" i="5"/>
  <c r="E43" i="5"/>
  <c r="S42" i="5"/>
  <c r="E42" i="5"/>
  <c r="U41" i="5"/>
  <c r="I41" i="5"/>
  <c r="Q40" i="5"/>
  <c r="F40" i="5"/>
  <c r="V39" i="5"/>
  <c r="K39" i="5"/>
  <c r="P38" i="5"/>
  <c r="E38" i="5"/>
  <c r="W37" i="5"/>
  <c r="N37" i="5"/>
  <c r="E37" i="5"/>
  <c r="X36" i="5"/>
  <c r="P36" i="5"/>
  <c r="G36" i="5"/>
  <c r="Z35" i="5"/>
  <c r="R35" i="5"/>
  <c r="I35" i="5"/>
  <c r="AC34" i="5"/>
  <c r="AD34" i="5" s="1"/>
  <c r="T34" i="5"/>
  <c r="L34" i="5"/>
  <c r="V33" i="5"/>
  <c r="N33" i="5"/>
  <c r="E33" i="5"/>
  <c r="X32" i="5"/>
  <c r="P32" i="5"/>
  <c r="G32" i="5"/>
  <c r="Z31" i="5"/>
  <c r="R31" i="5"/>
  <c r="I31" i="5"/>
  <c r="AC30" i="5"/>
  <c r="AD30" i="5" s="1"/>
  <c r="T30" i="5"/>
  <c r="L30" i="5"/>
  <c r="V29" i="5"/>
  <c r="N29" i="5"/>
  <c r="E29" i="5"/>
  <c r="X28" i="5"/>
  <c r="P28" i="5"/>
  <c r="G28" i="5"/>
  <c r="Z27" i="5"/>
  <c r="R27" i="5"/>
  <c r="I27" i="5"/>
  <c r="AC26" i="5"/>
  <c r="AD26" i="5" s="1"/>
  <c r="T26" i="5"/>
  <c r="L26" i="5"/>
  <c r="V25" i="5"/>
  <c r="N25" i="5"/>
  <c r="E25" i="5"/>
  <c r="X24" i="5"/>
  <c r="P24" i="5"/>
  <c r="G24" i="5"/>
  <c r="Z23" i="5"/>
  <c r="R23" i="5"/>
  <c r="I23" i="5"/>
  <c r="AC22" i="5"/>
  <c r="AD22" i="5" s="1"/>
  <c r="T22" i="5"/>
  <c r="L22" i="5"/>
  <c r="V21" i="5"/>
  <c r="N21" i="5"/>
  <c r="E21" i="5"/>
  <c r="X20" i="5"/>
  <c r="P20" i="5"/>
  <c r="G20" i="5"/>
  <c r="Z19" i="5"/>
  <c r="R19" i="5"/>
  <c r="I19" i="5"/>
  <c r="AC18" i="5"/>
  <c r="AD18" i="5" s="1"/>
  <c r="T18" i="5"/>
  <c r="L18" i="5"/>
  <c r="V17" i="5"/>
  <c r="N17" i="5"/>
  <c r="E17" i="5"/>
  <c r="X16" i="5"/>
  <c r="P16" i="5"/>
  <c r="G16" i="5"/>
  <c r="Z15" i="5"/>
  <c r="R15" i="5"/>
  <c r="I15" i="5"/>
  <c r="AC14" i="5"/>
  <c r="AD14" i="5" s="1"/>
  <c r="T14" i="5"/>
  <c r="L14" i="5"/>
  <c r="V13" i="5"/>
  <c r="N13" i="5"/>
  <c r="E13" i="5"/>
  <c r="X12" i="5"/>
  <c r="P12" i="5"/>
  <c r="G12" i="5"/>
  <c r="Z11" i="5"/>
  <c r="R11" i="5"/>
  <c r="I11" i="5"/>
  <c r="AC10" i="5"/>
  <c r="AD10" i="5" s="1"/>
  <c r="T10" i="5"/>
  <c r="L10" i="5"/>
  <c r="V9" i="5"/>
  <c r="N9" i="5"/>
  <c r="E9" i="5"/>
  <c r="X8" i="5"/>
  <c r="P8" i="5"/>
  <c r="G8" i="5"/>
  <c r="Z7" i="5"/>
  <c r="R7" i="5"/>
  <c r="I7" i="5"/>
  <c r="AC6" i="5"/>
  <c r="AD6" i="5" s="1"/>
  <c r="T6" i="5"/>
  <c r="L6" i="5"/>
  <c r="X260" i="3"/>
  <c r="P260" i="3"/>
  <c r="G260" i="3"/>
  <c r="Z258" i="3"/>
  <c r="R258" i="3"/>
  <c r="I258" i="3"/>
  <c r="AB256" i="3"/>
  <c r="T256" i="3"/>
  <c r="L256" i="3"/>
  <c r="K93" i="7"/>
  <c r="S59" i="7"/>
  <c r="L59" i="3" s="1"/>
  <c r="J38" i="7"/>
  <c r="M21" i="7"/>
  <c r="N21" i="7" s="1"/>
  <c r="O21" i="7" s="1"/>
  <c r="S18" i="7"/>
  <c r="N16" i="7"/>
  <c r="K10" i="7"/>
  <c r="L10" i="7" s="1"/>
  <c r="M10" i="7" s="1"/>
  <c r="N10" i="7" s="1"/>
  <c r="O10" i="7" s="1"/>
  <c r="Q101" i="5"/>
  <c r="K100" i="5"/>
  <c r="V96" i="5"/>
  <c r="G95" i="5"/>
  <c r="S91" i="5"/>
  <c r="M90" i="5"/>
  <c r="F89" i="5"/>
  <c r="W86" i="5"/>
  <c r="Q85" i="5"/>
  <c r="K84" i="5"/>
  <c r="V80" i="5"/>
  <c r="G79" i="5"/>
  <c r="S75" i="5"/>
  <c r="M74" i="5"/>
  <c r="G73" i="5"/>
  <c r="U67" i="5"/>
  <c r="S66" i="5"/>
  <c r="S65" i="5"/>
  <c r="O64" i="5"/>
  <c r="N63" i="5"/>
  <c r="M62" i="5"/>
  <c r="D61" i="5"/>
  <c r="H46" i="5"/>
  <c r="P45" i="5"/>
  <c r="O44" i="5"/>
  <c r="AC43" i="5"/>
  <c r="AD43" i="5" s="1"/>
  <c r="Q43" i="5"/>
  <c r="Q42" i="5"/>
  <c r="S41" i="5"/>
  <c r="G41" i="5"/>
  <c r="Z40" i="5"/>
  <c r="P40" i="5"/>
  <c r="D40" i="5"/>
  <c r="T39" i="5"/>
  <c r="I39" i="5"/>
  <c r="Y38" i="5"/>
  <c r="N38" i="5"/>
  <c r="D38" i="5"/>
  <c r="V37" i="5"/>
  <c r="M37" i="5"/>
  <c r="D37" i="5"/>
  <c r="W36" i="5"/>
  <c r="O36" i="5"/>
  <c r="F36" i="5"/>
  <c r="Y35" i="5"/>
  <c r="Q35" i="5"/>
  <c r="H35" i="5"/>
  <c r="S34" i="5"/>
  <c r="K34" i="5"/>
  <c r="U33" i="5"/>
  <c r="M33" i="5"/>
  <c r="D33" i="5"/>
  <c r="W32" i="5"/>
  <c r="O32" i="5"/>
  <c r="F32" i="5"/>
  <c r="Y31" i="5"/>
  <c r="Q31" i="5"/>
  <c r="H31" i="5"/>
  <c r="S30" i="5"/>
  <c r="K30" i="5"/>
  <c r="U29" i="5"/>
  <c r="M29" i="5"/>
  <c r="D29" i="5"/>
  <c r="W28" i="5"/>
  <c r="O28" i="5"/>
  <c r="F28" i="5"/>
  <c r="Y27" i="5"/>
  <c r="Q27" i="5"/>
  <c r="H27" i="5"/>
  <c r="S26" i="5"/>
  <c r="K26" i="5"/>
  <c r="U25" i="5"/>
  <c r="M25" i="5"/>
  <c r="D25" i="5"/>
  <c r="W24" i="5"/>
  <c r="O24" i="5"/>
  <c r="F24" i="5"/>
  <c r="Y23" i="5"/>
  <c r="Q23" i="5"/>
  <c r="H23" i="5"/>
  <c r="S22" i="5"/>
  <c r="K22" i="5"/>
  <c r="U21" i="5"/>
  <c r="M21" i="5"/>
  <c r="D21" i="5"/>
  <c r="W20" i="5"/>
  <c r="O20" i="5"/>
  <c r="F20" i="5"/>
  <c r="Y19" i="5"/>
  <c r="Q19" i="5"/>
  <c r="H19" i="5"/>
  <c r="S18" i="5"/>
  <c r="K18" i="5"/>
  <c r="U17" i="5"/>
  <c r="M17" i="5"/>
  <c r="D17" i="5"/>
  <c r="W16" i="5"/>
  <c r="O16" i="5"/>
  <c r="F16" i="5"/>
  <c r="Y15" i="5"/>
  <c r="Q15" i="5"/>
  <c r="H15" i="5"/>
  <c r="S14" i="5"/>
  <c r="K14" i="5"/>
  <c r="U13" i="5"/>
  <c r="M13" i="5"/>
  <c r="D13" i="5"/>
  <c r="W12" i="5"/>
  <c r="O12" i="5"/>
  <c r="F12" i="5"/>
  <c r="Y11" i="5"/>
  <c r="Q11" i="5"/>
  <c r="H11" i="5"/>
  <c r="S10" i="5"/>
  <c r="K10" i="5"/>
  <c r="U9" i="5"/>
  <c r="M9" i="5"/>
  <c r="D9" i="5"/>
  <c r="W8" i="5"/>
  <c r="O8" i="5"/>
  <c r="F8" i="5"/>
  <c r="Y7" i="5"/>
  <c r="Q7" i="5"/>
  <c r="H7" i="5"/>
  <c r="S6" i="5"/>
  <c r="K6" i="5"/>
  <c r="H258" i="3"/>
  <c r="H250" i="3"/>
  <c r="H242" i="3"/>
  <c r="H234" i="3"/>
  <c r="Q257" i="3"/>
  <c r="AG255" i="3"/>
  <c r="K255" i="3"/>
  <c r="V254" i="3"/>
  <c r="E254" i="3"/>
  <c r="R252" i="3"/>
  <c r="P250" i="3"/>
  <c r="X248" i="3"/>
  <c r="I248" i="3"/>
  <c r="AG247" i="3"/>
  <c r="U247" i="3"/>
  <c r="F247" i="3"/>
  <c r="AA246" i="3"/>
  <c r="N246" i="3"/>
  <c r="Z244" i="3"/>
  <c r="P244" i="3"/>
  <c r="AD243" i="3"/>
  <c r="AP243" i="3" s="1"/>
  <c r="S243" i="3"/>
  <c r="H243" i="3"/>
  <c r="Z240" i="3"/>
  <c r="P240" i="3"/>
  <c r="AD239" i="3"/>
  <c r="AP239" i="3" s="1"/>
  <c r="S239" i="3"/>
  <c r="H239" i="3"/>
  <c r="Z236" i="3"/>
  <c r="P236" i="3"/>
  <c r="AD235" i="3"/>
  <c r="AP235" i="3" s="1"/>
  <c r="S235" i="3"/>
  <c r="H235" i="3"/>
  <c r="W232" i="3"/>
  <c r="N232" i="3"/>
  <c r="Z229" i="3"/>
  <c r="R229" i="3"/>
  <c r="I229" i="3"/>
  <c r="AV228" i="3"/>
  <c r="C226" i="9" s="1"/>
  <c r="AE228" i="3"/>
  <c r="W228" i="3"/>
  <c r="F228" i="3"/>
  <c r="H226" i="3"/>
  <c r="AD225" i="3"/>
  <c r="AP225" i="3" s="1"/>
  <c r="V225" i="3"/>
  <c r="N225" i="3"/>
  <c r="E225" i="3"/>
  <c r="Z221" i="3"/>
  <c r="R221" i="3"/>
  <c r="AV220" i="3"/>
  <c r="C218" i="9" s="1"/>
  <c r="AE220" i="3"/>
  <c r="W220" i="3"/>
  <c r="F220" i="3"/>
  <c r="H218" i="3"/>
  <c r="AD217" i="3"/>
  <c r="AP217" i="3" s="1"/>
  <c r="V217" i="3"/>
  <c r="N217" i="3"/>
  <c r="E217" i="3"/>
  <c r="Z213" i="3"/>
  <c r="R213" i="3"/>
  <c r="AV212" i="3"/>
  <c r="C210" i="9" s="1"/>
  <c r="AE212" i="3"/>
  <c r="W212" i="3"/>
  <c r="F212" i="3"/>
  <c r="H210" i="3"/>
  <c r="AD209" i="3"/>
  <c r="AP209" i="3" s="1"/>
  <c r="V209" i="3"/>
  <c r="N209" i="3"/>
  <c r="E209" i="3"/>
  <c r="Z205" i="3"/>
  <c r="R205" i="3"/>
  <c r="AV204" i="3"/>
  <c r="C202" i="9" s="1"/>
  <c r="AE204" i="3"/>
  <c r="W204" i="3"/>
  <c r="F204" i="3"/>
  <c r="H202" i="3"/>
  <c r="AD201" i="3"/>
  <c r="AP201" i="3" s="1"/>
  <c r="V201" i="3"/>
  <c r="N201" i="3"/>
  <c r="E201" i="3"/>
  <c r="Z197" i="3"/>
  <c r="R197" i="3"/>
  <c r="AV196" i="3"/>
  <c r="C194" i="9" s="1"/>
  <c r="AE196" i="3"/>
  <c r="W196" i="3"/>
  <c r="F196" i="3"/>
  <c r="H194" i="3"/>
  <c r="AD193" i="3"/>
  <c r="AP193" i="3" s="1"/>
  <c r="V193" i="3"/>
  <c r="N193" i="3"/>
  <c r="E193" i="3"/>
  <c r="Z189" i="3"/>
  <c r="R189" i="3"/>
  <c r="AV188" i="3"/>
  <c r="C186" i="9" s="1"/>
  <c r="AE188" i="3"/>
  <c r="W188" i="3"/>
  <c r="F188" i="3"/>
  <c r="H186" i="3"/>
  <c r="AD185" i="3"/>
  <c r="AP185" i="3" s="1"/>
  <c r="AD258" i="3"/>
  <c r="AP258" i="3" s="1"/>
  <c r="K257" i="3"/>
  <c r="AD256" i="3"/>
  <c r="AP256" i="3" s="1"/>
  <c r="AC255" i="3"/>
  <c r="H255" i="3"/>
  <c r="T254" i="3"/>
  <c r="P252" i="3"/>
  <c r="AG251" i="3"/>
  <c r="Q251" i="3"/>
  <c r="AD250" i="3"/>
  <c r="AP250" i="3" s="1"/>
  <c r="N250" i="3"/>
  <c r="V248" i="3"/>
  <c r="H248" i="3"/>
  <c r="AE247" i="3"/>
  <c r="S247" i="3"/>
  <c r="E247" i="3"/>
  <c r="Z246" i="3"/>
  <c r="L246" i="3"/>
  <c r="AG245" i="3"/>
  <c r="W245" i="3"/>
  <c r="L245" i="3"/>
  <c r="Y244" i="3"/>
  <c r="N244" i="3"/>
  <c r="AC243" i="3"/>
  <c r="R243" i="3"/>
  <c r="F243" i="3"/>
  <c r="AE242" i="3"/>
  <c r="T242" i="3"/>
  <c r="I242" i="3"/>
  <c r="AG241" i="3"/>
  <c r="W241" i="3"/>
  <c r="L241" i="3"/>
  <c r="Y240" i="3"/>
  <c r="N240" i="3"/>
  <c r="AC239" i="3"/>
  <c r="R239" i="3"/>
  <c r="F239" i="3"/>
  <c r="AE238" i="3"/>
  <c r="T238" i="3"/>
  <c r="I238" i="3"/>
  <c r="AG237" i="3"/>
  <c r="W237" i="3"/>
  <c r="L237" i="3"/>
  <c r="Y236" i="3"/>
  <c r="N236" i="3"/>
  <c r="AC235" i="3"/>
  <c r="R235" i="3"/>
  <c r="F235" i="3"/>
  <c r="AE234" i="3"/>
  <c r="T234" i="3"/>
  <c r="I234" i="3"/>
  <c r="AG233" i="3"/>
  <c r="W233" i="3"/>
  <c r="M233" i="3"/>
  <c r="AE232" i="3"/>
  <c r="V232" i="3"/>
  <c r="M232" i="3"/>
  <c r="AE231" i="3"/>
  <c r="V231" i="3"/>
  <c r="M231" i="3"/>
  <c r="AE230" i="3"/>
  <c r="V230" i="3"/>
  <c r="L230" i="3"/>
  <c r="AG229" i="3"/>
  <c r="Y229" i="3"/>
  <c r="Q229" i="3"/>
  <c r="H229" i="3"/>
  <c r="AD228" i="3"/>
  <c r="AP228" i="3" s="1"/>
  <c r="V228" i="3"/>
  <c r="N228" i="3"/>
  <c r="E228" i="3"/>
  <c r="X226" i="3"/>
  <c r="P226" i="3"/>
  <c r="G226" i="3"/>
  <c r="AC225" i="3"/>
  <c r="U225" i="3"/>
  <c r="M225" i="3"/>
  <c r="Z224" i="3"/>
  <c r="R224" i="3"/>
  <c r="I224" i="3"/>
  <c r="AV223" i="3"/>
  <c r="C221" i="9" s="1"/>
  <c r="AE223" i="3"/>
  <c r="W223" i="3"/>
  <c r="F223" i="3"/>
  <c r="AB222" i="3"/>
  <c r="T222" i="3"/>
  <c r="L222" i="3"/>
  <c r="AG221" i="3"/>
  <c r="V258" i="3"/>
  <c r="H257" i="3"/>
  <c r="X256" i="3"/>
  <c r="AA255" i="3"/>
  <c r="R254" i="3"/>
  <c r="AD252" i="3"/>
  <c r="AP252" i="3" s="1"/>
  <c r="N252" i="3"/>
  <c r="AE251" i="3"/>
  <c r="AB250" i="3"/>
  <c r="L250" i="3"/>
  <c r="AG248" i="3"/>
  <c r="T248" i="3"/>
  <c r="G248" i="3"/>
  <c r="AD247" i="3"/>
  <c r="AP247" i="3" s="1"/>
  <c r="Q247" i="3"/>
  <c r="X246" i="3"/>
  <c r="K246" i="3"/>
  <c r="U245" i="3"/>
  <c r="K245" i="3"/>
  <c r="X244" i="3"/>
  <c r="M244" i="3"/>
  <c r="AA243" i="3"/>
  <c r="Q243" i="3"/>
  <c r="E243" i="3"/>
  <c r="U241" i="3"/>
  <c r="K241" i="3"/>
  <c r="X240" i="3"/>
  <c r="M240" i="3"/>
  <c r="AA239" i="3"/>
  <c r="Q239" i="3"/>
  <c r="E239" i="3"/>
  <c r="U237" i="3"/>
  <c r="K237" i="3"/>
  <c r="X236" i="3"/>
  <c r="M236" i="3"/>
  <c r="AA235" i="3"/>
  <c r="Q235" i="3"/>
  <c r="E235" i="3"/>
  <c r="AD232" i="3"/>
  <c r="AP232" i="3" s="1"/>
  <c r="U232" i="3"/>
  <c r="L232" i="3"/>
  <c r="X229" i="3"/>
  <c r="P229" i="3"/>
  <c r="G229" i="3"/>
  <c r="AC228" i="3"/>
  <c r="U228" i="3"/>
  <c r="M228" i="3"/>
  <c r="I227" i="3"/>
  <c r="AB225" i="3"/>
  <c r="T225" i="3"/>
  <c r="L225" i="3"/>
  <c r="AG224" i="3"/>
  <c r="Y224" i="3"/>
  <c r="Q224" i="3"/>
  <c r="H224" i="3"/>
  <c r="X221" i="3"/>
  <c r="P221" i="3"/>
  <c r="G221" i="3"/>
  <c r="AC220" i="3"/>
  <c r="U220" i="3"/>
  <c r="M220" i="3"/>
  <c r="I219" i="3"/>
  <c r="AB217" i="3"/>
  <c r="T217" i="3"/>
  <c r="L217" i="3"/>
  <c r="AG216" i="3"/>
  <c r="Y216" i="3"/>
  <c r="Q216" i="3"/>
  <c r="H216" i="3"/>
  <c r="X213" i="3"/>
  <c r="P213" i="3"/>
  <c r="G213" i="3"/>
  <c r="AC212" i="3"/>
  <c r="U212" i="3"/>
  <c r="M212" i="3"/>
  <c r="I211" i="3"/>
  <c r="AB209" i="3"/>
  <c r="T209" i="3"/>
  <c r="L209" i="3"/>
  <c r="AG208" i="3"/>
  <c r="Y208" i="3"/>
  <c r="Q208" i="3"/>
  <c r="H208" i="3"/>
  <c r="T258" i="3"/>
  <c r="V256" i="3"/>
  <c r="P254" i="3"/>
  <c r="AB252" i="3"/>
  <c r="L252" i="3"/>
  <c r="Z250" i="3"/>
  <c r="I250" i="3"/>
  <c r="R248" i="3"/>
  <c r="E248" i="3"/>
  <c r="V246" i="3"/>
  <c r="I246" i="3"/>
  <c r="AG244" i="3"/>
  <c r="V244" i="3"/>
  <c r="L244" i="3"/>
  <c r="H241" i="3"/>
  <c r="AG240" i="3"/>
  <c r="V240" i="3"/>
  <c r="L240" i="3"/>
  <c r="H237" i="3"/>
  <c r="AG236" i="3"/>
  <c r="V236" i="3"/>
  <c r="L236" i="3"/>
  <c r="AV232" i="3"/>
  <c r="C230" i="9" s="1"/>
  <c r="AC232" i="3"/>
  <c r="T232" i="3"/>
  <c r="I230" i="3"/>
  <c r="AV229" i="3"/>
  <c r="C227" i="9" s="1"/>
  <c r="AE229" i="3"/>
  <c r="W229" i="3"/>
  <c r="F229" i="3"/>
  <c r="I222" i="3"/>
  <c r="AV221" i="3"/>
  <c r="C219" i="9" s="1"/>
  <c r="AE221" i="3"/>
  <c r="W221" i="3"/>
  <c r="F221" i="3"/>
  <c r="H219" i="3"/>
  <c r="I214" i="3"/>
  <c r="AV213" i="3"/>
  <c r="C211" i="9" s="1"/>
  <c r="AE213" i="3"/>
  <c r="W213" i="3"/>
  <c r="F213" i="3"/>
  <c r="H211" i="3"/>
  <c r="AV205" i="3"/>
  <c r="C203" i="9" s="1"/>
  <c r="AE205" i="3"/>
  <c r="W205" i="3"/>
  <c r="F205" i="3"/>
  <c r="H203" i="3"/>
  <c r="AV197" i="3"/>
  <c r="C195" i="9" s="1"/>
  <c r="AE197" i="3"/>
  <c r="W197" i="3"/>
  <c r="F197" i="3"/>
  <c r="H195" i="3"/>
  <c r="AV189" i="3"/>
  <c r="C187" i="9" s="1"/>
  <c r="AE189" i="3"/>
  <c r="W189" i="3"/>
  <c r="F189" i="3"/>
  <c r="H187" i="3"/>
  <c r="AV181" i="3"/>
  <c r="C179" i="9" s="1"/>
  <c r="AE181" i="3"/>
  <c r="W181" i="3"/>
  <c r="F181" i="3"/>
  <c r="H179" i="3"/>
  <c r="AV173" i="3"/>
  <c r="C171" i="9" s="1"/>
  <c r="AE173" i="3"/>
  <c r="W173" i="3"/>
  <c r="F173" i="3"/>
  <c r="H171" i="3"/>
  <c r="H259" i="3"/>
  <c r="N258" i="3"/>
  <c r="AG257" i="3"/>
  <c r="P256" i="3"/>
  <c r="U255" i="3"/>
  <c r="AD254" i="3"/>
  <c r="AP254" i="3" s="1"/>
  <c r="N254" i="3"/>
  <c r="Z252" i="3"/>
  <c r="I252" i="3"/>
  <c r="X250" i="3"/>
  <c r="G250" i="3"/>
  <c r="AD248" i="3"/>
  <c r="AP248" i="3" s="1"/>
  <c r="Q248" i="3"/>
  <c r="AA247" i="3"/>
  <c r="N247" i="3"/>
  <c r="T246" i="3"/>
  <c r="G246" i="3"/>
  <c r="U244" i="3"/>
  <c r="I244" i="3"/>
  <c r="U240" i="3"/>
  <c r="I240" i="3"/>
  <c r="U236" i="3"/>
  <c r="I233" i="3"/>
  <c r="AB232" i="3"/>
  <c r="R232" i="3"/>
  <c r="I231" i="3"/>
  <c r="H230" i="3"/>
  <c r="AD229" i="3"/>
  <c r="AP229" i="3" s="1"/>
  <c r="V229" i="3"/>
  <c r="N229" i="3"/>
  <c r="E229" i="3"/>
  <c r="Z225" i="3"/>
  <c r="R225" i="3"/>
  <c r="H222" i="3"/>
  <c r="AD221" i="3"/>
  <c r="AP221" i="3" s="1"/>
  <c r="V221" i="3"/>
  <c r="N221" i="3"/>
  <c r="E221" i="3"/>
  <c r="Z217" i="3"/>
  <c r="R217" i="3"/>
  <c r="H214" i="3"/>
  <c r="AD213" i="3"/>
  <c r="AP213" i="3" s="1"/>
  <c r="V213" i="3"/>
  <c r="N213" i="3"/>
  <c r="E213" i="3"/>
  <c r="Z209" i="3"/>
  <c r="R209" i="3"/>
  <c r="H206" i="3"/>
  <c r="AD205" i="3"/>
  <c r="AP205" i="3" s="1"/>
  <c r="V205" i="3"/>
  <c r="N205" i="3"/>
  <c r="E205" i="3"/>
  <c r="Z201" i="3"/>
  <c r="R201" i="3"/>
  <c r="H198" i="3"/>
  <c r="AD197" i="3"/>
  <c r="AP197" i="3" s="1"/>
  <c r="V197" i="3"/>
  <c r="N197" i="3"/>
  <c r="E197" i="3"/>
  <c r="Z193" i="3"/>
  <c r="R193" i="3"/>
  <c r="H190" i="3"/>
  <c r="AD189" i="3"/>
  <c r="AP189" i="3" s="1"/>
  <c r="V189" i="3"/>
  <c r="N189" i="3"/>
  <c r="E189" i="3"/>
  <c r="Z185" i="3"/>
  <c r="R185" i="3"/>
  <c r="H182" i="3"/>
  <c r="L258" i="3"/>
  <c r="AA257" i="3"/>
  <c r="N256" i="3"/>
  <c r="S255" i="3"/>
  <c r="AB254" i="3"/>
  <c r="L254" i="3"/>
  <c r="X252" i="3"/>
  <c r="G252" i="3"/>
  <c r="Y251" i="3"/>
  <c r="H251" i="3"/>
  <c r="V250" i="3"/>
  <c r="E250" i="3"/>
  <c r="H249" i="3"/>
  <c r="AB248" i="3"/>
  <c r="P248" i="3"/>
  <c r="Y247" i="3"/>
  <c r="M247" i="3"/>
  <c r="S246" i="3"/>
  <c r="E246" i="3"/>
  <c r="AB245" i="3"/>
  <c r="Q245" i="3"/>
  <c r="F245" i="3"/>
  <c r="AD244" i="3"/>
  <c r="AP244" i="3" s="1"/>
  <c r="T244" i="3"/>
  <c r="H244" i="3"/>
  <c r="W243" i="3"/>
  <c r="M243" i="3"/>
  <c r="AV242" i="3"/>
  <c r="C240" i="9" s="1"/>
  <c r="Z242" i="3"/>
  <c r="AB241" i="3"/>
  <c r="Q241" i="3"/>
  <c r="F241" i="3"/>
  <c r="AD240" i="3"/>
  <c r="AP240" i="3" s="1"/>
  <c r="T240" i="3"/>
  <c r="H240" i="3"/>
  <c r="W239" i="3"/>
  <c r="M239" i="3"/>
  <c r="AV238" i="3"/>
  <c r="C236" i="9" s="1"/>
  <c r="Z238" i="3"/>
  <c r="AB237" i="3"/>
  <c r="Q237" i="3"/>
  <c r="F237" i="3"/>
  <c r="AD236" i="3"/>
  <c r="AP236" i="3" s="1"/>
  <c r="T236" i="3"/>
  <c r="H236" i="3"/>
  <c r="W235" i="3"/>
  <c r="M235" i="3"/>
  <c r="AV234" i="3"/>
  <c r="C232" i="9" s="1"/>
  <c r="Z234" i="3"/>
  <c r="AB233" i="3"/>
  <c r="R233" i="3"/>
  <c r="H233" i="3"/>
  <c r="Z232" i="3"/>
  <c r="Q232" i="3"/>
  <c r="G232" i="3"/>
  <c r="AA231" i="3"/>
  <c r="R231" i="3"/>
  <c r="H231" i="3"/>
  <c r="Z230" i="3"/>
  <c r="Q230" i="3"/>
  <c r="G230" i="3"/>
  <c r="AC229" i="3"/>
  <c r="U229" i="3"/>
  <c r="M229" i="3"/>
  <c r="Z228" i="3"/>
  <c r="R228" i="3"/>
  <c r="I228" i="3"/>
  <c r="AB226" i="3"/>
  <c r="T226" i="3"/>
  <c r="L226" i="3"/>
  <c r="AG225" i="3"/>
  <c r="Y225" i="3"/>
  <c r="Q225" i="3"/>
  <c r="H225" i="3"/>
  <c r="AD224" i="3"/>
  <c r="AP224" i="3" s="1"/>
  <c r="V224" i="3"/>
  <c r="N224" i="3"/>
  <c r="E224" i="3"/>
  <c r="X222" i="3"/>
  <c r="P222" i="3"/>
  <c r="G222" i="3"/>
  <c r="AC221" i="3"/>
  <c r="U221" i="3"/>
  <c r="M221" i="3"/>
  <c r="Z220" i="3"/>
  <c r="R220" i="3"/>
  <c r="I220" i="3"/>
  <c r="AB218" i="3"/>
  <c r="T218" i="3"/>
  <c r="L218" i="3"/>
  <c r="AG217" i="3"/>
  <c r="Y217" i="3"/>
  <c r="E258" i="3"/>
  <c r="Y257" i="3"/>
  <c r="G256" i="3"/>
  <c r="Q255" i="3"/>
  <c r="Z254" i="3"/>
  <c r="I254" i="3"/>
  <c r="H253" i="3"/>
  <c r="V252" i="3"/>
  <c r="E252" i="3"/>
  <c r="T250" i="3"/>
  <c r="Z248" i="3"/>
  <c r="N248" i="3"/>
  <c r="W247" i="3"/>
  <c r="K247" i="3"/>
  <c r="AD246" i="3"/>
  <c r="AP246" i="3" s="1"/>
  <c r="R246" i="3"/>
  <c r="AA245" i="3"/>
  <c r="P245" i="3"/>
  <c r="AC244" i="3"/>
  <c r="R244" i="3"/>
  <c r="G244" i="3"/>
  <c r="AG243" i="3"/>
  <c r="V243" i="3"/>
  <c r="K243" i="3"/>
  <c r="AA241" i="3"/>
  <c r="P241" i="3"/>
  <c r="AC240" i="3"/>
  <c r="R240" i="3"/>
  <c r="G240" i="3"/>
  <c r="AG239" i="3"/>
  <c r="V239" i="3"/>
  <c r="K239" i="3"/>
  <c r="AA237" i="3"/>
  <c r="P237" i="3"/>
  <c r="AC236" i="3"/>
  <c r="R236" i="3"/>
  <c r="G236" i="3"/>
  <c r="AG235" i="3"/>
  <c r="V235" i="3"/>
  <c r="K235" i="3"/>
  <c r="AA233" i="3"/>
  <c r="Q233" i="3"/>
  <c r="G233" i="3"/>
  <c r="Y232" i="3"/>
  <c r="P232" i="3"/>
  <c r="F232" i="3"/>
  <c r="Z231" i="3"/>
  <c r="Q231" i="3"/>
  <c r="F231" i="3"/>
  <c r="Y230" i="3"/>
  <c r="P230" i="3"/>
  <c r="F230" i="3"/>
  <c r="AB229" i="3"/>
  <c r="T229" i="3"/>
  <c r="L229" i="3"/>
  <c r="AG228" i="3"/>
  <c r="Y228" i="3"/>
  <c r="Q228" i="3"/>
  <c r="H228" i="3"/>
  <c r="X225" i="3"/>
  <c r="P225" i="3"/>
  <c r="G225" i="3"/>
  <c r="AC224" i="3"/>
  <c r="U224" i="3"/>
  <c r="M224" i="3"/>
  <c r="I223" i="3"/>
  <c r="AV222" i="3"/>
  <c r="C220" i="9" s="1"/>
  <c r="AE222" i="3"/>
  <c r="W222" i="3"/>
  <c r="F222" i="3"/>
  <c r="AB221" i="3"/>
  <c r="T221" i="3"/>
  <c r="L221" i="3"/>
  <c r="AG220" i="3"/>
  <c r="Y220" i="3"/>
  <c r="Q220" i="3"/>
  <c r="H220" i="3"/>
  <c r="X217" i="3"/>
  <c r="P217" i="3"/>
  <c r="G217" i="3"/>
  <c r="AC216" i="3"/>
  <c r="U216" i="3"/>
  <c r="M216" i="3"/>
  <c r="I215" i="3"/>
  <c r="AV214" i="3"/>
  <c r="C212" i="9" s="1"/>
  <c r="AE214" i="3"/>
  <c r="W214" i="3"/>
  <c r="F214" i="3"/>
  <c r="AB213" i="3"/>
  <c r="T213" i="3"/>
  <c r="L213" i="3"/>
  <c r="S257" i="3"/>
  <c r="E256" i="3"/>
  <c r="M255" i="3"/>
  <c r="X254" i="3"/>
  <c r="G254" i="3"/>
  <c r="T252" i="3"/>
  <c r="R250" i="3"/>
  <c r="Y248" i="3"/>
  <c r="L248" i="3"/>
  <c r="AB244" i="3"/>
  <c r="Q244" i="3"/>
  <c r="E244" i="3"/>
  <c r="AB240" i="3"/>
  <c r="Q240" i="3"/>
  <c r="E240" i="3"/>
  <c r="AB236" i="3"/>
  <c r="Q236" i="3"/>
  <c r="E236" i="3"/>
  <c r="AG232" i="3"/>
  <c r="X232" i="3"/>
  <c r="E232" i="3"/>
  <c r="I226" i="3"/>
  <c r="H223" i="3"/>
  <c r="H215" i="3"/>
  <c r="H207" i="3"/>
  <c r="H199" i="3"/>
  <c r="H191" i="3"/>
  <c r="H183" i="3"/>
  <c r="H175" i="3"/>
  <c r="H167" i="3"/>
  <c r="H159" i="3"/>
  <c r="V216" i="3"/>
  <c r="K215" i="3"/>
  <c r="X214" i="3"/>
  <c r="M213" i="3"/>
  <c r="Q212" i="3"/>
  <c r="H209" i="3"/>
  <c r="R208" i="3"/>
  <c r="AV206" i="3"/>
  <c r="C204" i="9" s="1"/>
  <c r="X206" i="3"/>
  <c r="AG205" i="3"/>
  <c r="Q205" i="3"/>
  <c r="AG204" i="3"/>
  <c r="Q204" i="3"/>
  <c r="AV203" i="3"/>
  <c r="C201" i="9" s="1"/>
  <c r="AE203" i="3"/>
  <c r="Y201" i="3"/>
  <c r="Y200" i="3"/>
  <c r="H200" i="3"/>
  <c r="W199" i="3"/>
  <c r="F199" i="3"/>
  <c r="AG197" i="3"/>
  <c r="Q197" i="3"/>
  <c r="AG196" i="3"/>
  <c r="Q196" i="3"/>
  <c r="AV195" i="3"/>
  <c r="C193" i="9" s="1"/>
  <c r="AE195" i="3"/>
  <c r="Y193" i="3"/>
  <c r="H193" i="3"/>
  <c r="Y192" i="3"/>
  <c r="W191" i="3"/>
  <c r="F191" i="3"/>
  <c r="AG189" i="3"/>
  <c r="Q189" i="3"/>
  <c r="AG188" i="3"/>
  <c r="Q188" i="3"/>
  <c r="AV187" i="3"/>
  <c r="C185" i="9" s="1"/>
  <c r="AE187" i="3"/>
  <c r="Y185" i="3"/>
  <c r="M185" i="3"/>
  <c r="AD181" i="3"/>
  <c r="AP181" i="3" s="1"/>
  <c r="T181" i="3"/>
  <c r="H181" i="3"/>
  <c r="AD177" i="3"/>
  <c r="AP177" i="3" s="1"/>
  <c r="T177" i="3"/>
  <c r="AD173" i="3"/>
  <c r="AP173" i="3" s="1"/>
  <c r="T173" i="3"/>
  <c r="AD169" i="3"/>
  <c r="AP169" i="3" s="1"/>
  <c r="T169" i="3"/>
  <c r="AG165" i="3"/>
  <c r="X165" i="3"/>
  <c r="E165" i="3"/>
  <c r="AG163" i="3"/>
  <c r="X163" i="3"/>
  <c r="E163" i="3"/>
  <c r="W162" i="3"/>
  <c r="N162" i="3"/>
  <c r="I157" i="3"/>
  <c r="I156" i="3"/>
  <c r="R216" i="3"/>
  <c r="F215" i="3"/>
  <c r="T214" i="3"/>
  <c r="H213" i="3"/>
  <c r="N212" i="3"/>
  <c r="V211" i="3"/>
  <c r="AC209" i="3"/>
  <c r="G209" i="3"/>
  <c r="N208" i="3"/>
  <c r="W206" i="3"/>
  <c r="P205" i="3"/>
  <c r="AD204" i="3"/>
  <c r="AP204" i="3" s="1"/>
  <c r="N204" i="3"/>
  <c r="AD203" i="3"/>
  <c r="AP203" i="3" s="1"/>
  <c r="N203" i="3"/>
  <c r="AA202" i="3"/>
  <c r="K202" i="3"/>
  <c r="X201" i="3"/>
  <c r="G201" i="3"/>
  <c r="V200" i="3"/>
  <c r="E200" i="3"/>
  <c r="V199" i="3"/>
  <c r="E199" i="3"/>
  <c r="P197" i="3"/>
  <c r="AD196" i="3"/>
  <c r="AP196" i="3" s="1"/>
  <c r="N196" i="3"/>
  <c r="AD195" i="3"/>
  <c r="AP195" i="3" s="1"/>
  <c r="N195" i="3"/>
  <c r="AA194" i="3"/>
  <c r="K194" i="3"/>
  <c r="X193" i="3"/>
  <c r="G193" i="3"/>
  <c r="V192" i="3"/>
  <c r="E192" i="3"/>
  <c r="V191" i="3"/>
  <c r="E191" i="3"/>
  <c r="P189" i="3"/>
  <c r="AD188" i="3"/>
  <c r="AP188" i="3" s="1"/>
  <c r="N188" i="3"/>
  <c r="AD187" i="3"/>
  <c r="AP187" i="3" s="1"/>
  <c r="N187" i="3"/>
  <c r="AA186" i="3"/>
  <c r="K186" i="3"/>
  <c r="X185" i="3"/>
  <c r="L185" i="3"/>
  <c r="T182" i="3"/>
  <c r="F182" i="3"/>
  <c r="AC181" i="3"/>
  <c r="R181" i="3"/>
  <c r="G181" i="3"/>
  <c r="AC177" i="3"/>
  <c r="R177" i="3"/>
  <c r="G177" i="3"/>
  <c r="AC173" i="3"/>
  <c r="R173" i="3"/>
  <c r="G173" i="3"/>
  <c r="AC169" i="3"/>
  <c r="R169" i="3"/>
  <c r="G169" i="3"/>
  <c r="Y168" i="3"/>
  <c r="P168" i="3"/>
  <c r="F168" i="3"/>
  <c r="X167" i="3"/>
  <c r="E167" i="3"/>
  <c r="W165" i="3"/>
  <c r="N165" i="3"/>
  <c r="W163" i="3"/>
  <c r="N163" i="3"/>
  <c r="AE162" i="3"/>
  <c r="V162" i="3"/>
  <c r="M162" i="3"/>
  <c r="AD160" i="3"/>
  <c r="AP160" i="3" s="1"/>
  <c r="U160" i="3"/>
  <c r="K160" i="3"/>
  <c r="AV159" i="3"/>
  <c r="C157" i="9" s="1"/>
  <c r="AC159" i="3"/>
  <c r="T159" i="3"/>
  <c r="K159" i="3"/>
  <c r="H157" i="3"/>
  <c r="H156" i="3"/>
  <c r="X218" i="3"/>
  <c r="AC217" i="3"/>
  <c r="N216" i="3"/>
  <c r="P214" i="3"/>
  <c r="AG212" i="3"/>
  <c r="I212" i="3"/>
  <c r="Y209" i="3"/>
  <c r="M208" i="3"/>
  <c r="T206" i="3"/>
  <c r="AC205" i="3"/>
  <c r="M205" i="3"/>
  <c r="AC204" i="3"/>
  <c r="M204" i="3"/>
  <c r="U201" i="3"/>
  <c r="U200" i="3"/>
  <c r="AC197" i="3"/>
  <c r="M197" i="3"/>
  <c r="AC196" i="3"/>
  <c r="M196" i="3"/>
  <c r="U193" i="3"/>
  <c r="U192" i="3"/>
  <c r="AC189" i="3"/>
  <c r="M189" i="3"/>
  <c r="AC188" i="3"/>
  <c r="M188" i="3"/>
  <c r="V185" i="3"/>
  <c r="H185" i="3"/>
  <c r="AB181" i="3"/>
  <c r="Q181" i="3"/>
  <c r="E181" i="3"/>
  <c r="AB177" i="3"/>
  <c r="Q177" i="3"/>
  <c r="E177" i="3"/>
  <c r="AB173" i="3"/>
  <c r="Q173" i="3"/>
  <c r="E173" i="3"/>
  <c r="AB169" i="3"/>
  <c r="Q169" i="3"/>
  <c r="E169" i="3"/>
  <c r="AE165" i="3"/>
  <c r="V165" i="3"/>
  <c r="M165" i="3"/>
  <c r="I159" i="3"/>
  <c r="Y221" i="3"/>
  <c r="AD220" i="3"/>
  <c r="AP220" i="3" s="1"/>
  <c r="AA219" i="3"/>
  <c r="P218" i="3"/>
  <c r="U217" i="3"/>
  <c r="I216" i="3"/>
  <c r="AE215" i="3"/>
  <c r="L214" i="3"/>
  <c r="AG213" i="3"/>
  <c r="AD212" i="3"/>
  <c r="AP212" i="3" s="1"/>
  <c r="H212" i="3"/>
  <c r="X209" i="3"/>
  <c r="AD208" i="3"/>
  <c r="AP208" i="3" s="1"/>
  <c r="I208" i="3"/>
  <c r="P206" i="3"/>
  <c r="AB205" i="3"/>
  <c r="L205" i="3"/>
  <c r="Z204" i="3"/>
  <c r="I204" i="3"/>
  <c r="Z203" i="3"/>
  <c r="I203" i="3"/>
  <c r="W202" i="3"/>
  <c r="F202" i="3"/>
  <c r="T201" i="3"/>
  <c r="R200" i="3"/>
  <c r="R199" i="3"/>
  <c r="AB197" i="3"/>
  <c r="L197" i="3"/>
  <c r="Z196" i="3"/>
  <c r="I196" i="3"/>
  <c r="Z195" i="3"/>
  <c r="I195" i="3"/>
  <c r="W194" i="3"/>
  <c r="F194" i="3"/>
  <c r="T193" i="3"/>
  <c r="R192" i="3"/>
  <c r="R191" i="3"/>
  <c r="AV190" i="3"/>
  <c r="C188" i="9" s="1"/>
  <c r="AE190" i="3"/>
  <c r="AB189" i="3"/>
  <c r="L189" i="3"/>
  <c r="Z188" i="3"/>
  <c r="I188" i="3"/>
  <c r="Z187" i="3"/>
  <c r="I187" i="3"/>
  <c r="W186" i="3"/>
  <c r="F186" i="3"/>
  <c r="U185" i="3"/>
  <c r="G185" i="3"/>
  <c r="I183" i="3"/>
  <c r="AC182" i="3"/>
  <c r="P182" i="3"/>
  <c r="Z181" i="3"/>
  <c r="P181" i="3"/>
  <c r="H180" i="3"/>
  <c r="V179" i="3"/>
  <c r="K179" i="3"/>
  <c r="Z177" i="3"/>
  <c r="P177" i="3"/>
  <c r="H176" i="3"/>
  <c r="V175" i="3"/>
  <c r="K175" i="3"/>
  <c r="Z173" i="3"/>
  <c r="P173" i="3"/>
  <c r="H172" i="3"/>
  <c r="V171" i="3"/>
  <c r="K171" i="3"/>
  <c r="Z169" i="3"/>
  <c r="P169" i="3"/>
  <c r="W168" i="3"/>
  <c r="N168" i="3"/>
  <c r="AE167" i="3"/>
  <c r="V167" i="3"/>
  <c r="M167" i="3"/>
  <c r="AD165" i="3"/>
  <c r="AP165" i="3" s="1"/>
  <c r="U165" i="3"/>
  <c r="L165" i="3"/>
  <c r="AD163" i="3"/>
  <c r="AP163" i="3" s="1"/>
  <c r="T163" i="3"/>
  <c r="K163" i="3"/>
  <c r="AV162" i="3"/>
  <c r="C160" i="9" s="1"/>
  <c r="AC162" i="3"/>
  <c r="T162" i="3"/>
  <c r="K162" i="3"/>
  <c r="AB161" i="3"/>
  <c r="S161" i="3"/>
  <c r="I161" i="3"/>
  <c r="AA160" i="3"/>
  <c r="R160" i="3"/>
  <c r="H160" i="3"/>
  <c r="AA159" i="3"/>
  <c r="R159" i="3"/>
  <c r="G159" i="3"/>
  <c r="Q221" i="3"/>
  <c r="V220" i="3"/>
  <c r="S219" i="3"/>
  <c r="G218" i="3"/>
  <c r="Q217" i="3"/>
  <c r="E216" i="3"/>
  <c r="AA215" i="3"/>
  <c r="G214" i="3"/>
  <c r="AC213" i="3"/>
  <c r="Z212" i="3"/>
  <c r="E212" i="3"/>
  <c r="N211" i="3"/>
  <c r="U209" i="3"/>
  <c r="AC208" i="3"/>
  <c r="E208" i="3"/>
  <c r="Y205" i="3"/>
  <c r="H205" i="3"/>
  <c r="Y204" i="3"/>
  <c r="W203" i="3"/>
  <c r="F203" i="3"/>
  <c r="AG201" i="3"/>
  <c r="Q201" i="3"/>
  <c r="AG200" i="3"/>
  <c r="Q200" i="3"/>
  <c r="AV199" i="3"/>
  <c r="C197" i="9" s="1"/>
  <c r="AE199" i="3"/>
  <c r="Y197" i="3"/>
  <c r="H197" i="3"/>
  <c r="Y196" i="3"/>
  <c r="W195" i="3"/>
  <c r="F195" i="3"/>
  <c r="AG193" i="3"/>
  <c r="Q193" i="3"/>
  <c r="AG192" i="3"/>
  <c r="Q192" i="3"/>
  <c r="AV191" i="3"/>
  <c r="C189" i="9" s="1"/>
  <c r="AE191" i="3"/>
  <c r="Y189" i="3"/>
  <c r="H189" i="3"/>
  <c r="Y188" i="3"/>
  <c r="W187" i="3"/>
  <c r="F187" i="3"/>
  <c r="AG185" i="3"/>
  <c r="T185" i="3"/>
  <c r="E185" i="3"/>
  <c r="Y181" i="3"/>
  <c r="N181" i="3"/>
  <c r="I179" i="3"/>
  <c r="Y177" i="3"/>
  <c r="N177" i="3"/>
  <c r="I175" i="3"/>
  <c r="Y173" i="3"/>
  <c r="N173" i="3"/>
  <c r="I171" i="3"/>
  <c r="Y169" i="3"/>
  <c r="N169" i="3"/>
  <c r="AV165" i="3"/>
  <c r="C163" i="9" s="1"/>
  <c r="AC165" i="3"/>
  <c r="T165" i="3"/>
  <c r="AV163" i="3"/>
  <c r="C161" i="9" s="1"/>
  <c r="AB163" i="3"/>
  <c r="S163" i="3"/>
  <c r="I163" i="3"/>
  <c r="AB162" i="3"/>
  <c r="S162" i="3"/>
  <c r="H162" i="3"/>
  <c r="H161" i="3"/>
  <c r="Z160" i="3"/>
  <c r="Q160" i="3"/>
  <c r="G160" i="3"/>
  <c r="Z159" i="3"/>
  <c r="P159" i="3"/>
  <c r="F159" i="3"/>
  <c r="H221" i="3"/>
  <c r="N220" i="3"/>
  <c r="K219" i="3"/>
  <c r="M217" i="3"/>
  <c r="W215" i="3"/>
  <c r="Y213" i="3"/>
  <c r="Y212" i="3"/>
  <c r="AE211" i="3"/>
  <c r="K211" i="3"/>
  <c r="Q209" i="3"/>
  <c r="Z208" i="3"/>
  <c r="I207" i="3"/>
  <c r="L206" i="3"/>
  <c r="X205" i="3"/>
  <c r="G205" i="3"/>
  <c r="V204" i="3"/>
  <c r="E204" i="3"/>
  <c r="V203" i="3"/>
  <c r="E203" i="3"/>
  <c r="P201" i="3"/>
  <c r="AD200" i="3"/>
  <c r="AP200" i="3" s="1"/>
  <c r="N200" i="3"/>
  <c r="AD199" i="3"/>
  <c r="AP199" i="3" s="1"/>
  <c r="N199" i="3"/>
  <c r="X197" i="3"/>
  <c r="G197" i="3"/>
  <c r="V196" i="3"/>
  <c r="E196" i="3"/>
  <c r="V195" i="3"/>
  <c r="E195" i="3"/>
  <c r="P193" i="3"/>
  <c r="AD192" i="3"/>
  <c r="AP192" i="3" s="1"/>
  <c r="N192" i="3"/>
  <c r="AD191" i="3"/>
  <c r="AP191" i="3" s="1"/>
  <c r="N191" i="3"/>
  <c r="X189" i="3"/>
  <c r="G189" i="3"/>
  <c r="V188" i="3"/>
  <c r="E188" i="3"/>
  <c r="V187" i="3"/>
  <c r="E187" i="3"/>
  <c r="Q185" i="3"/>
  <c r="AA182" i="3"/>
  <c r="M182" i="3"/>
  <c r="X181" i="3"/>
  <c r="M181" i="3"/>
  <c r="X177" i="3"/>
  <c r="M177" i="3"/>
  <c r="X173" i="3"/>
  <c r="M173" i="3"/>
  <c r="X169" i="3"/>
  <c r="M169" i="3"/>
  <c r="AD168" i="3"/>
  <c r="AP168" i="3" s="1"/>
  <c r="U168" i="3"/>
  <c r="K168" i="3"/>
  <c r="AV167" i="3"/>
  <c r="C165" i="9" s="1"/>
  <c r="AC167" i="3"/>
  <c r="T167" i="3"/>
  <c r="K167" i="3"/>
  <c r="AB165" i="3"/>
  <c r="R165" i="3"/>
  <c r="H165" i="3"/>
  <c r="AA163" i="3"/>
  <c r="R163" i="3"/>
  <c r="H163" i="3"/>
  <c r="AA162" i="3"/>
  <c r="Q162" i="3"/>
  <c r="G162" i="3"/>
  <c r="Y160" i="3"/>
  <c r="P160" i="3"/>
  <c r="F160" i="3"/>
  <c r="X159" i="3"/>
  <c r="E159" i="3"/>
  <c r="E220" i="3"/>
  <c r="H217" i="3"/>
  <c r="AD216" i="3"/>
  <c r="AP216" i="3" s="1"/>
  <c r="S215" i="3"/>
  <c r="U213" i="3"/>
  <c r="V212" i="3"/>
  <c r="P209" i="3"/>
  <c r="V208" i="3"/>
  <c r="AE206" i="3"/>
  <c r="G206" i="3"/>
  <c r="U205" i="3"/>
  <c r="U204" i="3"/>
  <c r="AC201" i="3"/>
  <c r="M201" i="3"/>
  <c r="AC200" i="3"/>
  <c r="M200" i="3"/>
  <c r="U197" i="3"/>
  <c r="U196" i="3"/>
  <c r="AC193" i="3"/>
  <c r="M193" i="3"/>
  <c r="AC192" i="3"/>
  <c r="M192" i="3"/>
  <c r="U189" i="3"/>
  <c r="U188" i="3"/>
  <c r="AC185" i="3"/>
  <c r="P185" i="3"/>
  <c r="AG181" i="3"/>
  <c r="V181" i="3"/>
  <c r="L181" i="3"/>
  <c r="AG177" i="3"/>
  <c r="V177" i="3"/>
  <c r="L177" i="3"/>
  <c r="AG173" i="3"/>
  <c r="V173" i="3"/>
  <c r="L173" i="3"/>
  <c r="AG169" i="3"/>
  <c r="V169" i="3"/>
  <c r="L169" i="3"/>
  <c r="I167" i="3"/>
  <c r="Z165" i="3"/>
  <c r="Q165" i="3"/>
  <c r="G165" i="3"/>
  <c r="Z163" i="3"/>
  <c r="Q163" i="3"/>
  <c r="G163" i="3"/>
  <c r="Y162" i="3"/>
  <c r="P162" i="3"/>
  <c r="F162" i="3"/>
  <c r="AG160" i="3"/>
  <c r="X160" i="3"/>
  <c r="E160" i="3"/>
  <c r="W159" i="3"/>
  <c r="N159" i="3"/>
  <c r="I153" i="3"/>
  <c r="E211" i="3"/>
  <c r="I200" i="3"/>
  <c r="W198" i="3"/>
  <c r="AV194" i="3"/>
  <c r="C192" i="9" s="1"/>
  <c r="Z191" i="3"/>
  <c r="I184" i="3"/>
  <c r="K182" i="3"/>
  <c r="G178" i="3"/>
  <c r="AA175" i="3"/>
  <c r="P171" i="3"/>
  <c r="Z166" i="3"/>
  <c r="F165" i="3"/>
  <c r="F164" i="3"/>
  <c r="AB214" i="3"/>
  <c r="T205" i="3"/>
  <c r="AB201" i="3"/>
  <c r="F198" i="3"/>
  <c r="AE194" i="3"/>
  <c r="I191" i="3"/>
  <c r="T189" i="3"/>
  <c r="AB185" i="3"/>
  <c r="AA179" i="3"/>
  <c r="P175" i="3"/>
  <c r="E171" i="3"/>
  <c r="AA167" i="3"/>
  <c r="Q166" i="3"/>
  <c r="AE159" i="3"/>
  <c r="I155" i="3"/>
  <c r="Z216" i="3"/>
  <c r="AB210" i="3"/>
  <c r="R203" i="3"/>
  <c r="L201" i="3"/>
  <c r="R196" i="3"/>
  <c r="R187" i="3"/>
  <c r="N185" i="3"/>
  <c r="P179" i="3"/>
  <c r="E175" i="3"/>
  <c r="AA168" i="3"/>
  <c r="R167" i="3"/>
  <c r="G166" i="3"/>
  <c r="V159" i="3"/>
  <c r="A5" i="3"/>
  <c r="R212" i="3"/>
  <c r="G210" i="3"/>
  <c r="AB206" i="3"/>
  <c r="Z192" i="3"/>
  <c r="AD183" i="3"/>
  <c r="AP183" i="3" s="1"/>
  <c r="E179" i="3"/>
  <c r="Y172" i="3"/>
  <c r="U169" i="3"/>
  <c r="R168" i="3"/>
  <c r="G167" i="3"/>
  <c r="W160" i="3"/>
  <c r="M159" i="3"/>
  <c r="H153" i="3"/>
  <c r="U208" i="3"/>
  <c r="F206" i="3"/>
  <c r="AV202" i="3"/>
  <c r="C200" i="9" s="1"/>
  <c r="Z199" i="3"/>
  <c r="I192" i="3"/>
  <c r="W190" i="3"/>
  <c r="AV186" i="3"/>
  <c r="C184" i="9" s="1"/>
  <c r="Y176" i="3"/>
  <c r="U173" i="3"/>
  <c r="AC170" i="3"/>
  <c r="I169" i="3"/>
  <c r="H168" i="3"/>
  <c r="AG162" i="3"/>
  <c r="AG161" i="3"/>
  <c r="N160" i="3"/>
  <c r="AV215" i="3"/>
  <c r="C213" i="9" s="1"/>
  <c r="AE202" i="3"/>
  <c r="I199" i="3"/>
  <c r="T197" i="3"/>
  <c r="AB193" i="3"/>
  <c r="F190" i="3"/>
  <c r="AE186" i="3"/>
  <c r="U177" i="3"/>
  <c r="N176" i="3"/>
  <c r="AC174" i="3"/>
  <c r="I173" i="3"/>
  <c r="S170" i="3"/>
  <c r="Y163" i="3"/>
  <c r="X162" i="3"/>
  <c r="X161" i="3"/>
  <c r="Q213" i="3"/>
  <c r="AV211" i="3"/>
  <c r="C209" i="9" s="1"/>
  <c r="AG209" i="3"/>
  <c r="R204" i="3"/>
  <c r="R195" i="3"/>
  <c r="L193" i="3"/>
  <c r="R188" i="3"/>
  <c r="U181" i="3"/>
  <c r="AC178" i="3"/>
  <c r="S174" i="3"/>
  <c r="G170" i="3"/>
  <c r="Y165" i="3"/>
  <c r="Z164" i="3"/>
  <c r="P163" i="3"/>
  <c r="N161" i="3"/>
  <c r="H154" i="3"/>
  <c r="Z200" i="3"/>
  <c r="S178" i="3"/>
  <c r="AA171" i="3"/>
  <c r="P165" i="3"/>
  <c r="F163" i="3"/>
  <c r="C360" i="1"/>
  <c r="X360" i="1" s="1"/>
  <c r="Y360" i="1" s="1"/>
  <c r="Z360" i="1" s="1"/>
  <c r="D360" i="1" s="1"/>
  <c r="E358" i="1"/>
  <c r="C352" i="1"/>
  <c r="X352" i="1" s="1"/>
  <c r="Y352" i="1" s="1"/>
  <c r="Z352" i="1" s="1"/>
  <c r="D352" i="1" s="1"/>
  <c r="M209" i="3"/>
  <c r="G174" i="3"/>
  <c r="C359" i="1"/>
  <c r="X359" i="1" s="1"/>
  <c r="Y359" i="1" s="1"/>
  <c r="Z359" i="1" s="1"/>
  <c r="D359" i="1" s="1"/>
  <c r="C351" i="1"/>
  <c r="X351" i="1" s="1"/>
  <c r="Y351" i="1" s="1"/>
  <c r="Z351" i="1" s="1"/>
  <c r="D351" i="1" s="1"/>
  <c r="C347" i="1"/>
  <c r="X347" i="1" s="1"/>
  <c r="Y347" i="1" s="1"/>
  <c r="Z347" i="1" s="1"/>
  <c r="D347" i="1" s="1"/>
  <c r="C343" i="1"/>
  <c r="X343" i="1" s="1"/>
  <c r="Y343" i="1" s="1"/>
  <c r="Z343" i="1" s="1"/>
  <c r="D343" i="1" s="1"/>
  <c r="C339" i="1"/>
  <c r="X339" i="1" s="1"/>
  <c r="Y339" i="1" s="1"/>
  <c r="Z339" i="1" s="1"/>
  <c r="D339" i="1" s="1"/>
  <c r="C335" i="1"/>
  <c r="X335" i="1" s="1"/>
  <c r="Y335" i="1" s="1"/>
  <c r="Z335" i="1" s="1"/>
  <c r="D335" i="1" s="1"/>
  <c r="C331" i="1"/>
  <c r="X331" i="1" s="1"/>
  <c r="Y331" i="1" s="1"/>
  <c r="Z331" i="1" s="1"/>
  <c r="D331" i="1" s="1"/>
  <c r="C327" i="1"/>
  <c r="X327" i="1" s="1"/>
  <c r="Y327" i="1" s="1"/>
  <c r="Z327" i="1" s="1"/>
  <c r="D327" i="1" s="1"/>
  <c r="C323" i="1"/>
  <c r="X323" i="1" s="1"/>
  <c r="Y323" i="1" s="1"/>
  <c r="Z323" i="1" s="1"/>
  <c r="D323" i="1" s="1"/>
  <c r="C319" i="1"/>
  <c r="X319" i="1" s="1"/>
  <c r="Y319" i="1" s="1"/>
  <c r="Z319" i="1" s="1"/>
  <c r="D319" i="1" s="1"/>
  <c r="C315" i="1"/>
  <c r="X315" i="1" s="1"/>
  <c r="Y315" i="1" s="1"/>
  <c r="Z315" i="1" s="1"/>
  <c r="D315" i="1" s="1"/>
  <c r="C311" i="1"/>
  <c r="X311" i="1" s="1"/>
  <c r="Y311" i="1" s="1"/>
  <c r="Z311" i="1" s="1"/>
  <c r="D311" i="1" s="1"/>
  <c r="C307" i="1"/>
  <c r="X307" i="1" s="1"/>
  <c r="Y307" i="1" s="1"/>
  <c r="Z307" i="1" s="1"/>
  <c r="D307" i="1" s="1"/>
  <c r="C303" i="1"/>
  <c r="X303" i="1" s="1"/>
  <c r="Y303" i="1" s="1"/>
  <c r="Z303" i="1" s="1"/>
  <c r="D303" i="1" s="1"/>
  <c r="C299" i="1"/>
  <c r="X299" i="1" s="1"/>
  <c r="Y299" i="1" s="1"/>
  <c r="Z299" i="1" s="1"/>
  <c r="D299" i="1" s="1"/>
  <c r="C295" i="1"/>
  <c r="X295" i="1" s="1"/>
  <c r="Y295" i="1" s="1"/>
  <c r="Z295" i="1" s="1"/>
  <c r="D295" i="1" s="1"/>
  <c r="C291" i="1"/>
  <c r="X291" i="1" s="1"/>
  <c r="Y291" i="1" s="1"/>
  <c r="Z291" i="1" s="1"/>
  <c r="D291" i="1" s="1"/>
  <c r="C287" i="1"/>
  <c r="X287" i="1" s="1"/>
  <c r="Y287" i="1" s="1"/>
  <c r="Z287" i="1" s="1"/>
  <c r="D287" i="1" s="1"/>
  <c r="C283" i="1"/>
  <c r="X283" i="1" s="1"/>
  <c r="Y283" i="1" s="1"/>
  <c r="Z283" i="1" s="1"/>
  <c r="D283" i="1" s="1"/>
  <c r="C279" i="1"/>
  <c r="X279" i="1" s="1"/>
  <c r="Y279" i="1" s="1"/>
  <c r="Z279" i="1" s="1"/>
  <c r="D279" i="1" s="1"/>
  <c r="C275" i="1"/>
  <c r="X275" i="1" s="1"/>
  <c r="Y275" i="1" s="1"/>
  <c r="Z275" i="1" s="1"/>
  <c r="D275" i="1" s="1"/>
  <c r="C271" i="1"/>
  <c r="X271" i="1" s="1"/>
  <c r="Y271" i="1" s="1"/>
  <c r="Z271" i="1" s="1"/>
  <c r="D271" i="1" s="1"/>
  <c r="C267" i="1"/>
  <c r="X267" i="1" s="1"/>
  <c r="Y267" i="1" s="1"/>
  <c r="Z267" i="1" s="1"/>
  <c r="D267" i="1" s="1"/>
  <c r="C263" i="1"/>
  <c r="X263" i="1" s="1"/>
  <c r="Y263" i="1" s="1"/>
  <c r="Z263" i="1" s="1"/>
  <c r="D263" i="1" s="1"/>
  <c r="I181" i="3"/>
  <c r="V184" i="3"/>
  <c r="E162" i="3"/>
  <c r="C356" i="1"/>
  <c r="X356" i="1" s="1"/>
  <c r="Y356" i="1" s="1"/>
  <c r="Z356" i="1" s="1"/>
  <c r="D356" i="1" s="1"/>
  <c r="AA211" i="3"/>
  <c r="Q164" i="3"/>
  <c r="E361" i="1"/>
  <c r="E353" i="1"/>
  <c r="E348" i="1"/>
  <c r="E344" i="1"/>
  <c r="E340" i="1"/>
  <c r="E336" i="1"/>
  <c r="E332" i="1"/>
  <c r="E328" i="1"/>
  <c r="E324" i="1"/>
  <c r="E320" i="1"/>
  <c r="E316" i="1"/>
  <c r="E312" i="1"/>
  <c r="E308" i="1"/>
  <c r="E304" i="1"/>
  <c r="E300" i="1"/>
  <c r="E296" i="1"/>
  <c r="E292" i="1"/>
  <c r="W182" i="3"/>
  <c r="E360" i="1"/>
  <c r="E352" i="1"/>
  <c r="AV207" i="3"/>
  <c r="C205" i="9" s="1"/>
  <c r="A11" i="9"/>
  <c r="Z13" i="3"/>
  <c r="R13" i="3"/>
  <c r="AG13" i="3"/>
  <c r="Y13" i="3"/>
  <c r="X13" i="3"/>
  <c r="P13" i="3"/>
  <c r="G13" i="3"/>
  <c r="I7" i="3"/>
  <c r="F13" i="3"/>
  <c r="H7" i="3"/>
  <c r="AV13" i="3"/>
  <c r="C11" i="9" s="1"/>
  <c r="AD13" i="3"/>
  <c r="AP13" i="3" s="1"/>
  <c r="V13" i="3"/>
  <c r="N13" i="3"/>
  <c r="E13" i="3"/>
  <c r="D13" i="3"/>
  <c r="AB13" i="3"/>
  <c r="T13" i="3"/>
  <c r="B13" i="3"/>
  <c r="B11" i="9" s="1"/>
  <c r="AA13" i="3"/>
  <c r="K13" i="3"/>
  <c r="A19" i="9"/>
  <c r="X21" i="3"/>
  <c r="T21" i="3"/>
  <c r="B21" i="3"/>
  <c r="B19" i="9" s="1"/>
  <c r="Z21" i="3"/>
  <c r="D29" i="3"/>
  <c r="AB29" i="3"/>
  <c r="AA29" i="3"/>
  <c r="L674" i="10"/>
  <c r="A35" i="9"/>
  <c r="X37" i="3"/>
  <c r="P37" i="3"/>
  <c r="G37" i="3"/>
  <c r="H31" i="3"/>
  <c r="W37" i="3"/>
  <c r="O37" i="3"/>
  <c r="F37" i="3"/>
  <c r="AV37" i="3"/>
  <c r="C35" i="9" s="1"/>
  <c r="AD37" i="3"/>
  <c r="V37" i="3"/>
  <c r="N37" i="3"/>
  <c r="E37" i="3"/>
  <c r="AC37" i="3"/>
  <c r="M37" i="3"/>
  <c r="D37" i="3"/>
  <c r="AB37" i="3"/>
  <c r="T37" i="3"/>
  <c r="B37" i="3"/>
  <c r="B35" i="9" s="1"/>
  <c r="AA37" i="3"/>
  <c r="K37" i="3"/>
  <c r="Z37" i="3"/>
  <c r="R37" i="3"/>
  <c r="I31" i="3"/>
  <c r="AG37" i="3"/>
  <c r="Y37" i="3"/>
  <c r="A43" i="9"/>
  <c r="AV45" i="3"/>
  <c r="C43" i="9" s="1"/>
  <c r="K45" i="3"/>
  <c r="Y45" i="3"/>
  <c r="X45" i="3"/>
  <c r="A51" i="9"/>
  <c r="AD53" i="3"/>
  <c r="AP53" i="3" s="1"/>
  <c r="V53" i="3"/>
  <c r="N53" i="3"/>
  <c r="E53" i="3"/>
  <c r="D53" i="3"/>
  <c r="AB53" i="3"/>
  <c r="T53" i="3"/>
  <c r="AN53" i="3" s="1"/>
  <c r="B53" i="3"/>
  <c r="B51" i="9" s="1"/>
  <c r="K53" i="3"/>
  <c r="Z53" i="3"/>
  <c r="R53" i="3"/>
  <c r="AG53" i="3"/>
  <c r="I47" i="3"/>
  <c r="X53" i="3"/>
  <c r="P53" i="3"/>
  <c r="G53" i="3"/>
  <c r="H47" i="3"/>
  <c r="AV53" i="3"/>
  <c r="C51" i="9" s="1"/>
  <c r="F53" i="3"/>
  <c r="L698" i="10"/>
  <c r="Y61" i="3"/>
  <c r="X61" i="3"/>
  <c r="F61" i="3"/>
  <c r="V61" i="3"/>
  <c r="N61" i="3"/>
  <c r="D61" i="3"/>
  <c r="AA61" i="3"/>
  <c r="K61" i="3"/>
  <c r="A67" i="9"/>
  <c r="AA69" i="3"/>
  <c r="Z69" i="3"/>
  <c r="R69" i="3"/>
  <c r="A75" i="9"/>
  <c r="AG77" i="3"/>
  <c r="AV77" i="3"/>
  <c r="C75" i="9" s="1"/>
  <c r="AE77" i="3"/>
  <c r="F77" i="3"/>
  <c r="K77" i="3"/>
  <c r="T77" i="3"/>
  <c r="AN77" i="3" s="1"/>
  <c r="E77" i="3"/>
  <c r="AR77" i="3"/>
  <c r="AD77" i="3"/>
  <c r="AP77" i="3" s="1"/>
  <c r="R77" i="3"/>
  <c r="D77" i="3"/>
  <c r="P77" i="3"/>
  <c r="B77" i="3"/>
  <c r="B75" i="9" s="1"/>
  <c r="AB77" i="3"/>
  <c r="N77" i="3"/>
  <c r="Z77" i="3"/>
  <c r="X77" i="3"/>
  <c r="I71" i="3"/>
  <c r="V77" i="3"/>
  <c r="H71" i="3"/>
  <c r="G77" i="3"/>
  <c r="L722" i="10"/>
  <c r="A83" i="9"/>
  <c r="AC85" i="3"/>
  <c r="D85" i="3"/>
  <c r="AA85" i="3"/>
  <c r="K85" i="3"/>
  <c r="AV85" i="3"/>
  <c r="C83" i="9" s="1"/>
  <c r="AE85" i="3"/>
  <c r="W85" i="3"/>
  <c r="F85" i="3"/>
  <c r="I79" i="3"/>
  <c r="V85" i="3"/>
  <c r="AG85" i="3"/>
  <c r="T85" i="3"/>
  <c r="G85" i="3"/>
  <c r="AR85" i="3"/>
  <c r="R85" i="3"/>
  <c r="E85" i="3"/>
  <c r="AD85" i="3"/>
  <c r="AP85" i="3" s="1"/>
  <c r="B85" i="3"/>
  <c r="B83" i="9" s="1"/>
  <c r="AB85" i="3"/>
  <c r="P85" i="3"/>
  <c r="Z85" i="3"/>
  <c r="N85" i="3"/>
  <c r="H79" i="3"/>
  <c r="X85" i="3"/>
  <c r="A91" i="9"/>
  <c r="D93" i="3"/>
  <c r="K93" i="3"/>
  <c r="H87" i="3"/>
  <c r="AG93" i="3"/>
  <c r="AV93" i="3"/>
  <c r="C91" i="9" s="1"/>
  <c r="AE93" i="3"/>
  <c r="F93" i="3"/>
  <c r="V93" i="3"/>
  <c r="E93" i="3"/>
  <c r="T93" i="3"/>
  <c r="AN93" i="3" s="1"/>
  <c r="B93" i="3"/>
  <c r="B91" i="9" s="1"/>
  <c r="R93" i="3"/>
  <c r="P93" i="3"/>
  <c r="AD93" i="3"/>
  <c r="AP93" i="3" s="1"/>
  <c r="N93" i="3"/>
  <c r="AR93" i="3"/>
  <c r="AB93" i="3"/>
  <c r="Z93" i="3"/>
  <c r="X93" i="3"/>
  <c r="G93" i="3"/>
  <c r="I87" i="3"/>
  <c r="A99" i="9"/>
  <c r="AC101" i="3"/>
  <c r="U101" i="3"/>
  <c r="D101" i="3"/>
  <c r="AA101" i="3"/>
  <c r="S101" i="3"/>
  <c r="K101" i="3"/>
  <c r="H95" i="3"/>
  <c r="AG101" i="3"/>
  <c r="Y101" i="3"/>
  <c r="Q101" i="3"/>
  <c r="W101" i="3"/>
  <c r="F101" i="3"/>
  <c r="AV101" i="3"/>
  <c r="C99" i="9" s="1"/>
  <c r="AD101" i="3"/>
  <c r="AP101" i="3" s="1"/>
  <c r="N101" i="3"/>
  <c r="AR101" i="3"/>
  <c r="AB101" i="3"/>
  <c r="I95" i="3"/>
  <c r="Z101" i="3"/>
  <c r="X101" i="3"/>
  <c r="G101" i="3"/>
  <c r="V101" i="3"/>
  <c r="E101" i="3"/>
  <c r="T101" i="3"/>
  <c r="B101" i="3"/>
  <c r="B99" i="9" s="1"/>
  <c r="R101" i="3"/>
  <c r="P101" i="3"/>
  <c r="A107" i="9"/>
  <c r="AD109" i="3"/>
  <c r="V109" i="3"/>
  <c r="N109" i="3"/>
  <c r="E109" i="3"/>
  <c r="AB109" i="3"/>
  <c r="T109" i="3"/>
  <c r="B109" i="3"/>
  <c r="B107" i="9" s="1"/>
  <c r="I103" i="3"/>
  <c r="Z109" i="3"/>
  <c r="R109" i="3"/>
  <c r="AG109" i="3"/>
  <c r="Y109" i="3"/>
  <c r="Q109" i="3"/>
  <c r="X109" i="3"/>
  <c r="P109" i="3"/>
  <c r="G109" i="3"/>
  <c r="AE109" i="3"/>
  <c r="K109" i="3"/>
  <c r="AC109" i="3"/>
  <c r="F109" i="3"/>
  <c r="AV109" i="3"/>
  <c r="C107" i="9" s="1"/>
  <c r="AA109" i="3"/>
  <c r="D109" i="3"/>
  <c r="W109" i="3"/>
  <c r="U109" i="3"/>
  <c r="S109" i="3"/>
  <c r="H103" i="3"/>
  <c r="AC130" i="3"/>
  <c r="M130" i="3"/>
  <c r="AR130" i="3"/>
  <c r="AB130" i="3"/>
  <c r="T130" i="3"/>
  <c r="I124" i="3"/>
  <c r="S130" i="3"/>
  <c r="H124" i="3"/>
  <c r="AG130" i="3"/>
  <c r="Y130" i="3"/>
  <c r="X130" i="3"/>
  <c r="G130" i="3"/>
  <c r="AE130" i="3"/>
  <c r="W130" i="3"/>
  <c r="F130" i="3"/>
  <c r="E130" i="3"/>
  <c r="Z130" i="3"/>
  <c r="R130" i="3"/>
  <c r="A136" i="9"/>
  <c r="AC138" i="3"/>
  <c r="U138" i="3"/>
  <c r="M138" i="3"/>
  <c r="D138" i="3"/>
  <c r="AR138" i="3"/>
  <c r="AB138" i="3"/>
  <c r="T138" i="3"/>
  <c r="L138" i="3"/>
  <c r="B138" i="3"/>
  <c r="B136" i="9" s="1"/>
  <c r="I132" i="3"/>
  <c r="AA138" i="3"/>
  <c r="S138" i="3"/>
  <c r="K138" i="3"/>
  <c r="H132" i="3"/>
  <c r="AG138" i="3"/>
  <c r="Y138" i="3"/>
  <c r="Q138" i="3"/>
  <c r="X138" i="3"/>
  <c r="P138" i="3"/>
  <c r="G138" i="3"/>
  <c r="AV138" i="3"/>
  <c r="C136" i="9" s="1"/>
  <c r="AE138" i="3"/>
  <c r="W138" i="3"/>
  <c r="F138" i="3"/>
  <c r="E138" i="3"/>
  <c r="AD138" i="3"/>
  <c r="AP138" i="3" s="1"/>
  <c r="Z138" i="3"/>
  <c r="V138" i="3"/>
  <c r="R138" i="3"/>
  <c r="N138" i="3"/>
  <c r="A144" i="9"/>
  <c r="AC146" i="3"/>
  <c r="U146" i="3"/>
  <c r="M146" i="3"/>
  <c r="D146" i="3"/>
  <c r="AR146" i="3"/>
  <c r="AB146" i="3"/>
  <c r="T146" i="3"/>
  <c r="L146" i="3"/>
  <c r="B146" i="3"/>
  <c r="B144" i="9" s="1"/>
  <c r="I140" i="3"/>
  <c r="AA146" i="3"/>
  <c r="S146" i="3"/>
  <c r="K146" i="3"/>
  <c r="H140" i="3"/>
  <c r="AG146" i="3"/>
  <c r="Y146" i="3"/>
  <c r="Q146" i="3"/>
  <c r="X146" i="3"/>
  <c r="P146" i="3"/>
  <c r="G146" i="3"/>
  <c r="AV146" i="3"/>
  <c r="C144" i="9" s="1"/>
  <c r="AE146" i="3"/>
  <c r="W146" i="3"/>
  <c r="F146" i="3"/>
  <c r="AD146" i="3"/>
  <c r="AP146" i="3" s="1"/>
  <c r="Z146" i="3"/>
  <c r="V146" i="3"/>
  <c r="R146" i="3"/>
  <c r="N146" i="3"/>
  <c r="E146" i="3"/>
  <c r="Z154" i="3"/>
  <c r="G154" i="3"/>
  <c r="AR154" i="3"/>
  <c r="F154" i="3"/>
  <c r="E154" i="3"/>
  <c r="H148" i="3"/>
  <c r="D154" i="3"/>
  <c r="B154" i="3"/>
  <c r="B152" i="9" s="1"/>
  <c r="AD154" i="3"/>
  <c r="AP154" i="3" s="1"/>
  <c r="AV154" i="3"/>
  <c r="C152" i="9" s="1"/>
  <c r="AB154" i="3"/>
  <c r="S154" i="3"/>
  <c r="U135" i="1"/>
  <c r="U139" i="1"/>
  <c r="U143" i="1"/>
  <c r="U151" i="1"/>
  <c r="U155" i="1"/>
  <c r="U159" i="1"/>
  <c r="B160" i="1"/>
  <c r="S160" i="1"/>
  <c r="W162" i="1"/>
  <c r="U163" i="1"/>
  <c r="B164" i="1"/>
  <c r="S164" i="1"/>
  <c r="W166" i="1"/>
  <c r="U167" i="1"/>
  <c r="B168" i="1"/>
  <c r="S168" i="1"/>
  <c r="W170" i="1"/>
  <c r="U171" i="1"/>
  <c r="B172" i="1"/>
  <c r="S172" i="1"/>
  <c r="W174" i="1"/>
  <c r="U175" i="1"/>
  <c r="B176" i="1"/>
  <c r="S176" i="1"/>
  <c r="W178" i="1"/>
  <c r="U179" i="1"/>
  <c r="B180" i="1"/>
  <c r="S180" i="1"/>
  <c r="W182" i="1"/>
  <c r="U183" i="1"/>
  <c r="B184" i="1"/>
  <c r="S184" i="1"/>
  <c r="W186" i="1"/>
  <c r="U187" i="1"/>
  <c r="B188" i="1"/>
  <c r="S188" i="1"/>
  <c r="W190" i="1"/>
  <c r="U191" i="1"/>
  <c r="B192" i="1"/>
  <c r="S192" i="1"/>
  <c r="W200" i="1"/>
  <c r="A200" i="2"/>
  <c r="T200" i="1"/>
  <c r="C201" i="1"/>
  <c r="X201" i="1" s="1"/>
  <c r="Y201" i="1" s="1"/>
  <c r="Z201" i="1" s="1"/>
  <c r="D201" i="1" s="1"/>
  <c r="W204" i="1"/>
  <c r="A204" i="2"/>
  <c r="T204" i="1"/>
  <c r="C205" i="1"/>
  <c r="X205" i="1" s="1"/>
  <c r="Y205" i="1" s="1"/>
  <c r="Z205" i="1" s="1"/>
  <c r="D205" i="1" s="1"/>
  <c r="W208" i="1"/>
  <c r="A208" i="2"/>
  <c r="T208" i="1"/>
  <c r="C209" i="1"/>
  <c r="X209" i="1" s="1"/>
  <c r="Y209" i="1" s="1"/>
  <c r="Z209" i="1" s="1"/>
  <c r="D209" i="1" s="1"/>
  <c r="W212" i="1"/>
  <c r="A212" i="2"/>
  <c r="T212" i="1"/>
  <c r="C213" i="1"/>
  <c r="X213" i="1" s="1"/>
  <c r="Y213" i="1" s="1"/>
  <c r="Z213" i="1" s="1"/>
  <c r="D213" i="1" s="1"/>
  <c r="W216" i="1"/>
  <c r="A216" i="2"/>
  <c r="T216" i="1"/>
  <c r="C217" i="1"/>
  <c r="X217" i="1" s="1"/>
  <c r="Y217" i="1" s="1"/>
  <c r="Z217" i="1" s="1"/>
  <c r="D217" i="1" s="1"/>
  <c r="W220" i="1"/>
  <c r="A220" i="2"/>
  <c r="T220" i="1"/>
  <c r="C221" i="1"/>
  <c r="X221" i="1" s="1"/>
  <c r="Y221" i="1" s="1"/>
  <c r="Z221" i="1" s="1"/>
  <c r="D221" i="1" s="1"/>
  <c r="W224" i="1"/>
  <c r="A224" i="2"/>
  <c r="T224" i="1"/>
  <c r="C225" i="1"/>
  <c r="X225" i="1" s="1"/>
  <c r="Y225" i="1" s="1"/>
  <c r="Z225" i="1" s="1"/>
  <c r="D225" i="1" s="1"/>
  <c r="W228" i="1"/>
  <c r="A228" i="2"/>
  <c r="T228" i="1"/>
  <c r="C229" i="1"/>
  <c r="X229" i="1" s="1"/>
  <c r="Y229" i="1" s="1"/>
  <c r="Z229" i="1" s="1"/>
  <c r="D229" i="1" s="1"/>
  <c r="E234" i="1"/>
  <c r="E238" i="1"/>
  <c r="E242" i="1"/>
  <c r="B244" i="1"/>
  <c r="E246" i="1"/>
  <c r="B248" i="1"/>
  <c r="E250" i="1"/>
  <c r="B252" i="1"/>
  <c r="E254" i="1"/>
  <c r="B256" i="1"/>
  <c r="E258" i="1"/>
  <c r="B260" i="1"/>
  <c r="W261" i="1"/>
  <c r="U262" i="1"/>
  <c r="T265" i="1"/>
  <c r="E267" i="1"/>
  <c r="E276" i="1"/>
  <c r="V282" i="1"/>
  <c r="E282" i="1"/>
  <c r="U282" i="1"/>
  <c r="A282" i="2"/>
  <c r="T282" i="1"/>
  <c r="C282" i="1"/>
  <c r="X282" i="1" s="1"/>
  <c r="Y282" i="1" s="1"/>
  <c r="Z282" i="1" s="1"/>
  <c r="D282" i="1" s="1"/>
  <c r="S282" i="1"/>
  <c r="B282" i="1"/>
  <c r="C288" i="1"/>
  <c r="X288" i="1" s="1"/>
  <c r="Y288" i="1" s="1"/>
  <c r="Z288" i="1" s="1"/>
  <c r="D288" i="1" s="1"/>
  <c r="C289" i="1"/>
  <c r="X289" i="1" s="1"/>
  <c r="Y289" i="1" s="1"/>
  <c r="Z289" i="1" s="1"/>
  <c r="D289" i="1" s="1"/>
  <c r="E291" i="1"/>
  <c r="A317" i="2"/>
  <c r="W317" i="1"/>
  <c r="V317" i="1"/>
  <c r="E317" i="1"/>
  <c r="U317" i="1"/>
  <c r="T317" i="1"/>
  <c r="C317" i="1"/>
  <c r="X317" i="1" s="1"/>
  <c r="Y317" i="1" s="1"/>
  <c r="Z317" i="1" s="1"/>
  <c r="D317" i="1" s="1"/>
  <c r="S317" i="1"/>
  <c r="B317" i="1"/>
  <c r="E323" i="1"/>
  <c r="A337" i="2"/>
  <c r="W337" i="1"/>
  <c r="V337" i="1"/>
  <c r="E337" i="1"/>
  <c r="U337" i="1"/>
  <c r="T337" i="1"/>
  <c r="C337" i="1"/>
  <c r="X337" i="1" s="1"/>
  <c r="Y337" i="1" s="1"/>
  <c r="Z337" i="1" s="1"/>
  <c r="D337" i="1" s="1"/>
  <c r="S337" i="1"/>
  <c r="B337" i="1"/>
  <c r="A341" i="2"/>
  <c r="W341" i="1"/>
  <c r="V341" i="1"/>
  <c r="E341" i="1"/>
  <c r="U341" i="1"/>
  <c r="T341" i="1"/>
  <c r="C341" i="1"/>
  <c r="X341" i="1" s="1"/>
  <c r="Y341" i="1" s="1"/>
  <c r="Z341" i="1" s="1"/>
  <c r="D341" i="1" s="1"/>
  <c r="S341" i="1"/>
  <c r="B341" i="1"/>
  <c r="A345" i="2"/>
  <c r="W345" i="1"/>
  <c r="V345" i="1"/>
  <c r="E345" i="1"/>
  <c r="U345" i="1"/>
  <c r="T345" i="1"/>
  <c r="C345" i="1"/>
  <c r="X345" i="1" s="1"/>
  <c r="Y345" i="1" s="1"/>
  <c r="Z345" i="1" s="1"/>
  <c r="D345" i="1" s="1"/>
  <c r="S345" i="1"/>
  <c r="B345" i="1"/>
  <c r="A349" i="2"/>
  <c r="W349" i="1"/>
  <c r="V349" i="1"/>
  <c r="E349" i="1"/>
  <c r="U349" i="1"/>
  <c r="T349" i="1"/>
  <c r="C349" i="1"/>
  <c r="X349" i="1" s="1"/>
  <c r="Y349" i="1" s="1"/>
  <c r="Z349" i="1" s="1"/>
  <c r="D349" i="1" s="1"/>
  <c r="S349" i="1"/>
  <c r="B349" i="1"/>
  <c r="E359" i="1"/>
  <c r="C361" i="1"/>
  <c r="X361" i="1" s="1"/>
  <c r="Y361" i="1" s="1"/>
  <c r="Z361" i="1" s="1"/>
  <c r="D361" i="1" s="1"/>
  <c r="A70" i="9"/>
  <c r="AV72" i="3"/>
  <c r="C70" i="9" s="1"/>
  <c r="AR72" i="3"/>
  <c r="T72" i="3"/>
  <c r="B72" i="3"/>
  <c r="B70" i="9" s="1"/>
  <c r="Z72" i="3"/>
  <c r="G72" i="3"/>
  <c r="Y72" i="3"/>
  <c r="P72" i="3"/>
  <c r="F72" i="3"/>
  <c r="X72" i="3"/>
  <c r="E72" i="3"/>
  <c r="N72" i="3"/>
  <c r="D72" i="3"/>
  <c r="I66" i="3"/>
  <c r="V72" i="3"/>
  <c r="H66" i="3"/>
  <c r="K72" i="3"/>
  <c r="AA72" i="3"/>
  <c r="R72" i="3"/>
  <c r="N96" i="3"/>
  <c r="AR96" i="3"/>
  <c r="AB96" i="3"/>
  <c r="P96" i="3"/>
  <c r="G96" i="3"/>
  <c r="AV96" i="3"/>
  <c r="C94" i="9" s="1"/>
  <c r="F96" i="3"/>
  <c r="A102" i="9"/>
  <c r="AV104" i="3"/>
  <c r="C102" i="9" s="1"/>
  <c r="AE104" i="3"/>
  <c r="W104" i="3"/>
  <c r="F104" i="3"/>
  <c r="AC104" i="3"/>
  <c r="U104" i="3"/>
  <c r="M104" i="3"/>
  <c r="D104" i="3"/>
  <c r="I98" i="3"/>
  <c r="AA104" i="3"/>
  <c r="S104" i="3"/>
  <c r="K104" i="3"/>
  <c r="AG104" i="3"/>
  <c r="Y104" i="3"/>
  <c r="Q104" i="3"/>
  <c r="X104" i="3"/>
  <c r="G104" i="3"/>
  <c r="V104" i="3"/>
  <c r="E104" i="3"/>
  <c r="T104" i="3"/>
  <c r="AN104" i="3" s="1"/>
  <c r="B104" i="3"/>
  <c r="B102" i="9" s="1"/>
  <c r="R104" i="3"/>
  <c r="P104" i="3"/>
  <c r="AD104" i="3"/>
  <c r="AP104" i="3" s="1"/>
  <c r="N104" i="3"/>
  <c r="AR104" i="3"/>
  <c r="AB104" i="3"/>
  <c r="H98" i="3"/>
  <c r="Z104" i="3"/>
  <c r="F112" i="3"/>
  <c r="AC112" i="3"/>
  <c r="U112" i="3"/>
  <c r="H106" i="3"/>
  <c r="Z112" i="3"/>
  <c r="R112" i="3"/>
  <c r="AR112" i="3"/>
  <c r="V112" i="3"/>
  <c r="T112" i="3"/>
  <c r="AB112" i="3"/>
  <c r="E112" i="3"/>
  <c r="A113" i="9"/>
  <c r="N115" i="3"/>
  <c r="E115" i="3"/>
  <c r="AB115" i="3"/>
  <c r="K115" i="3"/>
  <c r="H109" i="3"/>
  <c r="Z115" i="3"/>
  <c r="AC115" i="3"/>
  <c r="F115" i="3"/>
  <c r="AV115" i="3"/>
  <c r="C113" i="9" s="1"/>
  <c r="A117" i="9"/>
  <c r="AB119" i="3"/>
  <c r="T119" i="3"/>
  <c r="B119" i="3"/>
  <c r="B117" i="9" s="1"/>
  <c r="I113" i="3"/>
  <c r="Z119" i="3"/>
  <c r="R119" i="3"/>
  <c r="X119" i="3"/>
  <c r="P119" i="3"/>
  <c r="G119" i="3"/>
  <c r="AV119" i="3"/>
  <c r="C117" i="9" s="1"/>
  <c r="AE119" i="3"/>
  <c r="W119" i="3"/>
  <c r="F119" i="3"/>
  <c r="AD119" i="3"/>
  <c r="V119" i="3"/>
  <c r="N119" i="3"/>
  <c r="E119" i="3"/>
  <c r="AC119" i="3"/>
  <c r="AA119" i="3"/>
  <c r="D119" i="3"/>
  <c r="Y119" i="3"/>
  <c r="H113" i="3"/>
  <c r="AG119" i="3"/>
  <c r="K119" i="3"/>
  <c r="AR122" i="3"/>
  <c r="AB122" i="3"/>
  <c r="T122" i="3"/>
  <c r="AG122" i="3"/>
  <c r="Y122" i="3"/>
  <c r="Q122" i="3"/>
  <c r="W122" i="3"/>
  <c r="F122" i="3"/>
  <c r="V122" i="3"/>
  <c r="Z122" i="3"/>
  <c r="A123" i="9"/>
  <c r="AD125" i="3"/>
  <c r="V125" i="3"/>
  <c r="N125" i="3"/>
  <c r="E125" i="3"/>
  <c r="U125" i="3"/>
  <c r="M125" i="3"/>
  <c r="D125" i="3"/>
  <c r="AB125" i="3"/>
  <c r="T125" i="3"/>
  <c r="B125" i="3"/>
  <c r="B123" i="9" s="1"/>
  <c r="I119" i="3"/>
  <c r="Z125" i="3"/>
  <c r="R125" i="3"/>
  <c r="AG125" i="3"/>
  <c r="X125" i="3"/>
  <c r="P125" i="3"/>
  <c r="G125" i="3"/>
  <c r="AV125" i="3"/>
  <c r="C123" i="9" s="1"/>
  <c r="H119" i="3"/>
  <c r="K125" i="3"/>
  <c r="F125" i="3"/>
  <c r="A131" i="9"/>
  <c r="AD133" i="3"/>
  <c r="AP133" i="3" s="1"/>
  <c r="V133" i="3"/>
  <c r="N133" i="3"/>
  <c r="E133" i="3"/>
  <c r="AC133" i="3"/>
  <c r="U133" i="3"/>
  <c r="M133" i="3"/>
  <c r="D133" i="3"/>
  <c r="AR133" i="3"/>
  <c r="AB133" i="3"/>
  <c r="T133" i="3"/>
  <c r="L133" i="3"/>
  <c r="B133" i="3"/>
  <c r="B131" i="9" s="1"/>
  <c r="I127" i="3"/>
  <c r="Z133" i="3"/>
  <c r="R133" i="3"/>
  <c r="AG133" i="3"/>
  <c r="Y133" i="3"/>
  <c r="Q133" i="3"/>
  <c r="X133" i="3"/>
  <c r="P133" i="3"/>
  <c r="G133" i="3"/>
  <c r="F133" i="3"/>
  <c r="AE133" i="3"/>
  <c r="AA133" i="3"/>
  <c r="H127" i="3"/>
  <c r="W133" i="3"/>
  <c r="S133" i="3"/>
  <c r="AV133" i="3"/>
  <c r="C131" i="9" s="1"/>
  <c r="K133" i="3"/>
  <c r="A139" i="9"/>
  <c r="AD141" i="3"/>
  <c r="AP141" i="3" s="1"/>
  <c r="V141" i="3"/>
  <c r="N141" i="3"/>
  <c r="E141" i="3"/>
  <c r="AC141" i="3"/>
  <c r="U141" i="3"/>
  <c r="M141" i="3"/>
  <c r="D141" i="3"/>
  <c r="AR141" i="3"/>
  <c r="AB141" i="3"/>
  <c r="T141" i="3"/>
  <c r="L141" i="3"/>
  <c r="B141" i="3"/>
  <c r="B139" i="9" s="1"/>
  <c r="I135" i="3"/>
  <c r="Z141" i="3"/>
  <c r="R141" i="3"/>
  <c r="AG141" i="3"/>
  <c r="Y141" i="3"/>
  <c r="Q141" i="3"/>
  <c r="X141" i="3"/>
  <c r="P141" i="3"/>
  <c r="G141" i="3"/>
  <c r="AE141" i="3"/>
  <c r="AA141" i="3"/>
  <c r="H135" i="3"/>
  <c r="W141" i="3"/>
  <c r="S141" i="3"/>
  <c r="AV141" i="3"/>
  <c r="C139" i="9" s="1"/>
  <c r="K141" i="3"/>
  <c r="F141" i="3"/>
  <c r="A147" i="9"/>
  <c r="AD149" i="3"/>
  <c r="AP149" i="3" s="1"/>
  <c r="V149" i="3"/>
  <c r="N149" i="3"/>
  <c r="E149" i="3"/>
  <c r="AC149" i="3"/>
  <c r="U149" i="3"/>
  <c r="M149" i="3"/>
  <c r="D149" i="3"/>
  <c r="AR149" i="3"/>
  <c r="AB149" i="3"/>
  <c r="T149" i="3"/>
  <c r="L149" i="3"/>
  <c r="B149" i="3"/>
  <c r="B147" i="9" s="1"/>
  <c r="I143" i="3"/>
  <c r="Z149" i="3"/>
  <c r="R149" i="3"/>
  <c r="AG149" i="3"/>
  <c r="Y149" i="3"/>
  <c r="Q149" i="3"/>
  <c r="X149" i="3"/>
  <c r="P149" i="3"/>
  <c r="G149" i="3"/>
  <c r="W149" i="3"/>
  <c r="S149" i="3"/>
  <c r="AV149" i="3"/>
  <c r="C147" i="9" s="1"/>
  <c r="K149" i="3"/>
  <c r="F149" i="3"/>
  <c r="AE149" i="3"/>
  <c r="AA149" i="3"/>
  <c r="H143" i="3"/>
  <c r="A155" i="9"/>
  <c r="AA157" i="3"/>
  <c r="S157" i="3"/>
  <c r="K157" i="3"/>
  <c r="AV157" i="3"/>
  <c r="C155" i="9" s="1"/>
  <c r="AC157" i="3"/>
  <c r="T157" i="3"/>
  <c r="AB157" i="3"/>
  <c r="R157" i="3"/>
  <c r="Z157" i="3"/>
  <c r="Q157" i="3"/>
  <c r="G157" i="3"/>
  <c r="I151" i="3"/>
  <c r="AR157" i="3"/>
  <c r="Y157" i="3"/>
  <c r="P157" i="3"/>
  <c r="F157" i="3"/>
  <c r="AG157" i="3"/>
  <c r="X157" i="3"/>
  <c r="E157" i="3"/>
  <c r="W157" i="3"/>
  <c r="N157" i="3"/>
  <c r="D157" i="3"/>
  <c r="AE157" i="3"/>
  <c r="V157" i="3"/>
  <c r="M157" i="3"/>
  <c r="B157" i="3"/>
  <c r="B155" i="9" s="1"/>
  <c r="AD157" i="3"/>
  <c r="AP157" i="3" s="1"/>
  <c r="H151" i="3"/>
  <c r="U157" i="3"/>
  <c r="L157" i="3"/>
  <c r="A9" i="1"/>
  <c r="A13" i="1"/>
  <c r="A17" i="1"/>
  <c r="A21" i="1"/>
  <c r="A25" i="1"/>
  <c r="A29" i="1"/>
  <c r="A33" i="1"/>
  <c r="A37" i="1"/>
  <c r="A41" i="1"/>
  <c r="A45" i="1"/>
  <c r="A49" i="1"/>
  <c r="A53" i="1"/>
  <c r="A57" i="1"/>
  <c r="A61" i="1"/>
  <c r="A65" i="1"/>
  <c r="A69" i="1"/>
  <c r="A73" i="1"/>
  <c r="A77" i="1"/>
  <c r="A81" i="1"/>
  <c r="A85" i="1"/>
  <c r="A89" i="1"/>
  <c r="A93" i="1"/>
  <c r="A97" i="1"/>
  <c r="A101" i="1"/>
  <c r="A105" i="1"/>
  <c r="A109" i="1"/>
  <c r="A113" i="1"/>
  <c r="A117" i="1"/>
  <c r="E127" i="1"/>
  <c r="A129" i="1"/>
  <c r="I129" i="1" s="1"/>
  <c r="E131" i="1"/>
  <c r="E135" i="1"/>
  <c r="V135" i="1"/>
  <c r="A137" i="1"/>
  <c r="R137" i="1" s="1"/>
  <c r="E139" i="1"/>
  <c r="V139" i="1"/>
  <c r="E143" i="1"/>
  <c r="V143" i="1"/>
  <c r="A145" i="1"/>
  <c r="J145" i="1" s="1"/>
  <c r="E151" i="1"/>
  <c r="V151" i="1"/>
  <c r="A153" i="1"/>
  <c r="J153" i="1" s="1"/>
  <c r="E155" i="1"/>
  <c r="V155" i="1"/>
  <c r="E159" i="1"/>
  <c r="V159" i="1"/>
  <c r="C160" i="1"/>
  <c r="X160" i="1" s="1"/>
  <c r="Y160" i="1" s="1"/>
  <c r="Z160" i="1" s="1"/>
  <c r="D160" i="1" s="1"/>
  <c r="E163" i="1"/>
  <c r="V163" i="1"/>
  <c r="C164" i="1"/>
  <c r="X164" i="1" s="1"/>
  <c r="Y164" i="1" s="1"/>
  <c r="Z164" i="1" s="1"/>
  <c r="D164" i="1" s="1"/>
  <c r="E167" i="1"/>
  <c r="V167" i="1"/>
  <c r="C168" i="1"/>
  <c r="X168" i="1" s="1"/>
  <c r="Y168" i="1" s="1"/>
  <c r="Z168" i="1" s="1"/>
  <c r="D168" i="1" s="1"/>
  <c r="E171" i="1"/>
  <c r="V171" i="1"/>
  <c r="C172" i="1"/>
  <c r="X172" i="1" s="1"/>
  <c r="Y172" i="1" s="1"/>
  <c r="Z172" i="1" s="1"/>
  <c r="D172" i="1" s="1"/>
  <c r="B173" i="2"/>
  <c r="E175" i="1"/>
  <c r="V175" i="1"/>
  <c r="C176" i="1"/>
  <c r="X176" i="1" s="1"/>
  <c r="Y176" i="1" s="1"/>
  <c r="Z176" i="1" s="1"/>
  <c r="D176" i="1" s="1"/>
  <c r="E179" i="1"/>
  <c r="V179" i="1"/>
  <c r="C180" i="1"/>
  <c r="X180" i="1" s="1"/>
  <c r="Y180" i="1" s="1"/>
  <c r="Z180" i="1" s="1"/>
  <c r="D180" i="1" s="1"/>
  <c r="E183" i="1"/>
  <c r="V183" i="1"/>
  <c r="C184" i="1"/>
  <c r="X184" i="1" s="1"/>
  <c r="Y184" i="1" s="1"/>
  <c r="Z184" i="1" s="1"/>
  <c r="D184" i="1" s="1"/>
  <c r="E187" i="1"/>
  <c r="V187" i="1"/>
  <c r="C188" i="1"/>
  <c r="X188" i="1" s="1"/>
  <c r="Y188" i="1" s="1"/>
  <c r="Z188" i="1" s="1"/>
  <c r="D188" i="1" s="1"/>
  <c r="E191" i="1"/>
  <c r="V191" i="1"/>
  <c r="C192" i="1"/>
  <c r="X192" i="1" s="1"/>
  <c r="Y192" i="1" s="1"/>
  <c r="Z192" i="1" s="1"/>
  <c r="D192" i="1" s="1"/>
  <c r="V193" i="1"/>
  <c r="A193" i="2"/>
  <c r="C232" i="1"/>
  <c r="X232" i="1" s="1"/>
  <c r="Y232" i="1" s="1"/>
  <c r="Z232" i="1" s="1"/>
  <c r="D232" i="1" s="1"/>
  <c r="C236" i="1"/>
  <c r="X236" i="1" s="1"/>
  <c r="Y236" i="1" s="1"/>
  <c r="Z236" i="1" s="1"/>
  <c r="D236" i="1" s="1"/>
  <c r="C240" i="1"/>
  <c r="X240" i="1" s="1"/>
  <c r="Y240" i="1" s="1"/>
  <c r="Z240" i="1" s="1"/>
  <c r="D240" i="1" s="1"/>
  <c r="C244" i="1"/>
  <c r="X244" i="1" s="1"/>
  <c r="Y244" i="1" s="1"/>
  <c r="Z244" i="1" s="1"/>
  <c r="D244" i="1" s="1"/>
  <c r="C248" i="1"/>
  <c r="X248" i="1" s="1"/>
  <c r="Y248" i="1" s="1"/>
  <c r="Z248" i="1" s="1"/>
  <c r="D248" i="1" s="1"/>
  <c r="C252" i="1"/>
  <c r="X252" i="1" s="1"/>
  <c r="Y252" i="1" s="1"/>
  <c r="Z252" i="1" s="1"/>
  <c r="D252" i="1" s="1"/>
  <c r="C256" i="1"/>
  <c r="X256" i="1" s="1"/>
  <c r="Y256" i="1" s="1"/>
  <c r="Z256" i="1" s="1"/>
  <c r="D256" i="1" s="1"/>
  <c r="C260" i="1"/>
  <c r="X260" i="1" s="1"/>
  <c r="Y260" i="1" s="1"/>
  <c r="Z260" i="1" s="1"/>
  <c r="D260" i="1" s="1"/>
  <c r="E271" i="1"/>
  <c r="W278" i="1"/>
  <c r="A281" i="2"/>
  <c r="W281" i="1"/>
  <c r="V281" i="1"/>
  <c r="E281" i="1"/>
  <c r="U281" i="1"/>
  <c r="S281" i="1"/>
  <c r="B281" i="1"/>
  <c r="E288" i="1"/>
  <c r="A293" i="2"/>
  <c r="W293" i="1"/>
  <c r="V293" i="1"/>
  <c r="E293" i="1"/>
  <c r="U293" i="1"/>
  <c r="T293" i="1"/>
  <c r="C293" i="1"/>
  <c r="X293" i="1" s="1"/>
  <c r="Y293" i="1" s="1"/>
  <c r="Z293" i="1" s="1"/>
  <c r="D293" i="1" s="1"/>
  <c r="S293" i="1"/>
  <c r="B293" i="1"/>
  <c r="A301" i="2"/>
  <c r="W301" i="1"/>
  <c r="V301" i="1"/>
  <c r="E301" i="1"/>
  <c r="U301" i="1"/>
  <c r="T301" i="1"/>
  <c r="C301" i="1"/>
  <c r="X301" i="1" s="1"/>
  <c r="Y301" i="1" s="1"/>
  <c r="Z301" i="1" s="1"/>
  <c r="D301" i="1" s="1"/>
  <c r="S301" i="1"/>
  <c r="B301" i="1"/>
  <c r="A309" i="2"/>
  <c r="W309" i="1"/>
  <c r="V309" i="1"/>
  <c r="E309" i="1"/>
  <c r="U309" i="1"/>
  <c r="T309" i="1"/>
  <c r="C309" i="1"/>
  <c r="X309" i="1" s="1"/>
  <c r="Y309" i="1" s="1"/>
  <c r="Z309" i="1" s="1"/>
  <c r="D309" i="1" s="1"/>
  <c r="S309" i="1"/>
  <c r="B309" i="1"/>
  <c r="E319" i="1"/>
  <c r="C324" i="1"/>
  <c r="X324" i="1" s="1"/>
  <c r="Y324" i="1" s="1"/>
  <c r="Z324" i="1" s="1"/>
  <c r="D324" i="1" s="1"/>
  <c r="A333" i="2"/>
  <c r="W333" i="1"/>
  <c r="V333" i="1"/>
  <c r="E333" i="1"/>
  <c r="U333" i="1"/>
  <c r="T333" i="1"/>
  <c r="C333" i="1"/>
  <c r="X333" i="1" s="1"/>
  <c r="Y333" i="1" s="1"/>
  <c r="Z333" i="1" s="1"/>
  <c r="D333" i="1" s="1"/>
  <c r="S333" i="1"/>
  <c r="B333" i="1"/>
  <c r="E339" i="1"/>
  <c r="E343" i="1"/>
  <c r="E347" i="1"/>
  <c r="E351" i="1"/>
  <c r="A195" i="2"/>
  <c r="A199" i="2"/>
  <c r="A203" i="2"/>
  <c r="A207" i="2"/>
  <c r="A211" i="2"/>
  <c r="A215" i="2"/>
  <c r="A219" i="2"/>
  <c r="A223" i="2"/>
  <c r="A227" i="2"/>
  <c r="A231" i="2"/>
  <c r="A235" i="2"/>
  <c r="A239" i="2"/>
  <c r="A243" i="2"/>
  <c r="A247" i="2"/>
  <c r="A251" i="2"/>
  <c r="A255" i="2"/>
  <c r="A259" i="2"/>
  <c r="A263" i="2"/>
  <c r="A264" i="2"/>
  <c r="A267" i="2"/>
  <c r="A268" i="2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C354" i="1"/>
  <c r="X354" i="1" s="1"/>
  <c r="Y354" i="1" s="1"/>
  <c r="Z354" i="1" s="1"/>
  <c r="D354" i="1" s="1"/>
  <c r="T354" i="1"/>
  <c r="B356" i="2"/>
  <c r="A275" i="2"/>
  <c r="A178" i="9"/>
  <c r="AR180" i="3"/>
  <c r="AB180" i="3"/>
  <c r="T180" i="3"/>
  <c r="L180" i="3"/>
  <c r="B180" i="3"/>
  <c r="B178" i="9" s="1"/>
  <c r="I174" i="3"/>
  <c r="X180" i="3"/>
  <c r="P180" i="3"/>
  <c r="G180" i="3"/>
  <c r="W180" i="3"/>
  <c r="M180" i="3"/>
  <c r="AG180" i="3"/>
  <c r="V180" i="3"/>
  <c r="K180" i="3"/>
  <c r="AE180" i="3"/>
  <c r="U180" i="3"/>
  <c r="AD180" i="3"/>
  <c r="AP180" i="3" s="1"/>
  <c r="S180" i="3"/>
  <c r="AC180" i="3"/>
  <c r="R180" i="3"/>
  <c r="F180" i="3"/>
  <c r="AA180" i="3"/>
  <c r="Q180" i="3"/>
  <c r="E180" i="3"/>
  <c r="AV180" i="3"/>
  <c r="C178" i="9" s="1"/>
  <c r="Z180" i="3"/>
  <c r="D180" i="3"/>
  <c r="H174" i="3"/>
  <c r="Y180" i="3"/>
  <c r="N180" i="3"/>
  <c r="P186" i="3"/>
  <c r="U354" i="1"/>
  <c r="V361" i="1"/>
  <c r="A272" i="2"/>
  <c r="A280" i="2"/>
  <c r="I177" i="3"/>
  <c r="W264" i="1"/>
  <c r="W268" i="1"/>
  <c r="W272" i="1"/>
  <c r="W276" i="1"/>
  <c r="W280" i="1"/>
  <c r="W284" i="1"/>
  <c r="W288" i="1"/>
  <c r="W292" i="1"/>
  <c r="B294" i="1"/>
  <c r="S294" i="1"/>
  <c r="W296" i="1"/>
  <c r="B298" i="1"/>
  <c r="S298" i="1"/>
  <c r="W300" i="1"/>
  <c r="B302" i="1"/>
  <c r="S302" i="1"/>
  <c r="W304" i="1"/>
  <c r="B306" i="1"/>
  <c r="S306" i="1"/>
  <c r="W308" i="1"/>
  <c r="B310" i="1"/>
  <c r="S310" i="1"/>
  <c r="W312" i="1"/>
  <c r="B314" i="1"/>
  <c r="S314" i="1"/>
  <c r="W316" i="1"/>
  <c r="B318" i="1"/>
  <c r="S318" i="1"/>
  <c r="W320" i="1"/>
  <c r="B322" i="1"/>
  <c r="S322" i="1"/>
  <c r="W324" i="1"/>
  <c r="B326" i="1"/>
  <c r="S326" i="1"/>
  <c r="W328" i="1"/>
  <c r="B330" i="1"/>
  <c r="S330" i="1"/>
  <c r="W332" i="1"/>
  <c r="B334" i="1"/>
  <c r="S334" i="1"/>
  <c r="B338" i="1"/>
  <c r="S338" i="1"/>
  <c r="B342" i="1"/>
  <c r="S342" i="1"/>
  <c r="B346" i="1"/>
  <c r="S346" i="1"/>
  <c r="B350" i="1"/>
  <c r="S350" i="1"/>
  <c r="E354" i="1"/>
  <c r="V354" i="1"/>
  <c r="C294" i="1"/>
  <c r="X294" i="1" s="1"/>
  <c r="Y294" i="1" s="1"/>
  <c r="Z294" i="1" s="1"/>
  <c r="D294" i="1" s="1"/>
  <c r="T294" i="1"/>
  <c r="C298" i="1"/>
  <c r="X298" i="1" s="1"/>
  <c r="Y298" i="1" s="1"/>
  <c r="Z298" i="1" s="1"/>
  <c r="D298" i="1" s="1"/>
  <c r="T298" i="1"/>
  <c r="C302" i="1"/>
  <c r="X302" i="1" s="1"/>
  <c r="Y302" i="1" s="1"/>
  <c r="Z302" i="1" s="1"/>
  <c r="D302" i="1" s="1"/>
  <c r="T302" i="1"/>
  <c r="C306" i="1"/>
  <c r="X306" i="1" s="1"/>
  <c r="Y306" i="1" s="1"/>
  <c r="Z306" i="1" s="1"/>
  <c r="D306" i="1" s="1"/>
  <c r="T306" i="1"/>
  <c r="C310" i="1"/>
  <c r="X310" i="1" s="1"/>
  <c r="Y310" i="1" s="1"/>
  <c r="Z310" i="1" s="1"/>
  <c r="D310" i="1" s="1"/>
  <c r="T310" i="1"/>
  <c r="C314" i="1"/>
  <c r="X314" i="1" s="1"/>
  <c r="Y314" i="1" s="1"/>
  <c r="Z314" i="1" s="1"/>
  <c r="D314" i="1" s="1"/>
  <c r="T314" i="1"/>
  <c r="C318" i="1"/>
  <c r="X318" i="1" s="1"/>
  <c r="Y318" i="1" s="1"/>
  <c r="Z318" i="1" s="1"/>
  <c r="D318" i="1" s="1"/>
  <c r="T318" i="1"/>
  <c r="C322" i="1"/>
  <c r="X322" i="1" s="1"/>
  <c r="Y322" i="1" s="1"/>
  <c r="Z322" i="1" s="1"/>
  <c r="D322" i="1" s="1"/>
  <c r="T322" i="1"/>
  <c r="C326" i="1"/>
  <c r="X326" i="1" s="1"/>
  <c r="Y326" i="1" s="1"/>
  <c r="Z326" i="1" s="1"/>
  <c r="D326" i="1" s="1"/>
  <c r="T326" i="1"/>
  <c r="C330" i="1"/>
  <c r="X330" i="1" s="1"/>
  <c r="Y330" i="1" s="1"/>
  <c r="Z330" i="1" s="1"/>
  <c r="D330" i="1" s="1"/>
  <c r="T330" i="1"/>
  <c r="C334" i="1"/>
  <c r="X334" i="1" s="1"/>
  <c r="Y334" i="1" s="1"/>
  <c r="Z334" i="1" s="1"/>
  <c r="D334" i="1" s="1"/>
  <c r="T334" i="1"/>
  <c r="C338" i="1"/>
  <c r="X338" i="1" s="1"/>
  <c r="Y338" i="1" s="1"/>
  <c r="Z338" i="1" s="1"/>
  <c r="D338" i="1" s="1"/>
  <c r="T338" i="1"/>
  <c r="C342" i="1"/>
  <c r="X342" i="1" s="1"/>
  <c r="Y342" i="1" s="1"/>
  <c r="Z342" i="1" s="1"/>
  <c r="D342" i="1" s="1"/>
  <c r="T342" i="1"/>
  <c r="C346" i="1"/>
  <c r="X346" i="1" s="1"/>
  <c r="Y346" i="1" s="1"/>
  <c r="Z346" i="1" s="1"/>
  <c r="D346" i="1" s="1"/>
  <c r="T346" i="1"/>
  <c r="C350" i="1"/>
  <c r="X350" i="1" s="1"/>
  <c r="Y350" i="1" s="1"/>
  <c r="Z350" i="1" s="1"/>
  <c r="D350" i="1" s="1"/>
  <c r="T350" i="1"/>
  <c r="W354" i="1"/>
  <c r="U356" i="1"/>
  <c r="C357" i="1"/>
  <c r="X357" i="1" s="1"/>
  <c r="Y357" i="1" s="1"/>
  <c r="Z357" i="1" s="1"/>
  <c r="D357" i="1" s="1"/>
  <c r="T357" i="1"/>
  <c r="B358" i="1"/>
  <c r="S358" i="1"/>
  <c r="P202" i="3"/>
  <c r="U294" i="1"/>
  <c r="U298" i="1"/>
  <c r="U302" i="1"/>
  <c r="U306" i="1"/>
  <c r="U310" i="1"/>
  <c r="U314" i="1"/>
  <c r="U318" i="1"/>
  <c r="U322" i="1"/>
  <c r="U326" i="1"/>
  <c r="U330" i="1"/>
  <c r="U334" i="1"/>
  <c r="U338" i="1"/>
  <c r="U342" i="1"/>
  <c r="U346" i="1"/>
  <c r="U350" i="1"/>
  <c r="E356" i="1"/>
  <c r="V356" i="1"/>
  <c r="U357" i="1"/>
  <c r="C358" i="1"/>
  <c r="X358" i="1" s="1"/>
  <c r="Y358" i="1" s="1"/>
  <c r="Z358" i="1" s="1"/>
  <c r="D358" i="1" s="1"/>
  <c r="T358" i="1"/>
  <c r="E294" i="1"/>
  <c r="V294" i="1"/>
  <c r="E298" i="1"/>
  <c r="V298" i="1"/>
  <c r="E302" i="1"/>
  <c r="V302" i="1"/>
  <c r="E306" i="1"/>
  <c r="V306" i="1"/>
  <c r="E310" i="1"/>
  <c r="V310" i="1"/>
  <c r="E314" i="1"/>
  <c r="V314" i="1"/>
  <c r="E318" i="1"/>
  <c r="V318" i="1"/>
  <c r="E322" i="1"/>
  <c r="V322" i="1"/>
  <c r="E326" i="1"/>
  <c r="V326" i="1"/>
  <c r="E330" i="1"/>
  <c r="V330" i="1"/>
  <c r="E334" i="1"/>
  <c r="V334" i="1"/>
  <c r="E338" i="1"/>
  <c r="V338" i="1"/>
  <c r="E342" i="1"/>
  <c r="V342" i="1"/>
  <c r="E346" i="1"/>
  <c r="V346" i="1"/>
  <c r="E350" i="1"/>
  <c r="V350" i="1"/>
  <c r="W356" i="1"/>
  <c r="E357" i="1"/>
  <c r="V357" i="1"/>
  <c r="U358" i="1"/>
  <c r="S360" i="1"/>
  <c r="AV160" i="3"/>
  <c r="C158" i="9" s="1"/>
  <c r="AV168" i="3"/>
  <c r="C166" i="9" s="1"/>
  <c r="A174" i="9"/>
  <c r="X176" i="3"/>
  <c r="P176" i="3"/>
  <c r="G176" i="3"/>
  <c r="AR176" i="3"/>
  <c r="AB176" i="3"/>
  <c r="T176" i="3"/>
  <c r="L176" i="3"/>
  <c r="B176" i="3"/>
  <c r="B174" i="9" s="1"/>
  <c r="I170" i="3"/>
  <c r="W176" i="3"/>
  <c r="M176" i="3"/>
  <c r="AG176" i="3"/>
  <c r="V176" i="3"/>
  <c r="K176" i="3"/>
  <c r="AE176" i="3"/>
  <c r="U176" i="3"/>
  <c r="AD176" i="3"/>
  <c r="AP176" i="3" s="1"/>
  <c r="S176" i="3"/>
  <c r="AC176" i="3"/>
  <c r="R176" i="3"/>
  <c r="F176" i="3"/>
  <c r="AA176" i="3"/>
  <c r="Q176" i="3"/>
  <c r="E176" i="3"/>
  <c r="AV176" i="3"/>
  <c r="C174" i="9" s="1"/>
  <c r="Z176" i="3"/>
  <c r="D176" i="3"/>
  <c r="H170" i="3"/>
  <c r="P190" i="3"/>
  <c r="AA199" i="3"/>
  <c r="A170" i="9"/>
  <c r="AR172" i="3"/>
  <c r="AB172" i="3"/>
  <c r="T172" i="3"/>
  <c r="L172" i="3"/>
  <c r="B172" i="3"/>
  <c r="B170" i="9" s="1"/>
  <c r="X172" i="3"/>
  <c r="P172" i="3"/>
  <c r="G172" i="3"/>
  <c r="W172" i="3"/>
  <c r="M172" i="3"/>
  <c r="AG172" i="3"/>
  <c r="V172" i="3"/>
  <c r="K172" i="3"/>
  <c r="AE172" i="3"/>
  <c r="U172" i="3"/>
  <c r="AD172" i="3"/>
  <c r="AP172" i="3" s="1"/>
  <c r="S172" i="3"/>
  <c r="AC172" i="3"/>
  <c r="R172" i="3"/>
  <c r="F172" i="3"/>
  <c r="AA172" i="3"/>
  <c r="Q172" i="3"/>
  <c r="E172" i="3"/>
  <c r="I166" i="3"/>
  <c r="AV172" i="3"/>
  <c r="C170" i="9" s="1"/>
  <c r="Z172" i="3"/>
  <c r="D172" i="3"/>
  <c r="H166" i="3"/>
  <c r="A181" i="9"/>
  <c r="AC183" i="3"/>
  <c r="U183" i="3"/>
  <c r="M183" i="3"/>
  <c r="D183" i="3"/>
  <c r="AR183" i="3"/>
  <c r="AB183" i="3"/>
  <c r="T183" i="3"/>
  <c r="L183" i="3"/>
  <c r="B183" i="3"/>
  <c r="B181" i="9" s="1"/>
  <c r="AG183" i="3"/>
  <c r="Y183" i="3"/>
  <c r="Q183" i="3"/>
  <c r="AA183" i="3"/>
  <c r="H177" i="3"/>
  <c r="Z183" i="3"/>
  <c r="N183" i="3"/>
  <c r="X183" i="3"/>
  <c r="K183" i="3"/>
  <c r="W183" i="3"/>
  <c r="AV183" i="3"/>
  <c r="C181" i="9" s="1"/>
  <c r="V183" i="3"/>
  <c r="G183" i="3"/>
  <c r="S183" i="3"/>
  <c r="F183" i="3"/>
  <c r="AE183" i="3"/>
  <c r="R183" i="3"/>
  <c r="E183" i="3"/>
  <c r="N172" i="3"/>
  <c r="P183" i="3"/>
  <c r="T210" i="3"/>
  <c r="A156" i="9"/>
  <c r="AD158" i="3"/>
  <c r="AP158" i="3" s="1"/>
  <c r="V158" i="3"/>
  <c r="N158" i="3"/>
  <c r="E158" i="3"/>
  <c r="AC158" i="3"/>
  <c r="T158" i="3"/>
  <c r="K158" i="3"/>
  <c r="AV158" i="3"/>
  <c r="C156" i="9" s="1"/>
  <c r="AB158" i="3"/>
  <c r="S158" i="3"/>
  <c r="AA158" i="3"/>
  <c r="R158" i="3"/>
  <c r="AR158" i="3"/>
  <c r="Z158" i="3"/>
  <c r="Q158" i="3"/>
  <c r="G158" i="3"/>
  <c r="Y158" i="3"/>
  <c r="P158" i="3"/>
  <c r="F158" i="3"/>
  <c r="AG158" i="3"/>
  <c r="X158" i="3"/>
  <c r="D158" i="3"/>
  <c r="I152" i="3"/>
  <c r="W158" i="3"/>
  <c r="M158" i="3"/>
  <c r="B158" i="3"/>
  <c r="B156" i="9" s="1"/>
  <c r="H152" i="3"/>
  <c r="AC166" i="3"/>
  <c r="P194" i="3"/>
  <c r="L158" i="3"/>
  <c r="X182" i="3"/>
  <c r="AA191" i="3"/>
  <c r="P198" i="3"/>
  <c r="U158" i="3"/>
  <c r="AV164" i="3"/>
  <c r="C162" i="9" s="1"/>
  <c r="AA184" i="3"/>
  <c r="A205" i="9"/>
  <c r="X207" i="3"/>
  <c r="P207" i="3"/>
  <c r="G207" i="3"/>
  <c r="AD207" i="3"/>
  <c r="AP207" i="3" s="1"/>
  <c r="V207" i="3"/>
  <c r="N207" i="3"/>
  <c r="E207" i="3"/>
  <c r="AC207" i="3"/>
  <c r="U207" i="3"/>
  <c r="M207" i="3"/>
  <c r="D207" i="3"/>
  <c r="AR207" i="3"/>
  <c r="AB207" i="3"/>
  <c r="T207" i="3"/>
  <c r="L207" i="3"/>
  <c r="B207" i="3"/>
  <c r="B205" i="9" s="1"/>
  <c r="I201" i="3"/>
  <c r="AG207" i="3"/>
  <c r="Y207" i="3"/>
  <c r="Q207" i="3"/>
  <c r="W207" i="3"/>
  <c r="H201" i="3"/>
  <c r="S207" i="3"/>
  <c r="R207" i="3"/>
  <c r="K207" i="3"/>
  <c r="AE207" i="3"/>
  <c r="AA207" i="3"/>
  <c r="F207" i="3"/>
  <c r="S211" i="3"/>
  <c r="AE158" i="3"/>
  <c r="AC161" i="3"/>
  <c r="Z207" i="3"/>
  <c r="AE241" i="3"/>
  <c r="E161" i="3"/>
  <c r="P161" i="3"/>
  <c r="Y161" i="3"/>
  <c r="H164" i="3"/>
  <c r="R164" i="3"/>
  <c r="AA164" i="3"/>
  <c r="R166" i="3"/>
  <c r="AA166" i="3"/>
  <c r="S167" i="3"/>
  <c r="AB167" i="3"/>
  <c r="I168" i="3"/>
  <c r="S168" i="3"/>
  <c r="AC168" i="3"/>
  <c r="T170" i="3"/>
  <c r="AE170" i="3"/>
  <c r="F171" i="3"/>
  <c r="R171" i="3"/>
  <c r="AB171" i="3"/>
  <c r="T174" i="3"/>
  <c r="AE174" i="3"/>
  <c r="F175" i="3"/>
  <c r="R175" i="3"/>
  <c r="AB175" i="3"/>
  <c r="H178" i="3"/>
  <c r="T178" i="3"/>
  <c r="AE178" i="3"/>
  <c r="F179" i="3"/>
  <c r="R179" i="3"/>
  <c r="AB179" i="3"/>
  <c r="L182" i="3"/>
  <c r="K184" i="3"/>
  <c r="Y184" i="3"/>
  <c r="A185" i="9"/>
  <c r="AR187" i="3"/>
  <c r="AB187" i="3"/>
  <c r="T187" i="3"/>
  <c r="L187" i="3"/>
  <c r="B187" i="3"/>
  <c r="B185" i="9" s="1"/>
  <c r="AG187" i="3"/>
  <c r="Y187" i="3"/>
  <c r="Q187" i="3"/>
  <c r="X187" i="3"/>
  <c r="P187" i="3"/>
  <c r="G187" i="3"/>
  <c r="AC187" i="3"/>
  <c r="U187" i="3"/>
  <c r="M187" i="3"/>
  <c r="D187" i="3"/>
  <c r="S187" i="3"/>
  <c r="G190" i="3"/>
  <c r="X190" i="3"/>
  <c r="K191" i="3"/>
  <c r="A193" i="9"/>
  <c r="AR195" i="3"/>
  <c r="AB195" i="3"/>
  <c r="T195" i="3"/>
  <c r="L195" i="3"/>
  <c r="B195" i="3"/>
  <c r="B193" i="9" s="1"/>
  <c r="I189" i="3"/>
  <c r="AG195" i="3"/>
  <c r="Y195" i="3"/>
  <c r="Q195" i="3"/>
  <c r="X195" i="3"/>
  <c r="P195" i="3"/>
  <c r="G195" i="3"/>
  <c r="AC195" i="3"/>
  <c r="U195" i="3"/>
  <c r="M195" i="3"/>
  <c r="D195" i="3"/>
  <c r="S195" i="3"/>
  <c r="G198" i="3"/>
  <c r="X198" i="3"/>
  <c r="K199" i="3"/>
  <c r="A201" i="9"/>
  <c r="AR203" i="3"/>
  <c r="AB203" i="3"/>
  <c r="T203" i="3"/>
  <c r="L203" i="3"/>
  <c r="B203" i="3"/>
  <c r="B201" i="9" s="1"/>
  <c r="I197" i="3"/>
  <c r="AG203" i="3"/>
  <c r="Y203" i="3"/>
  <c r="Q203" i="3"/>
  <c r="X203" i="3"/>
  <c r="P203" i="3"/>
  <c r="G203" i="3"/>
  <c r="AC203" i="3"/>
  <c r="U203" i="3"/>
  <c r="M203" i="3"/>
  <c r="D203" i="3"/>
  <c r="S203" i="3"/>
  <c r="K210" i="3"/>
  <c r="F211" i="3"/>
  <c r="AD211" i="3"/>
  <c r="AP211" i="3" s="1"/>
  <c r="A217" i="9"/>
  <c r="AR219" i="3"/>
  <c r="AB219" i="3"/>
  <c r="T219" i="3"/>
  <c r="L219" i="3"/>
  <c r="B219" i="3"/>
  <c r="B217" i="9" s="1"/>
  <c r="I213" i="3"/>
  <c r="Z219" i="3"/>
  <c r="R219" i="3"/>
  <c r="AG219" i="3"/>
  <c r="Y219" i="3"/>
  <c r="Q219" i="3"/>
  <c r="X219" i="3"/>
  <c r="P219" i="3"/>
  <c r="G219" i="3"/>
  <c r="AV219" i="3"/>
  <c r="C217" i="9" s="1"/>
  <c r="AE219" i="3"/>
  <c r="W219" i="3"/>
  <c r="F219" i="3"/>
  <c r="AD219" i="3"/>
  <c r="AP219" i="3" s="1"/>
  <c r="V219" i="3"/>
  <c r="N219" i="3"/>
  <c r="E219" i="3"/>
  <c r="AC219" i="3"/>
  <c r="U219" i="3"/>
  <c r="M219" i="3"/>
  <c r="D219" i="3"/>
  <c r="AE235" i="3"/>
  <c r="AV251" i="3"/>
  <c r="C249" i="9" s="1"/>
  <c r="G161" i="3"/>
  <c r="Q161" i="3"/>
  <c r="Z161" i="3"/>
  <c r="AR161" i="3"/>
  <c r="I164" i="3"/>
  <c r="S164" i="3"/>
  <c r="AB164" i="3"/>
  <c r="S166" i="3"/>
  <c r="AB166" i="3"/>
  <c r="AV166" i="3"/>
  <c r="C164" i="9" s="1"/>
  <c r="K170" i="3"/>
  <c r="U170" i="3"/>
  <c r="G171" i="3"/>
  <c r="S171" i="3"/>
  <c r="AD171" i="3"/>
  <c r="AP171" i="3" s="1"/>
  <c r="K174" i="3"/>
  <c r="U174" i="3"/>
  <c r="G175" i="3"/>
  <c r="S175" i="3"/>
  <c r="AD175" i="3"/>
  <c r="AP175" i="3" s="1"/>
  <c r="K178" i="3"/>
  <c r="U178" i="3"/>
  <c r="G179" i="3"/>
  <c r="S179" i="3"/>
  <c r="AD179" i="3"/>
  <c r="AP179" i="3" s="1"/>
  <c r="M184" i="3"/>
  <c r="Z184" i="3"/>
  <c r="A184" i="9"/>
  <c r="AG186" i="3"/>
  <c r="Y186" i="3"/>
  <c r="Q186" i="3"/>
  <c r="AD186" i="3"/>
  <c r="AP186" i="3" s="1"/>
  <c r="V186" i="3"/>
  <c r="N186" i="3"/>
  <c r="E186" i="3"/>
  <c r="AC186" i="3"/>
  <c r="U186" i="3"/>
  <c r="M186" i="3"/>
  <c r="D186" i="3"/>
  <c r="Z186" i="3"/>
  <c r="R186" i="3"/>
  <c r="S186" i="3"/>
  <c r="K190" i="3"/>
  <c r="AA190" i="3"/>
  <c r="A192" i="9"/>
  <c r="AG194" i="3"/>
  <c r="Y194" i="3"/>
  <c r="Q194" i="3"/>
  <c r="AD194" i="3"/>
  <c r="AP194" i="3" s="1"/>
  <c r="V194" i="3"/>
  <c r="N194" i="3"/>
  <c r="E194" i="3"/>
  <c r="AC194" i="3"/>
  <c r="U194" i="3"/>
  <c r="M194" i="3"/>
  <c r="D194" i="3"/>
  <c r="Z194" i="3"/>
  <c r="R194" i="3"/>
  <c r="S194" i="3"/>
  <c r="K198" i="3"/>
  <c r="AA198" i="3"/>
  <c r="A200" i="9"/>
  <c r="AG202" i="3"/>
  <c r="Y202" i="3"/>
  <c r="Q202" i="3"/>
  <c r="AD202" i="3"/>
  <c r="AP202" i="3" s="1"/>
  <c r="V202" i="3"/>
  <c r="N202" i="3"/>
  <c r="E202" i="3"/>
  <c r="AC202" i="3"/>
  <c r="U202" i="3"/>
  <c r="M202" i="3"/>
  <c r="D202" i="3"/>
  <c r="Z202" i="3"/>
  <c r="R202" i="3"/>
  <c r="S202" i="3"/>
  <c r="L210" i="3"/>
  <c r="AV230" i="3"/>
  <c r="C228" i="9" s="1"/>
  <c r="AE245" i="3"/>
  <c r="R161" i="3"/>
  <c r="AA161" i="3"/>
  <c r="K164" i="3"/>
  <c r="T164" i="3"/>
  <c r="AC164" i="3"/>
  <c r="I165" i="3"/>
  <c r="K166" i="3"/>
  <c r="T166" i="3"/>
  <c r="A165" i="9"/>
  <c r="AG167" i="3"/>
  <c r="Y167" i="3"/>
  <c r="Q167" i="3"/>
  <c r="L167" i="3"/>
  <c r="U167" i="3"/>
  <c r="AD167" i="3"/>
  <c r="AP167" i="3" s="1"/>
  <c r="A166" i="9"/>
  <c r="AR168" i="3"/>
  <c r="AB168" i="3"/>
  <c r="T168" i="3"/>
  <c r="L168" i="3"/>
  <c r="B168" i="3"/>
  <c r="B166" i="9" s="1"/>
  <c r="I162" i="3"/>
  <c r="M168" i="3"/>
  <c r="V168" i="3"/>
  <c r="AE168" i="3"/>
  <c r="L170" i="3"/>
  <c r="W170" i="3"/>
  <c r="AG170" i="3"/>
  <c r="T171" i="3"/>
  <c r="AE171" i="3"/>
  <c r="L174" i="3"/>
  <c r="W174" i="3"/>
  <c r="AG174" i="3"/>
  <c r="T175" i="3"/>
  <c r="AE175" i="3"/>
  <c r="L178" i="3"/>
  <c r="W178" i="3"/>
  <c r="AG178" i="3"/>
  <c r="T179" i="3"/>
  <c r="AE179" i="3"/>
  <c r="A180" i="9"/>
  <c r="Z182" i="3"/>
  <c r="R182" i="3"/>
  <c r="AG182" i="3"/>
  <c r="Y182" i="3"/>
  <c r="Q182" i="3"/>
  <c r="AD182" i="3"/>
  <c r="AP182" i="3" s="1"/>
  <c r="V182" i="3"/>
  <c r="N182" i="3"/>
  <c r="E182" i="3"/>
  <c r="AB182" i="3"/>
  <c r="N184" i="3"/>
  <c r="B186" i="3"/>
  <c r="B184" i="9" s="1"/>
  <c r="T186" i="3"/>
  <c r="H188" i="3"/>
  <c r="L190" i="3"/>
  <c r="AB190" i="3"/>
  <c r="AR190" i="3"/>
  <c r="B194" i="3"/>
  <c r="B192" i="9" s="1"/>
  <c r="T194" i="3"/>
  <c r="H196" i="3"/>
  <c r="L198" i="3"/>
  <c r="AB198" i="3"/>
  <c r="AR198" i="3"/>
  <c r="B202" i="3"/>
  <c r="B200" i="9" s="1"/>
  <c r="T202" i="3"/>
  <c r="H204" i="3"/>
  <c r="P210" i="3"/>
  <c r="AE239" i="3"/>
  <c r="A162" i="9"/>
  <c r="X164" i="3"/>
  <c r="P164" i="3"/>
  <c r="G164" i="3"/>
  <c r="L164" i="3"/>
  <c r="U164" i="3"/>
  <c r="AD164" i="3"/>
  <c r="AP164" i="3" s="1"/>
  <c r="A164" i="9"/>
  <c r="AD166" i="3"/>
  <c r="AP166" i="3" s="1"/>
  <c r="V166" i="3"/>
  <c r="N166" i="3"/>
  <c r="E166" i="3"/>
  <c r="L166" i="3"/>
  <c r="U166" i="3"/>
  <c r="AE166" i="3"/>
  <c r="A168" i="9"/>
  <c r="AD170" i="3"/>
  <c r="AP170" i="3" s="1"/>
  <c r="V170" i="3"/>
  <c r="N170" i="3"/>
  <c r="E170" i="3"/>
  <c r="Z170" i="3"/>
  <c r="R170" i="3"/>
  <c r="M170" i="3"/>
  <c r="X170" i="3"/>
  <c r="A172" i="9"/>
  <c r="Z174" i="3"/>
  <c r="R174" i="3"/>
  <c r="AD174" i="3"/>
  <c r="AP174" i="3" s="1"/>
  <c r="V174" i="3"/>
  <c r="N174" i="3"/>
  <c r="E174" i="3"/>
  <c r="M174" i="3"/>
  <c r="X174" i="3"/>
  <c r="A176" i="9"/>
  <c r="AD178" i="3"/>
  <c r="AP178" i="3" s="1"/>
  <c r="V178" i="3"/>
  <c r="N178" i="3"/>
  <c r="E178" i="3"/>
  <c r="Z178" i="3"/>
  <c r="R178" i="3"/>
  <c r="M178" i="3"/>
  <c r="X178" i="3"/>
  <c r="A182" i="9"/>
  <c r="X184" i="3"/>
  <c r="P184" i="3"/>
  <c r="G184" i="3"/>
  <c r="AV184" i="3"/>
  <c r="C182" i="9" s="1"/>
  <c r="AE184" i="3"/>
  <c r="W184" i="3"/>
  <c r="F184" i="3"/>
  <c r="AR184" i="3"/>
  <c r="AB184" i="3"/>
  <c r="T184" i="3"/>
  <c r="L184" i="3"/>
  <c r="B184" i="3"/>
  <c r="B182" i="9" s="1"/>
  <c r="I178" i="3"/>
  <c r="Q184" i="3"/>
  <c r="AC184" i="3"/>
  <c r="AE198" i="3"/>
  <c r="AV198" i="3"/>
  <c r="C196" i="9" s="1"/>
  <c r="S210" i="3"/>
  <c r="AE233" i="3"/>
  <c r="H158" i="3"/>
  <c r="S159" i="3"/>
  <c r="AB159" i="3"/>
  <c r="I160" i="3"/>
  <c r="S160" i="3"/>
  <c r="AC160" i="3"/>
  <c r="K161" i="3"/>
  <c r="T161" i="3"/>
  <c r="A160" i="9"/>
  <c r="Z162" i="3"/>
  <c r="R162" i="3"/>
  <c r="L162" i="3"/>
  <c r="U162" i="3"/>
  <c r="AD162" i="3"/>
  <c r="AP162" i="3" s="1"/>
  <c r="A161" i="9"/>
  <c r="AC163" i="3"/>
  <c r="U163" i="3"/>
  <c r="M163" i="3"/>
  <c r="D163" i="3"/>
  <c r="L163" i="3"/>
  <c r="V163" i="3"/>
  <c r="AE163" i="3"/>
  <c r="B164" i="3"/>
  <c r="B162" i="9" s="1"/>
  <c r="M164" i="3"/>
  <c r="V164" i="3"/>
  <c r="AE164" i="3"/>
  <c r="B166" i="3"/>
  <c r="B164" i="9" s="1"/>
  <c r="M166" i="3"/>
  <c r="W166" i="3"/>
  <c r="D167" i="3"/>
  <c r="N167" i="3"/>
  <c r="W167" i="3"/>
  <c r="E168" i="3"/>
  <c r="X168" i="3"/>
  <c r="AG168" i="3"/>
  <c r="B170" i="3"/>
  <c r="B168" i="9" s="1"/>
  <c r="Y170" i="3"/>
  <c r="AV170" i="3"/>
  <c r="C168" i="9" s="1"/>
  <c r="L171" i="3"/>
  <c r="W171" i="3"/>
  <c r="I172" i="3"/>
  <c r="B174" i="3"/>
  <c r="B172" i="9" s="1"/>
  <c r="Y174" i="3"/>
  <c r="AV174" i="3"/>
  <c r="C172" i="9" s="1"/>
  <c r="L175" i="3"/>
  <c r="W175" i="3"/>
  <c r="I176" i="3"/>
  <c r="B178" i="3"/>
  <c r="B176" i="9" s="1"/>
  <c r="Y178" i="3"/>
  <c r="AV178" i="3"/>
  <c r="C176" i="9" s="1"/>
  <c r="L179" i="3"/>
  <c r="W179" i="3"/>
  <c r="I180" i="3"/>
  <c r="D182" i="3"/>
  <c r="S182" i="3"/>
  <c r="AE182" i="3"/>
  <c r="AR182" i="3"/>
  <c r="D184" i="3"/>
  <c r="R184" i="3"/>
  <c r="AD184" i="3"/>
  <c r="AP184" i="3" s="1"/>
  <c r="G186" i="3"/>
  <c r="X186" i="3"/>
  <c r="K187" i="3"/>
  <c r="AA187" i="3"/>
  <c r="A189" i="9"/>
  <c r="X191" i="3"/>
  <c r="P191" i="3"/>
  <c r="G191" i="3"/>
  <c r="AC191" i="3"/>
  <c r="U191" i="3"/>
  <c r="M191" i="3"/>
  <c r="D191" i="3"/>
  <c r="AR191" i="3"/>
  <c r="AB191" i="3"/>
  <c r="T191" i="3"/>
  <c r="L191" i="3"/>
  <c r="B191" i="3"/>
  <c r="B189" i="9" s="1"/>
  <c r="I185" i="3"/>
  <c r="AG191" i="3"/>
  <c r="Y191" i="3"/>
  <c r="Q191" i="3"/>
  <c r="S191" i="3"/>
  <c r="G194" i="3"/>
  <c r="X194" i="3"/>
  <c r="K195" i="3"/>
  <c r="AA195" i="3"/>
  <c r="A197" i="9"/>
  <c r="X199" i="3"/>
  <c r="P199" i="3"/>
  <c r="G199" i="3"/>
  <c r="AC199" i="3"/>
  <c r="U199" i="3"/>
  <c r="M199" i="3"/>
  <c r="D199" i="3"/>
  <c r="AR199" i="3"/>
  <c r="AB199" i="3"/>
  <c r="T199" i="3"/>
  <c r="L199" i="3"/>
  <c r="B199" i="3"/>
  <c r="B197" i="9" s="1"/>
  <c r="I193" i="3"/>
  <c r="AG199" i="3"/>
  <c r="Y199" i="3"/>
  <c r="Q199" i="3"/>
  <c r="S199" i="3"/>
  <c r="G202" i="3"/>
  <c r="X202" i="3"/>
  <c r="K203" i="3"/>
  <c r="AA203" i="3"/>
  <c r="A213" i="9"/>
  <c r="X215" i="3"/>
  <c r="P215" i="3"/>
  <c r="G215" i="3"/>
  <c r="AD215" i="3"/>
  <c r="AP215" i="3" s="1"/>
  <c r="V215" i="3"/>
  <c r="N215" i="3"/>
  <c r="E215" i="3"/>
  <c r="AC215" i="3"/>
  <c r="U215" i="3"/>
  <c r="M215" i="3"/>
  <c r="D215" i="3"/>
  <c r="AR215" i="3"/>
  <c r="AB215" i="3"/>
  <c r="T215" i="3"/>
  <c r="L215" i="3"/>
  <c r="B215" i="3"/>
  <c r="B213" i="9" s="1"/>
  <c r="I209" i="3"/>
  <c r="Z215" i="3"/>
  <c r="R215" i="3"/>
  <c r="AG215" i="3"/>
  <c r="Y215" i="3"/>
  <c r="Q215" i="3"/>
  <c r="AV231" i="3"/>
  <c r="C229" i="9" s="1"/>
  <c r="AE243" i="3"/>
  <c r="AA249" i="3"/>
  <c r="I158" i="3"/>
  <c r="A159" i="9"/>
  <c r="AV161" i="3"/>
  <c r="C159" i="9" s="1"/>
  <c r="AE161" i="3"/>
  <c r="W161" i="3"/>
  <c r="F161" i="3"/>
  <c r="L161" i="3"/>
  <c r="U161" i="3"/>
  <c r="AD161" i="3"/>
  <c r="AP161" i="3" s="1"/>
  <c r="D164" i="3"/>
  <c r="N164" i="3"/>
  <c r="W164" i="3"/>
  <c r="AG164" i="3"/>
  <c r="D166" i="3"/>
  <c r="X166" i="3"/>
  <c r="AG166" i="3"/>
  <c r="D170" i="3"/>
  <c r="P170" i="3"/>
  <c r="AA170" i="3"/>
  <c r="A169" i="9"/>
  <c r="AG171" i="3"/>
  <c r="Y171" i="3"/>
  <c r="Q171" i="3"/>
  <c r="AC171" i="3"/>
  <c r="U171" i="3"/>
  <c r="M171" i="3"/>
  <c r="D171" i="3"/>
  <c r="N171" i="3"/>
  <c r="X171" i="3"/>
  <c r="D174" i="3"/>
  <c r="P174" i="3"/>
  <c r="AA174" i="3"/>
  <c r="A173" i="9"/>
  <c r="AC175" i="3"/>
  <c r="U175" i="3"/>
  <c r="M175" i="3"/>
  <c r="D175" i="3"/>
  <c r="AG175" i="3"/>
  <c r="Y175" i="3"/>
  <c r="Q175" i="3"/>
  <c r="N175" i="3"/>
  <c r="X175" i="3"/>
  <c r="D178" i="3"/>
  <c r="P178" i="3"/>
  <c r="AA178" i="3"/>
  <c r="A177" i="9"/>
  <c r="AG179" i="3"/>
  <c r="Y179" i="3"/>
  <c r="Q179" i="3"/>
  <c r="AC179" i="3"/>
  <c r="U179" i="3"/>
  <c r="M179" i="3"/>
  <c r="D179" i="3"/>
  <c r="N179" i="3"/>
  <c r="X179" i="3"/>
  <c r="E184" i="3"/>
  <c r="S184" i="3"/>
  <c r="AG184" i="3"/>
  <c r="A188" i="9"/>
  <c r="AC190" i="3"/>
  <c r="U190" i="3"/>
  <c r="M190" i="3"/>
  <c r="D190" i="3"/>
  <c r="Z190" i="3"/>
  <c r="R190" i="3"/>
  <c r="AG190" i="3"/>
  <c r="Y190" i="3"/>
  <c r="Q190" i="3"/>
  <c r="AD190" i="3"/>
  <c r="AP190" i="3" s="1"/>
  <c r="V190" i="3"/>
  <c r="N190" i="3"/>
  <c r="E190" i="3"/>
  <c r="S190" i="3"/>
  <c r="A196" i="9"/>
  <c r="AC198" i="3"/>
  <c r="U198" i="3"/>
  <c r="M198" i="3"/>
  <c r="D198" i="3"/>
  <c r="Z198" i="3"/>
  <c r="R198" i="3"/>
  <c r="AG198" i="3"/>
  <c r="Y198" i="3"/>
  <c r="Q198" i="3"/>
  <c r="AD198" i="3"/>
  <c r="AP198" i="3" s="1"/>
  <c r="V198" i="3"/>
  <c r="N198" i="3"/>
  <c r="E198" i="3"/>
  <c r="S198" i="3"/>
  <c r="A208" i="9"/>
  <c r="AG210" i="3"/>
  <c r="Y210" i="3"/>
  <c r="Q210" i="3"/>
  <c r="AV210" i="3"/>
  <c r="C208" i="9" s="1"/>
  <c r="AE210" i="3"/>
  <c r="W210" i="3"/>
  <c r="F210" i="3"/>
  <c r="AD210" i="3"/>
  <c r="AP210" i="3" s="1"/>
  <c r="V210" i="3"/>
  <c r="N210" i="3"/>
  <c r="E210" i="3"/>
  <c r="AC210" i="3"/>
  <c r="U210" i="3"/>
  <c r="M210" i="3"/>
  <c r="D210" i="3"/>
  <c r="Z210" i="3"/>
  <c r="R210" i="3"/>
  <c r="X210" i="3"/>
  <c r="AR210" i="3"/>
  <c r="AE237" i="3"/>
  <c r="AG253" i="3"/>
  <c r="H155" i="3"/>
  <c r="A157" i="9"/>
  <c r="AG159" i="3"/>
  <c r="Y159" i="3"/>
  <c r="Q159" i="3"/>
  <c r="L159" i="3"/>
  <c r="U159" i="3"/>
  <c r="AD159" i="3"/>
  <c r="AP159" i="3" s="1"/>
  <c r="A158" i="9"/>
  <c r="AR160" i="3"/>
  <c r="AB160" i="3"/>
  <c r="T160" i="3"/>
  <c r="L160" i="3"/>
  <c r="B160" i="3"/>
  <c r="B158" i="9" s="1"/>
  <c r="I154" i="3"/>
  <c r="M160" i="3"/>
  <c r="V160" i="3"/>
  <c r="AE160" i="3"/>
  <c r="B161" i="3"/>
  <c r="B159" i="9" s="1"/>
  <c r="M161" i="3"/>
  <c r="V161" i="3"/>
  <c r="E164" i="3"/>
  <c r="Y164" i="3"/>
  <c r="F166" i="3"/>
  <c r="P166" i="3"/>
  <c r="Y166" i="3"/>
  <c r="F167" i="3"/>
  <c r="P167" i="3"/>
  <c r="Z167" i="3"/>
  <c r="AR167" i="3"/>
  <c r="G168" i="3"/>
  <c r="Q168" i="3"/>
  <c r="Z168" i="3"/>
  <c r="H169" i="3"/>
  <c r="F170" i="3"/>
  <c r="Q170" i="3"/>
  <c r="AB170" i="3"/>
  <c r="B171" i="3"/>
  <c r="B169" i="9" s="1"/>
  <c r="Z171" i="3"/>
  <c r="AV171" i="3"/>
  <c r="C169" i="9" s="1"/>
  <c r="H173" i="3"/>
  <c r="F174" i="3"/>
  <c r="Q174" i="3"/>
  <c r="AB174" i="3"/>
  <c r="B175" i="3"/>
  <c r="B173" i="9" s="1"/>
  <c r="Z175" i="3"/>
  <c r="AV175" i="3"/>
  <c r="C173" i="9" s="1"/>
  <c r="F178" i="3"/>
  <c r="Q178" i="3"/>
  <c r="AB178" i="3"/>
  <c r="B179" i="3"/>
  <c r="B177" i="9" s="1"/>
  <c r="Z179" i="3"/>
  <c r="AV179" i="3"/>
  <c r="C177" i="9" s="1"/>
  <c r="G182" i="3"/>
  <c r="U182" i="3"/>
  <c r="AV182" i="3"/>
  <c r="C180" i="9" s="1"/>
  <c r="H184" i="3"/>
  <c r="U184" i="3"/>
  <c r="L186" i="3"/>
  <c r="AB186" i="3"/>
  <c r="AR186" i="3"/>
  <c r="B190" i="3"/>
  <c r="B188" i="9" s="1"/>
  <c r="T190" i="3"/>
  <c r="H192" i="3"/>
  <c r="L194" i="3"/>
  <c r="AB194" i="3"/>
  <c r="AR194" i="3"/>
  <c r="B198" i="3"/>
  <c r="B196" i="9" s="1"/>
  <c r="T198" i="3"/>
  <c r="L202" i="3"/>
  <c r="AB202" i="3"/>
  <c r="AR202" i="3"/>
  <c r="B210" i="3"/>
  <c r="B208" i="9" s="1"/>
  <c r="AA210" i="3"/>
  <c r="A209" i="9"/>
  <c r="AR211" i="3"/>
  <c r="AB211" i="3"/>
  <c r="T211" i="3"/>
  <c r="L211" i="3"/>
  <c r="B211" i="3"/>
  <c r="B209" i="9" s="1"/>
  <c r="I205" i="3"/>
  <c r="Z211" i="3"/>
  <c r="R211" i="3"/>
  <c r="AG211" i="3"/>
  <c r="Y211" i="3"/>
  <c r="Q211" i="3"/>
  <c r="X211" i="3"/>
  <c r="P211" i="3"/>
  <c r="G211" i="3"/>
  <c r="AC211" i="3"/>
  <c r="U211" i="3"/>
  <c r="M211" i="3"/>
  <c r="D211" i="3"/>
  <c r="W211" i="3"/>
  <c r="AV247" i="3"/>
  <c r="C245" i="9" s="1"/>
  <c r="K165" i="3"/>
  <c r="S165" i="3"/>
  <c r="AA165" i="3"/>
  <c r="F169" i="3"/>
  <c r="W169" i="3"/>
  <c r="AE169" i="3"/>
  <c r="AV169" i="3"/>
  <c r="C167" i="9" s="1"/>
  <c r="K173" i="3"/>
  <c r="S173" i="3"/>
  <c r="AA173" i="3"/>
  <c r="F177" i="3"/>
  <c r="W177" i="3"/>
  <c r="AE177" i="3"/>
  <c r="AV177" i="3"/>
  <c r="C175" i="9" s="1"/>
  <c r="K181" i="3"/>
  <c r="S181" i="3"/>
  <c r="AA181" i="3"/>
  <c r="F185" i="3"/>
  <c r="W185" i="3"/>
  <c r="AE185" i="3"/>
  <c r="AV185" i="3"/>
  <c r="C183" i="9" s="1"/>
  <c r="I186" i="3"/>
  <c r="G188" i="3"/>
  <c r="P188" i="3"/>
  <c r="X188" i="3"/>
  <c r="K189" i="3"/>
  <c r="S189" i="3"/>
  <c r="AA189" i="3"/>
  <c r="B192" i="3"/>
  <c r="B190" i="9" s="1"/>
  <c r="L192" i="3"/>
  <c r="T192" i="3"/>
  <c r="AB192" i="3"/>
  <c r="AR192" i="3"/>
  <c r="F193" i="3"/>
  <c r="W193" i="3"/>
  <c r="AE193" i="3"/>
  <c r="AV193" i="3"/>
  <c r="C191" i="9" s="1"/>
  <c r="I194" i="3"/>
  <c r="G196" i="3"/>
  <c r="P196" i="3"/>
  <c r="X196" i="3"/>
  <c r="K197" i="3"/>
  <c r="S197" i="3"/>
  <c r="AA197" i="3"/>
  <c r="B200" i="3"/>
  <c r="B198" i="9" s="1"/>
  <c r="L200" i="3"/>
  <c r="T200" i="3"/>
  <c r="AB200" i="3"/>
  <c r="AR200" i="3"/>
  <c r="F201" i="3"/>
  <c r="W201" i="3"/>
  <c r="AE201" i="3"/>
  <c r="AV201" i="3"/>
  <c r="C199" i="9" s="1"/>
  <c r="I202" i="3"/>
  <c r="G204" i="3"/>
  <c r="P204" i="3"/>
  <c r="X204" i="3"/>
  <c r="K205" i="3"/>
  <c r="S205" i="3"/>
  <c r="AA205" i="3"/>
  <c r="E206" i="3"/>
  <c r="N206" i="3"/>
  <c r="V206" i="3"/>
  <c r="AD206" i="3"/>
  <c r="AP206" i="3" s="1"/>
  <c r="B208" i="3"/>
  <c r="B206" i="9" s="1"/>
  <c r="L208" i="3"/>
  <c r="T208" i="3"/>
  <c r="AB208" i="3"/>
  <c r="AR208" i="3"/>
  <c r="F209" i="3"/>
  <c r="W209" i="3"/>
  <c r="AE209" i="3"/>
  <c r="AV209" i="3"/>
  <c r="C207" i="9" s="1"/>
  <c r="I210" i="3"/>
  <c r="G212" i="3"/>
  <c r="P212" i="3"/>
  <c r="X212" i="3"/>
  <c r="K213" i="3"/>
  <c r="S213" i="3"/>
  <c r="AA213" i="3"/>
  <c r="E214" i="3"/>
  <c r="N214" i="3"/>
  <c r="V214" i="3"/>
  <c r="AD214" i="3"/>
  <c r="AP214" i="3" s="1"/>
  <c r="B216" i="3"/>
  <c r="B214" i="9" s="1"/>
  <c r="L216" i="3"/>
  <c r="T216" i="3"/>
  <c r="AB216" i="3"/>
  <c r="AR216" i="3"/>
  <c r="F217" i="3"/>
  <c r="W217" i="3"/>
  <c r="AE217" i="3"/>
  <c r="AV217" i="3"/>
  <c r="C215" i="9" s="1"/>
  <c r="I218" i="3"/>
  <c r="R218" i="3"/>
  <c r="Z218" i="3"/>
  <c r="G220" i="3"/>
  <c r="P220" i="3"/>
  <c r="X220" i="3"/>
  <c r="K221" i="3"/>
  <c r="S221" i="3"/>
  <c r="AA221" i="3"/>
  <c r="E222" i="3"/>
  <c r="N222" i="3"/>
  <c r="V222" i="3"/>
  <c r="AD222" i="3"/>
  <c r="AP222" i="3" s="1"/>
  <c r="Q223" i="3"/>
  <c r="Y223" i="3"/>
  <c r="AG223" i="3"/>
  <c r="B224" i="3"/>
  <c r="B222" i="9" s="1"/>
  <c r="L224" i="3"/>
  <c r="T224" i="3"/>
  <c r="AB224" i="3"/>
  <c r="AR224" i="3"/>
  <c r="F225" i="3"/>
  <c r="W225" i="3"/>
  <c r="AE225" i="3"/>
  <c r="AV225" i="3"/>
  <c r="C223" i="9" s="1"/>
  <c r="R226" i="3"/>
  <c r="Z226" i="3"/>
  <c r="D227" i="3"/>
  <c r="M227" i="3"/>
  <c r="U227" i="3"/>
  <c r="AC227" i="3"/>
  <c r="G228" i="3"/>
  <c r="P228" i="3"/>
  <c r="X228" i="3"/>
  <c r="K229" i="3"/>
  <c r="S229" i="3"/>
  <c r="AA229" i="3"/>
  <c r="E230" i="3"/>
  <c r="X230" i="3"/>
  <c r="AG230" i="3"/>
  <c r="E231" i="3"/>
  <c r="Y231" i="3"/>
  <c r="F233" i="3"/>
  <c r="P233" i="3"/>
  <c r="Y233" i="3"/>
  <c r="AV233" i="3"/>
  <c r="C231" i="9" s="1"/>
  <c r="L234" i="3"/>
  <c r="W234" i="3"/>
  <c r="I235" i="3"/>
  <c r="U235" i="3"/>
  <c r="B237" i="3"/>
  <c r="B235" i="9" s="1"/>
  <c r="Y237" i="3"/>
  <c r="AV237" i="3"/>
  <c r="C235" i="9" s="1"/>
  <c r="L238" i="3"/>
  <c r="W238" i="3"/>
  <c r="I239" i="3"/>
  <c r="U239" i="3"/>
  <c r="B241" i="3"/>
  <c r="B239" i="9" s="1"/>
  <c r="Y241" i="3"/>
  <c r="AV241" i="3"/>
  <c r="C239" i="9" s="1"/>
  <c r="L242" i="3"/>
  <c r="W242" i="3"/>
  <c r="I243" i="3"/>
  <c r="U243" i="3"/>
  <c r="B245" i="3"/>
  <c r="B243" i="9" s="1"/>
  <c r="Y245" i="3"/>
  <c r="A244" i="9"/>
  <c r="AG246" i="3"/>
  <c r="Y246" i="3"/>
  <c r="Q246" i="3"/>
  <c r="AV246" i="3"/>
  <c r="C244" i="9" s="1"/>
  <c r="AE246" i="3"/>
  <c r="W246" i="3"/>
  <c r="F246" i="3"/>
  <c r="AC246" i="3"/>
  <c r="U246" i="3"/>
  <c r="M246" i="3"/>
  <c r="D246" i="3"/>
  <c r="P246" i="3"/>
  <c r="AB246" i="3"/>
  <c r="H247" i="3"/>
  <c r="V247" i="3"/>
  <c r="D249" i="3"/>
  <c r="S249" i="3"/>
  <c r="AG249" i="3"/>
  <c r="D251" i="3"/>
  <c r="U251" i="3"/>
  <c r="F253" i="3"/>
  <c r="W253" i="3"/>
  <c r="K218" i="3"/>
  <c r="S218" i="3"/>
  <c r="AA218" i="3"/>
  <c r="R223" i="3"/>
  <c r="Z223" i="3"/>
  <c r="K226" i="3"/>
  <c r="S226" i="3"/>
  <c r="AA226" i="3"/>
  <c r="E227" i="3"/>
  <c r="N227" i="3"/>
  <c r="V227" i="3"/>
  <c r="AD227" i="3"/>
  <c r="AP227" i="3" s="1"/>
  <c r="A232" i="9"/>
  <c r="AC234" i="3"/>
  <c r="U234" i="3"/>
  <c r="M234" i="3"/>
  <c r="D234" i="3"/>
  <c r="AG234" i="3"/>
  <c r="Y234" i="3"/>
  <c r="Q234" i="3"/>
  <c r="N234" i="3"/>
  <c r="X234" i="3"/>
  <c r="A236" i="9"/>
  <c r="AG238" i="3"/>
  <c r="Y238" i="3"/>
  <c r="Q238" i="3"/>
  <c r="AC238" i="3"/>
  <c r="U238" i="3"/>
  <c r="M238" i="3"/>
  <c r="D238" i="3"/>
  <c r="N238" i="3"/>
  <c r="X238" i="3"/>
  <c r="A240" i="9"/>
  <c r="AC242" i="3"/>
  <c r="U242" i="3"/>
  <c r="M242" i="3"/>
  <c r="D242" i="3"/>
  <c r="AG242" i="3"/>
  <c r="Y242" i="3"/>
  <c r="Q242" i="3"/>
  <c r="N242" i="3"/>
  <c r="X242" i="3"/>
  <c r="F249" i="3"/>
  <c r="T249" i="3"/>
  <c r="F251" i="3"/>
  <c r="W251" i="3"/>
  <c r="Y253" i="3"/>
  <c r="K223" i="3"/>
  <c r="S223" i="3"/>
  <c r="AA223" i="3"/>
  <c r="F227" i="3"/>
  <c r="W227" i="3"/>
  <c r="AE227" i="3"/>
  <c r="AV227" i="3"/>
  <c r="C225" i="9" s="1"/>
  <c r="U249" i="3"/>
  <c r="K253" i="3"/>
  <c r="AA253" i="3"/>
  <c r="K188" i="3"/>
  <c r="S188" i="3"/>
  <c r="AA188" i="3"/>
  <c r="F192" i="3"/>
  <c r="W192" i="3"/>
  <c r="AE192" i="3"/>
  <c r="AV192" i="3"/>
  <c r="C190" i="9" s="1"/>
  <c r="K196" i="3"/>
  <c r="S196" i="3"/>
  <c r="AA196" i="3"/>
  <c r="F200" i="3"/>
  <c r="W200" i="3"/>
  <c r="AE200" i="3"/>
  <c r="AV200" i="3"/>
  <c r="C198" i="9" s="1"/>
  <c r="K204" i="3"/>
  <c r="S204" i="3"/>
  <c r="AA204" i="3"/>
  <c r="Q206" i="3"/>
  <c r="Y206" i="3"/>
  <c r="AG206" i="3"/>
  <c r="F208" i="3"/>
  <c r="W208" i="3"/>
  <c r="AE208" i="3"/>
  <c r="AV208" i="3"/>
  <c r="C206" i="9" s="1"/>
  <c r="K212" i="3"/>
  <c r="S212" i="3"/>
  <c r="AA212" i="3"/>
  <c r="Q214" i="3"/>
  <c r="Y214" i="3"/>
  <c r="AG214" i="3"/>
  <c r="F216" i="3"/>
  <c r="W216" i="3"/>
  <c r="AE216" i="3"/>
  <c r="AV216" i="3"/>
  <c r="C214" i="9" s="1"/>
  <c r="I217" i="3"/>
  <c r="D218" i="3"/>
  <c r="M218" i="3"/>
  <c r="U218" i="3"/>
  <c r="AC218" i="3"/>
  <c r="K220" i="3"/>
  <c r="S220" i="3"/>
  <c r="AA220" i="3"/>
  <c r="Q222" i="3"/>
  <c r="Y222" i="3"/>
  <c r="AG222" i="3"/>
  <c r="B223" i="3"/>
  <c r="B221" i="9" s="1"/>
  <c r="L223" i="3"/>
  <c r="T223" i="3"/>
  <c r="AB223" i="3"/>
  <c r="AR223" i="3"/>
  <c r="F224" i="3"/>
  <c r="W224" i="3"/>
  <c r="AE224" i="3"/>
  <c r="AV224" i="3"/>
  <c r="C222" i="9" s="1"/>
  <c r="I225" i="3"/>
  <c r="D226" i="3"/>
  <c r="M226" i="3"/>
  <c r="U226" i="3"/>
  <c r="AC226" i="3"/>
  <c r="G227" i="3"/>
  <c r="P227" i="3"/>
  <c r="X227" i="3"/>
  <c r="K228" i="3"/>
  <c r="S228" i="3"/>
  <c r="AA228" i="3"/>
  <c r="R230" i="3"/>
  <c r="AA230" i="3"/>
  <c r="S231" i="3"/>
  <c r="AB231" i="3"/>
  <c r="H232" i="3"/>
  <c r="S233" i="3"/>
  <c r="AC233" i="3"/>
  <c r="E234" i="3"/>
  <c r="P234" i="3"/>
  <c r="AA234" i="3"/>
  <c r="A233" i="9"/>
  <c r="X235" i="3"/>
  <c r="P235" i="3"/>
  <c r="G235" i="3"/>
  <c r="AR235" i="3"/>
  <c r="AB235" i="3"/>
  <c r="T235" i="3"/>
  <c r="L235" i="3"/>
  <c r="B235" i="3"/>
  <c r="B233" i="9" s="1"/>
  <c r="N235" i="3"/>
  <c r="Y235" i="3"/>
  <c r="I236" i="3"/>
  <c r="G237" i="3"/>
  <c r="S237" i="3"/>
  <c r="AC237" i="3"/>
  <c r="E238" i="3"/>
  <c r="P238" i="3"/>
  <c r="AA238" i="3"/>
  <c r="A237" i="9"/>
  <c r="AR239" i="3"/>
  <c r="AB239" i="3"/>
  <c r="T239" i="3"/>
  <c r="L239" i="3"/>
  <c r="B239" i="3"/>
  <c r="B237" i="9" s="1"/>
  <c r="X239" i="3"/>
  <c r="P239" i="3"/>
  <c r="G239" i="3"/>
  <c r="N239" i="3"/>
  <c r="Y239" i="3"/>
  <c r="G241" i="3"/>
  <c r="S241" i="3"/>
  <c r="AC241" i="3"/>
  <c r="E242" i="3"/>
  <c r="P242" i="3"/>
  <c r="AA242" i="3"/>
  <c r="A241" i="9"/>
  <c r="X243" i="3"/>
  <c r="P243" i="3"/>
  <c r="G243" i="3"/>
  <c r="AR243" i="3"/>
  <c r="AB243" i="3"/>
  <c r="T243" i="3"/>
  <c r="L243" i="3"/>
  <c r="B243" i="3"/>
  <c r="B241" i="9" s="1"/>
  <c r="I237" i="3"/>
  <c r="N243" i="3"/>
  <c r="Y243" i="3"/>
  <c r="G245" i="3"/>
  <c r="S245" i="3"/>
  <c r="AC245" i="3"/>
  <c r="K249" i="3"/>
  <c r="W249" i="3"/>
  <c r="K251" i="3"/>
  <c r="AA251" i="3"/>
  <c r="M253" i="3"/>
  <c r="AC253" i="3"/>
  <c r="K169" i="3"/>
  <c r="S169" i="3"/>
  <c r="AA169" i="3"/>
  <c r="K177" i="3"/>
  <c r="S177" i="3"/>
  <c r="AA177" i="3"/>
  <c r="I182" i="3"/>
  <c r="K185" i="3"/>
  <c r="S185" i="3"/>
  <c r="AA185" i="3"/>
  <c r="B188" i="3"/>
  <c r="B186" i="9" s="1"/>
  <c r="L188" i="3"/>
  <c r="T188" i="3"/>
  <c r="AB188" i="3"/>
  <c r="AR188" i="3"/>
  <c r="I190" i="3"/>
  <c r="G192" i="3"/>
  <c r="P192" i="3"/>
  <c r="X192" i="3"/>
  <c r="K193" i="3"/>
  <c r="S193" i="3"/>
  <c r="AA193" i="3"/>
  <c r="B196" i="3"/>
  <c r="B194" i="9" s="1"/>
  <c r="L196" i="3"/>
  <c r="T196" i="3"/>
  <c r="AB196" i="3"/>
  <c r="AR196" i="3"/>
  <c r="I198" i="3"/>
  <c r="G200" i="3"/>
  <c r="P200" i="3"/>
  <c r="X200" i="3"/>
  <c r="K201" i="3"/>
  <c r="S201" i="3"/>
  <c r="AA201" i="3"/>
  <c r="B204" i="3"/>
  <c r="B202" i="9" s="1"/>
  <c r="L204" i="3"/>
  <c r="T204" i="3"/>
  <c r="AB204" i="3"/>
  <c r="AR204" i="3"/>
  <c r="I206" i="3"/>
  <c r="R206" i="3"/>
  <c r="Z206" i="3"/>
  <c r="G208" i="3"/>
  <c r="P208" i="3"/>
  <c r="X208" i="3"/>
  <c r="K209" i="3"/>
  <c r="S209" i="3"/>
  <c r="AA209" i="3"/>
  <c r="B212" i="3"/>
  <c r="B210" i="9" s="1"/>
  <c r="L212" i="3"/>
  <c r="T212" i="3"/>
  <c r="AB212" i="3"/>
  <c r="AR212" i="3"/>
  <c r="R214" i="3"/>
  <c r="Z214" i="3"/>
  <c r="G216" i="3"/>
  <c r="P216" i="3"/>
  <c r="X216" i="3"/>
  <c r="K217" i="3"/>
  <c r="S217" i="3"/>
  <c r="AA217" i="3"/>
  <c r="E218" i="3"/>
  <c r="N218" i="3"/>
  <c r="V218" i="3"/>
  <c r="AD218" i="3"/>
  <c r="AP218" i="3" s="1"/>
  <c r="B220" i="3"/>
  <c r="B218" i="9" s="1"/>
  <c r="L220" i="3"/>
  <c r="T220" i="3"/>
  <c r="AB220" i="3"/>
  <c r="AR220" i="3"/>
  <c r="R222" i="3"/>
  <c r="Z222" i="3"/>
  <c r="D223" i="3"/>
  <c r="M223" i="3"/>
  <c r="U223" i="3"/>
  <c r="AC223" i="3"/>
  <c r="G224" i="3"/>
  <c r="P224" i="3"/>
  <c r="X224" i="3"/>
  <c r="K225" i="3"/>
  <c r="S225" i="3"/>
  <c r="AA225" i="3"/>
  <c r="E226" i="3"/>
  <c r="N226" i="3"/>
  <c r="V226" i="3"/>
  <c r="AD226" i="3"/>
  <c r="AP226" i="3" s="1"/>
  <c r="H227" i="3"/>
  <c r="Q227" i="3"/>
  <c r="Y227" i="3"/>
  <c r="AG227" i="3"/>
  <c r="B228" i="3"/>
  <c r="B226" i="9" s="1"/>
  <c r="L228" i="3"/>
  <c r="T228" i="3"/>
  <c r="AB228" i="3"/>
  <c r="AR228" i="3"/>
  <c r="S230" i="3"/>
  <c r="AB230" i="3"/>
  <c r="K231" i="3"/>
  <c r="T231" i="3"/>
  <c r="AC231" i="3"/>
  <c r="I232" i="3"/>
  <c r="K233" i="3"/>
  <c r="T233" i="3"/>
  <c r="F234" i="3"/>
  <c r="R234" i="3"/>
  <c r="AB234" i="3"/>
  <c r="D235" i="3"/>
  <c r="Z235" i="3"/>
  <c r="AV235" i="3"/>
  <c r="C233" i="9" s="1"/>
  <c r="T237" i="3"/>
  <c r="F238" i="3"/>
  <c r="R238" i="3"/>
  <c r="AB238" i="3"/>
  <c r="D239" i="3"/>
  <c r="Z239" i="3"/>
  <c r="AV239" i="3"/>
  <c r="C237" i="9" s="1"/>
  <c r="T241" i="3"/>
  <c r="F242" i="3"/>
  <c r="R242" i="3"/>
  <c r="AB242" i="3"/>
  <c r="D243" i="3"/>
  <c r="Z243" i="3"/>
  <c r="AV243" i="3"/>
  <c r="C241" i="9" s="1"/>
  <c r="H245" i="3"/>
  <c r="T245" i="3"/>
  <c r="A245" i="9"/>
  <c r="AR247" i="3"/>
  <c r="AB247" i="3"/>
  <c r="T247" i="3"/>
  <c r="L247" i="3"/>
  <c r="B247" i="3"/>
  <c r="B245" i="9" s="1"/>
  <c r="I241" i="3"/>
  <c r="Z247" i="3"/>
  <c r="R247" i="3"/>
  <c r="X247" i="3"/>
  <c r="P247" i="3"/>
  <c r="G247" i="3"/>
  <c r="AC247" i="3"/>
  <c r="L249" i="3"/>
  <c r="Y249" i="3"/>
  <c r="M251" i="3"/>
  <c r="AC251" i="3"/>
  <c r="AE253" i="3"/>
  <c r="AV253" i="3"/>
  <c r="C251" i="9" s="1"/>
  <c r="A253" i="9"/>
  <c r="AV255" i="3"/>
  <c r="C253" i="9" s="1"/>
  <c r="AE255" i="3"/>
  <c r="W255" i="3"/>
  <c r="F255" i="3"/>
  <c r="AD255" i="3"/>
  <c r="AP255" i="3" s="1"/>
  <c r="V255" i="3"/>
  <c r="N255" i="3"/>
  <c r="E255" i="3"/>
  <c r="AR255" i="3"/>
  <c r="AB255" i="3"/>
  <c r="T255" i="3"/>
  <c r="L255" i="3"/>
  <c r="B255" i="3"/>
  <c r="B253" i="9" s="1"/>
  <c r="I249" i="3"/>
  <c r="Z255" i="3"/>
  <c r="R255" i="3"/>
  <c r="X255" i="3"/>
  <c r="P255" i="3"/>
  <c r="G255" i="3"/>
  <c r="Y255" i="3"/>
  <c r="A255" i="9"/>
  <c r="AC257" i="3"/>
  <c r="U257" i="3"/>
  <c r="M257" i="3"/>
  <c r="D257" i="3"/>
  <c r="AR257" i="3"/>
  <c r="AB257" i="3"/>
  <c r="T257" i="3"/>
  <c r="L257" i="3"/>
  <c r="B257" i="3"/>
  <c r="B255" i="9" s="1"/>
  <c r="I251" i="3"/>
  <c r="Z257" i="3"/>
  <c r="R257" i="3"/>
  <c r="X257" i="3"/>
  <c r="P257" i="3"/>
  <c r="G257" i="3"/>
  <c r="AV257" i="3"/>
  <c r="C255" i="9" s="1"/>
  <c r="AE257" i="3"/>
  <c r="W257" i="3"/>
  <c r="F257" i="3"/>
  <c r="AD257" i="3"/>
  <c r="AP257" i="3" s="1"/>
  <c r="V257" i="3"/>
  <c r="N257" i="3"/>
  <c r="E257" i="3"/>
  <c r="K206" i="3"/>
  <c r="S206" i="3"/>
  <c r="AA206" i="3"/>
  <c r="K214" i="3"/>
  <c r="S214" i="3"/>
  <c r="AA214" i="3"/>
  <c r="F218" i="3"/>
  <c r="W218" i="3"/>
  <c r="AE218" i="3"/>
  <c r="AV218" i="3"/>
  <c r="C216" i="9" s="1"/>
  <c r="K222" i="3"/>
  <c r="S222" i="3"/>
  <c r="AA222" i="3"/>
  <c r="E223" i="3"/>
  <c r="N223" i="3"/>
  <c r="V223" i="3"/>
  <c r="AD223" i="3"/>
  <c r="AP223" i="3" s="1"/>
  <c r="F226" i="3"/>
  <c r="W226" i="3"/>
  <c r="AE226" i="3"/>
  <c r="AV226" i="3"/>
  <c r="C224" i="9" s="1"/>
  <c r="R227" i="3"/>
  <c r="Z227" i="3"/>
  <c r="A228" i="9"/>
  <c r="AC230" i="3"/>
  <c r="U230" i="3"/>
  <c r="M230" i="3"/>
  <c r="K230" i="3"/>
  <c r="T230" i="3"/>
  <c r="AD230" i="3"/>
  <c r="AP230" i="3" s="1"/>
  <c r="A229" i="9"/>
  <c r="X231" i="3"/>
  <c r="P231" i="3"/>
  <c r="G231" i="3"/>
  <c r="L231" i="3"/>
  <c r="U231" i="3"/>
  <c r="AD231" i="3"/>
  <c r="AP231" i="3" s="1"/>
  <c r="A231" i="9"/>
  <c r="Z233" i="3"/>
  <c r="AD233" i="3"/>
  <c r="AP233" i="3" s="1"/>
  <c r="V233" i="3"/>
  <c r="N233" i="3"/>
  <c r="E233" i="3"/>
  <c r="L233" i="3"/>
  <c r="U233" i="3"/>
  <c r="G234" i="3"/>
  <c r="S234" i="3"/>
  <c r="AD234" i="3"/>
  <c r="AP234" i="3" s="1"/>
  <c r="G238" i="3"/>
  <c r="S238" i="3"/>
  <c r="AD238" i="3"/>
  <c r="AP238" i="3" s="1"/>
  <c r="G242" i="3"/>
  <c r="S242" i="3"/>
  <c r="AD242" i="3"/>
  <c r="AP242" i="3" s="1"/>
  <c r="M249" i="3"/>
  <c r="Q253" i="3"/>
  <c r="K227" i="3"/>
  <c r="S227" i="3"/>
  <c r="AA227" i="3"/>
  <c r="A247" i="9"/>
  <c r="AR249" i="3"/>
  <c r="AB249" i="3"/>
  <c r="Z249" i="3"/>
  <c r="R249" i="3"/>
  <c r="X249" i="3"/>
  <c r="P249" i="3"/>
  <c r="G249" i="3"/>
  <c r="AD249" i="3"/>
  <c r="AP249" i="3" s="1"/>
  <c r="V249" i="3"/>
  <c r="N249" i="3"/>
  <c r="E249" i="3"/>
  <c r="AC249" i="3"/>
  <c r="A251" i="9"/>
  <c r="X253" i="3"/>
  <c r="P253" i="3"/>
  <c r="G253" i="3"/>
  <c r="AD253" i="3"/>
  <c r="AP253" i="3" s="1"/>
  <c r="V253" i="3"/>
  <c r="N253" i="3"/>
  <c r="E253" i="3"/>
  <c r="AR253" i="3"/>
  <c r="AB253" i="3"/>
  <c r="T253" i="3"/>
  <c r="L253" i="3"/>
  <c r="B253" i="3"/>
  <c r="B251" i="9" s="1"/>
  <c r="I247" i="3"/>
  <c r="Z253" i="3"/>
  <c r="R253" i="3"/>
  <c r="S253" i="3"/>
  <c r="K192" i="3"/>
  <c r="S192" i="3"/>
  <c r="AA192" i="3"/>
  <c r="K200" i="3"/>
  <c r="S200" i="3"/>
  <c r="AA200" i="3"/>
  <c r="D206" i="3"/>
  <c r="M206" i="3"/>
  <c r="U206" i="3"/>
  <c r="AC206" i="3"/>
  <c r="K208" i="3"/>
  <c r="S208" i="3"/>
  <c r="AA208" i="3"/>
  <c r="D214" i="3"/>
  <c r="M214" i="3"/>
  <c r="U214" i="3"/>
  <c r="AC214" i="3"/>
  <c r="K216" i="3"/>
  <c r="S216" i="3"/>
  <c r="AA216" i="3"/>
  <c r="Q218" i="3"/>
  <c r="Y218" i="3"/>
  <c r="AG218" i="3"/>
  <c r="I221" i="3"/>
  <c r="D222" i="3"/>
  <c r="M222" i="3"/>
  <c r="U222" i="3"/>
  <c r="AC222" i="3"/>
  <c r="G223" i="3"/>
  <c r="P223" i="3"/>
  <c r="X223" i="3"/>
  <c r="K224" i="3"/>
  <c r="S224" i="3"/>
  <c r="AA224" i="3"/>
  <c r="Q226" i="3"/>
  <c r="Y226" i="3"/>
  <c r="AG226" i="3"/>
  <c r="B227" i="3"/>
  <c r="B225" i="9" s="1"/>
  <c r="L227" i="3"/>
  <c r="T227" i="3"/>
  <c r="AB227" i="3"/>
  <c r="AR227" i="3"/>
  <c r="D230" i="3"/>
  <c r="N230" i="3"/>
  <c r="W230" i="3"/>
  <c r="D231" i="3"/>
  <c r="N231" i="3"/>
  <c r="W231" i="3"/>
  <c r="AG231" i="3"/>
  <c r="D233" i="3"/>
  <c r="X233" i="3"/>
  <c r="K234" i="3"/>
  <c r="V234" i="3"/>
  <c r="A235" i="9"/>
  <c r="AD237" i="3"/>
  <c r="AP237" i="3" s="1"/>
  <c r="V237" i="3"/>
  <c r="N237" i="3"/>
  <c r="E237" i="3"/>
  <c r="Z237" i="3"/>
  <c r="R237" i="3"/>
  <c r="M237" i="3"/>
  <c r="X237" i="3"/>
  <c r="K238" i="3"/>
  <c r="V238" i="3"/>
  <c r="A239" i="9"/>
  <c r="Z241" i="3"/>
  <c r="R241" i="3"/>
  <c r="AD241" i="3"/>
  <c r="AP241" i="3" s="1"/>
  <c r="V241" i="3"/>
  <c r="N241" i="3"/>
  <c r="E241" i="3"/>
  <c r="M241" i="3"/>
  <c r="X241" i="3"/>
  <c r="K242" i="3"/>
  <c r="V242" i="3"/>
  <c r="A243" i="9"/>
  <c r="AD245" i="3"/>
  <c r="AP245" i="3" s="1"/>
  <c r="V245" i="3"/>
  <c r="N245" i="3"/>
  <c r="E245" i="3"/>
  <c r="AR245" i="3"/>
  <c r="Z245" i="3"/>
  <c r="R245" i="3"/>
  <c r="M245" i="3"/>
  <c r="X245" i="3"/>
  <c r="AV245" i="3"/>
  <c r="C243" i="9" s="1"/>
  <c r="B249" i="3"/>
  <c r="B247" i="9" s="1"/>
  <c r="Q249" i="3"/>
  <c r="AE249" i="3"/>
  <c r="AV249" i="3"/>
  <c r="C247" i="9" s="1"/>
  <c r="A249" i="9"/>
  <c r="Z251" i="3"/>
  <c r="R251" i="3"/>
  <c r="X251" i="3"/>
  <c r="P251" i="3"/>
  <c r="G251" i="3"/>
  <c r="AD251" i="3"/>
  <c r="AP251" i="3" s="1"/>
  <c r="V251" i="3"/>
  <c r="N251" i="3"/>
  <c r="E251" i="3"/>
  <c r="AR251" i="3"/>
  <c r="AB251" i="3"/>
  <c r="T251" i="3"/>
  <c r="L251" i="3"/>
  <c r="B251" i="3"/>
  <c r="B249" i="9" s="1"/>
  <c r="I245" i="3"/>
  <c r="S251" i="3"/>
  <c r="D253" i="3"/>
  <c r="U253" i="3"/>
  <c r="K232" i="3"/>
  <c r="S232" i="3"/>
  <c r="AA232" i="3"/>
  <c r="F236" i="3"/>
  <c r="W236" i="3"/>
  <c r="AE236" i="3"/>
  <c r="AV236" i="3"/>
  <c r="C234" i="9" s="1"/>
  <c r="K240" i="3"/>
  <c r="S240" i="3"/>
  <c r="AA240" i="3"/>
  <c r="F244" i="3"/>
  <c r="W244" i="3"/>
  <c r="AE244" i="3"/>
  <c r="AV244" i="3"/>
  <c r="C242" i="9" s="1"/>
  <c r="K248" i="3"/>
  <c r="S248" i="3"/>
  <c r="AA248" i="3"/>
  <c r="Q250" i="3"/>
  <c r="Y250" i="3"/>
  <c r="AG250" i="3"/>
  <c r="F252" i="3"/>
  <c r="W252" i="3"/>
  <c r="AE252" i="3"/>
  <c r="AV252" i="3"/>
  <c r="C250" i="9" s="1"/>
  <c r="I253" i="3"/>
  <c r="D254" i="3"/>
  <c r="M254" i="3"/>
  <c r="U254" i="3"/>
  <c r="AC254" i="3"/>
  <c r="K256" i="3"/>
  <c r="S256" i="3"/>
  <c r="AA256" i="3"/>
  <c r="Q258" i="3"/>
  <c r="Y258" i="3"/>
  <c r="AG258" i="3"/>
  <c r="B259" i="3"/>
  <c r="B257" i="9" s="1"/>
  <c r="L259" i="3"/>
  <c r="T259" i="3"/>
  <c r="AB259" i="3"/>
  <c r="AR259" i="3"/>
  <c r="F260" i="3"/>
  <c r="W260" i="3"/>
  <c r="AE260" i="3"/>
  <c r="AV260" i="3"/>
  <c r="C258" i="9" s="1"/>
  <c r="D667" i="10"/>
  <c r="D690" i="10"/>
  <c r="D701" i="10"/>
  <c r="D709" i="10"/>
  <c r="D259" i="3"/>
  <c r="M259" i="3"/>
  <c r="U259" i="3"/>
  <c r="AC259" i="3"/>
  <c r="D666" i="10"/>
  <c r="D705" i="10"/>
  <c r="AA10" i="8"/>
  <c r="Z10" i="8"/>
  <c r="Y10" i="8" s="1"/>
  <c r="X10" i="8" s="1"/>
  <c r="W10" i="8" s="1"/>
  <c r="U10" i="8"/>
  <c r="AB10" i="8"/>
  <c r="AC10" i="8"/>
  <c r="K250" i="3"/>
  <c r="S250" i="3"/>
  <c r="AA250" i="3"/>
  <c r="F254" i="3"/>
  <c r="W254" i="3"/>
  <c r="AE254" i="3"/>
  <c r="AV254" i="3"/>
  <c r="C252" i="9" s="1"/>
  <c r="K258" i="3"/>
  <c r="S258" i="3"/>
  <c r="AA258" i="3"/>
  <c r="E259" i="3"/>
  <c r="N259" i="3"/>
  <c r="V259" i="3"/>
  <c r="AD259" i="3"/>
  <c r="AP259" i="3" s="1"/>
  <c r="D683" i="10"/>
  <c r="D700" i="10"/>
  <c r="F259" i="3"/>
  <c r="W259" i="3"/>
  <c r="AE259" i="3"/>
  <c r="AV259" i="3"/>
  <c r="C257" i="9" s="1"/>
  <c r="D659" i="10"/>
  <c r="D682" i="10"/>
  <c r="D704" i="10"/>
  <c r="K236" i="3"/>
  <c r="S236" i="3"/>
  <c r="AA236" i="3"/>
  <c r="K244" i="3"/>
  <c r="S244" i="3"/>
  <c r="AA244" i="3"/>
  <c r="D250" i="3"/>
  <c r="M250" i="3"/>
  <c r="U250" i="3"/>
  <c r="AC250" i="3"/>
  <c r="K252" i="3"/>
  <c r="S252" i="3"/>
  <c r="AA252" i="3"/>
  <c r="Q254" i="3"/>
  <c r="Y254" i="3"/>
  <c r="AG254" i="3"/>
  <c r="D258" i="3"/>
  <c r="M258" i="3"/>
  <c r="U258" i="3"/>
  <c r="AC258" i="3"/>
  <c r="G259" i="3"/>
  <c r="P259" i="3"/>
  <c r="X259" i="3"/>
  <c r="K260" i="3"/>
  <c r="S260" i="3"/>
  <c r="AA260" i="3"/>
  <c r="D658" i="10"/>
  <c r="AB24" i="8"/>
  <c r="Z24" i="8"/>
  <c r="Y24" i="8" s="1"/>
  <c r="X24" i="8" s="1"/>
  <c r="W24" i="8" s="1"/>
  <c r="U24" i="8"/>
  <c r="AA24" i="8"/>
  <c r="AC24" i="8"/>
  <c r="D675" i="10"/>
  <c r="D698" i="10"/>
  <c r="D727" i="10"/>
  <c r="K254" i="3"/>
  <c r="S254" i="3"/>
  <c r="AA254" i="3"/>
  <c r="R259" i="3"/>
  <c r="Z259" i="3"/>
  <c r="D651" i="10"/>
  <c r="D674" i="10"/>
  <c r="AB12" i="8"/>
  <c r="Z12" i="8"/>
  <c r="Y12" i="8" s="1"/>
  <c r="X12" i="8" s="1"/>
  <c r="W12" i="8" s="1"/>
  <c r="U12" i="8"/>
  <c r="AA12" i="8"/>
  <c r="AC12" i="8"/>
  <c r="K259" i="3"/>
  <c r="S259" i="3"/>
  <c r="AA259" i="3"/>
  <c r="D650" i="10"/>
  <c r="D691" i="10"/>
  <c r="D724" i="10"/>
  <c r="AF15" i="8"/>
  <c r="C15" i="8" s="1"/>
  <c r="AE15" i="8" s="1"/>
  <c r="AD15" i="8" s="1"/>
  <c r="Q15" i="8"/>
  <c r="R15" i="8" s="1"/>
  <c r="P15" i="8" s="1"/>
  <c r="O15" i="8" s="1"/>
  <c r="N15" i="8" s="1"/>
  <c r="M15" i="8" s="1"/>
  <c r="L15" i="8" s="1"/>
  <c r="K15" i="8" s="1"/>
  <c r="J15" i="8" s="1"/>
  <c r="I15" i="8" s="1"/>
  <c r="D647" i="10"/>
  <c r="D655" i="10"/>
  <c r="D663" i="10"/>
  <c r="D671" i="10"/>
  <c r="D679" i="10"/>
  <c r="D687" i="10"/>
  <c r="D695" i="10"/>
  <c r="D699" i="10"/>
  <c r="D712" i="10"/>
  <c r="D717" i="10"/>
  <c r="AB8" i="8"/>
  <c r="Z8" i="8"/>
  <c r="Y8" i="8" s="1"/>
  <c r="X8" i="8" s="1"/>
  <c r="W8" i="8" s="1"/>
  <c r="U8" i="8"/>
  <c r="AA8" i="8"/>
  <c r="AC8" i="8"/>
  <c r="AA14" i="8"/>
  <c r="Z14" i="8"/>
  <c r="Y14" i="8" s="1"/>
  <c r="X14" i="8" s="1"/>
  <c r="W14" i="8" s="1"/>
  <c r="U14" i="8"/>
  <c r="AB14" i="8"/>
  <c r="Q21" i="8"/>
  <c r="R21" i="8" s="1"/>
  <c r="P21" i="8" s="1"/>
  <c r="O21" i="8" s="1"/>
  <c r="N21" i="8" s="1"/>
  <c r="M21" i="8" s="1"/>
  <c r="L21" i="8" s="1"/>
  <c r="K21" i="8" s="1"/>
  <c r="J21" i="8" s="1"/>
  <c r="I21" i="8" s="1"/>
  <c r="AF21" i="8"/>
  <c r="C21" i="8" s="1"/>
  <c r="AE21" i="8" s="1"/>
  <c r="AD21" i="8" s="1"/>
  <c r="Q25" i="8"/>
  <c r="R25" i="8" s="1"/>
  <c r="P25" i="8" s="1"/>
  <c r="O25" i="8" s="1"/>
  <c r="N25" i="8" s="1"/>
  <c r="M25" i="8" s="1"/>
  <c r="L25" i="8" s="1"/>
  <c r="K25" i="8" s="1"/>
  <c r="J25" i="8" s="1"/>
  <c r="I25" i="8" s="1"/>
  <c r="AF25" i="8"/>
  <c r="C25" i="8" s="1"/>
  <c r="AE25" i="8" s="1"/>
  <c r="AD25" i="8" s="1"/>
  <c r="AB36" i="8"/>
  <c r="Z36" i="8"/>
  <c r="Y36" i="8" s="1"/>
  <c r="X36" i="8" s="1"/>
  <c r="W36" i="8" s="1"/>
  <c r="V36" i="8" s="1"/>
  <c r="T36" i="8" s="1"/>
  <c r="U36" i="8"/>
  <c r="AA36" i="8"/>
  <c r="AF47" i="8"/>
  <c r="C47" i="8" s="1"/>
  <c r="AE47" i="8" s="1"/>
  <c r="AD47" i="8" s="1"/>
  <c r="Q47" i="8"/>
  <c r="R47" i="8" s="1"/>
  <c r="P47" i="8" s="1"/>
  <c r="O47" i="8" s="1"/>
  <c r="N47" i="8" s="1"/>
  <c r="M47" i="8" s="1"/>
  <c r="L47" i="8" s="1"/>
  <c r="K47" i="8" s="1"/>
  <c r="J47" i="8" s="1"/>
  <c r="I47" i="8" s="1"/>
  <c r="AA50" i="8"/>
  <c r="Z50" i="8"/>
  <c r="Y50" i="8" s="1"/>
  <c r="X50" i="8" s="1"/>
  <c r="W50" i="8" s="1"/>
  <c r="U50" i="8"/>
  <c r="AB50" i="8"/>
  <c r="AC50" i="8"/>
  <c r="AC89" i="8"/>
  <c r="U89" i="8"/>
  <c r="Z89" i="8"/>
  <c r="Y89" i="8" s="1"/>
  <c r="X89" i="8" s="1"/>
  <c r="W89" i="8" s="1"/>
  <c r="V89" i="8" s="1"/>
  <c r="T89" i="8" s="1"/>
  <c r="AA89" i="8"/>
  <c r="AB89" i="8"/>
  <c r="AA34" i="8"/>
  <c r="Z34" i="8"/>
  <c r="Y34" i="8" s="1"/>
  <c r="X34" i="8" s="1"/>
  <c r="W34" i="8" s="1"/>
  <c r="U34" i="8"/>
  <c r="AB34" i="8"/>
  <c r="D648" i="10"/>
  <c r="D652" i="10"/>
  <c r="D656" i="10"/>
  <c r="D660" i="10"/>
  <c r="D664" i="10"/>
  <c r="D668" i="10"/>
  <c r="D672" i="10"/>
  <c r="D676" i="10"/>
  <c r="D680" i="10"/>
  <c r="D684" i="10"/>
  <c r="D688" i="10"/>
  <c r="D692" i="10"/>
  <c r="D696" i="10"/>
  <c r="D708" i="10"/>
  <c r="Q13" i="8"/>
  <c r="R13" i="8" s="1"/>
  <c r="P13" i="8" s="1"/>
  <c r="O13" i="8" s="1"/>
  <c r="N13" i="8" s="1"/>
  <c r="M13" i="8" s="1"/>
  <c r="L13" i="8" s="1"/>
  <c r="K13" i="8" s="1"/>
  <c r="J13" i="8" s="1"/>
  <c r="I13" i="8" s="1"/>
  <c r="AF13" i="8"/>
  <c r="C13" i="8" s="1"/>
  <c r="AE13" i="8" s="1"/>
  <c r="AD13" i="8" s="1"/>
  <c r="AF19" i="8"/>
  <c r="C19" i="8" s="1"/>
  <c r="AE19" i="8" s="1"/>
  <c r="AD19" i="8" s="1"/>
  <c r="AC65" i="8"/>
  <c r="U65" i="8"/>
  <c r="Z65" i="8"/>
  <c r="Y65" i="8" s="1"/>
  <c r="X65" i="8" s="1"/>
  <c r="W65" i="8" s="1"/>
  <c r="V65" i="8" s="1"/>
  <c r="T65" i="8" s="1"/>
  <c r="AB65" i="8"/>
  <c r="AA65" i="8"/>
  <c r="Z68" i="8"/>
  <c r="Y68" i="8" s="1"/>
  <c r="X68" i="8" s="1"/>
  <c r="W68" i="8" s="1"/>
  <c r="AC68" i="8"/>
  <c r="AB68" i="8"/>
  <c r="AA68" i="8"/>
  <c r="U68" i="8"/>
  <c r="D620" i="10"/>
  <c r="D653" i="10"/>
  <c r="D661" i="10"/>
  <c r="D669" i="10"/>
  <c r="D677" i="10"/>
  <c r="D685" i="10"/>
  <c r="D693" i="10"/>
  <c r="D707" i="10"/>
  <c r="D720" i="10"/>
  <c r="D730" i="10"/>
  <c r="D744" i="10"/>
  <c r="Q29" i="8"/>
  <c r="R29" i="8" s="1"/>
  <c r="P29" i="8" s="1"/>
  <c r="O29" i="8" s="1"/>
  <c r="N29" i="8" s="1"/>
  <c r="M29" i="8" s="1"/>
  <c r="L29" i="8" s="1"/>
  <c r="K29" i="8" s="1"/>
  <c r="J29" i="8" s="1"/>
  <c r="I29" i="8" s="1"/>
  <c r="AF29" i="8"/>
  <c r="C29" i="8" s="1"/>
  <c r="AE29" i="8" s="1"/>
  <c r="AD29" i="8" s="1"/>
  <c r="AA46" i="8"/>
  <c r="Z46" i="8"/>
  <c r="Y46" i="8" s="1"/>
  <c r="X46" i="8" s="1"/>
  <c r="W46" i="8" s="1"/>
  <c r="U46" i="8"/>
  <c r="AB46" i="8"/>
  <c r="AA70" i="8"/>
  <c r="AC70" i="8"/>
  <c r="AB70" i="8"/>
  <c r="U70" i="8"/>
  <c r="Z70" i="8"/>
  <c r="Y70" i="8" s="1"/>
  <c r="X70" i="8" s="1"/>
  <c r="W70" i="8" s="1"/>
  <c r="D735" i="10"/>
  <c r="D736" i="10"/>
  <c r="AA18" i="8"/>
  <c r="Z18" i="8"/>
  <c r="Y18" i="8" s="1"/>
  <c r="X18" i="8" s="1"/>
  <c r="W18" i="8" s="1"/>
  <c r="U18" i="8"/>
  <c r="AB18" i="8"/>
  <c r="AC18" i="8"/>
  <c r="AF23" i="8"/>
  <c r="C23" i="8" s="1"/>
  <c r="AE23" i="8" s="1"/>
  <c r="AD23" i="8" s="1"/>
  <c r="Q23" i="8"/>
  <c r="R23" i="8" s="1"/>
  <c r="P23" i="8" s="1"/>
  <c r="O23" i="8" s="1"/>
  <c r="N23" i="8" s="1"/>
  <c r="M23" i="8" s="1"/>
  <c r="L23" i="8" s="1"/>
  <c r="K23" i="8" s="1"/>
  <c r="J23" i="8" s="1"/>
  <c r="I23" i="8" s="1"/>
  <c r="Q33" i="8"/>
  <c r="R33" i="8" s="1"/>
  <c r="P33" i="8" s="1"/>
  <c r="O33" i="8" s="1"/>
  <c r="N33" i="8" s="1"/>
  <c r="M33" i="8" s="1"/>
  <c r="L33" i="8" s="1"/>
  <c r="K33" i="8" s="1"/>
  <c r="J33" i="8" s="1"/>
  <c r="I33" i="8" s="1"/>
  <c r="AF33" i="8"/>
  <c r="C33" i="8" s="1"/>
  <c r="AE33" i="8" s="1"/>
  <c r="AD33" i="8" s="1"/>
  <c r="AC34" i="8"/>
  <c r="AF51" i="8"/>
  <c r="C51" i="8" s="1"/>
  <c r="AE51" i="8" s="1"/>
  <c r="AD51" i="8" s="1"/>
  <c r="Q51" i="8"/>
  <c r="R51" i="8" s="1"/>
  <c r="P51" i="8" s="1"/>
  <c r="O51" i="8" s="1"/>
  <c r="N51" i="8" s="1"/>
  <c r="M51" i="8" s="1"/>
  <c r="L51" i="8" s="1"/>
  <c r="K51" i="8" s="1"/>
  <c r="J51" i="8" s="1"/>
  <c r="I51" i="8" s="1"/>
  <c r="Z60" i="8"/>
  <c r="Y60" i="8" s="1"/>
  <c r="X60" i="8" s="1"/>
  <c r="W60" i="8" s="1"/>
  <c r="AC60" i="8"/>
  <c r="AB60" i="8"/>
  <c r="U60" i="8"/>
  <c r="AA60" i="8"/>
  <c r="AF11" i="8"/>
  <c r="C11" i="8" s="1"/>
  <c r="AE11" i="8" s="1"/>
  <c r="AD11" i="8" s="1"/>
  <c r="Q11" i="8"/>
  <c r="R11" i="8" s="1"/>
  <c r="P11" i="8" s="1"/>
  <c r="O11" i="8" s="1"/>
  <c r="N11" i="8" s="1"/>
  <c r="M11" i="8" s="1"/>
  <c r="L11" i="8" s="1"/>
  <c r="K11" i="8" s="1"/>
  <c r="J11" i="8" s="1"/>
  <c r="I11" i="8" s="1"/>
  <c r="AF35" i="8"/>
  <c r="C35" i="8" s="1"/>
  <c r="AE35" i="8" s="1"/>
  <c r="AD35" i="8" s="1"/>
  <c r="D702" i="10"/>
  <c r="AA6" i="8"/>
  <c r="Z6" i="8"/>
  <c r="Y6" i="8" s="1"/>
  <c r="X6" i="8" s="1"/>
  <c r="W6" i="8" s="1"/>
  <c r="U6" i="8"/>
  <c r="AB6" i="8"/>
  <c r="AC6" i="8"/>
  <c r="AA22" i="8"/>
  <c r="Z22" i="8"/>
  <c r="Y22" i="8" s="1"/>
  <c r="X22" i="8" s="1"/>
  <c r="W22" i="8" s="1"/>
  <c r="U22" i="8"/>
  <c r="AB22" i="8"/>
  <c r="AB40" i="8"/>
  <c r="Z40" i="8"/>
  <c r="Y40" i="8" s="1"/>
  <c r="X40" i="8" s="1"/>
  <c r="W40" i="8" s="1"/>
  <c r="U40" i="8"/>
  <c r="AA40" i="8"/>
  <c r="AC40" i="8"/>
  <c r="AB44" i="8"/>
  <c r="Z44" i="8"/>
  <c r="Y44" i="8" s="1"/>
  <c r="X44" i="8" s="1"/>
  <c r="W44" i="8" s="1"/>
  <c r="U44" i="8"/>
  <c r="AA44" i="8"/>
  <c r="AC44" i="8"/>
  <c r="AC69" i="8"/>
  <c r="U69" i="8"/>
  <c r="AA69" i="8"/>
  <c r="Z69" i="8"/>
  <c r="Y69" i="8" s="1"/>
  <c r="X69" i="8" s="1"/>
  <c r="W69" i="8" s="1"/>
  <c r="V69" i="8" s="1"/>
  <c r="T69" i="8" s="1"/>
  <c r="AB69" i="8"/>
  <c r="AC36" i="8"/>
  <c r="Q45" i="8"/>
  <c r="R45" i="8" s="1"/>
  <c r="P45" i="8" s="1"/>
  <c r="O45" i="8" s="1"/>
  <c r="N45" i="8" s="1"/>
  <c r="M45" i="8" s="1"/>
  <c r="L45" i="8" s="1"/>
  <c r="K45" i="8" s="1"/>
  <c r="J45" i="8" s="1"/>
  <c r="I45" i="8" s="1"/>
  <c r="AF45" i="8"/>
  <c r="C45" i="8" s="1"/>
  <c r="AE45" i="8" s="1"/>
  <c r="AD45" i="8" s="1"/>
  <c r="AC46" i="8"/>
  <c r="Q57" i="8"/>
  <c r="R57" i="8" s="1"/>
  <c r="P57" i="8" s="1"/>
  <c r="O57" i="8" s="1"/>
  <c r="N57" i="8" s="1"/>
  <c r="M57" i="8" s="1"/>
  <c r="L57" i="8" s="1"/>
  <c r="K57" i="8" s="1"/>
  <c r="J57" i="8" s="1"/>
  <c r="I57" i="8" s="1"/>
  <c r="AF57" i="8"/>
  <c r="C57" i="8" s="1"/>
  <c r="AE57" i="8" s="1"/>
  <c r="AD57" i="8" s="1"/>
  <c r="AA58" i="8"/>
  <c r="AB58" i="8"/>
  <c r="Z58" i="8"/>
  <c r="Y58" i="8" s="1"/>
  <c r="X58" i="8" s="1"/>
  <c r="W58" i="8" s="1"/>
  <c r="U58" i="8"/>
  <c r="AC58" i="8"/>
  <c r="Z67" i="8"/>
  <c r="Y67" i="8" s="1"/>
  <c r="X67" i="8" s="1"/>
  <c r="W67" i="8" s="1"/>
  <c r="AC67" i="8"/>
  <c r="AA67" i="8"/>
  <c r="U67" i="8"/>
  <c r="AB67" i="8"/>
  <c r="D646" i="10"/>
  <c r="D654" i="10"/>
  <c r="D662" i="10"/>
  <c r="D670" i="10"/>
  <c r="D678" i="10"/>
  <c r="D686" i="10"/>
  <c r="D694" i="10"/>
  <c r="D715" i="10"/>
  <c r="Q9" i="8"/>
  <c r="R9" i="8" s="1"/>
  <c r="P9" i="8" s="1"/>
  <c r="O9" i="8" s="1"/>
  <c r="N9" i="8" s="1"/>
  <c r="M9" i="8" s="1"/>
  <c r="L9" i="8" s="1"/>
  <c r="K9" i="8" s="1"/>
  <c r="J9" i="8" s="1"/>
  <c r="I9" i="8" s="1"/>
  <c r="AF9" i="8"/>
  <c r="C9" i="8" s="1"/>
  <c r="AE9" i="8" s="1"/>
  <c r="AD9" i="8" s="1"/>
  <c r="AB20" i="8"/>
  <c r="Z20" i="8"/>
  <c r="Y20" i="8" s="1"/>
  <c r="X20" i="8" s="1"/>
  <c r="W20" i="8" s="1"/>
  <c r="U20" i="8"/>
  <c r="AA20" i="8"/>
  <c r="AA30" i="8"/>
  <c r="Z30" i="8"/>
  <c r="Y30" i="8" s="1"/>
  <c r="X30" i="8" s="1"/>
  <c r="W30" i="8" s="1"/>
  <c r="U30" i="8"/>
  <c r="AB30" i="8"/>
  <c r="AF31" i="8"/>
  <c r="C31" i="8" s="1"/>
  <c r="AE31" i="8" s="1"/>
  <c r="AD31" i="8" s="1"/>
  <c r="Q41" i="8"/>
  <c r="R41" i="8" s="1"/>
  <c r="P41" i="8" s="1"/>
  <c r="O41" i="8" s="1"/>
  <c r="N41" i="8" s="1"/>
  <c r="M41" i="8" s="1"/>
  <c r="L41" i="8" s="1"/>
  <c r="K41" i="8" s="1"/>
  <c r="J41" i="8" s="1"/>
  <c r="I41" i="8" s="1"/>
  <c r="AF41" i="8"/>
  <c r="C41" i="8" s="1"/>
  <c r="AE41" i="8" s="1"/>
  <c r="AD41" i="8" s="1"/>
  <c r="AB52" i="8"/>
  <c r="Z52" i="8"/>
  <c r="Y52" i="8" s="1"/>
  <c r="X52" i="8" s="1"/>
  <c r="W52" i="8" s="1"/>
  <c r="U52" i="8"/>
  <c r="AA52" i="8"/>
  <c r="AF62" i="8"/>
  <c r="C62" i="8" s="1"/>
  <c r="AE62" i="8" s="1"/>
  <c r="AD62" i="8" s="1"/>
  <c r="U63" i="8"/>
  <c r="AA63" i="8"/>
  <c r="AB63" i="8"/>
  <c r="AA74" i="8"/>
  <c r="AC74" i="8"/>
  <c r="AB74" i="8"/>
  <c r="Z74" i="8"/>
  <c r="Y74" i="8" s="1"/>
  <c r="X74" i="8" s="1"/>
  <c r="W74" i="8" s="1"/>
  <c r="AF78" i="8"/>
  <c r="C78" i="8" s="1"/>
  <c r="AE78" i="8" s="1"/>
  <c r="AD78" i="8" s="1"/>
  <c r="AB79" i="8"/>
  <c r="U79" i="8"/>
  <c r="Z79" i="8"/>
  <c r="Y79" i="8" s="1"/>
  <c r="X79" i="8" s="1"/>
  <c r="W79" i="8" s="1"/>
  <c r="AC79" i="8"/>
  <c r="AA79" i="8"/>
  <c r="AC84" i="8"/>
  <c r="Z84" i="8"/>
  <c r="Y84" i="8" s="1"/>
  <c r="X84" i="8" s="1"/>
  <c r="W84" i="8" s="1"/>
  <c r="AB84" i="8"/>
  <c r="AA84" i="8"/>
  <c r="AA86" i="8"/>
  <c r="Z86" i="8"/>
  <c r="Y86" i="8" s="1"/>
  <c r="X86" i="8" s="1"/>
  <c r="W86" i="8" s="1"/>
  <c r="AC86" i="8"/>
  <c r="U86" i="8"/>
  <c r="AB86" i="8"/>
  <c r="AB87" i="8"/>
  <c r="U87" i="8"/>
  <c r="Z87" i="8"/>
  <c r="Y87" i="8" s="1"/>
  <c r="X87" i="8" s="1"/>
  <c r="W87" i="8" s="1"/>
  <c r="V87" i="8" s="1"/>
  <c r="T87" i="8" s="1"/>
  <c r="AC87" i="8"/>
  <c r="AA87" i="8"/>
  <c r="AB32" i="8"/>
  <c r="Z32" i="8"/>
  <c r="Y32" i="8" s="1"/>
  <c r="X32" i="8" s="1"/>
  <c r="W32" i="8" s="1"/>
  <c r="V32" i="8" s="1"/>
  <c r="T32" i="8" s="1"/>
  <c r="U32" i="8"/>
  <c r="AA32" i="8"/>
  <c r="AA42" i="8"/>
  <c r="Z42" i="8"/>
  <c r="Y42" i="8" s="1"/>
  <c r="X42" i="8" s="1"/>
  <c r="W42" i="8" s="1"/>
  <c r="U42" i="8"/>
  <c r="AB42" i="8"/>
  <c r="AF43" i="8"/>
  <c r="C43" i="8" s="1"/>
  <c r="AE43" i="8" s="1"/>
  <c r="AD43" i="8" s="1"/>
  <c r="Q53" i="8"/>
  <c r="R53" i="8" s="1"/>
  <c r="P53" i="8" s="1"/>
  <c r="O53" i="8" s="1"/>
  <c r="N53" i="8" s="1"/>
  <c r="M53" i="8" s="1"/>
  <c r="L53" i="8" s="1"/>
  <c r="K53" i="8" s="1"/>
  <c r="J53" i="8" s="1"/>
  <c r="I53" i="8" s="1"/>
  <c r="AF53" i="8"/>
  <c r="C53" i="8" s="1"/>
  <c r="AE53" i="8" s="1"/>
  <c r="AD53" i="8" s="1"/>
  <c r="Z75" i="8"/>
  <c r="Y75" i="8" s="1"/>
  <c r="X75" i="8" s="1"/>
  <c r="W75" i="8" s="1"/>
  <c r="AB75" i="8"/>
  <c r="AA75" i="8"/>
  <c r="AC75" i="8"/>
  <c r="Q90" i="8"/>
  <c r="R90" i="8" s="1"/>
  <c r="P90" i="8" s="1"/>
  <c r="O90" i="8" s="1"/>
  <c r="N90" i="8" s="1"/>
  <c r="M90" i="8" s="1"/>
  <c r="L90" i="8" s="1"/>
  <c r="K90" i="8" s="1"/>
  <c r="J90" i="8" s="1"/>
  <c r="I90" i="8" s="1"/>
  <c r="AF90" i="8"/>
  <c r="C90" i="8" s="1"/>
  <c r="AE90" i="8" s="1"/>
  <c r="AD90" i="8" s="1"/>
  <c r="AA54" i="8"/>
  <c r="Z54" i="8"/>
  <c r="Y54" i="8" s="1"/>
  <c r="X54" i="8" s="1"/>
  <c r="W54" i="8" s="1"/>
  <c r="U54" i="8"/>
  <c r="AB54" i="8"/>
  <c r="AF55" i="8"/>
  <c r="C55" i="8" s="1"/>
  <c r="AE55" i="8" s="1"/>
  <c r="AD55" i="8" s="1"/>
  <c r="AA66" i="8"/>
  <c r="AB66" i="8"/>
  <c r="Z66" i="8"/>
  <c r="Y66" i="8" s="1"/>
  <c r="X66" i="8" s="1"/>
  <c r="W66" i="8" s="1"/>
  <c r="Q78" i="8"/>
  <c r="R78" i="8" s="1"/>
  <c r="P78" i="8" s="1"/>
  <c r="O78" i="8" s="1"/>
  <c r="N78" i="8" s="1"/>
  <c r="M78" i="8" s="1"/>
  <c r="L78" i="8" s="1"/>
  <c r="K78" i="8" s="1"/>
  <c r="J78" i="8" s="1"/>
  <c r="I78" i="8" s="1"/>
  <c r="AA94" i="8"/>
  <c r="Z94" i="8"/>
  <c r="Y94" i="8" s="1"/>
  <c r="X94" i="8" s="1"/>
  <c r="W94" i="8" s="1"/>
  <c r="AC94" i="8"/>
  <c r="U94" i="8"/>
  <c r="AB94" i="8"/>
  <c r="AA102" i="8"/>
  <c r="Z102" i="8"/>
  <c r="Y102" i="8" s="1"/>
  <c r="X102" i="8" s="1"/>
  <c r="W102" i="8" s="1"/>
  <c r="AC102" i="8"/>
  <c r="U102" i="8"/>
  <c r="AB102" i="8"/>
  <c r="AB56" i="8"/>
  <c r="Z56" i="8"/>
  <c r="Y56" i="8" s="1"/>
  <c r="X56" i="8" s="1"/>
  <c r="W56" i="8" s="1"/>
  <c r="U56" i="8"/>
  <c r="AA56" i="8"/>
  <c r="U64" i="8"/>
  <c r="AB64" i="8"/>
  <c r="AA64" i="8"/>
  <c r="U71" i="8"/>
  <c r="AC71" i="8"/>
  <c r="AA71" i="8"/>
  <c r="Z76" i="8"/>
  <c r="Y76" i="8" s="1"/>
  <c r="X76" i="8" s="1"/>
  <c r="W76" i="8" s="1"/>
  <c r="AB76" i="8"/>
  <c r="AA76" i="8"/>
  <c r="U76" i="8"/>
  <c r="AB96" i="8"/>
  <c r="AA96" i="8"/>
  <c r="U96" i="8"/>
  <c r="AC96" i="8"/>
  <c r="Z96" i="8"/>
  <c r="Y96" i="8" s="1"/>
  <c r="X96" i="8" s="1"/>
  <c r="W96" i="8" s="1"/>
  <c r="D649" i="10"/>
  <c r="D657" i="10"/>
  <c r="D665" i="10"/>
  <c r="D673" i="10"/>
  <c r="D681" i="10"/>
  <c r="D689" i="10"/>
  <c r="D697" i="10"/>
  <c r="D710" i="10"/>
  <c r="D732" i="10"/>
  <c r="D740" i="10"/>
  <c r="D743" i="10"/>
  <c r="Q5" i="8"/>
  <c r="R5" i="8" s="1"/>
  <c r="P5" i="8" s="1"/>
  <c r="O5" i="8" s="1"/>
  <c r="N5" i="8" s="1"/>
  <c r="M5" i="8" s="1"/>
  <c r="L5" i="8" s="1"/>
  <c r="K5" i="8" s="1"/>
  <c r="J5" i="8" s="1"/>
  <c r="I5" i="8" s="1"/>
  <c r="AF5" i="8"/>
  <c r="C5" i="8" s="1"/>
  <c r="AE5" i="8" s="1"/>
  <c r="AD5" i="8" s="1"/>
  <c r="AB16" i="8"/>
  <c r="Z16" i="8"/>
  <c r="Y16" i="8" s="1"/>
  <c r="X16" i="8" s="1"/>
  <c r="W16" i="8" s="1"/>
  <c r="U16" i="8"/>
  <c r="AA16" i="8"/>
  <c r="AA26" i="8"/>
  <c r="Z26" i="8"/>
  <c r="Y26" i="8" s="1"/>
  <c r="X26" i="8" s="1"/>
  <c r="W26" i="8" s="1"/>
  <c r="U26" i="8"/>
  <c r="AB26" i="8"/>
  <c r="AF27" i="8"/>
  <c r="C27" i="8" s="1"/>
  <c r="AE27" i="8" s="1"/>
  <c r="AD27" i="8" s="1"/>
  <c r="Q37" i="8"/>
  <c r="R37" i="8" s="1"/>
  <c r="P37" i="8" s="1"/>
  <c r="O37" i="8" s="1"/>
  <c r="N37" i="8" s="1"/>
  <c r="M37" i="8" s="1"/>
  <c r="L37" i="8" s="1"/>
  <c r="K37" i="8" s="1"/>
  <c r="J37" i="8" s="1"/>
  <c r="I37" i="8" s="1"/>
  <c r="AF37" i="8"/>
  <c r="C37" i="8" s="1"/>
  <c r="AE37" i="8" s="1"/>
  <c r="AD37" i="8" s="1"/>
  <c r="Q43" i="8"/>
  <c r="R43" i="8" s="1"/>
  <c r="P43" i="8" s="1"/>
  <c r="O43" i="8" s="1"/>
  <c r="N43" i="8" s="1"/>
  <c r="M43" i="8" s="1"/>
  <c r="L43" i="8" s="1"/>
  <c r="K43" i="8" s="1"/>
  <c r="J43" i="8" s="1"/>
  <c r="I43" i="8" s="1"/>
  <c r="AB48" i="8"/>
  <c r="Z48" i="8"/>
  <c r="Y48" i="8" s="1"/>
  <c r="X48" i="8" s="1"/>
  <c r="W48" i="8" s="1"/>
  <c r="U48" i="8"/>
  <c r="AA48" i="8"/>
  <c r="Q69" i="8"/>
  <c r="R69" i="8" s="1"/>
  <c r="P69" i="8" s="1"/>
  <c r="O69" i="8" s="1"/>
  <c r="N69" i="8" s="1"/>
  <c r="M69" i="8" s="1"/>
  <c r="L69" i="8" s="1"/>
  <c r="K69" i="8" s="1"/>
  <c r="J69" i="8" s="1"/>
  <c r="I69" i="8" s="1"/>
  <c r="AC85" i="8"/>
  <c r="U85" i="8"/>
  <c r="AA85" i="8"/>
  <c r="Z85" i="8"/>
  <c r="Y85" i="8" s="1"/>
  <c r="X85" i="8" s="1"/>
  <c r="W85" i="8" s="1"/>
  <c r="AF7" i="8"/>
  <c r="C7" i="8" s="1"/>
  <c r="AE7" i="8" s="1"/>
  <c r="AD7" i="8" s="1"/>
  <c r="Q17" i="8"/>
  <c r="R17" i="8" s="1"/>
  <c r="P17" i="8" s="1"/>
  <c r="O17" i="8" s="1"/>
  <c r="N17" i="8" s="1"/>
  <c r="M17" i="8" s="1"/>
  <c r="L17" i="8" s="1"/>
  <c r="K17" i="8" s="1"/>
  <c r="J17" i="8" s="1"/>
  <c r="I17" i="8" s="1"/>
  <c r="AF17" i="8"/>
  <c r="C17" i="8" s="1"/>
  <c r="AE17" i="8" s="1"/>
  <c r="AD17" i="8" s="1"/>
  <c r="AB28" i="8"/>
  <c r="Z28" i="8"/>
  <c r="Y28" i="8" s="1"/>
  <c r="X28" i="8" s="1"/>
  <c r="W28" i="8" s="1"/>
  <c r="U28" i="8"/>
  <c r="AA28" i="8"/>
  <c r="AA38" i="8"/>
  <c r="Z38" i="8"/>
  <c r="Y38" i="8" s="1"/>
  <c r="X38" i="8" s="1"/>
  <c r="W38" i="8" s="1"/>
  <c r="U38" i="8"/>
  <c r="AB38" i="8"/>
  <c r="AF39" i="8"/>
  <c r="C39" i="8" s="1"/>
  <c r="AE39" i="8" s="1"/>
  <c r="AD39" i="8" s="1"/>
  <c r="Q49" i="8"/>
  <c r="R49" i="8" s="1"/>
  <c r="P49" i="8" s="1"/>
  <c r="O49" i="8" s="1"/>
  <c r="N49" i="8" s="1"/>
  <c r="M49" i="8" s="1"/>
  <c r="L49" i="8" s="1"/>
  <c r="K49" i="8" s="1"/>
  <c r="J49" i="8" s="1"/>
  <c r="I49" i="8" s="1"/>
  <c r="AF49" i="8"/>
  <c r="C49" i="8" s="1"/>
  <c r="AE49" i="8" s="1"/>
  <c r="AD49" i="8" s="1"/>
  <c r="Q55" i="8"/>
  <c r="R55" i="8" s="1"/>
  <c r="P55" i="8" s="1"/>
  <c r="O55" i="8" s="1"/>
  <c r="N55" i="8" s="1"/>
  <c r="M55" i="8" s="1"/>
  <c r="L55" i="8" s="1"/>
  <c r="K55" i="8" s="1"/>
  <c r="J55" i="8" s="1"/>
  <c r="I55" i="8" s="1"/>
  <c r="Z59" i="8"/>
  <c r="Y59" i="8" s="1"/>
  <c r="X59" i="8" s="1"/>
  <c r="W59" i="8" s="1"/>
  <c r="AC59" i="8"/>
  <c r="U59" i="8"/>
  <c r="AB59" i="8"/>
  <c r="Z63" i="8"/>
  <c r="Y63" i="8" s="1"/>
  <c r="X63" i="8" s="1"/>
  <c r="W63" i="8" s="1"/>
  <c r="Q65" i="8"/>
  <c r="R65" i="8" s="1"/>
  <c r="P65" i="8" s="1"/>
  <c r="O65" i="8" s="1"/>
  <c r="N65" i="8" s="1"/>
  <c r="M65" i="8" s="1"/>
  <c r="L65" i="8" s="1"/>
  <c r="K65" i="8" s="1"/>
  <c r="J65" i="8" s="1"/>
  <c r="I65" i="8" s="1"/>
  <c r="U72" i="8"/>
  <c r="Z72" i="8"/>
  <c r="Y72" i="8" s="1"/>
  <c r="X72" i="8" s="1"/>
  <c r="W72" i="8" s="1"/>
  <c r="AC72" i="8"/>
  <c r="AB72" i="8"/>
  <c r="AA72" i="8"/>
  <c r="AF73" i="8"/>
  <c r="C73" i="8" s="1"/>
  <c r="AE73" i="8" s="1"/>
  <c r="AD73" i="8" s="1"/>
  <c r="AC77" i="8"/>
  <c r="U77" i="8"/>
  <c r="AA77" i="8"/>
  <c r="Z77" i="8"/>
  <c r="Y77" i="8" s="1"/>
  <c r="X77" i="8" s="1"/>
  <c r="W77" i="8" s="1"/>
  <c r="AB77" i="8"/>
  <c r="AB88" i="8"/>
  <c r="U88" i="8"/>
  <c r="Z88" i="8"/>
  <c r="Y88" i="8" s="1"/>
  <c r="X88" i="8" s="1"/>
  <c r="W88" i="8" s="1"/>
  <c r="AC88" i="8"/>
  <c r="AA88" i="8"/>
  <c r="AB95" i="8"/>
  <c r="U95" i="8"/>
  <c r="AA95" i="8"/>
  <c r="Z95" i="8"/>
  <c r="Y95" i="8" s="1"/>
  <c r="X95" i="8" s="1"/>
  <c r="W95" i="8" s="1"/>
  <c r="V95" i="8" s="1"/>
  <c r="T95" i="8" s="1"/>
  <c r="AC95" i="8"/>
  <c r="D713" i="10"/>
  <c r="D721" i="10"/>
  <c r="D728" i="10"/>
  <c r="Q61" i="8"/>
  <c r="R61" i="8" s="1"/>
  <c r="P61" i="8" s="1"/>
  <c r="O61" i="8" s="1"/>
  <c r="N61" i="8" s="1"/>
  <c r="M61" i="8" s="1"/>
  <c r="L61" i="8" s="1"/>
  <c r="K61" i="8" s="1"/>
  <c r="J61" i="8" s="1"/>
  <c r="I61" i="8" s="1"/>
  <c r="AF61" i="8"/>
  <c r="C61" i="8" s="1"/>
  <c r="AE61" i="8" s="1"/>
  <c r="AD61" i="8" s="1"/>
  <c r="AA82" i="8"/>
  <c r="AB82" i="8"/>
  <c r="U82" i="8"/>
  <c r="AC91" i="8"/>
  <c r="Z91" i="8"/>
  <c r="Y91" i="8" s="1"/>
  <c r="X91" i="8" s="1"/>
  <c r="W91" i="8" s="1"/>
  <c r="U91" i="8"/>
  <c r="AB103" i="8"/>
  <c r="AA103" i="8"/>
  <c r="U103" i="8"/>
  <c r="Z103" i="8"/>
  <c r="Y103" i="8" s="1"/>
  <c r="X103" i="8" s="1"/>
  <c r="W103" i="8" s="1"/>
  <c r="Z134" i="8"/>
  <c r="Y134" i="8" s="1"/>
  <c r="X134" i="8" s="1"/>
  <c r="W134" i="8" s="1"/>
  <c r="AC134" i="8"/>
  <c r="AB134" i="8"/>
  <c r="U134" i="8"/>
  <c r="AA134" i="8"/>
  <c r="AF81" i="8"/>
  <c r="C81" i="8" s="1"/>
  <c r="AE81" i="8" s="1"/>
  <c r="AD81" i="8" s="1"/>
  <c r="Q81" i="8"/>
  <c r="R81" i="8" s="1"/>
  <c r="P81" i="8" s="1"/>
  <c r="O81" i="8" s="1"/>
  <c r="N81" i="8" s="1"/>
  <c r="M81" i="8" s="1"/>
  <c r="L81" i="8" s="1"/>
  <c r="K81" i="8" s="1"/>
  <c r="J81" i="8" s="1"/>
  <c r="I81" i="8" s="1"/>
  <c r="U83" i="8"/>
  <c r="Q89" i="8"/>
  <c r="R89" i="8" s="1"/>
  <c r="P89" i="8" s="1"/>
  <c r="O89" i="8" s="1"/>
  <c r="N89" i="8" s="1"/>
  <c r="M89" i="8" s="1"/>
  <c r="L89" i="8" s="1"/>
  <c r="K89" i="8" s="1"/>
  <c r="J89" i="8" s="1"/>
  <c r="I89" i="8" s="1"/>
  <c r="AA91" i="8"/>
  <c r="AC93" i="8"/>
  <c r="U93" i="8"/>
  <c r="AA93" i="8"/>
  <c r="Z107" i="8"/>
  <c r="Y107" i="8" s="1"/>
  <c r="X107" i="8" s="1"/>
  <c r="W107" i="8" s="1"/>
  <c r="AA107" i="8"/>
  <c r="AC107" i="8"/>
  <c r="AB107" i="8"/>
  <c r="U107" i="8"/>
  <c r="D703" i="10"/>
  <c r="D711" i="10"/>
  <c r="D719" i="10"/>
  <c r="D726" i="10"/>
  <c r="AB91" i="8"/>
  <c r="U99" i="8"/>
  <c r="AB114" i="8"/>
  <c r="AA114" i="8"/>
  <c r="AC114" i="8"/>
  <c r="Z114" i="8"/>
  <c r="Y114" i="8" s="1"/>
  <c r="X114" i="8" s="1"/>
  <c r="W114" i="8" s="1"/>
  <c r="U114" i="8"/>
  <c r="D718" i="10"/>
  <c r="D725" i="10"/>
  <c r="D733" i="10"/>
  <c r="D738" i="10"/>
  <c r="D746" i="10"/>
  <c r="AB110" i="8"/>
  <c r="AA110" i="8"/>
  <c r="AC110" i="8"/>
  <c r="Z110" i="8"/>
  <c r="Y110" i="8" s="1"/>
  <c r="X110" i="8" s="1"/>
  <c r="W110" i="8" s="1"/>
  <c r="U110" i="8"/>
  <c r="AF113" i="8"/>
  <c r="C113" i="8" s="1"/>
  <c r="AE113" i="8" s="1"/>
  <c r="AD113" i="8" s="1"/>
  <c r="Q113" i="8"/>
  <c r="R113" i="8" s="1"/>
  <c r="P113" i="8" s="1"/>
  <c r="O113" i="8" s="1"/>
  <c r="N113" i="8" s="1"/>
  <c r="M113" i="8" s="1"/>
  <c r="L113" i="8" s="1"/>
  <c r="K113" i="8" s="1"/>
  <c r="J113" i="8" s="1"/>
  <c r="I113" i="8" s="1"/>
  <c r="Q115" i="8"/>
  <c r="R115" i="8" s="1"/>
  <c r="P115" i="8" s="1"/>
  <c r="O115" i="8" s="1"/>
  <c r="N115" i="8" s="1"/>
  <c r="M115" i="8" s="1"/>
  <c r="L115" i="8" s="1"/>
  <c r="K115" i="8" s="1"/>
  <c r="J115" i="8" s="1"/>
  <c r="I115" i="8" s="1"/>
  <c r="AF115" i="8"/>
  <c r="C115" i="8" s="1"/>
  <c r="AE115" i="8" s="1"/>
  <c r="AD115" i="8" s="1"/>
  <c r="AA98" i="8"/>
  <c r="U98" i="8"/>
  <c r="AB98" i="8"/>
  <c r="AC98" i="8"/>
  <c r="Z98" i="8"/>
  <c r="Y98" i="8" s="1"/>
  <c r="X98" i="8" s="1"/>
  <c r="W98" i="8" s="1"/>
  <c r="D716" i="10"/>
  <c r="D723" i="10"/>
  <c r="D731" i="10"/>
  <c r="D739" i="10"/>
  <c r="D747" i="10"/>
  <c r="D748" i="10"/>
  <c r="AC83" i="8"/>
  <c r="Z83" i="8"/>
  <c r="Y83" i="8" s="1"/>
  <c r="X83" i="8" s="1"/>
  <c r="W83" i="8" s="1"/>
  <c r="AC92" i="8"/>
  <c r="Z92" i="8"/>
  <c r="Y92" i="8" s="1"/>
  <c r="X92" i="8" s="1"/>
  <c r="W92" i="8" s="1"/>
  <c r="U92" i="8"/>
  <c r="AA92" i="8"/>
  <c r="AC99" i="8"/>
  <c r="Z99" i="8"/>
  <c r="Y99" i="8" s="1"/>
  <c r="X99" i="8" s="1"/>
  <c r="W99" i="8" s="1"/>
  <c r="AB99" i="8"/>
  <c r="AC105" i="8"/>
  <c r="U105" i="8"/>
  <c r="AA105" i="8"/>
  <c r="AB105" i="8"/>
  <c r="Z105" i="8"/>
  <c r="Y105" i="8" s="1"/>
  <c r="X105" i="8" s="1"/>
  <c r="W105" i="8" s="1"/>
  <c r="AB106" i="8"/>
  <c r="AA106" i="8"/>
  <c r="U106" i="8"/>
  <c r="AC106" i="8"/>
  <c r="Z106" i="8"/>
  <c r="Y106" i="8" s="1"/>
  <c r="X106" i="8" s="1"/>
  <c r="W106" i="8" s="1"/>
  <c r="AF109" i="8"/>
  <c r="C109" i="8" s="1"/>
  <c r="AE109" i="8" s="1"/>
  <c r="AD109" i="8" s="1"/>
  <c r="Q109" i="8"/>
  <c r="R109" i="8" s="1"/>
  <c r="P109" i="8" s="1"/>
  <c r="O109" i="8" s="1"/>
  <c r="N109" i="8" s="1"/>
  <c r="M109" i="8" s="1"/>
  <c r="L109" i="8" s="1"/>
  <c r="K109" i="8" s="1"/>
  <c r="J109" i="8" s="1"/>
  <c r="I109" i="8" s="1"/>
  <c r="Z123" i="8"/>
  <c r="Y123" i="8" s="1"/>
  <c r="X123" i="8" s="1"/>
  <c r="W123" i="8" s="1"/>
  <c r="AA123" i="8"/>
  <c r="U123" i="8"/>
  <c r="AC123" i="8"/>
  <c r="AC100" i="8"/>
  <c r="Z100" i="8"/>
  <c r="Y100" i="8" s="1"/>
  <c r="X100" i="8" s="1"/>
  <c r="W100" i="8" s="1"/>
  <c r="U100" i="8"/>
  <c r="AA100" i="8"/>
  <c r="AC101" i="8"/>
  <c r="U101" i="8"/>
  <c r="AA101" i="8"/>
  <c r="AB101" i="8"/>
  <c r="Z101" i="8"/>
  <c r="Y101" i="8" s="1"/>
  <c r="X101" i="8" s="1"/>
  <c r="W101" i="8" s="1"/>
  <c r="V101" i="8" s="1"/>
  <c r="T101" i="8" s="1"/>
  <c r="D706" i="10"/>
  <c r="D714" i="10"/>
  <c r="D722" i="10"/>
  <c r="D729" i="10"/>
  <c r="D741" i="10"/>
  <c r="Q70" i="8"/>
  <c r="R70" i="8" s="1"/>
  <c r="P70" i="8" s="1"/>
  <c r="O70" i="8" s="1"/>
  <c r="N70" i="8" s="1"/>
  <c r="M70" i="8" s="1"/>
  <c r="L70" i="8" s="1"/>
  <c r="K70" i="8" s="1"/>
  <c r="J70" i="8" s="1"/>
  <c r="I70" i="8" s="1"/>
  <c r="AB80" i="8"/>
  <c r="U80" i="8"/>
  <c r="Z80" i="8"/>
  <c r="Y80" i="8" s="1"/>
  <c r="X80" i="8" s="1"/>
  <c r="W80" i="8" s="1"/>
  <c r="AC80" i="8"/>
  <c r="AC82" i="8"/>
  <c r="AF97" i="8"/>
  <c r="C97" i="8" s="1"/>
  <c r="AE97" i="8" s="1"/>
  <c r="AD97" i="8" s="1"/>
  <c r="Q97" i="8"/>
  <c r="R97" i="8" s="1"/>
  <c r="P97" i="8" s="1"/>
  <c r="O97" i="8" s="1"/>
  <c r="N97" i="8" s="1"/>
  <c r="M97" i="8" s="1"/>
  <c r="L97" i="8" s="1"/>
  <c r="K97" i="8" s="1"/>
  <c r="J97" i="8" s="1"/>
  <c r="I97" i="8" s="1"/>
  <c r="AC103" i="8"/>
  <c r="Q111" i="8"/>
  <c r="R111" i="8" s="1"/>
  <c r="P111" i="8" s="1"/>
  <c r="O111" i="8" s="1"/>
  <c r="N111" i="8" s="1"/>
  <c r="M111" i="8" s="1"/>
  <c r="L111" i="8" s="1"/>
  <c r="K111" i="8" s="1"/>
  <c r="J111" i="8" s="1"/>
  <c r="I111" i="8" s="1"/>
  <c r="AF111" i="8"/>
  <c r="C111" i="8" s="1"/>
  <c r="AE111" i="8" s="1"/>
  <c r="AD111" i="8" s="1"/>
  <c r="AC183" i="8"/>
  <c r="U183" i="8"/>
  <c r="Z183" i="8"/>
  <c r="Y183" i="8" s="1"/>
  <c r="X183" i="8" s="1"/>
  <c r="W183" i="8" s="1"/>
  <c r="AA183" i="8"/>
  <c r="AB183" i="8"/>
  <c r="D734" i="10"/>
  <c r="D742" i="10"/>
  <c r="D749" i="10"/>
  <c r="Q82" i="8"/>
  <c r="R82" i="8" s="1"/>
  <c r="P82" i="8" s="1"/>
  <c r="O82" i="8" s="1"/>
  <c r="N82" i="8" s="1"/>
  <c r="M82" i="8" s="1"/>
  <c r="L82" i="8" s="1"/>
  <c r="K82" i="8" s="1"/>
  <c r="J82" i="8" s="1"/>
  <c r="I82" i="8" s="1"/>
  <c r="AC108" i="8"/>
  <c r="AB108" i="8"/>
  <c r="AA108" i="8"/>
  <c r="Z108" i="8"/>
  <c r="Y108" i="8" s="1"/>
  <c r="X108" i="8" s="1"/>
  <c r="W108" i="8" s="1"/>
  <c r="U108" i="8"/>
  <c r="AB122" i="8"/>
  <c r="AA122" i="8"/>
  <c r="Z122" i="8"/>
  <c r="Y122" i="8" s="1"/>
  <c r="X122" i="8" s="1"/>
  <c r="W122" i="8" s="1"/>
  <c r="AC228" i="8"/>
  <c r="U228" i="8"/>
  <c r="AB228" i="8"/>
  <c r="AA228" i="8"/>
  <c r="Z228" i="8"/>
  <c r="Y228" i="8" s="1"/>
  <c r="X228" i="8" s="1"/>
  <c r="W228" i="8" s="1"/>
  <c r="AC156" i="8"/>
  <c r="U156" i="8"/>
  <c r="AA156" i="8"/>
  <c r="Z156" i="8"/>
  <c r="Y156" i="8" s="1"/>
  <c r="X156" i="8" s="1"/>
  <c r="W156" i="8" s="1"/>
  <c r="AB156" i="8"/>
  <c r="AB158" i="8"/>
  <c r="AC158" i="8"/>
  <c r="AA158" i="8"/>
  <c r="Z158" i="8"/>
  <c r="Y158" i="8" s="1"/>
  <c r="X158" i="8" s="1"/>
  <c r="W158" i="8" s="1"/>
  <c r="U158" i="8"/>
  <c r="AC160" i="8"/>
  <c r="U160" i="8"/>
  <c r="AA160" i="8"/>
  <c r="Z160" i="8"/>
  <c r="Y160" i="8" s="1"/>
  <c r="X160" i="8" s="1"/>
  <c r="W160" i="8" s="1"/>
  <c r="AB160" i="8"/>
  <c r="AC199" i="8"/>
  <c r="U199" i="8"/>
  <c r="Z199" i="8"/>
  <c r="Y199" i="8" s="1"/>
  <c r="X199" i="8" s="1"/>
  <c r="W199" i="8" s="1"/>
  <c r="AA199" i="8"/>
  <c r="AB199" i="8"/>
  <c r="Z142" i="8"/>
  <c r="Y142" i="8" s="1"/>
  <c r="X142" i="8" s="1"/>
  <c r="W142" i="8" s="1"/>
  <c r="AC142" i="8"/>
  <c r="AB142" i="8"/>
  <c r="AA142" i="8"/>
  <c r="U142" i="8"/>
  <c r="Q182" i="8"/>
  <c r="R182" i="8" s="1"/>
  <c r="P182" i="8" s="1"/>
  <c r="O182" i="8" s="1"/>
  <c r="N182" i="8" s="1"/>
  <c r="M182" i="8" s="1"/>
  <c r="L182" i="8" s="1"/>
  <c r="K182" i="8" s="1"/>
  <c r="J182" i="8" s="1"/>
  <c r="I182" i="8" s="1"/>
  <c r="AF182" i="8"/>
  <c r="C182" i="8" s="1"/>
  <c r="AE182" i="8" s="1"/>
  <c r="AD182" i="8" s="1"/>
  <c r="AA218" i="8"/>
  <c r="AB218" i="8"/>
  <c r="U218" i="8"/>
  <c r="AC218" i="8"/>
  <c r="Z218" i="8"/>
  <c r="Y218" i="8" s="1"/>
  <c r="X218" i="8" s="1"/>
  <c r="W218" i="8" s="1"/>
  <c r="U122" i="8"/>
  <c r="Z131" i="8"/>
  <c r="Y131" i="8" s="1"/>
  <c r="X131" i="8" s="1"/>
  <c r="W131" i="8" s="1"/>
  <c r="AA131" i="8"/>
  <c r="AB131" i="8"/>
  <c r="U131" i="8"/>
  <c r="AF137" i="8"/>
  <c r="C137" i="8" s="1"/>
  <c r="AE137" i="8" s="1"/>
  <c r="AD137" i="8" s="1"/>
  <c r="Q137" i="8"/>
  <c r="R137" i="8" s="1"/>
  <c r="P137" i="8" s="1"/>
  <c r="O137" i="8" s="1"/>
  <c r="N137" i="8" s="1"/>
  <c r="M137" i="8" s="1"/>
  <c r="L137" i="8" s="1"/>
  <c r="K137" i="8" s="1"/>
  <c r="J137" i="8" s="1"/>
  <c r="I137" i="8" s="1"/>
  <c r="AB146" i="8"/>
  <c r="AA146" i="8"/>
  <c r="U146" i="8"/>
  <c r="Z146" i="8"/>
  <c r="Y146" i="8" s="1"/>
  <c r="X146" i="8" s="1"/>
  <c r="W146" i="8" s="1"/>
  <c r="AC146" i="8"/>
  <c r="Z151" i="8"/>
  <c r="Y151" i="8" s="1"/>
  <c r="X151" i="8" s="1"/>
  <c r="W151" i="8" s="1"/>
  <c r="U151" i="8"/>
  <c r="AA151" i="8"/>
  <c r="AB151" i="8"/>
  <c r="AC151" i="8"/>
  <c r="D737" i="10"/>
  <c r="D745" i="10"/>
  <c r="Q74" i="8"/>
  <c r="R74" i="8" s="1"/>
  <c r="P74" i="8" s="1"/>
  <c r="O74" i="8" s="1"/>
  <c r="N74" i="8" s="1"/>
  <c r="M74" i="8" s="1"/>
  <c r="L74" i="8" s="1"/>
  <c r="K74" i="8" s="1"/>
  <c r="J74" i="8" s="1"/>
  <c r="I74" i="8" s="1"/>
  <c r="AB112" i="8"/>
  <c r="AA112" i="8"/>
  <c r="Z112" i="8"/>
  <c r="Y112" i="8" s="1"/>
  <c r="X112" i="8" s="1"/>
  <c r="W112" i="8" s="1"/>
  <c r="U112" i="8"/>
  <c r="AB118" i="8"/>
  <c r="AA118" i="8"/>
  <c r="Z118" i="8"/>
  <c r="Y118" i="8" s="1"/>
  <c r="X118" i="8" s="1"/>
  <c r="W118" i="8" s="1"/>
  <c r="U118" i="8"/>
  <c r="Z120" i="8"/>
  <c r="Y120" i="8" s="1"/>
  <c r="X120" i="8" s="1"/>
  <c r="W120" i="8" s="1"/>
  <c r="U120" i="8"/>
  <c r="AC120" i="8"/>
  <c r="AB120" i="8"/>
  <c r="AC121" i="8"/>
  <c r="U121" i="8"/>
  <c r="AB121" i="8"/>
  <c r="AA121" i="8"/>
  <c r="Z121" i="8"/>
  <c r="Y121" i="8" s="1"/>
  <c r="X121" i="8" s="1"/>
  <c r="W121" i="8" s="1"/>
  <c r="Q123" i="8"/>
  <c r="R123" i="8" s="1"/>
  <c r="P123" i="8" s="1"/>
  <c r="O123" i="8" s="1"/>
  <c r="N123" i="8" s="1"/>
  <c r="M123" i="8" s="1"/>
  <c r="L123" i="8" s="1"/>
  <c r="K123" i="8" s="1"/>
  <c r="J123" i="8" s="1"/>
  <c r="I123" i="8" s="1"/>
  <c r="AC139" i="8"/>
  <c r="Z139" i="8"/>
  <c r="Y139" i="8" s="1"/>
  <c r="X139" i="8" s="1"/>
  <c r="W139" i="8" s="1"/>
  <c r="AB139" i="8"/>
  <c r="AA139" i="8"/>
  <c r="U139" i="8"/>
  <c r="AB170" i="8"/>
  <c r="AC170" i="8"/>
  <c r="AA170" i="8"/>
  <c r="U170" i="8"/>
  <c r="Z170" i="8"/>
  <c r="Y170" i="8" s="1"/>
  <c r="X170" i="8" s="1"/>
  <c r="W170" i="8" s="1"/>
  <c r="AB174" i="8"/>
  <c r="AC174" i="8"/>
  <c r="AA174" i="8"/>
  <c r="Z174" i="8"/>
  <c r="Y174" i="8" s="1"/>
  <c r="X174" i="8" s="1"/>
  <c r="W174" i="8" s="1"/>
  <c r="U174" i="8"/>
  <c r="Z179" i="8"/>
  <c r="Y179" i="8" s="1"/>
  <c r="X179" i="8" s="1"/>
  <c r="W179" i="8" s="1"/>
  <c r="U179" i="8"/>
  <c r="AB179" i="8"/>
  <c r="AA179" i="8"/>
  <c r="AC179" i="8"/>
  <c r="Q98" i="8"/>
  <c r="R98" i="8" s="1"/>
  <c r="P98" i="8" s="1"/>
  <c r="O98" i="8" s="1"/>
  <c r="N98" i="8" s="1"/>
  <c r="M98" i="8" s="1"/>
  <c r="L98" i="8" s="1"/>
  <c r="K98" i="8" s="1"/>
  <c r="J98" i="8" s="1"/>
  <c r="I98" i="8" s="1"/>
  <c r="AC104" i="8"/>
  <c r="AB104" i="8"/>
  <c r="AA104" i="8"/>
  <c r="AB132" i="8"/>
  <c r="AA132" i="8"/>
  <c r="Z132" i="8"/>
  <c r="Y132" i="8" s="1"/>
  <c r="X132" i="8" s="1"/>
  <c r="W132" i="8" s="1"/>
  <c r="U132" i="8"/>
  <c r="AB154" i="8"/>
  <c r="AC154" i="8"/>
  <c r="AA154" i="8"/>
  <c r="Z154" i="8"/>
  <c r="Y154" i="8" s="1"/>
  <c r="X154" i="8" s="1"/>
  <c r="W154" i="8" s="1"/>
  <c r="U154" i="8"/>
  <c r="AB166" i="8"/>
  <c r="AC166" i="8"/>
  <c r="AA166" i="8"/>
  <c r="U166" i="8"/>
  <c r="AC116" i="8"/>
  <c r="Q134" i="8"/>
  <c r="R134" i="8" s="1"/>
  <c r="P134" i="8" s="1"/>
  <c r="O134" i="8" s="1"/>
  <c r="N134" i="8" s="1"/>
  <c r="M134" i="8" s="1"/>
  <c r="L134" i="8" s="1"/>
  <c r="K134" i="8" s="1"/>
  <c r="J134" i="8" s="1"/>
  <c r="I134" i="8" s="1"/>
  <c r="Z135" i="8"/>
  <c r="Y135" i="8" s="1"/>
  <c r="X135" i="8" s="1"/>
  <c r="W135" i="8" s="1"/>
  <c r="AC196" i="8"/>
  <c r="U196" i="8"/>
  <c r="AB196" i="8"/>
  <c r="AA196" i="8"/>
  <c r="Z196" i="8"/>
  <c r="Y196" i="8" s="1"/>
  <c r="X196" i="8" s="1"/>
  <c r="W196" i="8" s="1"/>
  <c r="AC212" i="8"/>
  <c r="U212" i="8"/>
  <c r="AB212" i="8"/>
  <c r="AA212" i="8"/>
  <c r="Z212" i="8"/>
  <c r="Y212" i="8" s="1"/>
  <c r="X212" i="8" s="1"/>
  <c r="W212" i="8" s="1"/>
  <c r="AF148" i="8"/>
  <c r="C148" i="8" s="1"/>
  <c r="AE148" i="8" s="1"/>
  <c r="AD148" i="8" s="1"/>
  <c r="AB150" i="8"/>
  <c r="AA150" i="8"/>
  <c r="AC150" i="8"/>
  <c r="Z150" i="8"/>
  <c r="Y150" i="8" s="1"/>
  <c r="X150" i="8" s="1"/>
  <c r="W150" i="8" s="1"/>
  <c r="Z155" i="8"/>
  <c r="Y155" i="8" s="1"/>
  <c r="X155" i="8" s="1"/>
  <c r="W155" i="8" s="1"/>
  <c r="U155" i="8"/>
  <c r="AB155" i="8"/>
  <c r="AA155" i="8"/>
  <c r="AC155" i="8"/>
  <c r="Z167" i="8"/>
  <c r="Y167" i="8" s="1"/>
  <c r="X167" i="8" s="1"/>
  <c r="W167" i="8" s="1"/>
  <c r="U167" i="8"/>
  <c r="AB167" i="8"/>
  <c r="AA167" i="8"/>
  <c r="AC167" i="8"/>
  <c r="AC168" i="8"/>
  <c r="U168" i="8"/>
  <c r="AA168" i="8"/>
  <c r="Z168" i="8"/>
  <c r="Y168" i="8" s="1"/>
  <c r="X168" i="8" s="1"/>
  <c r="W168" i="8" s="1"/>
  <c r="AB168" i="8"/>
  <c r="AC176" i="8"/>
  <c r="U176" i="8"/>
  <c r="AA176" i="8"/>
  <c r="Z176" i="8"/>
  <c r="Y176" i="8" s="1"/>
  <c r="X176" i="8" s="1"/>
  <c r="W176" i="8" s="1"/>
  <c r="AC135" i="8"/>
  <c r="AB135" i="8"/>
  <c r="U135" i="8"/>
  <c r="Z159" i="8"/>
  <c r="Y159" i="8" s="1"/>
  <c r="X159" i="8" s="1"/>
  <c r="W159" i="8" s="1"/>
  <c r="U159" i="8"/>
  <c r="AC159" i="8"/>
  <c r="AB159" i="8"/>
  <c r="AA159" i="8"/>
  <c r="AB162" i="8"/>
  <c r="AC162" i="8"/>
  <c r="AA162" i="8"/>
  <c r="Z162" i="8"/>
  <c r="Y162" i="8" s="1"/>
  <c r="X162" i="8" s="1"/>
  <c r="W162" i="8" s="1"/>
  <c r="Z175" i="8"/>
  <c r="Y175" i="8" s="1"/>
  <c r="X175" i="8" s="1"/>
  <c r="W175" i="8" s="1"/>
  <c r="U175" i="8"/>
  <c r="AB175" i="8"/>
  <c r="AC175" i="8"/>
  <c r="AA175" i="8"/>
  <c r="AA190" i="8"/>
  <c r="AB190" i="8"/>
  <c r="U190" i="8"/>
  <c r="AC190" i="8"/>
  <c r="Z190" i="8"/>
  <c r="Y190" i="8" s="1"/>
  <c r="X190" i="8" s="1"/>
  <c r="W190" i="8" s="1"/>
  <c r="AA206" i="8"/>
  <c r="AB206" i="8"/>
  <c r="U206" i="8"/>
  <c r="AC206" i="8"/>
  <c r="Z206" i="8"/>
  <c r="Y206" i="8" s="1"/>
  <c r="X206" i="8" s="1"/>
  <c r="W206" i="8" s="1"/>
  <c r="AC216" i="8"/>
  <c r="U216" i="8"/>
  <c r="AB216" i="8"/>
  <c r="AA216" i="8"/>
  <c r="Z216" i="8"/>
  <c r="Y216" i="8" s="1"/>
  <c r="X216" i="8" s="1"/>
  <c r="W216" i="8" s="1"/>
  <c r="AA234" i="8"/>
  <c r="AB234" i="8"/>
  <c r="AC234" i="8"/>
  <c r="U234" i="8"/>
  <c r="Z234" i="8"/>
  <c r="Y234" i="8" s="1"/>
  <c r="X234" i="8" s="1"/>
  <c r="W234" i="8" s="1"/>
  <c r="Q255" i="8"/>
  <c r="R255" i="8" s="1"/>
  <c r="P255" i="8" s="1"/>
  <c r="O255" i="8" s="1"/>
  <c r="N255" i="8" s="1"/>
  <c r="M255" i="8" s="1"/>
  <c r="L255" i="8" s="1"/>
  <c r="K255" i="8" s="1"/>
  <c r="J255" i="8" s="1"/>
  <c r="I255" i="8" s="1"/>
  <c r="AF255" i="8"/>
  <c r="C255" i="8" s="1"/>
  <c r="AE255" i="8" s="1"/>
  <c r="AD255" i="8" s="1"/>
  <c r="AF136" i="8"/>
  <c r="C136" i="8" s="1"/>
  <c r="AE136" i="8" s="1"/>
  <c r="AD136" i="8" s="1"/>
  <c r="Z140" i="8"/>
  <c r="Y140" i="8" s="1"/>
  <c r="X140" i="8" s="1"/>
  <c r="W140" i="8" s="1"/>
  <c r="U140" i="8"/>
  <c r="AA140" i="8"/>
  <c r="AC152" i="8"/>
  <c r="U152" i="8"/>
  <c r="AA152" i="8"/>
  <c r="Z152" i="8"/>
  <c r="Y152" i="8" s="1"/>
  <c r="X152" i="8" s="1"/>
  <c r="W152" i="8" s="1"/>
  <c r="AF165" i="8"/>
  <c r="C165" i="8" s="1"/>
  <c r="AE165" i="8" s="1"/>
  <c r="AD165" i="8" s="1"/>
  <c r="Q165" i="8"/>
  <c r="R165" i="8" s="1"/>
  <c r="P165" i="8" s="1"/>
  <c r="O165" i="8" s="1"/>
  <c r="N165" i="8" s="1"/>
  <c r="M165" i="8" s="1"/>
  <c r="L165" i="8" s="1"/>
  <c r="K165" i="8" s="1"/>
  <c r="J165" i="8" s="1"/>
  <c r="I165" i="8" s="1"/>
  <c r="AC172" i="8"/>
  <c r="U172" i="8"/>
  <c r="AA172" i="8"/>
  <c r="Z172" i="8"/>
  <c r="Y172" i="8" s="1"/>
  <c r="X172" i="8" s="1"/>
  <c r="W172" i="8" s="1"/>
  <c r="AB172" i="8"/>
  <c r="AC224" i="8"/>
  <c r="U224" i="8"/>
  <c r="AB224" i="8"/>
  <c r="AA224" i="8"/>
  <c r="Z224" i="8"/>
  <c r="Y224" i="8" s="1"/>
  <c r="X224" i="8" s="1"/>
  <c r="W224" i="8" s="1"/>
  <c r="Q131" i="8"/>
  <c r="R131" i="8" s="1"/>
  <c r="P131" i="8" s="1"/>
  <c r="O131" i="8" s="1"/>
  <c r="N131" i="8" s="1"/>
  <c r="M131" i="8" s="1"/>
  <c r="L131" i="8" s="1"/>
  <c r="K131" i="8" s="1"/>
  <c r="J131" i="8" s="1"/>
  <c r="I131" i="8" s="1"/>
  <c r="AC133" i="8"/>
  <c r="U133" i="8"/>
  <c r="Z133" i="8"/>
  <c r="Y133" i="8" s="1"/>
  <c r="X133" i="8" s="1"/>
  <c r="W133" i="8" s="1"/>
  <c r="Q141" i="8"/>
  <c r="R141" i="8" s="1"/>
  <c r="P141" i="8" s="1"/>
  <c r="O141" i="8" s="1"/>
  <c r="N141" i="8" s="1"/>
  <c r="M141" i="8" s="1"/>
  <c r="L141" i="8" s="1"/>
  <c r="K141" i="8" s="1"/>
  <c r="J141" i="8" s="1"/>
  <c r="I141" i="8" s="1"/>
  <c r="AF141" i="8"/>
  <c r="C141" i="8" s="1"/>
  <c r="AE141" i="8" s="1"/>
  <c r="AD141" i="8" s="1"/>
  <c r="AC143" i="8"/>
  <c r="AB143" i="8"/>
  <c r="AA143" i="8"/>
  <c r="U143" i="8"/>
  <c r="AB178" i="8"/>
  <c r="AC178" i="8"/>
  <c r="AA178" i="8"/>
  <c r="Z178" i="8"/>
  <c r="Y178" i="8" s="1"/>
  <c r="X178" i="8" s="1"/>
  <c r="W178" i="8" s="1"/>
  <c r="U178" i="8"/>
  <c r="AC184" i="8"/>
  <c r="U184" i="8"/>
  <c r="AB184" i="8"/>
  <c r="AA184" i="8"/>
  <c r="Z184" i="8"/>
  <c r="Y184" i="8" s="1"/>
  <c r="X184" i="8" s="1"/>
  <c r="W184" i="8" s="1"/>
  <c r="AC200" i="8"/>
  <c r="U200" i="8"/>
  <c r="AB200" i="8"/>
  <c r="AA200" i="8"/>
  <c r="Z200" i="8"/>
  <c r="Y200" i="8" s="1"/>
  <c r="X200" i="8" s="1"/>
  <c r="W200" i="8" s="1"/>
  <c r="Z251" i="8"/>
  <c r="Y251" i="8" s="1"/>
  <c r="X251" i="8" s="1"/>
  <c r="W251" i="8" s="1"/>
  <c r="AC251" i="8"/>
  <c r="U251" i="8"/>
  <c r="AB251" i="8"/>
  <c r="AA251" i="8"/>
  <c r="Z116" i="8"/>
  <c r="Y116" i="8" s="1"/>
  <c r="X116" i="8" s="1"/>
  <c r="W116" i="8" s="1"/>
  <c r="Q121" i="8"/>
  <c r="R121" i="8" s="1"/>
  <c r="P121" i="8" s="1"/>
  <c r="O121" i="8" s="1"/>
  <c r="N121" i="8" s="1"/>
  <c r="M121" i="8" s="1"/>
  <c r="L121" i="8" s="1"/>
  <c r="K121" i="8" s="1"/>
  <c r="J121" i="8" s="1"/>
  <c r="I121" i="8" s="1"/>
  <c r="C125" i="8"/>
  <c r="AE125" i="8" s="1"/>
  <c r="AD125" i="8" s="1"/>
  <c r="AF144" i="8"/>
  <c r="C144" i="8" s="1"/>
  <c r="AE144" i="8" s="1"/>
  <c r="AD144" i="8" s="1"/>
  <c r="Q148" i="8"/>
  <c r="R148" i="8" s="1"/>
  <c r="P148" i="8" s="1"/>
  <c r="O148" i="8" s="1"/>
  <c r="N148" i="8" s="1"/>
  <c r="M148" i="8" s="1"/>
  <c r="L148" i="8" s="1"/>
  <c r="K148" i="8" s="1"/>
  <c r="J148" i="8" s="1"/>
  <c r="I148" i="8" s="1"/>
  <c r="AF153" i="8"/>
  <c r="C153" i="8" s="1"/>
  <c r="AE153" i="8" s="1"/>
  <c r="AD153" i="8" s="1"/>
  <c r="Q153" i="8"/>
  <c r="R153" i="8" s="1"/>
  <c r="P153" i="8" s="1"/>
  <c r="O153" i="8" s="1"/>
  <c r="N153" i="8" s="1"/>
  <c r="M153" i="8" s="1"/>
  <c r="L153" i="8" s="1"/>
  <c r="K153" i="8" s="1"/>
  <c r="J153" i="8" s="1"/>
  <c r="I153" i="8" s="1"/>
  <c r="Z163" i="8"/>
  <c r="Y163" i="8" s="1"/>
  <c r="X163" i="8" s="1"/>
  <c r="W163" i="8" s="1"/>
  <c r="U163" i="8"/>
  <c r="AC163" i="8"/>
  <c r="AB163" i="8"/>
  <c r="AC164" i="8"/>
  <c r="U164" i="8"/>
  <c r="AA164" i="8"/>
  <c r="Z164" i="8"/>
  <c r="Y164" i="8" s="1"/>
  <c r="X164" i="8" s="1"/>
  <c r="W164" i="8" s="1"/>
  <c r="AB164" i="8"/>
  <c r="Q185" i="8"/>
  <c r="R185" i="8" s="1"/>
  <c r="P185" i="8" s="1"/>
  <c r="O185" i="8" s="1"/>
  <c r="N185" i="8" s="1"/>
  <c r="M185" i="8" s="1"/>
  <c r="L185" i="8" s="1"/>
  <c r="K185" i="8" s="1"/>
  <c r="J185" i="8" s="1"/>
  <c r="I185" i="8" s="1"/>
  <c r="AF185" i="8"/>
  <c r="C185" i="8" s="1"/>
  <c r="AE185" i="8" s="1"/>
  <c r="AD185" i="8" s="1"/>
  <c r="Q201" i="8"/>
  <c r="R201" i="8" s="1"/>
  <c r="P201" i="8" s="1"/>
  <c r="O201" i="8" s="1"/>
  <c r="N201" i="8" s="1"/>
  <c r="M201" i="8" s="1"/>
  <c r="L201" i="8" s="1"/>
  <c r="K201" i="8" s="1"/>
  <c r="J201" i="8" s="1"/>
  <c r="I201" i="8" s="1"/>
  <c r="AF201" i="8"/>
  <c r="C201" i="8" s="1"/>
  <c r="AE201" i="8" s="1"/>
  <c r="AD201" i="8" s="1"/>
  <c r="AC220" i="8"/>
  <c r="U220" i="8"/>
  <c r="AB220" i="8"/>
  <c r="AA220" i="8"/>
  <c r="Z220" i="8"/>
  <c r="Y220" i="8" s="1"/>
  <c r="X220" i="8" s="1"/>
  <c r="W220" i="8" s="1"/>
  <c r="AF117" i="8"/>
  <c r="C117" i="8" s="1"/>
  <c r="AE117" i="8" s="1"/>
  <c r="AD117" i="8" s="1"/>
  <c r="AF119" i="8"/>
  <c r="C119" i="8" s="1"/>
  <c r="AE119" i="8" s="1"/>
  <c r="AD119" i="8" s="1"/>
  <c r="AA133" i="8"/>
  <c r="AF145" i="8"/>
  <c r="C145" i="8" s="1"/>
  <c r="AE145" i="8" s="1"/>
  <c r="AD145" i="8" s="1"/>
  <c r="Q145" i="8"/>
  <c r="R145" i="8" s="1"/>
  <c r="P145" i="8" s="1"/>
  <c r="O145" i="8" s="1"/>
  <c r="N145" i="8" s="1"/>
  <c r="M145" i="8" s="1"/>
  <c r="L145" i="8" s="1"/>
  <c r="K145" i="8" s="1"/>
  <c r="J145" i="8" s="1"/>
  <c r="I145" i="8" s="1"/>
  <c r="U150" i="8"/>
  <c r="AF161" i="8"/>
  <c r="C161" i="8" s="1"/>
  <c r="AE161" i="8" s="1"/>
  <c r="AD161" i="8" s="1"/>
  <c r="AC192" i="8"/>
  <c r="U192" i="8"/>
  <c r="AB192" i="8"/>
  <c r="AA192" i="8"/>
  <c r="Z192" i="8"/>
  <c r="Y192" i="8" s="1"/>
  <c r="X192" i="8" s="1"/>
  <c r="W192" i="8" s="1"/>
  <c r="AC208" i="8"/>
  <c r="U208" i="8"/>
  <c r="AB208" i="8"/>
  <c r="AA208" i="8"/>
  <c r="Z208" i="8"/>
  <c r="Y208" i="8" s="1"/>
  <c r="X208" i="8" s="1"/>
  <c r="W208" i="8" s="1"/>
  <c r="AC232" i="8"/>
  <c r="U232" i="8"/>
  <c r="AB232" i="8"/>
  <c r="AA232" i="8"/>
  <c r="Z232" i="8"/>
  <c r="Y232" i="8" s="1"/>
  <c r="X232" i="8" s="1"/>
  <c r="W232" i="8" s="1"/>
  <c r="Q247" i="8"/>
  <c r="R247" i="8" s="1"/>
  <c r="P247" i="8" s="1"/>
  <c r="O247" i="8" s="1"/>
  <c r="N247" i="8" s="1"/>
  <c r="M247" i="8" s="1"/>
  <c r="L247" i="8" s="1"/>
  <c r="K247" i="8" s="1"/>
  <c r="J247" i="8" s="1"/>
  <c r="I247" i="8" s="1"/>
  <c r="AF247" i="8"/>
  <c r="C247" i="8" s="1"/>
  <c r="AE247" i="8" s="1"/>
  <c r="AD247" i="8" s="1"/>
  <c r="AF147" i="8"/>
  <c r="C147" i="8" s="1"/>
  <c r="AE147" i="8" s="1"/>
  <c r="AD147" i="8" s="1"/>
  <c r="Z171" i="8"/>
  <c r="Y171" i="8" s="1"/>
  <c r="X171" i="8" s="1"/>
  <c r="W171" i="8" s="1"/>
  <c r="U171" i="8"/>
  <c r="AB171" i="8"/>
  <c r="AC180" i="8"/>
  <c r="U180" i="8"/>
  <c r="AB180" i="8"/>
  <c r="AF181" i="8"/>
  <c r="C181" i="8" s="1"/>
  <c r="AE181" i="8" s="1"/>
  <c r="AD181" i="8" s="1"/>
  <c r="AA186" i="8"/>
  <c r="AB186" i="8"/>
  <c r="U186" i="8"/>
  <c r="AC195" i="8"/>
  <c r="U195" i="8"/>
  <c r="Z195" i="8"/>
  <c r="Y195" i="8" s="1"/>
  <c r="X195" i="8" s="1"/>
  <c r="W195" i="8" s="1"/>
  <c r="AA195" i="8"/>
  <c r="Q197" i="8"/>
  <c r="R197" i="8" s="1"/>
  <c r="P197" i="8" s="1"/>
  <c r="O197" i="8" s="1"/>
  <c r="N197" i="8" s="1"/>
  <c r="M197" i="8" s="1"/>
  <c r="L197" i="8" s="1"/>
  <c r="K197" i="8" s="1"/>
  <c r="J197" i="8" s="1"/>
  <c r="I197" i="8" s="1"/>
  <c r="AF197" i="8"/>
  <c r="C197" i="8" s="1"/>
  <c r="AE197" i="8" s="1"/>
  <c r="AD197" i="8" s="1"/>
  <c r="AA202" i="8"/>
  <c r="AB202" i="8"/>
  <c r="U202" i="8"/>
  <c r="AA222" i="8"/>
  <c r="AB222" i="8"/>
  <c r="U222" i="8"/>
  <c r="AC222" i="8"/>
  <c r="AB240" i="8"/>
  <c r="AA240" i="8"/>
  <c r="U240" i="8"/>
  <c r="AC240" i="8"/>
  <c r="AB242" i="8"/>
  <c r="AA242" i="8"/>
  <c r="AC242" i="8"/>
  <c r="U242" i="8"/>
  <c r="Z242" i="8"/>
  <c r="Y242" i="8" s="1"/>
  <c r="X242" i="8" s="1"/>
  <c r="W242" i="8" s="1"/>
  <c r="AF157" i="8"/>
  <c r="C157" i="8" s="1"/>
  <c r="AE157" i="8" s="1"/>
  <c r="AD157" i="8" s="1"/>
  <c r="AC188" i="8"/>
  <c r="U188" i="8"/>
  <c r="AB188" i="8"/>
  <c r="AA188" i="8"/>
  <c r="Z188" i="8"/>
  <c r="Y188" i="8" s="1"/>
  <c r="X188" i="8" s="1"/>
  <c r="W188" i="8" s="1"/>
  <c r="AC204" i="8"/>
  <c r="U204" i="8"/>
  <c r="AB204" i="8"/>
  <c r="AA204" i="8"/>
  <c r="Z204" i="8"/>
  <c r="Y204" i="8" s="1"/>
  <c r="X204" i="8" s="1"/>
  <c r="W204" i="8" s="1"/>
  <c r="AA214" i="8"/>
  <c r="AB214" i="8"/>
  <c r="U214" i="8"/>
  <c r="AC214" i="8"/>
  <c r="Q221" i="8"/>
  <c r="R221" i="8" s="1"/>
  <c r="P221" i="8" s="1"/>
  <c r="O221" i="8" s="1"/>
  <c r="N221" i="8" s="1"/>
  <c r="M221" i="8" s="1"/>
  <c r="L221" i="8" s="1"/>
  <c r="K221" i="8" s="1"/>
  <c r="J221" i="8" s="1"/>
  <c r="I221" i="8" s="1"/>
  <c r="AF221" i="8"/>
  <c r="C221" i="8" s="1"/>
  <c r="AE221" i="8" s="1"/>
  <c r="AD221" i="8" s="1"/>
  <c r="AA226" i="8"/>
  <c r="AB226" i="8"/>
  <c r="AC226" i="8"/>
  <c r="U226" i="8"/>
  <c r="AC187" i="8"/>
  <c r="U187" i="8"/>
  <c r="Z187" i="8"/>
  <c r="Y187" i="8" s="1"/>
  <c r="X187" i="8" s="1"/>
  <c r="W187" i="8" s="1"/>
  <c r="AA187" i="8"/>
  <c r="Q189" i="8"/>
  <c r="R189" i="8" s="1"/>
  <c r="P189" i="8" s="1"/>
  <c r="O189" i="8" s="1"/>
  <c r="N189" i="8" s="1"/>
  <c r="M189" i="8" s="1"/>
  <c r="L189" i="8" s="1"/>
  <c r="K189" i="8" s="1"/>
  <c r="J189" i="8" s="1"/>
  <c r="I189" i="8" s="1"/>
  <c r="AF189" i="8"/>
  <c r="C189" i="8" s="1"/>
  <c r="AE189" i="8" s="1"/>
  <c r="AD189" i="8" s="1"/>
  <c r="AA194" i="8"/>
  <c r="AB194" i="8"/>
  <c r="U194" i="8"/>
  <c r="AC203" i="8"/>
  <c r="U203" i="8"/>
  <c r="Z203" i="8"/>
  <c r="Y203" i="8" s="1"/>
  <c r="X203" i="8" s="1"/>
  <c r="W203" i="8" s="1"/>
  <c r="AA203" i="8"/>
  <c r="Q205" i="8"/>
  <c r="R205" i="8" s="1"/>
  <c r="P205" i="8" s="1"/>
  <c r="O205" i="8" s="1"/>
  <c r="N205" i="8" s="1"/>
  <c r="M205" i="8" s="1"/>
  <c r="L205" i="8" s="1"/>
  <c r="K205" i="8" s="1"/>
  <c r="J205" i="8" s="1"/>
  <c r="I205" i="8" s="1"/>
  <c r="AF205" i="8"/>
  <c r="C205" i="8" s="1"/>
  <c r="AE205" i="8" s="1"/>
  <c r="AD205" i="8" s="1"/>
  <c r="AA210" i="8"/>
  <c r="AB210" i="8"/>
  <c r="U210" i="8"/>
  <c r="Z222" i="8"/>
  <c r="Y222" i="8" s="1"/>
  <c r="X222" i="8" s="1"/>
  <c r="W222" i="8" s="1"/>
  <c r="AA238" i="8"/>
  <c r="AB238" i="8"/>
  <c r="U238" i="8"/>
  <c r="AC238" i="8"/>
  <c r="AC245" i="8"/>
  <c r="U245" i="8"/>
  <c r="Z245" i="8"/>
  <c r="Y245" i="8" s="1"/>
  <c r="X245" i="8" s="1"/>
  <c r="W245" i="8" s="1"/>
  <c r="AA245" i="8"/>
  <c r="AB245" i="8"/>
  <c r="AC253" i="8"/>
  <c r="U253" i="8"/>
  <c r="Z253" i="8"/>
  <c r="Y253" i="8" s="1"/>
  <c r="X253" i="8" s="1"/>
  <c r="W253" i="8" s="1"/>
  <c r="AA253" i="8"/>
  <c r="AB253" i="8"/>
  <c r="AF149" i="8"/>
  <c r="C149" i="8" s="1"/>
  <c r="AE149" i="8" s="1"/>
  <c r="AD149" i="8" s="1"/>
  <c r="AC186" i="8"/>
  <c r="AC202" i="8"/>
  <c r="AC215" i="8"/>
  <c r="U215" i="8"/>
  <c r="Z215" i="8"/>
  <c r="Y215" i="8" s="1"/>
  <c r="X215" i="8" s="1"/>
  <c r="W215" i="8" s="1"/>
  <c r="AA215" i="8"/>
  <c r="AF138" i="8"/>
  <c r="C138" i="8" s="1"/>
  <c r="AE138" i="8" s="1"/>
  <c r="AD138" i="8" s="1"/>
  <c r="Q149" i="8"/>
  <c r="R149" i="8" s="1"/>
  <c r="P149" i="8" s="1"/>
  <c r="O149" i="8" s="1"/>
  <c r="N149" i="8" s="1"/>
  <c r="M149" i="8" s="1"/>
  <c r="L149" i="8" s="1"/>
  <c r="K149" i="8" s="1"/>
  <c r="J149" i="8" s="1"/>
  <c r="I149" i="8" s="1"/>
  <c r="AA171" i="8"/>
  <c r="Z180" i="8"/>
  <c r="Y180" i="8" s="1"/>
  <c r="X180" i="8" s="1"/>
  <c r="W180" i="8" s="1"/>
  <c r="AC191" i="8"/>
  <c r="U191" i="8"/>
  <c r="Z191" i="8"/>
  <c r="Y191" i="8" s="1"/>
  <c r="X191" i="8" s="1"/>
  <c r="W191" i="8" s="1"/>
  <c r="AA191" i="8"/>
  <c r="Q193" i="8"/>
  <c r="R193" i="8" s="1"/>
  <c r="P193" i="8" s="1"/>
  <c r="O193" i="8" s="1"/>
  <c r="N193" i="8" s="1"/>
  <c r="M193" i="8" s="1"/>
  <c r="L193" i="8" s="1"/>
  <c r="K193" i="8" s="1"/>
  <c r="J193" i="8" s="1"/>
  <c r="I193" i="8" s="1"/>
  <c r="AF193" i="8"/>
  <c r="C193" i="8" s="1"/>
  <c r="AE193" i="8" s="1"/>
  <c r="AD193" i="8" s="1"/>
  <c r="AA198" i="8"/>
  <c r="AB198" i="8"/>
  <c r="U198" i="8"/>
  <c r="AC207" i="8"/>
  <c r="U207" i="8"/>
  <c r="Z207" i="8"/>
  <c r="Y207" i="8" s="1"/>
  <c r="X207" i="8" s="1"/>
  <c r="W207" i="8" s="1"/>
  <c r="AA207" i="8"/>
  <c r="Q209" i="8"/>
  <c r="R209" i="8" s="1"/>
  <c r="P209" i="8" s="1"/>
  <c r="O209" i="8" s="1"/>
  <c r="N209" i="8" s="1"/>
  <c r="M209" i="8" s="1"/>
  <c r="L209" i="8" s="1"/>
  <c r="K209" i="8" s="1"/>
  <c r="J209" i="8" s="1"/>
  <c r="I209" i="8" s="1"/>
  <c r="AF209" i="8"/>
  <c r="C209" i="8" s="1"/>
  <c r="AE209" i="8" s="1"/>
  <c r="AD209" i="8" s="1"/>
  <c r="Q213" i="8"/>
  <c r="R213" i="8" s="1"/>
  <c r="P213" i="8" s="1"/>
  <c r="O213" i="8" s="1"/>
  <c r="N213" i="8" s="1"/>
  <c r="M213" i="8" s="1"/>
  <c r="L213" i="8" s="1"/>
  <c r="K213" i="8" s="1"/>
  <c r="J213" i="8" s="1"/>
  <c r="I213" i="8" s="1"/>
  <c r="AF213" i="8"/>
  <c r="C213" i="8" s="1"/>
  <c r="AE213" i="8" s="1"/>
  <c r="AD213" i="8" s="1"/>
  <c r="AA230" i="8"/>
  <c r="AB230" i="8"/>
  <c r="U230" i="8"/>
  <c r="AC230" i="8"/>
  <c r="AB258" i="8"/>
  <c r="AA258" i="8"/>
  <c r="AC258" i="8"/>
  <c r="U258" i="8"/>
  <c r="Z258" i="8"/>
  <c r="Y258" i="8" s="1"/>
  <c r="X258" i="8" s="1"/>
  <c r="W258" i="8" s="1"/>
  <c r="AC171" i="8"/>
  <c r="AA180" i="8"/>
  <c r="AB195" i="8"/>
  <c r="Z214" i="8"/>
  <c r="Y214" i="8" s="1"/>
  <c r="X214" i="8" s="1"/>
  <c r="W214" i="8" s="1"/>
  <c r="AC236" i="8"/>
  <c r="U236" i="8"/>
  <c r="AB236" i="8"/>
  <c r="AA236" i="8"/>
  <c r="Z236" i="8"/>
  <c r="Y236" i="8" s="1"/>
  <c r="X236" i="8" s="1"/>
  <c r="W236" i="8" s="1"/>
  <c r="AB248" i="8"/>
  <c r="AA248" i="8"/>
  <c r="U248" i="8"/>
  <c r="AC248" i="8"/>
  <c r="AB250" i="8"/>
  <c r="AA250" i="8"/>
  <c r="AC250" i="8"/>
  <c r="U250" i="8"/>
  <c r="Z250" i="8"/>
  <c r="Y250" i="8" s="1"/>
  <c r="X250" i="8" s="1"/>
  <c r="W250" i="8" s="1"/>
  <c r="AB256" i="8"/>
  <c r="AA256" i="8"/>
  <c r="U256" i="8"/>
  <c r="AC256" i="8"/>
  <c r="AC211" i="8"/>
  <c r="U211" i="8"/>
  <c r="Z211" i="8"/>
  <c r="Y211" i="8" s="1"/>
  <c r="X211" i="8" s="1"/>
  <c r="W211" i="8" s="1"/>
  <c r="Q217" i="8"/>
  <c r="R217" i="8" s="1"/>
  <c r="P217" i="8" s="1"/>
  <c r="O217" i="8" s="1"/>
  <c r="N217" i="8" s="1"/>
  <c r="M217" i="8" s="1"/>
  <c r="L217" i="8" s="1"/>
  <c r="K217" i="8" s="1"/>
  <c r="J217" i="8" s="1"/>
  <c r="I217" i="8" s="1"/>
  <c r="AC219" i="8"/>
  <c r="U219" i="8"/>
  <c r="Z219" i="8"/>
  <c r="Y219" i="8" s="1"/>
  <c r="X219" i="8" s="1"/>
  <c r="W219" i="8" s="1"/>
  <c r="Q225" i="8"/>
  <c r="R225" i="8" s="1"/>
  <c r="P225" i="8" s="1"/>
  <c r="O225" i="8" s="1"/>
  <c r="N225" i="8" s="1"/>
  <c r="M225" i="8" s="1"/>
  <c r="L225" i="8" s="1"/>
  <c r="K225" i="8" s="1"/>
  <c r="J225" i="8" s="1"/>
  <c r="I225" i="8" s="1"/>
  <c r="AC227" i="8"/>
  <c r="U227" i="8"/>
  <c r="Z227" i="8"/>
  <c r="Y227" i="8" s="1"/>
  <c r="X227" i="8" s="1"/>
  <c r="W227" i="8" s="1"/>
  <c r="Q233" i="8"/>
  <c r="R233" i="8" s="1"/>
  <c r="P233" i="8" s="1"/>
  <c r="O233" i="8" s="1"/>
  <c r="N233" i="8" s="1"/>
  <c r="M233" i="8" s="1"/>
  <c r="L233" i="8" s="1"/>
  <c r="K233" i="8" s="1"/>
  <c r="J233" i="8" s="1"/>
  <c r="I233" i="8" s="1"/>
  <c r="AC235" i="8"/>
  <c r="U235" i="8"/>
  <c r="Z235" i="8"/>
  <c r="Y235" i="8" s="1"/>
  <c r="X235" i="8" s="1"/>
  <c r="W235" i="8" s="1"/>
  <c r="D33" i="10"/>
  <c r="P33" i="10"/>
  <c r="AC241" i="8"/>
  <c r="U241" i="8"/>
  <c r="Z241" i="8"/>
  <c r="Y241" i="8" s="1"/>
  <c r="X241" i="8" s="1"/>
  <c r="W241" i="8" s="1"/>
  <c r="AA241" i="8"/>
  <c r="AB241" i="8"/>
  <c r="Q243" i="8"/>
  <c r="R243" i="8" s="1"/>
  <c r="P243" i="8" s="1"/>
  <c r="O243" i="8" s="1"/>
  <c r="N243" i="8" s="1"/>
  <c r="M243" i="8" s="1"/>
  <c r="L243" i="8" s="1"/>
  <c r="K243" i="8" s="1"/>
  <c r="J243" i="8" s="1"/>
  <c r="I243" i="8" s="1"/>
  <c r="AB244" i="8"/>
  <c r="AA244" i="8"/>
  <c r="U244" i="8"/>
  <c r="AC244" i="8"/>
  <c r="AB254" i="8"/>
  <c r="AA254" i="8"/>
  <c r="AC254" i="8"/>
  <c r="U254" i="8"/>
  <c r="AC257" i="8"/>
  <c r="U257" i="8"/>
  <c r="Z257" i="8"/>
  <c r="Y257" i="8" s="1"/>
  <c r="X257" i="8" s="1"/>
  <c r="W257" i="8" s="1"/>
  <c r="AA257" i="8"/>
  <c r="AB257" i="8"/>
  <c r="Q259" i="8"/>
  <c r="R259" i="8" s="1"/>
  <c r="P259" i="8" s="1"/>
  <c r="O259" i="8" s="1"/>
  <c r="N259" i="8" s="1"/>
  <c r="M259" i="8" s="1"/>
  <c r="L259" i="8" s="1"/>
  <c r="K259" i="8" s="1"/>
  <c r="J259" i="8" s="1"/>
  <c r="I259" i="8" s="1"/>
  <c r="AB260" i="8"/>
  <c r="AA260" i="8"/>
  <c r="U260" i="8"/>
  <c r="G66" i="10"/>
  <c r="P66" i="10" s="1"/>
  <c r="N66" i="10"/>
  <c r="O66" i="10" s="1"/>
  <c r="L66" i="10"/>
  <c r="I66" i="10"/>
  <c r="K66" i="10"/>
  <c r="G70" i="10"/>
  <c r="P70" i="10" s="1"/>
  <c r="N70" i="10"/>
  <c r="O70" i="10" s="1"/>
  <c r="L70" i="10"/>
  <c r="I70" i="10"/>
  <c r="K70" i="10"/>
  <c r="I655" i="10"/>
  <c r="G655" i="10"/>
  <c r="P655" i="10" s="1"/>
  <c r="N655" i="10"/>
  <c r="O655" i="10" s="1"/>
  <c r="L655" i="10"/>
  <c r="K655" i="10"/>
  <c r="AF217" i="8"/>
  <c r="C217" i="8" s="1"/>
  <c r="AE217" i="8" s="1"/>
  <c r="AD217" i="8" s="1"/>
  <c r="AF225" i="8"/>
  <c r="C225" i="8" s="1"/>
  <c r="AE225" i="8" s="1"/>
  <c r="AD225" i="8" s="1"/>
  <c r="AF233" i="8"/>
  <c r="C233" i="8" s="1"/>
  <c r="AE233" i="8" s="1"/>
  <c r="AD233" i="8" s="1"/>
  <c r="H164" i="10"/>
  <c r="J164" i="10"/>
  <c r="M16" i="10"/>
  <c r="J16" i="10"/>
  <c r="H16" i="10"/>
  <c r="M20" i="10"/>
  <c r="J20" i="10"/>
  <c r="H20" i="10"/>
  <c r="AC223" i="8"/>
  <c r="U223" i="8"/>
  <c r="Z223" i="8"/>
  <c r="Y223" i="8" s="1"/>
  <c r="X223" i="8" s="1"/>
  <c r="W223" i="8" s="1"/>
  <c r="Q229" i="8"/>
  <c r="R229" i="8" s="1"/>
  <c r="P229" i="8" s="1"/>
  <c r="O229" i="8" s="1"/>
  <c r="N229" i="8" s="1"/>
  <c r="M229" i="8" s="1"/>
  <c r="L229" i="8" s="1"/>
  <c r="K229" i="8" s="1"/>
  <c r="J229" i="8" s="1"/>
  <c r="I229" i="8" s="1"/>
  <c r="AC231" i="8"/>
  <c r="U231" i="8"/>
  <c r="Z231" i="8"/>
  <c r="Y231" i="8" s="1"/>
  <c r="X231" i="8" s="1"/>
  <c r="W231" i="8" s="1"/>
  <c r="Q237" i="8"/>
  <c r="R237" i="8" s="1"/>
  <c r="P237" i="8" s="1"/>
  <c r="O237" i="8" s="1"/>
  <c r="N237" i="8" s="1"/>
  <c r="M237" i="8" s="1"/>
  <c r="L237" i="8" s="1"/>
  <c r="K237" i="8" s="1"/>
  <c r="J237" i="8" s="1"/>
  <c r="I237" i="8" s="1"/>
  <c r="AC239" i="8"/>
  <c r="U239" i="8"/>
  <c r="Z239" i="8"/>
  <c r="Y239" i="8" s="1"/>
  <c r="X239" i="8" s="1"/>
  <c r="W239" i="8" s="1"/>
  <c r="Z260" i="8"/>
  <c r="Y260" i="8" s="1"/>
  <c r="X260" i="8" s="1"/>
  <c r="W260" i="8" s="1"/>
  <c r="AF169" i="8"/>
  <c r="C169" i="8" s="1"/>
  <c r="AE169" i="8" s="1"/>
  <c r="AD169" i="8" s="1"/>
  <c r="AF173" i="8"/>
  <c r="C173" i="8" s="1"/>
  <c r="AE173" i="8" s="1"/>
  <c r="AD173" i="8" s="1"/>
  <c r="AF177" i="8"/>
  <c r="C177" i="8" s="1"/>
  <c r="AE177" i="8" s="1"/>
  <c r="AD177" i="8" s="1"/>
  <c r="Z244" i="8"/>
  <c r="Y244" i="8" s="1"/>
  <c r="X244" i="8" s="1"/>
  <c r="W244" i="8" s="1"/>
  <c r="AB246" i="8"/>
  <c r="AA246" i="8"/>
  <c r="AC246" i="8"/>
  <c r="U246" i="8"/>
  <c r="AC249" i="8"/>
  <c r="U249" i="8"/>
  <c r="Z249" i="8"/>
  <c r="Y249" i="8" s="1"/>
  <c r="X249" i="8" s="1"/>
  <c r="W249" i="8" s="1"/>
  <c r="AA249" i="8"/>
  <c r="AB249" i="8"/>
  <c r="Q251" i="8"/>
  <c r="R251" i="8" s="1"/>
  <c r="P251" i="8" s="1"/>
  <c r="O251" i="8" s="1"/>
  <c r="N251" i="8" s="1"/>
  <c r="M251" i="8" s="1"/>
  <c r="L251" i="8" s="1"/>
  <c r="K251" i="8" s="1"/>
  <c r="J251" i="8" s="1"/>
  <c r="I251" i="8" s="1"/>
  <c r="AB252" i="8"/>
  <c r="AA252" i="8"/>
  <c r="U252" i="8"/>
  <c r="AC252" i="8"/>
  <c r="AC260" i="8"/>
  <c r="J46" i="10"/>
  <c r="H46" i="10"/>
  <c r="AA211" i="8"/>
  <c r="AA219" i="8"/>
  <c r="AA227" i="8"/>
  <c r="AF229" i="8"/>
  <c r="C229" i="8" s="1"/>
  <c r="AE229" i="8" s="1"/>
  <c r="AD229" i="8" s="1"/>
  <c r="AA235" i="8"/>
  <c r="AF237" i="8"/>
  <c r="C237" i="8" s="1"/>
  <c r="AE237" i="8" s="1"/>
  <c r="AD237" i="8" s="1"/>
  <c r="AF243" i="8"/>
  <c r="C243" i="8" s="1"/>
  <c r="AE243" i="8" s="1"/>
  <c r="AD243" i="8" s="1"/>
  <c r="Z254" i="8"/>
  <c r="Y254" i="8" s="1"/>
  <c r="X254" i="8" s="1"/>
  <c r="W254" i="8" s="1"/>
  <c r="AF259" i="8"/>
  <c r="C259" i="8" s="1"/>
  <c r="AE259" i="8" s="1"/>
  <c r="AD259" i="8" s="1"/>
  <c r="J34" i="10"/>
  <c r="H34" i="10"/>
  <c r="M12" i="10"/>
  <c r="J12" i="10"/>
  <c r="H12" i="10"/>
  <c r="Q261" i="8"/>
  <c r="R261" i="8" s="1"/>
  <c r="P261" i="8" s="1"/>
  <c r="O261" i="8" s="1"/>
  <c r="N261" i="8" s="1"/>
  <c r="M261" i="8" s="1"/>
  <c r="L261" i="8" s="1"/>
  <c r="K261" i="8" s="1"/>
  <c r="J261" i="8" s="1"/>
  <c r="I261" i="8" s="1"/>
  <c r="G57" i="10"/>
  <c r="P57" i="10" s="1"/>
  <c r="N57" i="10"/>
  <c r="L57" i="10"/>
  <c r="K57" i="10"/>
  <c r="I57" i="10"/>
  <c r="G65" i="10"/>
  <c r="P65" i="10" s="1"/>
  <c r="N65" i="10"/>
  <c r="O65" i="10" s="1"/>
  <c r="L65" i="10"/>
  <c r="I65" i="10"/>
  <c r="K65" i="10"/>
  <c r="G69" i="10"/>
  <c r="P69" i="10" s="1"/>
  <c r="N69" i="10"/>
  <c r="O69" i="10" s="1"/>
  <c r="L69" i="10"/>
  <c r="I69" i="10"/>
  <c r="K69" i="10"/>
  <c r="G73" i="10"/>
  <c r="P73" i="10" s="1"/>
  <c r="N73" i="10"/>
  <c r="I73" i="10"/>
  <c r="L73" i="10"/>
  <c r="K73" i="10"/>
  <c r="O155" i="10"/>
  <c r="Q155" i="10"/>
  <c r="Q193" i="10"/>
  <c r="O193" i="10"/>
  <c r="J38" i="10"/>
  <c r="H38" i="10"/>
  <c r="G56" i="10"/>
  <c r="P56" i="10" s="1"/>
  <c r="N56" i="10"/>
  <c r="L56" i="10"/>
  <c r="K56" i="10"/>
  <c r="I56" i="10"/>
  <c r="G82" i="10"/>
  <c r="P82" i="10" s="1"/>
  <c r="L82" i="10"/>
  <c r="K82" i="10"/>
  <c r="N82" i="10"/>
  <c r="O82" i="10" s="1"/>
  <c r="I82" i="10"/>
  <c r="O85" i="10"/>
  <c r="Q85" i="10"/>
  <c r="O101" i="10"/>
  <c r="Q101" i="10"/>
  <c r="Q241" i="8"/>
  <c r="R241" i="8" s="1"/>
  <c r="P241" i="8" s="1"/>
  <c r="O241" i="8" s="1"/>
  <c r="N241" i="8" s="1"/>
  <c r="M241" i="8" s="1"/>
  <c r="L241" i="8" s="1"/>
  <c r="K241" i="8" s="1"/>
  <c r="J241" i="8" s="1"/>
  <c r="I241" i="8" s="1"/>
  <c r="Q245" i="8"/>
  <c r="R245" i="8" s="1"/>
  <c r="P245" i="8" s="1"/>
  <c r="O245" i="8" s="1"/>
  <c r="N245" i="8" s="1"/>
  <c r="M245" i="8" s="1"/>
  <c r="L245" i="8" s="1"/>
  <c r="K245" i="8" s="1"/>
  <c r="J245" i="8" s="1"/>
  <c r="I245" i="8" s="1"/>
  <c r="Q249" i="8"/>
  <c r="R249" i="8" s="1"/>
  <c r="P249" i="8" s="1"/>
  <c r="O249" i="8" s="1"/>
  <c r="N249" i="8" s="1"/>
  <c r="M249" i="8" s="1"/>
  <c r="L249" i="8" s="1"/>
  <c r="K249" i="8" s="1"/>
  <c r="J249" i="8" s="1"/>
  <c r="I249" i="8" s="1"/>
  <c r="Q253" i="8"/>
  <c r="R253" i="8" s="1"/>
  <c r="P253" i="8" s="1"/>
  <c r="O253" i="8" s="1"/>
  <c r="N253" i="8" s="1"/>
  <c r="M253" i="8" s="1"/>
  <c r="L253" i="8" s="1"/>
  <c r="K253" i="8" s="1"/>
  <c r="J253" i="8" s="1"/>
  <c r="I253" i="8" s="1"/>
  <c r="Q257" i="8"/>
  <c r="R257" i="8" s="1"/>
  <c r="P257" i="8" s="1"/>
  <c r="O257" i="8" s="1"/>
  <c r="N257" i="8" s="1"/>
  <c r="M257" i="8" s="1"/>
  <c r="L257" i="8" s="1"/>
  <c r="K257" i="8" s="1"/>
  <c r="J257" i="8" s="1"/>
  <c r="I257" i="8" s="1"/>
  <c r="AF261" i="8"/>
  <c r="C261" i="8" s="1"/>
  <c r="AE261" i="8" s="1"/>
  <c r="AD261" i="8" s="1"/>
  <c r="J50" i="10"/>
  <c r="H50" i="10"/>
  <c r="G64" i="10"/>
  <c r="P64" i="10" s="1"/>
  <c r="N64" i="10"/>
  <c r="O64" i="10" s="1"/>
  <c r="L64" i="10"/>
  <c r="I64" i="10"/>
  <c r="K64" i="10"/>
  <c r="G68" i="10"/>
  <c r="P68" i="10" s="1"/>
  <c r="N68" i="10"/>
  <c r="O68" i="10" s="1"/>
  <c r="L68" i="10"/>
  <c r="I68" i="10"/>
  <c r="K68" i="10"/>
  <c r="G72" i="10"/>
  <c r="P72" i="10" s="1"/>
  <c r="N72" i="10"/>
  <c r="O72" i="10" s="1"/>
  <c r="L72" i="10"/>
  <c r="I72" i="10"/>
  <c r="K72" i="10"/>
  <c r="J80" i="10"/>
  <c r="H80" i="10"/>
  <c r="D95" i="10"/>
  <c r="D112" i="10"/>
  <c r="Q209" i="10"/>
  <c r="O209" i="10"/>
  <c r="O89" i="10"/>
  <c r="Q89" i="10"/>
  <c r="G97" i="10"/>
  <c r="P97" i="10" s="1"/>
  <c r="L97" i="10"/>
  <c r="K97" i="10"/>
  <c r="I97" i="10"/>
  <c r="N97" i="10"/>
  <c r="O105" i="10"/>
  <c r="Q105" i="10"/>
  <c r="J42" i="10"/>
  <c r="H42" i="10"/>
  <c r="G67" i="10"/>
  <c r="P67" i="10" s="1"/>
  <c r="N67" i="10"/>
  <c r="O67" i="10" s="1"/>
  <c r="L67" i="10"/>
  <c r="I67" i="10"/>
  <c r="K67" i="10"/>
  <c r="G71" i="10"/>
  <c r="P71" i="10" s="1"/>
  <c r="N71" i="10"/>
  <c r="O71" i="10" s="1"/>
  <c r="L71" i="10"/>
  <c r="I71" i="10"/>
  <c r="K71" i="10"/>
  <c r="M13" i="10"/>
  <c r="J13" i="10"/>
  <c r="M17" i="10"/>
  <c r="J17" i="10"/>
  <c r="I31" i="10"/>
  <c r="N31" i="10"/>
  <c r="O31" i="10" s="1"/>
  <c r="H37" i="10"/>
  <c r="H41" i="10"/>
  <c r="H45" i="10"/>
  <c r="H49" i="10"/>
  <c r="G58" i="10"/>
  <c r="P58" i="10" s="1"/>
  <c r="N58" i="10"/>
  <c r="L58" i="10"/>
  <c r="K58" i="10"/>
  <c r="Q80" i="10"/>
  <c r="D83" i="10"/>
  <c r="D99" i="10"/>
  <c r="I113" i="10"/>
  <c r="L113" i="10"/>
  <c r="K113" i="10"/>
  <c r="G113" i="10"/>
  <c r="P113" i="10" s="1"/>
  <c r="O153" i="10"/>
  <c r="Q153" i="10"/>
  <c r="H161" i="10"/>
  <c r="J161" i="10"/>
  <c r="Q189" i="10"/>
  <c r="O189" i="10"/>
  <c r="G59" i="10"/>
  <c r="P59" i="10" s="1"/>
  <c r="N59" i="10"/>
  <c r="L59" i="10"/>
  <c r="K59" i="10"/>
  <c r="G85" i="10"/>
  <c r="P85" i="10" s="1"/>
  <c r="L85" i="10"/>
  <c r="K85" i="10"/>
  <c r="I85" i="10"/>
  <c r="G101" i="10"/>
  <c r="P101" i="10" s="1"/>
  <c r="L101" i="10"/>
  <c r="K101" i="10"/>
  <c r="I101" i="10"/>
  <c r="J130" i="10"/>
  <c r="H130" i="10"/>
  <c r="J180" i="10"/>
  <c r="Q185" i="10"/>
  <c r="O185" i="10"/>
  <c r="M14" i="10"/>
  <c r="J14" i="10"/>
  <c r="M18" i="10"/>
  <c r="J18" i="10"/>
  <c r="G22" i="10"/>
  <c r="P22" i="10" s="1"/>
  <c r="N22" i="10"/>
  <c r="O22" i="10" s="1"/>
  <c r="L22" i="10"/>
  <c r="I22" i="10"/>
  <c r="G23" i="10"/>
  <c r="P23" i="10" s="1"/>
  <c r="N23" i="10"/>
  <c r="O23" i="10" s="1"/>
  <c r="L23" i="10"/>
  <c r="I23" i="10"/>
  <c r="G24" i="10"/>
  <c r="P24" i="10" s="1"/>
  <c r="N24" i="10"/>
  <c r="O24" i="10" s="1"/>
  <c r="L24" i="10"/>
  <c r="I24" i="10"/>
  <c r="G25" i="10"/>
  <c r="P25" i="10" s="1"/>
  <c r="N25" i="10"/>
  <c r="O25" i="10" s="1"/>
  <c r="L25" i="10"/>
  <c r="I25" i="10"/>
  <c r="G26" i="10"/>
  <c r="P26" i="10" s="1"/>
  <c r="N26" i="10"/>
  <c r="O26" i="10" s="1"/>
  <c r="L26" i="10"/>
  <c r="I26" i="10"/>
  <c r="I27" i="10"/>
  <c r="N27" i="10"/>
  <c r="O27" i="10" s="1"/>
  <c r="G60" i="10"/>
  <c r="P60" i="10" s="1"/>
  <c r="N60" i="10"/>
  <c r="L60" i="10"/>
  <c r="K60" i="10"/>
  <c r="N76" i="10"/>
  <c r="K76" i="10"/>
  <c r="G76" i="10"/>
  <c r="P76" i="10" s="1"/>
  <c r="L76" i="10"/>
  <c r="D87" i="10"/>
  <c r="D103" i="10"/>
  <c r="O151" i="10"/>
  <c r="Q151" i="10"/>
  <c r="O159" i="10"/>
  <c r="Q159" i="10"/>
  <c r="Q181" i="10"/>
  <c r="O181" i="10"/>
  <c r="G61" i="10"/>
  <c r="P61" i="10" s="1"/>
  <c r="N61" i="10"/>
  <c r="L61" i="10"/>
  <c r="K61" i="10"/>
  <c r="G89" i="10"/>
  <c r="P89" i="10" s="1"/>
  <c r="L89" i="10"/>
  <c r="K89" i="10"/>
  <c r="I89" i="10"/>
  <c r="G105" i="10"/>
  <c r="P105" i="10" s="1"/>
  <c r="L105" i="10"/>
  <c r="K105" i="10"/>
  <c r="I105" i="10"/>
  <c r="O109" i="10"/>
  <c r="Q177" i="10"/>
  <c r="O177" i="10"/>
  <c r="O201" i="10"/>
  <c r="D272" i="10"/>
  <c r="P272" i="10"/>
  <c r="N9" i="10"/>
  <c r="O9" i="10" s="1"/>
  <c r="L9" i="10"/>
  <c r="I9" i="10"/>
  <c r="M15" i="10"/>
  <c r="J15" i="10"/>
  <c r="M19" i="10"/>
  <c r="J19" i="10"/>
  <c r="G54" i="10"/>
  <c r="P54" i="10" s="1"/>
  <c r="N54" i="10"/>
  <c r="L54" i="10"/>
  <c r="K54" i="10"/>
  <c r="G62" i="10"/>
  <c r="P62" i="10" s="1"/>
  <c r="N62" i="10"/>
  <c r="L62" i="10"/>
  <c r="K62" i="10"/>
  <c r="D91" i="10"/>
  <c r="Q93" i="10"/>
  <c r="D107" i="10"/>
  <c r="O157" i="10"/>
  <c r="Q157" i="10"/>
  <c r="Q173" i="10"/>
  <c r="O173" i="10"/>
  <c r="L249" i="10"/>
  <c r="N249" i="10"/>
  <c r="O249" i="10" s="1"/>
  <c r="G249" i="10"/>
  <c r="I249" i="10"/>
  <c r="K249" i="10"/>
  <c r="M11" i="10"/>
  <c r="J11" i="10"/>
  <c r="G55" i="10"/>
  <c r="P55" i="10" s="1"/>
  <c r="N55" i="10"/>
  <c r="L55" i="10"/>
  <c r="K55" i="10"/>
  <c r="N63" i="10"/>
  <c r="O63" i="10" s="1"/>
  <c r="L63" i="10"/>
  <c r="I63" i="10"/>
  <c r="G93" i="10"/>
  <c r="P93" i="10" s="1"/>
  <c r="L93" i="10"/>
  <c r="K93" i="10"/>
  <c r="I93" i="10"/>
  <c r="I109" i="10"/>
  <c r="L109" i="10"/>
  <c r="K109" i="10"/>
  <c r="G109" i="10"/>
  <c r="P109" i="10" s="1"/>
  <c r="N113" i="10"/>
  <c r="Q169" i="10"/>
  <c r="O169" i="10"/>
  <c r="Q267" i="10"/>
  <c r="O267" i="10"/>
  <c r="G6" i="10"/>
  <c r="P6" i="10" s="1"/>
  <c r="G7" i="10"/>
  <c r="P7" i="10" s="1"/>
  <c r="P8" i="10"/>
  <c r="N11" i="10"/>
  <c r="O11" i="10" s="1"/>
  <c r="N12" i="10"/>
  <c r="O12" i="10" s="1"/>
  <c r="N13" i="10"/>
  <c r="O13" i="10" s="1"/>
  <c r="N14" i="10"/>
  <c r="O14" i="10" s="1"/>
  <c r="N15" i="10"/>
  <c r="O15" i="10" s="1"/>
  <c r="N16" i="10"/>
  <c r="O16" i="10" s="1"/>
  <c r="N17" i="10"/>
  <c r="O17" i="10" s="1"/>
  <c r="N18" i="10"/>
  <c r="O18" i="10" s="1"/>
  <c r="N19" i="10"/>
  <c r="O19" i="10" s="1"/>
  <c r="N20" i="10"/>
  <c r="O20" i="10" s="1"/>
  <c r="G34" i="10"/>
  <c r="P34" i="10" s="1"/>
  <c r="G35" i="10"/>
  <c r="P35" i="10" s="1"/>
  <c r="G36" i="10"/>
  <c r="P36" i="10" s="1"/>
  <c r="G37" i="10"/>
  <c r="P37" i="10" s="1"/>
  <c r="G38" i="10"/>
  <c r="P38" i="10" s="1"/>
  <c r="G39" i="10"/>
  <c r="P39" i="10" s="1"/>
  <c r="G40" i="10"/>
  <c r="P40" i="10" s="1"/>
  <c r="G41" i="10"/>
  <c r="P41" i="10" s="1"/>
  <c r="G42" i="10"/>
  <c r="P42" i="10" s="1"/>
  <c r="G43" i="10"/>
  <c r="P43" i="10" s="1"/>
  <c r="G44" i="10"/>
  <c r="P44" i="10" s="1"/>
  <c r="G45" i="10"/>
  <c r="P45" i="10" s="1"/>
  <c r="G46" i="10"/>
  <c r="P46" i="10" s="1"/>
  <c r="G47" i="10"/>
  <c r="P47" i="10" s="1"/>
  <c r="G48" i="10"/>
  <c r="P48" i="10" s="1"/>
  <c r="G49" i="10"/>
  <c r="P49" i="10" s="1"/>
  <c r="G50" i="10"/>
  <c r="P50" i="10" s="1"/>
  <c r="G51" i="10"/>
  <c r="P51" i="10" s="1"/>
  <c r="G52" i="10"/>
  <c r="P52" i="10" s="1"/>
  <c r="P53" i="10"/>
  <c r="N77" i="10"/>
  <c r="O77" i="10" s="1"/>
  <c r="K77" i="10"/>
  <c r="P111" i="10"/>
  <c r="D111" i="10"/>
  <c r="Q152" i="10"/>
  <c r="Q154" i="10"/>
  <c r="Q156" i="10"/>
  <c r="Q158" i="10"/>
  <c r="Q160" i="10"/>
  <c r="P208" i="10"/>
  <c r="D208" i="10"/>
  <c r="H215" i="10"/>
  <c r="J215" i="10"/>
  <c r="O275" i="10"/>
  <c r="P373" i="10"/>
  <c r="D373" i="10"/>
  <c r="J375" i="10"/>
  <c r="H375" i="10"/>
  <c r="P389" i="10"/>
  <c r="D389" i="10"/>
  <c r="J391" i="10"/>
  <c r="H391" i="10"/>
  <c r="K8" i="10"/>
  <c r="I11" i="10"/>
  <c r="K30" i="10"/>
  <c r="K53" i="10"/>
  <c r="G86" i="10"/>
  <c r="P86" i="10" s="1"/>
  <c r="L86" i="10"/>
  <c r="K86" i="10"/>
  <c r="N86" i="10"/>
  <c r="O86" i="10" s="1"/>
  <c r="G90" i="10"/>
  <c r="P90" i="10" s="1"/>
  <c r="L90" i="10"/>
  <c r="K90" i="10"/>
  <c r="N90" i="10"/>
  <c r="O90" i="10" s="1"/>
  <c r="G94" i="10"/>
  <c r="P94" i="10" s="1"/>
  <c r="L94" i="10"/>
  <c r="K94" i="10"/>
  <c r="N94" i="10"/>
  <c r="O94" i="10" s="1"/>
  <c r="G98" i="10"/>
  <c r="P98" i="10" s="1"/>
  <c r="L98" i="10"/>
  <c r="K98" i="10"/>
  <c r="N98" i="10"/>
  <c r="O98" i="10" s="1"/>
  <c r="G102" i="10"/>
  <c r="P102" i="10" s="1"/>
  <c r="L102" i="10"/>
  <c r="K102" i="10"/>
  <c r="N102" i="10"/>
  <c r="O102" i="10" s="1"/>
  <c r="G106" i="10"/>
  <c r="P106" i="10" s="1"/>
  <c r="L106" i="10"/>
  <c r="K106" i="10"/>
  <c r="N106" i="10"/>
  <c r="O106" i="10" s="1"/>
  <c r="I110" i="10"/>
  <c r="L110" i="10"/>
  <c r="N110" i="10"/>
  <c r="G112" i="10"/>
  <c r="P112" i="10" s="1"/>
  <c r="Q198" i="10"/>
  <c r="O198" i="10"/>
  <c r="P205" i="10"/>
  <c r="D205" i="10"/>
  <c r="P213" i="10"/>
  <c r="D213" i="10"/>
  <c r="H216" i="10"/>
  <c r="J216" i="10"/>
  <c r="G218" i="10"/>
  <c r="P218" i="10" s="1"/>
  <c r="N218" i="10"/>
  <c r="K218" i="10"/>
  <c r="L218" i="10"/>
  <c r="I218" i="10"/>
  <c r="G226" i="10"/>
  <c r="P226" i="10" s="1"/>
  <c r="N226" i="10"/>
  <c r="L226" i="10"/>
  <c r="K226" i="10"/>
  <c r="I226" i="10"/>
  <c r="G234" i="10"/>
  <c r="P234" i="10" s="1"/>
  <c r="N234" i="10"/>
  <c r="L234" i="10"/>
  <c r="K234" i="10"/>
  <c r="I234" i="10"/>
  <c r="P247" i="10"/>
  <c r="D247" i="10"/>
  <c r="G248" i="10"/>
  <c r="I248" i="10"/>
  <c r="N248" i="10"/>
  <c r="O248" i="10" s="1"/>
  <c r="L248" i="10"/>
  <c r="K248" i="10"/>
  <c r="P562" i="10"/>
  <c r="D562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L53" i="10"/>
  <c r="N75" i="10"/>
  <c r="K75" i="10"/>
  <c r="H78" i="10"/>
  <c r="N79" i="10"/>
  <c r="O79" i="10" s="1"/>
  <c r="K79" i="10"/>
  <c r="L79" i="10"/>
  <c r="D109" i="10"/>
  <c r="D113" i="10"/>
  <c r="G162" i="10"/>
  <c r="P162" i="10" s="1"/>
  <c r="N162" i="10"/>
  <c r="L162" i="10"/>
  <c r="K162" i="10"/>
  <c r="L195" i="10"/>
  <c r="K195" i="10"/>
  <c r="I195" i="10"/>
  <c r="G195" i="10"/>
  <c r="P195" i="10" s="1"/>
  <c r="N195" i="10"/>
  <c r="O206" i="10"/>
  <c r="O214" i="10"/>
  <c r="G225" i="10"/>
  <c r="P225" i="10" s="1"/>
  <c r="N225" i="10"/>
  <c r="L225" i="10"/>
  <c r="K225" i="10"/>
  <c r="I225" i="10"/>
  <c r="G233" i="10"/>
  <c r="P233" i="10" s="1"/>
  <c r="N233" i="10"/>
  <c r="L233" i="10"/>
  <c r="K233" i="10"/>
  <c r="I233" i="10"/>
  <c r="J262" i="10"/>
  <c r="H262" i="10"/>
  <c r="D264" i="10"/>
  <c r="P264" i="10"/>
  <c r="P431" i="10"/>
  <c r="D431" i="10"/>
  <c r="J434" i="10"/>
  <c r="H434" i="10"/>
  <c r="L6" i="10"/>
  <c r="L7" i="10"/>
  <c r="K11" i="10"/>
  <c r="K12" i="10"/>
  <c r="K13" i="10"/>
  <c r="K14" i="10"/>
  <c r="K15" i="10"/>
  <c r="K16" i="10"/>
  <c r="K17" i="10"/>
  <c r="K18" i="10"/>
  <c r="K19" i="10"/>
  <c r="K20" i="10"/>
  <c r="I28" i="10"/>
  <c r="I32" i="10"/>
  <c r="L75" i="10"/>
  <c r="G83" i="10"/>
  <c r="P83" i="10" s="1"/>
  <c r="L83" i="10"/>
  <c r="K83" i="10"/>
  <c r="N83" i="10"/>
  <c r="O83" i="10" s="1"/>
  <c r="G87" i="10"/>
  <c r="P87" i="10" s="1"/>
  <c r="L87" i="10"/>
  <c r="K87" i="10"/>
  <c r="N87" i="10"/>
  <c r="O87" i="10" s="1"/>
  <c r="G91" i="10"/>
  <c r="P91" i="10" s="1"/>
  <c r="L91" i="10"/>
  <c r="K91" i="10"/>
  <c r="N91" i="10"/>
  <c r="O91" i="10" s="1"/>
  <c r="G95" i="10"/>
  <c r="P95" i="10" s="1"/>
  <c r="L95" i="10"/>
  <c r="K95" i="10"/>
  <c r="N95" i="10"/>
  <c r="O95" i="10" s="1"/>
  <c r="G99" i="10"/>
  <c r="P99" i="10" s="1"/>
  <c r="L99" i="10"/>
  <c r="K99" i="10"/>
  <c r="N99" i="10"/>
  <c r="O99" i="10" s="1"/>
  <c r="G103" i="10"/>
  <c r="P103" i="10" s="1"/>
  <c r="L103" i="10"/>
  <c r="K103" i="10"/>
  <c r="N103" i="10"/>
  <c r="O103" i="10" s="1"/>
  <c r="G107" i="10"/>
  <c r="P107" i="10" s="1"/>
  <c r="L107" i="10"/>
  <c r="K107" i="10"/>
  <c r="N107" i="10"/>
  <c r="O107" i="10" s="1"/>
  <c r="I111" i="10"/>
  <c r="L111" i="10"/>
  <c r="N111" i="10"/>
  <c r="H124" i="10"/>
  <c r="K163" i="10"/>
  <c r="G163" i="10"/>
  <c r="P163" i="10" s="1"/>
  <c r="N163" i="10"/>
  <c r="L163" i="10"/>
  <c r="K164" i="10"/>
  <c r="I164" i="10"/>
  <c r="G164" i="10"/>
  <c r="P164" i="10" s="1"/>
  <c r="N164" i="10"/>
  <c r="O164" i="10" s="1"/>
  <c r="K168" i="10"/>
  <c r="I168" i="10"/>
  <c r="G168" i="10"/>
  <c r="P168" i="10" s="1"/>
  <c r="N168" i="10"/>
  <c r="K172" i="10"/>
  <c r="I172" i="10"/>
  <c r="G172" i="10"/>
  <c r="P172" i="10" s="1"/>
  <c r="N172" i="10"/>
  <c r="K176" i="10"/>
  <c r="I176" i="10"/>
  <c r="G176" i="10"/>
  <c r="P176" i="10" s="1"/>
  <c r="N176" i="10"/>
  <c r="K180" i="10"/>
  <c r="I180" i="10"/>
  <c r="G180" i="10"/>
  <c r="P180" i="10" s="1"/>
  <c r="N180" i="10"/>
  <c r="K184" i="10"/>
  <c r="I184" i="10"/>
  <c r="G184" i="10"/>
  <c r="P184" i="10" s="1"/>
  <c r="N184" i="10"/>
  <c r="K188" i="10"/>
  <c r="I188" i="10"/>
  <c r="G188" i="10"/>
  <c r="P188" i="10" s="1"/>
  <c r="N188" i="10"/>
  <c r="K192" i="10"/>
  <c r="I192" i="10"/>
  <c r="G192" i="10"/>
  <c r="P192" i="10" s="1"/>
  <c r="N192" i="10"/>
  <c r="L209" i="10"/>
  <c r="K209" i="10"/>
  <c r="I209" i="10"/>
  <c r="G209" i="10"/>
  <c r="P209" i="10" s="1"/>
  <c r="D30" i="10"/>
  <c r="N78" i="10"/>
  <c r="K78" i="10"/>
  <c r="D110" i="10"/>
  <c r="H119" i="10"/>
  <c r="H127" i="10"/>
  <c r="L198" i="10"/>
  <c r="K198" i="10"/>
  <c r="I198" i="10"/>
  <c r="G198" i="10"/>
  <c r="P198" i="10" s="1"/>
  <c r="L206" i="10"/>
  <c r="K206" i="10"/>
  <c r="I206" i="10"/>
  <c r="G206" i="10"/>
  <c r="P206" i="10" s="1"/>
  <c r="L214" i="10"/>
  <c r="K214" i="10"/>
  <c r="I214" i="10"/>
  <c r="G214" i="10"/>
  <c r="P214" i="10" s="1"/>
  <c r="Q250" i="10"/>
  <c r="O250" i="10"/>
  <c r="D252" i="10"/>
  <c r="P252" i="10"/>
  <c r="Q259" i="10"/>
  <c r="O259" i="10"/>
  <c r="O283" i="10"/>
  <c r="G84" i="10"/>
  <c r="P84" i="10" s="1"/>
  <c r="L84" i="10"/>
  <c r="K84" i="10"/>
  <c r="N84" i="10"/>
  <c r="G88" i="10"/>
  <c r="P88" i="10" s="1"/>
  <c r="L88" i="10"/>
  <c r="K88" i="10"/>
  <c r="N88" i="10"/>
  <c r="G92" i="10"/>
  <c r="P92" i="10" s="1"/>
  <c r="L92" i="10"/>
  <c r="K92" i="10"/>
  <c r="N92" i="10"/>
  <c r="G96" i="10"/>
  <c r="P96" i="10" s="1"/>
  <c r="L96" i="10"/>
  <c r="K96" i="10"/>
  <c r="N96" i="10"/>
  <c r="G100" i="10"/>
  <c r="P100" i="10" s="1"/>
  <c r="L100" i="10"/>
  <c r="K100" i="10"/>
  <c r="N100" i="10"/>
  <c r="G104" i="10"/>
  <c r="P104" i="10" s="1"/>
  <c r="L104" i="10"/>
  <c r="K104" i="10"/>
  <c r="N104" i="10"/>
  <c r="I108" i="10"/>
  <c r="L108" i="10"/>
  <c r="N108" i="10"/>
  <c r="I112" i="10"/>
  <c r="L112" i="10"/>
  <c r="N112" i="10"/>
  <c r="P359" i="10"/>
  <c r="D359" i="10"/>
  <c r="J360" i="10"/>
  <c r="H360" i="10"/>
  <c r="K81" i="10"/>
  <c r="K161" i="10"/>
  <c r="P193" i="10"/>
  <c r="L200" i="10"/>
  <c r="K200" i="10"/>
  <c r="P201" i="10"/>
  <c r="P203" i="10"/>
  <c r="D203" i="10"/>
  <c r="L204" i="10"/>
  <c r="K204" i="10"/>
  <c r="N204" i="10"/>
  <c r="P211" i="10"/>
  <c r="D211" i="10"/>
  <c r="L212" i="10"/>
  <c r="K212" i="10"/>
  <c r="N212" i="10"/>
  <c r="G219" i="10"/>
  <c r="P219" i="10" s="1"/>
  <c r="N219" i="10"/>
  <c r="O219" i="10" s="1"/>
  <c r="L219" i="10"/>
  <c r="K219" i="10"/>
  <c r="G227" i="10"/>
  <c r="P227" i="10" s="1"/>
  <c r="N227" i="10"/>
  <c r="O227" i="10" s="1"/>
  <c r="L227" i="10"/>
  <c r="K227" i="10"/>
  <c r="G235" i="10"/>
  <c r="P235" i="10" s="1"/>
  <c r="N235" i="10"/>
  <c r="L235" i="10"/>
  <c r="K235" i="10"/>
  <c r="D245" i="10"/>
  <c r="AC245" i="10"/>
  <c r="P245" i="10"/>
  <c r="AC247" i="10"/>
  <c r="AE246" i="10" s="1"/>
  <c r="J254" i="10"/>
  <c r="H254" i="10"/>
  <c r="Q535" i="10"/>
  <c r="O535" i="10"/>
  <c r="D556" i="10"/>
  <c r="P556" i="10"/>
  <c r="J624" i="10"/>
  <c r="H624" i="10"/>
  <c r="K74" i="10"/>
  <c r="K80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D164" i="10"/>
  <c r="G165" i="10"/>
  <c r="P165" i="10" s="1"/>
  <c r="I166" i="10"/>
  <c r="L167" i="10"/>
  <c r="G169" i="10"/>
  <c r="P169" i="10" s="1"/>
  <c r="I170" i="10"/>
  <c r="L171" i="10"/>
  <c r="G173" i="10"/>
  <c r="P173" i="10" s="1"/>
  <c r="I174" i="10"/>
  <c r="L175" i="10"/>
  <c r="G177" i="10"/>
  <c r="P177" i="10" s="1"/>
  <c r="I178" i="10"/>
  <c r="L179" i="10"/>
  <c r="G181" i="10"/>
  <c r="P181" i="10" s="1"/>
  <c r="I182" i="10"/>
  <c r="L183" i="10"/>
  <c r="G185" i="10"/>
  <c r="P185" i="10" s="1"/>
  <c r="I186" i="10"/>
  <c r="L187" i="10"/>
  <c r="G189" i="10"/>
  <c r="P189" i="10" s="1"/>
  <c r="I190" i="10"/>
  <c r="L191" i="10"/>
  <c r="L197" i="10"/>
  <c r="K197" i="10"/>
  <c r="N200" i="10"/>
  <c r="D206" i="10"/>
  <c r="L207" i="10"/>
  <c r="K207" i="10"/>
  <c r="N207" i="10"/>
  <c r="D214" i="10"/>
  <c r="N215" i="10"/>
  <c r="O215" i="10" s="1"/>
  <c r="K215" i="10"/>
  <c r="G220" i="10"/>
  <c r="P220" i="10" s="1"/>
  <c r="N220" i="10"/>
  <c r="O220" i="10" s="1"/>
  <c r="L220" i="10"/>
  <c r="K220" i="10"/>
  <c r="G228" i="10"/>
  <c r="P228" i="10" s="1"/>
  <c r="N228" i="10"/>
  <c r="O228" i="10" s="1"/>
  <c r="L228" i="10"/>
  <c r="K228" i="10"/>
  <c r="G236" i="10"/>
  <c r="P236" i="10" s="1"/>
  <c r="N236" i="10"/>
  <c r="L236" i="10"/>
  <c r="K236" i="10"/>
  <c r="Q240" i="10"/>
  <c r="O241" i="10"/>
  <c r="D246" i="10"/>
  <c r="J266" i="10"/>
  <c r="H266" i="10"/>
  <c r="P268" i="10"/>
  <c r="J274" i="10"/>
  <c r="H274" i="10"/>
  <c r="P276" i="10"/>
  <c r="Q305" i="10"/>
  <c r="Q321" i="10"/>
  <c r="Q337" i="10"/>
  <c r="Q353" i="10"/>
  <c r="J371" i="10"/>
  <c r="H371" i="10"/>
  <c r="Q371" i="10"/>
  <c r="P385" i="10"/>
  <c r="D385" i="10"/>
  <c r="J387" i="10"/>
  <c r="H387" i="10"/>
  <c r="Q387" i="10"/>
  <c r="P401" i="10"/>
  <c r="D401" i="10"/>
  <c r="L194" i="10"/>
  <c r="K194" i="10"/>
  <c r="L202" i="10"/>
  <c r="K202" i="10"/>
  <c r="N202" i="10"/>
  <c r="D209" i="10"/>
  <c r="L210" i="10"/>
  <c r="K210" i="10"/>
  <c r="N210" i="10"/>
  <c r="G216" i="10"/>
  <c r="P216" i="10" s="1"/>
  <c r="N216" i="10"/>
  <c r="O216" i="10" s="1"/>
  <c r="K216" i="10"/>
  <c r="G221" i="10"/>
  <c r="P221" i="10" s="1"/>
  <c r="N221" i="10"/>
  <c r="L221" i="10"/>
  <c r="K221" i="10"/>
  <c r="G229" i="10"/>
  <c r="P229" i="10" s="1"/>
  <c r="N229" i="10"/>
  <c r="L229" i="10"/>
  <c r="K229" i="10"/>
  <c r="G237" i="10"/>
  <c r="P237" i="10" s="1"/>
  <c r="N237" i="10"/>
  <c r="L237" i="10"/>
  <c r="K237" i="10"/>
  <c r="H243" i="10"/>
  <c r="J243" i="10"/>
  <c r="J282" i="10"/>
  <c r="H282" i="10"/>
  <c r="P284" i="10"/>
  <c r="P366" i="10"/>
  <c r="D366" i="10"/>
  <c r="J368" i="10"/>
  <c r="H368" i="10"/>
  <c r="D402" i="10"/>
  <c r="P402" i="10"/>
  <c r="H411" i="10"/>
  <c r="J411" i="10"/>
  <c r="J414" i="10"/>
  <c r="H414" i="10"/>
  <c r="L166" i="10"/>
  <c r="L170" i="10"/>
  <c r="L174" i="10"/>
  <c r="L178" i="10"/>
  <c r="L182" i="10"/>
  <c r="L186" i="10"/>
  <c r="L190" i="10"/>
  <c r="N194" i="10"/>
  <c r="O197" i="10"/>
  <c r="L199" i="10"/>
  <c r="K199" i="10"/>
  <c r="D204" i="10"/>
  <c r="L205" i="10"/>
  <c r="K205" i="10"/>
  <c r="N205" i="10"/>
  <c r="D212" i="10"/>
  <c r="L213" i="10"/>
  <c r="K213" i="10"/>
  <c r="N213" i="10"/>
  <c r="G222" i="10"/>
  <c r="P222" i="10" s="1"/>
  <c r="N222" i="10"/>
  <c r="O222" i="10" s="1"/>
  <c r="L222" i="10"/>
  <c r="K222" i="10"/>
  <c r="G230" i="10"/>
  <c r="P230" i="10" s="1"/>
  <c r="N230" i="10"/>
  <c r="O230" i="10" s="1"/>
  <c r="L230" i="10"/>
  <c r="K230" i="10"/>
  <c r="L238" i="10"/>
  <c r="G238" i="10"/>
  <c r="P238" i="10" s="1"/>
  <c r="N238" i="10"/>
  <c r="O238" i="10" s="1"/>
  <c r="K238" i="10"/>
  <c r="L239" i="10"/>
  <c r="G239" i="10"/>
  <c r="P239" i="10" s="1"/>
  <c r="N239" i="10"/>
  <c r="O239" i="10" s="1"/>
  <c r="I239" i="10"/>
  <c r="J258" i="10"/>
  <c r="H258" i="10"/>
  <c r="O263" i="10"/>
  <c r="O271" i="10"/>
  <c r="O279" i="10"/>
  <c r="P287" i="10"/>
  <c r="P291" i="10"/>
  <c r="P295" i="10"/>
  <c r="P301" i="10"/>
  <c r="P381" i="10"/>
  <c r="D381" i="10"/>
  <c r="J383" i="10"/>
  <c r="H383" i="10"/>
  <c r="P397" i="10"/>
  <c r="D397" i="10"/>
  <c r="J399" i="10"/>
  <c r="H399" i="10"/>
  <c r="H419" i="10"/>
  <c r="J419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L196" i="10"/>
  <c r="K196" i="10"/>
  <c r="P197" i="10"/>
  <c r="N199" i="10"/>
  <c r="G200" i="10"/>
  <c r="P200" i="10" s="1"/>
  <c r="G204" i="10"/>
  <c r="P204" i="10" s="1"/>
  <c r="P207" i="10"/>
  <c r="D207" i="10"/>
  <c r="L208" i="10"/>
  <c r="K208" i="10"/>
  <c r="N208" i="10"/>
  <c r="G212" i="10"/>
  <c r="P212" i="10" s="1"/>
  <c r="I215" i="10"/>
  <c r="G217" i="10"/>
  <c r="P217" i="10" s="1"/>
  <c r="N217" i="10"/>
  <c r="K217" i="10"/>
  <c r="G223" i="10"/>
  <c r="P223" i="10" s="1"/>
  <c r="N223" i="10"/>
  <c r="O223" i="10" s="1"/>
  <c r="L223" i="10"/>
  <c r="K223" i="10"/>
  <c r="G231" i="10"/>
  <c r="P231" i="10" s="1"/>
  <c r="N231" i="10"/>
  <c r="O231" i="10" s="1"/>
  <c r="L231" i="10"/>
  <c r="K231" i="10"/>
  <c r="Q315" i="10"/>
  <c r="Q331" i="10"/>
  <c r="Q347" i="10"/>
  <c r="P362" i="10"/>
  <c r="D362" i="10"/>
  <c r="J364" i="10"/>
  <c r="H364" i="10"/>
  <c r="Q364" i="10"/>
  <c r="H408" i="10"/>
  <c r="J408" i="10"/>
  <c r="G476" i="10"/>
  <c r="P476" i="10" s="1"/>
  <c r="N476" i="10"/>
  <c r="O476" i="10" s="1"/>
  <c r="I476" i="10"/>
  <c r="L476" i="10"/>
  <c r="K476" i="10"/>
  <c r="L165" i="10"/>
  <c r="N166" i="10"/>
  <c r="L169" i="10"/>
  <c r="N170" i="10"/>
  <c r="L173" i="10"/>
  <c r="N174" i="10"/>
  <c r="L177" i="10"/>
  <c r="N178" i="10"/>
  <c r="L181" i="10"/>
  <c r="N182" i="10"/>
  <c r="L185" i="10"/>
  <c r="N186" i="10"/>
  <c r="L189" i="10"/>
  <c r="N190" i="10"/>
  <c r="L193" i="10"/>
  <c r="K193" i="10"/>
  <c r="P194" i="10"/>
  <c r="L201" i="10"/>
  <c r="K201" i="10"/>
  <c r="P202" i="10"/>
  <c r="D202" i="10"/>
  <c r="L203" i="10"/>
  <c r="K203" i="10"/>
  <c r="N203" i="10"/>
  <c r="I204" i="10"/>
  <c r="P210" i="10"/>
  <c r="D210" i="10"/>
  <c r="L211" i="10"/>
  <c r="K211" i="10"/>
  <c r="N211" i="10"/>
  <c r="I212" i="10"/>
  <c r="I219" i="10"/>
  <c r="G224" i="10"/>
  <c r="P224" i="10" s="1"/>
  <c r="N224" i="10"/>
  <c r="L224" i="10"/>
  <c r="K224" i="10"/>
  <c r="I227" i="10"/>
  <c r="G232" i="10"/>
  <c r="P232" i="10" s="1"/>
  <c r="N232" i="10"/>
  <c r="L232" i="10"/>
  <c r="K232" i="10"/>
  <c r="I235" i="10"/>
  <c r="G243" i="10"/>
  <c r="AC243" i="10" s="1"/>
  <c r="I243" i="10"/>
  <c r="N243" i="10"/>
  <c r="J270" i="10"/>
  <c r="H270" i="10"/>
  <c r="J278" i="10"/>
  <c r="H278" i="10"/>
  <c r="Q313" i="10"/>
  <c r="Q329" i="10"/>
  <c r="Q345" i="10"/>
  <c r="P377" i="10"/>
  <c r="D377" i="10"/>
  <c r="J379" i="10"/>
  <c r="H379" i="10"/>
  <c r="Q379" i="10"/>
  <c r="P393" i="10"/>
  <c r="D393" i="10"/>
  <c r="J395" i="10"/>
  <c r="H395" i="10"/>
  <c r="Q395" i="10"/>
  <c r="K240" i="10"/>
  <c r="Q241" i="10"/>
  <c r="P242" i="10"/>
  <c r="L244" i="10"/>
  <c r="N244" i="10"/>
  <c r="O244" i="10" s="1"/>
  <c r="L250" i="10"/>
  <c r="Q298" i="10"/>
  <c r="Q417" i="10"/>
  <c r="I429" i="10"/>
  <c r="K429" i="10"/>
  <c r="G429" i="10"/>
  <c r="P429" i="10" s="1"/>
  <c r="L429" i="10"/>
  <c r="P435" i="10"/>
  <c r="D435" i="10"/>
  <c r="Q437" i="10"/>
  <c r="J438" i="10"/>
  <c r="H438" i="10"/>
  <c r="D240" i="10"/>
  <c r="J242" i="10"/>
  <c r="H252" i="10"/>
  <c r="H256" i="10"/>
  <c r="H260" i="10"/>
  <c r="H264" i="10"/>
  <c r="H268" i="10"/>
  <c r="H272" i="10"/>
  <c r="H276" i="10"/>
  <c r="D286" i="10"/>
  <c r="J361" i="10"/>
  <c r="H361" i="10"/>
  <c r="J365" i="10"/>
  <c r="H365" i="10"/>
  <c r="J372" i="10"/>
  <c r="H372" i="10"/>
  <c r="J376" i="10"/>
  <c r="H376" i="10"/>
  <c r="J380" i="10"/>
  <c r="H380" i="10"/>
  <c r="J384" i="10"/>
  <c r="H384" i="10"/>
  <c r="J388" i="10"/>
  <c r="H388" i="10"/>
  <c r="J392" i="10"/>
  <c r="H392" i="10"/>
  <c r="J396" i="10"/>
  <c r="H396" i="10"/>
  <c r="J400" i="10"/>
  <c r="H400" i="10"/>
  <c r="I422" i="10"/>
  <c r="G422" i="10"/>
  <c r="P422" i="10" s="1"/>
  <c r="N422" i="10"/>
  <c r="O422" i="10" s="1"/>
  <c r="K422" i="10"/>
  <c r="I426" i="10"/>
  <c r="K426" i="10"/>
  <c r="G426" i="10"/>
  <c r="P426" i="10" s="1"/>
  <c r="L426" i="10"/>
  <c r="D239" i="10"/>
  <c r="K242" i="10"/>
  <c r="P244" i="10"/>
  <c r="P250" i="10"/>
  <c r="D254" i="10"/>
  <c r="D258" i="10"/>
  <c r="D262" i="10"/>
  <c r="Q302" i="10"/>
  <c r="H404" i="10"/>
  <c r="J404" i="10"/>
  <c r="I408" i="10"/>
  <c r="G408" i="10"/>
  <c r="P408" i="10" s="1"/>
  <c r="N408" i="10"/>
  <c r="O408" i="10" s="1"/>
  <c r="I414" i="10"/>
  <c r="G414" i="10"/>
  <c r="P414" i="10" s="1"/>
  <c r="N414" i="10"/>
  <c r="O414" i="10" s="1"/>
  <c r="K414" i="10"/>
  <c r="I419" i="10"/>
  <c r="G419" i="10"/>
  <c r="P419" i="10" s="1"/>
  <c r="N419" i="10"/>
  <c r="O419" i="10" s="1"/>
  <c r="P425" i="10"/>
  <c r="D425" i="10"/>
  <c r="P428" i="10"/>
  <c r="D428" i="10"/>
  <c r="J430" i="10"/>
  <c r="H430" i="10"/>
  <c r="P443" i="10"/>
  <c r="D443" i="10"/>
  <c r="J446" i="10"/>
  <c r="H446" i="10"/>
  <c r="P449" i="10"/>
  <c r="D449" i="10"/>
  <c r="J454" i="10"/>
  <c r="H454" i="10"/>
  <c r="J462" i="10"/>
  <c r="H462" i="10"/>
  <c r="H247" i="10"/>
  <c r="J247" i="10"/>
  <c r="H283" i="10"/>
  <c r="J362" i="10"/>
  <c r="H362" i="10"/>
  <c r="J366" i="10"/>
  <c r="H366" i="10"/>
  <c r="J373" i="10"/>
  <c r="H373" i="10"/>
  <c r="J377" i="10"/>
  <c r="H377" i="10"/>
  <c r="J381" i="10"/>
  <c r="H381" i="10"/>
  <c r="J385" i="10"/>
  <c r="H385" i="10"/>
  <c r="J389" i="10"/>
  <c r="H389" i="10"/>
  <c r="J393" i="10"/>
  <c r="H393" i="10"/>
  <c r="J397" i="10"/>
  <c r="H397" i="10"/>
  <c r="J401" i="10"/>
  <c r="H401" i="10"/>
  <c r="I411" i="10"/>
  <c r="G411" i="10"/>
  <c r="P411" i="10" s="1"/>
  <c r="N411" i="10"/>
  <c r="O411" i="10" s="1"/>
  <c r="J447" i="10"/>
  <c r="H447" i="10"/>
  <c r="P450" i="10"/>
  <c r="D450" i="10"/>
  <c r="J455" i="10"/>
  <c r="H455" i="10"/>
  <c r="J463" i="10"/>
  <c r="H463" i="10"/>
  <c r="AE240" i="10"/>
  <c r="AG240" i="10" s="1"/>
  <c r="D253" i="10"/>
  <c r="D257" i="10"/>
  <c r="D261" i="10"/>
  <c r="D265" i="10"/>
  <c r="D269" i="10"/>
  <c r="D273" i="10"/>
  <c r="D277" i="10"/>
  <c r="D281" i="10"/>
  <c r="D285" i="10"/>
  <c r="D288" i="10"/>
  <c r="D292" i="10"/>
  <c r="D296" i="10"/>
  <c r="D299" i="10"/>
  <c r="D304" i="10"/>
  <c r="D306" i="10"/>
  <c r="D308" i="10"/>
  <c r="D310" i="10"/>
  <c r="D312" i="10"/>
  <c r="D314" i="10"/>
  <c r="D316" i="10"/>
  <c r="D318" i="10"/>
  <c r="D320" i="10"/>
  <c r="D322" i="10"/>
  <c r="D324" i="10"/>
  <c r="D326" i="10"/>
  <c r="D328" i="10"/>
  <c r="D330" i="10"/>
  <c r="D332" i="10"/>
  <c r="D334" i="10"/>
  <c r="D336" i="10"/>
  <c r="D338" i="10"/>
  <c r="D340" i="10"/>
  <c r="D342" i="10"/>
  <c r="D344" i="10"/>
  <c r="D346" i="10"/>
  <c r="D348" i="10"/>
  <c r="D350" i="10"/>
  <c r="D352" i="10"/>
  <c r="D354" i="10"/>
  <c r="D356" i="10"/>
  <c r="D361" i="10"/>
  <c r="D365" i="10"/>
  <c r="D369" i="10"/>
  <c r="D372" i="10"/>
  <c r="D376" i="10"/>
  <c r="D380" i="10"/>
  <c r="D384" i="10"/>
  <c r="D388" i="10"/>
  <c r="D392" i="10"/>
  <c r="D396" i="10"/>
  <c r="D400" i="10"/>
  <c r="I404" i="10"/>
  <c r="G404" i="10"/>
  <c r="P404" i="10" s="1"/>
  <c r="N404" i="10"/>
  <c r="O404" i="10" s="1"/>
  <c r="D420" i="10"/>
  <c r="P420" i="10"/>
  <c r="P439" i="10"/>
  <c r="D439" i="10"/>
  <c r="Q441" i="10"/>
  <c r="J442" i="10"/>
  <c r="H442" i="10"/>
  <c r="J479" i="10"/>
  <c r="H479" i="10"/>
  <c r="J482" i="10"/>
  <c r="H482" i="10"/>
  <c r="G241" i="10"/>
  <c r="I241" i="10"/>
  <c r="L241" i="10"/>
  <c r="L245" i="10"/>
  <c r="J357" i="10"/>
  <c r="H357" i="10"/>
  <c r="J363" i="10"/>
  <c r="H363" i="10"/>
  <c r="J367" i="10"/>
  <c r="H367" i="10"/>
  <c r="J370" i="10"/>
  <c r="H370" i="10"/>
  <c r="J374" i="10"/>
  <c r="H374" i="10"/>
  <c r="J378" i="10"/>
  <c r="H378" i="10"/>
  <c r="J382" i="10"/>
  <c r="H382" i="10"/>
  <c r="J386" i="10"/>
  <c r="H386" i="10"/>
  <c r="J390" i="10"/>
  <c r="H390" i="10"/>
  <c r="J394" i="10"/>
  <c r="H394" i="10"/>
  <c r="J398" i="10"/>
  <c r="H398" i="10"/>
  <c r="D412" i="10"/>
  <c r="P412" i="10"/>
  <c r="L422" i="10"/>
  <c r="H424" i="10"/>
  <c r="J424" i="10"/>
  <c r="Q426" i="10"/>
  <c r="N402" i="10"/>
  <c r="O402" i="10" s="1"/>
  <c r="G403" i="10"/>
  <c r="P403" i="10" s="1"/>
  <c r="L405" i="10"/>
  <c r="N406" i="10"/>
  <c r="O406" i="10" s="1"/>
  <c r="G407" i="10"/>
  <c r="P407" i="10" s="1"/>
  <c r="L409" i="10"/>
  <c r="Q412" i="10"/>
  <c r="G413" i="10"/>
  <c r="P413" i="10" s="1"/>
  <c r="N415" i="10"/>
  <c r="O415" i="10" s="1"/>
  <c r="L417" i="10"/>
  <c r="Q420" i="10"/>
  <c r="G421" i="10"/>
  <c r="P421" i="10" s="1"/>
  <c r="N423" i="10"/>
  <c r="O423" i="10" s="1"/>
  <c r="G427" i="10"/>
  <c r="P427" i="10" s="1"/>
  <c r="N428" i="10"/>
  <c r="O428" i="10" s="1"/>
  <c r="J433" i="10"/>
  <c r="H433" i="10"/>
  <c r="J437" i="10"/>
  <c r="H437" i="10"/>
  <c r="J441" i="10"/>
  <c r="H441" i="10"/>
  <c r="J445" i="10"/>
  <c r="H445" i="10"/>
  <c r="P448" i="10"/>
  <c r="D448" i="10"/>
  <c r="O451" i="10"/>
  <c r="Q452" i="10"/>
  <c r="J453" i="10"/>
  <c r="H453" i="10"/>
  <c r="O459" i="10"/>
  <c r="J461" i="10"/>
  <c r="H461" i="10"/>
  <c r="G471" i="10"/>
  <c r="P471" i="10" s="1"/>
  <c r="N471" i="10"/>
  <c r="I471" i="10"/>
  <c r="K403" i="10"/>
  <c r="K407" i="10"/>
  <c r="L416" i="10"/>
  <c r="P432" i="10"/>
  <c r="D432" i="10"/>
  <c r="P436" i="10"/>
  <c r="D436" i="10"/>
  <c r="P440" i="10"/>
  <c r="D440" i="10"/>
  <c r="P444" i="10"/>
  <c r="D444" i="10"/>
  <c r="J448" i="10"/>
  <c r="H448" i="10"/>
  <c r="P451" i="10"/>
  <c r="D451" i="10"/>
  <c r="J456" i="10"/>
  <c r="H456" i="10"/>
  <c r="J464" i="10"/>
  <c r="H464" i="10"/>
  <c r="G479" i="10"/>
  <c r="P479" i="10" s="1"/>
  <c r="N479" i="10"/>
  <c r="I479" i="10"/>
  <c r="J549" i="10"/>
  <c r="H549" i="10"/>
  <c r="O597" i="10"/>
  <c r="Q597" i="10"/>
  <c r="L403" i="10"/>
  <c r="G405" i="10"/>
  <c r="P405" i="10" s="1"/>
  <c r="L407" i="10"/>
  <c r="G409" i="10"/>
  <c r="P409" i="10" s="1"/>
  <c r="L413" i="10"/>
  <c r="P417" i="10"/>
  <c r="L421" i="10"/>
  <c r="N424" i="10"/>
  <c r="O424" i="10" s="1"/>
  <c r="D426" i="10"/>
  <c r="J431" i="10"/>
  <c r="H431" i="10"/>
  <c r="J435" i="10"/>
  <c r="H435" i="10"/>
  <c r="J439" i="10"/>
  <c r="H439" i="10"/>
  <c r="J443" i="10"/>
  <c r="H443" i="10"/>
  <c r="J449" i="10"/>
  <c r="H449" i="10"/>
  <c r="P452" i="10"/>
  <c r="D452" i="10"/>
  <c r="J457" i="10"/>
  <c r="H457" i="10"/>
  <c r="J465" i="10"/>
  <c r="H465" i="10"/>
  <c r="J466" i="10"/>
  <c r="H466" i="10"/>
  <c r="G484" i="10"/>
  <c r="P484" i="10" s="1"/>
  <c r="N484" i="10"/>
  <c r="O484" i="10" s="1"/>
  <c r="I484" i="10"/>
  <c r="L484" i="10"/>
  <c r="K402" i="10"/>
  <c r="K406" i="10"/>
  <c r="L410" i="10"/>
  <c r="N416" i="10"/>
  <c r="O416" i="10" s="1"/>
  <c r="L418" i="10"/>
  <c r="N427" i="10"/>
  <c r="O427" i="10" s="1"/>
  <c r="K428" i="10"/>
  <c r="D429" i="10"/>
  <c r="P433" i="10"/>
  <c r="D433" i="10"/>
  <c r="P437" i="10"/>
  <c r="D437" i="10"/>
  <c r="P441" i="10"/>
  <c r="D441" i="10"/>
  <c r="P445" i="10"/>
  <c r="D445" i="10"/>
  <c r="O448" i="10"/>
  <c r="J450" i="10"/>
  <c r="H450" i="10"/>
  <c r="P453" i="10"/>
  <c r="D453" i="10"/>
  <c r="O456" i="10"/>
  <c r="J458" i="10"/>
  <c r="H458" i="10"/>
  <c r="O464" i="10"/>
  <c r="J546" i="10"/>
  <c r="H546" i="10"/>
  <c r="D548" i="10"/>
  <c r="P548" i="10"/>
  <c r="L402" i="10"/>
  <c r="N403" i="10"/>
  <c r="O403" i="10" s="1"/>
  <c r="L406" i="10"/>
  <c r="N407" i="10"/>
  <c r="O407" i="10" s="1"/>
  <c r="Q410" i="10"/>
  <c r="K412" i="10"/>
  <c r="N413" i="10"/>
  <c r="O413" i="10" s="1"/>
  <c r="L415" i="10"/>
  <c r="Q418" i="10"/>
  <c r="K420" i="10"/>
  <c r="N421" i="10"/>
  <c r="O421" i="10" s="1"/>
  <c r="L423" i="10"/>
  <c r="D424" i="10"/>
  <c r="Q425" i="10"/>
  <c r="L428" i="10"/>
  <c r="J432" i="10"/>
  <c r="H432" i="10"/>
  <c r="J436" i="10"/>
  <c r="H436" i="10"/>
  <c r="J440" i="10"/>
  <c r="H440" i="10"/>
  <c r="J444" i="10"/>
  <c r="H444" i="10"/>
  <c r="P446" i="10"/>
  <c r="D446" i="10"/>
  <c r="Q450" i="10"/>
  <c r="J451" i="10"/>
  <c r="H451" i="10"/>
  <c r="P454" i="10"/>
  <c r="D454" i="10"/>
  <c r="J459" i="10"/>
  <c r="H459" i="10"/>
  <c r="G468" i="10"/>
  <c r="P468" i="10" s="1"/>
  <c r="N468" i="10"/>
  <c r="O468" i="10" s="1"/>
  <c r="I468" i="10"/>
  <c r="L468" i="10"/>
  <c r="L471" i="10"/>
  <c r="O543" i="10"/>
  <c r="J574" i="10"/>
  <c r="H574" i="10"/>
  <c r="K405" i="10"/>
  <c r="K409" i="10"/>
  <c r="L412" i="10"/>
  <c r="G416" i="10"/>
  <c r="P416" i="10" s="1"/>
  <c r="L420" i="10"/>
  <c r="G424" i="10"/>
  <c r="P424" i="10" s="1"/>
  <c r="D427" i="10"/>
  <c r="P430" i="10"/>
  <c r="D430" i="10"/>
  <c r="P434" i="10"/>
  <c r="D434" i="10"/>
  <c r="P438" i="10"/>
  <c r="D438" i="10"/>
  <c r="P442" i="10"/>
  <c r="D442" i="10"/>
  <c r="P447" i="10"/>
  <c r="D447" i="10"/>
  <c r="O450" i="10"/>
  <c r="J452" i="10"/>
  <c r="H452" i="10"/>
  <c r="O458" i="10"/>
  <c r="J460" i="10"/>
  <c r="H460" i="10"/>
  <c r="J474" i="10"/>
  <c r="H474" i="10"/>
  <c r="J538" i="10"/>
  <c r="H538" i="10"/>
  <c r="D540" i="10"/>
  <c r="P540" i="10"/>
  <c r="P565" i="10"/>
  <c r="D565" i="10"/>
  <c r="D455" i="10"/>
  <c r="D456" i="10"/>
  <c r="D457" i="10"/>
  <c r="D458" i="10"/>
  <c r="D459" i="10"/>
  <c r="D460" i="10"/>
  <c r="D461" i="10"/>
  <c r="D462" i="10"/>
  <c r="D463" i="10"/>
  <c r="D464" i="10"/>
  <c r="D465" i="10"/>
  <c r="G473" i="10"/>
  <c r="P473" i="10" s="1"/>
  <c r="N473" i="10"/>
  <c r="O473" i="10" s="1"/>
  <c r="K473" i="10"/>
  <c r="G481" i="10"/>
  <c r="P481" i="10" s="1"/>
  <c r="N481" i="10"/>
  <c r="O481" i="10" s="1"/>
  <c r="K481" i="10"/>
  <c r="L529" i="10"/>
  <c r="G529" i="10"/>
  <c r="P529" i="10" s="1"/>
  <c r="N529" i="10"/>
  <c r="O529" i="10" s="1"/>
  <c r="K529" i="10"/>
  <c r="J530" i="10"/>
  <c r="H530" i="10"/>
  <c r="J552" i="10"/>
  <c r="H552" i="10"/>
  <c r="P570" i="10"/>
  <c r="D570" i="10"/>
  <c r="D582" i="10"/>
  <c r="D586" i="10"/>
  <c r="D590" i="10"/>
  <c r="H621" i="10"/>
  <c r="J621" i="10"/>
  <c r="I643" i="10"/>
  <c r="G643" i="10"/>
  <c r="P643" i="10" s="1"/>
  <c r="N643" i="10"/>
  <c r="O643" i="10" s="1"/>
  <c r="K643" i="10"/>
  <c r="L643" i="10"/>
  <c r="G470" i="10"/>
  <c r="P470" i="10" s="1"/>
  <c r="N470" i="10"/>
  <c r="K470" i="10"/>
  <c r="G478" i="10"/>
  <c r="P478" i="10" s="1"/>
  <c r="N478" i="10"/>
  <c r="K478" i="10"/>
  <c r="J561" i="10"/>
  <c r="H561" i="10"/>
  <c r="P578" i="10"/>
  <c r="D578" i="10"/>
  <c r="J580" i="10"/>
  <c r="H580" i="10"/>
  <c r="J584" i="10"/>
  <c r="H584" i="10"/>
  <c r="J588" i="10"/>
  <c r="H588" i="10"/>
  <c r="J592" i="10"/>
  <c r="H592" i="10"/>
  <c r="D619" i="10"/>
  <c r="J638" i="10"/>
  <c r="H638" i="10"/>
  <c r="G467" i="10"/>
  <c r="P467" i="10" s="1"/>
  <c r="N467" i="10"/>
  <c r="K467" i="10"/>
  <c r="L470" i="10"/>
  <c r="G475" i="10"/>
  <c r="P475" i="10" s="1"/>
  <c r="N475" i="10"/>
  <c r="K475" i="10"/>
  <c r="L478" i="10"/>
  <c r="G483" i="10"/>
  <c r="P483" i="10" s="1"/>
  <c r="N483" i="10"/>
  <c r="K483" i="10"/>
  <c r="H487" i="10"/>
  <c r="H489" i="10"/>
  <c r="J542" i="10"/>
  <c r="H542" i="10"/>
  <c r="J569" i="10"/>
  <c r="H569" i="10"/>
  <c r="L467" i="10"/>
  <c r="G472" i="10"/>
  <c r="P472" i="10" s="1"/>
  <c r="N472" i="10"/>
  <c r="K472" i="10"/>
  <c r="L475" i="10"/>
  <c r="G480" i="10"/>
  <c r="P480" i="10" s="1"/>
  <c r="N480" i="10"/>
  <c r="K480" i="10"/>
  <c r="L483" i="10"/>
  <c r="J534" i="10"/>
  <c r="H534" i="10"/>
  <c r="O539" i="10"/>
  <c r="O547" i="10"/>
  <c r="Q566" i="10"/>
  <c r="J614" i="10"/>
  <c r="H614" i="10"/>
  <c r="G469" i="10"/>
  <c r="P469" i="10" s="1"/>
  <c r="N469" i="10"/>
  <c r="O469" i="10" s="1"/>
  <c r="K469" i="10"/>
  <c r="L472" i="10"/>
  <c r="G477" i="10"/>
  <c r="P477" i="10" s="1"/>
  <c r="N477" i="10"/>
  <c r="O477" i="10" s="1"/>
  <c r="K477" i="10"/>
  <c r="L480" i="10"/>
  <c r="G485" i="10"/>
  <c r="P485" i="10" s="1"/>
  <c r="N485" i="10"/>
  <c r="K485" i="10"/>
  <c r="J566" i="10"/>
  <c r="H566" i="10"/>
  <c r="J577" i="10"/>
  <c r="H577" i="10"/>
  <c r="G466" i="10"/>
  <c r="P466" i="10" s="1"/>
  <c r="N466" i="10"/>
  <c r="O466" i="10" s="1"/>
  <c r="K466" i="10"/>
  <c r="G474" i="10"/>
  <c r="P474" i="10" s="1"/>
  <c r="N474" i="10"/>
  <c r="O474" i="10" s="1"/>
  <c r="K474" i="10"/>
  <c r="G482" i="10"/>
  <c r="P482" i="10" s="1"/>
  <c r="N482" i="10"/>
  <c r="O482" i="10" s="1"/>
  <c r="K482" i="10"/>
  <c r="I529" i="10"/>
  <c r="O531" i="10"/>
  <c r="J557" i="10"/>
  <c r="H557" i="10"/>
  <c r="Q574" i="10"/>
  <c r="H532" i="10"/>
  <c r="H536" i="10"/>
  <c r="H540" i="10"/>
  <c r="H544" i="10"/>
  <c r="H548" i="10"/>
  <c r="Q549" i="10"/>
  <c r="D555" i="10"/>
  <c r="H556" i="10"/>
  <c r="Q557" i="10"/>
  <c r="P560" i="10"/>
  <c r="J564" i="10"/>
  <c r="H564" i="10"/>
  <c r="Q564" i="10"/>
  <c r="P568" i="10"/>
  <c r="J572" i="10"/>
  <c r="H572" i="10"/>
  <c r="Q572" i="10"/>
  <c r="P576" i="10"/>
  <c r="G612" i="10"/>
  <c r="P612" i="10" s="1"/>
  <c r="I612" i="10"/>
  <c r="K612" i="10"/>
  <c r="L612" i="10"/>
  <c r="J615" i="10"/>
  <c r="H615" i="10"/>
  <c r="D530" i="10"/>
  <c r="D534" i="10"/>
  <c r="D538" i="10"/>
  <c r="D542" i="10"/>
  <c r="D546" i="10"/>
  <c r="D552" i="10"/>
  <c r="Q554" i="10"/>
  <c r="J559" i="10"/>
  <c r="H559" i="10"/>
  <c r="Q559" i="10"/>
  <c r="P563" i="10"/>
  <c r="D566" i="10"/>
  <c r="J567" i="10"/>
  <c r="H567" i="10"/>
  <c r="Q567" i="10"/>
  <c r="P571" i="10"/>
  <c r="D574" i="10"/>
  <c r="J575" i="10"/>
  <c r="H575" i="10"/>
  <c r="Q575" i="10"/>
  <c r="J581" i="10"/>
  <c r="H581" i="10"/>
  <c r="J585" i="10"/>
  <c r="H585" i="10"/>
  <c r="J589" i="10"/>
  <c r="H589" i="10"/>
  <c r="O593" i="10"/>
  <c r="Q593" i="10"/>
  <c r="Q601" i="10"/>
  <c r="D611" i="10"/>
  <c r="H618" i="10"/>
  <c r="J618" i="10"/>
  <c r="H641" i="10"/>
  <c r="J641" i="10"/>
  <c r="I646" i="10"/>
  <c r="G646" i="10"/>
  <c r="P646" i="10" s="1"/>
  <c r="N646" i="10"/>
  <c r="O646" i="10" s="1"/>
  <c r="K646" i="10"/>
  <c r="J562" i="10"/>
  <c r="H562" i="10"/>
  <c r="J570" i="10"/>
  <c r="H570" i="10"/>
  <c r="J578" i="10"/>
  <c r="H578" i="10"/>
  <c r="D626" i="10"/>
  <c r="P626" i="10"/>
  <c r="D631" i="10"/>
  <c r="I637" i="10"/>
  <c r="G637" i="10"/>
  <c r="P637" i="10" s="1"/>
  <c r="N637" i="10"/>
  <c r="O637" i="10" s="1"/>
  <c r="K637" i="10"/>
  <c r="L637" i="10"/>
  <c r="D528" i="10"/>
  <c r="N528" i="10"/>
  <c r="D533" i="10"/>
  <c r="D537" i="10"/>
  <c r="J565" i="10"/>
  <c r="H565" i="10"/>
  <c r="J573" i="10"/>
  <c r="H573" i="10"/>
  <c r="J582" i="10"/>
  <c r="H582" i="10"/>
  <c r="J586" i="10"/>
  <c r="H586" i="10"/>
  <c r="J590" i="10"/>
  <c r="H590" i="10"/>
  <c r="J596" i="10"/>
  <c r="H596" i="10"/>
  <c r="O603" i="10"/>
  <c r="G623" i="10"/>
  <c r="P623" i="10" s="1"/>
  <c r="I623" i="10"/>
  <c r="K623" i="10"/>
  <c r="L623" i="10"/>
  <c r="D625" i="10"/>
  <c r="I628" i="10"/>
  <c r="G628" i="10"/>
  <c r="P628" i="10" s="1"/>
  <c r="N628" i="10"/>
  <c r="O628" i="10" s="1"/>
  <c r="K628" i="10"/>
  <c r="L628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J560" i="10"/>
  <c r="H560" i="10"/>
  <c r="J568" i="10"/>
  <c r="H568" i="10"/>
  <c r="J576" i="10"/>
  <c r="H576" i="10"/>
  <c r="O605" i="10"/>
  <c r="H610" i="10"/>
  <c r="J610" i="10"/>
  <c r="G615" i="10"/>
  <c r="P615" i="10" s="1"/>
  <c r="I615" i="10"/>
  <c r="N615" i="10"/>
  <c r="O615" i="10" s="1"/>
  <c r="K615" i="10"/>
  <c r="D622" i="10"/>
  <c r="G528" i="10"/>
  <c r="P528" i="10" s="1"/>
  <c r="Q550" i="10"/>
  <c r="Q558" i="10"/>
  <c r="P559" i="10"/>
  <c r="J563" i="10"/>
  <c r="H563" i="10"/>
  <c r="Q563" i="10"/>
  <c r="P567" i="10"/>
  <c r="J571" i="10"/>
  <c r="H571" i="10"/>
  <c r="Q571" i="10"/>
  <c r="P575" i="10"/>
  <c r="J579" i="10"/>
  <c r="H579" i="10"/>
  <c r="Q579" i="10"/>
  <c r="J583" i="10"/>
  <c r="H583" i="10"/>
  <c r="Q583" i="10"/>
  <c r="J587" i="10"/>
  <c r="H587" i="10"/>
  <c r="Q587" i="10"/>
  <c r="J591" i="10"/>
  <c r="H591" i="10"/>
  <c r="Q591" i="10"/>
  <c r="G595" i="10"/>
  <c r="P595" i="10" s="1"/>
  <c r="N595" i="10"/>
  <c r="L595" i="10"/>
  <c r="I595" i="10"/>
  <c r="O607" i="10"/>
  <c r="O609" i="10"/>
  <c r="N612" i="10"/>
  <c r="O612" i="10" s="1"/>
  <c r="G620" i="10"/>
  <c r="P620" i="10" s="1"/>
  <c r="I620" i="10"/>
  <c r="K620" i="10"/>
  <c r="I627" i="10"/>
  <c r="N627" i="10"/>
  <c r="O627" i="10" s="1"/>
  <c r="L627" i="10"/>
  <c r="G627" i="10"/>
  <c r="P627" i="10" s="1"/>
  <c r="K627" i="10"/>
  <c r="I633" i="10"/>
  <c r="N633" i="10"/>
  <c r="O633" i="10" s="1"/>
  <c r="L633" i="10"/>
  <c r="G633" i="10"/>
  <c r="P633" i="10" s="1"/>
  <c r="K596" i="10"/>
  <c r="G599" i="10"/>
  <c r="P599" i="10" s="1"/>
  <c r="I599" i="10"/>
  <c r="L599" i="10"/>
  <c r="G601" i="10"/>
  <c r="P601" i="10" s="1"/>
  <c r="I601" i="10"/>
  <c r="L601" i="10"/>
  <c r="G603" i="10"/>
  <c r="P603" i="10" s="1"/>
  <c r="I603" i="10"/>
  <c r="L603" i="10"/>
  <c r="G605" i="10"/>
  <c r="P605" i="10" s="1"/>
  <c r="I605" i="10"/>
  <c r="L605" i="10"/>
  <c r="G607" i="10"/>
  <c r="P607" i="10" s="1"/>
  <c r="I607" i="10"/>
  <c r="L607" i="10"/>
  <c r="G609" i="10"/>
  <c r="P609" i="10" s="1"/>
  <c r="I609" i="10"/>
  <c r="Q609" i="10"/>
  <c r="N614" i="10"/>
  <c r="O614" i="10" s="1"/>
  <c r="G617" i="10"/>
  <c r="P617" i="10" s="1"/>
  <c r="I617" i="10"/>
  <c r="Q617" i="10"/>
  <c r="H593" i="10"/>
  <c r="O596" i="10"/>
  <c r="G610" i="10"/>
  <c r="P610" i="10" s="1"/>
  <c r="I610" i="10"/>
  <c r="G618" i="10"/>
  <c r="P618" i="10" s="1"/>
  <c r="I618" i="10"/>
  <c r="G621" i="10"/>
  <c r="P621" i="10" s="1"/>
  <c r="I621" i="10"/>
  <c r="I629" i="10"/>
  <c r="G629" i="10"/>
  <c r="P629" i="10" s="1"/>
  <c r="L629" i="10"/>
  <c r="N629" i="10"/>
  <c r="O629" i="10" s="1"/>
  <c r="I638" i="10"/>
  <c r="G638" i="10"/>
  <c r="P638" i="10" s="1"/>
  <c r="N638" i="10"/>
  <c r="O638" i="10" s="1"/>
  <c r="K594" i="10"/>
  <c r="G598" i="10"/>
  <c r="P598" i="10" s="1"/>
  <c r="I598" i="10"/>
  <c r="L598" i="10"/>
  <c r="G600" i="10"/>
  <c r="P600" i="10" s="1"/>
  <c r="I600" i="10"/>
  <c r="L600" i="10"/>
  <c r="G602" i="10"/>
  <c r="P602" i="10" s="1"/>
  <c r="I602" i="10"/>
  <c r="L602" i="10"/>
  <c r="G604" i="10"/>
  <c r="P604" i="10" s="1"/>
  <c r="I604" i="10"/>
  <c r="L604" i="10"/>
  <c r="G606" i="10"/>
  <c r="P606" i="10" s="1"/>
  <c r="I606" i="10"/>
  <c r="L606" i="10"/>
  <c r="G608" i="10"/>
  <c r="P608" i="10" s="1"/>
  <c r="I608" i="10"/>
  <c r="L608" i="10"/>
  <c r="H609" i="10"/>
  <c r="N610" i="10"/>
  <c r="O610" i="10" s="1"/>
  <c r="G613" i="10"/>
  <c r="P613" i="10" s="1"/>
  <c r="I613" i="10"/>
  <c r="H617" i="10"/>
  <c r="N618" i="10"/>
  <c r="O618" i="10" s="1"/>
  <c r="N621" i="10"/>
  <c r="O621" i="10" s="1"/>
  <c r="I624" i="10"/>
  <c r="G624" i="10"/>
  <c r="P624" i="10" s="1"/>
  <c r="N624" i="10"/>
  <c r="O624" i="10" s="1"/>
  <c r="D627" i="10"/>
  <c r="I634" i="10"/>
  <c r="N634" i="10"/>
  <c r="O634" i="10" s="1"/>
  <c r="L634" i="10"/>
  <c r="I639" i="10"/>
  <c r="G639" i="10"/>
  <c r="P639" i="10" s="1"/>
  <c r="N639" i="10"/>
  <c r="O639" i="10" s="1"/>
  <c r="K639" i="10"/>
  <c r="L594" i="10"/>
  <c r="N613" i="10"/>
  <c r="O613" i="10" s="1"/>
  <c r="K614" i="10"/>
  <c r="G616" i="10"/>
  <c r="P616" i="10" s="1"/>
  <c r="I616" i="10"/>
  <c r="I625" i="10"/>
  <c r="G625" i="10"/>
  <c r="P625" i="10" s="1"/>
  <c r="L625" i="10"/>
  <c r="N625" i="10"/>
  <c r="O625" i="10" s="1"/>
  <c r="D628" i="10"/>
  <c r="I630" i="10"/>
  <c r="L630" i="10"/>
  <c r="N630" i="10"/>
  <c r="O630" i="10" s="1"/>
  <c r="K641" i="10"/>
  <c r="K593" i="10"/>
  <c r="K597" i="10"/>
  <c r="N598" i="10"/>
  <c r="O598" i="10" s="1"/>
  <c r="N600" i="10"/>
  <c r="O600" i="10" s="1"/>
  <c r="N602" i="10"/>
  <c r="O602" i="10" s="1"/>
  <c r="N604" i="10"/>
  <c r="O604" i="10" s="1"/>
  <c r="N606" i="10"/>
  <c r="O606" i="10" s="1"/>
  <c r="N608" i="10"/>
  <c r="O608" i="10" s="1"/>
  <c r="K609" i="10"/>
  <c r="G611" i="10"/>
  <c r="P611" i="10" s="1"/>
  <c r="I611" i="10"/>
  <c r="Q611" i="10"/>
  <c r="N616" i="10"/>
  <c r="O616" i="10" s="1"/>
  <c r="G619" i="10"/>
  <c r="P619" i="10" s="1"/>
  <c r="I619" i="10"/>
  <c r="Q619" i="10"/>
  <c r="G622" i="10"/>
  <c r="P622" i="10" s="1"/>
  <c r="I622" i="10"/>
  <c r="Q622" i="10"/>
  <c r="P630" i="10"/>
  <c r="J632" i="10"/>
  <c r="G614" i="10"/>
  <c r="P614" i="10" s="1"/>
  <c r="I614" i="10"/>
  <c r="D624" i="10"/>
  <c r="I626" i="10"/>
  <c r="L626" i="10"/>
  <c r="N626" i="10"/>
  <c r="O626" i="10" s="1"/>
  <c r="I631" i="10"/>
  <c r="N631" i="10"/>
  <c r="O631" i="10" s="1"/>
  <c r="L631" i="10"/>
  <c r="G631" i="10"/>
  <c r="P631" i="10" s="1"/>
  <c r="I635" i="10"/>
  <c r="N635" i="10"/>
  <c r="O635" i="10" s="1"/>
  <c r="G635" i="10"/>
  <c r="P635" i="10" s="1"/>
  <c r="L635" i="10"/>
  <c r="I641" i="10"/>
  <c r="G641" i="10"/>
  <c r="P641" i="10" s="1"/>
  <c r="N641" i="10"/>
  <c r="O641" i="10" s="1"/>
  <c r="I632" i="10"/>
  <c r="N632" i="10"/>
  <c r="O632" i="10" s="1"/>
  <c r="K632" i="10"/>
  <c r="I640" i="10"/>
  <c r="G640" i="10"/>
  <c r="P640" i="10" s="1"/>
  <c r="N640" i="10"/>
  <c r="O640" i="10" s="1"/>
  <c r="L640" i="10"/>
  <c r="I649" i="10"/>
  <c r="G649" i="10"/>
  <c r="P649" i="10" s="1"/>
  <c r="N649" i="10"/>
  <c r="O649" i="10" s="1"/>
  <c r="K649" i="10"/>
  <c r="I659" i="10"/>
  <c r="G659" i="10"/>
  <c r="P659" i="10" s="1"/>
  <c r="N659" i="10"/>
  <c r="O659" i="10" s="1"/>
  <c r="K659" i="10"/>
  <c r="I670" i="10"/>
  <c r="G670" i="10"/>
  <c r="P670" i="10" s="1"/>
  <c r="K674" i="10"/>
  <c r="I654" i="10"/>
  <c r="G654" i="10"/>
  <c r="P654" i="10" s="1"/>
  <c r="N654" i="10"/>
  <c r="O654" i="10" s="1"/>
  <c r="K654" i="10"/>
  <c r="I658" i="10"/>
  <c r="G658" i="10"/>
  <c r="P658" i="10" s="1"/>
  <c r="N658" i="10"/>
  <c r="O658" i="10" s="1"/>
  <c r="K658" i="10"/>
  <c r="I636" i="10"/>
  <c r="G636" i="10"/>
  <c r="P636" i="10" s="1"/>
  <c r="N636" i="10"/>
  <c r="O636" i="10" s="1"/>
  <c r="L636" i="10"/>
  <c r="I644" i="10"/>
  <c r="G644" i="10"/>
  <c r="P644" i="10" s="1"/>
  <c r="N644" i="10"/>
  <c r="O644" i="10" s="1"/>
  <c r="L644" i="10"/>
  <c r="I647" i="10"/>
  <c r="G647" i="10"/>
  <c r="P647" i="10" s="1"/>
  <c r="N647" i="10"/>
  <c r="O647" i="10" s="1"/>
  <c r="I653" i="10"/>
  <c r="G653" i="10"/>
  <c r="P653" i="10" s="1"/>
  <c r="N653" i="10"/>
  <c r="O653" i="10" s="1"/>
  <c r="K653" i="10"/>
  <c r="K672" i="10"/>
  <c r="K680" i="10"/>
  <c r="I652" i="10"/>
  <c r="G652" i="10"/>
  <c r="P652" i="10" s="1"/>
  <c r="N652" i="10"/>
  <c r="O652" i="10" s="1"/>
  <c r="K652" i="10"/>
  <c r="I657" i="10"/>
  <c r="G657" i="10"/>
  <c r="P657" i="10" s="1"/>
  <c r="N657" i="10"/>
  <c r="O657" i="10" s="1"/>
  <c r="K657" i="10"/>
  <c r="I661" i="10"/>
  <c r="G661" i="10"/>
  <c r="P661" i="10" s="1"/>
  <c r="N661" i="10"/>
  <c r="O661" i="10" s="1"/>
  <c r="L661" i="10"/>
  <c r="K661" i="10"/>
  <c r="K670" i="10"/>
  <c r="N675" i="10"/>
  <c r="O675" i="10" s="1"/>
  <c r="I642" i="10"/>
  <c r="G642" i="10"/>
  <c r="P642" i="10" s="1"/>
  <c r="N642" i="10"/>
  <c r="O642" i="10" s="1"/>
  <c r="L642" i="10"/>
  <c r="I648" i="10"/>
  <c r="G648" i="10"/>
  <c r="P648" i="10" s="1"/>
  <c r="N648" i="10"/>
  <c r="O648" i="10" s="1"/>
  <c r="I651" i="10"/>
  <c r="G651" i="10"/>
  <c r="P651" i="10" s="1"/>
  <c r="N651" i="10"/>
  <c r="O651" i="10" s="1"/>
  <c r="K651" i="10"/>
  <c r="N670" i="10"/>
  <c r="O670" i="10" s="1"/>
  <c r="I645" i="10"/>
  <c r="G645" i="10"/>
  <c r="P645" i="10" s="1"/>
  <c r="N645" i="10"/>
  <c r="O645" i="10" s="1"/>
  <c r="L645" i="10"/>
  <c r="I650" i="10"/>
  <c r="G650" i="10"/>
  <c r="P650" i="10" s="1"/>
  <c r="N650" i="10"/>
  <c r="O650" i="10" s="1"/>
  <c r="K650" i="10"/>
  <c r="I656" i="10"/>
  <c r="G656" i="10"/>
  <c r="P656" i="10" s="1"/>
  <c r="N656" i="10"/>
  <c r="O656" i="10" s="1"/>
  <c r="K656" i="10"/>
  <c r="I660" i="10"/>
  <c r="G660" i="10"/>
  <c r="P660" i="10" s="1"/>
  <c r="N660" i="10"/>
  <c r="O660" i="10" s="1"/>
  <c r="K660" i="10"/>
  <c r="I665" i="10"/>
  <c r="K665" i="10"/>
  <c r="I669" i="10"/>
  <c r="K669" i="10"/>
  <c r="N672" i="10"/>
  <c r="O672" i="10" s="1"/>
  <c r="K676" i="10"/>
  <c r="I676" i="10"/>
  <c r="L677" i="10"/>
  <c r="K677" i="10"/>
  <c r="I677" i="10"/>
  <c r="N678" i="10"/>
  <c r="O678" i="10" s="1"/>
  <c r="K678" i="10"/>
  <c r="I678" i="10"/>
  <c r="K679" i="10"/>
  <c r="N686" i="10"/>
  <c r="O686" i="10" s="1"/>
  <c r="K686" i="10"/>
  <c r="I686" i="10"/>
  <c r="G686" i="10"/>
  <c r="P686" i="10" s="1"/>
  <c r="N690" i="10"/>
  <c r="O690" i="10" s="1"/>
  <c r="K690" i="10"/>
  <c r="I690" i="10"/>
  <c r="G690" i="10"/>
  <c r="P690" i="10" s="1"/>
  <c r="K693" i="10"/>
  <c r="I685" i="10"/>
  <c r="N698" i="10"/>
  <c r="O698" i="10" s="1"/>
  <c r="K698" i="10"/>
  <c r="I698" i="10"/>
  <c r="G698" i="10"/>
  <c r="P698" i="10" s="1"/>
  <c r="I664" i="10"/>
  <c r="K664" i="10"/>
  <c r="I668" i="10"/>
  <c r="K668" i="10"/>
  <c r="N669" i="10"/>
  <c r="O669" i="10" s="1"/>
  <c r="L671" i="10"/>
  <c r="I671" i="10"/>
  <c r="K671" i="10"/>
  <c r="I673" i="10"/>
  <c r="G674" i="10"/>
  <c r="P674" i="10" s="1"/>
  <c r="N689" i="10"/>
  <c r="O689" i="10" s="1"/>
  <c r="G689" i="10"/>
  <c r="P689" i="10" s="1"/>
  <c r="K689" i="10"/>
  <c r="K695" i="10"/>
  <c r="N703" i="10"/>
  <c r="O703" i="10" s="1"/>
  <c r="N665" i="10"/>
  <c r="O665" i="10" s="1"/>
  <c r="N673" i="10"/>
  <c r="O673" i="10" s="1"/>
  <c r="G675" i="10"/>
  <c r="P675" i="10" s="1"/>
  <c r="I684" i="10"/>
  <c r="N692" i="10"/>
  <c r="O692" i="10" s="1"/>
  <c r="K692" i="10"/>
  <c r="I692" i="10"/>
  <c r="G692" i="10"/>
  <c r="P692" i="10" s="1"/>
  <c r="N700" i="10"/>
  <c r="O700" i="10" s="1"/>
  <c r="K700" i="10"/>
  <c r="I700" i="10"/>
  <c r="G700" i="10"/>
  <c r="P700" i="10" s="1"/>
  <c r="I663" i="10"/>
  <c r="K663" i="10"/>
  <c r="I667" i="10"/>
  <c r="K667" i="10"/>
  <c r="N671" i="10"/>
  <c r="O671" i="10" s="1"/>
  <c r="G672" i="10"/>
  <c r="P672" i="10" s="1"/>
  <c r="G676" i="10"/>
  <c r="P676" i="10" s="1"/>
  <c r="G677" i="10"/>
  <c r="P677" i="10" s="1"/>
  <c r="G678" i="10"/>
  <c r="P678" i="10" s="1"/>
  <c r="G685" i="10"/>
  <c r="P685" i="10" s="1"/>
  <c r="N688" i="10"/>
  <c r="O688" i="10" s="1"/>
  <c r="K688" i="10"/>
  <c r="I688" i="10"/>
  <c r="G688" i="10"/>
  <c r="P688" i="10" s="1"/>
  <c r="K697" i="10"/>
  <c r="I674" i="10"/>
  <c r="N674" i="10"/>
  <c r="O674" i="10" s="1"/>
  <c r="I682" i="10"/>
  <c r="N694" i="10"/>
  <c r="O694" i="10" s="1"/>
  <c r="K694" i="10"/>
  <c r="I694" i="10"/>
  <c r="G694" i="10"/>
  <c r="P694" i="10" s="1"/>
  <c r="I662" i="10"/>
  <c r="K662" i="10"/>
  <c r="I666" i="10"/>
  <c r="K666" i="10"/>
  <c r="N676" i="10"/>
  <c r="O676" i="10" s="1"/>
  <c r="N677" i="10"/>
  <c r="O677" i="10" s="1"/>
  <c r="K681" i="10"/>
  <c r="K685" i="10"/>
  <c r="N687" i="10"/>
  <c r="O687" i="10" s="1"/>
  <c r="G687" i="10"/>
  <c r="P687" i="10" s="1"/>
  <c r="K687" i="10"/>
  <c r="I689" i="10"/>
  <c r="N691" i="10"/>
  <c r="O691" i="10" s="1"/>
  <c r="K699" i="10"/>
  <c r="N713" i="10"/>
  <c r="O713" i="10" s="1"/>
  <c r="I713" i="10"/>
  <c r="K713" i="10"/>
  <c r="G713" i="10"/>
  <c r="P713" i="10" s="1"/>
  <c r="L672" i="10"/>
  <c r="I672" i="10"/>
  <c r="I675" i="10"/>
  <c r="I680" i="10"/>
  <c r="G680" i="10"/>
  <c r="P680" i="10" s="1"/>
  <c r="N680" i="10"/>
  <c r="O680" i="10" s="1"/>
  <c r="N696" i="10"/>
  <c r="O696" i="10" s="1"/>
  <c r="K696" i="10"/>
  <c r="I696" i="10"/>
  <c r="G696" i="10"/>
  <c r="P696" i="10" s="1"/>
  <c r="K709" i="10"/>
  <c r="N720" i="10"/>
  <c r="O720" i="10" s="1"/>
  <c r="K720" i="10"/>
  <c r="I720" i="10"/>
  <c r="G720" i="10"/>
  <c r="P720" i="10" s="1"/>
  <c r="N736" i="10"/>
  <c r="O736" i="10" s="1"/>
  <c r="K736" i="10"/>
  <c r="I736" i="10"/>
  <c r="G736" i="10"/>
  <c r="P736" i="10" s="1"/>
  <c r="N729" i="10"/>
  <c r="O729" i="10" s="1"/>
  <c r="L729" i="10"/>
  <c r="K729" i="10"/>
  <c r="I729" i="10"/>
  <c r="G729" i="10"/>
  <c r="P729" i="10" s="1"/>
  <c r="N741" i="10"/>
  <c r="O741" i="10" s="1"/>
  <c r="L741" i="10"/>
  <c r="K741" i="10"/>
  <c r="I741" i="10"/>
  <c r="G741" i="10"/>
  <c r="P741" i="10" s="1"/>
  <c r="K683" i="10"/>
  <c r="N706" i="10"/>
  <c r="O706" i="10" s="1"/>
  <c r="N716" i="10"/>
  <c r="O716" i="10" s="1"/>
  <c r="K716" i="10"/>
  <c r="I716" i="10"/>
  <c r="G716" i="10"/>
  <c r="P716" i="10" s="1"/>
  <c r="N732" i="10"/>
  <c r="O732" i="10" s="1"/>
  <c r="K732" i="10"/>
  <c r="I732" i="10"/>
  <c r="G732" i="10"/>
  <c r="P732" i="10" s="1"/>
  <c r="G681" i="10"/>
  <c r="P681" i="10" s="1"/>
  <c r="N683" i="10"/>
  <c r="O683" i="10" s="1"/>
  <c r="G684" i="10"/>
  <c r="P684" i="10" s="1"/>
  <c r="K691" i="10"/>
  <c r="N701" i="10"/>
  <c r="O701" i="10" s="1"/>
  <c r="N708" i="10"/>
  <c r="O708" i="10" s="1"/>
  <c r="I708" i="10"/>
  <c r="G708" i="10"/>
  <c r="P708" i="10" s="1"/>
  <c r="N725" i="10"/>
  <c r="O725" i="10" s="1"/>
  <c r="L725" i="10"/>
  <c r="K725" i="10"/>
  <c r="I725" i="10"/>
  <c r="G725" i="10"/>
  <c r="P725" i="10" s="1"/>
  <c r="N693" i="10"/>
  <c r="O693" i="10" s="1"/>
  <c r="N695" i="10"/>
  <c r="O695" i="10" s="1"/>
  <c r="L695" i="10"/>
  <c r="N697" i="10"/>
  <c r="O697" i="10" s="1"/>
  <c r="L697" i="10"/>
  <c r="N699" i="10"/>
  <c r="O699" i="10" s="1"/>
  <c r="N704" i="10"/>
  <c r="O704" i="10" s="1"/>
  <c r="N728" i="10"/>
  <c r="O728" i="10" s="1"/>
  <c r="K728" i="10"/>
  <c r="I728" i="10"/>
  <c r="G728" i="10"/>
  <c r="P728" i="10" s="1"/>
  <c r="K682" i="10"/>
  <c r="N711" i="10"/>
  <c r="O711" i="10" s="1"/>
  <c r="L711" i="10"/>
  <c r="I711" i="10"/>
  <c r="G711" i="10"/>
  <c r="P711" i="10" s="1"/>
  <c r="N721" i="10"/>
  <c r="O721" i="10" s="1"/>
  <c r="L721" i="10"/>
  <c r="K721" i="10"/>
  <c r="I721" i="10"/>
  <c r="G721" i="10"/>
  <c r="P721" i="10" s="1"/>
  <c r="N737" i="10"/>
  <c r="O737" i="10" s="1"/>
  <c r="K737" i="10"/>
  <c r="I737" i="10"/>
  <c r="G737" i="10"/>
  <c r="P737" i="10" s="1"/>
  <c r="N682" i="10"/>
  <c r="O682" i="10" s="1"/>
  <c r="G683" i="10"/>
  <c r="P683" i="10" s="1"/>
  <c r="N702" i="10"/>
  <c r="O702" i="10" s="1"/>
  <c r="N724" i="10"/>
  <c r="O724" i="10" s="1"/>
  <c r="K724" i="10"/>
  <c r="I724" i="10"/>
  <c r="G724" i="10"/>
  <c r="P724" i="10" s="1"/>
  <c r="K684" i="10"/>
  <c r="G691" i="10"/>
  <c r="P691" i="10" s="1"/>
  <c r="G693" i="10"/>
  <c r="P693" i="10" s="1"/>
  <c r="G695" i="10"/>
  <c r="P695" i="10" s="1"/>
  <c r="G697" i="10"/>
  <c r="P697" i="10" s="1"/>
  <c r="G699" i="10"/>
  <c r="P699" i="10" s="1"/>
  <c r="N705" i="10"/>
  <c r="O705" i="10" s="1"/>
  <c r="K710" i="10"/>
  <c r="N717" i="10"/>
  <c r="O717" i="10" s="1"/>
  <c r="K717" i="10"/>
  <c r="I717" i="10"/>
  <c r="G717" i="10"/>
  <c r="P717" i="10" s="1"/>
  <c r="N733" i="10"/>
  <c r="O733" i="10" s="1"/>
  <c r="L733" i="10"/>
  <c r="K733" i="10"/>
  <c r="I733" i="10"/>
  <c r="G733" i="10"/>
  <c r="P733" i="10" s="1"/>
  <c r="N740" i="10"/>
  <c r="O740" i="10" s="1"/>
  <c r="K740" i="10"/>
  <c r="I740" i="10"/>
  <c r="N744" i="10"/>
  <c r="O744" i="10" s="1"/>
  <c r="K744" i="10"/>
  <c r="I744" i="10"/>
  <c r="N748" i="10"/>
  <c r="O748" i="10" s="1"/>
  <c r="K748" i="10"/>
  <c r="I748" i="10"/>
  <c r="N745" i="10"/>
  <c r="O745" i="10" s="1"/>
  <c r="K745" i="10"/>
  <c r="I745" i="10"/>
  <c r="N749" i="10"/>
  <c r="O749" i="10" s="1"/>
  <c r="K749" i="10"/>
  <c r="I749" i="10"/>
  <c r="N707" i="10"/>
  <c r="O707" i="10" s="1"/>
  <c r="G710" i="10"/>
  <c r="P710" i="10" s="1"/>
  <c r="N714" i="10"/>
  <c r="O714" i="10" s="1"/>
  <c r="I714" i="10"/>
  <c r="N709" i="10"/>
  <c r="O709" i="10" s="1"/>
  <c r="L709" i="10"/>
  <c r="I709" i="10"/>
  <c r="N718" i="10"/>
  <c r="O718" i="10" s="1"/>
  <c r="K718" i="10"/>
  <c r="I718" i="10"/>
  <c r="N722" i="10"/>
  <c r="O722" i="10" s="1"/>
  <c r="K722" i="10"/>
  <c r="I722" i="10"/>
  <c r="N726" i="10"/>
  <c r="O726" i="10" s="1"/>
  <c r="K726" i="10"/>
  <c r="I726" i="10"/>
  <c r="N730" i="10"/>
  <c r="O730" i="10" s="1"/>
  <c r="K730" i="10"/>
  <c r="I730" i="10"/>
  <c r="N734" i="10"/>
  <c r="O734" i="10" s="1"/>
  <c r="K734" i="10"/>
  <c r="I734" i="10"/>
  <c r="N738" i="10"/>
  <c r="O738" i="10" s="1"/>
  <c r="K738" i="10"/>
  <c r="I738" i="10"/>
  <c r="G740" i="10"/>
  <c r="P740" i="10" s="1"/>
  <c r="N742" i="10"/>
  <c r="O742" i="10" s="1"/>
  <c r="K742" i="10"/>
  <c r="I742" i="10"/>
  <c r="G744" i="10"/>
  <c r="P744" i="10" s="1"/>
  <c r="N746" i="10"/>
  <c r="O746" i="10" s="1"/>
  <c r="K746" i="10"/>
  <c r="I746" i="10"/>
  <c r="G748" i="10"/>
  <c r="P748" i="10" s="1"/>
  <c r="N712" i="10"/>
  <c r="O712" i="10" s="1"/>
  <c r="I712" i="10"/>
  <c r="G749" i="10"/>
  <c r="P749" i="10" s="1"/>
  <c r="N715" i="10"/>
  <c r="O715" i="10" s="1"/>
  <c r="K715" i="10"/>
  <c r="I715" i="10"/>
  <c r="N719" i="10"/>
  <c r="O719" i="10" s="1"/>
  <c r="L719" i="10"/>
  <c r="K719" i="10"/>
  <c r="I719" i="10"/>
  <c r="N723" i="10"/>
  <c r="O723" i="10" s="1"/>
  <c r="K723" i="10"/>
  <c r="I723" i="10"/>
  <c r="N727" i="10"/>
  <c r="O727" i="10" s="1"/>
  <c r="L727" i="10"/>
  <c r="K727" i="10"/>
  <c r="I727" i="10"/>
  <c r="N731" i="10"/>
  <c r="O731" i="10" s="1"/>
  <c r="K731" i="10"/>
  <c r="I731" i="10"/>
  <c r="N735" i="10"/>
  <c r="O735" i="10" s="1"/>
  <c r="L735" i="10"/>
  <c r="K735" i="10"/>
  <c r="I735" i="10"/>
  <c r="N739" i="10"/>
  <c r="O739" i="10" s="1"/>
  <c r="L739" i="10"/>
  <c r="K739" i="10"/>
  <c r="I739" i="10"/>
  <c r="N743" i="10"/>
  <c r="O743" i="10" s="1"/>
  <c r="K743" i="10"/>
  <c r="I743" i="10"/>
  <c r="G745" i="10"/>
  <c r="P745" i="10" s="1"/>
  <c r="N747" i="10"/>
  <c r="O747" i="10" s="1"/>
  <c r="K747" i="10"/>
  <c r="I747" i="10"/>
  <c r="N710" i="10"/>
  <c r="O710" i="10" s="1"/>
  <c r="I710" i="10"/>
  <c r="G714" i="10"/>
  <c r="P714" i="10" s="1"/>
  <c r="H74" i="10" l="1"/>
  <c r="C303" i="2"/>
  <c r="J320" i="2"/>
  <c r="B175" i="2"/>
  <c r="C173" i="2"/>
  <c r="C350" i="2"/>
  <c r="D350" i="2" s="1"/>
  <c r="J338" i="2"/>
  <c r="B169" i="2"/>
  <c r="B323" i="2"/>
  <c r="C287" i="2"/>
  <c r="I287" i="2" s="1"/>
  <c r="J350" i="2"/>
  <c r="J117" i="10"/>
  <c r="H133" i="10"/>
  <c r="Q47" i="10"/>
  <c r="H128" i="10"/>
  <c r="H139" i="10"/>
  <c r="H157" i="10"/>
  <c r="Q35" i="10"/>
  <c r="R122" i="3"/>
  <c r="X122" i="3"/>
  <c r="B122" i="3"/>
  <c r="B120" i="9" s="1"/>
  <c r="A120" i="9"/>
  <c r="Y115" i="3"/>
  <c r="R115" i="3"/>
  <c r="T115" i="3"/>
  <c r="X115" i="3"/>
  <c r="I106" i="3"/>
  <c r="AG112" i="3"/>
  <c r="AJ112" i="3" s="1"/>
  <c r="AK112" i="3" s="1"/>
  <c r="M112" i="3"/>
  <c r="D96" i="3"/>
  <c r="AE96" i="3"/>
  <c r="AG69" i="3"/>
  <c r="AL69" i="3" s="1"/>
  <c r="AM69" i="3" s="1"/>
  <c r="P45" i="3"/>
  <c r="A4" i="9"/>
  <c r="E6" i="3"/>
  <c r="AG6" i="3"/>
  <c r="X6" i="3"/>
  <c r="D6" i="3"/>
  <c r="P6" i="3"/>
  <c r="AR6" i="3"/>
  <c r="G6" i="3"/>
  <c r="T6" i="3"/>
  <c r="AN6" i="3" s="1"/>
  <c r="AV6" i="3"/>
  <c r="C4" i="9" s="1"/>
  <c r="B6" i="3"/>
  <c r="B4" i="9" s="1"/>
  <c r="N6" i="3"/>
  <c r="R6" i="3"/>
  <c r="AB80" i="3"/>
  <c r="E80" i="3"/>
  <c r="F80" i="3"/>
  <c r="T80" i="3"/>
  <c r="AA80" i="3"/>
  <c r="D80" i="3"/>
  <c r="B80" i="3"/>
  <c r="B78" i="9" s="1"/>
  <c r="Y80" i="3"/>
  <c r="P80" i="3"/>
  <c r="Z80" i="3"/>
  <c r="I74" i="3"/>
  <c r="R80" i="3"/>
  <c r="X80" i="3"/>
  <c r="AR80" i="3"/>
  <c r="N80" i="3"/>
  <c r="G80" i="3"/>
  <c r="AG148" i="3"/>
  <c r="AJ148" i="3" s="1"/>
  <c r="AK148" i="3" s="1"/>
  <c r="V148" i="3"/>
  <c r="AB148" i="3"/>
  <c r="A146" i="9"/>
  <c r="Y148" i="3"/>
  <c r="N148" i="3"/>
  <c r="I142" i="3"/>
  <c r="AA148" i="3"/>
  <c r="Q148" i="3"/>
  <c r="E148" i="3"/>
  <c r="X148" i="3"/>
  <c r="S148" i="3"/>
  <c r="AV148" i="3"/>
  <c r="C146" i="9" s="1"/>
  <c r="AC148" i="3"/>
  <c r="T148" i="3"/>
  <c r="AN148" i="3" s="1"/>
  <c r="K148" i="3"/>
  <c r="AE148" i="3"/>
  <c r="U148" i="3"/>
  <c r="P148" i="3"/>
  <c r="R148" i="3"/>
  <c r="AD148" i="3"/>
  <c r="AP148" i="3" s="1"/>
  <c r="AQ148" i="3" s="1"/>
  <c r="B148" i="3"/>
  <c r="B146" i="9" s="1"/>
  <c r="G148" i="3"/>
  <c r="AB76" i="3"/>
  <c r="I70" i="3"/>
  <c r="T76" i="3"/>
  <c r="AN76" i="3" s="1"/>
  <c r="H70" i="3"/>
  <c r="A74" i="9"/>
  <c r="B76" i="3"/>
  <c r="B74" i="9" s="1"/>
  <c r="AV76" i="3"/>
  <c r="C74" i="9" s="1"/>
  <c r="AD76" i="3"/>
  <c r="AP76" i="3" s="1"/>
  <c r="X76" i="3"/>
  <c r="AG76" i="3"/>
  <c r="V76" i="3"/>
  <c r="P76" i="3"/>
  <c r="F76" i="3"/>
  <c r="AR76" i="3"/>
  <c r="K76" i="3"/>
  <c r="D76" i="3"/>
  <c r="V12" i="3"/>
  <c r="K12" i="3"/>
  <c r="F12" i="3"/>
  <c r="N12" i="3"/>
  <c r="Z12" i="3"/>
  <c r="H6" i="3"/>
  <c r="E12" i="3"/>
  <c r="R12" i="3"/>
  <c r="D12" i="3"/>
  <c r="AG12" i="3"/>
  <c r="AR12" i="3"/>
  <c r="X12" i="3"/>
  <c r="AD12" i="3"/>
  <c r="AP12" i="3" s="1"/>
  <c r="B12" i="3"/>
  <c r="B10" i="9" s="1"/>
  <c r="I6" i="3"/>
  <c r="AV69" i="3"/>
  <c r="C67" i="9" s="1"/>
  <c r="T69" i="3"/>
  <c r="AN69" i="3" s="1"/>
  <c r="X69" i="3"/>
  <c r="AD69" i="3"/>
  <c r="AP69" i="3" s="1"/>
  <c r="AQ69" i="3" s="1"/>
  <c r="B69" i="3"/>
  <c r="B67" i="9" s="1"/>
  <c r="P69" i="3"/>
  <c r="N69" i="3"/>
  <c r="K69" i="3"/>
  <c r="I63" i="3"/>
  <c r="H63" i="3"/>
  <c r="AB69" i="3"/>
  <c r="Y69" i="3"/>
  <c r="E96" i="3"/>
  <c r="X96" i="3"/>
  <c r="H90" i="3"/>
  <c r="Y21" i="3"/>
  <c r="V21" i="3"/>
  <c r="K21" i="3"/>
  <c r="H15" i="3"/>
  <c r="N21" i="3"/>
  <c r="I15" i="3"/>
  <c r="P21" i="3"/>
  <c r="D21" i="3"/>
  <c r="R21" i="3"/>
  <c r="AG21" i="3"/>
  <c r="AD21" i="3"/>
  <c r="AP21" i="3" s="1"/>
  <c r="AQ21" i="3" s="1"/>
  <c r="AA21" i="3"/>
  <c r="Z137" i="3"/>
  <c r="AD137" i="3"/>
  <c r="AP137" i="3" s="1"/>
  <c r="AQ137" i="3" s="1"/>
  <c r="AR137" i="3"/>
  <c r="K137" i="3"/>
  <c r="R137" i="3"/>
  <c r="V137" i="3"/>
  <c r="AB137" i="3"/>
  <c r="F137" i="3"/>
  <c r="AG137" i="3"/>
  <c r="AH137" i="3" s="1"/>
  <c r="AI137" i="3" s="1"/>
  <c r="N137" i="3"/>
  <c r="T137" i="3"/>
  <c r="AN137" i="3" s="1"/>
  <c r="AE137" i="3"/>
  <c r="Y137" i="3"/>
  <c r="E137" i="3"/>
  <c r="L137" i="3"/>
  <c r="AA137" i="3"/>
  <c r="Q137" i="3"/>
  <c r="AC137" i="3"/>
  <c r="B137" i="3"/>
  <c r="B135" i="9" s="1"/>
  <c r="H131" i="3"/>
  <c r="A135" i="9"/>
  <c r="G137" i="3"/>
  <c r="D137" i="3"/>
  <c r="AV137" i="3"/>
  <c r="C135" i="9" s="1"/>
  <c r="Z105" i="3"/>
  <c r="AR105" i="3"/>
  <c r="F105" i="3"/>
  <c r="I99" i="3"/>
  <c r="R105" i="3"/>
  <c r="AB105" i="3"/>
  <c r="D105" i="3"/>
  <c r="X105" i="3"/>
  <c r="B105" i="3"/>
  <c r="B103" i="9" s="1"/>
  <c r="S105" i="3"/>
  <c r="G105" i="3"/>
  <c r="H99" i="3"/>
  <c r="AG105" i="3"/>
  <c r="AL105" i="3" s="1"/>
  <c r="AM105" i="3" s="1"/>
  <c r="AD105" i="3"/>
  <c r="AP105" i="3" s="1"/>
  <c r="AQ105" i="3" s="1"/>
  <c r="AA105" i="3"/>
  <c r="Q105" i="3"/>
  <c r="A103" i="9"/>
  <c r="E105" i="3"/>
  <c r="W105" i="3"/>
  <c r="AC105" i="3"/>
  <c r="F33" i="3"/>
  <c r="B33" i="3"/>
  <c r="B31" i="9" s="1"/>
  <c r="AV33" i="3"/>
  <c r="C31" i="9" s="1"/>
  <c r="AA33" i="3"/>
  <c r="A31" i="9"/>
  <c r="AD33" i="3"/>
  <c r="AP33" i="3" s="1"/>
  <c r="AQ33" i="3" s="1"/>
  <c r="K33" i="3"/>
  <c r="AG33" i="3"/>
  <c r="AF33" i="3" s="1"/>
  <c r="V33" i="3"/>
  <c r="R33" i="3"/>
  <c r="Y33" i="3"/>
  <c r="E33" i="3"/>
  <c r="I27" i="3"/>
  <c r="G33" i="3"/>
  <c r="T33" i="3"/>
  <c r="G86" i="3"/>
  <c r="W86" i="3"/>
  <c r="AC86" i="3"/>
  <c r="AD86" i="3"/>
  <c r="AP86" i="3" s="1"/>
  <c r="AQ86" i="3" s="1"/>
  <c r="H80" i="3"/>
  <c r="B86" i="3"/>
  <c r="B84" i="9" s="1"/>
  <c r="N86" i="3"/>
  <c r="AV86" i="3"/>
  <c r="C84" i="9" s="1"/>
  <c r="E86" i="3"/>
  <c r="AG86" i="3"/>
  <c r="I80" i="3"/>
  <c r="T86" i="3"/>
  <c r="AN86" i="3" s="1"/>
  <c r="P86" i="3"/>
  <c r="AB86" i="3"/>
  <c r="AE86" i="3"/>
  <c r="R11" i="3"/>
  <c r="V11" i="3"/>
  <c r="K11" i="3"/>
  <c r="Y11" i="3"/>
  <c r="N11" i="3"/>
  <c r="X11" i="3"/>
  <c r="E11" i="3"/>
  <c r="P11" i="3"/>
  <c r="H5" i="3"/>
  <c r="G11" i="3"/>
  <c r="D11" i="3"/>
  <c r="Z11" i="3"/>
  <c r="AV11" i="3"/>
  <c r="C9" i="9" s="1"/>
  <c r="AA11" i="3"/>
  <c r="B32" i="3"/>
  <c r="B30" i="9" s="1"/>
  <c r="X32" i="3"/>
  <c r="AA32" i="3"/>
  <c r="G32" i="3"/>
  <c r="Z32" i="3"/>
  <c r="F32" i="3"/>
  <c r="A30" i="9"/>
  <c r="R32" i="3"/>
  <c r="AD32" i="3"/>
  <c r="AP32" i="3" s="1"/>
  <c r="AQ32" i="3" s="1"/>
  <c r="D32" i="3"/>
  <c r="I26" i="3"/>
  <c r="V32" i="3"/>
  <c r="T32" i="3"/>
  <c r="AN32" i="3" s="1"/>
  <c r="H26" i="3"/>
  <c r="AV32" i="3"/>
  <c r="C30" i="9" s="1"/>
  <c r="J152" i="10"/>
  <c r="H152" i="10"/>
  <c r="AA26" i="3"/>
  <c r="X26" i="3"/>
  <c r="AV26" i="3"/>
  <c r="C24" i="9" s="1"/>
  <c r="K26" i="3"/>
  <c r="P26" i="3"/>
  <c r="A24" i="9"/>
  <c r="Z26" i="3"/>
  <c r="G26" i="3"/>
  <c r="D26" i="3"/>
  <c r="R26" i="3"/>
  <c r="F26" i="3"/>
  <c r="AR26" i="3"/>
  <c r="I20" i="3"/>
  <c r="AD26" i="3"/>
  <c r="AP26" i="3" s="1"/>
  <c r="AQ26" i="3" s="1"/>
  <c r="B26" i="3"/>
  <c r="B24" i="9" s="1"/>
  <c r="H20" i="3"/>
  <c r="E26" i="3"/>
  <c r="O38" i="10"/>
  <c r="Q38" i="10"/>
  <c r="E45" i="3"/>
  <c r="R45" i="3"/>
  <c r="D45" i="3"/>
  <c r="AG45" i="3"/>
  <c r="AH45" i="3" s="1"/>
  <c r="AI45" i="3" s="1"/>
  <c r="F45" i="3"/>
  <c r="T45" i="3"/>
  <c r="I39" i="3"/>
  <c r="N45" i="3"/>
  <c r="Z45" i="3"/>
  <c r="H39" i="3"/>
  <c r="AE87" i="3"/>
  <c r="F87" i="3"/>
  <c r="Z87" i="3"/>
  <c r="AC87" i="3"/>
  <c r="R87" i="3"/>
  <c r="N87" i="3"/>
  <c r="D87" i="3"/>
  <c r="E87" i="3"/>
  <c r="X87" i="3"/>
  <c r="I81" i="3"/>
  <c r="AD87" i="3"/>
  <c r="AP87" i="3" s="1"/>
  <c r="AQ87" i="3" s="1"/>
  <c r="W87" i="3"/>
  <c r="A85" i="9"/>
  <c r="V87" i="3"/>
  <c r="P87" i="3"/>
  <c r="AV87" i="3"/>
  <c r="C85" i="9" s="1"/>
  <c r="T87" i="3"/>
  <c r="AN87" i="3" s="1"/>
  <c r="AB87" i="3"/>
  <c r="X23" i="3"/>
  <c r="E23" i="3"/>
  <c r="R23" i="3"/>
  <c r="P23" i="3"/>
  <c r="D23" i="3"/>
  <c r="I17" i="3"/>
  <c r="G23" i="3"/>
  <c r="AB23" i="3"/>
  <c r="F23" i="3"/>
  <c r="T23" i="3"/>
  <c r="A21" i="9"/>
  <c r="AV23" i="3"/>
  <c r="C21" i="9" s="1"/>
  <c r="B23" i="3"/>
  <c r="B21" i="9" s="1"/>
  <c r="H17" i="3"/>
  <c r="N23" i="3"/>
  <c r="Z23" i="3"/>
  <c r="L6" i="3"/>
  <c r="W148" i="3"/>
  <c r="AR87" i="3"/>
  <c r="K23" i="3"/>
  <c r="G12" i="3"/>
  <c r="M137" i="3"/>
  <c r="K105" i="3"/>
  <c r="X33" i="3"/>
  <c r="F11" i="3"/>
  <c r="AV80" i="3"/>
  <c r="C78" i="9" s="1"/>
  <c r="R86" i="3"/>
  <c r="N32" i="3"/>
  <c r="U130" i="3"/>
  <c r="AA130" i="3"/>
  <c r="P130" i="3"/>
  <c r="AD130" i="3"/>
  <c r="AP130" i="3" s="1"/>
  <c r="AQ130" i="3" s="1"/>
  <c r="D130" i="3"/>
  <c r="K130" i="3"/>
  <c r="AV130" i="3"/>
  <c r="C128" i="9" s="1"/>
  <c r="V130" i="3"/>
  <c r="A128" i="9"/>
  <c r="B130" i="3"/>
  <c r="B128" i="9" s="1"/>
  <c r="Q130" i="3"/>
  <c r="N130" i="3"/>
  <c r="F134" i="3"/>
  <c r="Z134" i="3"/>
  <c r="AG134" i="3"/>
  <c r="AF134" i="3" s="1"/>
  <c r="AC134" i="3"/>
  <c r="R134" i="3"/>
  <c r="Y134" i="3"/>
  <c r="M134" i="3"/>
  <c r="N134" i="3"/>
  <c r="X134" i="3"/>
  <c r="D134" i="3"/>
  <c r="E134" i="3"/>
  <c r="P134" i="3"/>
  <c r="AR134" i="3"/>
  <c r="AD134" i="3"/>
  <c r="AP134" i="3" s="1"/>
  <c r="AQ134" i="3" s="1"/>
  <c r="W134" i="3"/>
  <c r="L134" i="3"/>
  <c r="W116" i="3"/>
  <c r="P116" i="3"/>
  <c r="AA116" i="3"/>
  <c r="F116" i="3"/>
  <c r="G116" i="3"/>
  <c r="S116" i="3"/>
  <c r="AD116" i="3"/>
  <c r="AP116" i="3" s="1"/>
  <c r="AQ116" i="3" s="1"/>
  <c r="Z116" i="3"/>
  <c r="K116" i="3"/>
  <c r="N116" i="3"/>
  <c r="B116" i="3"/>
  <c r="B114" i="9" s="1"/>
  <c r="H110" i="3"/>
  <c r="E116" i="3"/>
  <c r="AR116" i="3"/>
  <c r="AV116" i="3"/>
  <c r="C114" i="9" s="1"/>
  <c r="D116" i="3"/>
  <c r="R52" i="3"/>
  <c r="F52" i="3"/>
  <c r="T52" i="3"/>
  <c r="AN52" i="3" s="1"/>
  <c r="I46" i="3"/>
  <c r="AD52" i="3"/>
  <c r="AP52" i="3" s="1"/>
  <c r="AQ52" i="3" s="1"/>
  <c r="B52" i="3"/>
  <c r="B50" i="9" s="1"/>
  <c r="AG52" i="3"/>
  <c r="V52" i="3"/>
  <c r="H46" i="3"/>
  <c r="N52" i="3"/>
  <c r="X52" i="3"/>
  <c r="E52" i="3"/>
  <c r="Z52" i="3"/>
  <c r="AV52" i="3"/>
  <c r="C50" i="9" s="1"/>
  <c r="AB52" i="3"/>
  <c r="AB66" i="3"/>
  <c r="AG66" i="3"/>
  <c r="AL66" i="3" s="1"/>
  <c r="AM66" i="3" s="1"/>
  <c r="AD66" i="3"/>
  <c r="AP66" i="3" s="1"/>
  <c r="AQ66" i="3" s="1"/>
  <c r="T66" i="3"/>
  <c r="Y66" i="3"/>
  <c r="V66" i="3"/>
  <c r="B66" i="3"/>
  <c r="B64" i="9" s="1"/>
  <c r="H60" i="3"/>
  <c r="N66" i="3"/>
  <c r="AA66" i="3"/>
  <c r="X66" i="3"/>
  <c r="E66" i="3"/>
  <c r="K66" i="3"/>
  <c r="P66" i="3"/>
  <c r="AR66" i="3"/>
  <c r="I60" i="3"/>
  <c r="AV66" i="3"/>
  <c r="C64" i="9" s="1"/>
  <c r="AE150" i="3"/>
  <c r="T150" i="3"/>
  <c r="AN150" i="3" s="1"/>
  <c r="AD150" i="3"/>
  <c r="AP150" i="3" s="1"/>
  <c r="A148" i="9"/>
  <c r="W150" i="3"/>
  <c r="L150" i="3"/>
  <c r="Z150" i="3"/>
  <c r="AG150" i="3"/>
  <c r="AJ150" i="3" s="1"/>
  <c r="AK150" i="3" s="1"/>
  <c r="F150" i="3"/>
  <c r="B150" i="3"/>
  <c r="B148" i="9" s="1"/>
  <c r="R150" i="3"/>
  <c r="Y150" i="3"/>
  <c r="AC150" i="3"/>
  <c r="AA150" i="3"/>
  <c r="N150" i="3"/>
  <c r="Q150" i="3"/>
  <c r="M150" i="3"/>
  <c r="S150" i="3"/>
  <c r="AV150" i="3"/>
  <c r="C148" i="9" s="1"/>
  <c r="AB150" i="3"/>
  <c r="E150" i="3"/>
  <c r="A79" i="9"/>
  <c r="E81" i="3"/>
  <c r="AB81" i="3"/>
  <c r="X81" i="3"/>
  <c r="Z81" i="3"/>
  <c r="AA81" i="3"/>
  <c r="P81" i="3"/>
  <c r="R81" i="3"/>
  <c r="Y81" i="3"/>
  <c r="G81" i="3"/>
  <c r="AG81" i="3"/>
  <c r="AF81" i="3" s="1"/>
  <c r="K81" i="3"/>
  <c r="I75" i="3"/>
  <c r="T81" i="3"/>
  <c r="N81" i="3"/>
  <c r="B81" i="3"/>
  <c r="B79" i="9" s="1"/>
  <c r="AB72" i="3"/>
  <c r="AG72" i="3"/>
  <c r="AF72" i="3" s="1"/>
  <c r="AS72" i="3" s="1"/>
  <c r="AD72" i="3"/>
  <c r="AP72" i="3" s="1"/>
  <c r="AQ72" i="3" s="1"/>
  <c r="AA42" i="3"/>
  <c r="P42" i="3"/>
  <c r="E42" i="3"/>
  <c r="K42" i="3"/>
  <c r="G42" i="3"/>
  <c r="D42" i="3"/>
  <c r="Z42" i="3"/>
  <c r="H36" i="3"/>
  <c r="AB42" i="3"/>
  <c r="R42" i="3"/>
  <c r="F42" i="3"/>
  <c r="T42" i="3"/>
  <c r="AG42" i="3"/>
  <c r="AV42" i="3"/>
  <c r="C40" i="9" s="1"/>
  <c r="B42" i="3"/>
  <c r="B40" i="9" s="1"/>
  <c r="A40" i="9"/>
  <c r="X42" i="3"/>
  <c r="N42" i="3"/>
  <c r="L45" i="3"/>
  <c r="L87" i="3"/>
  <c r="Z148" i="3"/>
  <c r="B87" i="3"/>
  <c r="B85" i="9" s="1"/>
  <c r="AA23" i="3"/>
  <c r="P12" i="3"/>
  <c r="U137" i="3"/>
  <c r="N105" i="3"/>
  <c r="A9" i="9"/>
  <c r="Z86" i="3"/>
  <c r="Y32" i="3"/>
  <c r="AD122" i="3"/>
  <c r="AP122" i="3" s="1"/>
  <c r="AQ122" i="3" s="1"/>
  <c r="AE122" i="3"/>
  <c r="H116" i="3"/>
  <c r="D122" i="3"/>
  <c r="AE115" i="3"/>
  <c r="S115" i="3"/>
  <c r="V115" i="3"/>
  <c r="G112" i="3"/>
  <c r="B112" i="3"/>
  <c r="B110" i="9" s="1"/>
  <c r="K112" i="3"/>
  <c r="W112" i="3"/>
  <c r="Y96" i="3"/>
  <c r="R96" i="3"/>
  <c r="V96" i="3"/>
  <c r="O137" i="3"/>
  <c r="AR69" i="3"/>
  <c r="AA45" i="3"/>
  <c r="AB21" i="3"/>
  <c r="N26" i="3"/>
  <c r="R76" i="3"/>
  <c r="H142" i="3"/>
  <c r="H81" i="3"/>
  <c r="V23" i="3"/>
  <c r="T12" i="3"/>
  <c r="AN12" i="3" s="1"/>
  <c r="P137" i="3"/>
  <c r="V105" i="3"/>
  <c r="Z6" i="3"/>
  <c r="X86" i="3"/>
  <c r="AG32" i="3"/>
  <c r="AH32" i="3" s="1"/>
  <c r="AI32" i="3" s="1"/>
  <c r="E122" i="3"/>
  <c r="AV122" i="3"/>
  <c r="C120" i="9" s="1"/>
  <c r="K122" i="3"/>
  <c r="M122" i="3"/>
  <c r="U115" i="3"/>
  <c r="M115" i="3"/>
  <c r="AA115" i="3"/>
  <c r="AD115" i="3"/>
  <c r="AP115" i="3" s="1"/>
  <c r="AD112" i="3"/>
  <c r="AP112" i="3" s="1"/>
  <c r="AQ112" i="3" s="1"/>
  <c r="X112" i="3"/>
  <c r="S112" i="3"/>
  <c r="AE112" i="3"/>
  <c r="K96" i="3"/>
  <c r="Z96" i="3"/>
  <c r="AD96" i="3"/>
  <c r="AP96" i="3" s="1"/>
  <c r="AQ96" i="3" s="1"/>
  <c r="D69" i="3"/>
  <c r="B45" i="3"/>
  <c r="B43" i="9" s="1"/>
  <c r="E21" i="3"/>
  <c r="V26" i="3"/>
  <c r="AE76" i="3"/>
  <c r="L148" i="3"/>
  <c r="G87" i="3"/>
  <c r="AD23" i="3"/>
  <c r="AP23" i="3" s="1"/>
  <c r="AQ23" i="3" s="1"/>
  <c r="AB12" i="3"/>
  <c r="X137" i="3"/>
  <c r="K6" i="3"/>
  <c r="A84" i="9"/>
  <c r="AB32" i="3"/>
  <c r="I116" i="3"/>
  <c r="G122" i="3"/>
  <c r="S122" i="3"/>
  <c r="U122" i="3"/>
  <c r="W115" i="3"/>
  <c r="AG115" i="3"/>
  <c r="AF115" i="3" s="1"/>
  <c r="I109" i="3"/>
  <c r="G115" i="3"/>
  <c r="N112" i="3"/>
  <c r="Q112" i="3"/>
  <c r="AA112" i="3"/>
  <c r="AV112" i="3"/>
  <c r="C110" i="9" s="1"/>
  <c r="AG96" i="3"/>
  <c r="AJ96" i="3" s="1"/>
  <c r="AK96" i="3" s="1"/>
  <c r="AA96" i="3"/>
  <c r="I90" i="3"/>
  <c r="A94" i="9"/>
  <c r="E69" i="3"/>
  <c r="AB45" i="3"/>
  <c r="AV21" i="3"/>
  <c r="C19" i="9" s="1"/>
  <c r="Y26" i="3"/>
  <c r="Z76" i="3"/>
  <c r="AR148" i="3"/>
  <c r="AG87" i="3"/>
  <c r="AF87" i="3" s="1"/>
  <c r="AS87" i="3" s="1"/>
  <c r="Y23" i="3"/>
  <c r="AV12" i="3"/>
  <c r="C10" i="9" s="1"/>
  <c r="V6" i="3"/>
  <c r="AR32" i="3"/>
  <c r="N122" i="3"/>
  <c r="P122" i="3"/>
  <c r="AA122" i="3"/>
  <c r="D115" i="3"/>
  <c r="Q115" i="3"/>
  <c r="B115" i="3"/>
  <c r="B113" i="9" s="1"/>
  <c r="P112" i="3"/>
  <c r="Y112" i="3"/>
  <c r="D112" i="3"/>
  <c r="AC96" i="3"/>
  <c r="B96" i="3"/>
  <c r="B94" i="9" s="1"/>
  <c r="G69" i="3"/>
  <c r="V69" i="3"/>
  <c r="G45" i="3"/>
  <c r="V45" i="3"/>
  <c r="F21" i="3"/>
  <c r="AG26" i="3"/>
  <c r="AJ26" i="3" s="1"/>
  <c r="AK26" i="3" s="1"/>
  <c r="G76" i="3"/>
  <c r="D148" i="3"/>
  <c r="K87" i="3"/>
  <c r="AG23" i="3"/>
  <c r="A10" i="9"/>
  <c r="W137" i="3"/>
  <c r="AE105" i="3"/>
  <c r="AB33" i="3"/>
  <c r="AD6" i="3"/>
  <c r="AP6" i="3" s="1"/>
  <c r="T11" i="3"/>
  <c r="AN11" i="3" s="1"/>
  <c r="AG80" i="3"/>
  <c r="AF80" i="3" s="1"/>
  <c r="L72" i="3"/>
  <c r="L69" i="3"/>
  <c r="L32" i="3"/>
  <c r="L21" i="3"/>
  <c r="L96" i="3"/>
  <c r="O79" i="3"/>
  <c r="L33" i="3"/>
  <c r="L80" i="3"/>
  <c r="L112" i="3"/>
  <c r="L13" i="3"/>
  <c r="L90" i="3"/>
  <c r="N18" i="3"/>
  <c r="P18" i="3"/>
  <c r="AA18" i="3"/>
  <c r="AE121" i="3"/>
  <c r="AC121" i="3"/>
  <c r="Q121" i="3"/>
  <c r="Q90" i="3"/>
  <c r="Y90" i="3"/>
  <c r="G90" i="3"/>
  <c r="AB90" i="3"/>
  <c r="B140" i="3"/>
  <c r="B138" i="9" s="1"/>
  <c r="E140" i="3"/>
  <c r="Q140" i="3"/>
  <c r="AA140" i="3"/>
  <c r="H111" i="3"/>
  <c r="AC117" i="3"/>
  <c r="Y117" i="3"/>
  <c r="E117" i="3"/>
  <c r="I86" i="3"/>
  <c r="AD92" i="3"/>
  <c r="AP92" i="3" s="1"/>
  <c r="AQ92" i="3" s="1"/>
  <c r="AV28" i="3"/>
  <c r="C26" i="9" s="1"/>
  <c r="Y28" i="3"/>
  <c r="T28" i="3"/>
  <c r="AN28" i="3" s="1"/>
  <c r="AO28" i="3" s="1"/>
  <c r="E142" i="3"/>
  <c r="B142" i="3"/>
  <c r="B140" i="9" s="1"/>
  <c r="AC142" i="3"/>
  <c r="Q142" i="3"/>
  <c r="I43" i="3"/>
  <c r="D49" i="3"/>
  <c r="D17" i="3"/>
  <c r="G17" i="3"/>
  <c r="T70" i="3"/>
  <c r="AN70" i="3" s="1"/>
  <c r="V70" i="3"/>
  <c r="X70" i="3"/>
  <c r="AV155" i="3"/>
  <c r="C153" i="9" s="1"/>
  <c r="AE155" i="3"/>
  <c r="F155" i="3"/>
  <c r="AA155" i="3"/>
  <c r="E102" i="3"/>
  <c r="N102" i="3"/>
  <c r="D102" i="3"/>
  <c r="Q102" i="3"/>
  <c r="N62" i="3"/>
  <c r="P62" i="3"/>
  <c r="B62" i="3"/>
  <c r="B60" i="9" s="1"/>
  <c r="V30" i="3"/>
  <c r="Z152" i="3"/>
  <c r="S152" i="3"/>
  <c r="D152" i="3"/>
  <c r="Y152" i="3"/>
  <c r="Q136" i="3"/>
  <c r="M136" i="3"/>
  <c r="G91" i="3"/>
  <c r="P91" i="3"/>
  <c r="M91" i="3"/>
  <c r="B59" i="3"/>
  <c r="B57" i="9" s="1"/>
  <c r="V59" i="3"/>
  <c r="D48" i="3"/>
  <c r="P48" i="3"/>
  <c r="K48" i="3"/>
  <c r="Q52" i="10"/>
  <c r="H123" i="10"/>
  <c r="H141" i="10"/>
  <c r="O125" i="3"/>
  <c r="O39" i="3"/>
  <c r="F121" i="3"/>
  <c r="I115" i="3"/>
  <c r="E121" i="3"/>
  <c r="Y121" i="3"/>
  <c r="AG90" i="3"/>
  <c r="AF90" i="3" s="1"/>
  <c r="K90" i="3"/>
  <c r="P90" i="3"/>
  <c r="A88" i="9"/>
  <c r="G140" i="3"/>
  <c r="N140" i="3"/>
  <c r="Y140" i="3"/>
  <c r="A138" i="9"/>
  <c r="S117" i="3"/>
  <c r="K117" i="3"/>
  <c r="AG117" i="3"/>
  <c r="AL117" i="3" s="1"/>
  <c r="AM117" i="3" s="1"/>
  <c r="N117" i="3"/>
  <c r="B92" i="3"/>
  <c r="B90" i="9" s="1"/>
  <c r="G92" i="3"/>
  <c r="E28" i="3"/>
  <c r="AG28" i="3"/>
  <c r="AB28" i="3"/>
  <c r="N142" i="3"/>
  <c r="L142" i="3"/>
  <c r="F142" i="3"/>
  <c r="Y142" i="3"/>
  <c r="R49" i="3"/>
  <c r="E49" i="3"/>
  <c r="E17" i="3"/>
  <c r="P17" i="3"/>
  <c r="AB70" i="3"/>
  <c r="AD70" i="3"/>
  <c r="AP70" i="3" s="1"/>
  <c r="AQ70" i="3" s="1"/>
  <c r="Y70" i="3"/>
  <c r="S155" i="3"/>
  <c r="I149" i="3"/>
  <c r="P155" i="3"/>
  <c r="D155" i="3"/>
  <c r="V102" i="3"/>
  <c r="AD102" i="3"/>
  <c r="AP102" i="3" s="1"/>
  <c r="AQ102" i="3" s="1"/>
  <c r="M102" i="3"/>
  <c r="Y102" i="3"/>
  <c r="V62" i="3"/>
  <c r="X62" i="3"/>
  <c r="T62" i="3"/>
  <c r="I146" i="3"/>
  <c r="AC152" i="3"/>
  <c r="N152" i="3"/>
  <c r="L152" i="3"/>
  <c r="X91" i="3"/>
  <c r="Q91" i="3"/>
  <c r="U91" i="3"/>
  <c r="E48" i="3"/>
  <c r="X48" i="3"/>
  <c r="AA48" i="3"/>
  <c r="R142" i="3"/>
  <c r="T142" i="3"/>
  <c r="AN142" i="3" s="1"/>
  <c r="AO142" i="3" s="1"/>
  <c r="W142" i="3"/>
  <c r="AG142" i="3"/>
  <c r="AL142" i="3" s="1"/>
  <c r="AM142" i="3" s="1"/>
  <c r="AR70" i="3"/>
  <c r="AV70" i="3"/>
  <c r="C68" i="9" s="1"/>
  <c r="AG70" i="3"/>
  <c r="AH70" i="3" s="1"/>
  <c r="AI70" i="3" s="1"/>
  <c r="L28" i="3"/>
  <c r="L92" i="3"/>
  <c r="AV18" i="3"/>
  <c r="C16" i="9" s="1"/>
  <c r="Y18" i="3"/>
  <c r="AB18" i="3"/>
  <c r="AV121" i="3"/>
  <c r="C119" i="9" s="1"/>
  <c r="T121" i="3"/>
  <c r="AN121" i="3" s="1"/>
  <c r="V121" i="3"/>
  <c r="R121" i="3"/>
  <c r="H84" i="3"/>
  <c r="AC90" i="3"/>
  <c r="R90" i="3"/>
  <c r="P140" i="3"/>
  <c r="AR140" i="3"/>
  <c r="AD140" i="3"/>
  <c r="AP140" i="3" s="1"/>
  <c r="AQ140" i="3" s="1"/>
  <c r="R140" i="3"/>
  <c r="W117" i="3"/>
  <c r="M117" i="3"/>
  <c r="Z117" i="3"/>
  <c r="AD117" i="3"/>
  <c r="K92" i="3"/>
  <c r="AB92" i="3"/>
  <c r="AJ92" i="3" s="1"/>
  <c r="AK92" i="3" s="1"/>
  <c r="X92" i="3"/>
  <c r="AH92" i="3" s="1"/>
  <c r="AI92" i="3" s="1"/>
  <c r="F28" i="3"/>
  <c r="R28" i="3"/>
  <c r="D28" i="3"/>
  <c r="H136" i="3"/>
  <c r="AB142" i="3"/>
  <c r="AE142" i="3"/>
  <c r="A140" i="9"/>
  <c r="P49" i="3"/>
  <c r="K49" i="3"/>
  <c r="V49" i="3"/>
  <c r="Z17" i="3"/>
  <c r="V17" i="3"/>
  <c r="I11" i="3"/>
  <c r="B70" i="3"/>
  <c r="B68" i="9" s="1"/>
  <c r="H64" i="3"/>
  <c r="R70" i="3"/>
  <c r="T155" i="3"/>
  <c r="N155" i="3"/>
  <c r="G155" i="3"/>
  <c r="U155" i="3"/>
  <c r="X102" i="3"/>
  <c r="R102" i="3"/>
  <c r="AC102" i="3"/>
  <c r="A100" i="9"/>
  <c r="AV62" i="3"/>
  <c r="C60" i="9" s="1"/>
  <c r="AG62" i="3"/>
  <c r="D62" i="3"/>
  <c r="G152" i="3"/>
  <c r="H146" i="3"/>
  <c r="E152" i="3"/>
  <c r="AB152" i="3"/>
  <c r="R91" i="3"/>
  <c r="AB91" i="3"/>
  <c r="AG91" i="3"/>
  <c r="AF91" i="3" s="1"/>
  <c r="F91" i="3"/>
  <c r="V48" i="3"/>
  <c r="Y48" i="3"/>
  <c r="E18" i="3"/>
  <c r="AG18" i="3"/>
  <c r="AR18" i="3"/>
  <c r="S121" i="3"/>
  <c r="AB121" i="3"/>
  <c r="AJ121" i="3" s="1"/>
  <c r="AK121" i="3" s="1"/>
  <c r="AD121" i="3"/>
  <c r="AP121" i="3" s="1"/>
  <c r="AQ121" i="3" s="1"/>
  <c r="Z121" i="3"/>
  <c r="AL121" i="3" s="1"/>
  <c r="AM121" i="3" s="1"/>
  <c r="D90" i="3"/>
  <c r="E90" i="3"/>
  <c r="Z90" i="3"/>
  <c r="T140" i="3"/>
  <c r="AN140" i="3" s="1"/>
  <c r="D140" i="3"/>
  <c r="F140" i="3"/>
  <c r="Z140" i="3"/>
  <c r="D117" i="3"/>
  <c r="G117" i="3"/>
  <c r="I111" i="3"/>
  <c r="A115" i="9"/>
  <c r="AR92" i="3"/>
  <c r="R92" i="3"/>
  <c r="G28" i="3"/>
  <c r="Z28" i="3"/>
  <c r="A26" i="9"/>
  <c r="K142" i="3"/>
  <c r="AR142" i="3"/>
  <c r="AV142" i="3"/>
  <c r="C140" i="9" s="1"/>
  <c r="X49" i="3"/>
  <c r="AH49" i="3" s="1"/>
  <c r="AI49" i="3" s="1"/>
  <c r="AA49" i="3"/>
  <c r="AD49" i="3"/>
  <c r="AP49" i="3" s="1"/>
  <c r="AQ49" i="3" s="1"/>
  <c r="K17" i="3"/>
  <c r="AD17" i="3"/>
  <c r="AP17" i="3" s="1"/>
  <c r="AG17" i="3"/>
  <c r="AF17" i="3" s="1"/>
  <c r="D70" i="3"/>
  <c r="F70" i="3"/>
  <c r="Z70" i="3"/>
  <c r="AD155" i="3"/>
  <c r="AP155" i="3" s="1"/>
  <c r="AQ155" i="3" s="1"/>
  <c r="W155" i="3"/>
  <c r="Q155" i="3"/>
  <c r="AC155" i="3"/>
  <c r="Z102" i="3"/>
  <c r="K102" i="3"/>
  <c r="F102" i="3"/>
  <c r="H56" i="3"/>
  <c r="R62" i="3"/>
  <c r="A60" i="9"/>
  <c r="M152" i="3"/>
  <c r="K152" i="3"/>
  <c r="X152" i="3"/>
  <c r="AR152" i="3"/>
  <c r="B91" i="3"/>
  <c r="B89" i="9" s="1"/>
  <c r="AR91" i="3"/>
  <c r="K91" i="3"/>
  <c r="W91" i="3"/>
  <c r="AR48" i="3"/>
  <c r="AD48" i="3"/>
  <c r="AP48" i="3" s="1"/>
  <c r="AQ48" i="3" s="1"/>
  <c r="AG48" i="3"/>
  <c r="AF48" i="3" s="1"/>
  <c r="L109" i="3"/>
  <c r="F18" i="3"/>
  <c r="R18" i="3"/>
  <c r="D18" i="3"/>
  <c r="H115" i="3"/>
  <c r="AR121" i="3"/>
  <c r="G121" i="3"/>
  <c r="A119" i="9"/>
  <c r="U90" i="3"/>
  <c r="N90" i="3"/>
  <c r="I84" i="3"/>
  <c r="X140" i="3"/>
  <c r="M140" i="3"/>
  <c r="W140" i="3"/>
  <c r="H134" i="3"/>
  <c r="AA117" i="3"/>
  <c r="P117" i="3"/>
  <c r="B117" i="3"/>
  <c r="B115" i="9" s="1"/>
  <c r="AE92" i="3"/>
  <c r="E92" i="3"/>
  <c r="Z92" i="3"/>
  <c r="AL92" i="3" s="1"/>
  <c r="AM92" i="3" s="1"/>
  <c r="P28" i="3"/>
  <c r="K28" i="3"/>
  <c r="V142" i="3"/>
  <c r="S142" i="3"/>
  <c r="D142" i="3"/>
  <c r="G142" i="3"/>
  <c r="H43" i="3"/>
  <c r="B49" i="3"/>
  <c r="B47" i="9" s="1"/>
  <c r="AV49" i="3"/>
  <c r="C47" i="9" s="1"/>
  <c r="B17" i="3"/>
  <c r="B15" i="9" s="1"/>
  <c r="AV17" i="3"/>
  <c r="C15" i="9" s="1"/>
  <c r="A15" i="9"/>
  <c r="M70" i="3"/>
  <c r="I64" i="3"/>
  <c r="K70" i="3"/>
  <c r="H149" i="3"/>
  <c r="E155" i="3"/>
  <c r="Z155" i="3"/>
  <c r="A153" i="9"/>
  <c r="H96" i="3"/>
  <c r="S102" i="3"/>
  <c r="W102" i="3"/>
  <c r="F62" i="3"/>
  <c r="Z62" i="3"/>
  <c r="Q152" i="3"/>
  <c r="U152" i="3"/>
  <c r="AG152" i="3"/>
  <c r="AJ152" i="3" s="1"/>
  <c r="AK152" i="3" s="1"/>
  <c r="A150" i="9"/>
  <c r="T91" i="3"/>
  <c r="N91" i="3"/>
  <c r="S91" i="3"/>
  <c r="AE91" i="3"/>
  <c r="B48" i="3"/>
  <c r="B46" i="9" s="1"/>
  <c r="AV48" i="3"/>
  <c r="C46" i="9" s="1"/>
  <c r="I42" i="3"/>
  <c r="H12" i="3"/>
  <c r="Z18" i="3"/>
  <c r="W121" i="3"/>
  <c r="D121" i="3"/>
  <c r="AE90" i="3"/>
  <c r="F90" i="3"/>
  <c r="V90" i="3"/>
  <c r="I134" i="3"/>
  <c r="U140" i="3"/>
  <c r="AE140" i="3"/>
  <c r="AV117" i="3"/>
  <c r="C115" i="9" s="1"/>
  <c r="X117" i="3"/>
  <c r="D92" i="3"/>
  <c r="AV92" i="3"/>
  <c r="C90" i="9" s="1"/>
  <c r="N92" i="3"/>
  <c r="V28" i="3"/>
  <c r="X28" i="3"/>
  <c r="Z142" i="3"/>
  <c r="AA142" i="3"/>
  <c r="M142" i="3"/>
  <c r="Y49" i="3"/>
  <c r="T49" i="3"/>
  <c r="AN49" i="3" s="1"/>
  <c r="T17" i="3"/>
  <c r="AN17" i="3" s="1"/>
  <c r="E70" i="3"/>
  <c r="G70" i="3"/>
  <c r="L155" i="3"/>
  <c r="X155" i="3"/>
  <c r="B102" i="3"/>
  <c r="B100" i="9" s="1"/>
  <c r="AB102" i="3"/>
  <c r="AA102" i="3"/>
  <c r="I56" i="3"/>
  <c r="R152" i="3"/>
  <c r="AD152" i="3"/>
  <c r="AP152" i="3" s="1"/>
  <c r="AQ152" i="3" s="1"/>
  <c r="E91" i="3"/>
  <c r="AD91" i="3"/>
  <c r="AP91" i="3" s="1"/>
  <c r="AQ91" i="3" s="1"/>
  <c r="AA91" i="3"/>
  <c r="T48" i="3"/>
  <c r="F48" i="3"/>
  <c r="O70" i="3"/>
  <c r="B331" i="2"/>
  <c r="B287" i="2"/>
  <c r="C165" i="2"/>
  <c r="I165" i="2" s="1"/>
  <c r="J133" i="2"/>
  <c r="B184" i="2"/>
  <c r="J307" i="2"/>
  <c r="J168" i="2"/>
  <c r="J303" i="2"/>
  <c r="B307" i="2"/>
  <c r="J340" i="2"/>
  <c r="B165" i="2"/>
  <c r="J167" i="2"/>
  <c r="H122" i="3"/>
  <c r="I122" i="3"/>
  <c r="F6" i="3"/>
  <c r="AB6" i="3"/>
  <c r="A78" i="9"/>
  <c r="AD80" i="3"/>
  <c r="AP80" i="3" s="1"/>
  <c r="AQ80" i="3" s="1"/>
  <c r="K80" i="3"/>
  <c r="P105" i="3"/>
  <c r="T105" i="3"/>
  <c r="AN105" i="3" s="1"/>
  <c r="U105" i="3"/>
  <c r="M105" i="3"/>
  <c r="H27" i="3"/>
  <c r="N33" i="3"/>
  <c r="Z33" i="3"/>
  <c r="V86" i="3"/>
  <c r="K86" i="3"/>
  <c r="D86" i="3"/>
  <c r="AG11" i="3"/>
  <c r="AF11" i="3" s="1"/>
  <c r="AD11" i="3"/>
  <c r="AP11" i="3" s="1"/>
  <c r="AQ11" i="3" s="1"/>
  <c r="B11" i="3"/>
  <c r="B9" i="9" s="1"/>
  <c r="K32" i="3"/>
  <c r="P32" i="3"/>
  <c r="K128" i="3"/>
  <c r="B134" i="3"/>
  <c r="B132" i="9" s="1"/>
  <c r="Q134" i="3"/>
  <c r="U134" i="3"/>
  <c r="V134" i="3"/>
  <c r="A114" i="9"/>
  <c r="AE116" i="3"/>
  <c r="M116" i="3"/>
  <c r="T116" i="3"/>
  <c r="AN116" i="3" s="1"/>
  <c r="X150" i="3"/>
  <c r="U150" i="3"/>
  <c r="I144" i="3"/>
  <c r="V150" i="3"/>
  <c r="AD81" i="3"/>
  <c r="AP81" i="3" s="1"/>
  <c r="AQ81" i="3" s="1"/>
  <c r="F81" i="3"/>
  <c r="H132" i="10"/>
  <c r="AB128" i="3"/>
  <c r="S128" i="3"/>
  <c r="AR8" i="3"/>
  <c r="B128" i="3"/>
  <c r="B126" i="9" s="1"/>
  <c r="AA128" i="3"/>
  <c r="AD144" i="3"/>
  <c r="AP144" i="3" s="1"/>
  <c r="AQ144" i="3" s="1"/>
  <c r="S144" i="3"/>
  <c r="B144" i="3"/>
  <c r="B142" i="9" s="1"/>
  <c r="T24" i="3"/>
  <c r="AN24" i="3" s="1"/>
  <c r="AO24" i="3" s="1"/>
  <c r="H18" i="3"/>
  <c r="E24" i="3"/>
  <c r="Y46" i="3"/>
  <c r="AD46" i="3"/>
  <c r="AP46" i="3" s="1"/>
  <c r="AQ46" i="3" s="1"/>
  <c r="B46" i="3"/>
  <c r="B44" i="9" s="1"/>
  <c r="G128" i="3"/>
  <c r="D128" i="3"/>
  <c r="X67" i="3"/>
  <c r="H61" i="3"/>
  <c r="U126" i="3"/>
  <c r="X126" i="3"/>
  <c r="P139" i="3"/>
  <c r="S139" i="3"/>
  <c r="R73" i="3"/>
  <c r="I67" i="3"/>
  <c r="Q128" i="3"/>
  <c r="M128" i="3"/>
  <c r="Q50" i="10"/>
  <c r="Z30" i="3"/>
  <c r="F30" i="3"/>
  <c r="AC136" i="3"/>
  <c r="R136" i="3"/>
  <c r="AR136" i="3"/>
  <c r="B20" i="3"/>
  <c r="B18" i="9" s="1"/>
  <c r="X20" i="3"/>
  <c r="AH20" i="3" s="1"/>
  <c r="AI20" i="3" s="1"/>
  <c r="X9" i="3"/>
  <c r="AH9" i="3" s="1"/>
  <c r="AI9" i="3" s="1"/>
  <c r="N9" i="3"/>
  <c r="I48" i="3"/>
  <c r="E54" i="3"/>
  <c r="Z54" i="3"/>
  <c r="AL54" i="3" s="1"/>
  <c r="AM54" i="3" s="1"/>
  <c r="AD113" i="3"/>
  <c r="AP113" i="3" s="1"/>
  <c r="B113" i="3"/>
  <c r="B111" i="9" s="1"/>
  <c r="F113" i="3"/>
  <c r="AV41" i="3"/>
  <c r="C39" i="9" s="1"/>
  <c r="D41" i="3"/>
  <c r="H35" i="3"/>
  <c r="Z128" i="3"/>
  <c r="Y128" i="3"/>
  <c r="A126" i="9"/>
  <c r="P19" i="3"/>
  <c r="AB19" i="3"/>
  <c r="R139" i="1"/>
  <c r="Q139" i="1" s="1"/>
  <c r="P139" i="1" s="1"/>
  <c r="O139" i="1" s="1"/>
  <c r="W139" i="1"/>
  <c r="V131" i="3"/>
  <c r="AA131" i="3"/>
  <c r="U131" i="3"/>
  <c r="X8" i="3"/>
  <c r="E8" i="3"/>
  <c r="AG8" i="3"/>
  <c r="AJ8" i="3" s="1"/>
  <c r="AK8" i="3" s="1"/>
  <c r="R89" i="3"/>
  <c r="V89" i="3"/>
  <c r="AD14" i="3"/>
  <c r="AP14" i="3" s="1"/>
  <c r="AQ14" i="3" s="1"/>
  <c r="B14" i="3"/>
  <c r="B12" i="9" s="1"/>
  <c r="I8" i="3"/>
  <c r="AD88" i="3"/>
  <c r="AP88" i="3" s="1"/>
  <c r="AQ88" i="3" s="1"/>
  <c r="Z88" i="3"/>
  <c r="AL88" i="3" s="1"/>
  <c r="AM88" i="3" s="1"/>
  <c r="AV88" i="3"/>
  <c r="C86" i="9" s="1"/>
  <c r="T78" i="3"/>
  <c r="Y78" i="3"/>
  <c r="AA78" i="3"/>
  <c r="Q81" i="10"/>
  <c r="O165" i="10"/>
  <c r="Q39" i="10"/>
  <c r="H116" i="10"/>
  <c r="H122" i="10"/>
  <c r="Q51" i="10"/>
  <c r="L679" i="10"/>
  <c r="H679" i="10" s="1"/>
  <c r="O28" i="10"/>
  <c r="S128" i="7"/>
  <c r="U128" i="7" s="1"/>
  <c r="AE134" i="3"/>
  <c r="B133" i="2"/>
  <c r="H128" i="3"/>
  <c r="A132" i="9"/>
  <c r="AV38" i="3"/>
  <c r="C36" i="9" s="1"/>
  <c r="K134" i="3"/>
  <c r="F38" i="3"/>
  <c r="S134" i="3"/>
  <c r="H32" i="3"/>
  <c r="AA134" i="3"/>
  <c r="G38" i="3"/>
  <c r="I128" i="3"/>
  <c r="P38" i="3"/>
  <c r="H153" i="10"/>
  <c r="H155" i="10"/>
  <c r="V77" i="8"/>
  <c r="T77" i="8" s="1"/>
  <c r="V79" i="8"/>
  <c r="T79" i="8" s="1"/>
  <c r="Q167" i="10"/>
  <c r="L154" i="3"/>
  <c r="N154" i="3"/>
  <c r="P154" i="3"/>
  <c r="A152" i="9"/>
  <c r="R61" i="3"/>
  <c r="H55" i="3"/>
  <c r="G61" i="3"/>
  <c r="L107" i="3"/>
  <c r="AG10" i="3"/>
  <c r="AF10" i="3" s="1"/>
  <c r="AR10" i="3"/>
  <c r="S147" i="1"/>
  <c r="G132" i="3"/>
  <c r="AC132" i="3"/>
  <c r="AV132" i="3"/>
  <c r="C130" i="9" s="1"/>
  <c r="S132" i="3"/>
  <c r="D44" i="3"/>
  <c r="G44" i="3"/>
  <c r="K44" i="3"/>
  <c r="E141" i="1"/>
  <c r="T153" i="3"/>
  <c r="D153" i="3"/>
  <c r="Q153" i="3"/>
  <c r="AB108" i="3"/>
  <c r="D108" i="3"/>
  <c r="Q108" i="3"/>
  <c r="N126" i="3"/>
  <c r="B126" i="3"/>
  <c r="B124" i="9" s="1"/>
  <c r="AV126" i="3"/>
  <c r="C124" i="9" s="1"/>
  <c r="N73" i="3"/>
  <c r="V73" i="3"/>
  <c r="A71" i="9"/>
  <c r="AD22" i="3"/>
  <c r="AP22" i="3" s="1"/>
  <c r="AQ22" i="3" s="1"/>
  <c r="X22" i="3"/>
  <c r="AH22" i="3" s="1"/>
  <c r="AI22" i="3" s="1"/>
  <c r="AA22" i="3"/>
  <c r="Z139" i="3"/>
  <c r="AB139" i="3"/>
  <c r="AV139" i="3"/>
  <c r="C137" i="9" s="1"/>
  <c r="M123" i="3"/>
  <c r="H117" i="3"/>
  <c r="E123" i="3"/>
  <c r="P123" i="3"/>
  <c r="AE94" i="3"/>
  <c r="I88" i="3"/>
  <c r="G94" i="3"/>
  <c r="K35" i="3"/>
  <c r="AD35" i="3"/>
  <c r="AP35" i="3" s="1"/>
  <c r="AQ35" i="3" s="1"/>
  <c r="AA107" i="3"/>
  <c r="B107" i="3"/>
  <c r="B105" i="9" s="1"/>
  <c r="P107" i="3"/>
  <c r="AR67" i="3"/>
  <c r="G67" i="3"/>
  <c r="N64" i="3"/>
  <c r="I58" i="3"/>
  <c r="D64" i="3"/>
  <c r="H144" i="10"/>
  <c r="R147" i="1"/>
  <c r="Q147" i="1" s="1"/>
  <c r="P147" i="1" s="1"/>
  <c r="O147" i="1" s="1"/>
  <c r="AG116" i="3"/>
  <c r="AL116" i="3" s="1"/>
  <c r="AM116" i="3" s="1"/>
  <c r="V116" i="3"/>
  <c r="AB116" i="3"/>
  <c r="I110" i="3"/>
  <c r="X75" i="3"/>
  <c r="AB75" i="3"/>
  <c r="B38" i="3"/>
  <c r="B36" i="9" s="1"/>
  <c r="X38" i="3"/>
  <c r="AH38" i="3" s="1"/>
  <c r="AI38" i="3" s="1"/>
  <c r="N38" i="3"/>
  <c r="P147" i="3"/>
  <c r="N147" i="3"/>
  <c r="AA147" i="3"/>
  <c r="D147" i="3"/>
  <c r="U154" i="3"/>
  <c r="W154" i="3"/>
  <c r="Y154" i="3"/>
  <c r="Z61" i="3"/>
  <c r="E61" i="3"/>
  <c r="P61" i="3"/>
  <c r="R10" i="3"/>
  <c r="D10" i="3"/>
  <c r="B147" i="1"/>
  <c r="L132" i="3"/>
  <c r="E132" i="3"/>
  <c r="Q132" i="3"/>
  <c r="AA132" i="3"/>
  <c r="E44" i="3"/>
  <c r="P44" i="3"/>
  <c r="AA44" i="3"/>
  <c r="H147" i="3"/>
  <c r="AC153" i="3"/>
  <c r="N153" i="3"/>
  <c r="Z153" i="3"/>
  <c r="AR108" i="3"/>
  <c r="Y108" i="3"/>
  <c r="R126" i="3"/>
  <c r="T126" i="3"/>
  <c r="AN126" i="3" s="1"/>
  <c r="G126" i="3"/>
  <c r="D73" i="3"/>
  <c r="AG73" i="3"/>
  <c r="AJ73" i="3" s="1"/>
  <c r="AK73" i="3" s="1"/>
  <c r="AV22" i="3"/>
  <c r="C20" i="9" s="1"/>
  <c r="H16" i="3"/>
  <c r="B22" i="3"/>
  <c r="B20" i="9" s="1"/>
  <c r="AC139" i="3"/>
  <c r="H133" i="3"/>
  <c r="AR139" i="3"/>
  <c r="G139" i="3"/>
  <c r="Q123" i="3"/>
  <c r="K123" i="3"/>
  <c r="N123" i="3"/>
  <c r="X123" i="3"/>
  <c r="AV94" i="3"/>
  <c r="C92" i="9" s="1"/>
  <c r="B94" i="3"/>
  <c r="B92" i="9" s="1"/>
  <c r="X94" i="3"/>
  <c r="AA35" i="3"/>
  <c r="AV35" i="3"/>
  <c r="C33" i="9" s="1"/>
  <c r="W147" i="1"/>
  <c r="AC107" i="3"/>
  <c r="T107" i="3"/>
  <c r="AN107" i="3" s="1"/>
  <c r="X107" i="3"/>
  <c r="D67" i="3"/>
  <c r="P67" i="3"/>
  <c r="V64" i="3"/>
  <c r="R64" i="3"/>
  <c r="L61" i="3"/>
  <c r="Z10" i="3"/>
  <c r="E10" i="3"/>
  <c r="AR132" i="3"/>
  <c r="N132" i="3"/>
  <c r="Y132" i="3"/>
  <c r="A130" i="9"/>
  <c r="N44" i="3"/>
  <c r="X44" i="3"/>
  <c r="A42" i="9"/>
  <c r="R153" i="3"/>
  <c r="L153" i="3"/>
  <c r="X153" i="3"/>
  <c r="AR153" i="3"/>
  <c r="E108" i="3"/>
  <c r="N108" i="3"/>
  <c r="U108" i="3"/>
  <c r="AG108" i="3"/>
  <c r="V126" i="3"/>
  <c r="AB126" i="3"/>
  <c r="P126" i="3"/>
  <c r="E73" i="3"/>
  <c r="H67" i="3"/>
  <c r="E22" i="3"/>
  <c r="Y22" i="3"/>
  <c r="T22" i="3"/>
  <c r="AN22" i="3" s="1"/>
  <c r="T141" i="1"/>
  <c r="AG139" i="3"/>
  <c r="AL139" i="3" s="1"/>
  <c r="AM139" i="3" s="1"/>
  <c r="K139" i="3"/>
  <c r="E139" i="3"/>
  <c r="U123" i="3"/>
  <c r="S123" i="3"/>
  <c r="V123" i="3"/>
  <c r="AG94" i="3"/>
  <c r="AF94" i="3" s="1"/>
  <c r="AS94" i="3" s="1"/>
  <c r="AB94" i="3"/>
  <c r="B35" i="3"/>
  <c r="B33" i="9" s="1"/>
  <c r="AE107" i="3"/>
  <c r="AB107" i="3"/>
  <c r="Z67" i="3"/>
  <c r="E67" i="3"/>
  <c r="F64" i="3"/>
  <c r="H131" i="10"/>
  <c r="K144" i="3"/>
  <c r="AV144" i="3"/>
  <c r="C142" i="9" s="1"/>
  <c r="AC144" i="3"/>
  <c r="X144" i="3"/>
  <c r="I138" i="3"/>
  <c r="AR24" i="3"/>
  <c r="I18" i="3"/>
  <c r="AV24" i="3"/>
  <c r="C22" i="9" s="1"/>
  <c r="J120" i="10"/>
  <c r="H120" i="10"/>
  <c r="P94" i="3"/>
  <c r="T94" i="3"/>
  <c r="AN94" i="3" s="1"/>
  <c r="AO94" i="3" s="1"/>
  <c r="D94" i="3"/>
  <c r="A141" i="2"/>
  <c r="B141" i="1"/>
  <c r="C141" i="1"/>
  <c r="X141" i="1" s="1"/>
  <c r="Y141" i="1" s="1"/>
  <c r="Z141" i="1" s="1"/>
  <c r="D141" i="1" s="1"/>
  <c r="F123" i="3"/>
  <c r="B123" i="3"/>
  <c r="B121" i="9" s="1"/>
  <c r="D123" i="3"/>
  <c r="AG67" i="3"/>
  <c r="AF67" i="3" s="1"/>
  <c r="AD67" i="3"/>
  <c r="AP67" i="3" s="1"/>
  <c r="B67" i="3"/>
  <c r="B65" i="9" s="1"/>
  <c r="X139" i="3"/>
  <c r="V139" i="3"/>
  <c r="I133" i="3"/>
  <c r="U139" i="3"/>
  <c r="A62" i="9"/>
  <c r="Z64" i="3"/>
  <c r="AL64" i="3" s="1"/>
  <c r="AM64" i="3" s="1"/>
  <c r="G64" i="3"/>
  <c r="P35" i="3"/>
  <c r="E35" i="3"/>
  <c r="R35" i="3"/>
  <c r="AD107" i="3"/>
  <c r="AP107" i="3" s="1"/>
  <c r="AQ107" i="3" s="1"/>
  <c r="H101" i="3"/>
  <c r="I101" i="3"/>
  <c r="K154" i="3"/>
  <c r="M154" i="3"/>
  <c r="X154" i="3"/>
  <c r="Q154" i="3"/>
  <c r="B61" i="3"/>
  <c r="B59" i="9" s="1"/>
  <c r="AD61" i="3"/>
  <c r="AP61" i="3" s="1"/>
  <c r="AQ61" i="3" s="1"/>
  <c r="AG61" i="3"/>
  <c r="AF61" i="3" s="1"/>
  <c r="G10" i="3"/>
  <c r="AA10" i="3"/>
  <c r="V10" i="3"/>
  <c r="C147" i="1"/>
  <c r="X147" i="1" s="1"/>
  <c r="Y147" i="1" s="1"/>
  <c r="Z147" i="1" s="1"/>
  <c r="D147" i="1" s="1"/>
  <c r="W141" i="1"/>
  <c r="X132" i="3"/>
  <c r="T132" i="3"/>
  <c r="AN132" i="3" s="1"/>
  <c r="AD132" i="3"/>
  <c r="AP132" i="3" s="1"/>
  <c r="AQ132" i="3" s="1"/>
  <c r="R132" i="3"/>
  <c r="T44" i="3"/>
  <c r="AN44" i="3" s="1"/>
  <c r="AD44" i="3"/>
  <c r="AP44" i="3" s="1"/>
  <c r="AQ44" i="3" s="1"/>
  <c r="Y44" i="3"/>
  <c r="I147" i="3"/>
  <c r="AD153" i="3"/>
  <c r="AP153" i="3" s="1"/>
  <c r="AQ153" i="3" s="1"/>
  <c r="E153" i="3"/>
  <c r="W153" i="3"/>
  <c r="G108" i="3"/>
  <c r="P108" i="3"/>
  <c r="F108" i="3"/>
  <c r="K108" i="3"/>
  <c r="AD126" i="3"/>
  <c r="AP126" i="3" s="1"/>
  <c r="AQ126" i="3" s="1"/>
  <c r="D126" i="3"/>
  <c r="AG126" i="3"/>
  <c r="AF126" i="3" s="1"/>
  <c r="AS126" i="3" s="1"/>
  <c r="F73" i="3"/>
  <c r="P73" i="3"/>
  <c r="V22" i="3"/>
  <c r="I16" i="3"/>
  <c r="AR22" i="3"/>
  <c r="M139" i="3"/>
  <c r="AA139" i="3"/>
  <c r="AD139" i="3"/>
  <c r="AP139" i="3" s="1"/>
  <c r="AQ139" i="3" s="1"/>
  <c r="AC123" i="3"/>
  <c r="I117" i="3"/>
  <c r="W123" i="3"/>
  <c r="E94" i="3"/>
  <c r="AG35" i="3"/>
  <c r="AF35" i="3" s="1"/>
  <c r="AB35" i="3"/>
  <c r="G35" i="3"/>
  <c r="F107" i="3"/>
  <c r="Q107" i="3"/>
  <c r="E107" i="3"/>
  <c r="R67" i="3"/>
  <c r="V67" i="3"/>
  <c r="A65" i="9"/>
  <c r="X64" i="3"/>
  <c r="AH64" i="3" s="1"/>
  <c r="AI64" i="3" s="1"/>
  <c r="B64" i="3"/>
  <c r="B62" i="9" s="1"/>
  <c r="R141" i="1"/>
  <c r="Q141" i="1" s="1"/>
  <c r="P141" i="1" s="1"/>
  <c r="O141" i="1" s="1"/>
  <c r="AB30" i="3"/>
  <c r="AG30" i="3"/>
  <c r="AD30" i="3"/>
  <c r="AP30" i="3" s="1"/>
  <c r="AQ30" i="3" s="1"/>
  <c r="A134" i="9"/>
  <c r="E136" i="3"/>
  <c r="H130" i="3"/>
  <c r="X136" i="3"/>
  <c r="V147" i="1"/>
  <c r="T154" i="3"/>
  <c r="V154" i="3"/>
  <c r="AG154" i="3"/>
  <c r="AH154" i="3" s="1"/>
  <c r="AI154" i="3" s="1"/>
  <c r="AA154" i="3"/>
  <c r="T61" i="3"/>
  <c r="AN61" i="3" s="1"/>
  <c r="AV61" i="3"/>
  <c r="C59" i="9" s="1"/>
  <c r="A59" i="9"/>
  <c r="L67" i="3"/>
  <c r="P10" i="3"/>
  <c r="B10" i="3"/>
  <c r="B8" i="9" s="1"/>
  <c r="AD10" i="3"/>
  <c r="AP10" i="3" s="1"/>
  <c r="AQ10" i="3" s="1"/>
  <c r="I126" i="3"/>
  <c r="D132" i="3"/>
  <c r="F132" i="3"/>
  <c r="Z132" i="3"/>
  <c r="AB44" i="3"/>
  <c r="AV44" i="3"/>
  <c r="C42" i="9" s="1"/>
  <c r="AG44" i="3"/>
  <c r="AF44" i="3" s="1"/>
  <c r="S153" i="3"/>
  <c r="B153" i="3"/>
  <c r="B151" i="9" s="1"/>
  <c r="P153" i="3"/>
  <c r="AE153" i="3"/>
  <c r="X108" i="3"/>
  <c r="R108" i="3"/>
  <c r="W108" i="3"/>
  <c r="S108" i="3"/>
  <c r="H120" i="3"/>
  <c r="M126" i="3"/>
  <c r="A124" i="9"/>
  <c r="AV73" i="3"/>
  <c r="C71" i="9" s="1"/>
  <c r="T73" i="3"/>
  <c r="AN73" i="3" s="1"/>
  <c r="X73" i="3"/>
  <c r="F22" i="3"/>
  <c r="R22" i="3"/>
  <c r="D22" i="3"/>
  <c r="Q139" i="3"/>
  <c r="B139" i="3"/>
  <c r="B137" i="9" s="1"/>
  <c r="F139" i="3"/>
  <c r="AG123" i="3"/>
  <c r="AL123" i="3" s="1"/>
  <c r="AM123" i="3" s="1"/>
  <c r="T123" i="3"/>
  <c r="AN123" i="3" s="1"/>
  <c r="AO123" i="3" s="1"/>
  <c r="AE123" i="3"/>
  <c r="H88" i="3"/>
  <c r="Y94" i="3"/>
  <c r="N94" i="3"/>
  <c r="I29" i="3"/>
  <c r="D35" i="3"/>
  <c r="X35" i="3"/>
  <c r="W107" i="3"/>
  <c r="AG107" i="3"/>
  <c r="AF107" i="3" s="1"/>
  <c r="AS107" i="3" s="1"/>
  <c r="N107" i="3"/>
  <c r="K67" i="3"/>
  <c r="F67" i="3"/>
  <c r="AD64" i="3"/>
  <c r="AP64" i="3" s="1"/>
  <c r="AQ64" i="3" s="1"/>
  <c r="H58" i="3"/>
  <c r="T64" i="3"/>
  <c r="AN64" i="3" s="1"/>
  <c r="V93" i="8"/>
  <c r="T93" i="8" s="1"/>
  <c r="I141" i="1"/>
  <c r="G19" i="3"/>
  <c r="D19" i="3"/>
  <c r="A129" i="9"/>
  <c r="AD131" i="3"/>
  <c r="AP131" i="3" s="1"/>
  <c r="AQ131" i="3" s="1"/>
  <c r="B131" i="3"/>
  <c r="B129" i="9" s="1"/>
  <c r="AG131" i="3"/>
  <c r="AF131" i="3" s="1"/>
  <c r="AS131" i="3" s="1"/>
  <c r="A6" i="9"/>
  <c r="V8" i="3"/>
  <c r="K8" i="3"/>
  <c r="AR88" i="3"/>
  <c r="P88" i="3"/>
  <c r="H82" i="3"/>
  <c r="AB78" i="3"/>
  <c r="N78" i="3"/>
  <c r="D78" i="3"/>
  <c r="E147" i="1"/>
  <c r="U147" i="1"/>
  <c r="AC154" i="3"/>
  <c r="AE154" i="3"/>
  <c r="I148" i="3"/>
  <c r="AB61" i="3"/>
  <c r="X10" i="3"/>
  <c r="T10" i="3"/>
  <c r="AN10" i="3" s="1"/>
  <c r="AB132" i="3"/>
  <c r="M132" i="3"/>
  <c r="W132" i="3"/>
  <c r="AR44" i="3"/>
  <c r="F44" i="3"/>
  <c r="AB153" i="3"/>
  <c r="M153" i="3"/>
  <c r="Y153" i="3"/>
  <c r="Z108" i="3"/>
  <c r="B108" i="3"/>
  <c r="B106" i="9" s="1"/>
  <c r="AE108" i="3"/>
  <c r="K126" i="3"/>
  <c r="B73" i="3"/>
  <c r="B71" i="9" s="1"/>
  <c r="AD73" i="3"/>
  <c r="AP73" i="3" s="1"/>
  <c r="AQ73" i="3" s="1"/>
  <c r="G22" i="3"/>
  <c r="Z22" i="3"/>
  <c r="AL22" i="3" s="1"/>
  <c r="AM22" i="3" s="1"/>
  <c r="Y139" i="3"/>
  <c r="L139" i="3"/>
  <c r="W139" i="3"/>
  <c r="R123" i="3"/>
  <c r="AB123" i="3"/>
  <c r="AV123" i="3"/>
  <c r="C121" i="9" s="1"/>
  <c r="K94" i="3"/>
  <c r="R94" i="3"/>
  <c r="V94" i="3"/>
  <c r="Y35" i="3"/>
  <c r="N35" i="3"/>
  <c r="A33" i="9"/>
  <c r="Y107" i="3"/>
  <c r="R107" i="3"/>
  <c r="V107" i="3"/>
  <c r="T67" i="3"/>
  <c r="AN67" i="3" s="1"/>
  <c r="AE67" i="3"/>
  <c r="AV64" i="3"/>
  <c r="C62" i="9" s="1"/>
  <c r="Y64" i="3"/>
  <c r="AB64" i="3"/>
  <c r="AJ64" i="3" s="1"/>
  <c r="AK64" i="3" s="1"/>
  <c r="Q43" i="10"/>
  <c r="AE128" i="3"/>
  <c r="AV128" i="3"/>
  <c r="C126" i="9" s="1"/>
  <c r="R128" i="3"/>
  <c r="J140" i="10"/>
  <c r="H140" i="10"/>
  <c r="F51" i="3"/>
  <c r="T51" i="3"/>
  <c r="AN51" i="3" s="1"/>
  <c r="AO51" i="3" s="1"/>
  <c r="Y51" i="3"/>
  <c r="D43" i="3"/>
  <c r="AG43" i="3"/>
  <c r="AH43" i="3" s="1"/>
  <c r="AI43" i="3" s="1"/>
  <c r="Q110" i="3"/>
  <c r="D110" i="3"/>
  <c r="H104" i="3"/>
  <c r="P110" i="3"/>
  <c r="N56" i="3"/>
  <c r="B56" i="3"/>
  <c r="B54" i="9" s="1"/>
  <c r="S129" i="7"/>
  <c r="AG129" i="7" s="1"/>
  <c r="O107" i="3"/>
  <c r="O75" i="3"/>
  <c r="V85" i="8"/>
  <c r="T85" i="8" s="1"/>
  <c r="H135" i="10"/>
  <c r="Q33" i="10"/>
  <c r="Q44" i="10"/>
  <c r="O175" i="10"/>
  <c r="J158" i="10"/>
  <c r="H115" i="10"/>
  <c r="Q171" i="10"/>
  <c r="H118" i="10"/>
  <c r="J150" i="10"/>
  <c r="Q36" i="10"/>
  <c r="S127" i="7"/>
  <c r="L127" i="3" s="1"/>
  <c r="V64" i="8"/>
  <c r="T64" i="8" s="1"/>
  <c r="S125" i="7"/>
  <c r="L125" i="3" s="1"/>
  <c r="V94" i="8"/>
  <c r="T94" i="8" s="1"/>
  <c r="H160" i="10"/>
  <c r="Q29" i="10"/>
  <c r="S124" i="7"/>
  <c r="Z124" i="7" s="1"/>
  <c r="K130" i="7"/>
  <c r="L130" i="7" s="1"/>
  <c r="T131" i="1"/>
  <c r="S130" i="7"/>
  <c r="L130" i="3" s="1"/>
  <c r="H125" i="10"/>
  <c r="J77" i="10"/>
  <c r="H142" i="10"/>
  <c r="H159" i="10"/>
  <c r="Q34" i="10"/>
  <c r="Q42" i="10"/>
  <c r="Q40" i="10"/>
  <c r="K126" i="7"/>
  <c r="L126" i="7" s="1"/>
  <c r="T127" i="1"/>
  <c r="S126" i="7"/>
  <c r="L126" i="3" s="1"/>
  <c r="S123" i="7"/>
  <c r="L123" i="3" s="1"/>
  <c r="V126" i="8"/>
  <c r="T126" i="8" s="1"/>
  <c r="H149" i="10"/>
  <c r="H8" i="10"/>
  <c r="V124" i="8"/>
  <c r="T124" i="8" s="1"/>
  <c r="J8" i="10"/>
  <c r="H146" i="10"/>
  <c r="H156" i="10"/>
  <c r="B29" i="3"/>
  <c r="B27" i="9" s="1"/>
  <c r="L106" i="3"/>
  <c r="R143" i="3"/>
  <c r="E106" i="3"/>
  <c r="M98" i="3"/>
  <c r="AR58" i="3"/>
  <c r="F129" i="3"/>
  <c r="Q129" i="3"/>
  <c r="I62" i="3"/>
  <c r="K60" i="3"/>
  <c r="AB97" i="3"/>
  <c r="T89" i="3"/>
  <c r="AN89" i="3" s="1"/>
  <c r="AV25" i="3"/>
  <c r="C23" i="9" s="1"/>
  <c r="R99" i="3"/>
  <c r="T29" i="3"/>
  <c r="Z143" i="3"/>
  <c r="V106" i="3"/>
  <c r="AC98" i="3"/>
  <c r="D58" i="3"/>
  <c r="K129" i="3"/>
  <c r="Y129" i="3"/>
  <c r="AG68" i="3"/>
  <c r="AA60" i="3"/>
  <c r="N97" i="3"/>
  <c r="E89" i="3"/>
  <c r="F25" i="3"/>
  <c r="B99" i="3"/>
  <c r="B97" i="9" s="1"/>
  <c r="X106" i="3"/>
  <c r="AV98" i="3"/>
  <c r="C96" i="9" s="1"/>
  <c r="S129" i="3"/>
  <c r="R129" i="3"/>
  <c r="Z68" i="3"/>
  <c r="T60" i="3"/>
  <c r="AN60" i="3" s="1"/>
  <c r="P97" i="3"/>
  <c r="G89" i="3"/>
  <c r="P25" i="3"/>
  <c r="E99" i="3"/>
  <c r="E29" i="3"/>
  <c r="L60" i="3"/>
  <c r="L89" i="3"/>
  <c r="S143" i="3"/>
  <c r="Z106" i="3"/>
  <c r="AG98" i="3"/>
  <c r="AF98" i="3" s="1"/>
  <c r="AV58" i="3"/>
  <c r="C56" i="9" s="1"/>
  <c r="W129" i="3"/>
  <c r="Z129" i="3"/>
  <c r="K68" i="3"/>
  <c r="AB60" i="3"/>
  <c r="R97" i="3"/>
  <c r="X89" i="3"/>
  <c r="X25" i="3"/>
  <c r="V99" i="3"/>
  <c r="R131" i="1"/>
  <c r="Q131" i="1" s="1"/>
  <c r="P131" i="1" s="1"/>
  <c r="O131" i="1" s="1"/>
  <c r="N131" i="1" s="1"/>
  <c r="M131" i="1" s="1"/>
  <c r="N29" i="3"/>
  <c r="AA143" i="3"/>
  <c r="H100" i="3"/>
  <c r="D98" i="3"/>
  <c r="E58" i="3"/>
  <c r="H123" i="3"/>
  <c r="A127" i="9"/>
  <c r="B68" i="3"/>
  <c r="B66" i="9" s="1"/>
  <c r="AR60" i="3"/>
  <c r="H91" i="3"/>
  <c r="I83" i="3"/>
  <c r="H19" i="3"/>
  <c r="G99" i="3"/>
  <c r="H147" i="10"/>
  <c r="V29" i="3"/>
  <c r="L29" i="3"/>
  <c r="M143" i="3"/>
  <c r="I137" i="3"/>
  <c r="AB106" i="3"/>
  <c r="E98" i="3"/>
  <c r="N58" i="3"/>
  <c r="AA129" i="3"/>
  <c r="T68" i="3"/>
  <c r="AN68" i="3" s="1"/>
  <c r="H54" i="3"/>
  <c r="K97" i="3"/>
  <c r="Z89" i="3"/>
  <c r="Y25" i="3"/>
  <c r="X99" i="3"/>
  <c r="Q41" i="10"/>
  <c r="H143" i="10"/>
  <c r="I123" i="3"/>
  <c r="AB68" i="3"/>
  <c r="D60" i="3"/>
  <c r="H83" i="3"/>
  <c r="AG99" i="3"/>
  <c r="AF99" i="3" s="1"/>
  <c r="B357" i="2"/>
  <c r="Q143" i="3"/>
  <c r="J352" i="2"/>
  <c r="C357" i="2"/>
  <c r="I357" i="2" s="1"/>
  <c r="AV29" i="3"/>
  <c r="C27" i="9" s="1"/>
  <c r="U143" i="3"/>
  <c r="L143" i="3"/>
  <c r="N106" i="3"/>
  <c r="V98" i="3"/>
  <c r="AD58" i="3"/>
  <c r="AP58" i="3" s="1"/>
  <c r="AQ58" i="3" s="1"/>
  <c r="B129" i="3"/>
  <c r="B127" i="9" s="1"/>
  <c r="AR68" i="3"/>
  <c r="A58" i="9"/>
  <c r="D97" i="3"/>
  <c r="K89" i="3"/>
  <c r="A23" i="9"/>
  <c r="H93" i="3"/>
  <c r="H138" i="10"/>
  <c r="H136" i="10"/>
  <c r="V63" i="8"/>
  <c r="T63" i="8" s="1"/>
  <c r="F29" i="3"/>
  <c r="Y143" i="3"/>
  <c r="T143" i="3"/>
  <c r="AN143" i="3" s="1"/>
  <c r="AD106" i="3"/>
  <c r="AP106" i="3" s="1"/>
  <c r="AQ106" i="3" s="1"/>
  <c r="AD98" i="3"/>
  <c r="AP98" i="3" s="1"/>
  <c r="AQ98" i="3" s="1"/>
  <c r="F58" i="3"/>
  <c r="A66" i="9"/>
  <c r="AC97" i="3"/>
  <c r="AA89" i="3"/>
  <c r="K99" i="3"/>
  <c r="G29" i="3"/>
  <c r="W97" i="3"/>
  <c r="A141" i="9"/>
  <c r="T129" i="3"/>
  <c r="AN129" i="3" s="1"/>
  <c r="AR143" i="3"/>
  <c r="AB129" i="3"/>
  <c r="P29" i="3"/>
  <c r="AE106" i="3"/>
  <c r="I19" i="3"/>
  <c r="AE99" i="3"/>
  <c r="H23" i="3"/>
  <c r="AG106" i="3"/>
  <c r="AH106" i="3" s="1"/>
  <c r="AI106" i="3" s="1"/>
  <c r="E68" i="3"/>
  <c r="AV97" i="3"/>
  <c r="C95" i="9" s="1"/>
  <c r="R25" i="3"/>
  <c r="J180" i="2"/>
  <c r="K106" i="3"/>
  <c r="Z98" i="3"/>
  <c r="K25" i="3"/>
  <c r="A97" i="9"/>
  <c r="V143" i="3"/>
  <c r="I100" i="3"/>
  <c r="I92" i="3"/>
  <c r="R58" i="3"/>
  <c r="U129" i="3"/>
  <c r="V68" i="3"/>
  <c r="E60" i="3"/>
  <c r="AG97" i="3"/>
  <c r="AF97" i="3" s="1"/>
  <c r="AV89" i="3"/>
  <c r="C87" i="9" s="1"/>
  <c r="AA25" i="3"/>
  <c r="G58" i="3"/>
  <c r="D99" i="3"/>
  <c r="N143" i="3"/>
  <c r="M129" i="3"/>
  <c r="N68" i="3"/>
  <c r="AE89" i="3"/>
  <c r="C314" i="2"/>
  <c r="I314" i="2" s="1"/>
  <c r="C306" i="2"/>
  <c r="D306" i="2" s="1"/>
  <c r="A27" i="9"/>
  <c r="AD143" i="3"/>
  <c r="AP143" i="3" s="1"/>
  <c r="AQ143" i="3" s="1"/>
  <c r="D106" i="3"/>
  <c r="B98" i="3"/>
  <c r="B96" i="9" s="1"/>
  <c r="Z58" i="3"/>
  <c r="AC129" i="3"/>
  <c r="AD68" i="3"/>
  <c r="AP68" i="3" s="1"/>
  <c r="AQ68" i="3" s="1"/>
  <c r="F60" i="3"/>
  <c r="B97" i="3"/>
  <c r="B95" i="9" s="1"/>
  <c r="A95" i="9"/>
  <c r="Y89" i="3"/>
  <c r="B25" i="3"/>
  <c r="B23" i="9" s="1"/>
  <c r="Q144" i="3"/>
  <c r="B143" i="3"/>
  <c r="B141" i="9" s="1"/>
  <c r="N60" i="3"/>
  <c r="F99" i="3"/>
  <c r="D143" i="3"/>
  <c r="X58" i="3"/>
  <c r="D68" i="3"/>
  <c r="AV99" i="3"/>
  <c r="C97" i="9" s="1"/>
  <c r="Y97" i="3"/>
  <c r="B302" i="2"/>
  <c r="F143" i="3"/>
  <c r="M106" i="3"/>
  <c r="T98" i="3"/>
  <c r="AN98" i="3" s="1"/>
  <c r="H52" i="3"/>
  <c r="E129" i="3"/>
  <c r="F68" i="3"/>
  <c r="G60" i="3"/>
  <c r="T97" i="3"/>
  <c r="AR89" i="3"/>
  <c r="AG89" i="3"/>
  <c r="T25" i="3"/>
  <c r="Y144" i="3"/>
  <c r="Z99" i="3"/>
  <c r="AD29" i="3"/>
  <c r="AP29" i="3" s="1"/>
  <c r="AQ29" i="3" s="1"/>
  <c r="N98" i="3"/>
  <c r="V58" i="3"/>
  <c r="AC89" i="3"/>
  <c r="X29" i="3"/>
  <c r="X98" i="3"/>
  <c r="E143" i="3"/>
  <c r="D129" i="3"/>
  <c r="AV60" i="3"/>
  <c r="C58" i="9" s="1"/>
  <c r="AG29" i="3"/>
  <c r="AF29" i="3" s="1"/>
  <c r="C302" i="2"/>
  <c r="D302" i="2" s="1"/>
  <c r="W143" i="3"/>
  <c r="A104" i="9"/>
  <c r="AB98" i="3"/>
  <c r="K58" i="3"/>
  <c r="N129" i="3"/>
  <c r="AE68" i="3"/>
  <c r="P60" i="3"/>
  <c r="E97" i="3"/>
  <c r="AB89" i="3"/>
  <c r="A87" i="9"/>
  <c r="AB25" i="3"/>
  <c r="AG144" i="3"/>
  <c r="AL144" i="3" s="1"/>
  <c r="AM144" i="3" s="1"/>
  <c r="I93" i="3"/>
  <c r="Q37" i="10"/>
  <c r="J131" i="1"/>
  <c r="P58" i="3"/>
  <c r="V60" i="3"/>
  <c r="AD60" i="3"/>
  <c r="AP60" i="3" s="1"/>
  <c r="AQ60" i="3" s="1"/>
  <c r="R98" i="3"/>
  <c r="Y58" i="3"/>
  <c r="W89" i="3"/>
  <c r="J334" i="2"/>
  <c r="Y29" i="3"/>
  <c r="AG58" i="3"/>
  <c r="AJ58" i="3" s="1"/>
  <c r="AK58" i="3" s="1"/>
  <c r="I54" i="3"/>
  <c r="I23" i="3"/>
  <c r="B176" i="2"/>
  <c r="AE143" i="3"/>
  <c r="W98" i="3"/>
  <c r="AR98" i="3"/>
  <c r="AA58" i="3"/>
  <c r="V129" i="3"/>
  <c r="AV68" i="3"/>
  <c r="C66" i="9" s="1"/>
  <c r="X60" i="3"/>
  <c r="V97" i="3"/>
  <c r="N89" i="3"/>
  <c r="D25" i="3"/>
  <c r="R144" i="3"/>
  <c r="AB99" i="3"/>
  <c r="AG25" i="3"/>
  <c r="AF25" i="3" s="1"/>
  <c r="AC143" i="3"/>
  <c r="D89" i="3"/>
  <c r="AG143" i="3"/>
  <c r="AH143" i="3" s="1"/>
  <c r="AI143" i="3" s="1"/>
  <c r="P98" i="3"/>
  <c r="Z25" i="3"/>
  <c r="AE97" i="3"/>
  <c r="AR106" i="3"/>
  <c r="B352" i="2"/>
  <c r="G98" i="3"/>
  <c r="AR129" i="3"/>
  <c r="R29" i="3"/>
  <c r="C176" i="2"/>
  <c r="D176" i="2" s="1"/>
  <c r="AV143" i="3"/>
  <c r="C141" i="9" s="1"/>
  <c r="F98" i="3"/>
  <c r="I52" i="3"/>
  <c r="G97" i="3"/>
  <c r="AD89" i="3"/>
  <c r="AP89" i="3" s="1"/>
  <c r="AQ89" i="3" s="1"/>
  <c r="Z29" i="3"/>
  <c r="G143" i="3"/>
  <c r="R106" i="3"/>
  <c r="Y98" i="3"/>
  <c r="B58" i="3"/>
  <c r="B56" i="9" s="1"/>
  <c r="G129" i="3"/>
  <c r="G68" i="3"/>
  <c r="AG60" i="3"/>
  <c r="AL60" i="3" s="1"/>
  <c r="AM60" i="3" s="1"/>
  <c r="X97" i="3"/>
  <c r="P89" i="3"/>
  <c r="N25" i="3"/>
  <c r="N99" i="3"/>
  <c r="AA97" i="3"/>
  <c r="AB143" i="3"/>
  <c r="F106" i="3"/>
  <c r="F97" i="3"/>
  <c r="AV106" i="3"/>
  <c r="C104" i="9" s="1"/>
  <c r="F89" i="3"/>
  <c r="P106" i="3"/>
  <c r="A96" i="9"/>
  <c r="AD129" i="3"/>
  <c r="AP129" i="3" s="1"/>
  <c r="AQ129" i="3" s="1"/>
  <c r="H62" i="3"/>
  <c r="Y60" i="3"/>
  <c r="E25" i="3"/>
  <c r="AR99" i="3"/>
  <c r="L58" i="3"/>
  <c r="L25" i="3"/>
  <c r="J170" i="2"/>
  <c r="I138" i="1"/>
  <c r="B181" i="2"/>
  <c r="B131" i="2"/>
  <c r="U128" i="3"/>
  <c r="C320" i="2"/>
  <c r="D320" i="2" s="1"/>
  <c r="J351" i="2"/>
  <c r="B192" i="2"/>
  <c r="AC128" i="3"/>
  <c r="H126" i="10"/>
  <c r="B351" i="2"/>
  <c r="E128" i="3"/>
  <c r="C161" i="2"/>
  <c r="I161" i="2" s="1"/>
  <c r="N128" i="3"/>
  <c r="Q46" i="10"/>
  <c r="J138" i="1"/>
  <c r="J131" i="2"/>
  <c r="V128" i="3"/>
  <c r="C181" i="2"/>
  <c r="D181" i="2" s="1"/>
  <c r="AR128" i="3"/>
  <c r="AD128" i="3"/>
  <c r="AP128" i="3" s="1"/>
  <c r="AQ128" i="3" s="1"/>
  <c r="J346" i="2"/>
  <c r="P128" i="3"/>
  <c r="F128" i="3"/>
  <c r="H129" i="10"/>
  <c r="O32" i="10"/>
  <c r="B346" i="2"/>
  <c r="B168" i="2"/>
  <c r="T128" i="3"/>
  <c r="AN128" i="3" s="1"/>
  <c r="W128" i="3"/>
  <c r="Q49" i="10"/>
  <c r="X128" i="3"/>
  <c r="J89" i="1"/>
  <c r="I89" i="1"/>
  <c r="R89" i="1"/>
  <c r="J57" i="1"/>
  <c r="I57" i="1"/>
  <c r="R57" i="1"/>
  <c r="J25" i="1"/>
  <c r="I25" i="1"/>
  <c r="R25" i="1"/>
  <c r="I116" i="1"/>
  <c r="J116" i="1"/>
  <c r="R116" i="1"/>
  <c r="I84" i="1"/>
  <c r="J84" i="1"/>
  <c r="R84" i="1"/>
  <c r="I52" i="1"/>
  <c r="J52" i="1"/>
  <c r="R52" i="1"/>
  <c r="J20" i="1"/>
  <c r="I20" i="1"/>
  <c r="R20" i="1"/>
  <c r="J111" i="1"/>
  <c r="I111" i="1"/>
  <c r="R111" i="1"/>
  <c r="I79" i="1"/>
  <c r="J79" i="1"/>
  <c r="R79" i="1"/>
  <c r="I47" i="1"/>
  <c r="J47" i="1"/>
  <c r="R47" i="1"/>
  <c r="I15" i="1"/>
  <c r="J15" i="1"/>
  <c r="R15" i="1"/>
  <c r="J102" i="1"/>
  <c r="I102" i="1"/>
  <c r="R102" i="1"/>
  <c r="I70" i="1"/>
  <c r="J70" i="1"/>
  <c r="R70" i="1"/>
  <c r="I38" i="1"/>
  <c r="J38" i="1"/>
  <c r="R38" i="1"/>
  <c r="R136" i="1"/>
  <c r="Q136" i="1" s="1"/>
  <c r="P136" i="1" s="1"/>
  <c r="O136" i="1" s="1"/>
  <c r="R153" i="1"/>
  <c r="Q153" i="1" s="1"/>
  <c r="P153" i="1" s="1"/>
  <c r="O153" i="1" s="1"/>
  <c r="J137" i="1"/>
  <c r="J144" i="1"/>
  <c r="I132" i="1"/>
  <c r="J132" i="1"/>
  <c r="J142" i="1"/>
  <c r="I142" i="1"/>
  <c r="J125" i="1"/>
  <c r="J85" i="1"/>
  <c r="I85" i="1"/>
  <c r="R85" i="1"/>
  <c r="I21" i="1"/>
  <c r="J21" i="1"/>
  <c r="R21" i="1"/>
  <c r="I112" i="1"/>
  <c r="J112" i="1"/>
  <c r="R112" i="1"/>
  <c r="I80" i="1"/>
  <c r="J80" i="1"/>
  <c r="R80" i="1"/>
  <c r="I48" i="1"/>
  <c r="J48" i="1"/>
  <c r="R48" i="1"/>
  <c r="I16" i="1"/>
  <c r="J16" i="1"/>
  <c r="R16" i="1"/>
  <c r="J107" i="1"/>
  <c r="I107" i="1"/>
  <c r="R107" i="1"/>
  <c r="I75" i="1"/>
  <c r="J75" i="1"/>
  <c r="R75" i="1"/>
  <c r="I43" i="1"/>
  <c r="J43" i="1"/>
  <c r="R43" i="1"/>
  <c r="I11" i="1"/>
  <c r="J11" i="1"/>
  <c r="R11" i="1"/>
  <c r="I126" i="1"/>
  <c r="J126" i="1"/>
  <c r="R126" i="1"/>
  <c r="I98" i="1"/>
  <c r="J98" i="1"/>
  <c r="R98" i="1"/>
  <c r="Q98" i="1" s="1"/>
  <c r="P98" i="1" s="1"/>
  <c r="O98" i="1" s="1"/>
  <c r="N98" i="1" s="1"/>
  <c r="M98" i="1" s="1"/>
  <c r="I66" i="1"/>
  <c r="J66" i="1"/>
  <c r="R66" i="1"/>
  <c r="Q66" i="1" s="1"/>
  <c r="P66" i="1" s="1"/>
  <c r="O66" i="1" s="1"/>
  <c r="N66" i="1" s="1"/>
  <c r="M66" i="1" s="1"/>
  <c r="I34" i="1"/>
  <c r="J34" i="1"/>
  <c r="R34" i="1"/>
  <c r="R156" i="1"/>
  <c r="Q156" i="1" s="1"/>
  <c r="P156" i="1" s="1"/>
  <c r="O156" i="1" s="1"/>
  <c r="R145" i="1"/>
  <c r="Q145" i="1" s="1"/>
  <c r="P145" i="1" s="1"/>
  <c r="O145" i="1" s="1"/>
  <c r="J136" i="1"/>
  <c r="I137" i="1"/>
  <c r="Q127" i="1"/>
  <c r="P127" i="1" s="1"/>
  <c r="O127" i="1" s="1"/>
  <c r="J117" i="1"/>
  <c r="I117" i="1"/>
  <c r="R117" i="1"/>
  <c r="I113" i="1"/>
  <c r="J113" i="1"/>
  <c r="R113" i="1"/>
  <c r="J81" i="1"/>
  <c r="I81" i="1"/>
  <c r="R81" i="1"/>
  <c r="I49" i="1"/>
  <c r="J49" i="1"/>
  <c r="R49" i="1"/>
  <c r="J17" i="1"/>
  <c r="I17" i="1"/>
  <c r="R17" i="1"/>
  <c r="I108" i="1"/>
  <c r="J108" i="1"/>
  <c r="R108" i="1"/>
  <c r="J76" i="1"/>
  <c r="I76" i="1"/>
  <c r="R76" i="1"/>
  <c r="I44" i="1"/>
  <c r="J44" i="1"/>
  <c r="R44" i="1"/>
  <c r="J12" i="1"/>
  <c r="I12" i="1"/>
  <c r="R12" i="1"/>
  <c r="J103" i="1"/>
  <c r="R103" i="1"/>
  <c r="Q103" i="1" s="1"/>
  <c r="P103" i="1" s="1"/>
  <c r="O103" i="1" s="1"/>
  <c r="N103" i="1" s="1"/>
  <c r="M103" i="1" s="1"/>
  <c r="I71" i="1"/>
  <c r="J71" i="1"/>
  <c r="R71" i="1"/>
  <c r="I39" i="1"/>
  <c r="J39" i="1"/>
  <c r="R39" i="1"/>
  <c r="Q39" i="1" s="1"/>
  <c r="P39" i="1" s="1"/>
  <c r="O39" i="1" s="1"/>
  <c r="N39" i="1" s="1"/>
  <c r="M39" i="1" s="1"/>
  <c r="I7" i="1"/>
  <c r="J7" i="1"/>
  <c r="R7" i="1"/>
  <c r="J122" i="1"/>
  <c r="R122" i="1"/>
  <c r="Q122" i="1" s="1"/>
  <c r="P122" i="1" s="1"/>
  <c r="O122" i="1" s="1"/>
  <c r="I94" i="1"/>
  <c r="J94" i="1"/>
  <c r="R94" i="1"/>
  <c r="I62" i="1"/>
  <c r="J62" i="1"/>
  <c r="R62" i="1"/>
  <c r="I30" i="1"/>
  <c r="J30" i="1"/>
  <c r="R30" i="1"/>
  <c r="R148" i="1"/>
  <c r="Q148" i="1" s="1"/>
  <c r="P148" i="1" s="1"/>
  <c r="O148" i="1" s="1"/>
  <c r="I156" i="1"/>
  <c r="J134" i="1"/>
  <c r="I134" i="1"/>
  <c r="I109" i="1"/>
  <c r="J109" i="1"/>
  <c r="R109" i="1"/>
  <c r="I77" i="1"/>
  <c r="J77" i="1"/>
  <c r="R77" i="1"/>
  <c r="J45" i="1"/>
  <c r="I45" i="1"/>
  <c r="R45" i="1"/>
  <c r="J13" i="1"/>
  <c r="I13" i="1"/>
  <c r="R13" i="1"/>
  <c r="J104" i="1"/>
  <c r="R104" i="1"/>
  <c r="Q104" i="1" s="1"/>
  <c r="P104" i="1" s="1"/>
  <c r="O104" i="1" s="1"/>
  <c r="I72" i="1"/>
  <c r="J72" i="1"/>
  <c r="R72" i="1"/>
  <c r="I40" i="1"/>
  <c r="J40" i="1"/>
  <c r="R40" i="1"/>
  <c r="I8" i="1"/>
  <c r="J8" i="1"/>
  <c r="R8" i="1"/>
  <c r="J99" i="1"/>
  <c r="R99" i="1"/>
  <c r="Q99" i="1" s="1"/>
  <c r="P99" i="1" s="1"/>
  <c r="O99" i="1" s="1"/>
  <c r="N99" i="1" s="1"/>
  <c r="M99" i="1" s="1"/>
  <c r="I67" i="1"/>
  <c r="J67" i="1"/>
  <c r="R67" i="1"/>
  <c r="Q67" i="1" s="1"/>
  <c r="P67" i="1" s="1"/>
  <c r="O67" i="1" s="1"/>
  <c r="N67" i="1" s="1"/>
  <c r="M67" i="1" s="1"/>
  <c r="I35" i="1"/>
  <c r="J35" i="1"/>
  <c r="R35" i="1"/>
  <c r="I90" i="1"/>
  <c r="J90" i="1"/>
  <c r="R90" i="1"/>
  <c r="I58" i="1"/>
  <c r="J58" i="1"/>
  <c r="R58" i="1"/>
  <c r="I26" i="1"/>
  <c r="J26" i="1"/>
  <c r="R26" i="1"/>
  <c r="R140" i="1"/>
  <c r="Q140" i="1" s="1"/>
  <c r="P140" i="1" s="1"/>
  <c r="O140" i="1" s="1"/>
  <c r="R158" i="1"/>
  <c r="Q158" i="1" s="1"/>
  <c r="P158" i="1" s="1"/>
  <c r="O158" i="1" s="1"/>
  <c r="R154" i="1"/>
  <c r="Q154" i="1" s="1"/>
  <c r="P154" i="1" s="1"/>
  <c r="O154" i="1" s="1"/>
  <c r="R152" i="1"/>
  <c r="Q152" i="1" s="1"/>
  <c r="P152" i="1" s="1"/>
  <c r="O152" i="1" s="1"/>
  <c r="I145" i="1"/>
  <c r="I152" i="1"/>
  <c r="I153" i="1"/>
  <c r="J105" i="1"/>
  <c r="I105" i="1"/>
  <c r="R105" i="1"/>
  <c r="J73" i="1"/>
  <c r="I73" i="1"/>
  <c r="R73" i="1"/>
  <c r="J41" i="1"/>
  <c r="I41" i="1"/>
  <c r="R41" i="1"/>
  <c r="J9" i="1"/>
  <c r="I9" i="1"/>
  <c r="R9" i="1"/>
  <c r="J100" i="1"/>
  <c r="I100" i="1"/>
  <c r="R100" i="1"/>
  <c r="I68" i="1"/>
  <c r="J68" i="1"/>
  <c r="R68" i="1"/>
  <c r="I36" i="1"/>
  <c r="J36" i="1"/>
  <c r="R36" i="1"/>
  <c r="I123" i="1"/>
  <c r="J123" i="1"/>
  <c r="R123" i="1"/>
  <c r="I95" i="1"/>
  <c r="J95" i="1"/>
  <c r="R95" i="1"/>
  <c r="I63" i="1"/>
  <c r="J63" i="1"/>
  <c r="R63" i="1"/>
  <c r="I31" i="1"/>
  <c r="J31" i="1"/>
  <c r="R31" i="1"/>
  <c r="I118" i="1"/>
  <c r="J118" i="1"/>
  <c r="R118" i="1"/>
  <c r="I86" i="1"/>
  <c r="J86" i="1"/>
  <c r="R86" i="1"/>
  <c r="I54" i="1"/>
  <c r="J54" i="1"/>
  <c r="R54" i="1"/>
  <c r="I22" i="1"/>
  <c r="J22" i="1"/>
  <c r="R22" i="1"/>
  <c r="I99" i="1"/>
  <c r="I103" i="1"/>
  <c r="R150" i="1"/>
  <c r="Q150" i="1" s="1"/>
  <c r="P150" i="1" s="1"/>
  <c r="O150" i="1" s="1"/>
  <c r="R146" i="1"/>
  <c r="Q146" i="1" s="1"/>
  <c r="P146" i="1" s="1"/>
  <c r="O146" i="1" s="1"/>
  <c r="R144" i="1"/>
  <c r="Q144" i="1" s="1"/>
  <c r="P144" i="1" s="1"/>
  <c r="O144" i="1" s="1"/>
  <c r="I148" i="1"/>
  <c r="J158" i="1"/>
  <c r="Q121" i="1"/>
  <c r="P121" i="1" s="1"/>
  <c r="O121" i="1" s="1"/>
  <c r="I101" i="1"/>
  <c r="J101" i="1"/>
  <c r="R101" i="1"/>
  <c r="J69" i="1"/>
  <c r="I69" i="1"/>
  <c r="R69" i="1"/>
  <c r="I37" i="1"/>
  <c r="J37" i="1"/>
  <c r="R37" i="1"/>
  <c r="I96" i="1"/>
  <c r="J96" i="1"/>
  <c r="R96" i="1"/>
  <c r="I64" i="1"/>
  <c r="J64" i="1"/>
  <c r="R64" i="1"/>
  <c r="I32" i="1"/>
  <c r="J32" i="1"/>
  <c r="R32" i="1"/>
  <c r="I91" i="1"/>
  <c r="J91" i="1"/>
  <c r="R91" i="1"/>
  <c r="I59" i="1"/>
  <c r="J59" i="1"/>
  <c r="R59" i="1"/>
  <c r="I27" i="1"/>
  <c r="J27" i="1"/>
  <c r="R27" i="1"/>
  <c r="I114" i="1"/>
  <c r="J114" i="1"/>
  <c r="R114" i="1"/>
  <c r="I82" i="1"/>
  <c r="J82" i="1"/>
  <c r="R82" i="1"/>
  <c r="I50" i="1"/>
  <c r="J50" i="1"/>
  <c r="R50" i="1"/>
  <c r="I18" i="1"/>
  <c r="J18" i="1"/>
  <c r="R18" i="1"/>
  <c r="R125" i="1"/>
  <c r="Q125" i="1" s="1"/>
  <c r="P125" i="1" s="1"/>
  <c r="O125" i="1" s="1"/>
  <c r="J154" i="1"/>
  <c r="J97" i="1"/>
  <c r="I97" i="1"/>
  <c r="R97" i="1"/>
  <c r="I65" i="1"/>
  <c r="J65" i="1"/>
  <c r="R65" i="1"/>
  <c r="J33" i="1"/>
  <c r="I33" i="1"/>
  <c r="R33" i="1"/>
  <c r="J124" i="1"/>
  <c r="I124" i="1"/>
  <c r="R124" i="1"/>
  <c r="I92" i="1"/>
  <c r="J92" i="1"/>
  <c r="R92" i="1"/>
  <c r="I60" i="1"/>
  <c r="J60" i="1"/>
  <c r="R60" i="1"/>
  <c r="J28" i="1"/>
  <c r="I28" i="1"/>
  <c r="R28" i="1"/>
  <c r="J119" i="1"/>
  <c r="I119" i="1"/>
  <c r="R119" i="1"/>
  <c r="I87" i="1"/>
  <c r="J87" i="1"/>
  <c r="R87" i="1"/>
  <c r="I55" i="1"/>
  <c r="J55" i="1"/>
  <c r="R55" i="1"/>
  <c r="I23" i="1"/>
  <c r="J23" i="1"/>
  <c r="R23" i="1"/>
  <c r="I110" i="1"/>
  <c r="J110" i="1"/>
  <c r="R110" i="1"/>
  <c r="I78" i="1"/>
  <c r="J78" i="1"/>
  <c r="R78" i="1"/>
  <c r="I46" i="1"/>
  <c r="J46" i="1"/>
  <c r="R46" i="1"/>
  <c r="I14" i="1"/>
  <c r="J14" i="1"/>
  <c r="R14" i="1"/>
  <c r="I140" i="1"/>
  <c r="J150" i="1"/>
  <c r="J53" i="1"/>
  <c r="I53" i="1"/>
  <c r="R53" i="1"/>
  <c r="I93" i="1"/>
  <c r="J93" i="1"/>
  <c r="R93" i="1"/>
  <c r="J61" i="1"/>
  <c r="I61" i="1"/>
  <c r="R61" i="1"/>
  <c r="J29" i="1"/>
  <c r="I29" i="1"/>
  <c r="R29" i="1"/>
  <c r="I120" i="1"/>
  <c r="J120" i="1"/>
  <c r="R120" i="1"/>
  <c r="J88" i="1"/>
  <c r="I88" i="1"/>
  <c r="R88" i="1"/>
  <c r="I56" i="1"/>
  <c r="J56" i="1"/>
  <c r="R56" i="1"/>
  <c r="I24" i="1"/>
  <c r="J24" i="1"/>
  <c r="R24" i="1"/>
  <c r="I115" i="1"/>
  <c r="J115" i="1"/>
  <c r="R115" i="1"/>
  <c r="I83" i="1"/>
  <c r="J83" i="1"/>
  <c r="R83" i="1"/>
  <c r="I51" i="1"/>
  <c r="J51" i="1"/>
  <c r="R51" i="1"/>
  <c r="I19" i="1"/>
  <c r="J19" i="1"/>
  <c r="R19" i="1"/>
  <c r="I6" i="1"/>
  <c r="R6" i="1"/>
  <c r="Q6" i="1" s="1"/>
  <c r="P6" i="1" s="1"/>
  <c r="O6" i="1" s="1"/>
  <c r="I106" i="1"/>
  <c r="J106" i="1"/>
  <c r="R106" i="1"/>
  <c r="I74" i="1"/>
  <c r="J74" i="1"/>
  <c r="R74" i="1"/>
  <c r="I42" i="1"/>
  <c r="J42" i="1"/>
  <c r="R42" i="1"/>
  <c r="I10" i="1"/>
  <c r="J10" i="1"/>
  <c r="R10" i="1"/>
  <c r="J146" i="1"/>
  <c r="V128" i="8"/>
  <c r="T128" i="8" s="1"/>
  <c r="V129" i="8"/>
  <c r="T129" i="8" s="1"/>
  <c r="V127" i="8"/>
  <c r="T127" i="8" s="1"/>
  <c r="V130" i="8"/>
  <c r="T130" i="8" s="1"/>
  <c r="AC125" i="8"/>
  <c r="AB125" i="8"/>
  <c r="AA125" i="8"/>
  <c r="Z125" i="8"/>
  <c r="Y125" i="8" s="1"/>
  <c r="X125" i="8" s="1"/>
  <c r="W125" i="8" s="1"/>
  <c r="V125" i="8" s="1"/>
  <c r="T125" i="8" s="1"/>
  <c r="U125" i="8"/>
  <c r="J189" i="2"/>
  <c r="C336" i="2"/>
  <c r="I336" i="2" s="1"/>
  <c r="B322" i="2"/>
  <c r="J336" i="2"/>
  <c r="B189" i="2"/>
  <c r="J166" i="2"/>
  <c r="I130" i="1"/>
  <c r="R130" i="1"/>
  <c r="Q130" i="1" s="1"/>
  <c r="P130" i="1" s="1"/>
  <c r="O130" i="1" s="1"/>
  <c r="N130" i="1" s="1"/>
  <c r="M130" i="1" s="1"/>
  <c r="R129" i="1"/>
  <c r="Q129" i="1" s="1"/>
  <c r="P129" i="1" s="1"/>
  <c r="O129" i="1" s="1"/>
  <c r="J129" i="1"/>
  <c r="Q182" i="1"/>
  <c r="P182" i="1" s="1"/>
  <c r="O182" i="1" s="1"/>
  <c r="Q181" i="1"/>
  <c r="P181" i="1" s="1"/>
  <c r="O181" i="1" s="1"/>
  <c r="Q361" i="1"/>
  <c r="P361" i="1" s="1"/>
  <c r="O361" i="1" s="1"/>
  <c r="Q240" i="1"/>
  <c r="P240" i="1" s="1"/>
  <c r="O240" i="1" s="1"/>
  <c r="Q351" i="1"/>
  <c r="P351" i="1" s="1"/>
  <c r="O351" i="1" s="1"/>
  <c r="Q159" i="1"/>
  <c r="P159" i="1" s="1"/>
  <c r="O159" i="1" s="1"/>
  <c r="Q325" i="1"/>
  <c r="P325" i="1" s="1"/>
  <c r="O325" i="1" s="1"/>
  <c r="Q316" i="1"/>
  <c r="P316" i="1" s="1"/>
  <c r="O316" i="1" s="1"/>
  <c r="Q212" i="1"/>
  <c r="P212" i="1" s="1"/>
  <c r="O212" i="1" s="1"/>
  <c r="Q174" i="1"/>
  <c r="P174" i="1" s="1"/>
  <c r="O174" i="1" s="1"/>
  <c r="Q355" i="1"/>
  <c r="P355" i="1" s="1"/>
  <c r="O355" i="1" s="1"/>
  <c r="Q275" i="1"/>
  <c r="P275" i="1" s="1"/>
  <c r="O275" i="1" s="1"/>
  <c r="Q211" i="1"/>
  <c r="P211" i="1" s="1"/>
  <c r="O211" i="1" s="1"/>
  <c r="Q308" i="1"/>
  <c r="P308" i="1" s="1"/>
  <c r="O308" i="1" s="1"/>
  <c r="Q162" i="1"/>
  <c r="P162" i="1" s="1"/>
  <c r="O162" i="1" s="1"/>
  <c r="Q357" i="1"/>
  <c r="P357" i="1" s="1"/>
  <c r="O357" i="1" s="1"/>
  <c r="Q324" i="1"/>
  <c r="P324" i="1" s="1"/>
  <c r="O324" i="1" s="1"/>
  <c r="Q337" i="1"/>
  <c r="P337" i="1" s="1"/>
  <c r="O337" i="1" s="1"/>
  <c r="Q273" i="1"/>
  <c r="P273" i="1" s="1"/>
  <c r="O273" i="1" s="1"/>
  <c r="Q209" i="1"/>
  <c r="P209" i="1" s="1"/>
  <c r="O209" i="1" s="1"/>
  <c r="Q245" i="1"/>
  <c r="P245" i="1" s="1"/>
  <c r="O245" i="1" s="1"/>
  <c r="Q328" i="1"/>
  <c r="P328" i="1" s="1"/>
  <c r="O328" i="1" s="1"/>
  <c r="Q200" i="1"/>
  <c r="P200" i="1" s="1"/>
  <c r="O200" i="1" s="1"/>
  <c r="Q166" i="1"/>
  <c r="P166" i="1" s="1"/>
  <c r="O166" i="1" s="1"/>
  <c r="Q332" i="1"/>
  <c r="P332" i="1" s="1"/>
  <c r="O332" i="1" s="1"/>
  <c r="Q352" i="1"/>
  <c r="P352" i="1" s="1"/>
  <c r="O352" i="1" s="1"/>
  <c r="Q224" i="1"/>
  <c r="P224" i="1" s="1"/>
  <c r="O224" i="1" s="1"/>
  <c r="Q343" i="1"/>
  <c r="P343" i="1" s="1"/>
  <c r="O343" i="1" s="1"/>
  <c r="Q279" i="1"/>
  <c r="P279" i="1" s="1"/>
  <c r="O279" i="1" s="1"/>
  <c r="Q215" i="1"/>
  <c r="P215" i="1" s="1"/>
  <c r="O215" i="1" s="1"/>
  <c r="Q151" i="1"/>
  <c r="P151" i="1" s="1"/>
  <c r="O151" i="1" s="1"/>
  <c r="Q285" i="1"/>
  <c r="P285" i="1" s="1"/>
  <c r="O285" i="1" s="1"/>
  <c r="Q292" i="1"/>
  <c r="P292" i="1" s="1"/>
  <c r="O292" i="1" s="1"/>
  <c r="Q204" i="1"/>
  <c r="P204" i="1" s="1"/>
  <c r="O204" i="1" s="1"/>
  <c r="Q331" i="1"/>
  <c r="P331" i="1" s="1"/>
  <c r="O331" i="1" s="1"/>
  <c r="Q267" i="1"/>
  <c r="P267" i="1" s="1"/>
  <c r="O267" i="1" s="1"/>
  <c r="Q203" i="1"/>
  <c r="P203" i="1" s="1"/>
  <c r="O203" i="1" s="1"/>
  <c r="Q354" i="1"/>
  <c r="P354" i="1" s="1"/>
  <c r="O354" i="1" s="1"/>
  <c r="Q218" i="1"/>
  <c r="P218" i="1" s="1"/>
  <c r="O218" i="1" s="1"/>
  <c r="Q309" i="1"/>
  <c r="P309" i="1" s="1"/>
  <c r="O309" i="1" s="1"/>
  <c r="Q276" i="1"/>
  <c r="P276" i="1" s="1"/>
  <c r="O276" i="1" s="1"/>
  <c r="Q329" i="1"/>
  <c r="P329" i="1" s="1"/>
  <c r="O329" i="1" s="1"/>
  <c r="Q265" i="1"/>
  <c r="P265" i="1" s="1"/>
  <c r="O265" i="1" s="1"/>
  <c r="Q201" i="1"/>
  <c r="P201" i="1" s="1"/>
  <c r="O201" i="1" s="1"/>
  <c r="Q137" i="1"/>
  <c r="P137" i="1" s="1"/>
  <c r="O137" i="1" s="1"/>
  <c r="Q205" i="1"/>
  <c r="P205" i="1" s="1"/>
  <c r="O205" i="1" s="1"/>
  <c r="Q312" i="1"/>
  <c r="P312" i="1" s="1"/>
  <c r="O312" i="1" s="1"/>
  <c r="Q184" i="1"/>
  <c r="P184" i="1" s="1"/>
  <c r="O184" i="1" s="1"/>
  <c r="Q300" i="1"/>
  <c r="P300" i="1" s="1"/>
  <c r="O300" i="1" s="1"/>
  <c r="Q336" i="1"/>
  <c r="P336" i="1" s="1"/>
  <c r="O336" i="1" s="1"/>
  <c r="Q208" i="1"/>
  <c r="P208" i="1" s="1"/>
  <c r="O208" i="1" s="1"/>
  <c r="Q335" i="1"/>
  <c r="P335" i="1" s="1"/>
  <c r="O335" i="1" s="1"/>
  <c r="Q271" i="1"/>
  <c r="P271" i="1" s="1"/>
  <c r="O271" i="1" s="1"/>
  <c r="Q207" i="1"/>
  <c r="P207" i="1" s="1"/>
  <c r="O207" i="1" s="1"/>
  <c r="Q143" i="1"/>
  <c r="P143" i="1" s="1"/>
  <c r="O143" i="1" s="1"/>
  <c r="Q253" i="1"/>
  <c r="P253" i="1" s="1"/>
  <c r="O253" i="1" s="1"/>
  <c r="Q260" i="1"/>
  <c r="P260" i="1" s="1"/>
  <c r="O260" i="1" s="1"/>
  <c r="Q196" i="1"/>
  <c r="P196" i="1" s="1"/>
  <c r="O196" i="1" s="1"/>
  <c r="Q132" i="1"/>
  <c r="P132" i="1" s="1"/>
  <c r="O132" i="1" s="1"/>
  <c r="Q142" i="1"/>
  <c r="P142" i="1" s="1"/>
  <c r="O142" i="1" s="1"/>
  <c r="Q259" i="1"/>
  <c r="P259" i="1" s="1"/>
  <c r="O259" i="1" s="1"/>
  <c r="Q322" i="1"/>
  <c r="P322" i="1" s="1"/>
  <c r="O322" i="1" s="1"/>
  <c r="Q210" i="1"/>
  <c r="P210" i="1" s="1"/>
  <c r="O210" i="1" s="1"/>
  <c r="Q269" i="1"/>
  <c r="P269" i="1" s="1"/>
  <c r="O269" i="1" s="1"/>
  <c r="Q347" i="1"/>
  <c r="P347" i="1" s="1"/>
  <c r="O347" i="1" s="1"/>
  <c r="Q321" i="1"/>
  <c r="P321" i="1" s="1"/>
  <c r="O321" i="1" s="1"/>
  <c r="Q257" i="1"/>
  <c r="P257" i="1" s="1"/>
  <c r="O257" i="1" s="1"/>
  <c r="Q193" i="1"/>
  <c r="P193" i="1" s="1"/>
  <c r="O193" i="1" s="1"/>
  <c r="Q157" i="1"/>
  <c r="P157" i="1" s="1"/>
  <c r="O157" i="1" s="1"/>
  <c r="Q296" i="1"/>
  <c r="P296" i="1" s="1"/>
  <c r="O296" i="1" s="1"/>
  <c r="Q168" i="1"/>
  <c r="P168" i="1" s="1"/>
  <c r="O168" i="1" s="1"/>
  <c r="Q134" i="1"/>
  <c r="P134" i="1" s="1"/>
  <c r="O134" i="1" s="1"/>
  <c r="Q268" i="1"/>
  <c r="P268" i="1" s="1"/>
  <c r="O268" i="1" s="1"/>
  <c r="Q320" i="1"/>
  <c r="P320" i="1" s="1"/>
  <c r="O320" i="1" s="1"/>
  <c r="Q192" i="1"/>
  <c r="P192" i="1" s="1"/>
  <c r="O192" i="1" s="1"/>
  <c r="Q135" i="1"/>
  <c r="P135" i="1" s="1"/>
  <c r="O135" i="1" s="1"/>
  <c r="Q221" i="1"/>
  <c r="P221" i="1" s="1"/>
  <c r="O221" i="1" s="1"/>
  <c r="Q252" i="1"/>
  <c r="P252" i="1" s="1"/>
  <c r="O252" i="1" s="1"/>
  <c r="Q188" i="1"/>
  <c r="P188" i="1" s="1"/>
  <c r="O188" i="1" s="1"/>
  <c r="Q358" i="1"/>
  <c r="P358" i="1" s="1"/>
  <c r="O358" i="1" s="1"/>
  <c r="Q349" i="1"/>
  <c r="P349" i="1" s="1"/>
  <c r="O349" i="1" s="1"/>
  <c r="Q315" i="1"/>
  <c r="P315" i="1" s="1"/>
  <c r="O315" i="1" s="1"/>
  <c r="Q251" i="1"/>
  <c r="P251" i="1" s="1"/>
  <c r="O251" i="1" s="1"/>
  <c r="Q187" i="1"/>
  <c r="P187" i="1" s="1"/>
  <c r="O187" i="1" s="1"/>
  <c r="Q342" i="1"/>
  <c r="P342" i="1" s="1"/>
  <c r="O342" i="1" s="1"/>
  <c r="Q290" i="1"/>
  <c r="P290" i="1" s="1"/>
  <c r="O290" i="1" s="1"/>
  <c r="Q202" i="1"/>
  <c r="P202" i="1" s="1"/>
  <c r="O202" i="1" s="1"/>
  <c r="Q138" i="1"/>
  <c r="P138" i="1" s="1"/>
  <c r="O138" i="1" s="1"/>
  <c r="Q229" i="1"/>
  <c r="P229" i="1" s="1"/>
  <c r="O229" i="1" s="1"/>
  <c r="Q346" i="1"/>
  <c r="P346" i="1" s="1"/>
  <c r="O346" i="1" s="1"/>
  <c r="Q313" i="1"/>
  <c r="P313" i="1" s="1"/>
  <c r="O313" i="1" s="1"/>
  <c r="Q249" i="1"/>
  <c r="P249" i="1" s="1"/>
  <c r="O249" i="1" s="1"/>
  <c r="Q185" i="1"/>
  <c r="P185" i="1" s="1"/>
  <c r="O185" i="1" s="1"/>
  <c r="Q350" i="1"/>
  <c r="P350" i="1" s="1"/>
  <c r="O350" i="1" s="1"/>
  <c r="Q330" i="1"/>
  <c r="P330" i="1" s="1"/>
  <c r="O330" i="1" s="1"/>
  <c r="Q280" i="1"/>
  <c r="P280" i="1" s="1"/>
  <c r="O280" i="1" s="1"/>
  <c r="Q326" i="1"/>
  <c r="P326" i="1" s="1"/>
  <c r="O326" i="1" s="1"/>
  <c r="Q333" i="1"/>
  <c r="P333" i="1" s="1"/>
  <c r="O333" i="1" s="1"/>
  <c r="Q339" i="1"/>
  <c r="P339" i="1" s="1"/>
  <c r="O339" i="1" s="1"/>
  <c r="Q304" i="1"/>
  <c r="P304" i="1" s="1"/>
  <c r="O304" i="1" s="1"/>
  <c r="Q176" i="1"/>
  <c r="P176" i="1" s="1"/>
  <c r="O176" i="1" s="1"/>
  <c r="Q319" i="1"/>
  <c r="P319" i="1" s="1"/>
  <c r="O319" i="1" s="1"/>
  <c r="Q255" i="1"/>
  <c r="P255" i="1" s="1"/>
  <c r="O255" i="1" s="1"/>
  <c r="Q191" i="1"/>
  <c r="P191" i="1" s="1"/>
  <c r="O191" i="1" s="1"/>
  <c r="Q318" i="1"/>
  <c r="P318" i="1" s="1"/>
  <c r="O318" i="1" s="1"/>
  <c r="Q189" i="1"/>
  <c r="P189" i="1" s="1"/>
  <c r="O189" i="1" s="1"/>
  <c r="Q244" i="1"/>
  <c r="P244" i="1" s="1"/>
  <c r="O244" i="1" s="1"/>
  <c r="Q180" i="1"/>
  <c r="P180" i="1" s="1"/>
  <c r="O180" i="1" s="1"/>
  <c r="Q302" i="1"/>
  <c r="P302" i="1" s="1"/>
  <c r="O302" i="1" s="1"/>
  <c r="Q301" i="1"/>
  <c r="P301" i="1" s="1"/>
  <c r="O301" i="1" s="1"/>
  <c r="Q179" i="1"/>
  <c r="P179" i="1" s="1"/>
  <c r="O179" i="1" s="1"/>
  <c r="Q294" i="1"/>
  <c r="P294" i="1" s="1"/>
  <c r="O294" i="1" s="1"/>
  <c r="Q258" i="1"/>
  <c r="P258" i="1" s="1"/>
  <c r="O258" i="1" s="1"/>
  <c r="Q194" i="1"/>
  <c r="P194" i="1" s="1"/>
  <c r="O194" i="1" s="1"/>
  <c r="Q197" i="1"/>
  <c r="P197" i="1" s="1"/>
  <c r="O197" i="1" s="1"/>
  <c r="Q314" i="1"/>
  <c r="P314" i="1" s="1"/>
  <c r="O314" i="1" s="1"/>
  <c r="Q305" i="1"/>
  <c r="P305" i="1" s="1"/>
  <c r="O305" i="1" s="1"/>
  <c r="Q241" i="1"/>
  <c r="P241" i="1" s="1"/>
  <c r="O241" i="1" s="1"/>
  <c r="Q177" i="1"/>
  <c r="P177" i="1" s="1"/>
  <c r="O177" i="1" s="1"/>
  <c r="Q310" i="1"/>
  <c r="P310" i="1" s="1"/>
  <c r="O310" i="1" s="1"/>
  <c r="Q298" i="1"/>
  <c r="P298" i="1" s="1"/>
  <c r="O298" i="1" s="1"/>
  <c r="Q264" i="1"/>
  <c r="P264" i="1" s="1"/>
  <c r="O264" i="1" s="1"/>
  <c r="Q270" i="1"/>
  <c r="P270" i="1" s="1"/>
  <c r="O270" i="1" s="1"/>
  <c r="Q338" i="1"/>
  <c r="P338" i="1" s="1"/>
  <c r="O338" i="1" s="1"/>
  <c r="Q288" i="1"/>
  <c r="P288" i="1" s="1"/>
  <c r="O288" i="1" s="1"/>
  <c r="Q160" i="1"/>
  <c r="P160" i="1" s="1"/>
  <c r="O160" i="1" s="1"/>
  <c r="Q311" i="1"/>
  <c r="P311" i="1" s="1"/>
  <c r="O311" i="1" s="1"/>
  <c r="Q247" i="1"/>
  <c r="P247" i="1" s="1"/>
  <c r="O247" i="1" s="1"/>
  <c r="Q183" i="1"/>
  <c r="P183" i="1" s="1"/>
  <c r="O183" i="1" s="1"/>
  <c r="Q278" i="1"/>
  <c r="P278" i="1" s="1"/>
  <c r="O278" i="1" s="1"/>
  <c r="Q165" i="1"/>
  <c r="P165" i="1" s="1"/>
  <c r="O165" i="1" s="1"/>
  <c r="Q236" i="1"/>
  <c r="P236" i="1" s="1"/>
  <c r="O236" i="1" s="1"/>
  <c r="Q172" i="1"/>
  <c r="P172" i="1" s="1"/>
  <c r="O172" i="1" s="1"/>
  <c r="Q262" i="1"/>
  <c r="P262" i="1" s="1"/>
  <c r="O262" i="1" s="1"/>
  <c r="Q261" i="1"/>
  <c r="P261" i="1" s="1"/>
  <c r="O261" i="1" s="1"/>
  <c r="Q299" i="1"/>
  <c r="P299" i="1" s="1"/>
  <c r="O299" i="1" s="1"/>
  <c r="Q235" i="1"/>
  <c r="P235" i="1" s="1"/>
  <c r="O235" i="1" s="1"/>
  <c r="Q171" i="1"/>
  <c r="P171" i="1" s="1"/>
  <c r="O171" i="1" s="1"/>
  <c r="Q222" i="1"/>
  <c r="P222" i="1" s="1"/>
  <c r="O222" i="1" s="1"/>
  <c r="Q250" i="1"/>
  <c r="P250" i="1" s="1"/>
  <c r="O250" i="1" s="1"/>
  <c r="Q186" i="1"/>
  <c r="P186" i="1" s="1"/>
  <c r="O186" i="1" s="1"/>
  <c r="Q334" i="1"/>
  <c r="P334" i="1" s="1"/>
  <c r="O334" i="1" s="1"/>
  <c r="Q173" i="1"/>
  <c r="P173" i="1" s="1"/>
  <c r="O173" i="1" s="1"/>
  <c r="Q274" i="1"/>
  <c r="P274" i="1" s="1"/>
  <c r="O274" i="1" s="1"/>
  <c r="Q297" i="1"/>
  <c r="P297" i="1" s="1"/>
  <c r="O297" i="1" s="1"/>
  <c r="Q233" i="1"/>
  <c r="P233" i="1" s="1"/>
  <c r="O233" i="1" s="1"/>
  <c r="Q169" i="1"/>
  <c r="P169" i="1" s="1"/>
  <c r="O169" i="1" s="1"/>
  <c r="Q254" i="1"/>
  <c r="P254" i="1" s="1"/>
  <c r="O254" i="1" s="1"/>
  <c r="Q266" i="1"/>
  <c r="P266" i="1" s="1"/>
  <c r="O266" i="1" s="1"/>
  <c r="Q248" i="1"/>
  <c r="P248" i="1" s="1"/>
  <c r="O248" i="1" s="1"/>
  <c r="I128" i="1"/>
  <c r="J128" i="1"/>
  <c r="R128" i="1"/>
  <c r="Q246" i="1"/>
  <c r="P246" i="1" s="1"/>
  <c r="O246" i="1" s="1"/>
  <c r="Q237" i="1"/>
  <c r="P237" i="1" s="1"/>
  <c r="O237" i="1" s="1"/>
  <c r="Q306" i="1"/>
  <c r="P306" i="1" s="1"/>
  <c r="O306" i="1" s="1"/>
  <c r="Q272" i="1"/>
  <c r="P272" i="1" s="1"/>
  <c r="O272" i="1" s="1"/>
  <c r="Q303" i="1"/>
  <c r="P303" i="1" s="1"/>
  <c r="O303" i="1" s="1"/>
  <c r="Q239" i="1"/>
  <c r="P239" i="1" s="1"/>
  <c r="O239" i="1" s="1"/>
  <c r="Q175" i="1"/>
  <c r="P175" i="1" s="1"/>
  <c r="O175" i="1" s="1"/>
  <c r="Q238" i="1"/>
  <c r="P238" i="1" s="1"/>
  <c r="O238" i="1" s="1"/>
  <c r="Q228" i="1"/>
  <c r="P228" i="1" s="1"/>
  <c r="O228" i="1" s="1"/>
  <c r="Q164" i="1"/>
  <c r="P164" i="1" s="1"/>
  <c r="O164" i="1" s="1"/>
  <c r="Q230" i="1"/>
  <c r="P230" i="1" s="1"/>
  <c r="O230" i="1" s="1"/>
  <c r="Q340" i="1"/>
  <c r="P340" i="1" s="1"/>
  <c r="O340" i="1" s="1"/>
  <c r="Q291" i="1"/>
  <c r="P291" i="1" s="1"/>
  <c r="O291" i="1" s="1"/>
  <c r="Q227" i="1"/>
  <c r="P227" i="1" s="1"/>
  <c r="O227" i="1" s="1"/>
  <c r="Q163" i="1"/>
  <c r="P163" i="1" s="1"/>
  <c r="O163" i="1" s="1"/>
  <c r="Q317" i="1"/>
  <c r="P317" i="1" s="1"/>
  <c r="O317" i="1" s="1"/>
  <c r="Q242" i="1"/>
  <c r="P242" i="1" s="1"/>
  <c r="O242" i="1" s="1"/>
  <c r="Q178" i="1"/>
  <c r="P178" i="1" s="1"/>
  <c r="O178" i="1" s="1"/>
  <c r="Q286" i="1"/>
  <c r="P286" i="1" s="1"/>
  <c r="O286" i="1" s="1"/>
  <c r="Q149" i="1"/>
  <c r="P149" i="1" s="1"/>
  <c r="O149" i="1" s="1"/>
  <c r="Q353" i="1"/>
  <c r="P353" i="1" s="1"/>
  <c r="O353" i="1" s="1"/>
  <c r="Q289" i="1"/>
  <c r="P289" i="1" s="1"/>
  <c r="O289" i="1" s="1"/>
  <c r="Q225" i="1"/>
  <c r="P225" i="1" s="1"/>
  <c r="O225" i="1" s="1"/>
  <c r="Q161" i="1"/>
  <c r="P161" i="1" s="1"/>
  <c r="O161" i="1" s="1"/>
  <c r="Q341" i="1"/>
  <c r="P341" i="1" s="1"/>
  <c r="O341" i="1" s="1"/>
  <c r="Q360" i="1"/>
  <c r="P360" i="1" s="1"/>
  <c r="O360" i="1" s="1"/>
  <c r="Q232" i="1"/>
  <c r="P232" i="1" s="1"/>
  <c r="O232" i="1" s="1"/>
  <c r="Q206" i="1"/>
  <c r="P206" i="1" s="1"/>
  <c r="O206" i="1" s="1"/>
  <c r="Q213" i="1"/>
  <c r="P213" i="1" s="1"/>
  <c r="O213" i="1" s="1"/>
  <c r="Q282" i="1"/>
  <c r="P282" i="1" s="1"/>
  <c r="O282" i="1" s="1"/>
  <c r="Q256" i="1"/>
  <c r="P256" i="1" s="1"/>
  <c r="O256" i="1" s="1"/>
  <c r="Q198" i="1"/>
  <c r="P198" i="1" s="1"/>
  <c r="O198" i="1" s="1"/>
  <c r="Q356" i="1"/>
  <c r="P356" i="1" s="1"/>
  <c r="O356" i="1" s="1"/>
  <c r="Q220" i="1"/>
  <c r="P220" i="1" s="1"/>
  <c r="O220" i="1" s="1"/>
  <c r="Q190" i="1"/>
  <c r="P190" i="1" s="1"/>
  <c r="O190" i="1" s="1"/>
  <c r="Q284" i="1"/>
  <c r="P284" i="1" s="1"/>
  <c r="O284" i="1" s="1"/>
  <c r="Q283" i="1"/>
  <c r="P283" i="1" s="1"/>
  <c r="O283" i="1" s="1"/>
  <c r="Q219" i="1"/>
  <c r="P219" i="1" s="1"/>
  <c r="O219" i="1" s="1"/>
  <c r="Q155" i="1"/>
  <c r="P155" i="1" s="1"/>
  <c r="O155" i="1" s="1"/>
  <c r="Q348" i="1"/>
  <c r="P348" i="1" s="1"/>
  <c r="O348" i="1" s="1"/>
  <c r="Q234" i="1"/>
  <c r="P234" i="1" s="1"/>
  <c r="O234" i="1" s="1"/>
  <c r="Q170" i="1"/>
  <c r="P170" i="1" s="1"/>
  <c r="O170" i="1" s="1"/>
  <c r="Q214" i="1"/>
  <c r="P214" i="1" s="1"/>
  <c r="O214" i="1" s="1"/>
  <c r="Q133" i="1"/>
  <c r="P133" i="1" s="1"/>
  <c r="O133" i="1" s="1"/>
  <c r="Q345" i="1"/>
  <c r="P345" i="1" s="1"/>
  <c r="O345" i="1" s="1"/>
  <c r="Q281" i="1"/>
  <c r="P281" i="1" s="1"/>
  <c r="O281" i="1" s="1"/>
  <c r="Q217" i="1"/>
  <c r="P217" i="1" s="1"/>
  <c r="O217" i="1" s="1"/>
  <c r="Q293" i="1"/>
  <c r="P293" i="1" s="1"/>
  <c r="O293" i="1" s="1"/>
  <c r="Q344" i="1"/>
  <c r="P344" i="1" s="1"/>
  <c r="O344" i="1" s="1"/>
  <c r="Q216" i="1"/>
  <c r="P216" i="1" s="1"/>
  <c r="O216" i="1" s="1"/>
  <c r="C141" i="2"/>
  <c r="I141" i="2" s="1"/>
  <c r="B299" i="2"/>
  <c r="B338" i="2"/>
  <c r="C175" i="2"/>
  <c r="D175" i="2" s="1"/>
  <c r="B284" i="2"/>
  <c r="C299" i="2"/>
  <c r="I299" i="2" s="1"/>
  <c r="C284" i="2"/>
  <c r="I284" i="2" s="1"/>
  <c r="B300" i="2"/>
  <c r="C300" i="2"/>
  <c r="I300" i="2" s="1"/>
  <c r="J291" i="2"/>
  <c r="B334" i="2"/>
  <c r="B291" i="2"/>
  <c r="B135" i="2"/>
  <c r="J135" i="2"/>
  <c r="J139" i="2"/>
  <c r="B328" i="2"/>
  <c r="J172" i="2"/>
  <c r="J328" i="2"/>
  <c r="C311" i="2"/>
  <c r="I311" i="2" s="1"/>
  <c r="C172" i="2"/>
  <c r="I172" i="2" s="1"/>
  <c r="C139" i="2"/>
  <c r="I139" i="2" s="1"/>
  <c r="B157" i="2"/>
  <c r="C157" i="2"/>
  <c r="D157" i="2" s="1"/>
  <c r="J311" i="2"/>
  <c r="G348" i="1"/>
  <c r="G321" i="1"/>
  <c r="G280" i="1"/>
  <c r="G340" i="1"/>
  <c r="G335" i="1"/>
  <c r="G203" i="1"/>
  <c r="G319" i="1"/>
  <c r="G222" i="1"/>
  <c r="G262" i="1"/>
  <c r="G247" i="1"/>
  <c r="G230" i="1"/>
  <c r="G341" i="1"/>
  <c r="G274" i="1"/>
  <c r="G236" i="1"/>
  <c r="G232" i="1"/>
  <c r="G287" i="1"/>
  <c r="G329" i="1"/>
  <c r="G356" i="1"/>
  <c r="G271" i="1"/>
  <c r="G168" i="1"/>
  <c r="G229" i="1"/>
  <c r="G208" i="1"/>
  <c r="G171" i="1"/>
  <c r="G350" i="1"/>
  <c r="G282" i="1"/>
  <c r="G239" i="1"/>
  <c r="G284" i="1"/>
  <c r="G164" i="1"/>
  <c r="G293" i="1"/>
  <c r="G135" i="1"/>
  <c r="G220" i="1"/>
  <c r="G192" i="1"/>
  <c r="G233" i="1"/>
  <c r="G245" i="1"/>
  <c r="G290" i="1"/>
  <c r="G185" i="1"/>
  <c r="G147" i="1"/>
  <c r="G337" i="1"/>
  <c r="G143" i="1"/>
  <c r="G325" i="1"/>
  <c r="G265" i="1"/>
  <c r="G338" i="1"/>
  <c r="G221" i="1"/>
  <c r="G162" i="1"/>
  <c r="G332" i="1"/>
  <c r="G161" i="1"/>
  <c r="G316" i="1"/>
  <c r="G178" i="1"/>
  <c r="G227" i="1"/>
  <c r="G212" i="1"/>
  <c r="G237" i="1"/>
  <c r="G249" i="1"/>
  <c r="G326" i="1"/>
  <c r="G349" i="1"/>
  <c r="G331" i="1"/>
  <c r="G211" i="1"/>
  <c r="G190" i="1"/>
  <c r="G188" i="1"/>
  <c r="G345" i="1"/>
  <c r="G344" i="1"/>
  <c r="G218" i="1"/>
  <c r="G234" i="1"/>
  <c r="G205" i="1"/>
  <c r="G283" i="1"/>
  <c r="G216" i="1"/>
  <c r="G169" i="1"/>
  <c r="G317" i="1"/>
  <c r="G313" i="1"/>
  <c r="G323" i="1"/>
  <c r="G187" i="1"/>
  <c r="G328" i="1"/>
  <c r="G305" i="1"/>
  <c r="G324" i="1"/>
  <c r="G360" i="1"/>
  <c r="G310" i="1"/>
  <c r="G295" i="1"/>
  <c r="G166" i="1"/>
  <c r="G257" i="1"/>
  <c r="G266" i="1"/>
  <c r="G198" i="1"/>
  <c r="G288" i="1"/>
  <c r="G259" i="1"/>
  <c r="G276" i="1"/>
  <c r="G180" i="1"/>
  <c r="G256" i="1"/>
  <c r="G339" i="1"/>
  <c r="G139" i="1"/>
  <c r="G302" i="1"/>
  <c r="G281" i="1"/>
  <c r="G258" i="1"/>
  <c r="G352" i="1"/>
  <c r="G354" i="1"/>
  <c r="G170" i="1"/>
  <c r="G322" i="1"/>
  <c r="G226" i="1"/>
  <c r="G149" i="1"/>
  <c r="G343" i="1"/>
  <c r="G273" i="1"/>
  <c r="G289" i="1"/>
  <c r="G298" i="1"/>
  <c r="G246" i="1"/>
  <c r="G255" i="1"/>
  <c r="G308" i="1"/>
  <c r="G361" i="1"/>
  <c r="G292" i="1"/>
  <c r="G270" i="1"/>
  <c r="G186" i="1"/>
  <c r="G177" i="1"/>
  <c r="G223" i="1"/>
  <c r="G184" i="1"/>
  <c r="G278" i="1"/>
  <c r="G242" i="1"/>
  <c r="G194" i="1"/>
  <c r="G306" i="1"/>
  <c r="G206" i="1"/>
  <c r="G214" i="1"/>
  <c r="G346" i="1"/>
  <c r="G342" i="1"/>
  <c r="G336" i="1"/>
  <c r="G291" i="1"/>
  <c r="G179" i="1"/>
  <c r="G248" i="1"/>
  <c r="G181" i="1"/>
  <c r="G251" i="1"/>
  <c r="G167" i="1"/>
  <c r="G210" i="1"/>
  <c r="G300" i="1"/>
  <c r="G173" i="1"/>
  <c r="G189" i="1"/>
  <c r="G260" i="1"/>
  <c r="G334" i="1"/>
  <c r="G359" i="1"/>
  <c r="G267" i="1"/>
  <c r="G358" i="1"/>
  <c r="G163" i="1"/>
  <c r="G200" i="1"/>
  <c r="G330" i="1"/>
  <c r="G272" i="1"/>
  <c r="G176" i="1"/>
  <c r="G174" i="1"/>
  <c r="G241" i="1"/>
  <c r="G357" i="1"/>
  <c r="G268" i="1"/>
  <c r="G243" i="1"/>
  <c r="G159" i="1"/>
  <c r="G320" i="1"/>
  <c r="G121" i="1"/>
  <c r="G277" i="1"/>
  <c r="G175" i="1"/>
  <c r="G347" i="1"/>
  <c r="G304" i="1"/>
  <c r="G160" i="1"/>
  <c r="G228" i="1"/>
  <c r="G151" i="1"/>
  <c r="G275" i="1"/>
  <c r="G254" i="1"/>
  <c r="G253" i="1"/>
  <c r="G155" i="1"/>
  <c r="G217" i="1"/>
  <c r="G264" i="1"/>
  <c r="G296" i="1"/>
  <c r="G327" i="1"/>
  <c r="G235" i="1"/>
  <c r="G215" i="1"/>
  <c r="G286" i="1"/>
  <c r="G252" i="1"/>
  <c r="G309" i="1"/>
  <c r="G333" i="1"/>
  <c r="G303" i="1"/>
  <c r="G225" i="1"/>
  <c r="G224" i="1"/>
  <c r="G141" i="1"/>
  <c r="G213" i="1"/>
  <c r="G261" i="1"/>
  <c r="G351" i="1"/>
  <c r="G299" i="1"/>
  <c r="G240" i="1"/>
  <c r="G133" i="1"/>
  <c r="G244" i="1"/>
  <c r="G172" i="1"/>
  <c r="G294" i="1"/>
  <c r="G238" i="1"/>
  <c r="G318" i="1"/>
  <c r="G183" i="1"/>
  <c r="G207" i="1"/>
  <c r="G201" i="1"/>
  <c r="G250" i="1"/>
  <c r="G314" i="1"/>
  <c r="G199" i="1"/>
  <c r="G312" i="1"/>
  <c r="G279" i="1"/>
  <c r="G353" i="1"/>
  <c r="G315" i="1"/>
  <c r="G195" i="1"/>
  <c r="G182" i="1"/>
  <c r="G193" i="1"/>
  <c r="G355" i="1"/>
  <c r="G202" i="1"/>
  <c r="G197" i="1"/>
  <c r="G191" i="1"/>
  <c r="G204" i="1"/>
  <c r="G263" i="1"/>
  <c r="G311" i="1"/>
  <c r="G301" i="1"/>
  <c r="G285" i="1"/>
  <c r="G269" i="1"/>
  <c r="G297" i="1"/>
  <c r="G231" i="1"/>
  <c r="G196" i="1"/>
  <c r="G157" i="1"/>
  <c r="G209" i="1"/>
  <c r="G307" i="1"/>
  <c r="G165" i="1"/>
  <c r="G219" i="1"/>
  <c r="B330" i="2"/>
  <c r="B185" i="2"/>
  <c r="J327" i="2"/>
  <c r="J335" i="2"/>
  <c r="B335" i="2"/>
  <c r="C344" i="2"/>
  <c r="I344" i="2" s="1"/>
  <c r="C170" i="2"/>
  <c r="I170" i="2" s="1"/>
  <c r="B340" i="2"/>
  <c r="C185" i="2"/>
  <c r="I185" i="2" s="1"/>
  <c r="J296" i="2"/>
  <c r="B191" i="2"/>
  <c r="J344" i="2"/>
  <c r="B296" i="2"/>
  <c r="J149" i="2"/>
  <c r="C191" i="2"/>
  <c r="I191" i="2" s="1"/>
  <c r="J330" i="2"/>
  <c r="C331" i="2"/>
  <c r="I331" i="2" s="1"/>
  <c r="J323" i="2"/>
  <c r="C322" i="2"/>
  <c r="I322" i="2" s="1"/>
  <c r="J271" i="2"/>
  <c r="J306" i="2"/>
  <c r="J361" i="2"/>
  <c r="B292" i="2"/>
  <c r="J292" i="2"/>
  <c r="B177" i="2"/>
  <c r="B361" i="2"/>
  <c r="C177" i="2"/>
  <c r="D177" i="2" s="1"/>
  <c r="B186" i="2"/>
  <c r="J326" i="2"/>
  <c r="B147" i="2"/>
  <c r="C186" i="2"/>
  <c r="I186" i="2" s="1"/>
  <c r="C288" i="2"/>
  <c r="I288" i="2" s="1"/>
  <c r="B180" i="2"/>
  <c r="B187" i="2"/>
  <c r="C147" i="2"/>
  <c r="D147" i="2" s="1"/>
  <c r="B276" i="2"/>
  <c r="B316" i="2"/>
  <c r="C339" i="2"/>
  <c r="I339" i="2" s="1"/>
  <c r="C283" i="2"/>
  <c r="I283" i="2" s="1"/>
  <c r="C294" i="2"/>
  <c r="I294" i="2" s="1"/>
  <c r="J294" i="2"/>
  <c r="B127" i="2"/>
  <c r="J283" i="2"/>
  <c r="B188" i="2"/>
  <c r="C127" i="2"/>
  <c r="D127" i="2" s="1"/>
  <c r="B319" i="2"/>
  <c r="C332" i="2"/>
  <c r="I332" i="2" s="1"/>
  <c r="B288" i="2"/>
  <c r="C319" i="2"/>
  <c r="I319" i="2" s="1"/>
  <c r="J356" i="2"/>
  <c r="J190" i="2"/>
  <c r="J324" i="2"/>
  <c r="B326" i="2"/>
  <c r="B164" i="2"/>
  <c r="B271" i="2"/>
  <c r="C276" i="2"/>
  <c r="I276" i="2" s="1"/>
  <c r="C187" i="2"/>
  <c r="I187" i="2" s="1"/>
  <c r="B324" i="2"/>
  <c r="J295" i="2"/>
  <c r="J339" i="2"/>
  <c r="C295" i="2"/>
  <c r="I295" i="2" s="1"/>
  <c r="C164" i="2"/>
  <c r="D164" i="2" s="1"/>
  <c r="C308" i="2"/>
  <c r="I308" i="2" s="1"/>
  <c r="J161" i="2"/>
  <c r="C171" i="2"/>
  <c r="I171" i="2" s="1"/>
  <c r="C360" i="2"/>
  <c r="I360" i="2" s="1"/>
  <c r="B310" i="2"/>
  <c r="C183" i="2"/>
  <c r="D183" i="2" s="1"/>
  <c r="J171" i="2"/>
  <c r="J348" i="2"/>
  <c r="C310" i="2"/>
  <c r="I310" i="2" s="1"/>
  <c r="J183" i="2"/>
  <c r="B348" i="2"/>
  <c r="B178" i="2"/>
  <c r="J314" i="2"/>
  <c r="B318" i="2"/>
  <c r="C178" i="2"/>
  <c r="I178" i="2" s="1"/>
  <c r="C162" i="2"/>
  <c r="D162" i="2" s="1"/>
  <c r="C318" i="2"/>
  <c r="D318" i="2" s="1"/>
  <c r="B167" i="2"/>
  <c r="B166" i="2"/>
  <c r="J162" i="2"/>
  <c r="J312" i="2"/>
  <c r="B163" i="2"/>
  <c r="B155" i="2"/>
  <c r="B312" i="2"/>
  <c r="J315" i="2"/>
  <c r="C163" i="2"/>
  <c r="I163" i="2" s="1"/>
  <c r="C155" i="2"/>
  <c r="D155" i="2" s="1"/>
  <c r="B358" i="2"/>
  <c r="J304" i="2"/>
  <c r="J359" i="2"/>
  <c r="B347" i="2"/>
  <c r="B315" i="2"/>
  <c r="B160" i="2"/>
  <c r="J279" i="2"/>
  <c r="J353" i="2"/>
  <c r="B359" i="2"/>
  <c r="C160" i="2"/>
  <c r="D160" i="2" s="1"/>
  <c r="B279" i="2"/>
  <c r="B121" i="2"/>
  <c r="C121" i="2"/>
  <c r="I121" i="2" s="1"/>
  <c r="G73" i="1"/>
  <c r="G152" i="1"/>
  <c r="G16" i="1"/>
  <c r="A125" i="2"/>
  <c r="J125" i="2" s="1"/>
  <c r="G125" i="1"/>
  <c r="C169" i="2"/>
  <c r="I169" i="2" s="1"/>
  <c r="G101" i="1"/>
  <c r="G37" i="1"/>
  <c r="C192" i="2"/>
  <c r="I192" i="2" s="1"/>
  <c r="C188" i="2"/>
  <c r="D188" i="2" s="1"/>
  <c r="C184" i="2"/>
  <c r="I184" i="2" s="1"/>
  <c r="G140" i="1"/>
  <c r="G108" i="1"/>
  <c r="G76" i="1"/>
  <c r="G44" i="1"/>
  <c r="G103" i="1"/>
  <c r="G150" i="1"/>
  <c r="G134" i="1"/>
  <c r="G86" i="1"/>
  <c r="G54" i="1"/>
  <c r="G41" i="1"/>
  <c r="G80" i="1"/>
  <c r="C353" i="2"/>
  <c r="D353" i="2" s="1"/>
  <c r="G128" i="1"/>
  <c r="G40" i="1"/>
  <c r="G35" i="1"/>
  <c r="B174" i="2"/>
  <c r="G114" i="1"/>
  <c r="G82" i="1"/>
  <c r="G9" i="1"/>
  <c r="G112" i="1"/>
  <c r="G75" i="1"/>
  <c r="G154" i="1"/>
  <c r="B354" i="2"/>
  <c r="B343" i="2"/>
  <c r="B327" i="2"/>
  <c r="B298" i="2"/>
  <c r="G145" i="1"/>
  <c r="G148" i="1"/>
  <c r="G68" i="1"/>
  <c r="B159" i="2"/>
  <c r="G31" i="1"/>
  <c r="C174" i="2"/>
  <c r="D174" i="2" s="1"/>
  <c r="G110" i="1"/>
  <c r="G78" i="1"/>
  <c r="G46" i="1"/>
  <c r="G14" i="1"/>
  <c r="G138" i="1"/>
  <c r="C354" i="2"/>
  <c r="I354" i="2" s="1"/>
  <c r="B304" i="2"/>
  <c r="J347" i="2"/>
  <c r="C343" i="2"/>
  <c r="I343" i="2" s="1"/>
  <c r="J358" i="2"/>
  <c r="J342" i="2"/>
  <c r="C298" i="2"/>
  <c r="I298" i="2" s="1"/>
  <c r="J316" i="2"/>
  <c r="G137" i="1"/>
  <c r="G57" i="1"/>
  <c r="G136" i="1"/>
  <c r="G96" i="1"/>
  <c r="G64" i="1"/>
  <c r="G32" i="1"/>
  <c r="C159" i="2"/>
  <c r="I159" i="2" s="1"/>
  <c r="B151" i="2"/>
  <c r="G91" i="1"/>
  <c r="B182" i="2"/>
  <c r="G146" i="1"/>
  <c r="G130" i="1"/>
  <c r="G106" i="1"/>
  <c r="G10" i="1"/>
  <c r="G85" i="1"/>
  <c r="G21" i="1"/>
  <c r="G156" i="1"/>
  <c r="G92" i="1"/>
  <c r="G60" i="1"/>
  <c r="G28" i="1"/>
  <c r="W125" i="1"/>
  <c r="B179" i="2"/>
  <c r="C151" i="2"/>
  <c r="I151" i="2" s="1"/>
  <c r="B143" i="2"/>
  <c r="G119" i="1"/>
  <c r="G55" i="1"/>
  <c r="C182" i="2"/>
  <c r="D182" i="2" s="1"/>
  <c r="G158" i="1"/>
  <c r="G142" i="1"/>
  <c r="G126" i="1"/>
  <c r="G102" i="1"/>
  <c r="G38" i="1"/>
  <c r="S125" i="1"/>
  <c r="G48" i="1"/>
  <c r="G11" i="1"/>
  <c r="G58" i="1"/>
  <c r="G97" i="1"/>
  <c r="G104" i="1"/>
  <c r="G8" i="1"/>
  <c r="B342" i="2"/>
  <c r="J332" i="2"/>
  <c r="J360" i="2"/>
  <c r="J308" i="2"/>
  <c r="B149" i="2"/>
  <c r="G17" i="1"/>
  <c r="G144" i="1"/>
  <c r="G120" i="1"/>
  <c r="G56" i="1"/>
  <c r="C179" i="2"/>
  <c r="D179" i="2" s="1"/>
  <c r="C143" i="2"/>
  <c r="I143" i="2" s="1"/>
  <c r="G115" i="1"/>
  <c r="G83" i="1"/>
  <c r="G51" i="1"/>
  <c r="B190" i="2"/>
  <c r="C125" i="1"/>
  <c r="X125" i="1" s="1"/>
  <c r="G66" i="1"/>
  <c r="B125" i="1"/>
  <c r="G105" i="1"/>
  <c r="G153" i="1"/>
  <c r="G72" i="1"/>
  <c r="E125" i="1"/>
  <c r="G109" i="1"/>
  <c r="G77" i="1"/>
  <c r="G132" i="1"/>
  <c r="G116" i="1"/>
  <c r="G84" i="1"/>
  <c r="G52" i="1"/>
  <c r="G20" i="1"/>
  <c r="G111" i="1"/>
  <c r="G79" i="1"/>
  <c r="G47" i="1"/>
  <c r="G15" i="1"/>
  <c r="S6" i="1"/>
  <c r="T6" i="1"/>
  <c r="U6" i="1"/>
  <c r="V6" i="1"/>
  <c r="W6" i="1"/>
  <c r="G94" i="1"/>
  <c r="V83" i="8"/>
  <c r="T83" i="8" s="1"/>
  <c r="V42" i="8"/>
  <c r="T42" i="8" s="1"/>
  <c r="V18" i="8"/>
  <c r="T18" i="8" s="1"/>
  <c r="L747" i="10"/>
  <c r="J747" i="10" s="1"/>
  <c r="V107" i="8"/>
  <c r="T107" i="8" s="1"/>
  <c r="V72" i="8"/>
  <c r="T72" i="8" s="1"/>
  <c r="V88" i="8"/>
  <c r="T88" i="8" s="1"/>
  <c r="F353" i="1"/>
  <c r="F336" i="1"/>
  <c r="K120" i="7"/>
  <c r="L120" i="7" s="1"/>
  <c r="U121" i="1" s="1"/>
  <c r="F174" i="1"/>
  <c r="V24" i="8"/>
  <c r="T24" i="8" s="1"/>
  <c r="V8" i="8"/>
  <c r="T8" i="8" s="1"/>
  <c r="V80" i="8"/>
  <c r="T80" i="8" s="1"/>
  <c r="F240" i="1"/>
  <c r="F194" i="1"/>
  <c r="F220" i="1"/>
  <c r="F204" i="1"/>
  <c r="V99" i="8"/>
  <c r="T99" i="8" s="1"/>
  <c r="F208" i="1"/>
  <c r="O219" i="3"/>
  <c r="V152" i="8"/>
  <c r="T152" i="8" s="1"/>
  <c r="Q65" i="10"/>
  <c r="V188" i="8"/>
  <c r="T188" i="8" s="1"/>
  <c r="F224" i="1"/>
  <c r="O201" i="3"/>
  <c r="F248" i="1"/>
  <c r="V199" i="8"/>
  <c r="T199" i="8" s="1"/>
  <c r="F276" i="1"/>
  <c r="F312" i="1"/>
  <c r="V6" i="8"/>
  <c r="T6" i="8" s="1"/>
  <c r="F272" i="1"/>
  <c r="O183" i="3"/>
  <c r="V220" i="8"/>
  <c r="T220" i="8" s="1"/>
  <c r="V131" i="8"/>
  <c r="T131" i="8" s="1"/>
  <c r="O179" i="3"/>
  <c r="O133" i="3"/>
  <c r="V183" i="8"/>
  <c r="T183" i="8" s="1"/>
  <c r="O182" i="3"/>
  <c r="V175" i="8"/>
  <c r="T175" i="8" s="1"/>
  <c r="O158" i="3"/>
  <c r="V249" i="8"/>
  <c r="T249" i="8" s="1"/>
  <c r="V163" i="8"/>
  <c r="T163" i="8" s="1"/>
  <c r="V159" i="8"/>
  <c r="T159" i="8" s="1"/>
  <c r="V146" i="8"/>
  <c r="T146" i="8" s="1"/>
  <c r="O161" i="3"/>
  <c r="V192" i="8"/>
  <c r="T192" i="8" s="1"/>
  <c r="V196" i="8"/>
  <c r="T196" i="8" s="1"/>
  <c r="V160" i="8"/>
  <c r="T160" i="8" s="1"/>
  <c r="O218" i="3"/>
  <c r="V195" i="8"/>
  <c r="T195" i="8" s="1"/>
  <c r="V200" i="8"/>
  <c r="T200" i="8" s="1"/>
  <c r="V234" i="8"/>
  <c r="T234" i="8" s="1"/>
  <c r="O164" i="3"/>
  <c r="V258" i="8"/>
  <c r="T258" i="8" s="1"/>
  <c r="V204" i="8"/>
  <c r="T204" i="8" s="1"/>
  <c r="V162" i="8"/>
  <c r="T162" i="8" s="1"/>
  <c r="O249" i="3"/>
  <c r="O209" i="3"/>
  <c r="V245" i="8"/>
  <c r="T245" i="8" s="1"/>
  <c r="V260" i="8"/>
  <c r="T260" i="8" s="1"/>
  <c r="V180" i="8"/>
  <c r="T180" i="8" s="1"/>
  <c r="V203" i="8"/>
  <c r="T203" i="8" s="1"/>
  <c r="V178" i="8"/>
  <c r="T178" i="8" s="1"/>
  <c r="O230" i="3"/>
  <c r="O174" i="3"/>
  <c r="O146" i="3"/>
  <c r="J121" i="7"/>
  <c r="K121" i="7" s="1"/>
  <c r="L121" i="7" s="1"/>
  <c r="M121" i="7" s="1"/>
  <c r="N121" i="7" s="1"/>
  <c r="O121" i="7" s="1"/>
  <c r="F186" i="1"/>
  <c r="F182" i="1"/>
  <c r="F170" i="1"/>
  <c r="V232" i="8"/>
  <c r="T232" i="8" s="1"/>
  <c r="V172" i="8"/>
  <c r="T172" i="8" s="1"/>
  <c r="V239" i="8"/>
  <c r="T239" i="8" s="1"/>
  <c r="V219" i="8"/>
  <c r="T219" i="8" s="1"/>
  <c r="V187" i="8"/>
  <c r="T187" i="8" s="1"/>
  <c r="V132" i="8"/>
  <c r="T132" i="8" s="1"/>
  <c r="V156" i="8"/>
  <c r="T156" i="8" s="1"/>
  <c r="O252" i="3"/>
  <c r="O184" i="3"/>
  <c r="V215" i="8"/>
  <c r="T215" i="8" s="1"/>
  <c r="V150" i="8"/>
  <c r="T150" i="8" s="1"/>
  <c r="V251" i="8"/>
  <c r="T251" i="8" s="1"/>
  <c r="V223" i="8"/>
  <c r="T223" i="8" s="1"/>
  <c r="V235" i="8"/>
  <c r="T235" i="8" s="1"/>
  <c r="V222" i="8"/>
  <c r="T222" i="8" s="1"/>
  <c r="V171" i="8"/>
  <c r="T171" i="8" s="1"/>
  <c r="V257" i="8"/>
  <c r="T257" i="8" s="1"/>
  <c r="V241" i="8"/>
  <c r="T241" i="8" s="1"/>
  <c r="V254" i="8"/>
  <c r="T254" i="8" s="1"/>
  <c r="V214" i="8"/>
  <c r="T214" i="8" s="1"/>
  <c r="V212" i="8"/>
  <c r="T212" i="8" s="1"/>
  <c r="O168" i="3"/>
  <c r="O157" i="3"/>
  <c r="V253" i="8"/>
  <c r="T253" i="8" s="1"/>
  <c r="V244" i="8"/>
  <c r="T244" i="8" s="1"/>
  <c r="V250" i="8"/>
  <c r="T250" i="8" s="1"/>
  <c r="V207" i="8"/>
  <c r="T207" i="8" s="1"/>
  <c r="V135" i="8"/>
  <c r="T135" i="8" s="1"/>
  <c r="V154" i="8"/>
  <c r="T154" i="8" s="1"/>
  <c r="V174" i="8"/>
  <c r="T174" i="8" s="1"/>
  <c r="V151" i="8"/>
  <c r="T151" i="8" s="1"/>
  <c r="V158" i="8"/>
  <c r="T158" i="8" s="1"/>
  <c r="O257" i="3"/>
  <c r="O243" i="3"/>
  <c r="O239" i="3"/>
  <c r="O235" i="3"/>
  <c r="O246" i="3"/>
  <c r="O185" i="3"/>
  <c r="O177" i="3"/>
  <c r="O169" i="3"/>
  <c r="O175" i="3"/>
  <c r="O171" i="3"/>
  <c r="O166" i="3"/>
  <c r="O138" i="3"/>
  <c r="O232" i="3"/>
  <c r="O202" i="3"/>
  <c r="V231" i="8"/>
  <c r="T231" i="8" s="1"/>
  <c r="V227" i="8"/>
  <c r="T227" i="8" s="1"/>
  <c r="V211" i="8"/>
  <c r="T211" i="8" s="1"/>
  <c r="V236" i="8"/>
  <c r="T236" i="8" s="1"/>
  <c r="V191" i="8"/>
  <c r="T191" i="8" s="1"/>
  <c r="V190" i="8"/>
  <c r="T190" i="8" s="1"/>
  <c r="V155" i="8"/>
  <c r="T155" i="8" s="1"/>
  <c r="V179" i="8"/>
  <c r="T179" i="8" s="1"/>
  <c r="O259" i="3"/>
  <c r="O226" i="3"/>
  <c r="O224" i="3"/>
  <c r="O208" i="3"/>
  <c r="O193" i="3"/>
  <c r="O210" i="3"/>
  <c r="O178" i="3"/>
  <c r="O198" i="3"/>
  <c r="O172" i="3"/>
  <c r="O176" i="3"/>
  <c r="O149" i="3"/>
  <c r="O205" i="3"/>
  <c r="F218" i="1"/>
  <c r="O131" i="3"/>
  <c r="V164" i="8"/>
  <c r="T164" i="8" s="1"/>
  <c r="V224" i="8"/>
  <c r="T224" i="8" s="1"/>
  <c r="V206" i="8"/>
  <c r="T206" i="8" s="1"/>
  <c r="V168" i="8"/>
  <c r="T168" i="8" s="1"/>
  <c r="V167" i="8"/>
  <c r="T167" i="8" s="1"/>
  <c r="V218" i="8"/>
  <c r="T218" i="8" s="1"/>
  <c r="V228" i="8"/>
  <c r="T228" i="8" s="1"/>
  <c r="O247" i="3"/>
  <c r="O200" i="3"/>
  <c r="O192" i="3"/>
  <c r="O245" i="3"/>
  <c r="O241" i="3"/>
  <c r="O237" i="3"/>
  <c r="O225" i="3"/>
  <c r="O180" i="3"/>
  <c r="O130" i="3"/>
  <c r="O173" i="3"/>
  <c r="O151" i="3"/>
  <c r="O238" i="3"/>
  <c r="O260" i="3"/>
  <c r="O244" i="3"/>
  <c r="O236" i="3"/>
  <c r="O233" i="3"/>
  <c r="O253" i="3"/>
  <c r="O216" i="3"/>
  <c r="O217" i="3"/>
  <c r="O141" i="3"/>
  <c r="O160" i="3"/>
  <c r="V194" i="8"/>
  <c r="T194" i="8" s="1"/>
  <c r="O132" i="3"/>
  <c r="F320" i="1"/>
  <c r="V140" i="8"/>
  <c r="T140" i="8" s="1"/>
  <c r="V242" i="8"/>
  <c r="T242" i="8" s="1"/>
  <c r="V208" i="8"/>
  <c r="T208" i="8" s="1"/>
  <c r="V184" i="8"/>
  <c r="T184" i="8" s="1"/>
  <c r="V133" i="8"/>
  <c r="T133" i="8" s="1"/>
  <c r="V216" i="8"/>
  <c r="T216" i="8" s="1"/>
  <c r="V176" i="8"/>
  <c r="T176" i="8" s="1"/>
  <c r="V134" i="8"/>
  <c r="T134" i="8" s="1"/>
  <c r="V170" i="8"/>
  <c r="T170" i="8" s="1"/>
  <c r="V139" i="8"/>
  <c r="T139" i="8" s="1"/>
  <c r="V142" i="8"/>
  <c r="T142" i="8" s="1"/>
  <c r="O254" i="3"/>
  <c r="O255" i="3"/>
  <c r="O227" i="3"/>
  <c r="O231" i="3"/>
  <c r="O170" i="3"/>
  <c r="O207" i="3"/>
  <c r="V248" i="8"/>
  <c r="T248" i="8" s="1"/>
  <c r="V14" i="8"/>
  <c r="T14" i="8" s="1"/>
  <c r="O154" i="3"/>
  <c r="O190" i="3"/>
  <c r="O195" i="3"/>
  <c r="O214" i="3"/>
  <c r="O188" i="3"/>
  <c r="O204" i="3"/>
  <c r="O220" i="3"/>
  <c r="O258" i="3"/>
  <c r="V202" i="8"/>
  <c r="T202" i="8" s="1"/>
  <c r="V252" i="8"/>
  <c r="T252" i="8" s="1"/>
  <c r="O143" i="3"/>
  <c r="O145" i="3"/>
  <c r="O197" i="3"/>
  <c r="O223" i="3"/>
  <c r="O256" i="3"/>
  <c r="V210" i="8"/>
  <c r="T210" i="8" s="1"/>
  <c r="V256" i="8"/>
  <c r="T256" i="8" s="1"/>
  <c r="O135" i="3"/>
  <c r="O150" i="3"/>
  <c r="O191" i="3"/>
  <c r="O206" i="3"/>
  <c r="O163" i="3"/>
  <c r="O242" i="3"/>
  <c r="O229" i="3"/>
  <c r="V226" i="8"/>
  <c r="T226" i="8" s="1"/>
  <c r="V246" i="8"/>
  <c r="T246" i="8" s="1"/>
  <c r="O127" i="3"/>
  <c r="F328" i="1"/>
  <c r="O194" i="3"/>
  <c r="O222" i="3"/>
  <c r="O189" i="3"/>
  <c r="O251" i="3"/>
  <c r="O248" i="3"/>
  <c r="V143" i="8"/>
  <c r="T143" i="8" s="1"/>
  <c r="V198" i="8"/>
  <c r="T198" i="8" s="1"/>
  <c r="O156" i="3"/>
  <c r="O153" i="3"/>
  <c r="O129" i="3"/>
  <c r="O187" i="3"/>
  <c r="O203" i="3"/>
  <c r="O234" i="3"/>
  <c r="O221" i="3"/>
  <c r="O196" i="3"/>
  <c r="O212" i="3"/>
  <c r="O228" i="3"/>
  <c r="O250" i="3"/>
  <c r="V230" i="8"/>
  <c r="T230" i="8" s="1"/>
  <c r="O162" i="3"/>
  <c r="O186" i="3"/>
  <c r="O159" i="3"/>
  <c r="O211" i="3"/>
  <c r="O167" i="3"/>
  <c r="O181" i="3"/>
  <c r="O213" i="3"/>
  <c r="O240" i="3"/>
  <c r="V166" i="8"/>
  <c r="T166" i="8" s="1"/>
  <c r="V238" i="8"/>
  <c r="T238" i="8" s="1"/>
  <c r="O148" i="3"/>
  <c r="O215" i="3"/>
  <c r="O199" i="3"/>
  <c r="O165" i="3"/>
  <c r="V186" i="8"/>
  <c r="T186" i="8" s="1"/>
  <c r="V240" i="8"/>
  <c r="T240" i="8" s="1"/>
  <c r="O140" i="3"/>
  <c r="AR125" i="3"/>
  <c r="AP125" i="3"/>
  <c r="AQ125" i="3" s="1"/>
  <c r="F260" i="1"/>
  <c r="F344" i="1"/>
  <c r="AT227" i="3"/>
  <c r="AT222" i="3"/>
  <c r="V52" i="8"/>
  <c r="T52" i="8" s="1"/>
  <c r="V30" i="8"/>
  <c r="T30" i="8" s="1"/>
  <c r="F177" i="1"/>
  <c r="V28" i="8"/>
  <c r="T28" i="8" s="1"/>
  <c r="F131" i="1"/>
  <c r="F176" i="1"/>
  <c r="F181" i="1"/>
  <c r="F323" i="1"/>
  <c r="V54" i="8"/>
  <c r="T54" i="8" s="1"/>
  <c r="F203" i="1"/>
  <c r="L715" i="10"/>
  <c r="J715" i="10" s="1"/>
  <c r="F254" i="1"/>
  <c r="V84" i="8"/>
  <c r="T84" i="8" s="1"/>
  <c r="F168" i="1"/>
  <c r="F166" i="1"/>
  <c r="F135" i="1"/>
  <c r="F243" i="1"/>
  <c r="U125" i="1"/>
  <c r="V125" i="1"/>
  <c r="F195" i="1"/>
  <c r="T125" i="1"/>
  <c r="F261" i="1"/>
  <c r="F332" i="1"/>
  <c r="F269" i="1"/>
  <c r="F280" i="1"/>
  <c r="F296" i="1"/>
  <c r="F250" i="1"/>
  <c r="F304" i="1"/>
  <c r="F339" i="1"/>
  <c r="F308" i="1"/>
  <c r="F197" i="1"/>
  <c r="F178" i="1"/>
  <c r="F162" i="1"/>
  <c r="V74" i="8"/>
  <c r="T74" i="8" s="1"/>
  <c r="V46" i="8"/>
  <c r="T46" i="8" s="1"/>
  <c r="F242" i="1"/>
  <c r="F211" i="1"/>
  <c r="F191" i="1"/>
  <c r="F159" i="1"/>
  <c r="V86" i="8"/>
  <c r="T86" i="8" s="1"/>
  <c r="AT241" i="3"/>
  <c r="F278" i="1"/>
  <c r="V82" i="8"/>
  <c r="T82" i="8" s="1"/>
  <c r="V12" i="8"/>
  <c r="T12" i="8" s="1"/>
  <c r="F167" i="1"/>
  <c r="F236" i="1"/>
  <c r="F173" i="1"/>
  <c r="L710" i="10"/>
  <c r="J710" i="10" s="1"/>
  <c r="V20" i="8"/>
  <c r="T20" i="8" s="1"/>
  <c r="F326" i="1"/>
  <c r="F319" i="1"/>
  <c r="F185" i="1"/>
  <c r="F212" i="1"/>
  <c r="F143" i="1"/>
  <c r="F351" i="1"/>
  <c r="F252" i="1"/>
  <c r="F227" i="1"/>
  <c r="F198" i="1"/>
  <c r="F189" i="1"/>
  <c r="F184" i="1"/>
  <c r="V70" i="8"/>
  <c r="T70" i="8" s="1"/>
  <c r="F347" i="1"/>
  <c r="F266" i="1"/>
  <c r="F251" i="1"/>
  <c r="Q468" i="10"/>
  <c r="V92" i="8"/>
  <c r="T92" i="8" s="1"/>
  <c r="V59" i="8"/>
  <c r="T59" i="8" s="1"/>
  <c r="F172" i="1"/>
  <c r="F163" i="1"/>
  <c r="F247" i="1"/>
  <c r="F180" i="1"/>
  <c r="F171" i="1"/>
  <c r="L704" i="10"/>
  <c r="J704" i="10" s="1"/>
  <c r="F239" i="1"/>
  <c r="F207" i="1"/>
  <c r="F264" i="1"/>
  <c r="F356" i="1"/>
  <c r="F271" i="1"/>
  <c r="F175" i="1"/>
  <c r="F127" i="1"/>
  <c r="F235" i="1"/>
  <c r="V76" i="8"/>
  <c r="T76" i="8" s="1"/>
  <c r="F179" i="1"/>
  <c r="F316" i="1"/>
  <c r="F231" i="1"/>
  <c r="F199" i="1"/>
  <c r="F190" i="1"/>
  <c r="F157" i="1"/>
  <c r="F300" i="1"/>
  <c r="F286" i="1"/>
  <c r="F165" i="1"/>
  <c r="F183" i="1"/>
  <c r="F259" i="1"/>
  <c r="L682" i="10"/>
  <c r="J682" i="10" s="1"/>
  <c r="V123" i="8"/>
  <c r="T123" i="8" s="1"/>
  <c r="F187" i="1"/>
  <c r="J74" i="7"/>
  <c r="K74" i="7" s="1"/>
  <c r="L74" i="7" s="1"/>
  <c r="M74" i="7" s="1"/>
  <c r="N74" i="7" s="1"/>
  <c r="O74" i="7" s="1"/>
  <c r="F255" i="1"/>
  <c r="AT177" i="3"/>
  <c r="V44" i="8"/>
  <c r="T44" i="8" s="1"/>
  <c r="AT230" i="3"/>
  <c r="AT215" i="3"/>
  <c r="F238" i="1"/>
  <c r="AT168" i="3"/>
  <c r="J112" i="7"/>
  <c r="K112" i="7" s="1"/>
  <c r="L112" i="7" s="1"/>
  <c r="M112" i="7" s="1"/>
  <c r="N112" i="7" s="1"/>
  <c r="O112" i="7" s="1"/>
  <c r="F284" i="1"/>
  <c r="F313" i="1"/>
  <c r="F149" i="1"/>
  <c r="Q415" i="10"/>
  <c r="V16" i="8"/>
  <c r="T16" i="8" s="1"/>
  <c r="F324" i="1"/>
  <c r="F281" i="1"/>
  <c r="F355" i="1"/>
  <c r="AT255" i="3"/>
  <c r="AT190" i="3"/>
  <c r="AT171" i="3"/>
  <c r="J39" i="7"/>
  <c r="K39" i="7" s="1"/>
  <c r="L39" i="7" s="1"/>
  <c r="M39" i="7" s="1"/>
  <c r="N39" i="7" s="1"/>
  <c r="O39" i="7" s="1"/>
  <c r="AT239" i="3"/>
  <c r="AT198" i="3"/>
  <c r="F258" i="1"/>
  <c r="AT194" i="3"/>
  <c r="F244" i="1"/>
  <c r="AT257" i="3"/>
  <c r="AT149" i="3"/>
  <c r="F267" i="1"/>
  <c r="S110" i="7"/>
  <c r="AG110" i="7" s="1"/>
  <c r="AT110" i="3" s="1"/>
  <c r="AA111" i="1" s="1"/>
  <c r="F329" i="1"/>
  <c r="AT218" i="3"/>
  <c r="AT206" i="3"/>
  <c r="AT166" i="3"/>
  <c r="AT186" i="3"/>
  <c r="F151" i="1"/>
  <c r="AT192" i="3"/>
  <c r="F305" i="1"/>
  <c r="Q473" i="10"/>
  <c r="AT180" i="3"/>
  <c r="F359" i="1"/>
  <c r="F288" i="1"/>
  <c r="AT224" i="3"/>
  <c r="F292" i="1"/>
  <c r="F169" i="1"/>
  <c r="Q31" i="10"/>
  <c r="F301" i="1"/>
  <c r="F192" i="1"/>
  <c r="F160" i="1"/>
  <c r="AT220" i="3"/>
  <c r="F219" i="1"/>
  <c r="F350" i="1"/>
  <c r="F334" i="1"/>
  <c r="AT169" i="3"/>
  <c r="AT135" i="3"/>
  <c r="F234" i="1"/>
  <c r="AT133" i="3"/>
  <c r="F291" i="1"/>
  <c r="AT146" i="3"/>
  <c r="AT201" i="3"/>
  <c r="F285" i="1"/>
  <c r="F228" i="1"/>
  <c r="V66" i="8"/>
  <c r="T66" i="8" s="1"/>
  <c r="F354" i="1"/>
  <c r="F341" i="1"/>
  <c r="AT208" i="3"/>
  <c r="Q612" i="10"/>
  <c r="Q248" i="10"/>
  <c r="Q239" i="10"/>
  <c r="Q15" i="10"/>
  <c r="AT243" i="3"/>
  <c r="AT231" i="3"/>
  <c r="AT219" i="3"/>
  <c r="AT172" i="3"/>
  <c r="AT183" i="3"/>
  <c r="F310" i="1"/>
  <c r="F340" i="1"/>
  <c r="AT187" i="3"/>
  <c r="AT232" i="3"/>
  <c r="AT250" i="3"/>
  <c r="AT193" i="3"/>
  <c r="AT129" i="3"/>
  <c r="AT139" i="3"/>
  <c r="AT128" i="3"/>
  <c r="Q223" i="10"/>
  <c r="Q72" i="10"/>
  <c r="AT179" i="3"/>
  <c r="AT202" i="3"/>
  <c r="F164" i="1"/>
  <c r="AT173" i="3"/>
  <c r="AT204" i="3"/>
  <c r="AT246" i="3"/>
  <c r="AT151" i="3"/>
  <c r="AT150" i="3"/>
  <c r="AT142" i="3"/>
  <c r="AT134" i="3"/>
  <c r="AT155" i="3"/>
  <c r="Q642" i="10"/>
  <c r="Q481" i="10"/>
  <c r="Q82" i="10"/>
  <c r="AT251" i="3"/>
  <c r="AT234" i="3"/>
  <c r="AT211" i="3"/>
  <c r="AT170" i="3"/>
  <c r="AT207" i="3"/>
  <c r="AT159" i="3"/>
  <c r="F256" i="1"/>
  <c r="F139" i="1"/>
  <c r="F289" i="1"/>
  <c r="F246" i="1"/>
  <c r="AT154" i="3"/>
  <c r="AT191" i="3"/>
  <c r="AT200" i="3"/>
  <c r="AT212" i="3"/>
  <c r="AT196" i="3"/>
  <c r="AT258" i="3"/>
  <c r="AT228" i="3"/>
  <c r="AT209" i="3"/>
  <c r="AT148" i="3"/>
  <c r="AT126" i="3"/>
  <c r="AT131" i="3"/>
  <c r="Q610" i="10"/>
  <c r="AT163" i="3"/>
  <c r="AT162" i="3"/>
  <c r="AT161" i="3"/>
  <c r="AT216" i="3"/>
  <c r="AT188" i="3"/>
  <c r="AT181" i="3"/>
  <c r="AT189" i="3"/>
  <c r="AT197" i="3"/>
  <c r="AT205" i="3"/>
  <c r="AT213" i="3"/>
  <c r="AT221" i="3"/>
  <c r="AT229" i="3"/>
  <c r="AT236" i="3"/>
  <c r="AT244" i="3"/>
  <c r="AT185" i="3"/>
  <c r="AT143" i="3"/>
  <c r="AT156" i="3"/>
  <c r="F270" i="1"/>
  <c r="F273" i="1"/>
  <c r="F268" i="1"/>
  <c r="F196" i="1"/>
  <c r="F193" i="1"/>
  <c r="F161" i="1"/>
  <c r="F133" i="1"/>
  <c r="F216" i="1"/>
  <c r="F200" i="1"/>
  <c r="F314" i="1"/>
  <c r="Q403" i="10"/>
  <c r="Q14" i="10"/>
  <c r="Q16" i="10"/>
  <c r="AT259" i="3"/>
  <c r="AT253" i="3"/>
  <c r="AT233" i="3"/>
  <c r="AT223" i="3"/>
  <c r="AT242" i="3"/>
  <c r="AT210" i="3"/>
  <c r="AT182" i="3"/>
  <c r="F294" i="1"/>
  <c r="AT157" i="3"/>
  <c r="AT141" i="3"/>
  <c r="AT254" i="3"/>
  <c r="AT225" i="3"/>
  <c r="AT247" i="3"/>
  <c r="AT140" i="3"/>
  <c r="AT153" i="3"/>
  <c r="AT152" i="3"/>
  <c r="AT235" i="3"/>
  <c r="AT178" i="3"/>
  <c r="AT174" i="3"/>
  <c r="AT164" i="3"/>
  <c r="AT176" i="3"/>
  <c r="AT158" i="3"/>
  <c r="F293" i="1"/>
  <c r="AT125" i="3"/>
  <c r="AA126" i="1" s="1"/>
  <c r="AT203" i="3"/>
  <c r="AT252" i="3"/>
  <c r="AT132" i="3"/>
  <c r="F215" i="1"/>
  <c r="AT145" i="3"/>
  <c r="F262" i="1"/>
  <c r="AT144" i="3"/>
  <c r="Q631" i="10"/>
  <c r="V38" i="8"/>
  <c r="T38" i="8" s="1"/>
  <c r="V75" i="8"/>
  <c r="T75" i="8" s="1"/>
  <c r="V40" i="8"/>
  <c r="T40" i="8" s="1"/>
  <c r="AT245" i="3"/>
  <c r="AT237" i="3"/>
  <c r="AT249" i="3"/>
  <c r="AT226" i="3"/>
  <c r="AT238" i="3"/>
  <c r="AT184" i="3"/>
  <c r="AT175" i="3"/>
  <c r="AT167" i="3"/>
  <c r="F298" i="1"/>
  <c r="AT138" i="3"/>
  <c r="AT130" i="3"/>
  <c r="AT165" i="3"/>
  <c r="AT199" i="3"/>
  <c r="AT160" i="3"/>
  <c r="AT195" i="3"/>
  <c r="AT256" i="3"/>
  <c r="AT248" i="3"/>
  <c r="AT240" i="3"/>
  <c r="AT217" i="3"/>
  <c r="AT260" i="3"/>
  <c r="AT127" i="3"/>
  <c r="F277" i="1"/>
  <c r="F325" i="1"/>
  <c r="AT137" i="3"/>
  <c r="AT147" i="3"/>
  <c r="Q634" i="10"/>
  <c r="Q645" i="10"/>
  <c r="Q638" i="10"/>
  <c r="Q624" i="10"/>
  <c r="Q476" i="10"/>
  <c r="Q529" i="10"/>
  <c r="Q86" i="10"/>
  <c r="V48" i="8"/>
  <c r="T48" i="8" s="1"/>
  <c r="V56" i="8"/>
  <c r="T56" i="8" s="1"/>
  <c r="F338" i="1"/>
  <c r="F322" i="1"/>
  <c r="F317" i="1"/>
  <c r="F222" i="1"/>
  <c r="F202" i="1"/>
  <c r="F223" i="1"/>
  <c r="Q621" i="10"/>
  <c r="Q244" i="10"/>
  <c r="Q164" i="10"/>
  <c r="Q63" i="10"/>
  <c r="Q91" i="10"/>
  <c r="Q102" i="10"/>
  <c r="V67" i="8"/>
  <c r="T67" i="8" s="1"/>
  <c r="F345" i="1"/>
  <c r="F337" i="1"/>
  <c r="F352" i="1"/>
  <c r="S105" i="7"/>
  <c r="T105" i="7" s="1"/>
  <c r="F321" i="1"/>
  <c r="F226" i="1"/>
  <c r="F343" i="1"/>
  <c r="F232" i="1"/>
  <c r="F348" i="1"/>
  <c r="F230" i="1"/>
  <c r="F206" i="1"/>
  <c r="Q635" i="10"/>
  <c r="Q636" i="10"/>
  <c r="F188" i="1"/>
  <c r="L658" i="10"/>
  <c r="J658" i="10" s="1"/>
  <c r="Q69" i="10"/>
  <c r="Q616" i="10"/>
  <c r="Q618" i="10"/>
  <c r="Q627" i="10"/>
  <c r="Q421" i="10"/>
  <c r="Q411" i="10"/>
  <c r="Q68" i="10"/>
  <c r="Q83" i="10"/>
  <c r="V68" i="8"/>
  <c r="T68" i="8" s="1"/>
  <c r="F330" i="1"/>
  <c r="F306" i="1"/>
  <c r="F333" i="1"/>
  <c r="F309" i="1"/>
  <c r="F155" i="1"/>
  <c r="S122" i="7"/>
  <c r="L122" i="3" s="1"/>
  <c r="F210" i="1"/>
  <c r="Q20" i="10"/>
  <c r="Q406" i="10"/>
  <c r="Q66" i="10"/>
  <c r="Q98" i="10"/>
  <c r="Q27" i="10"/>
  <c r="F318" i="1"/>
  <c r="F349" i="1"/>
  <c r="Q404" i="10"/>
  <c r="Q17" i="10"/>
  <c r="V100" i="8"/>
  <c r="T100" i="8" s="1"/>
  <c r="V22" i="8"/>
  <c r="T22" i="8" s="1"/>
  <c r="V60" i="8"/>
  <c r="T60" i="8" s="1"/>
  <c r="F214" i="1"/>
  <c r="F297" i="1"/>
  <c r="Y117" i="7"/>
  <c r="U117" i="7"/>
  <c r="AG117" i="7"/>
  <c r="Z117" i="7"/>
  <c r="AA117" i="7" s="1"/>
  <c r="AB117" i="7" s="1"/>
  <c r="AD117" i="7" s="1"/>
  <c r="AF117" i="7" s="1"/>
  <c r="T117" i="7"/>
  <c r="L117" i="3"/>
  <c r="Y115" i="7"/>
  <c r="AG115" i="7"/>
  <c r="T115" i="7"/>
  <c r="Z115" i="7"/>
  <c r="AA115" i="7" s="1"/>
  <c r="AB115" i="7" s="1"/>
  <c r="AD115" i="7" s="1"/>
  <c r="AF115" i="7" s="1"/>
  <c r="U115" i="7"/>
  <c r="L115" i="3"/>
  <c r="Y114" i="7"/>
  <c r="AG114" i="7"/>
  <c r="T114" i="7"/>
  <c r="Z114" i="7"/>
  <c r="AA114" i="7" s="1"/>
  <c r="AB114" i="7" s="1"/>
  <c r="AD114" i="7" s="1"/>
  <c r="AF114" i="7" s="1"/>
  <c r="U114" i="7"/>
  <c r="L114" i="3"/>
  <c r="J706" i="10"/>
  <c r="H706" i="10"/>
  <c r="Y118" i="7"/>
  <c r="AG118" i="7"/>
  <c r="T118" i="7"/>
  <c r="Z118" i="7"/>
  <c r="AA118" i="7" s="1"/>
  <c r="AB118" i="7" s="1"/>
  <c r="AD118" i="7" s="1"/>
  <c r="AF118" i="7" s="1"/>
  <c r="U118" i="7"/>
  <c r="L118" i="3"/>
  <c r="U78" i="7"/>
  <c r="O78" i="3" s="1"/>
  <c r="Z78" i="7"/>
  <c r="T78" i="7"/>
  <c r="M78" i="3" s="1"/>
  <c r="AG78" i="7"/>
  <c r="Y78" i="7"/>
  <c r="S78" i="3" s="1"/>
  <c r="L78" i="3"/>
  <c r="U121" i="7"/>
  <c r="Z121" i="7"/>
  <c r="AA121" i="7" s="1"/>
  <c r="AB121" i="7" s="1"/>
  <c r="AD121" i="7" s="1"/>
  <c r="AF121" i="7" s="1"/>
  <c r="Y121" i="7"/>
  <c r="AG121" i="7"/>
  <c r="AT136" i="3" s="1"/>
  <c r="T121" i="7"/>
  <c r="M121" i="3" s="1"/>
  <c r="L121" i="3"/>
  <c r="H666" i="10"/>
  <c r="J666" i="10"/>
  <c r="O505" i="10"/>
  <c r="Q505" i="10"/>
  <c r="O528" i="10"/>
  <c r="Q528" i="10"/>
  <c r="O132" i="10"/>
  <c r="Q132" i="10"/>
  <c r="H239" i="10"/>
  <c r="J239" i="10"/>
  <c r="Q200" i="10"/>
  <c r="O200" i="10"/>
  <c r="H219" i="10"/>
  <c r="J219" i="10"/>
  <c r="H95" i="10"/>
  <c r="J95" i="10"/>
  <c r="H226" i="10"/>
  <c r="J226" i="10"/>
  <c r="H22" i="10"/>
  <c r="J22" i="10"/>
  <c r="U39" i="8"/>
  <c r="AC39" i="8"/>
  <c r="AA39" i="8"/>
  <c r="Z39" i="8"/>
  <c r="Y39" i="8" s="1"/>
  <c r="X39" i="8" s="1"/>
  <c r="W39" i="8" s="1"/>
  <c r="V39" i="8" s="1"/>
  <c r="T39" i="8" s="1"/>
  <c r="AB39" i="8"/>
  <c r="J735" i="10"/>
  <c r="H735" i="10"/>
  <c r="J723" i="10"/>
  <c r="H723" i="10"/>
  <c r="H683" i="10"/>
  <c r="J683" i="10"/>
  <c r="J692" i="10"/>
  <c r="H692" i="10"/>
  <c r="J690" i="10"/>
  <c r="H690" i="10"/>
  <c r="H676" i="10"/>
  <c r="J676" i="10"/>
  <c r="J696" i="10"/>
  <c r="H696" i="10"/>
  <c r="J636" i="10"/>
  <c r="H636" i="10"/>
  <c r="Q598" i="10"/>
  <c r="J608" i="10"/>
  <c r="H608" i="10"/>
  <c r="J629" i="10"/>
  <c r="H629" i="10"/>
  <c r="J607" i="10"/>
  <c r="H607" i="10"/>
  <c r="O523" i="10"/>
  <c r="Q523" i="10"/>
  <c r="O515" i="10"/>
  <c r="Q515" i="10"/>
  <c r="O507" i="10"/>
  <c r="Q507" i="10"/>
  <c r="O499" i="10"/>
  <c r="Q499" i="10"/>
  <c r="O491" i="10"/>
  <c r="Q491" i="10"/>
  <c r="J612" i="10"/>
  <c r="H612" i="10"/>
  <c r="J472" i="10"/>
  <c r="H472" i="10"/>
  <c r="O475" i="10"/>
  <c r="Q475" i="10"/>
  <c r="H428" i="10"/>
  <c r="J428" i="10"/>
  <c r="H484" i="10"/>
  <c r="J484" i="10"/>
  <c r="J407" i="10"/>
  <c r="H407" i="10"/>
  <c r="Q482" i="10"/>
  <c r="Q408" i="10"/>
  <c r="J417" i="10"/>
  <c r="H417" i="10"/>
  <c r="J422" i="10"/>
  <c r="H422" i="10"/>
  <c r="H426" i="10"/>
  <c r="J426" i="10"/>
  <c r="H244" i="10"/>
  <c r="J244" i="10"/>
  <c r="J189" i="10"/>
  <c r="H189" i="10"/>
  <c r="J173" i="10"/>
  <c r="H173" i="10"/>
  <c r="O150" i="10"/>
  <c r="Q150" i="10"/>
  <c r="O142" i="10"/>
  <c r="Q142" i="10"/>
  <c r="O134" i="10"/>
  <c r="Q134" i="10"/>
  <c r="O126" i="10"/>
  <c r="Q126" i="10"/>
  <c r="O118" i="10"/>
  <c r="Q118" i="10"/>
  <c r="H205" i="10"/>
  <c r="J205" i="10"/>
  <c r="O237" i="10"/>
  <c r="Q237" i="10"/>
  <c r="Q210" i="10"/>
  <c r="O210" i="10"/>
  <c r="H235" i="10"/>
  <c r="J235" i="10"/>
  <c r="H212" i="10"/>
  <c r="J212" i="10"/>
  <c r="Q108" i="10"/>
  <c r="O108" i="10"/>
  <c r="H96" i="10"/>
  <c r="J96" i="10"/>
  <c r="O88" i="10"/>
  <c r="Q88" i="10"/>
  <c r="Q249" i="10"/>
  <c r="H206" i="10"/>
  <c r="J206" i="10"/>
  <c r="Q163" i="10"/>
  <c r="O163" i="10"/>
  <c r="H103" i="10"/>
  <c r="J103" i="10"/>
  <c r="M7" i="10"/>
  <c r="Q7" i="10" s="1"/>
  <c r="J7" i="10"/>
  <c r="H7" i="10"/>
  <c r="H162" i="10"/>
  <c r="J162" i="10"/>
  <c r="AC248" i="10"/>
  <c r="AE248" i="10" s="1"/>
  <c r="AG248" i="10" s="1"/>
  <c r="P248" i="10"/>
  <c r="O218" i="10"/>
  <c r="Q218" i="10"/>
  <c r="H94" i="10"/>
  <c r="J94" i="10"/>
  <c r="Q19" i="10"/>
  <c r="H105" i="10"/>
  <c r="J105" i="10"/>
  <c r="O61" i="10"/>
  <c r="Q61" i="10"/>
  <c r="Q94" i="10"/>
  <c r="Q76" i="10"/>
  <c r="O76" i="10"/>
  <c r="H101" i="10"/>
  <c r="J101" i="10"/>
  <c r="Q22" i="10"/>
  <c r="Q95" i="10"/>
  <c r="O58" i="10"/>
  <c r="Q58" i="10"/>
  <c r="H97" i="10"/>
  <c r="J97" i="10"/>
  <c r="H72" i="10"/>
  <c r="J72" i="10"/>
  <c r="AC261" i="8"/>
  <c r="U261" i="8"/>
  <c r="AB261" i="8"/>
  <c r="Z261" i="8"/>
  <c r="Y261" i="8" s="1"/>
  <c r="X261" i="8" s="1"/>
  <c r="W261" i="8" s="1"/>
  <c r="V261" i="8" s="1"/>
  <c r="T261" i="8" s="1"/>
  <c r="AA261" i="8"/>
  <c r="J73" i="10"/>
  <c r="H73" i="10"/>
  <c r="H57" i="10"/>
  <c r="J57" i="10"/>
  <c r="AC229" i="8"/>
  <c r="U229" i="8"/>
  <c r="AA229" i="8"/>
  <c r="Z229" i="8"/>
  <c r="Y229" i="8" s="1"/>
  <c r="X229" i="8" s="1"/>
  <c r="W229" i="8" s="1"/>
  <c r="V229" i="8" s="1"/>
  <c r="T229" i="8" s="1"/>
  <c r="AB229" i="8"/>
  <c r="AA173" i="8"/>
  <c r="U173" i="8"/>
  <c r="AB173" i="8"/>
  <c r="AC173" i="8"/>
  <c r="Z173" i="8"/>
  <c r="Y173" i="8" s="1"/>
  <c r="X173" i="8" s="1"/>
  <c r="W173" i="8" s="1"/>
  <c r="V173" i="8" s="1"/>
  <c r="T173" i="8" s="1"/>
  <c r="AA161" i="8"/>
  <c r="U161" i="8"/>
  <c r="AC161" i="8"/>
  <c r="AB161" i="8"/>
  <c r="Z161" i="8"/>
  <c r="Y161" i="8" s="1"/>
  <c r="X161" i="8" s="1"/>
  <c r="W161" i="8" s="1"/>
  <c r="V161" i="8" s="1"/>
  <c r="T161" i="8" s="1"/>
  <c r="AA165" i="8"/>
  <c r="U165" i="8"/>
  <c r="AB165" i="8"/>
  <c r="AC165" i="8"/>
  <c r="Z165" i="8"/>
  <c r="Y165" i="8" s="1"/>
  <c r="X165" i="8" s="1"/>
  <c r="W165" i="8" s="1"/>
  <c r="V165" i="8" s="1"/>
  <c r="T165" i="8" s="1"/>
  <c r="AC81" i="8"/>
  <c r="U81" i="8"/>
  <c r="Z81" i="8"/>
  <c r="Y81" i="8" s="1"/>
  <c r="X81" i="8" s="1"/>
  <c r="W81" i="8" s="1"/>
  <c r="V81" i="8" s="1"/>
  <c r="T81" i="8" s="1"/>
  <c r="AA81" i="8"/>
  <c r="AB81" i="8"/>
  <c r="AC61" i="8"/>
  <c r="U61" i="8"/>
  <c r="AA61" i="8"/>
  <c r="Z61" i="8"/>
  <c r="Y61" i="8" s="1"/>
  <c r="X61" i="8" s="1"/>
  <c r="W61" i="8" s="1"/>
  <c r="V61" i="8" s="1"/>
  <c r="T61" i="8" s="1"/>
  <c r="AB61" i="8"/>
  <c r="Z49" i="8"/>
  <c r="Y49" i="8" s="1"/>
  <c r="X49" i="8" s="1"/>
  <c r="W49" i="8" s="1"/>
  <c r="V49" i="8" s="1"/>
  <c r="T49" i="8" s="1"/>
  <c r="AC49" i="8"/>
  <c r="AJ49" i="3" s="1"/>
  <c r="AK49" i="3" s="1"/>
  <c r="U49" i="8"/>
  <c r="AA49" i="8"/>
  <c r="AB49" i="8"/>
  <c r="AL49" i="3" s="1"/>
  <c r="AM49" i="3" s="1"/>
  <c r="U43" i="8"/>
  <c r="AC43" i="8"/>
  <c r="AA43" i="8"/>
  <c r="Z43" i="8"/>
  <c r="Y43" i="8" s="1"/>
  <c r="X43" i="8" s="1"/>
  <c r="W43" i="8" s="1"/>
  <c r="V43" i="8" s="1"/>
  <c r="T43" i="8" s="1"/>
  <c r="AB43" i="8"/>
  <c r="U11" i="8"/>
  <c r="AC11" i="8"/>
  <c r="AA11" i="8"/>
  <c r="Z11" i="8"/>
  <c r="Y11" i="8" s="1"/>
  <c r="X11" i="8" s="1"/>
  <c r="W11" i="8" s="1"/>
  <c r="V11" i="8" s="1"/>
  <c r="T11" i="8" s="1"/>
  <c r="AB11" i="8"/>
  <c r="AQ251" i="3"/>
  <c r="AN257" i="3"/>
  <c r="AO257" i="3" s="1"/>
  <c r="AN247" i="3"/>
  <c r="AO247" i="3" s="1"/>
  <c r="AF242" i="3"/>
  <c r="AS242" i="3" s="1"/>
  <c r="AL242" i="3"/>
  <c r="AM242" i="3" s="1"/>
  <c r="AJ242" i="3"/>
  <c r="AK242" i="3" s="1"/>
  <c r="AH242" i="3"/>
  <c r="AI242" i="3" s="1"/>
  <c r="AN191" i="3"/>
  <c r="AO191" i="3" s="1"/>
  <c r="AQ170" i="3"/>
  <c r="AN175" i="3"/>
  <c r="AO175" i="3" s="1"/>
  <c r="AH167" i="3"/>
  <c r="AI167" i="3" s="1"/>
  <c r="AF167" i="3"/>
  <c r="AS167" i="3" s="1"/>
  <c r="AL167" i="3"/>
  <c r="AM167" i="3" s="1"/>
  <c r="AJ167" i="3"/>
  <c r="AK167" i="3" s="1"/>
  <c r="AQ175" i="3"/>
  <c r="AN219" i="3"/>
  <c r="AO219" i="3" s="1"/>
  <c r="AQ207" i="3"/>
  <c r="AN183" i="3"/>
  <c r="AO183" i="3" s="1"/>
  <c r="AN176" i="3"/>
  <c r="AO176" i="3" s="1"/>
  <c r="I340" i="2"/>
  <c r="D340" i="2"/>
  <c r="I316" i="2"/>
  <c r="D316" i="2"/>
  <c r="I304" i="2"/>
  <c r="D304" i="2"/>
  <c r="I352" i="2"/>
  <c r="D352" i="2"/>
  <c r="I334" i="2"/>
  <c r="D334" i="2"/>
  <c r="AQ180" i="3"/>
  <c r="J264" i="2"/>
  <c r="C264" i="2"/>
  <c r="B264" i="2"/>
  <c r="J235" i="2"/>
  <c r="C235" i="2"/>
  <c r="B235" i="2"/>
  <c r="J203" i="2"/>
  <c r="C203" i="2"/>
  <c r="B203" i="2"/>
  <c r="I133" i="2"/>
  <c r="D133" i="2"/>
  <c r="A93" i="2"/>
  <c r="W93" i="1"/>
  <c r="V93" i="1"/>
  <c r="E93" i="1"/>
  <c r="U93" i="1"/>
  <c r="T93" i="1"/>
  <c r="C93" i="1"/>
  <c r="X93" i="1" s="1"/>
  <c r="S93" i="1"/>
  <c r="B93" i="1"/>
  <c r="W61" i="1"/>
  <c r="V61" i="1"/>
  <c r="E61" i="1"/>
  <c r="U61" i="1"/>
  <c r="A61" i="2"/>
  <c r="T61" i="1"/>
  <c r="C61" i="1"/>
  <c r="X61" i="1" s="1"/>
  <c r="Y61" i="1" s="1"/>
  <c r="Z61" i="1" s="1"/>
  <c r="D61" i="1" s="1"/>
  <c r="AA61" i="1"/>
  <c r="S61" i="1"/>
  <c r="B61" i="1"/>
  <c r="A29" i="2"/>
  <c r="W29" i="1"/>
  <c r="V29" i="1"/>
  <c r="E29" i="1"/>
  <c r="U29" i="1"/>
  <c r="T29" i="1"/>
  <c r="C29" i="1"/>
  <c r="X29" i="1" s="1"/>
  <c r="Y29" i="1" s="1"/>
  <c r="Z29" i="1" s="1"/>
  <c r="D29" i="1" s="1"/>
  <c r="AA29" i="1"/>
  <c r="S29" i="1"/>
  <c r="B29" i="1"/>
  <c r="AN157" i="3"/>
  <c r="AO157" i="3" s="1"/>
  <c r="AL125" i="3"/>
  <c r="AM125" i="3" s="1"/>
  <c r="AJ125" i="3"/>
  <c r="AK125" i="3" s="1"/>
  <c r="AH125" i="3"/>
  <c r="AI125" i="3" s="1"/>
  <c r="AF125" i="3"/>
  <c r="AN96" i="3"/>
  <c r="C282" i="2"/>
  <c r="B282" i="2"/>
  <c r="J282" i="2"/>
  <c r="AH85" i="3"/>
  <c r="AI85" i="3" s="1"/>
  <c r="AF85" i="3"/>
  <c r="AS85" i="3" s="1"/>
  <c r="AL85" i="3"/>
  <c r="AM85" i="3" s="1"/>
  <c r="AJ85" i="3"/>
  <c r="AK85" i="3" s="1"/>
  <c r="AR53" i="3"/>
  <c r="AQ53" i="3"/>
  <c r="AO53" i="3"/>
  <c r="AF161" i="3"/>
  <c r="AS161" i="3" s="1"/>
  <c r="AL161" i="3"/>
  <c r="AM161" i="3" s="1"/>
  <c r="AJ161" i="3"/>
  <c r="AK161" i="3" s="1"/>
  <c r="AH161" i="3"/>
  <c r="AI161" i="3" s="1"/>
  <c r="AL177" i="3"/>
  <c r="AM177" i="3" s="1"/>
  <c r="AJ177" i="3"/>
  <c r="AK177" i="3" s="1"/>
  <c r="AH177" i="3"/>
  <c r="AI177" i="3" s="1"/>
  <c r="AF177" i="3"/>
  <c r="AS177" i="3" s="1"/>
  <c r="AN167" i="3"/>
  <c r="AO167" i="3" s="1"/>
  <c r="AQ191" i="3"/>
  <c r="AQ200" i="3"/>
  <c r="AF200" i="3"/>
  <c r="AS200" i="3" s="1"/>
  <c r="AJ200" i="3"/>
  <c r="AK200" i="3" s="1"/>
  <c r="AL200" i="3"/>
  <c r="AM200" i="3" s="1"/>
  <c r="AH200" i="3"/>
  <c r="AI200" i="3" s="1"/>
  <c r="AN163" i="3"/>
  <c r="AO163" i="3" s="1"/>
  <c r="AN201" i="3"/>
  <c r="AO201" i="3" s="1"/>
  <c r="AH213" i="3"/>
  <c r="AI213" i="3" s="1"/>
  <c r="AF213" i="3"/>
  <c r="AS213" i="3" s="1"/>
  <c r="AL213" i="3"/>
  <c r="AM213" i="3" s="1"/>
  <c r="AJ213" i="3"/>
  <c r="AK213" i="3" s="1"/>
  <c r="AN159" i="3"/>
  <c r="AO159" i="3" s="1"/>
  <c r="AN182" i="3"/>
  <c r="AO182" i="3" s="1"/>
  <c r="AQ196" i="3"/>
  <c r="AF165" i="3"/>
  <c r="AS165" i="3" s="1"/>
  <c r="AL165" i="3"/>
  <c r="AM165" i="3" s="1"/>
  <c r="AJ165" i="3"/>
  <c r="AK165" i="3" s="1"/>
  <c r="AH165" i="3"/>
  <c r="AI165" i="3" s="1"/>
  <c r="AN181" i="3"/>
  <c r="AO181" i="3" s="1"/>
  <c r="AJ188" i="3"/>
  <c r="AK188" i="3" s="1"/>
  <c r="AF188" i="3"/>
  <c r="AS188" i="3" s="1"/>
  <c r="AL188" i="3"/>
  <c r="AM188" i="3" s="1"/>
  <c r="AH188" i="3"/>
  <c r="AI188" i="3" s="1"/>
  <c r="AJ204" i="3"/>
  <c r="AK204" i="3" s="1"/>
  <c r="AF204" i="3"/>
  <c r="AS204" i="3" s="1"/>
  <c r="AL204" i="3"/>
  <c r="AM204" i="3" s="1"/>
  <c r="AH204" i="3"/>
  <c r="AI204" i="3" s="1"/>
  <c r="AN221" i="3"/>
  <c r="AO221" i="3" s="1"/>
  <c r="AL225" i="3"/>
  <c r="AM225" i="3" s="1"/>
  <c r="AJ225" i="3"/>
  <c r="AK225" i="3" s="1"/>
  <c r="AH225" i="3"/>
  <c r="AI225" i="3" s="1"/>
  <c r="AF225" i="3"/>
  <c r="AS225" i="3" s="1"/>
  <c r="AQ240" i="3"/>
  <c r="AF208" i="3"/>
  <c r="AS208" i="3" s="1"/>
  <c r="AJ208" i="3"/>
  <c r="AK208" i="3" s="1"/>
  <c r="AL208" i="3"/>
  <c r="AM208" i="3" s="1"/>
  <c r="AH208" i="3"/>
  <c r="AI208" i="3" s="1"/>
  <c r="AN217" i="3"/>
  <c r="AO217" i="3" s="1"/>
  <c r="AQ228" i="3"/>
  <c r="AQ258" i="3"/>
  <c r="AQ209" i="3"/>
  <c r="AH252" i="3"/>
  <c r="AI252" i="3" s="1"/>
  <c r="AF252" i="3"/>
  <c r="AS252" i="3" s="1"/>
  <c r="AL252" i="3"/>
  <c r="AM252" i="3" s="1"/>
  <c r="AJ252" i="3"/>
  <c r="AK252" i="3" s="1"/>
  <c r="AL260" i="3"/>
  <c r="AM260" i="3" s="1"/>
  <c r="AJ260" i="3"/>
  <c r="AK260" i="3" s="1"/>
  <c r="AH260" i="3"/>
  <c r="AI260" i="3" s="1"/>
  <c r="AF260" i="3"/>
  <c r="AS260" i="3" s="1"/>
  <c r="AN260" i="3"/>
  <c r="AO260" i="3" s="1"/>
  <c r="AH256" i="3"/>
  <c r="AI256" i="3" s="1"/>
  <c r="AJ256" i="3"/>
  <c r="AK256" i="3" s="1"/>
  <c r="AF256" i="3"/>
  <c r="AS256" i="3" s="1"/>
  <c r="AL256" i="3"/>
  <c r="AM256" i="3" s="1"/>
  <c r="AG55" i="7"/>
  <c r="AT55" i="3" s="1"/>
  <c r="AA56" i="1" s="1"/>
  <c r="Y55" i="7"/>
  <c r="S55" i="3" s="1"/>
  <c r="Z55" i="7"/>
  <c r="U55" i="7"/>
  <c r="T55" i="7"/>
  <c r="M55" i="3" s="1"/>
  <c r="T20" i="7"/>
  <c r="M20" i="3" s="1"/>
  <c r="AG20" i="7"/>
  <c r="Y20" i="7"/>
  <c r="S20" i="3" s="1"/>
  <c r="Z20" i="7"/>
  <c r="U20" i="7"/>
  <c r="T52" i="7"/>
  <c r="M52" i="3" s="1"/>
  <c r="AG52" i="7"/>
  <c r="AT52" i="3" s="1"/>
  <c r="AA53" i="1" s="1"/>
  <c r="Y52" i="7"/>
  <c r="S52" i="3" s="1"/>
  <c r="Z52" i="7"/>
  <c r="U52" i="7"/>
  <c r="U37" i="7"/>
  <c r="Z37" i="7"/>
  <c r="Y37" i="7"/>
  <c r="S37" i="3" s="1"/>
  <c r="AG37" i="7"/>
  <c r="T37" i="7"/>
  <c r="T84" i="7"/>
  <c r="M84" i="3" s="1"/>
  <c r="Z84" i="7"/>
  <c r="AG84" i="7"/>
  <c r="AT84" i="3" s="1"/>
  <c r="AA85" i="1" s="1"/>
  <c r="Y84" i="7"/>
  <c r="S84" i="3" s="1"/>
  <c r="U84" i="7"/>
  <c r="T17" i="7"/>
  <c r="M17" i="3" s="1"/>
  <c r="AG17" i="7"/>
  <c r="U17" i="7"/>
  <c r="Y17" i="7"/>
  <c r="S17" i="3" s="1"/>
  <c r="Z17" i="7"/>
  <c r="Z38" i="7"/>
  <c r="U38" i="7"/>
  <c r="AG38" i="7"/>
  <c r="Y38" i="7"/>
  <c r="S38" i="3" s="1"/>
  <c r="T38" i="7"/>
  <c r="M38" i="3" s="1"/>
  <c r="Z71" i="7"/>
  <c r="Y71" i="7"/>
  <c r="S71" i="3" s="1"/>
  <c r="U71" i="7"/>
  <c r="T71" i="7"/>
  <c r="M71" i="3" s="1"/>
  <c r="AG71" i="7"/>
  <c r="T97" i="7"/>
  <c r="M97" i="3" s="1"/>
  <c r="Z97" i="7"/>
  <c r="AG97" i="7"/>
  <c r="AT97" i="3" s="1"/>
  <c r="AA98" i="1" s="1"/>
  <c r="U97" i="7"/>
  <c r="Y97" i="7"/>
  <c r="S97" i="3" s="1"/>
  <c r="Z88" i="7"/>
  <c r="T88" i="7"/>
  <c r="M88" i="3" s="1"/>
  <c r="AG88" i="7"/>
  <c r="AT88" i="3" s="1"/>
  <c r="AA89" i="1" s="1"/>
  <c r="Y88" i="7"/>
  <c r="S88" i="3" s="1"/>
  <c r="U88" i="7"/>
  <c r="S111" i="7"/>
  <c r="S116" i="7"/>
  <c r="H652" i="10"/>
  <c r="J652" i="10"/>
  <c r="AH50" i="3"/>
  <c r="AI50" i="3" s="1"/>
  <c r="AF50" i="3"/>
  <c r="AS50" i="3" s="1"/>
  <c r="AL50" i="3"/>
  <c r="AM50" i="3" s="1"/>
  <c r="AJ50" i="3"/>
  <c r="AK50" i="3" s="1"/>
  <c r="J232" i="2"/>
  <c r="C232" i="2"/>
  <c r="B232" i="2"/>
  <c r="I168" i="2"/>
  <c r="D168" i="2"/>
  <c r="A140" i="2"/>
  <c r="T140" i="1"/>
  <c r="C140" i="1"/>
  <c r="X140" i="1" s="1"/>
  <c r="Y140" i="1" s="1"/>
  <c r="Z140" i="1" s="1"/>
  <c r="D140" i="1" s="1"/>
  <c r="S140" i="1"/>
  <c r="B140" i="1"/>
  <c r="W140" i="1"/>
  <c r="V140" i="1"/>
  <c r="E140" i="1"/>
  <c r="U140" i="1"/>
  <c r="A120" i="2"/>
  <c r="T120" i="1"/>
  <c r="C120" i="1"/>
  <c r="X120" i="1" s="1"/>
  <c r="Y120" i="1" s="1"/>
  <c r="Z120" i="1" s="1"/>
  <c r="D120" i="1" s="1"/>
  <c r="S120" i="1"/>
  <c r="B120" i="1"/>
  <c r="W120" i="1"/>
  <c r="V120" i="1"/>
  <c r="E120" i="1"/>
  <c r="U120" i="1"/>
  <c r="A88" i="2"/>
  <c r="T88" i="1"/>
  <c r="C88" i="1"/>
  <c r="X88" i="1" s="1"/>
  <c r="Y88" i="1" s="1"/>
  <c r="Z88" i="1" s="1"/>
  <c r="D88" i="1" s="1"/>
  <c r="S88" i="1"/>
  <c r="B88" i="1"/>
  <c r="W88" i="1"/>
  <c r="V88" i="1"/>
  <c r="E88" i="1"/>
  <c r="U88" i="1"/>
  <c r="T56" i="1"/>
  <c r="C56" i="1"/>
  <c r="X56" i="1" s="1"/>
  <c r="Y56" i="1" s="1"/>
  <c r="Z56" i="1" s="1"/>
  <c r="D56" i="1" s="1"/>
  <c r="S56" i="1"/>
  <c r="B56" i="1"/>
  <c r="A56" i="2"/>
  <c r="W56" i="1"/>
  <c r="V56" i="1"/>
  <c r="E56" i="1"/>
  <c r="U56" i="1"/>
  <c r="A24" i="2"/>
  <c r="T24" i="1"/>
  <c r="C24" i="1"/>
  <c r="X24" i="1" s="1"/>
  <c r="Y24" i="1" s="1"/>
  <c r="Z24" i="1" s="1"/>
  <c r="D24" i="1" s="1"/>
  <c r="AA24" i="1"/>
  <c r="S24" i="1"/>
  <c r="B24" i="1"/>
  <c r="W24" i="1"/>
  <c r="V24" i="1"/>
  <c r="E24" i="1"/>
  <c r="U24" i="1"/>
  <c r="AQ151" i="3"/>
  <c r="AP90" i="3"/>
  <c r="F290" i="1"/>
  <c r="J250" i="2"/>
  <c r="C250" i="2"/>
  <c r="B250" i="2"/>
  <c r="F229" i="1"/>
  <c r="J209" i="2"/>
  <c r="C209" i="2"/>
  <c r="B209" i="2"/>
  <c r="F205" i="1"/>
  <c r="AN156" i="3"/>
  <c r="AO156" i="3" s="1"/>
  <c r="AH124" i="3"/>
  <c r="AI124" i="3" s="1"/>
  <c r="AL124" i="3"/>
  <c r="AM124" i="3" s="1"/>
  <c r="AJ124" i="3"/>
  <c r="AK124" i="3" s="1"/>
  <c r="AF124" i="3"/>
  <c r="AS124" i="3" s="1"/>
  <c r="AQ79" i="3"/>
  <c r="AF63" i="3"/>
  <c r="AS63" i="3" s="1"/>
  <c r="AL63" i="3"/>
  <c r="AM63" i="3" s="1"/>
  <c r="AJ63" i="3"/>
  <c r="AK63" i="3" s="1"/>
  <c r="AH63" i="3"/>
  <c r="AI63" i="3" s="1"/>
  <c r="AJ55" i="3"/>
  <c r="AK55" i="3" s="1"/>
  <c r="AH55" i="3"/>
  <c r="AI55" i="3" s="1"/>
  <c r="AF55" i="3"/>
  <c r="AL55" i="3"/>
  <c r="AM55" i="3" s="1"/>
  <c r="AF92" i="3"/>
  <c r="AS92" i="3" s="1"/>
  <c r="C325" i="2"/>
  <c r="B325" i="2"/>
  <c r="J325" i="2"/>
  <c r="I167" i="2"/>
  <c r="D167" i="2"/>
  <c r="A119" i="2"/>
  <c r="E119" i="1"/>
  <c r="C119" i="1"/>
  <c r="S119" i="1"/>
  <c r="B119" i="1"/>
  <c r="W119" i="1"/>
  <c r="A87" i="2"/>
  <c r="V87" i="1"/>
  <c r="E87" i="1"/>
  <c r="U87" i="1"/>
  <c r="T87" i="1"/>
  <c r="C87" i="1"/>
  <c r="X87" i="1" s="1"/>
  <c r="Y87" i="1" s="1"/>
  <c r="Z87" i="1" s="1"/>
  <c r="D87" i="1" s="1"/>
  <c r="S87" i="1"/>
  <c r="B87" i="1"/>
  <c r="W87" i="1"/>
  <c r="V55" i="1"/>
  <c r="E55" i="1"/>
  <c r="U55" i="1"/>
  <c r="T55" i="1"/>
  <c r="C55" i="1"/>
  <c r="X55" i="1" s="1"/>
  <c r="Y55" i="1" s="1"/>
  <c r="Z55" i="1" s="1"/>
  <c r="D55" i="1" s="1"/>
  <c r="S55" i="1"/>
  <c r="B55" i="1"/>
  <c r="A55" i="2"/>
  <c r="W55" i="1"/>
  <c r="A23" i="2"/>
  <c r="V23" i="1"/>
  <c r="E23" i="1"/>
  <c r="U23" i="1"/>
  <c r="T23" i="1"/>
  <c r="C23" i="1"/>
  <c r="X23" i="1" s="1"/>
  <c r="Y23" i="1" s="1"/>
  <c r="Z23" i="1" s="1"/>
  <c r="D23" i="1" s="1"/>
  <c r="AA23" i="1"/>
  <c r="S23" i="1"/>
  <c r="B23" i="1"/>
  <c r="W23" i="1"/>
  <c r="AH153" i="3"/>
  <c r="AI153" i="3" s="1"/>
  <c r="AF153" i="3"/>
  <c r="AL153" i="3"/>
  <c r="AM153" i="3" s="1"/>
  <c r="AJ153" i="3"/>
  <c r="AK153" i="3" s="1"/>
  <c r="C285" i="2"/>
  <c r="B285" i="2"/>
  <c r="J285" i="2"/>
  <c r="J230" i="2"/>
  <c r="C230" i="2"/>
  <c r="B230" i="2"/>
  <c r="A6" i="2"/>
  <c r="E6" i="1"/>
  <c r="C6" i="1"/>
  <c r="X6" i="1" s="1"/>
  <c r="B6" i="1"/>
  <c r="J6" i="1"/>
  <c r="AQ150" i="3"/>
  <c r="AQ142" i="3"/>
  <c r="AL134" i="3"/>
  <c r="AM134" i="3" s="1"/>
  <c r="AR97" i="3"/>
  <c r="AN65" i="3"/>
  <c r="AO65" i="3" s="1"/>
  <c r="AF41" i="3"/>
  <c r="AL41" i="3"/>
  <c r="AM41" i="3" s="1"/>
  <c r="AJ41" i="3"/>
  <c r="AK41" i="3" s="1"/>
  <c r="AH41" i="3"/>
  <c r="AI41" i="3" s="1"/>
  <c r="AF9" i="3"/>
  <c r="AL9" i="3"/>
  <c r="AM9" i="3" s="1"/>
  <c r="AJ9" i="3"/>
  <c r="AK9" i="3" s="1"/>
  <c r="AR11" i="3"/>
  <c r="L88" i="3"/>
  <c r="F253" i="1"/>
  <c r="J233" i="2"/>
  <c r="C233" i="2"/>
  <c r="B233" i="2"/>
  <c r="A154" i="2"/>
  <c r="W154" i="1"/>
  <c r="V154" i="1"/>
  <c r="E154" i="1"/>
  <c r="U154" i="1"/>
  <c r="T154" i="1"/>
  <c r="C154" i="1"/>
  <c r="X154" i="1" s="1"/>
  <c r="Y154" i="1" s="1"/>
  <c r="Z154" i="1" s="1"/>
  <c r="D154" i="1" s="1"/>
  <c r="S154" i="1"/>
  <c r="B154" i="1"/>
  <c r="A142" i="2"/>
  <c r="W142" i="1"/>
  <c r="V142" i="1"/>
  <c r="E142" i="1"/>
  <c r="U142" i="1"/>
  <c r="T142" i="1"/>
  <c r="C142" i="1"/>
  <c r="X142" i="1" s="1"/>
  <c r="Y142" i="1" s="1"/>
  <c r="Z142" i="1" s="1"/>
  <c r="D142" i="1" s="1"/>
  <c r="S142" i="1"/>
  <c r="B142" i="1"/>
  <c r="A94" i="2"/>
  <c r="W94" i="1"/>
  <c r="V94" i="1"/>
  <c r="E94" i="1"/>
  <c r="U94" i="1"/>
  <c r="T94" i="1"/>
  <c r="C94" i="1"/>
  <c r="X94" i="1" s="1"/>
  <c r="S94" i="1"/>
  <c r="B94" i="1"/>
  <c r="W62" i="1"/>
  <c r="V62" i="1"/>
  <c r="E62" i="1"/>
  <c r="U62" i="1"/>
  <c r="T62" i="1"/>
  <c r="C62" i="1"/>
  <c r="X62" i="1" s="1"/>
  <c r="Y62" i="1" s="1"/>
  <c r="Z62" i="1" s="1"/>
  <c r="D62" i="1" s="1"/>
  <c r="A62" i="2"/>
  <c r="AA62" i="1"/>
  <c r="S62" i="1"/>
  <c r="B62" i="1"/>
  <c r="A30" i="2"/>
  <c r="W30" i="1"/>
  <c r="V30" i="1"/>
  <c r="E30" i="1"/>
  <c r="U30" i="1"/>
  <c r="T30" i="1"/>
  <c r="C30" i="1"/>
  <c r="X30" i="1" s="1"/>
  <c r="Y30" i="1" s="1"/>
  <c r="Z30" i="1" s="1"/>
  <c r="D30" i="1" s="1"/>
  <c r="AA30" i="1"/>
  <c r="S30" i="1"/>
  <c r="B30" i="1"/>
  <c r="AJ155" i="3"/>
  <c r="AK155" i="3" s="1"/>
  <c r="AH155" i="3"/>
  <c r="AI155" i="3" s="1"/>
  <c r="AF155" i="3"/>
  <c r="AS155" i="3" s="1"/>
  <c r="AL155" i="3"/>
  <c r="AM155" i="3" s="1"/>
  <c r="AR27" i="3"/>
  <c r="AQ27" i="3"/>
  <c r="F307" i="1"/>
  <c r="C274" i="2"/>
  <c r="B274" i="2"/>
  <c r="J274" i="2"/>
  <c r="O136" i="3"/>
  <c r="AQ59" i="3"/>
  <c r="J728" i="10"/>
  <c r="H728" i="10"/>
  <c r="O489" i="10"/>
  <c r="Q489" i="10"/>
  <c r="Q469" i="10"/>
  <c r="J403" i="10"/>
  <c r="H403" i="10"/>
  <c r="J185" i="10"/>
  <c r="H185" i="10"/>
  <c r="O140" i="10"/>
  <c r="Q140" i="10"/>
  <c r="O221" i="10"/>
  <c r="Q221" i="10"/>
  <c r="H26" i="10"/>
  <c r="J26" i="10"/>
  <c r="H64" i="10"/>
  <c r="J64" i="10"/>
  <c r="J655" i="10"/>
  <c r="H655" i="10"/>
  <c r="AC197" i="8"/>
  <c r="U197" i="8"/>
  <c r="AA197" i="8"/>
  <c r="Z197" i="8"/>
  <c r="Y197" i="8" s="1"/>
  <c r="X197" i="8" s="1"/>
  <c r="W197" i="8" s="1"/>
  <c r="V197" i="8" s="1"/>
  <c r="T197" i="8" s="1"/>
  <c r="AB197" i="8"/>
  <c r="Z29" i="8"/>
  <c r="Y29" i="8" s="1"/>
  <c r="X29" i="8" s="1"/>
  <c r="W29" i="8" s="1"/>
  <c r="V29" i="8" s="1"/>
  <c r="T29" i="8" s="1"/>
  <c r="AC29" i="8"/>
  <c r="U29" i="8"/>
  <c r="AA29" i="8"/>
  <c r="AB29" i="8"/>
  <c r="J712" i="10"/>
  <c r="H712" i="10"/>
  <c r="J739" i="10"/>
  <c r="H739" i="10"/>
  <c r="J709" i="10"/>
  <c r="H709" i="10"/>
  <c r="J695" i="10"/>
  <c r="H695" i="10"/>
  <c r="H725" i="10"/>
  <c r="J725" i="10"/>
  <c r="H729" i="10"/>
  <c r="J729" i="10"/>
  <c r="H672" i="10"/>
  <c r="J672" i="10"/>
  <c r="J671" i="10"/>
  <c r="H671" i="10"/>
  <c r="H678" i="10"/>
  <c r="J678" i="10"/>
  <c r="J660" i="10"/>
  <c r="H660" i="10"/>
  <c r="J657" i="10"/>
  <c r="H657" i="10"/>
  <c r="Q644" i="10"/>
  <c r="Q637" i="10"/>
  <c r="J635" i="10"/>
  <c r="H635" i="10"/>
  <c r="J594" i="10"/>
  <c r="H594" i="10"/>
  <c r="Q630" i="10"/>
  <c r="J602" i="10"/>
  <c r="H602" i="10"/>
  <c r="J601" i="10"/>
  <c r="H601" i="10"/>
  <c r="J633" i="10"/>
  <c r="H633" i="10"/>
  <c r="J620" i="10"/>
  <c r="H620" i="10"/>
  <c r="H595" i="10"/>
  <c r="J595" i="10"/>
  <c r="O522" i="10"/>
  <c r="Q522" i="10"/>
  <c r="O514" i="10"/>
  <c r="Q514" i="10"/>
  <c r="O506" i="10"/>
  <c r="Q506" i="10"/>
  <c r="O498" i="10"/>
  <c r="Q498" i="10"/>
  <c r="O490" i="10"/>
  <c r="Q490" i="10"/>
  <c r="O472" i="10"/>
  <c r="Q472" i="10"/>
  <c r="Q428" i="10"/>
  <c r="J412" i="10"/>
  <c r="H412" i="10"/>
  <c r="J471" i="10"/>
  <c r="H471" i="10"/>
  <c r="J415" i="10"/>
  <c r="H415" i="10"/>
  <c r="J402" i="10"/>
  <c r="H402" i="10"/>
  <c r="J405" i="10"/>
  <c r="H405" i="10"/>
  <c r="J245" i="10"/>
  <c r="H245" i="10"/>
  <c r="P243" i="10"/>
  <c r="Q422" i="10"/>
  <c r="H224" i="10"/>
  <c r="J224" i="10"/>
  <c r="H211" i="10"/>
  <c r="J211" i="10"/>
  <c r="Q186" i="10"/>
  <c r="O186" i="10"/>
  <c r="Q170" i="10"/>
  <c r="O170" i="10"/>
  <c r="O217" i="10"/>
  <c r="Q217" i="10"/>
  <c r="O149" i="10"/>
  <c r="Q149" i="10"/>
  <c r="O141" i="10"/>
  <c r="Q141" i="10"/>
  <c r="O133" i="10"/>
  <c r="Q133" i="10"/>
  <c r="O125" i="10"/>
  <c r="Q125" i="10"/>
  <c r="O117" i="10"/>
  <c r="Q117" i="10"/>
  <c r="H230" i="10"/>
  <c r="J230" i="10"/>
  <c r="Q213" i="10"/>
  <c r="O213" i="10"/>
  <c r="J190" i="10"/>
  <c r="H190" i="10"/>
  <c r="J174" i="10"/>
  <c r="H174" i="10"/>
  <c r="H221" i="10"/>
  <c r="J221" i="10"/>
  <c r="H228" i="10"/>
  <c r="J228" i="10"/>
  <c r="O235" i="10"/>
  <c r="Q235" i="10"/>
  <c r="H108" i="10"/>
  <c r="J108" i="10"/>
  <c r="O100" i="10"/>
  <c r="Q100" i="10"/>
  <c r="Q222" i="10"/>
  <c r="H83" i="10"/>
  <c r="J83" i="10"/>
  <c r="M6" i="10"/>
  <c r="Q6" i="10" s="1"/>
  <c r="J6" i="10"/>
  <c r="H6" i="10"/>
  <c r="O162" i="10"/>
  <c r="Q162" i="10"/>
  <c r="H106" i="10"/>
  <c r="J106" i="10"/>
  <c r="Q67" i="10"/>
  <c r="AC249" i="10"/>
  <c r="P249" i="10"/>
  <c r="H59" i="10"/>
  <c r="J59" i="10"/>
  <c r="Q90" i="10"/>
  <c r="H71" i="10"/>
  <c r="J71" i="10"/>
  <c r="O57" i="10"/>
  <c r="Q57" i="10"/>
  <c r="AA169" i="8"/>
  <c r="U169" i="8"/>
  <c r="AB169" i="8"/>
  <c r="Z169" i="8"/>
  <c r="Y169" i="8" s="1"/>
  <c r="X169" i="8" s="1"/>
  <c r="W169" i="8" s="1"/>
  <c r="V169" i="8" s="1"/>
  <c r="T169" i="8" s="1"/>
  <c r="AC169" i="8"/>
  <c r="H70" i="10"/>
  <c r="J70" i="10"/>
  <c r="AC209" i="8"/>
  <c r="U209" i="8"/>
  <c r="AA209" i="8"/>
  <c r="Z209" i="8"/>
  <c r="Y209" i="8" s="1"/>
  <c r="X209" i="8" s="1"/>
  <c r="W209" i="8" s="1"/>
  <c r="V209" i="8" s="1"/>
  <c r="T209" i="8" s="1"/>
  <c r="AB209" i="8"/>
  <c r="AC205" i="8"/>
  <c r="U205" i="8"/>
  <c r="AA205" i="8"/>
  <c r="Z205" i="8"/>
  <c r="Y205" i="8" s="1"/>
  <c r="X205" i="8" s="1"/>
  <c r="W205" i="8" s="1"/>
  <c r="V205" i="8" s="1"/>
  <c r="T205" i="8" s="1"/>
  <c r="AB205" i="8"/>
  <c r="Z119" i="8"/>
  <c r="Y119" i="8" s="1"/>
  <c r="X119" i="8" s="1"/>
  <c r="W119" i="8" s="1"/>
  <c r="U119" i="8"/>
  <c r="AC119" i="8"/>
  <c r="AJ119" i="3" s="1"/>
  <c r="AK119" i="3" s="1"/>
  <c r="AA119" i="8"/>
  <c r="AH119" i="3" s="1"/>
  <c r="AI119" i="3" s="1"/>
  <c r="AB119" i="8"/>
  <c r="AL119" i="3" s="1"/>
  <c r="AM119" i="3" s="1"/>
  <c r="AC201" i="8"/>
  <c r="U201" i="8"/>
  <c r="AA201" i="8"/>
  <c r="Z201" i="8"/>
  <c r="Y201" i="8" s="1"/>
  <c r="X201" i="8" s="1"/>
  <c r="W201" i="8" s="1"/>
  <c r="V201" i="8" s="1"/>
  <c r="T201" i="8" s="1"/>
  <c r="AB201" i="8"/>
  <c r="AA153" i="8"/>
  <c r="U153" i="8"/>
  <c r="Z153" i="8"/>
  <c r="Y153" i="8" s="1"/>
  <c r="X153" i="8" s="1"/>
  <c r="W153" i="8" s="1"/>
  <c r="V153" i="8" s="1"/>
  <c r="T153" i="8" s="1"/>
  <c r="AB153" i="8"/>
  <c r="AC153" i="8"/>
  <c r="U136" i="8"/>
  <c r="AC136" i="8"/>
  <c r="Z136" i="8"/>
  <c r="Y136" i="8" s="1"/>
  <c r="X136" i="8" s="1"/>
  <c r="W136" i="8" s="1"/>
  <c r="V136" i="8" s="1"/>
  <c r="T136" i="8" s="1"/>
  <c r="AB136" i="8"/>
  <c r="AA136" i="8"/>
  <c r="AC73" i="8"/>
  <c r="U73" i="8"/>
  <c r="Z73" i="8"/>
  <c r="Y73" i="8" s="1"/>
  <c r="X73" i="8" s="1"/>
  <c r="W73" i="8" s="1"/>
  <c r="V73" i="8" s="1"/>
  <c r="T73" i="8" s="1"/>
  <c r="AB73" i="8"/>
  <c r="AA73" i="8"/>
  <c r="Z21" i="8"/>
  <c r="Y21" i="8" s="1"/>
  <c r="X21" i="8" s="1"/>
  <c r="W21" i="8" s="1"/>
  <c r="V21" i="8" s="1"/>
  <c r="T21" i="8" s="1"/>
  <c r="AC21" i="8"/>
  <c r="U21" i="8"/>
  <c r="AA21" i="8"/>
  <c r="AB21" i="8"/>
  <c r="U15" i="8"/>
  <c r="AC15" i="8"/>
  <c r="AA15" i="8"/>
  <c r="Z15" i="8"/>
  <c r="Y15" i="8" s="1"/>
  <c r="X15" i="8" s="1"/>
  <c r="W15" i="8" s="1"/>
  <c r="V15" i="8" s="1"/>
  <c r="T15" i="8" s="1"/>
  <c r="AB15" i="8"/>
  <c r="AF226" i="3"/>
  <c r="AS226" i="3" s="1"/>
  <c r="AL226" i="3"/>
  <c r="AM226" i="3" s="1"/>
  <c r="AJ226" i="3"/>
  <c r="AK226" i="3" s="1"/>
  <c r="AH226" i="3"/>
  <c r="AI226" i="3" s="1"/>
  <c r="AQ257" i="3"/>
  <c r="AN255" i="3"/>
  <c r="AO255" i="3" s="1"/>
  <c r="AN231" i="3"/>
  <c r="AO231" i="3" s="1"/>
  <c r="AN220" i="3"/>
  <c r="AO220" i="3" s="1"/>
  <c r="AN204" i="3"/>
  <c r="AO204" i="3" s="1"/>
  <c r="AN188" i="3"/>
  <c r="AO188" i="3" s="1"/>
  <c r="AN249" i="3"/>
  <c r="AO249" i="3" s="1"/>
  <c r="AF223" i="3"/>
  <c r="AS223" i="3" s="1"/>
  <c r="AL223" i="3"/>
  <c r="AM223" i="3" s="1"/>
  <c r="AJ223" i="3"/>
  <c r="AK223" i="3" s="1"/>
  <c r="AH223" i="3"/>
  <c r="AI223" i="3" s="1"/>
  <c r="AN216" i="3"/>
  <c r="AO216" i="3" s="1"/>
  <c r="AN190" i="3"/>
  <c r="AO190" i="3" s="1"/>
  <c r="AN160" i="3"/>
  <c r="AO160" i="3" s="1"/>
  <c r="AQ198" i="3"/>
  <c r="AQ190" i="3"/>
  <c r="AJ179" i="3"/>
  <c r="AK179" i="3" s="1"/>
  <c r="AH179" i="3"/>
  <c r="AI179" i="3" s="1"/>
  <c r="AF179" i="3"/>
  <c r="AS179" i="3" s="1"/>
  <c r="AL179" i="3"/>
  <c r="AM179" i="3" s="1"/>
  <c r="AF215" i="3"/>
  <c r="AS215" i="3" s="1"/>
  <c r="AL215" i="3"/>
  <c r="AM215" i="3" s="1"/>
  <c r="AJ215" i="3"/>
  <c r="AK215" i="3" s="1"/>
  <c r="AH215" i="3"/>
  <c r="AI215" i="3" s="1"/>
  <c r="AQ215" i="3"/>
  <c r="AQ162" i="3"/>
  <c r="AN184" i="3"/>
  <c r="AO184" i="3" s="1"/>
  <c r="AQ166" i="3"/>
  <c r="AH174" i="3"/>
  <c r="AI174" i="3" s="1"/>
  <c r="AL174" i="3"/>
  <c r="AM174" i="3" s="1"/>
  <c r="AJ174" i="3"/>
  <c r="AK174" i="3" s="1"/>
  <c r="AF174" i="3"/>
  <c r="AS174" i="3" s="1"/>
  <c r="AQ194" i="3"/>
  <c r="AJ203" i="3"/>
  <c r="AK203" i="3" s="1"/>
  <c r="AF203" i="3"/>
  <c r="AS203" i="3" s="1"/>
  <c r="AL203" i="3"/>
  <c r="AM203" i="3" s="1"/>
  <c r="AH203" i="3"/>
  <c r="AI203" i="3" s="1"/>
  <c r="AN178" i="3"/>
  <c r="AO178" i="3" s="1"/>
  <c r="AL158" i="3"/>
  <c r="AM158" i="3" s="1"/>
  <c r="AJ158" i="3"/>
  <c r="AK158" i="3" s="1"/>
  <c r="AH158" i="3"/>
  <c r="AI158" i="3" s="1"/>
  <c r="AF158" i="3"/>
  <c r="AS158" i="3" s="1"/>
  <c r="I315" i="2"/>
  <c r="D315" i="2"/>
  <c r="I346" i="2"/>
  <c r="D346" i="2"/>
  <c r="I356" i="2"/>
  <c r="D356" i="2"/>
  <c r="J263" i="2"/>
  <c r="C263" i="2"/>
  <c r="B263" i="2"/>
  <c r="J231" i="2"/>
  <c r="C231" i="2"/>
  <c r="B231" i="2"/>
  <c r="J199" i="2"/>
  <c r="C199" i="2"/>
  <c r="B199" i="2"/>
  <c r="C293" i="2"/>
  <c r="B293" i="2"/>
  <c r="J293" i="2"/>
  <c r="A145" i="2"/>
  <c r="W145" i="1"/>
  <c r="V145" i="1"/>
  <c r="E145" i="1"/>
  <c r="U145" i="1"/>
  <c r="T145" i="1"/>
  <c r="C145" i="1"/>
  <c r="X145" i="1" s="1"/>
  <c r="Y145" i="1" s="1"/>
  <c r="Z145" i="1" s="1"/>
  <c r="D145" i="1" s="1"/>
  <c r="S145" i="1"/>
  <c r="B145" i="1"/>
  <c r="A89" i="2"/>
  <c r="W89" i="1"/>
  <c r="V89" i="1"/>
  <c r="E89" i="1"/>
  <c r="U89" i="1"/>
  <c r="T89" i="1"/>
  <c r="C89" i="1"/>
  <c r="X89" i="1" s="1"/>
  <c r="Y89" i="1" s="1"/>
  <c r="Z89" i="1" s="1"/>
  <c r="D89" i="1" s="1"/>
  <c r="S89" i="1"/>
  <c r="B89" i="1"/>
  <c r="A57" i="2"/>
  <c r="W57" i="1"/>
  <c r="V57" i="1"/>
  <c r="E57" i="1"/>
  <c r="U57" i="1"/>
  <c r="T57" i="1"/>
  <c r="C57" i="1"/>
  <c r="X57" i="1" s="1"/>
  <c r="Y57" i="1" s="1"/>
  <c r="Z57" i="1" s="1"/>
  <c r="D57" i="1" s="1"/>
  <c r="S57" i="1"/>
  <c r="B57" i="1"/>
  <c r="A25" i="2"/>
  <c r="W25" i="1"/>
  <c r="V25" i="1"/>
  <c r="E25" i="1"/>
  <c r="U25" i="1"/>
  <c r="T25" i="1"/>
  <c r="C25" i="1"/>
  <c r="X25" i="1" s="1"/>
  <c r="Y25" i="1" s="1"/>
  <c r="Z25" i="1" s="1"/>
  <c r="D25" i="1" s="1"/>
  <c r="AA25" i="1"/>
  <c r="S25" i="1"/>
  <c r="B25" i="1"/>
  <c r="AQ157" i="3"/>
  <c r="AL104" i="3"/>
  <c r="AM104" i="3" s="1"/>
  <c r="AJ104" i="3"/>
  <c r="AK104" i="3" s="1"/>
  <c r="AH104" i="3"/>
  <c r="AI104" i="3" s="1"/>
  <c r="AF104" i="3"/>
  <c r="AS104" i="3" s="1"/>
  <c r="C341" i="2"/>
  <c r="B341" i="2"/>
  <c r="J341" i="2"/>
  <c r="J224" i="2"/>
  <c r="C224" i="2"/>
  <c r="B224" i="2"/>
  <c r="J208" i="2"/>
  <c r="C208" i="2"/>
  <c r="B208" i="2"/>
  <c r="AQ154" i="3"/>
  <c r="AQ146" i="3"/>
  <c r="AQ101" i="3"/>
  <c r="AL101" i="3"/>
  <c r="AM101" i="3" s="1"/>
  <c r="AJ101" i="3"/>
  <c r="AK101" i="3" s="1"/>
  <c r="AH101" i="3"/>
  <c r="AI101" i="3" s="1"/>
  <c r="AF101" i="3"/>
  <c r="AS101" i="3" s="1"/>
  <c r="AR61" i="3"/>
  <c r="AF37" i="3"/>
  <c r="AL37" i="3"/>
  <c r="AM37" i="3" s="1"/>
  <c r="AJ37" i="3"/>
  <c r="AK37" i="3" s="1"/>
  <c r="AH37" i="3"/>
  <c r="AI37" i="3" s="1"/>
  <c r="AF21" i="3"/>
  <c r="AH21" i="3"/>
  <c r="AI21" i="3" s="1"/>
  <c r="AH13" i="3"/>
  <c r="AI13" i="3" s="1"/>
  <c r="AF13" i="3"/>
  <c r="F360" i="1"/>
  <c r="AH162" i="3"/>
  <c r="AI162" i="3" s="1"/>
  <c r="AF162" i="3"/>
  <c r="AS162" i="3" s="1"/>
  <c r="AL162" i="3"/>
  <c r="AM162" i="3" s="1"/>
  <c r="AJ162" i="3"/>
  <c r="AK162" i="3" s="1"/>
  <c r="AN185" i="3"/>
  <c r="AO185" i="3" s="1"/>
  <c r="AQ163" i="3"/>
  <c r="AQ188" i="3"/>
  <c r="AN214" i="3"/>
  <c r="AO214" i="3" s="1"/>
  <c r="AN169" i="3"/>
  <c r="AO169" i="3" s="1"/>
  <c r="AQ181" i="3"/>
  <c r="AF232" i="3"/>
  <c r="AS232" i="3" s="1"/>
  <c r="AL232" i="3"/>
  <c r="AM232" i="3" s="1"/>
  <c r="AJ232" i="3"/>
  <c r="AK232" i="3" s="1"/>
  <c r="AH232" i="3"/>
  <c r="AI232" i="3" s="1"/>
  <c r="AL228" i="3"/>
  <c r="AM228" i="3" s="1"/>
  <c r="AJ228" i="3"/>
  <c r="AK228" i="3" s="1"/>
  <c r="AH228" i="3"/>
  <c r="AI228" i="3" s="1"/>
  <c r="AF228" i="3"/>
  <c r="AS228" i="3" s="1"/>
  <c r="AQ189" i="3"/>
  <c r="AQ197" i="3"/>
  <c r="AQ205" i="3"/>
  <c r="AQ213" i="3"/>
  <c r="AQ221" i="3"/>
  <c r="AQ229" i="3"/>
  <c r="AJ236" i="3"/>
  <c r="AK236" i="3" s="1"/>
  <c r="AH236" i="3"/>
  <c r="AI236" i="3" s="1"/>
  <c r="AF236" i="3"/>
  <c r="AS236" i="3" s="1"/>
  <c r="AL236" i="3"/>
  <c r="AM236" i="3" s="1"/>
  <c r="AJ244" i="3"/>
  <c r="AK244" i="3" s="1"/>
  <c r="AH244" i="3"/>
  <c r="AI244" i="3" s="1"/>
  <c r="AF244" i="3"/>
  <c r="AS244" i="3" s="1"/>
  <c r="AL244" i="3"/>
  <c r="AM244" i="3" s="1"/>
  <c r="AQ232" i="3"/>
  <c r="AH233" i="3"/>
  <c r="AI233" i="3" s="1"/>
  <c r="AL233" i="3"/>
  <c r="AM233" i="3" s="1"/>
  <c r="AF233" i="3"/>
  <c r="AS233" i="3" s="1"/>
  <c r="AJ233" i="3"/>
  <c r="AK233" i="3" s="1"/>
  <c r="AH241" i="3"/>
  <c r="AI241" i="3" s="1"/>
  <c r="AL241" i="3"/>
  <c r="AM241" i="3" s="1"/>
  <c r="AF241" i="3"/>
  <c r="AS241" i="3" s="1"/>
  <c r="AJ241" i="3"/>
  <c r="AK241" i="3" s="1"/>
  <c r="AH251" i="3"/>
  <c r="AI251" i="3" s="1"/>
  <c r="AF251" i="3"/>
  <c r="AS251" i="3" s="1"/>
  <c r="AL251" i="3"/>
  <c r="AM251" i="3" s="1"/>
  <c r="AJ251" i="3"/>
  <c r="AK251" i="3" s="1"/>
  <c r="AQ185" i="3"/>
  <c r="AQ235" i="3"/>
  <c r="U18" i="7"/>
  <c r="O18" i="3" s="1"/>
  <c r="Z18" i="7"/>
  <c r="Y18" i="7"/>
  <c r="S18" i="3" s="1"/>
  <c r="AG18" i="7"/>
  <c r="T18" i="7"/>
  <c r="M18" i="3" s="1"/>
  <c r="T79" i="7"/>
  <c r="AG79" i="7"/>
  <c r="Y79" i="7"/>
  <c r="S79" i="3" s="1"/>
  <c r="U79" i="7"/>
  <c r="Z79" i="7"/>
  <c r="U10" i="7"/>
  <c r="Z10" i="7"/>
  <c r="Y10" i="7"/>
  <c r="S10" i="3" s="1"/>
  <c r="AG10" i="7"/>
  <c r="T10" i="7"/>
  <c r="M10" i="3" s="1"/>
  <c r="U26" i="7"/>
  <c r="Z26" i="7"/>
  <c r="Y26" i="7"/>
  <c r="S26" i="3" s="1"/>
  <c r="AG26" i="7"/>
  <c r="T26" i="7"/>
  <c r="M26" i="3" s="1"/>
  <c r="AQ260" i="3"/>
  <c r="AG31" i="7"/>
  <c r="Y31" i="7"/>
  <c r="S31" i="3" s="1"/>
  <c r="Z31" i="7"/>
  <c r="U31" i="7"/>
  <c r="T31" i="7"/>
  <c r="M31" i="3" s="1"/>
  <c r="AG103" i="7"/>
  <c r="AT103" i="3" s="1"/>
  <c r="AA104" i="1" s="1"/>
  <c r="Y103" i="7"/>
  <c r="T103" i="7"/>
  <c r="Z103" i="7"/>
  <c r="AA103" i="7" s="1"/>
  <c r="AB103" i="7" s="1"/>
  <c r="AD103" i="7" s="1"/>
  <c r="AF103" i="7" s="1"/>
  <c r="M743" i="10" s="1"/>
  <c r="Q743" i="10" s="1"/>
  <c r="U103" i="7"/>
  <c r="U29" i="7"/>
  <c r="Z29" i="7"/>
  <c r="Y29" i="7"/>
  <c r="S29" i="3" s="1"/>
  <c r="AG29" i="7"/>
  <c r="T29" i="7"/>
  <c r="M29" i="3" s="1"/>
  <c r="U113" i="7"/>
  <c r="Z113" i="7"/>
  <c r="AG113" i="7"/>
  <c r="AT113" i="3" s="1"/>
  <c r="AA114" i="1" s="1"/>
  <c r="T113" i="7"/>
  <c r="M113" i="3" s="1"/>
  <c r="Y113" i="7"/>
  <c r="S113" i="3" s="1"/>
  <c r="T9" i="7"/>
  <c r="M9" i="3" s="1"/>
  <c r="AG9" i="7"/>
  <c r="AT9" i="3" s="1"/>
  <c r="AA10" i="1" s="1"/>
  <c r="U9" i="7"/>
  <c r="Y9" i="7"/>
  <c r="S9" i="3" s="1"/>
  <c r="Z9" i="7"/>
  <c r="Z30" i="7"/>
  <c r="U30" i="7"/>
  <c r="T30" i="7"/>
  <c r="M30" i="3" s="1"/>
  <c r="AG30" i="7"/>
  <c r="Y30" i="7"/>
  <c r="S30" i="3" s="1"/>
  <c r="AG61" i="7"/>
  <c r="Y61" i="7"/>
  <c r="S61" i="3" s="1"/>
  <c r="U61" i="7"/>
  <c r="Z61" i="7"/>
  <c r="T61" i="7"/>
  <c r="M61" i="3" s="1"/>
  <c r="V10" i="8"/>
  <c r="T10" i="8" s="1"/>
  <c r="Z65" i="7"/>
  <c r="AG65" i="7"/>
  <c r="U65" i="7"/>
  <c r="T65" i="7"/>
  <c r="M65" i="3" s="1"/>
  <c r="Y65" i="7"/>
  <c r="S65" i="3" s="1"/>
  <c r="Z73" i="7"/>
  <c r="T73" i="7"/>
  <c r="M73" i="3" s="1"/>
  <c r="Y73" i="7"/>
  <c r="S73" i="3" s="1"/>
  <c r="U73" i="7"/>
  <c r="AG73" i="7"/>
  <c r="Z81" i="7"/>
  <c r="T81" i="7"/>
  <c r="M81" i="3" s="1"/>
  <c r="AG81" i="7"/>
  <c r="Y81" i="7"/>
  <c r="S81" i="3" s="1"/>
  <c r="U81" i="7"/>
  <c r="AG83" i="7"/>
  <c r="AT83" i="3" s="1"/>
  <c r="AA84" i="1" s="1"/>
  <c r="Y83" i="7"/>
  <c r="S83" i="3" s="1"/>
  <c r="T83" i="7"/>
  <c r="M83" i="3" s="1"/>
  <c r="U83" i="7"/>
  <c r="O83" i="3" s="1"/>
  <c r="Z83" i="7"/>
  <c r="AG91" i="7"/>
  <c r="AT91" i="3" s="1"/>
  <c r="AA92" i="1" s="1"/>
  <c r="Y91" i="7"/>
  <c r="T91" i="7"/>
  <c r="Z91" i="7"/>
  <c r="AA91" i="7" s="1"/>
  <c r="AB91" i="7" s="1"/>
  <c r="AD91" i="7" s="1"/>
  <c r="AF91" i="7" s="1"/>
  <c r="M731" i="10" s="1"/>
  <c r="Q731" i="10" s="1"/>
  <c r="U91" i="7"/>
  <c r="Z96" i="7"/>
  <c r="AG96" i="7"/>
  <c r="AT96" i="3" s="1"/>
  <c r="AA97" i="1" s="1"/>
  <c r="U96" i="7"/>
  <c r="T96" i="7"/>
  <c r="M96" i="3" s="1"/>
  <c r="Y96" i="7"/>
  <c r="S96" i="3" s="1"/>
  <c r="Z104" i="7"/>
  <c r="AA104" i="7" s="1"/>
  <c r="AB104" i="7" s="1"/>
  <c r="AD104" i="7" s="1"/>
  <c r="AF104" i="7" s="1"/>
  <c r="M744" i="10" s="1"/>
  <c r="Q744" i="10" s="1"/>
  <c r="AG104" i="7"/>
  <c r="AT104" i="3" s="1"/>
  <c r="AA105" i="1" s="1"/>
  <c r="U104" i="7"/>
  <c r="Y104" i="7"/>
  <c r="T104" i="7"/>
  <c r="J117" i="7"/>
  <c r="K117" i="7" s="1"/>
  <c r="L117" i="7" s="1"/>
  <c r="M117" i="7" s="1"/>
  <c r="N117" i="7" s="1"/>
  <c r="O117" i="7" s="1"/>
  <c r="H653" i="10"/>
  <c r="J653" i="10"/>
  <c r="J681" i="10"/>
  <c r="H681" i="10"/>
  <c r="J687" i="10"/>
  <c r="H687" i="10"/>
  <c r="J705" i="10"/>
  <c r="H705" i="10"/>
  <c r="AJ34" i="3"/>
  <c r="AK34" i="3" s="1"/>
  <c r="AH34" i="3"/>
  <c r="AI34" i="3" s="1"/>
  <c r="AF34" i="3"/>
  <c r="AS34" i="3" s="1"/>
  <c r="AL34" i="3"/>
  <c r="AM34" i="3" s="1"/>
  <c r="L26" i="3"/>
  <c r="AJ16" i="3"/>
  <c r="AK16" i="3" s="1"/>
  <c r="AH16" i="3"/>
  <c r="AI16" i="3" s="1"/>
  <c r="AF16" i="3"/>
  <c r="AS16" i="3" s="1"/>
  <c r="AL16" i="3"/>
  <c r="AM16" i="3" s="1"/>
  <c r="AN16" i="3"/>
  <c r="AO16" i="3" s="1"/>
  <c r="C289" i="2"/>
  <c r="B289" i="2"/>
  <c r="J289" i="2"/>
  <c r="J236" i="2"/>
  <c r="C236" i="2"/>
  <c r="B236" i="2"/>
  <c r="A148" i="2"/>
  <c r="T148" i="1"/>
  <c r="C148" i="1"/>
  <c r="X148" i="1" s="1"/>
  <c r="Y148" i="1" s="1"/>
  <c r="Z148" i="1" s="1"/>
  <c r="D148" i="1" s="1"/>
  <c r="S148" i="1"/>
  <c r="B148" i="1"/>
  <c r="W148" i="1"/>
  <c r="V148" i="1"/>
  <c r="E148" i="1"/>
  <c r="U148" i="1"/>
  <c r="A116" i="2"/>
  <c r="C116" i="1"/>
  <c r="S116" i="1"/>
  <c r="B116" i="1"/>
  <c r="W116" i="1"/>
  <c r="E116" i="1"/>
  <c r="A84" i="2"/>
  <c r="T84" i="1"/>
  <c r="C84" i="1"/>
  <c r="X84" i="1" s="1"/>
  <c r="Y84" i="1" s="1"/>
  <c r="Z84" i="1" s="1"/>
  <c r="D84" i="1" s="1"/>
  <c r="S84" i="1"/>
  <c r="B84" i="1"/>
  <c r="W84" i="1"/>
  <c r="V84" i="1"/>
  <c r="E84" i="1"/>
  <c r="U84" i="1"/>
  <c r="T52" i="1"/>
  <c r="C52" i="1"/>
  <c r="X52" i="1" s="1"/>
  <c r="Y52" i="1" s="1"/>
  <c r="Z52" i="1" s="1"/>
  <c r="D52" i="1" s="1"/>
  <c r="AA52" i="1"/>
  <c r="S52" i="1"/>
  <c r="B52" i="1"/>
  <c r="W52" i="1"/>
  <c r="V52" i="1"/>
  <c r="E52" i="1"/>
  <c r="A52" i="2"/>
  <c r="U52" i="1"/>
  <c r="A20" i="2"/>
  <c r="T20" i="1"/>
  <c r="C20" i="1"/>
  <c r="X20" i="1" s="1"/>
  <c r="Y20" i="1" s="1"/>
  <c r="Z20" i="1" s="1"/>
  <c r="D20" i="1" s="1"/>
  <c r="AA20" i="1"/>
  <c r="S20" i="1"/>
  <c r="B20" i="1"/>
  <c r="W20" i="1"/>
  <c r="V20" i="1"/>
  <c r="E20" i="1"/>
  <c r="U20" i="1"/>
  <c r="AN127" i="3"/>
  <c r="AO127" i="3" s="1"/>
  <c r="AN58" i="3"/>
  <c r="J246" i="2"/>
  <c r="C246" i="2"/>
  <c r="B246" i="2"/>
  <c r="AP111" i="3"/>
  <c r="AQ103" i="3"/>
  <c r="AQ95" i="3"/>
  <c r="AN79" i="3"/>
  <c r="AO79" i="3" s="1"/>
  <c r="AQ71" i="3"/>
  <c r="AO71" i="3"/>
  <c r="AF71" i="3"/>
  <c r="AS71" i="3" s="1"/>
  <c r="AH71" i="3"/>
  <c r="AI71" i="3" s="1"/>
  <c r="AL71" i="3"/>
  <c r="AM71" i="3" s="1"/>
  <c r="AJ71" i="3"/>
  <c r="AK71" i="3" s="1"/>
  <c r="AN63" i="3"/>
  <c r="AO63" i="3" s="1"/>
  <c r="AF39" i="3"/>
  <c r="AL39" i="3"/>
  <c r="AM39" i="3" s="1"/>
  <c r="AJ39" i="3"/>
  <c r="AK39" i="3" s="1"/>
  <c r="AH39" i="3"/>
  <c r="AI39" i="3" s="1"/>
  <c r="AR31" i="3"/>
  <c r="AQ31" i="3"/>
  <c r="AP7" i="3"/>
  <c r="C305" i="2"/>
  <c r="B305" i="2"/>
  <c r="J305" i="2"/>
  <c r="F287" i="1"/>
  <c r="A115" i="2"/>
  <c r="E115" i="1"/>
  <c r="C115" i="1"/>
  <c r="S115" i="1"/>
  <c r="B115" i="1"/>
  <c r="W115" i="1"/>
  <c r="A83" i="2"/>
  <c r="V83" i="1"/>
  <c r="E83" i="1"/>
  <c r="U83" i="1"/>
  <c r="T83" i="1"/>
  <c r="C83" i="1"/>
  <c r="X83" i="1" s="1"/>
  <c r="Y83" i="1" s="1"/>
  <c r="Z83" i="1" s="1"/>
  <c r="D83" i="1" s="1"/>
  <c r="S83" i="1"/>
  <c r="B83" i="1"/>
  <c r="W83" i="1"/>
  <c r="A51" i="2"/>
  <c r="V51" i="1"/>
  <c r="E51" i="1"/>
  <c r="U51" i="1"/>
  <c r="T51" i="1"/>
  <c r="C51" i="1"/>
  <c r="X51" i="1" s="1"/>
  <c r="Y51" i="1" s="1"/>
  <c r="Z51" i="1" s="1"/>
  <c r="D51" i="1" s="1"/>
  <c r="AA51" i="1"/>
  <c r="S51" i="1"/>
  <c r="B51" i="1"/>
  <c r="W51" i="1"/>
  <c r="A19" i="2"/>
  <c r="V19" i="1"/>
  <c r="E19" i="1"/>
  <c r="U19" i="1"/>
  <c r="T19" i="1"/>
  <c r="C19" i="1"/>
  <c r="X19" i="1" s="1"/>
  <c r="Y19" i="1" s="1"/>
  <c r="Z19" i="1" s="1"/>
  <c r="D19" i="1" s="1"/>
  <c r="AA19" i="1"/>
  <c r="S19" i="1"/>
  <c r="B19" i="1"/>
  <c r="W19" i="1"/>
  <c r="J226" i="2"/>
  <c r="C226" i="2"/>
  <c r="B226" i="2"/>
  <c r="AL120" i="3"/>
  <c r="AM120" i="3" s="1"/>
  <c r="AH120" i="3"/>
  <c r="AI120" i="3" s="1"/>
  <c r="AJ120" i="3"/>
  <c r="AK120" i="3" s="1"/>
  <c r="AF120" i="3"/>
  <c r="AS120" i="3" s="1"/>
  <c r="AR113" i="3"/>
  <c r="L73" i="3"/>
  <c r="AR9" i="3"/>
  <c r="AR51" i="3"/>
  <c r="AQ51" i="3"/>
  <c r="AR43" i="3"/>
  <c r="AQ43" i="3"/>
  <c r="AN88" i="3"/>
  <c r="AQ40" i="3"/>
  <c r="AJ24" i="3"/>
  <c r="AK24" i="3" s="1"/>
  <c r="AH24" i="3"/>
  <c r="AI24" i="3" s="1"/>
  <c r="AF24" i="3"/>
  <c r="AL24" i="3"/>
  <c r="AM24" i="3" s="1"/>
  <c r="F249" i="1"/>
  <c r="A90" i="2"/>
  <c r="W90" i="1"/>
  <c r="V90" i="1"/>
  <c r="E90" i="1"/>
  <c r="U90" i="1"/>
  <c r="T90" i="1"/>
  <c r="C90" i="1"/>
  <c r="X90" i="1" s="1"/>
  <c r="Y90" i="1" s="1"/>
  <c r="Z90" i="1" s="1"/>
  <c r="D90" i="1" s="1"/>
  <c r="S90" i="1"/>
  <c r="B90" i="1"/>
  <c r="A58" i="2"/>
  <c r="W58" i="1"/>
  <c r="V58" i="1"/>
  <c r="E58" i="1"/>
  <c r="U58" i="1"/>
  <c r="T58" i="1"/>
  <c r="C58" i="1"/>
  <c r="X58" i="1" s="1"/>
  <c r="Y58" i="1" s="1"/>
  <c r="Z58" i="1" s="1"/>
  <c r="D58" i="1" s="1"/>
  <c r="S58" i="1"/>
  <c r="B58" i="1"/>
  <c r="A26" i="2"/>
  <c r="W26" i="1"/>
  <c r="V26" i="1"/>
  <c r="E26" i="1"/>
  <c r="U26" i="1"/>
  <c r="T26" i="1"/>
  <c r="C26" i="1"/>
  <c r="X26" i="1" s="1"/>
  <c r="Y26" i="1" s="1"/>
  <c r="Z26" i="1" s="1"/>
  <c r="D26" i="1" s="1"/>
  <c r="AA26" i="1"/>
  <c r="S26" i="1"/>
  <c r="B26" i="1"/>
  <c r="AN147" i="3"/>
  <c r="AO147" i="3" s="1"/>
  <c r="AN102" i="3"/>
  <c r="AN30" i="3"/>
  <c r="J198" i="2"/>
  <c r="C198" i="2"/>
  <c r="B198" i="2"/>
  <c r="AN144" i="3"/>
  <c r="AN136" i="3"/>
  <c r="AO136" i="3" s="1"/>
  <c r="AL128" i="3"/>
  <c r="AM128" i="3" s="1"/>
  <c r="AH128" i="3"/>
  <c r="AI128" i="3" s="1"/>
  <c r="AJ128" i="3"/>
  <c r="AK128" i="3" s="1"/>
  <c r="AF128" i="3"/>
  <c r="L91" i="3"/>
  <c r="AQ56" i="3"/>
  <c r="AO56" i="3"/>
  <c r="Z13" i="8"/>
  <c r="Y13" i="8" s="1"/>
  <c r="X13" i="8" s="1"/>
  <c r="W13" i="8" s="1"/>
  <c r="V13" i="8" s="1"/>
  <c r="T13" i="8" s="1"/>
  <c r="AC13" i="8"/>
  <c r="AJ13" i="3" s="1"/>
  <c r="AK13" i="3" s="1"/>
  <c r="U13" i="8"/>
  <c r="AA13" i="8"/>
  <c r="AB13" i="8"/>
  <c r="AL13" i="3" s="1"/>
  <c r="AM13" i="3" s="1"/>
  <c r="AN251" i="3"/>
  <c r="AO251" i="3" s="1"/>
  <c r="AQ253" i="3"/>
  <c r="AQ234" i="3"/>
  <c r="AQ233" i="3"/>
  <c r="AJ227" i="3"/>
  <c r="AK227" i="3" s="1"/>
  <c r="AH227" i="3"/>
  <c r="AI227" i="3" s="1"/>
  <c r="AF227" i="3"/>
  <c r="AS227" i="3" s="1"/>
  <c r="AL227" i="3"/>
  <c r="AM227" i="3" s="1"/>
  <c r="AN239" i="3"/>
  <c r="AO239" i="3" s="1"/>
  <c r="AN235" i="3"/>
  <c r="AO235" i="3" s="1"/>
  <c r="AJ222" i="3"/>
  <c r="AK222" i="3" s="1"/>
  <c r="AH222" i="3"/>
  <c r="AI222" i="3" s="1"/>
  <c r="AF222" i="3"/>
  <c r="AS222" i="3" s="1"/>
  <c r="AL222" i="3"/>
  <c r="AM222" i="3" s="1"/>
  <c r="AH214" i="3"/>
  <c r="AI214" i="3" s="1"/>
  <c r="AL214" i="3"/>
  <c r="AM214" i="3" s="1"/>
  <c r="AJ214" i="3"/>
  <c r="AK214" i="3" s="1"/>
  <c r="AF214" i="3"/>
  <c r="AS214" i="3" s="1"/>
  <c r="AN211" i="3"/>
  <c r="AO211" i="3" s="1"/>
  <c r="AL159" i="3"/>
  <c r="AM159" i="3" s="1"/>
  <c r="AJ159" i="3"/>
  <c r="AK159" i="3" s="1"/>
  <c r="AH159" i="3"/>
  <c r="AI159" i="3" s="1"/>
  <c r="AF159" i="3"/>
  <c r="AS159" i="3" s="1"/>
  <c r="AQ210" i="3"/>
  <c r="AL166" i="3"/>
  <c r="AM166" i="3" s="1"/>
  <c r="AH166" i="3"/>
  <c r="AI166" i="3" s="1"/>
  <c r="AF166" i="3"/>
  <c r="AS166" i="3" s="1"/>
  <c r="AJ166" i="3"/>
  <c r="AK166" i="3" s="1"/>
  <c r="AQ161" i="3"/>
  <c r="AN199" i="3"/>
  <c r="AO199" i="3" s="1"/>
  <c r="AN186" i="3"/>
  <c r="AO186" i="3" s="1"/>
  <c r="AQ182" i="3"/>
  <c r="AN166" i="3"/>
  <c r="AO166" i="3" s="1"/>
  <c r="AJ219" i="3"/>
  <c r="AK219" i="3" s="1"/>
  <c r="AH219" i="3"/>
  <c r="AI219" i="3" s="1"/>
  <c r="AF219" i="3"/>
  <c r="AS219" i="3" s="1"/>
  <c r="AL219" i="3"/>
  <c r="AM219" i="3" s="1"/>
  <c r="AN195" i="3"/>
  <c r="AO195" i="3" s="1"/>
  <c r="AF207" i="3"/>
  <c r="AS207" i="3" s="1"/>
  <c r="AL207" i="3"/>
  <c r="AM207" i="3" s="1"/>
  <c r="AJ207" i="3"/>
  <c r="AK207" i="3" s="1"/>
  <c r="AH207" i="3"/>
  <c r="AI207" i="3" s="1"/>
  <c r="AJ172" i="3"/>
  <c r="AK172" i="3" s="1"/>
  <c r="AF172" i="3"/>
  <c r="AS172" i="3" s="1"/>
  <c r="AH172" i="3"/>
  <c r="AI172" i="3" s="1"/>
  <c r="AL172" i="3"/>
  <c r="AM172" i="3" s="1"/>
  <c r="AN172" i="3"/>
  <c r="AO172" i="3" s="1"/>
  <c r="AF176" i="3"/>
  <c r="AS176" i="3" s="1"/>
  <c r="AJ176" i="3"/>
  <c r="AK176" i="3" s="1"/>
  <c r="AH176" i="3"/>
  <c r="AI176" i="3" s="1"/>
  <c r="AL176" i="3"/>
  <c r="AM176" i="3" s="1"/>
  <c r="I348" i="2"/>
  <c r="D348" i="2"/>
  <c r="F302" i="1"/>
  <c r="I296" i="2"/>
  <c r="D296" i="2"/>
  <c r="D287" i="2"/>
  <c r="I358" i="2"/>
  <c r="D358" i="2"/>
  <c r="I326" i="2"/>
  <c r="D326" i="2"/>
  <c r="C275" i="2"/>
  <c r="B275" i="2"/>
  <c r="J275" i="2"/>
  <c r="J259" i="2"/>
  <c r="C259" i="2"/>
  <c r="B259" i="2"/>
  <c r="J227" i="2"/>
  <c r="C227" i="2"/>
  <c r="B227" i="2"/>
  <c r="J195" i="2"/>
  <c r="C195" i="2"/>
  <c r="B195" i="2"/>
  <c r="I189" i="2"/>
  <c r="D189" i="2"/>
  <c r="I173" i="2"/>
  <c r="D173" i="2"/>
  <c r="A117" i="2"/>
  <c r="W117" i="1"/>
  <c r="V117" i="1"/>
  <c r="E117" i="1"/>
  <c r="U117" i="1"/>
  <c r="T117" i="1"/>
  <c r="C117" i="1"/>
  <c r="X117" i="1" s="1"/>
  <c r="Y117" i="1" s="1"/>
  <c r="Z117" i="1" s="1"/>
  <c r="D117" i="1" s="1"/>
  <c r="S117" i="1"/>
  <c r="B117" i="1"/>
  <c r="A85" i="2"/>
  <c r="W85" i="1"/>
  <c r="V85" i="1"/>
  <c r="E85" i="1"/>
  <c r="U85" i="1"/>
  <c r="T85" i="1"/>
  <c r="C85" i="1"/>
  <c r="X85" i="1" s="1"/>
  <c r="Y85" i="1" s="1"/>
  <c r="Z85" i="1" s="1"/>
  <c r="D85" i="1" s="1"/>
  <c r="S85" i="1"/>
  <c r="B85" i="1"/>
  <c r="W53" i="1"/>
  <c r="V53" i="1"/>
  <c r="E53" i="1"/>
  <c r="U53" i="1"/>
  <c r="A53" i="2"/>
  <c r="T53" i="1"/>
  <c r="C53" i="1"/>
  <c r="X53" i="1" s="1"/>
  <c r="Y53" i="1" s="1"/>
  <c r="Z53" i="1" s="1"/>
  <c r="D53" i="1" s="1"/>
  <c r="S53" i="1"/>
  <c r="B53" i="1"/>
  <c r="A21" i="2"/>
  <c r="W21" i="1"/>
  <c r="V21" i="1"/>
  <c r="E21" i="1"/>
  <c r="U21" i="1"/>
  <c r="T21" i="1"/>
  <c r="C21" i="1"/>
  <c r="X21" i="1" s="1"/>
  <c r="Y21" i="1" s="1"/>
  <c r="Z21" i="1" s="1"/>
  <c r="D21" i="1" s="1"/>
  <c r="AA21" i="1"/>
  <c r="S21" i="1"/>
  <c r="B21" i="1"/>
  <c r="AP119" i="3"/>
  <c r="F282" i="1"/>
  <c r="AJ130" i="3"/>
  <c r="AK130" i="3" s="1"/>
  <c r="AF130" i="3"/>
  <c r="AS130" i="3" s="1"/>
  <c r="AL130" i="3"/>
  <c r="AM130" i="3" s="1"/>
  <c r="AH130" i="3"/>
  <c r="AI130" i="3" s="1"/>
  <c r="AN130" i="3"/>
  <c r="AF109" i="3"/>
  <c r="AR109" i="3"/>
  <c r="AQ85" i="3"/>
  <c r="AF77" i="3"/>
  <c r="AS77" i="3" s="1"/>
  <c r="AL77" i="3"/>
  <c r="AM77" i="3" s="1"/>
  <c r="AJ77" i="3"/>
  <c r="AK77" i="3" s="1"/>
  <c r="AH77" i="3"/>
  <c r="AI77" i="3" s="1"/>
  <c r="AN189" i="3"/>
  <c r="AO189" i="3" s="1"/>
  <c r="AL169" i="3"/>
  <c r="AM169" i="3" s="1"/>
  <c r="AJ169" i="3"/>
  <c r="AK169" i="3" s="1"/>
  <c r="AH169" i="3"/>
  <c r="AI169" i="3" s="1"/>
  <c r="AF169" i="3"/>
  <c r="AS169" i="3" s="1"/>
  <c r="AL185" i="3"/>
  <c r="AM185" i="3" s="1"/>
  <c r="AH185" i="3"/>
  <c r="AI185" i="3" s="1"/>
  <c r="AJ185" i="3"/>
  <c r="AK185" i="3" s="1"/>
  <c r="AF185" i="3"/>
  <c r="AS185" i="3" s="1"/>
  <c r="AL201" i="3"/>
  <c r="AM201" i="3" s="1"/>
  <c r="AH201" i="3"/>
  <c r="AI201" i="3" s="1"/>
  <c r="AJ201" i="3"/>
  <c r="AK201" i="3" s="1"/>
  <c r="AF201" i="3"/>
  <c r="AS201" i="3" s="1"/>
  <c r="AQ169" i="3"/>
  <c r="AH189" i="3"/>
  <c r="AI189" i="3" s="1"/>
  <c r="AL189" i="3"/>
  <c r="AM189" i="3" s="1"/>
  <c r="AF189" i="3"/>
  <c r="AS189" i="3" s="1"/>
  <c r="AJ189" i="3"/>
  <c r="AK189" i="3" s="1"/>
  <c r="AH205" i="3"/>
  <c r="AI205" i="3" s="1"/>
  <c r="AL205" i="3"/>
  <c r="AM205" i="3" s="1"/>
  <c r="AF205" i="3"/>
  <c r="AS205" i="3" s="1"/>
  <c r="AJ205" i="3"/>
  <c r="AK205" i="3" s="1"/>
  <c r="AQ246" i="3"/>
  <c r="AN226" i="3"/>
  <c r="AO226" i="3" s="1"/>
  <c r="AN244" i="3"/>
  <c r="AO244" i="3" s="1"/>
  <c r="AQ254" i="3"/>
  <c r="AN209" i="3"/>
  <c r="AO209" i="3" s="1"/>
  <c r="AQ247" i="3"/>
  <c r="AQ225" i="3"/>
  <c r="AJ247" i="3"/>
  <c r="AK247" i="3" s="1"/>
  <c r="AH247" i="3"/>
  <c r="AI247" i="3" s="1"/>
  <c r="AF247" i="3"/>
  <c r="AS247" i="3" s="1"/>
  <c r="AL247" i="3"/>
  <c r="AM247" i="3" s="1"/>
  <c r="AG64" i="7"/>
  <c r="Y64" i="7"/>
  <c r="S64" i="3" s="1"/>
  <c r="Z64" i="7"/>
  <c r="T64" i="7"/>
  <c r="M64" i="3" s="1"/>
  <c r="U64" i="7"/>
  <c r="O64" i="3" s="1"/>
  <c r="AG7" i="7"/>
  <c r="Y7" i="7"/>
  <c r="S7" i="3" s="1"/>
  <c r="Z7" i="7"/>
  <c r="U7" i="7"/>
  <c r="T7" i="7"/>
  <c r="M7" i="3" s="1"/>
  <c r="T12" i="7"/>
  <c r="M12" i="3" s="1"/>
  <c r="AG12" i="7"/>
  <c r="Y12" i="7"/>
  <c r="S12" i="3" s="1"/>
  <c r="Z12" i="7"/>
  <c r="U12" i="7"/>
  <c r="O12" i="3" s="1"/>
  <c r="T44" i="7"/>
  <c r="M44" i="3" s="1"/>
  <c r="AG44" i="7"/>
  <c r="Y44" i="7"/>
  <c r="S44" i="3" s="1"/>
  <c r="Z44" i="7"/>
  <c r="U44" i="7"/>
  <c r="O44" i="3" s="1"/>
  <c r="Y82" i="7"/>
  <c r="S82" i="3" s="1"/>
  <c r="U82" i="7"/>
  <c r="O82" i="3" s="1"/>
  <c r="T82" i="7"/>
  <c r="M82" i="3" s="1"/>
  <c r="Z82" i="7"/>
  <c r="U82" i="3" s="1"/>
  <c r="AG82" i="7"/>
  <c r="AT82" i="3" s="1"/>
  <c r="AA83" i="1" s="1"/>
  <c r="U21" i="7"/>
  <c r="Z21" i="7"/>
  <c r="Y21" i="7"/>
  <c r="S21" i="3" s="1"/>
  <c r="AG21" i="7"/>
  <c r="T21" i="7"/>
  <c r="M21" i="3" s="1"/>
  <c r="V26" i="8"/>
  <c r="T26" i="8" s="1"/>
  <c r="Z22" i="7"/>
  <c r="U22" i="7"/>
  <c r="AG22" i="7"/>
  <c r="Y22" i="7"/>
  <c r="S22" i="3" s="1"/>
  <c r="T22" i="7"/>
  <c r="M22" i="3" s="1"/>
  <c r="Z62" i="7"/>
  <c r="T62" i="7"/>
  <c r="M62" i="3" s="1"/>
  <c r="AG62" i="7"/>
  <c r="Y62" i="7"/>
  <c r="S62" i="3" s="1"/>
  <c r="U62" i="7"/>
  <c r="T86" i="7"/>
  <c r="M86" i="3" s="1"/>
  <c r="AG86" i="7"/>
  <c r="AT86" i="3" s="1"/>
  <c r="AA87" i="1" s="1"/>
  <c r="Y86" i="7"/>
  <c r="S86" i="3" s="1"/>
  <c r="U86" i="7"/>
  <c r="O86" i="3" s="1"/>
  <c r="Z86" i="7"/>
  <c r="T120" i="7"/>
  <c r="M120" i="3" s="1"/>
  <c r="AG120" i="7"/>
  <c r="AT120" i="3" s="1"/>
  <c r="AA121" i="1" s="1"/>
  <c r="Y120" i="7"/>
  <c r="S120" i="3" s="1"/>
  <c r="U120" i="7"/>
  <c r="Z120" i="7"/>
  <c r="Z8" i="7"/>
  <c r="Y8" i="7"/>
  <c r="S8" i="3" s="1"/>
  <c r="AG8" i="7"/>
  <c r="AT8" i="3" s="1"/>
  <c r="AA9" i="1" s="1"/>
  <c r="U8" i="7"/>
  <c r="O8" i="3" s="1"/>
  <c r="T8" i="7"/>
  <c r="M8" i="3" s="1"/>
  <c r="Z16" i="7"/>
  <c r="Y16" i="7"/>
  <c r="S16" i="3" s="1"/>
  <c r="AG16" i="7"/>
  <c r="U16" i="7"/>
  <c r="T16" i="7"/>
  <c r="M16" i="3" s="1"/>
  <c r="Z24" i="7"/>
  <c r="Y24" i="7"/>
  <c r="S24" i="3" s="1"/>
  <c r="AG24" i="7"/>
  <c r="U24" i="7"/>
  <c r="T24" i="7"/>
  <c r="M24" i="3" s="1"/>
  <c r="Z32" i="7"/>
  <c r="Y32" i="7"/>
  <c r="S32" i="3" s="1"/>
  <c r="AG32" i="7"/>
  <c r="U32" i="7"/>
  <c r="O32" i="3" s="1"/>
  <c r="T32" i="7"/>
  <c r="M32" i="3" s="1"/>
  <c r="Z40" i="7"/>
  <c r="Y40" i="7"/>
  <c r="S40" i="3" s="1"/>
  <c r="AG40" i="7"/>
  <c r="U40" i="7"/>
  <c r="T40" i="7"/>
  <c r="M40" i="3" s="1"/>
  <c r="Z48" i="7"/>
  <c r="Y48" i="7"/>
  <c r="S48" i="3" s="1"/>
  <c r="AG48" i="7"/>
  <c r="U48" i="7"/>
  <c r="T48" i="7"/>
  <c r="M48" i="3" s="1"/>
  <c r="Z56" i="7"/>
  <c r="Y56" i="7"/>
  <c r="S56" i="3" s="1"/>
  <c r="AG56" i="7"/>
  <c r="AT56" i="3" s="1"/>
  <c r="AA57" i="1" s="1"/>
  <c r="U56" i="7"/>
  <c r="O56" i="3" s="1"/>
  <c r="T56" i="7"/>
  <c r="M56" i="3" s="1"/>
  <c r="Z11" i="7"/>
  <c r="Y11" i="7"/>
  <c r="S11" i="3" s="1"/>
  <c r="U11" i="7"/>
  <c r="AG11" i="7"/>
  <c r="T11" i="7"/>
  <c r="M11" i="3" s="1"/>
  <c r="Z19" i="7"/>
  <c r="Y19" i="7"/>
  <c r="S19" i="3" s="1"/>
  <c r="U19" i="7"/>
  <c r="T19" i="7"/>
  <c r="M19" i="3" s="1"/>
  <c r="AG19" i="7"/>
  <c r="Z27" i="7"/>
  <c r="Y27" i="7"/>
  <c r="S27" i="3" s="1"/>
  <c r="U27" i="7"/>
  <c r="AG27" i="7"/>
  <c r="T27" i="7"/>
  <c r="M27" i="3" s="1"/>
  <c r="Z35" i="7"/>
  <c r="Y35" i="7"/>
  <c r="S35" i="3" s="1"/>
  <c r="U35" i="7"/>
  <c r="AG35" i="7"/>
  <c r="T35" i="7"/>
  <c r="M35" i="3" s="1"/>
  <c r="Z43" i="7"/>
  <c r="Y43" i="7"/>
  <c r="S43" i="3" s="1"/>
  <c r="U43" i="7"/>
  <c r="AG43" i="7"/>
  <c r="T43" i="7"/>
  <c r="M43" i="3" s="1"/>
  <c r="Z51" i="7"/>
  <c r="Y51" i="7"/>
  <c r="S51" i="3" s="1"/>
  <c r="U51" i="7"/>
  <c r="AG51" i="7"/>
  <c r="T51" i="7"/>
  <c r="M51" i="3" s="1"/>
  <c r="U70" i="7"/>
  <c r="Z70" i="7"/>
  <c r="Y70" i="7"/>
  <c r="S70" i="3" s="1"/>
  <c r="T70" i="7"/>
  <c r="AG70" i="7"/>
  <c r="J78" i="7"/>
  <c r="T79" i="1" s="1"/>
  <c r="U85" i="7"/>
  <c r="Z85" i="7"/>
  <c r="AG85" i="7"/>
  <c r="AT85" i="3" s="1"/>
  <c r="AA86" i="1" s="1"/>
  <c r="Y85" i="7"/>
  <c r="S85" i="3" s="1"/>
  <c r="T85" i="7"/>
  <c r="M85" i="3" s="1"/>
  <c r="Z93" i="7"/>
  <c r="U93" i="7"/>
  <c r="AG93" i="7"/>
  <c r="AT93" i="3" s="1"/>
  <c r="AA94" i="1" s="1"/>
  <c r="T93" i="7"/>
  <c r="M93" i="3" s="1"/>
  <c r="Y93" i="7"/>
  <c r="S93" i="3" s="1"/>
  <c r="Y68" i="7"/>
  <c r="S68" i="3" s="1"/>
  <c r="AG68" i="7"/>
  <c r="AT68" i="3" s="1"/>
  <c r="AA69" i="1" s="1"/>
  <c r="Z68" i="7"/>
  <c r="T68" i="7"/>
  <c r="M68" i="3" s="1"/>
  <c r="U68" i="7"/>
  <c r="AG76" i="7"/>
  <c r="AT76" i="3" s="1"/>
  <c r="AA77" i="1" s="1"/>
  <c r="Y76" i="7"/>
  <c r="S76" i="3" s="1"/>
  <c r="T76" i="7"/>
  <c r="M76" i="3" s="1"/>
  <c r="Z76" i="7"/>
  <c r="U76" i="7"/>
  <c r="U101" i="7"/>
  <c r="Z101" i="7"/>
  <c r="AA101" i="7" s="1"/>
  <c r="AB101" i="7" s="1"/>
  <c r="AD101" i="7" s="1"/>
  <c r="AF101" i="7" s="1"/>
  <c r="M741" i="10" s="1"/>
  <c r="Q741" i="10" s="1"/>
  <c r="Y101" i="7"/>
  <c r="AG101" i="7"/>
  <c r="T101" i="7"/>
  <c r="M101" i="3" s="1"/>
  <c r="H662" i="10"/>
  <c r="J662" i="10"/>
  <c r="H665" i="10"/>
  <c r="J665" i="10"/>
  <c r="J703" i="10"/>
  <c r="H703" i="10"/>
  <c r="AF42" i="3"/>
  <c r="AS42" i="3" s="1"/>
  <c r="AN26" i="3"/>
  <c r="L18" i="3"/>
  <c r="J240" i="2"/>
  <c r="C240" i="2"/>
  <c r="B240" i="2"/>
  <c r="I180" i="2"/>
  <c r="D180" i="2"/>
  <c r="A156" i="2"/>
  <c r="T156" i="1"/>
  <c r="C156" i="1"/>
  <c r="X156" i="1" s="1"/>
  <c r="Y156" i="1" s="1"/>
  <c r="Z156" i="1" s="1"/>
  <c r="D156" i="1" s="1"/>
  <c r="S156" i="1"/>
  <c r="B156" i="1"/>
  <c r="W156" i="1"/>
  <c r="V156" i="1"/>
  <c r="E156" i="1"/>
  <c r="U156" i="1"/>
  <c r="A128" i="2"/>
  <c r="T128" i="1"/>
  <c r="C128" i="1"/>
  <c r="X128" i="1" s="1"/>
  <c r="Y128" i="1" s="1"/>
  <c r="Z128" i="1" s="1"/>
  <c r="D128" i="1" s="1"/>
  <c r="S128" i="1"/>
  <c r="B128" i="1"/>
  <c r="W128" i="1"/>
  <c r="V128" i="1"/>
  <c r="E128" i="1"/>
  <c r="U128" i="1"/>
  <c r="A112" i="2"/>
  <c r="T112" i="1"/>
  <c r="C112" i="1"/>
  <c r="X112" i="1" s="1"/>
  <c r="Y112" i="1" s="1"/>
  <c r="Z112" i="1" s="1"/>
  <c r="D112" i="1" s="1"/>
  <c r="S112" i="1"/>
  <c r="B112" i="1"/>
  <c r="W112" i="1"/>
  <c r="V112" i="1"/>
  <c r="E112" i="1"/>
  <c r="U112" i="1"/>
  <c r="A80" i="2"/>
  <c r="T80" i="1"/>
  <c r="C80" i="1"/>
  <c r="X80" i="1" s="1"/>
  <c r="AA80" i="1"/>
  <c r="S80" i="1"/>
  <c r="B80" i="1"/>
  <c r="W80" i="1"/>
  <c r="V80" i="1"/>
  <c r="E80" i="1"/>
  <c r="U80" i="1"/>
  <c r="T48" i="1"/>
  <c r="C48" i="1"/>
  <c r="X48" i="1" s="1"/>
  <c r="Y48" i="1" s="1"/>
  <c r="Z48" i="1" s="1"/>
  <c r="D48" i="1" s="1"/>
  <c r="AA48" i="1"/>
  <c r="S48" i="1"/>
  <c r="B48" i="1"/>
  <c r="A48" i="2"/>
  <c r="W48" i="1"/>
  <c r="V48" i="1"/>
  <c r="E48" i="1"/>
  <c r="U48" i="1"/>
  <c r="A16" i="2"/>
  <c r="T16" i="1"/>
  <c r="C16" i="1"/>
  <c r="X16" i="1" s="1"/>
  <c r="Y16" i="1" s="1"/>
  <c r="Z16" i="1" s="1"/>
  <c r="D16" i="1" s="1"/>
  <c r="AA16" i="1"/>
  <c r="S16" i="1"/>
  <c r="B16" i="1"/>
  <c r="W16" i="1"/>
  <c r="V16" i="1"/>
  <c r="E16" i="1"/>
  <c r="U16" i="1"/>
  <c r="AH121" i="3"/>
  <c r="AI121" i="3" s="1"/>
  <c r="AF121" i="3"/>
  <c r="L82" i="3"/>
  <c r="L84" i="3"/>
  <c r="F311" i="1"/>
  <c r="C290" i="2"/>
  <c r="B290" i="2"/>
  <c r="J290" i="2"/>
  <c r="J242" i="2"/>
  <c r="C242" i="2"/>
  <c r="B242" i="2"/>
  <c r="J213" i="2"/>
  <c r="C213" i="2"/>
  <c r="B213" i="2"/>
  <c r="F209" i="1"/>
  <c r="AR111" i="3"/>
  <c r="AJ103" i="3"/>
  <c r="AK103" i="3" s="1"/>
  <c r="AH103" i="3"/>
  <c r="AI103" i="3" s="1"/>
  <c r="AF103" i="3"/>
  <c r="AS103" i="3" s="1"/>
  <c r="AL103" i="3"/>
  <c r="AM103" i="3" s="1"/>
  <c r="L103" i="3"/>
  <c r="L79" i="3"/>
  <c r="AF79" i="3"/>
  <c r="AS79" i="3" s="1"/>
  <c r="AL79" i="3"/>
  <c r="AM79" i="3" s="1"/>
  <c r="AH79" i="3"/>
  <c r="AI79" i="3" s="1"/>
  <c r="AJ79" i="3"/>
  <c r="AK79" i="3" s="1"/>
  <c r="AR55" i="3"/>
  <c r="AR23" i="3"/>
  <c r="AR15" i="3"/>
  <c r="AO15" i="3"/>
  <c r="AQ15" i="3"/>
  <c r="AR117" i="3"/>
  <c r="AQ100" i="3"/>
  <c r="AO100" i="3"/>
  <c r="AQ36" i="3"/>
  <c r="A111" i="2"/>
  <c r="V111" i="1"/>
  <c r="E111" i="1"/>
  <c r="U111" i="1"/>
  <c r="T111" i="1"/>
  <c r="C111" i="1"/>
  <c r="X111" i="1" s="1"/>
  <c r="Y111" i="1" s="1"/>
  <c r="Z111" i="1" s="1"/>
  <c r="D111" i="1" s="1"/>
  <c r="S111" i="1"/>
  <c r="B111" i="1"/>
  <c r="W111" i="1"/>
  <c r="A79" i="2"/>
  <c r="V79" i="1"/>
  <c r="E79" i="1"/>
  <c r="U79" i="1"/>
  <c r="C79" i="1"/>
  <c r="X79" i="1" s="1"/>
  <c r="Y79" i="1" s="1"/>
  <c r="Z79" i="1" s="1"/>
  <c r="D79" i="1" s="1"/>
  <c r="AA79" i="1"/>
  <c r="S79" i="1"/>
  <c r="B79" i="1"/>
  <c r="W79" i="1"/>
  <c r="A47" i="2"/>
  <c r="V47" i="1"/>
  <c r="E47" i="1"/>
  <c r="U47" i="1"/>
  <c r="T47" i="1"/>
  <c r="C47" i="1"/>
  <c r="X47" i="1" s="1"/>
  <c r="Y47" i="1" s="1"/>
  <c r="Z47" i="1" s="1"/>
  <c r="D47" i="1" s="1"/>
  <c r="AA47" i="1"/>
  <c r="S47" i="1"/>
  <c r="B47" i="1"/>
  <c r="W47" i="1"/>
  <c r="A15" i="2"/>
  <c r="V15" i="1"/>
  <c r="E15" i="1"/>
  <c r="U15" i="1"/>
  <c r="T15" i="1"/>
  <c r="C15" i="1"/>
  <c r="X15" i="1" s="1"/>
  <c r="Y15" i="1" s="1"/>
  <c r="Z15" i="1" s="1"/>
  <c r="D15" i="1" s="1"/>
  <c r="S15" i="1"/>
  <c r="B15" i="1"/>
  <c r="W15" i="1"/>
  <c r="AN145" i="3"/>
  <c r="AO145" i="3" s="1"/>
  <c r="L20" i="3"/>
  <c r="J269" i="2"/>
  <c r="C269" i="2"/>
  <c r="B269" i="2"/>
  <c r="J222" i="2"/>
  <c r="C222" i="2"/>
  <c r="B222" i="2"/>
  <c r="O126" i="3"/>
  <c r="AH105" i="3"/>
  <c r="AI105" i="3" s="1"/>
  <c r="AF105" i="3"/>
  <c r="AJ105" i="3"/>
  <c r="AK105" i="3" s="1"/>
  <c r="AP97" i="3"/>
  <c r="AR81" i="3"/>
  <c r="AQ65" i="3"/>
  <c r="AR57" i="3"/>
  <c r="AR19" i="3"/>
  <c r="AQ19" i="3"/>
  <c r="F265" i="1"/>
  <c r="J257" i="2"/>
  <c r="C257" i="2"/>
  <c r="B257" i="2"/>
  <c r="F245" i="1"/>
  <c r="A150" i="2"/>
  <c r="W150" i="1"/>
  <c r="V150" i="1"/>
  <c r="E150" i="1"/>
  <c r="U150" i="1"/>
  <c r="T150" i="1"/>
  <c r="C150" i="1"/>
  <c r="X150" i="1" s="1"/>
  <c r="Y150" i="1" s="1"/>
  <c r="Z150" i="1" s="1"/>
  <c r="D150" i="1" s="1"/>
  <c r="S150" i="1"/>
  <c r="B150" i="1"/>
  <c r="A130" i="2"/>
  <c r="W130" i="1"/>
  <c r="V130" i="1"/>
  <c r="E130" i="1"/>
  <c r="U130" i="1"/>
  <c r="T130" i="1"/>
  <c r="C130" i="1"/>
  <c r="X130" i="1" s="1"/>
  <c r="Y130" i="1" s="1"/>
  <c r="Z130" i="1" s="1"/>
  <c r="D130" i="1" s="1"/>
  <c r="S130" i="1"/>
  <c r="B130" i="1"/>
  <c r="A118" i="2"/>
  <c r="W118" i="1"/>
  <c r="E118" i="1"/>
  <c r="C118" i="1"/>
  <c r="S118" i="1"/>
  <c r="B118" i="1"/>
  <c r="A86" i="2"/>
  <c r="W86" i="1"/>
  <c r="V86" i="1"/>
  <c r="E86" i="1"/>
  <c r="U86" i="1"/>
  <c r="T86" i="1"/>
  <c r="C86" i="1"/>
  <c r="X86" i="1" s="1"/>
  <c r="Y86" i="1" s="1"/>
  <c r="Z86" i="1" s="1"/>
  <c r="D86" i="1" s="1"/>
  <c r="S86" i="1"/>
  <c r="B86" i="1"/>
  <c r="W54" i="1"/>
  <c r="V54" i="1"/>
  <c r="E54" i="1"/>
  <c r="U54" i="1"/>
  <c r="T54" i="1"/>
  <c r="C54" i="1"/>
  <c r="X54" i="1" s="1"/>
  <c r="Y54" i="1" s="1"/>
  <c r="Z54" i="1" s="1"/>
  <c r="D54" i="1" s="1"/>
  <c r="A54" i="2"/>
  <c r="S54" i="1"/>
  <c r="B54" i="1"/>
  <c r="A22" i="2"/>
  <c r="W22" i="1"/>
  <c r="V22" i="1"/>
  <c r="E22" i="1"/>
  <c r="U22" i="1"/>
  <c r="T22" i="1"/>
  <c r="C22" i="1"/>
  <c r="X22" i="1" s="1"/>
  <c r="Y22" i="1" s="1"/>
  <c r="Z22" i="1" s="1"/>
  <c r="D22" i="1" s="1"/>
  <c r="AA22" i="1"/>
  <c r="S22" i="1"/>
  <c r="B22" i="1"/>
  <c r="O147" i="3"/>
  <c r="O123" i="3"/>
  <c r="L62" i="3"/>
  <c r="L38" i="3"/>
  <c r="F299" i="1"/>
  <c r="F274" i="1"/>
  <c r="J196" i="2"/>
  <c r="C196" i="2"/>
  <c r="B196" i="2"/>
  <c r="O128" i="3"/>
  <c r="L8" i="3"/>
  <c r="J724" i="10"/>
  <c r="H724" i="10"/>
  <c r="H680" i="10"/>
  <c r="J680" i="10"/>
  <c r="J470" i="10"/>
  <c r="H470" i="10"/>
  <c r="H210" i="10"/>
  <c r="J210" i="10"/>
  <c r="J187" i="10"/>
  <c r="H187" i="10"/>
  <c r="H200" i="10"/>
  <c r="J200" i="10"/>
  <c r="H24" i="10"/>
  <c r="J24" i="10"/>
  <c r="O59" i="10"/>
  <c r="Q59" i="10"/>
  <c r="H82" i="10"/>
  <c r="J82" i="10"/>
  <c r="Z5" i="8"/>
  <c r="Y5" i="8" s="1"/>
  <c r="X5" i="8" s="1"/>
  <c r="W5" i="8" s="1"/>
  <c r="V5" i="8" s="1"/>
  <c r="T5" i="8" s="1"/>
  <c r="AC5" i="8"/>
  <c r="U5" i="8"/>
  <c r="AA5" i="8"/>
  <c r="AB5" i="8"/>
  <c r="U23" i="8"/>
  <c r="AC23" i="8"/>
  <c r="AA23" i="8"/>
  <c r="Z23" i="8"/>
  <c r="Y23" i="8" s="1"/>
  <c r="X23" i="8" s="1"/>
  <c r="W23" i="8" s="1"/>
  <c r="V23" i="8" s="1"/>
  <c r="T23" i="8" s="1"/>
  <c r="AB23" i="8"/>
  <c r="J727" i="10"/>
  <c r="H727" i="10"/>
  <c r="H711" i="10"/>
  <c r="J711" i="10"/>
  <c r="J693" i="10"/>
  <c r="H693" i="10"/>
  <c r="J720" i="10"/>
  <c r="H720" i="10"/>
  <c r="J700" i="10"/>
  <c r="H700" i="10"/>
  <c r="J642" i="10"/>
  <c r="H642" i="10"/>
  <c r="J644" i="10"/>
  <c r="H644" i="10"/>
  <c r="J654" i="10"/>
  <c r="H654" i="10"/>
  <c r="J626" i="10"/>
  <c r="H626" i="10"/>
  <c r="J625" i="10"/>
  <c r="H625" i="10"/>
  <c r="Q608" i="10"/>
  <c r="Q613" i="10"/>
  <c r="J606" i="10"/>
  <c r="H606" i="10"/>
  <c r="J605" i="10"/>
  <c r="H605" i="10"/>
  <c r="O520" i="10"/>
  <c r="Q520" i="10"/>
  <c r="O512" i="10"/>
  <c r="Q512" i="10"/>
  <c r="O504" i="10"/>
  <c r="Q504" i="10"/>
  <c r="O496" i="10"/>
  <c r="Q496" i="10"/>
  <c r="O488" i="10"/>
  <c r="Q488" i="10"/>
  <c r="J646" i="10"/>
  <c r="H646" i="10"/>
  <c r="J483" i="10"/>
  <c r="H483" i="10"/>
  <c r="J467" i="10"/>
  <c r="H467" i="10"/>
  <c r="H468" i="10"/>
  <c r="J468" i="10"/>
  <c r="J410" i="10"/>
  <c r="H410" i="10"/>
  <c r="H421" i="10"/>
  <c r="J421" i="10"/>
  <c r="H232" i="10"/>
  <c r="J232" i="10"/>
  <c r="J201" i="10"/>
  <c r="H201" i="10"/>
  <c r="Q182" i="10"/>
  <c r="O182" i="10"/>
  <c r="Q166" i="10"/>
  <c r="O166" i="10"/>
  <c r="O147" i="10"/>
  <c r="Q147" i="10"/>
  <c r="O139" i="10"/>
  <c r="Q139" i="10"/>
  <c r="O131" i="10"/>
  <c r="Q131" i="10"/>
  <c r="O123" i="10"/>
  <c r="Q123" i="10"/>
  <c r="O115" i="10"/>
  <c r="Q115" i="10"/>
  <c r="H213" i="10"/>
  <c r="J213" i="10"/>
  <c r="J186" i="10"/>
  <c r="H186" i="10"/>
  <c r="J170" i="10"/>
  <c r="H170" i="10"/>
  <c r="C6" i="11"/>
  <c r="E6" i="11" s="1"/>
  <c r="AG246" i="10"/>
  <c r="Q204" i="10"/>
  <c r="O204" i="10"/>
  <c r="H100" i="10"/>
  <c r="J100" i="10"/>
  <c r="O92" i="10"/>
  <c r="Q92" i="10"/>
  <c r="Q78" i="10"/>
  <c r="O78" i="10"/>
  <c r="Q188" i="10"/>
  <c r="O188" i="10"/>
  <c r="Q180" i="10"/>
  <c r="O180" i="10"/>
  <c r="Q172" i="10"/>
  <c r="O172" i="10"/>
  <c r="H107" i="10"/>
  <c r="J107" i="10"/>
  <c r="J75" i="10"/>
  <c r="H75" i="10"/>
  <c r="H225" i="10"/>
  <c r="J225" i="10"/>
  <c r="O226" i="10"/>
  <c r="Q226" i="10"/>
  <c r="H98" i="10"/>
  <c r="J98" i="10"/>
  <c r="Q227" i="10"/>
  <c r="Q113" i="10"/>
  <c r="O113" i="10"/>
  <c r="O55" i="10"/>
  <c r="Q55" i="10"/>
  <c r="H249" i="10"/>
  <c r="J249" i="10"/>
  <c r="H54" i="10"/>
  <c r="J54" i="10"/>
  <c r="Q216" i="10"/>
  <c r="H60" i="10"/>
  <c r="J60" i="10"/>
  <c r="H113" i="10"/>
  <c r="J113" i="10"/>
  <c r="H65" i="10"/>
  <c r="J65" i="10"/>
  <c r="Z259" i="8"/>
  <c r="Y259" i="8" s="1"/>
  <c r="X259" i="8" s="1"/>
  <c r="W259" i="8" s="1"/>
  <c r="V259" i="8" s="1"/>
  <c r="T259" i="8" s="1"/>
  <c r="AC259" i="8"/>
  <c r="U259" i="8"/>
  <c r="AB259" i="8"/>
  <c r="AA259" i="8"/>
  <c r="AC233" i="8"/>
  <c r="U233" i="8"/>
  <c r="AA233" i="8"/>
  <c r="Z233" i="8"/>
  <c r="Y233" i="8" s="1"/>
  <c r="X233" i="8" s="1"/>
  <c r="W233" i="8" s="1"/>
  <c r="V233" i="8" s="1"/>
  <c r="T233" i="8" s="1"/>
  <c r="AB233" i="8"/>
  <c r="AC193" i="8"/>
  <c r="U193" i="8"/>
  <c r="AA193" i="8"/>
  <c r="Z193" i="8"/>
  <c r="Y193" i="8" s="1"/>
  <c r="X193" i="8" s="1"/>
  <c r="W193" i="8" s="1"/>
  <c r="V193" i="8" s="1"/>
  <c r="T193" i="8" s="1"/>
  <c r="AB193" i="8"/>
  <c r="AC189" i="8"/>
  <c r="U189" i="8"/>
  <c r="AA189" i="8"/>
  <c r="Z189" i="8"/>
  <c r="Y189" i="8" s="1"/>
  <c r="X189" i="8" s="1"/>
  <c r="W189" i="8" s="1"/>
  <c r="V189" i="8" s="1"/>
  <c r="T189" i="8" s="1"/>
  <c r="AB189" i="8"/>
  <c r="AC117" i="8"/>
  <c r="U117" i="8"/>
  <c r="AB117" i="8"/>
  <c r="AA117" i="8"/>
  <c r="Z117" i="8"/>
  <c r="Y117" i="8" s="1"/>
  <c r="X117" i="8" s="1"/>
  <c r="W117" i="8" s="1"/>
  <c r="AA182" i="8"/>
  <c r="AB182" i="8"/>
  <c r="AC182" i="8"/>
  <c r="U182" i="8"/>
  <c r="Z182" i="8"/>
  <c r="Y182" i="8" s="1"/>
  <c r="X182" i="8" s="1"/>
  <c r="W182" i="8" s="1"/>
  <c r="V182" i="8" s="1"/>
  <c r="T182" i="8" s="1"/>
  <c r="Q722" i="10"/>
  <c r="U51" i="8"/>
  <c r="AC51" i="8"/>
  <c r="AJ51" i="3" s="1"/>
  <c r="AK51" i="3" s="1"/>
  <c r="AA51" i="8"/>
  <c r="Z51" i="8"/>
  <c r="Y51" i="8" s="1"/>
  <c r="X51" i="8" s="1"/>
  <c r="W51" i="8" s="1"/>
  <c r="V51" i="8" s="1"/>
  <c r="T51" i="8" s="1"/>
  <c r="AB51" i="8"/>
  <c r="AL51" i="3" s="1"/>
  <c r="AM51" i="3" s="1"/>
  <c r="AN259" i="3"/>
  <c r="AO259" i="3" s="1"/>
  <c r="AN212" i="3"/>
  <c r="AO212" i="3" s="1"/>
  <c r="AQ206" i="3"/>
  <c r="AN198" i="3"/>
  <c r="AO198" i="3" s="1"/>
  <c r="AL210" i="3"/>
  <c r="AM210" i="3" s="1"/>
  <c r="AH210" i="3"/>
  <c r="AI210" i="3" s="1"/>
  <c r="AJ210" i="3"/>
  <c r="AK210" i="3" s="1"/>
  <c r="AF210" i="3"/>
  <c r="AS210" i="3" s="1"/>
  <c r="AJ175" i="3"/>
  <c r="AK175" i="3" s="1"/>
  <c r="AH175" i="3"/>
  <c r="AI175" i="3" s="1"/>
  <c r="AF175" i="3"/>
  <c r="AS175" i="3" s="1"/>
  <c r="AL175" i="3"/>
  <c r="AM175" i="3" s="1"/>
  <c r="AJ168" i="3"/>
  <c r="AK168" i="3" s="1"/>
  <c r="AH168" i="3"/>
  <c r="AI168" i="3" s="1"/>
  <c r="AF168" i="3"/>
  <c r="AS168" i="3" s="1"/>
  <c r="AL168" i="3"/>
  <c r="AM168" i="3" s="1"/>
  <c r="AN179" i="3"/>
  <c r="AO179" i="3" s="1"/>
  <c r="AQ167" i="3"/>
  <c r="AL202" i="3"/>
  <c r="AM202" i="3" s="1"/>
  <c r="AH202" i="3"/>
  <c r="AI202" i="3" s="1"/>
  <c r="AJ202" i="3"/>
  <c r="AK202" i="3" s="1"/>
  <c r="AF202" i="3"/>
  <c r="AS202" i="3" s="1"/>
  <c r="AQ186" i="3"/>
  <c r="AQ179" i="3"/>
  <c r="AJ187" i="3"/>
  <c r="AK187" i="3" s="1"/>
  <c r="AF187" i="3"/>
  <c r="AS187" i="3" s="1"/>
  <c r="AL187" i="3"/>
  <c r="AM187" i="3" s="1"/>
  <c r="AH187" i="3"/>
  <c r="AI187" i="3" s="1"/>
  <c r="F357" i="1"/>
  <c r="F342" i="1"/>
  <c r="I351" i="2"/>
  <c r="D351" i="2"/>
  <c r="I347" i="2"/>
  <c r="D347" i="2"/>
  <c r="I335" i="2"/>
  <c r="D335" i="2"/>
  <c r="I327" i="2"/>
  <c r="D327" i="2"/>
  <c r="I323" i="2"/>
  <c r="D323" i="2"/>
  <c r="I338" i="2"/>
  <c r="D338" i="2"/>
  <c r="J255" i="2"/>
  <c r="C255" i="2"/>
  <c r="B255" i="2"/>
  <c r="J223" i="2"/>
  <c r="C223" i="2"/>
  <c r="B223" i="2"/>
  <c r="J193" i="2"/>
  <c r="C193" i="2"/>
  <c r="B193" i="2"/>
  <c r="A137" i="2"/>
  <c r="W137" i="1"/>
  <c r="V137" i="1"/>
  <c r="E137" i="1"/>
  <c r="U137" i="1"/>
  <c r="T137" i="1"/>
  <c r="C137" i="1"/>
  <c r="X137" i="1" s="1"/>
  <c r="Y137" i="1" s="1"/>
  <c r="Z137" i="1" s="1"/>
  <c r="D137" i="1" s="1"/>
  <c r="S137" i="1"/>
  <c r="B137" i="1"/>
  <c r="A113" i="2"/>
  <c r="W113" i="1"/>
  <c r="E113" i="1"/>
  <c r="C113" i="1"/>
  <c r="S113" i="1"/>
  <c r="B113" i="1"/>
  <c r="A81" i="2"/>
  <c r="W81" i="1"/>
  <c r="V81" i="1"/>
  <c r="E81" i="1"/>
  <c r="U81" i="1"/>
  <c r="T81" i="1"/>
  <c r="C81" i="1"/>
  <c r="X81" i="1" s="1"/>
  <c r="Y81" i="1" s="1"/>
  <c r="Z81" i="1" s="1"/>
  <c r="D81" i="1" s="1"/>
  <c r="AA81" i="1"/>
  <c r="S81" i="1"/>
  <c r="B81" i="1"/>
  <c r="A49" i="2"/>
  <c r="W49" i="1"/>
  <c r="V49" i="1"/>
  <c r="E49" i="1"/>
  <c r="U49" i="1"/>
  <c r="T49" i="1"/>
  <c r="C49" i="1"/>
  <c r="X49" i="1" s="1"/>
  <c r="Y49" i="1" s="1"/>
  <c r="Z49" i="1" s="1"/>
  <c r="D49" i="1" s="1"/>
  <c r="AA49" i="1"/>
  <c r="S49" i="1"/>
  <c r="B49" i="1"/>
  <c r="A17" i="2"/>
  <c r="W17" i="1"/>
  <c r="V17" i="1"/>
  <c r="E17" i="1"/>
  <c r="U17" i="1"/>
  <c r="T17" i="1"/>
  <c r="C17" i="1"/>
  <c r="X17" i="1" s="1"/>
  <c r="AA17" i="1"/>
  <c r="S17" i="1"/>
  <c r="B17" i="1"/>
  <c r="AN149" i="3"/>
  <c r="AO149" i="3" s="1"/>
  <c r="AR119" i="3"/>
  <c r="J228" i="2"/>
  <c r="C228" i="2"/>
  <c r="B228" i="2"/>
  <c r="J212" i="2"/>
  <c r="C212" i="2"/>
  <c r="B212" i="2"/>
  <c r="AQ138" i="3"/>
  <c r="AR29" i="3"/>
  <c r="AN21" i="3"/>
  <c r="F361" i="1"/>
  <c r="AN197" i="3"/>
  <c r="AO197" i="3" s="1"/>
  <c r="A3" i="9"/>
  <c r="D5" i="3"/>
  <c r="AR5" i="3"/>
  <c r="AB5" i="3"/>
  <c r="T5" i="3"/>
  <c r="AN5" i="3" s="1"/>
  <c r="L5" i="3"/>
  <c r="B5" i="3"/>
  <c r="B3" i="9" s="1"/>
  <c r="K5" i="3"/>
  <c r="Z5" i="3"/>
  <c r="R5" i="3"/>
  <c r="AG5" i="3"/>
  <c r="X5" i="3"/>
  <c r="P5" i="3"/>
  <c r="G5" i="3"/>
  <c r="AV5" i="3"/>
  <c r="C3" i="9" s="1"/>
  <c r="AE5" i="3"/>
  <c r="F5" i="3"/>
  <c r="E5" i="3"/>
  <c r="AD5" i="3"/>
  <c r="AP5" i="3" s="1"/>
  <c r="V5" i="3"/>
  <c r="N5" i="3"/>
  <c r="AL181" i="3"/>
  <c r="AM181" i="3" s="1"/>
  <c r="AJ181" i="3"/>
  <c r="AK181" i="3" s="1"/>
  <c r="AH181" i="3"/>
  <c r="AI181" i="3" s="1"/>
  <c r="AF181" i="3"/>
  <c r="AS181" i="3" s="1"/>
  <c r="AQ216" i="3"/>
  <c r="AQ192" i="3"/>
  <c r="AQ208" i="3"/>
  <c r="AN206" i="3"/>
  <c r="AO206" i="3" s="1"/>
  <c r="AN173" i="3"/>
  <c r="AO173" i="3" s="1"/>
  <c r="AN229" i="3"/>
  <c r="AO229" i="3" s="1"/>
  <c r="AF235" i="3"/>
  <c r="AS235" i="3" s="1"/>
  <c r="AJ235" i="3"/>
  <c r="AK235" i="3" s="1"/>
  <c r="AL235" i="3"/>
  <c r="AM235" i="3" s="1"/>
  <c r="AH235" i="3"/>
  <c r="AI235" i="3" s="1"/>
  <c r="AJ239" i="3"/>
  <c r="AK239" i="3" s="1"/>
  <c r="AF239" i="3"/>
  <c r="AS239" i="3" s="1"/>
  <c r="AL239" i="3"/>
  <c r="AM239" i="3" s="1"/>
  <c r="AH239" i="3"/>
  <c r="AI239" i="3" s="1"/>
  <c r="AF243" i="3"/>
  <c r="AS243" i="3" s="1"/>
  <c r="AJ243" i="3"/>
  <c r="AK243" i="3" s="1"/>
  <c r="AL243" i="3"/>
  <c r="AM243" i="3" s="1"/>
  <c r="AH243" i="3"/>
  <c r="AI243" i="3" s="1"/>
  <c r="AL217" i="3"/>
  <c r="AM217" i="3" s="1"/>
  <c r="AJ217" i="3"/>
  <c r="AK217" i="3" s="1"/>
  <c r="AH217" i="3"/>
  <c r="AI217" i="3" s="1"/>
  <c r="AF217" i="3"/>
  <c r="AS217" i="3" s="1"/>
  <c r="AQ224" i="3"/>
  <c r="AQ244" i="3"/>
  <c r="AH221" i="3"/>
  <c r="AI221" i="3" s="1"/>
  <c r="AF221" i="3"/>
  <c r="AS221" i="3" s="1"/>
  <c r="AL221" i="3"/>
  <c r="AM221" i="3" s="1"/>
  <c r="AJ221" i="3"/>
  <c r="AK221" i="3" s="1"/>
  <c r="AN234" i="3"/>
  <c r="AO234" i="3" s="1"/>
  <c r="AN242" i="3"/>
  <c r="AO242" i="3" s="1"/>
  <c r="AN254" i="3"/>
  <c r="AO254" i="3" s="1"/>
  <c r="AQ201" i="3"/>
  <c r="AQ243" i="3"/>
  <c r="AL255" i="3"/>
  <c r="AM255" i="3" s="1"/>
  <c r="AJ255" i="3"/>
  <c r="AK255" i="3" s="1"/>
  <c r="AH255" i="3"/>
  <c r="AI255" i="3" s="1"/>
  <c r="AF255" i="3"/>
  <c r="AS255" i="3" s="1"/>
  <c r="AG47" i="7"/>
  <c r="Y47" i="7"/>
  <c r="S47" i="3" s="1"/>
  <c r="Z47" i="7"/>
  <c r="U47" i="7"/>
  <c r="T47" i="7"/>
  <c r="M47" i="3" s="1"/>
  <c r="U13" i="7"/>
  <c r="Z13" i="7"/>
  <c r="Y13" i="7"/>
  <c r="S13" i="3" s="1"/>
  <c r="AG13" i="7"/>
  <c r="T13" i="7"/>
  <c r="M13" i="3" s="1"/>
  <c r="V50" i="8"/>
  <c r="T50" i="8" s="1"/>
  <c r="T57" i="7"/>
  <c r="M57" i="3" s="1"/>
  <c r="AG57" i="7"/>
  <c r="AT57" i="3" s="1"/>
  <c r="AA58" i="1" s="1"/>
  <c r="U57" i="7"/>
  <c r="Y57" i="7"/>
  <c r="S57" i="3" s="1"/>
  <c r="Z57" i="7"/>
  <c r="Z14" i="7"/>
  <c r="U14" i="7"/>
  <c r="AG14" i="7"/>
  <c r="AT14" i="3" s="1"/>
  <c r="AA15" i="1" s="1"/>
  <c r="Y14" i="7"/>
  <c r="S14" i="3" s="1"/>
  <c r="T14" i="7"/>
  <c r="M14" i="3" s="1"/>
  <c r="U108" i="7"/>
  <c r="Z108" i="7"/>
  <c r="AA108" i="7" s="1"/>
  <c r="AB108" i="7" s="1"/>
  <c r="AD108" i="7" s="1"/>
  <c r="AF108" i="7" s="1"/>
  <c r="M748" i="10" s="1"/>
  <c r="Q748" i="10" s="1"/>
  <c r="Y108" i="7"/>
  <c r="T108" i="7"/>
  <c r="M108" i="3" s="1"/>
  <c r="AG108" i="7"/>
  <c r="AT108" i="3" s="1"/>
  <c r="AA109" i="1" s="1"/>
  <c r="J114" i="7"/>
  <c r="K114" i="7" s="1"/>
  <c r="L114" i="7" s="1"/>
  <c r="M114" i="7" s="1"/>
  <c r="N114" i="7" s="1"/>
  <c r="O114" i="7" s="1"/>
  <c r="J118" i="7"/>
  <c r="K118" i="7" s="1"/>
  <c r="L118" i="7" s="1"/>
  <c r="M118" i="7" s="1"/>
  <c r="N118" i="7" s="1"/>
  <c r="O118" i="7" s="1"/>
  <c r="L650" i="10"/>
  <c r="J701" i="10"/>
  <c r="H701" i="10"/>
  <c r="J702" i="10"/>
  <c r="H702" i="10"/>
  <c r="AQ34" i="3"/>
  <c r="AO34" i="3"/>
  <c r="AF18" i="3"/>
  <c r="AS18" i="3" s="1"/>
  <c r="AN18" i="3"/>
  <c r="AO18" i="3" s="1"/>
  <c r="L10" i="3"/>
  <c r="J244" i="2"/>
  <c r="C244" i="2"/>
  <c r="B244" i="2"/>
  <c r="A136" i="2"/>
  <c r="T136" i="1"/>
  <c r="C136" i="1"/>
  <c r="X136" i="1" s="1"/>
  <c r="Y136" i="1" s="1"/>
  <c r="Z136" i="1" s="1"/>
  <c r="D136" i="1" s="1"/>
  <c r="S136" i="1"/>
  <c r="B136" i="1"/>
  <c r="W136" i="1"/>
  <c r="V136" i="1"/>
  <c r="E136" i="1"/>
  <c r="U136" i="1"/>
  <c r="A108" i="2"/>
  <c r="T108" i="1"/>
  <c r="C108" i="1"/>
  <c r="X108" i="1" s="1"/>
  <c r="Y108" i="1" s="1"/>
  <c r="Z108" i="1" s="1"/>
  <c r="D108" i="1" s="1"/>
  <c r="S108" i="1"/>
  <c r="B108" i="1"/>
  <c r="W108" i="1"/>
  <c r="V108" i="1"/>
  <c r="E108" i="1"/>
  <c r="U108" i="1"/>
  <c r="A76" i="2"/>
  <c r="T76" i="1"/>
  <c r="C76" i="1"/>
  <c r="X76" i="1" s="1"/>
  <c r="AA76" i="1"/>
  <c r="S76" i="1"/>
  <c r="B76" i="1"/>
  <c r="W76" i="1"/>
  <c r="V76" i="1"/>
  <c r="E76" i="1"/>
  <c r="U76" i="1"/>
  <c r="A44" i="2"/>
  <c r="T44" i="1"/>
  <c r="C44" i="1"/>
  <c r="X44" i="1" s="1"/>
  <c r="Y44" i="1" s="1"/>
  <c r="Z44" i="1" s="1"/>
  <c r="D44" i="1" s="1"/>
  <c r="AA44" i="1"/>
  <c r="S44" i="1"/>
  <c r="B44" i="1"/>
  <c r="W44" i="1"/>
  <c r="V44" i="1"/>
  <c r="E44" i="1"/>
  <c r="U44" i="1"/>
  <c r="A12" i="2"/>
  <c r="T12" i="1"/>
  <c r="C12" i="1"/>
  <c r="X12" i="1" s="1"/>
  <c r="Y12" i="1" s="1"/>
  <c r="Z12" i="1" s="1"/>
  <c r="D12" i="1" s="1"/>
  <c r="AA12" i="1"/>
  <c r="S12" i="1"/>
  <c r="B12" i="1"/>
  <c r="W12" i="1"/>
  <c r="V12" i="1"/>
  <c r="E12" i="1"/>
  <c r="U12" i="1"/>
  <c r="AN151" i="3"/>
  <c r="AO151" i="3" s="1"/>
  <c r="AN114" i="3"/>
  <c r="AO114" i="3" s="1"/>
  <c r="AQ76" i="3"/>
  <c r="J238" i="2"/>
  <c r="C238" i="2"/>
  <c r="B238" i="2"/>
  <c r="J217" i="2"/>
  <c r="C217" i="2"/>
  <c r="B217" i="2"/>
  <c r="AN103" i="3"/>
  <c r="AO103" i="3" s="1"/>
  <c r="AQ63" i="3"/>
  <c r="AQ55" i="3"/>
  <c r="AO55" i="3"/>
  <c r="L47" i="3"/>
  <c r="AR39" i="3"/>
  <c r="AQ39" i="3"/>
  <c r="AO39" i="3"/>
  <c r="L7" i="3"/>
  <c r="A107" i="2"/>
  <c r="V107" i="1"/>
  <c r="E107" i="1"/>
  <c r="U107" i="1"/>
  <c r="T107" i="1"/>
  <c r="C107" i="1"/>
  <c r="X107" i="1" s="1"/>
  <c r="S107" i="1"/>
  <c r="B107" i="1"/>
  <c r="W107" i="1"/>
  <c r="A75" i="2"/>
  <c r="E75" i="1"/>
  <c r="C75" i="1"/>
  <c r="AA75" i="1"/>
  <c r="S75" i="1"/>
  <c r="B75" i="1"/>
  <c r="W75" i="1"/>
  <c r="A43" i="2"/>
  <c r="V43" i="1"/>
  <c r="E43" i="1"/>
  <c r="U43" i="1"/>
  <c r="T43" i="1"/>
  <c r="C43" i="1"/>
  <c r="X43" i="1" s="1"/>
  <c r="Y43" i="1" s="1"/>
  <c r="Z43" i="1" s="1"/>
  <c r="D43" i="1" s="1"/>
  <c r="AA43" i="1"/>
  <c r="S43" i="1"/>
  <c r="B43" i="1"/>
  <c r="W43" i="1"/>
  <c r="A11" i="2"/>
  <c r="V11" i="1"/>
  <c r="E11" i="1"/>
  <c r="U11" i="1"/>
  <c r="T11" i="1"/>
  <c r="C11" i="1"/>
  <c r="X11" i="1" s="1"/>
  <c r="Y11" i="1" s="1"/>
  <c r="Z11" i="1" s="1"/>
  <c r="D11" i="1" s="1"/>
  <c r="AA11" i="1"/>
  <c r="S11" i="1"/>
  <c r="B11" i="1"/>
  <c r="W11" i="1"/>
  <c r="AH145" i="3"/>
  <c r="AI145" i="3" s="1"/>
  <c r="AF145" i="3"/>
  <c r="AS145" i="3" s="1"/>
  <c r="AL145" i="3"/>
  <c r="AM145" i="3" s="1"/>
  <c r="AJ145" i="3"/>
  <c r="AK145" i="3" s="1"/>
  <c r="AQ108" i="3"/>
  <c r="AJ20" i="3"/>
  <c r="AK20" i="3" s="1"/>
  <c r="AF20" i="3"/>
  <c r="AS20" i="3" s="1"/>
  <c r="AL20" i="3"/>
  <c r="AM20" i="3" s="1"/>
  <c r="AN20" i="3"/>
  <c r="AO20" i="3" s="1"/>
  <c r="J266" i="2"/>
  <c r="C266" i="2"/>
  <c r="B266" i="2"/>
  <c r="J218" i="2"/>
  <c r="C218" i="2"/>
  <c r="B218" i="2"/>
  <c r="AF73" i="3"/>
  <c r="AO57" i="3"/>
  <c r="AQ57" i="3"/>
  <c r="AF49" i="3"/>
  <c r="L9" i="3"/>
  <c r="L14" i="3"/>
  <c r="AN75" i="3"/>
  <c r="AO75" i="3" s="1"/>
  <c r="AJ88" i="3"/>
  <c r="AK88" i="3" s="1"/>
  <c r="AH88" i="3"/>
  <c r="AI88" i="3" s="1"/>
  <c r="AF88" i="3"/>
  <c r="C329" i="2"/>
  <c r="B329" i="2"/>
  <c r="J329" i="2"/>
  <c r="J253" i="2"/>
  <c r="C253" i="2"/>
  <c r="B253" i="2"/>
  <c r="F241" i="1"/>
  <c r="A114" i="2"/>
  <c r="W114" i="1"/>
  <c r="V114" i="1"/>
  <c r="E114" i="1"/>
  <c r="U114" i="1"/>
  <c r="T114" i="1"/>
  <c r="C114" i="1"/>
  <c r="X114" i="1" s="1"/>
  <c r="Y114" i="1" s="1"/>
  <c r="Z114" i="1" s="1"/>
  <c r="D114" i="1" s="1"/>
  <c r="S114" i="1"/>
  <c r="B114" i="1"/>
  <c r="A82" i="2"/>
  <c r="W82" i="1"/>
  <c r="V82" i="1"/>
  <c r="E82" i="1"/>
  <c r="U82" i="1"/>
  <c r="T82" i="1"/>
  <c r="C82" i="1"/>
  <c r="X82" i="1" s="1"/>
  <c r="Y82" i="1" s="1"/>
  <c r="Z82" i="1" s="1"/>
  <c r="D82" i="1" s="1"/>
  <c r="AA82" i="1"/>
  <c r="S82" i="1"/>
  <c r="B82" i="1"/>
  <c r="A50" i="2"/>
  <c r="W50" i="1"/>
  <c r="V50" i="1"/>
  <c r="E50" i="1"/>
  <c r="U50" i="1"/>
  <c r="T50" i="1"/>
  <c r="C50" i="1"/>
  <c r="X50" i="1" s="1"/>
  <c r="Y50" i="1" s="1"/>
  <c r="Z50" i="1" s="1"/>
  <c r="D50" i="1" s="1"/>
  <c r="AA50" i="1"/>
  <c r="S50" i="1"/>
  <c r="B50" i="1"/>
  <c r="A18" i="2"/>
  <c r="W18" i="1"/>
  <c r="V18" i="1"/>
  <c r="E18" i="1"/>
  <c r="U18" i="1"/>
  <c r="T18" i="1"/>
  <c r="C18" i="1"/>
  <c r="X18" i="1" s="1"/>
  <c r="Y18" i="1" s="1"/>
  <c r="Z18" i="1" s="1"/>
  <c r="D18" i="1" s="1"/>
  <c r="AA18" i="1"/>
  <c r="S18" i="1"/>
  <c r="B18" i="1"/>
  <c r="AN155" i="3"/>
  <c r="AN139" i="3"/>
  <c r="AF54" i="3"/>
  <c r="AS54" i="3" s="1"/>
  <c r="AJ54" i="3"/>
  <c r="AK54" i="3" s="1"/>
  <c r="AH54" i="3"/>
  <c r="AI54" i="3" s="1"/>
  <c r="AJ38" i="3"/>
  <c r="AK38" i="3" s="1"/>
  <c r="AF38" i="3"/>
  <c r="AS38" i="3" s="1"/>
  <c r="AL38" i="3"/>
  <c r="AM38" i="3" s="1"/>
  <c r="AN38" i="3"/>
  <c r="AO38" i="3" s="1"/>
  <c r="AR35" i="3"/>
  <c r="AL107" i="3"/>
  <c r="AM107" i="3" s="1"/>
  <c r="AH107" i="3"/>
  <c r="AI107" i="3" s="1"/>
  <c r="AN91" i="3"/>
  <c r="AF59" i="3"/>
  <c r="AS59" i="3" s="1"/>
  <c r="AL59" i="3"/>
  <c r="AM59" i="3" s="1"/>
  <c r="AJ59" i="3"/>
  <c r="AK59" i="3" s="1"/>
  <c r="AH59" i="3"/>
  <c r="AI59" i="3" s="1"/>
  <c r="L48" i="3"/>
  <c r="J670" i="10"/>
  <c r="H670" i="10"/>
  <c r="O497" i="10"/>
  <c r="Q497" i="10"/>
  <c r="Q413" i="10"/>
  <c r="O479" i="10"/>
  <c r="Q479" i="10"/>
  <c r="J169" i="10"/>
  <c r="H169" i="10"/>
  <c r="O124" i="10"/>
  <c r="Q124" i="10"/>
  <c r="J194" i="10"/>
  <c r="H194" i="10"/>
  <c r="J179" i="10"/>
  <c r="H179" i="10"/>
  <c r="H93" i="10"/>
  <c r="J93" i="10"/>
  <c r="Q87" i="10"/>
  <c r="Q73" i="10"/>
  <c r="O73" i="10"/>
  <c r="Z111" i="8"/>
  <c r="Y111" i="8" s="1"/>
  <c r="X111" i="8" s="1"/>
  <c r="W111" i="8" s="1"/>
  <c r="U111" i="8"/>
  <c r="AC111" i="8"/>
  <c r="AB111" i="8"/>
  <c r="AA111" i="8"/>
  <c r="Z9" i="8"/>
  <c r="Y9" i="8" s="1"/>
  <c r="X9" i="8" s="1"/>
  <c r="W9" i="8" s="1"/>
  <c r="V9" i="8" s="1"/>
  <c r="T9" i="8" s="1"/>
  <c r="AC9" i="8"/>
  <c r="U9" i="8"/>
  <c r="AA9" i="8"/>
  <c r="AB9" i="8"/>
  <c r="H717" i="10"/>
  <c r="J717" i="10"/>
  <c r="J716" i="10"/>
  <c r="H716" i="10"/>
  <c r="H741" i="10"/>
  <c r="J741" i="10"/>
  <c r="J668" i="10"/>
  <c r="H668" i="10"/>
  <c r="J685" i="10"/>
  <c r="H685" i="10"/>
  <c r="H669" i="10"/>
  <c r="J669" i="10"/>
  <c r="J661" i="10"/>
  <c r="H661" i="10"/>
  <c r="J659" i="10"/>
  <c r="H659" i="10"/>
  <c r="Q640" i="10"/>
  <c r="Q606" i="10"/>
  <c r="Q625" i="10"/>
  <c r="J600" i="10"/>
  <c r="H600" i="10"/>
  <c r="J599" i="10"/>
  <c r="H599" i="10"/>
  <c r="O527" i="10"/>
  <c r="Q527" i="10"/>
  <c r="O519" i="10"/>
  <c r="Q519" i="10"/>
  <c r="O511" i="10"/>
  <c r="Q511" i="10"/>
  <c r="O503" i="10"/>
  <c r="Q503" i="10"/>
  <c r="O495" i="10"/>
  <c r="Q495" i="10"/>
  <c r="O487" i="10"/>
  <c r="Q487" i="10"/>
  <c r="H637" i="10"/>
  <c r="J637" i="10"/>
  <c r="Q629" i="10"/>
  <c r="J480" i="10"/>
  <c r="H480" i="10"/>
  <c r="O483" i="10"/>
  <c r="Q483" i="10"/>
  <c r="O467" i="10"/>
  <c r="Q467" i="10"/>
  <c r="J643" i="10"/>
  <c r="H643" i="10"/>
  <c r="J423" i="10"/>
  <c r="H423" i="10"/>
  <c r="Q407" i="10"/>
  <c r="Q424" i="10"/>
  <c r="AC241" i="10"/>
  <c r="P241" i="10"/>
  <c r="O232" i="10"/>
  <c r="Q232" i="10"/>
  <c r="J181" i="10"/>
  <c r="H181" i="10"/>
  <c r="J165" i="10"/>
  <c r="H165" i="10"/>
  <c r="H223" i="10"/>
  <c r="J223" i="10"/>
  <c r="O199" i="10"/>
  <c r="Q199" i="10"/>
  <c r="O146" i="10"/>
  <c r="Q146" i="10"/>
  <c r="O138" i="10"/>
  <c r="Q138" i="10"/>
  <c r="O130" i="10"/>
  <c r="Q130" i="10"/>
  <c r="O122" i="10"/>
  <c r="Q122" i="10"/>
  <c r="H229" i="10"/>
  <c r="J229" i="10"/>
  <c r="H236" i="10"/>
  <c r="J236" i="10"/>
  <c r="O104" i="10"/>
  <c r="Q104" i="10"/>
  <c r="H214" i="10"/>
  <c r="J214" i="10"/>
  <c r="J198" i="10"/>
  <c r="H198" i="10"/>
  <c r="H87" i="10"/>
  <c r="J87" i="10"/>
  <c r="H233" i="10"/>
  <c r="J233" i="10"/>
  <c r="O225" i="10"/>
  <c r="Q225" i="10"/>
  <c r="O75" i="10"/>
  <c r="Q75" i="10"/>
  <c r="Q110" i="10"/>
  <c r="O110" i="10"/>
  <c r="Q220" i="10"/>
  <c r="Q64" i="10"/>
  <c r="O54" i="10"/>
  <c r="Q54" i="10"/>
  <c r="H9" i="10"/>
  <c r="M9" i="10"/>
  <c r="Q9" i="10" s="1"/>
  <c r="J9" i="10"/>
  <c r="H89" i="10"/>
  <c r="J89" i="10"/>
  <c r="Q215" i="10"/>
  <c r="Q77" i="10"/>
  <c r="O60" i="10"/>
  <c r="Q60" i="10"/>
  <c r="H85" i="10"/>
  <c r="J85" i="10"/>
  <c r="Q26" i="10"/>
  <c r="Q13" i="10"/>
  <c r="AC225" i="8"/>
  <c r="U225" i="8"/>
  <c r="AA225" i="8"/>
  <c r="Z225" i="8"/>
  <c r="Y225" i="8" s="1"/>
  <c r="X225" i="8" s="1"/>
  <c r="W225" i="8" s="1"/>
  <c r="V225" i="8" s="1"/>
  <c r="T225" i="8" s="1"/>
  <c r="AB225" i="8"/>
  <c r="AC181" i="8"/>
  <c r="U181" i="8"/>
  <c r="AA181" i="8"/>
  <c r="AB181" i="8"/>
  <c r="Z181" i="8"/>
  <c r="Y181" i="8" s="1"/>
  <c r="X181" i="8" s="1"/>
  <c r="W181" i="8" s="1"/>
  <c r="V181" i="8" s="1"/>
  <c r="T181" i="8" s="1"/>
  <c r="Z147" i="8"/>
  <c r="Y147" i="8" s="1"/>
  <c r="X147" i="8" s="1"/>
  <c r="W147" i="8" s="1"/>
  <c r="V147" i="8" s="1"/>
  <c r="T147" i="8" s="1"/>
  <c r="AC147" i="8"/>
  <c r="U147" i="8"/>
  <c r="AB147" i="8"/>
  <c r="AA147" i="8"/>
  <c r="AC185" i="8"/>
  <c r="U185" i="8"/>
  <c r="AA185" i="8"/>
  <c r="Z185" i="8"/>
  <c r="Y185" i="8" s="1"/>
  <c r="X185" i="8" s="1"/>
  <c r="W185" i="8" s="1"/>
  <c r="V185" i="8" s="1"/>
  <c r="T185" i="8" s="1"/>
  <c r="AB185" i="8"/>
  <c r="U144" i="8"/>
  <c r="AC144" i="8"/>
  <c r="AB144" i="8"/>
  <c r="Z144" i="8"/>
  <c r="Y144" i="8" s="1"/>
  <c r="X144" i="8" s="1"/>
  <c r="W144" i="8" s="1"/>
  <c r="V144" i="8" s="1"/>
  <c r="T144" i="8" s="1"/>
  <c r="AA144" i="8"/>
  <c r="Z255" i="8"/>
  <c r="Y255" i="8" s="1"/>
  <c r="X255" i="8" s="1"/>
  <c r="W255" i="8" s="1"/>
  <c r="V255" i="8" s="1"/>
  <c r="T255" i="8" s="1"/>
  <c r="AC255" i="8"/>
  <c r="U255" i="8"/>
  <c r="AB255" i="8"/>
  <c r="AA255" i="8"/>
  <c r="AB137" i="8"/>
  <c r="AA137" i="8"/>
  <c r="U137" i="8"/>
  <c r="AC137" i="8"/>
  <c r="Z137" i="8"/>
  <c r="Y137" i="8" s="1"/>
  <c r="X137" i="8" s="1"/>
  <c r="W137" i="8" s="1"/>
  <c r="V137" i="8" s="1"/>
  <c r="T137" i="8" s="1"/>
  <c r="Z115" i="8"/>
  <c r="Y115" i="8" s="1"/>
  <c r="X115" i="8" s="1"/>
  <c r="W115" i="8" s="1"/>
  <c r="U115" i="8"/>
  <c r="AB115" i="8"/>
  <c r="AA115" i="8"/>
  <c r="AC115" i="8"/>
  <c r="AN253" i="3"/>
  <c r="AO253" i="3" s="1"/>
  <c r="AQ242" i="3"/>
  <c r="AQ223" i="3"/>
  <c r="AN245" i="3"/>
  <c r="AO245" i="3" s="1"/>
  <c r="AJ211" i="3"/>
  <c r="AK211" i="3" s="1"/>
  <c r="AH211" i="3"/>
  <c r="AI211" i="3" s="1"/>
  <c r="AF211" i="3"/>
  <c r="AS211" i="3" s="1"/>
  <c r="AL211" i="3"/>
  <c r="AM211" i="3" s="1"/>
  <c r="AF191" i="3"/>
  <c r="AS191" i="3" s="1"/>
  <c r="AJ191" i="3"/>
  <c r="AK191" i="3" s="1"/>
  <c r="AL191" i="3"/>
  <c r="AM191" i="3" s="1"/>
  <c r="AH191" i="3"/>
  <c r="AI191" i="3" s="1"/>
  <c r="AQ178" i="3"/>
  <c r="AQ174" i="3"/>
  <c r="AQ164" i="3"/>
  <c r="AN194" i="3"/>
  <c r="AO194" i="3" s="1"/>
  <c r="AL178" i="3"/>
  <c r="AM178" i="3" s="1"/>
  <c r="AH178" i="3"/>
  <c r="AI178" i="3" s="1"/>
  <c r="AJ178" i="3"/>
  <c r="AK178" i="3" s="1"/>
  <c r="AF178" i="3"/>
  <c r="AS178" i="3" s="1"/>
  <c r="AQ211" i="3"/>
  <c r="AN170" i="3"/>
  <c r="AO170" i="3" s="1"/>
  <c r="AQ158" i="3"/>
  <c r="F346" i="1"/>
  <c r="I324" i="2"/>
  <c r="D324" i="2"/>
  <c r="I303" i="2"/>
  <c r="D303" i="2"/>
  <c r="J251" i="2"/>
  <c r="C251" i="2"/>
  <c r="B251" i="2"/>
  <c r="J219" i="2"/>
  <c r="C219" i="2"/>
  <c r="B219" i="2"/>
  <c r="C301" i="2"/>
  <c r="B301" i="2"/>
  <c r="J301" i="2"/>
  <c r="I149" i="2"/>
  <c r="D149" i="2"/>
  <c r="A109" i="2"/>
  <c r="W109" i="1"/>
  <c r="V109" i="1"/>
  <c r="E109" i="1"/>
  <c r="U109" i="1"/>
  <c r="T109" i="1"/>
  <c r="C109" i="1"/>
  <c r="X109" i="1" s="1"/>
  <c r="Y109" i="1" s="1"/>
  <c r="Z109" i="1" s="1"/>
  <c r="D109" i="1" s="1"/>
  <c r="S109" i="1"/>
  <c r="B109" i="1"/>
  <c r="A77" i="2"/>
  <c r="W77" i="1"/>
  <c r="V77" i="1"/>
  <c r="E77" i="1"/>
  <c r="U77" i="1"/>
  <c r="T77" i="1"/>
  <c r="C77" i="1"/>
  <c r="X77" i="1" s="1"/>
  <c r="Y77" i="1" s="1"/>
  <c r="Z77" i="1" s="1"/>
  <c r="D77" i="1" s="1"/>
  <c r="S77" i="1"/>
  <c r="B77" i="1"/>
  <c r="A45" i="2"/>
  <c r="W45" i="1"/>
  <c r="V45" i="1"/>
  <c r="E45" i="1"/>
  <c r="U45" i="1"/>
  <c r="T45" i="1"/>
  <c r="C45" i="1"/>
  <c r="X45" i="1" s="1"/>
  <c r="Y45" i="1" s="1"/>
  <c r="Z45" i="1" s="1"/>
  <c r="D45" i="1" s="1"/>
  <c r="AA45" i="1"/>
  <c r="S45" i="1"/>
  <c r="B45" i="1"/>
  <c r="A13" i="2"/>
  <c r="W13" i="1"/>
  <c r="V13" i="1"/>
  <c r="E13" i="1"/>
  <c r="U13" i="1"/>
  <c r="T13" i="1"/>
  <c r="C13" i="1"/>
  <c r="X13" i="1" s="1"/>
  <c r="Y13" i="1" s="1"/>
  <c r="Z13" i="1" s="1"/>
  <c r="D13" i="1" s="1"/>
  <c r="AA13" i="1"/>
  <c r="S13" i="1"/>
  <c r="B13" i="1"/>
  <c r="AL157" i="3"/>
  <c r="AM157" i="3" s="1"/>
  <c r="AJ157" i="3"/>
  <c r="AK157" i="3" s="1"/>
  <c r="AH157" i="3"/>
  <c r="AI157" i="3" s="1"/>
  <c r="AF157" i="3"/>
  <c r="AS157" i="3" s="1"/>
  <c r="AN141" i="3"/>
  <c r="AO141" i="3" s="1"/>
  <c r="AN122" i="3"/>
  <c r="AR115" i="3"/>
  <c r="AN72" i="3"/>
  <c r="C345" i="2"/>
  <c r="B345" i="2"/>
  <c r="J345" i="2"/>
  <c r="AN154" i="3"/>
  <c r="AO154" i="3" s="1"/>
  <c r="AJ146" i="3"/>
  <c r="AK146" i="3" s="1"/>
  <c r="AF146" i="3"/>
  <c r="AS146" i="3" s="1"/>
  <c r="AL146" i="3"/>
  <c r="AM146" i="3" s="1"/>
  <c r="AH146" i="3"/>
  <c r="AI146" i="3" s="1"/>
  <c r="AN146" i="3"/>
  <c r="AO146" i="3" s="1"/>
  <c r="AL93" i="3"/>
  <c r="AM93" i="3" s="1"/>
  <c r="AJ93" i="3"/>
  <c r="AK93" i="3" s="1"/>
  <c r="AH93" i="3"/>
  <c r="AI93" i="3" s="1"/>
  <c r="AF93" i="3"/>
  <c r="AS93" i="3" s="1"/>
  <c r="AO77" i="3"/>
  <c r="AQ77" i="3"/>
  <c r="AR37" i="3"/>
  <c r="AP37" i="3"/>
  <c r="AR13" i="3"/>
  <c r="AQ13" i="3"/>
  <c r="AL209" i="3"/>
  <c r="AM209" i="3" s="1"/>
  <c r="AJ209" i="3"/>
  <c r="AK209" i="3" s="1"/>
  <c r="AH209" i="3"/>
  <c r="AI209" i="3" s="1"/>
  <c r="AF209" i="3"/>
  <c r="AS209" i="3" s="1"/>
  <c r="AF192" i="3"/>
  <c r="AS192" i="3" s="1"/>
  <c r="AJ192" i="3"/>
  <c r="AK192" i="3" s="1"/>
  <c r="AL192" i="3"/>
  <c r="AM192" i="3" s="1"/>
  <c r="AH192" i="3"/>
  <c r="AI192" i="3" s="1"/>
  <c r="AN162" i="3"/>
  <c r="AO162" i="3" s="1"/>
  <c r="AQ165" i="3"/>
  <c r="AQ203" i="3"/>
  <c r="AF163" i="3"/>
  <c r="AS163" i="3" s="1"/>
  <c r="AL163" i="3"/>
  <c r="AM163" i="3" s="1"/>
  <c r="AJ163" i="3"/>
  <c r="AK163" i="3" s="1"/>
  <c r="AH163" i="3"/>
  <c r="AI163" i="3" s="1"/>
  <c r="AQ173" i="3"/>
  <c r="AJ196" i="3"/>
  <c r="AK196" i="3" s="1"/>
  <c r="AF196" i="3"/>
  <c r="AS196" i="3" s="1"/>
  <c r="AL196" i="3"/>
  <c r="AM196" i="3" s="1"/>
  <c r="AH196" i="3"/>
  <c r="AI196" i="3" s="1"/>
  <c r="AN236" i="3"/>
  <c r="AO236" i="3" s="1"/>
  <c r="AQ248" i="3"/>
  <c r="AN232" i="3"/>
  <c r="AO232" i="3" s="1"/>
  <c r="AN258" i="3"/>
  <c r="AO258" i="3" s="1"/>
  <c r="AH224" i="3"/>
  <c r="AI224" i="3" s="1"/>
  <c r="AF224" i="3"/>
  <c r="AS224" i="3" s="1"/>
  <c r="AL224" i="3"/>
  <c r="AM224" i="3" s="1"/>
  <c r="AJ224" i="3"/>
  <c r="AK224" i="3" s="1"/>
  <c r="AN248" i="3"/>
  <c r="AO248" i="3" s="1"/>
  <c r="AQ252" i="3"/>
  <c r="U58" i="7"/>
  <c r="Z58" i="7"/>
  <c r="Y58" i="7"/>
  <c r="S58" i="3" s="1"/>
  <c r="T58" i="7"/>
  <c r="M58" i="3" s="1"/>
  <c r="AG58" i="7"/>
  <c r="AG23" i="7"/>
  <c r="Y23" i="7"/>
  <c r="S23" i="3" s="1"/>
  <c r="Z23" i="7"/>
  <c r="U23" i="7"/>
  <c r="T23" i="7"/>
  <c r="M23" i="3" s="1"/>
  <c r="T36" i="7"/>
  <c r="M36" i="3" s="1"/>
  <c r="AG36" i="7"/>
  <c r="Y36" i="7"/>
  <c r="S36" i="3" s="1"/>
  <c r="Z36" i="7"/>
  <c r="U36" i="7"/>
  <c r="U67" i="7"/>
  <c r="O67" i="3" s="1"/>
  <c r="Z67" i="7"/>
  <c r="Y67" i="7"/>
  <c r="S67" i="3" s="1"/>
  <c r="T67" i="7"/>
  <c r="M67" i="3" s="1"/>
  <c r="AG67" i="7"/>
  <c r="AT67" i="3" s="1"/>
  <c r="AA68" i="1" s="1"/>
  <c r="U5" i="7"/>
  <c r="Z5" i="7"/>
  <c r="AA5" i="7" s="1"/>
  <c r="AB5" i="7" s="1"/>
  <c r="AD5" i="7" s="1"/>
  <c r="AF5" i="7" s="1"/>
  <c r="M620" i="10" s="1"/>
  <c r="Q620" i="10" s="1"/>
  <c r="Y5" i="7"/>
  <c r="S5" i="3" s="1"/>
  <c r="AG5" i="7"/>
  <c r="AT5" i="3" s="1"/>
  <c r="T5" i="7"/>
  <c r="M5" i="3" s="1"/>
  <c r="T77" i="7"/>
  <c r="M77" i="3" s="1"/>
  <c r="Z77" i="7"/>
  <c r="AG77" i="7"/>
  <c r="AT77" i="3" s="1"/>
  <c r="AA78" i="1" s="1"/>
  <c r="Y77" i="7"/>
  <c r="S77" i="3" s="1"/>
  <c r="U77" i="7"/>
  <c r="T49" i="7"/>
  <c r="M49" i="3" s="1"/>
  <c r="AG49" i="7"/>
  <c r="U49" i="7"/>
  <c r="Y49" i="7"/>
  <c r="S49" i="3" s="1"/>
  <c r="Z49" i="7"/>
  <c r="Z6" i="7"/>
  <c r="U6" i="7"/>
  <c r="O6" i="3" s="1"/>
  <c r="AG6" i="7"/>
  <c r="Y6" i="7"/>
  <c r="S6" i="3" s="1"/>
  <c r="T6" i="7"/>
  <c r="M6" i="3" s="1"/>
  <c r="AG63" i="7"/>
  <c r="Z63" i="7"/>
  <c r="U63" i="7"/>
  <c r="Y63" i="7"/>
  <c r="S63" i="3" s="1"/>
  <c r="T63" i="7"/>
  <c r="M63" i="3" s="1"/>
  <c r="T112" i="7"/>
  <c r="Z112" i="7"/>
  <c r="AA112" i="7" s="1"/>
  <c r="AB112" i="7" s="1"/>
  <c r="AD112" i="7" s="1"/>
  <c r="AF112" i="7" s="1"/>
  <c r="Y112" i="7"/>
  <c r="AG112" i="7"/>
  <c r="AT112" i="3" s="1"/>
  <c r="AA113" i="1" s="1"/>
  <c r="U112" i="7"/>
  <c r="J663" i="10"/>
  <c r="H663" i="10"/>
  <c r="J707" i="10"/>
  <c r="H707" i="10"/>
  <c r="AQ50" i="3"/>
  <c r="AO50" i="3"/>
  <c r="AN42" i="3"/>
  <c r="AO42" i="3" s="1"/>
  <c r="F263" i="1"/>
  <c r="J248" i="2"/>
  <c r="C248" i="2"/>
  <c r="B248" i="2"/>
  <c r="A144" i="2"/>
  <c r="T144" i="1"/>
  <c r="C144" i="1"/>
  <c r="X144" i="1" s="1"/>
  <c r="Y144" i="1" s="1"/>
  <c r="Z144" i="1" s="1"/>
  <c r="D144" i="1" s="1"/>
  <c r="S144" i="1"/>
  <c r="B144" i="1"/>
  <c r="W144" i="1"/>
  <c r="V144" i="1"/>
  <c r="E144" i="1"/>
  <c r="U144" i="1"/>
  <c r="A104" i="2"/>
  <c r="T104" i="1"/>
  <c r="C104" i="1"/>
  <c r="X104" i="1" s="1"/>
  <c r="Y104" i="1" s="1"/>
  <c r="Z104" i="1" s="1"/>
  <c r="D104" i="1" s="1"/>
  <c r="S104" i="1"/>
  <c r="B104" i="1"/>
  <c r="W104" i="1"/>
  <c r="V104" i="1"/>
  <c r="E104" i="1"/>
  <c r="U104" i="1"/>
  <c r="A72" i="2"/>
  <c r="T72" i="1"/>
  <c r="C72" i="1"/>
  <c r="X72" i="1" s="1"/>
  <c r="Y72" i="1" s="1"/>
  <c r="Z72" i="1" s="1"/>
  <c r="D72" i="1" s="1"/>
  <c r="AA72" i="1"/>
  <c r="S72" i="1"/>
  <c r="B72" i="1"/>
  <c r="W72" i="1"/>
  <c r="V72" i="1"/>
  <c r="E72" i="1"/>
  <c r="U72" i="1"/>
  <c r="A40" i="2"/>
  <c r="C40" i="1"/>
  <c r="X40" i="1" s="1"/>
  <c r="Y40" i="1" s="1"/>
  <c r="Z40" i="1" s="1"/>
  <c r="D40" i="1" s="1"/>
  <c r="AA40" i="1"/>
  <c r="S40" i="1"/>
  <c r="B40" i="1"/>
  <c r="W40" i="1"/>
  <c r="E40" i="1"/>
  <c r="A8" i="2"/>
  <c r="T8" i="1"/>
  <c r="C8" i="1"/>
  <c r="X8" i="1" s="1"/>
  <c r="Y8" i="1" s="1"/>
  <c r="Z8" i="1" s="1"/>
  <c r="D8" i="1" s="1"/>
  <c r="AA8" i="1"/>
  <c r="S8" i="1"/>
  <c r="B8" i="1"/>
  <c r="W8" i="1"/>
  <c r="V8" i="1"/>
  <c r="E8" i="1"/>
  <c r="U8" i="1"/>
  <c r="AQ135" i="3"/>
  <c r="AN106" i="3"/>
  <c r="AR90" i="3"/>
  <c r="AL74" i="3"/>
  <c r="AM74" i="3" s="1"/>
  <c r="AJ74" i="3"/>
  <c r="AK74" i="3" s="1"/>
  <c r="AF74" i="3"/>
  <c r="AS74" i="3" s="1"/>
  <c r="AH74" i="3"/>
  <c r="AI74" i="3" s="1"/>
  <c r="AH84" i="3"/>
  <c r="AI84" i="3" s="1"/>
  <c r="AF84" i="3"/>
  <c r="AS84" i="3" s="1"/>
  <c r="AJ84" i="3"/>
  <c r="AK84" i="3" s="1"/>
  <c r="AL84" i="3"/>
  <c r="AM84" i="3" s="1"/>
  <c r="L76" i="3"/>
  <c r="F303" i="1"/>
  <c r="C277" i="2"/>
  <c r="B277" i="2"/>
  <c r="J277" i="2"/>
  <c r="J234" i="2"/>
  <c r="C234" i="2"/>
  <c r="B234" i="2"/>
  <c r="J221" i="2"/>
  <c r="C221" i="2"/>
  <c r="B221" i="2"/>
  <c r="F213" i="1"/>
  <c r="J201" i="2"/>
  <c r="C201" i="2"/>
  <c r="B201" i="2"/>
  <c r="AH140" i="3"/>
  <c r="AI140" i="3" s="1"/>
  <c r="AL140" i="3"/>
  <c r="AM140" i="3" s="1"/>
  <c r="AJ140" i="3"/>
  <c r="AK140" i="3" s="1"/>
  <c r="AF140" i="3"/>
  <c r="AS140" i="3" s="1"/>
  <c r="AN124" i="3"/>
  <c r="AO124" i="3" s="1"/>
  <c r="AL95" i="3"/>
  <c r="AM95" i="3" s="1"/>
  <c r="AJ95" i="3"/>
  <c r="AK95" i="3" s="1"/>
  <c r="AH95" i="3"/>
  <c r="AI95" i="3" s="1"/>
  <c r="AF95" i="3"/>
  <c r="AS95" i="3" s="1"/>
  <c r="AH47" i="3"/>
  <c r="AI47" i="3" s="1"/>
  <c r="AF47" i="3"/>
  <c r="AH7" i="3"/>
  <c r="AI7" i="3" s="1"/>
  <c r="AF7" i="3"/>
  <c r="C313" i="2"/>
  <c r="B313" i="2"/>
  <c r="J313" i="2"/>
  <c r="A103" i="2"/>
  <c r="V103" i="1"/>
  <c r="E103" i="1"/>
  <c r="U103" i="1"/>
  <c r="T103" i="1"/>
  <c r="C103" i="1"/>
  <c r="X103" i="1" s="1"/>
  <c r="S103" i="1"/>
  <c r="B103" i="1"/>
  <c r="W103" i="1"/>
  <c r="A71" i="2"/>
  <c r="V71" i="1"/>
  <c r="E71" i="1"/>
  <c r="U71" i="1"/>
  <c r="T71" i="1"/>
  <c r="C71" i="1"/>
  <c r="X71" i="1" s="1"/>
  <c r="AA71" i="1"/>
  <c r="S71" i="1"/>
  <c r="B71" i="1"/>
  <c r="W71" i="1"/>
  <c r="A39" i="2"/>
  <c r="V39" i="1"/>
  <c r="E39" i="1"/>
  <c r="U39" i="1"/>
  <c r="T39" i="1"/>
  <c r="C39" i="1"/>
  <c r="X39" i="1" s="1"/>
  <c r="AA39" i="1"/>
  <c r="S39" i="1"/>
  <c r="B39" i="1"/>
  <c r="W39" i="1"/>
  <c r="A7" i="2"/>
  <c r="V7" i="1"/>
  <c r="E7" i="1"/>
  <c r="U7" i="1"/>
  <c r="T7" i="1"/>
  <c r="C7" i="1"/>
  <c r="X7" i="1" s="1"/>
  <c r="Y7" i="1" s="1"/>
  <c r="Z7" i="1" s="1"/>
  <c r="D7" i="1" s="1"/>
  <c r="AA7" i="1"/>
  <c r="S7" i="1"/>
  <c r="B7" i="1"/>
  <c r="W7" i="1"/>
  <c r="AQ145" i="3"/>
  <c r="AQ28" i="3"/>
  <c r="F331" i="1"/>
  <c r="J214" i="2"/>
  <c r="C214" i="2"/>
  <c r="B214" i="2"/>
  <c r="O142" i="3"/>
  <c r="L120" i="3"/>
  <c r="AR73" i="3"/>
  <c r="AR33" i="3"/>
  <c r="L17" i="3"/>
  <c r="AQ9" i="3"/>
  <c r="AO9" i="3"/>
  <c r="AL14" i="3"/>
  <c r="AM14" i="3" s="1"/>
  <c r="AJ14" i="3"/>
  <c r="AK14" i="3" s="1"/>
  <c r="AH14" i="3"/>
  <c r="AI14" i="3" s="1"/>
  <c r="AF14" i="3"/>
  <c r="AS14" i="3" s="1"/>
  <c r="AQ75" i="3"/>
  <c r="C273" i="2"/>
  <c r="B273" i="2"/>
  <c r="J273" i="2"/>
  <c r="J249" i="2"/>
  <c r="C249" i="2"/>
  <c r="B249" i="2"/>
  <c r="F237" i="1"/>
  <c r="I166" i="2"/>
  <c r="D166" i="2"/>
  <c r="A158" i="2"/>
  <c r="W158" i="1"/>
  <c r="V158" i="1"/>
  <c r="E158" i="1"/>
  <c r="U158" i="1"/>
  <c r="T158" i="1"/>
  <c r="C158" i="1"/>
  <c r="X158" i="1" s="1"/>
  <c r="Y158" i="1" s="1"/>
  <c r="Z158" i="1" s="1"/>
  <c r="D158" i="1" s="1"/>
  <c r="S158" i="1"/>
  <c r="B158" i="1"/>
  <c r="A138" i="2"/>
  <c r="W138" i="1"/>
  <c r="V138" i="1"/>
  <c r="E138" i="1"/>
  <c r="U138" i="1"/>
  <c r="T138" i="1"/>
  <c r="C138" i="1"/>
  <c r="X138" i="1" s="1"/>
  <c r="Y138" i="1" s="1"/>
  <c r="Z138" i="1" s="1"/>
  <c r="D138" i="1" s="1"/>
  <c r="S138" i="1"/>
  <c r="B138" i="1"/>
  <c r="A126" i="2"/>
  <c r="W126" i="1"/>
  <c r="V126" i="1"/>
  <c r="E126" i="1"/>
  <c r="U126" i="1"/>
  <c r="T126" i="1"/>
  <c r="C126" i="1"/>
  <c r="X126" i="1" s="1"/>
  <c r="Y126" i="1" s="1"/>
  <c r="Z126" i="1" s="1"/>
  <c r="D126" i="1" s="1"/>
  <c r="S126" i="1"/>
  <c r="B126" i="1"/>
  <c r="A110" i="2"/>
  <c r="W110" i="1"/>
  <c r="V110" i="1"/>
  <c r="E110" i="1"/>
  <c r="U110" i="1"/>
  <c r="T110" i="1"/>
  <c r="C110" i="1"/>
  <c r="X110" i="1" s="1"/>
  <c r="Y110" i="1" s="1"/>
  <c r="Z110" i="1" s="1"/>
  <c r="D110" i="1" s="1"/>
  <c r="S110" i="1"/>
  <c r="B110" i="1"/>
  <c r="A78" i="2"/>
  <c r="W78" i="1"/>
  <c r="V78" i="1"/>
  <c r="E78" i="1"/>
  <c r="U78" i="1"/>
  <c r="T78" i="1"/>
  <c r="C78" i="1"/>
  <c r="X78" i="1" s="1"/>
  <c r="Y78" i="1" s="1"/>
  <c r="Z78" i="1" s="1"/>
  <c r="D78" i="1" s="1"/>
  <c r="S78" i="1"/>
  <c r="B78" i="1"/>
  <c r="A46" i="2"/>
  <c r="W46" i="1"/>
  <c r="V46" i="1"/>
  <c r="E46" i="1"/>
  <c r="U46" i="1"/>
  <c r="T46" i="1"/>
  <c r="C46" i="1"/>
  <c r="X46" i="1" s="1"/>
  <c r="Y46" i="1" s="1"/>
  <c r="Z46" i="1" s="1"/>
  <c r="D46" i="1" s="1"/>
  <c r="AA46" i="1"/>
  <c r="S46" i="1"/>
  <c r="B46" i="1"/>
  <c r="A14" i="2"/>
  <c r="W14" i="1"/>
  <c r="V14" i="1"/>
  <c r="E14" i="1"/>
  <c r="U14" i="1"/>
  <c r="T14" i="1"/>
  <c r="C14" i="1"/>
  <c r="X14" i="1" s="1"/>
  <c r="Y14" i="1" s="1"/>
  <c r="Z14" i="1" s="1"/>
  <c r="D14" i="1" s="1"/>
  <c r="AA14" i="1"/>
  <c r="S14" i="1"/>
  <c r="B14" i="1"/>
  <c r="AF147" i="3"/>
  <c r="AS147" i="3" s="1"/>
  <c r="AL147" i="3"/>
  <c r="AM147" i="3" s="1"/>
  <c r="AJ147" i="3"/>
  <c r="AK147" i="3" s="1"/>
  <c r="AH147" i="3"/>
  <c r="AI147" i="3" s="1"/>
  <c r="O139" i="3"/>
  <c r="AJ110" i="3"/>
  <c r="AK110" i="3" s="1"/>
  <c r="AL110" i="3"/>
  <c r="AM110" i="3" s="1"/>
  <c r="AH110" i="3"/>
  <c r="AI110" i="3" s="1"/>
  <c r="AF110" i="3"/>
  <c r="AS110" i="3" s="1"/>
  <c r="AF27" i="3"/>
  <c r="AH27" i="3"/>
  <c r="AI27" i="3" s="1"/>
  <c r="F335" i="1"/>
  <c r="AQ99" i="3"/>
  <c r="AO99" i="3"/>
  <c r="L56" i="3"/>
  <c r="AN48" i="3"/>
  <c r="J740" i="10"/>
  <c r="H740" i="10"/>
  <c r="O521" i="10"/>
  <c r="Q521" i="10"/>
  <c r="O485" i="10"/>
  <c r="Q485" i="10"/>
  <c r="J171" i="10"/>
  <c r="H171" i="10"/>
  <c r="Z57" i="8"/>
  <c r="Y57" i="8" s="1"/>
  <c r="X57" i="8" s="1"/>
  <c r="W57" i="8" s="1"/>
  <c r="V57" i="8" s="1"/>
  <c r="T57" i="8" s="1"/>
  <c r="AC57" i="8"/>
  <c r="U57" i="8"/>
  <c r="AA57" i="8"/>
  <c r="AB57" i="8"/>
  <c r="J719" i="10"/>
  <c r="H719" i="10"/>
  <c r="J714" i="10"/>
  <c r="H714" i="10"/>
  <c r="J699" i="10"/>
  <c r="H699" i="10"/>
  <c r="J691" i="10"/>
  <c r="H691" i="10"/>
  <c r="J708" i="10"/>
  <c r="H708" i="10"/>
  <c r="J713" i="10"/>
  <c r="H713" i="10"/>
  <c r="H674" i="10"/>
  <c r="J674" i="10"/>
  <c r="J686" i="10"/>
  <c r="H686" i="10"/>
  <c r="H677" i="10"/>
  <c r="J677" i="10"/>
  <c r="J640" i="10"/>
  <c r="H640" i="10"/>
  <c r="Q643" i="10"/>
  <c r="Q604" i="10"/>
  <c r="O526" i="10"/>
  <c r="Q526" i="10"/>
  <c r="O518" i="10"/>
  <c r="Q518" i="10"/>
  <c r="O510" i="10"/>
  <c r="Q510" i="10"/>
  <c r="O502" i="10"/>
  <c r="Q502" i="10"/>
  <c r="O494" i="10"/>
  <c r="Q494" i="10"/>
  <c r="O486" i="10"/>
  <c r="Q486" i="10"/>
  <c r="Q615" i="10"/>
  <c r="O480" i="10"/>
  <c r="Q480" i="10"/>
  <c r="Q423" i="10"/>
  <c r="Q402" i="10"/>
  <c r="Q416" i="10"/>
  <c r="Q419" i="10"/>
  <c r="Q474" i="10"/>
  <c r="J409" i="10"/>
  <c r="H409" i="10"/>
  <c r="J429" i="10"/>
  <c r="H429" i="10"/>
  <c r="O243" i="10"/>
  <c r="Q243" i="10"/>
  <c r="O203" i="10"/>
  <c r="Q203" i="10"/>
  <c r="Q178" i="10"/>
  <c r="O178" i="10"/>
  <c r="O208" i="10"/>
  <c r="Q208" i="10"/>
  <c r="O145" i="10"/>
  <c r="Q145" i="10"/>
  <c r="O137" i="10"/>
  <c r="Q137" i="10"/>
  <c r="O129" i="10"/>
  <c r="Q129" i="10"/>
  <c r="O121" i="10"/>
  <c r="Q121" i="10"/>
  <c r="J199" i="10"/>
  <c r="H199" i="10"/>
  <c r="J182" i="10"/>
  <c r="H182" i="10"/>
  <c r="J166" i="10"/>
  <c r="H166" i="10"/>
  <c r="Q238" i="10"/>
  <c r="O229" i="10"/>
  <c r="Q229" i="10"/>
  <c r="Q202" i="10"/>
  <c r="O202" i="10"/>
  <c r="O236" i="10"/>
  <c r="Q236" i="10"/>
  <c r="Q207" i="10"/>
  <c r="O207" i="10"/>
  <c r="J197" i="10"/>
  <c r="H197" i="10"/>
  <c r="H227" i="10"/>
  <c r="J227" i="10"/>
  <c r="H204" i="10"/>
  <c r="J204" i="10"/>
  <c r="Q112" i="10"/>
  <c r="O112" i="10"/>
  <c r="H92" i="10"/>
  <c r="J92" i="10"/>
  <c r="O84" i="10"/>
  <c r="Q84" i="10"/>
  <c r="Q414" i="10"/>
  <c r="H99" i="10"/>
  <c r="J99" i="10"/>
  <c r="O233" i="10"/>
  <c r="Q233" i="10"/>
  <c r="H248" i="10"/>
  <c r="J248" i="10"/>
  <c r="H234" i="10"/>
  <c r="J234" i="10"/>
  <c r="H110" i="10"/>
  <c r="J110" i="10"/>
  <c r="H90" i="10"/>
  <c r="J90" i="10"/>
  <c r="Q219" i="10"/>
  <c r="Q71" i="10"/>
  <c r="Q103" i="10"/>
  <c r="H76" i="10"/>
  <c r="J76" i="10"/>
  <c r="Q25" i="10"/>
  <c r="Q106" i="10"/>
  <c r="Q107" i="10"/>
  <c r="O97" i="10"/>
  <c r="Q97" i="10"/>
  <c r="Q79" i="10"/>
  <c r="H68" i="10"/>
  <c r="J68" i="10"/>
  <c r="Z243" i="8"/>
  <c r="Y243" i="8" s="1"/>
  <c r="X243" i="8" s="1"/>
  <c r="W243" i="8" s="1"/>
  <c r="V243" i="8" s="1"/>
  <c r="T243" i="8" s="1"/>
  <c r="AC243" i="8"/>
  <c r="U243" i="8"/>
  <c r="AB243" i="8"/>
  <c r="AA243" i="8"/>
  <c r="AC217" i="8"/>
  <c r="U217" i="8"/>
  <c r="AA217" i="8"/>
  <c r="Z217" i="8"/>
  <c r="Y217" i="8" s="1"/>
  <c r="X217" i="8" s="1"/>
  <c r="W217" i="8" s="1"/>
  <c r="V217" i="8" s="1"/>
  <c r="T217" i="8" s="1"/>
  <c r="AB217" i="8"/>
  <c r="AA149" i="8"/>
  <c r="U149" i="8"/>
  <c r="AC149" i="8"/>
  <c r="AB149" i="8"/>
  <c r="Z149" i="8"/>
  <c r="Y149" i="8" s="1"/>
  <c r="X149" i="8" s="1"/>
  <c r="W149" i="8" s="1"/>
  <c r="V149" i="8" s="1"/>
  <c r="T149" i="8" s="1"/>
  <c r="AB145" i="8"/>
  <c r="U145" i="8"/>
  <c r="AA145" i="8"/>
  <c r="AC145" i="8"/>
  <c r="Z145" i="8"/>
  <c r="Y145" i="8" s="1"/>
  <c r="X145" i="8" s="1"/>
  <c r="W145" i="8" s="1"/>
  <c r="V145" i="8" s="1"/>
  <c r="T145" i="8" s="1"/>
  <c r="AB141" i="8"/>
  <c r="AA141" i="8"/>
  <c r="Z141" i="8"/>
  <c r="Y141" i="8" s="1"/>
  <c r="X141" i="8" s="1"/>
  <c r="W141" i="8" s="1"/>
  <c r="V141" i="8" s="1"/>
  <c r="T141" i="8" s="1"/>
  <c r="AC141" i="8"/>
  <c r="U141" i="8"/>
  <c r="AC148" i="8"/>
  <c r="Z148" i="8"/>
  <c r="Y148" i="8" s="1"/>
  <c r="X148" i="8" s="1"/>
  <c r="W148" i="8" s="1"/>
  <c r="V148" i="8" s="1"/>
  <c r="T148" i="8" s="1"/>
  <c r="U148" i="8"/>
  <c r="AB148" i="8"/>
  <c r="AA148" i="8"/>
  <c r="Z17" i="8"/>
  <c r="Y17" i="8" s="1"/>
  <c r="X17" i="8" s="1"/>
  <c r="W17" i="8" s="1"/>
  <c r="V17" i="8" s="1"/>
  <c r="T17" i="8" s="1"/>
  <c r="AC17" i="8"/>
  <c r="U17" i="8"/>
  <c r="AA17" i="8"/>
  <c r="AB17" i="8"/>
  <c r="Z37" i="8"/>
  <c r="Y37" i="8" s="1"/>
  <c r="X37" i="8" s="1"/>
  <c r="W37" i="8" s="1"/>
  <c r="V37" i="8" s="1"/>
  <c r="T37" i="8" s="1"/>
  <c r="AC37" i="8"/>
  <c r="U37" i="8"/>
  <c r="AA37" i="8"/>
  <c r="AB37" i="8"/>
  <c r="AA90" i="8"/>
  <c r="AB90" i="8"/>
  <c r="AC90" i="8"/>
  <c r="U90" i="8"/>
  <c r="Z90" i="8"/>
  <c r="Y90" i="8" s="1"/>
  <c r="X90" i="8" s="1"/>
  <c r="W90" i="8" s="1"/>
  <c r="Z41" i="8"/>
  <c r="Y41" i="8" s="1"/>
  <c r="X41" i="8" s="1"/>
  <c r="W41" i="8" s="1"/>
  <c r="V41" i="8" s="1"/>
  <c r="T41" i="8" s="1"/>
  <c r="AC41" i="8"/>
  <c r="U41" i="8"/>
  <c r="AA41" i="8"/>
  <c r="AB41" i="8"/>
  <c r="U35" i="8"/>
  <c r="AC35" i="8"/>
  <c r="AA35" i="8"/>
  <c r="Z35" i="8"/>
  <c r="Y35" i="8" s="1"/>
  <c r="X35" i="8" s="1"/>
  <c r="W35" i="8" s="1"/>
  <c r="V35" i="8" s="1"/>
  <c r="T35" i="8" s="1"/>
  <c r="AB35" i="8"/>
  <c r="AL254" i="3"/>
  <c r="AM254" i="3" s="1"/>
  <c r="AJ254" i="3"/>
  <c r="AK254" i="3" s="1"/>
  <c r="AH254" i="3"/>
  <c r="AI254" i="3" s="1"/>
  <c r="AF254" i="3"/>
  <c r="AS254" i="3" s="1"/>
  <c r="AQ245" i="3"/>
  <c r="AQ237" i="3"/>
  <c r="AF231" i="3"/>
  <c r="AS231" i="3" s="1"/>
  <c r="AL231" i="3"/>
  <c r="AM231" i="3" s="1"/>
  <c r="AJ231" i="3"/>
  <c r="AK231" i="3" s="1"/>
  <c r="AH231" i="3"/>
  <c r="AI231" i="3" s="1"/>
  <c r="AQ249" i="3"/>
  <c r="AQ230" i="3"/>
  <c r="AN241" i="3"/>
  <c r="AO241" i="3" s="1"/>
  <c r="AN237" i="3"/>
  <c r="AO237" i="3" s="1"/>
  <c r="AN233" i="3"/>
  <c r="AO233" i="3" s="1"/>
  <c r="AQ218" i="3"/>
  <c r="AN196" i="3"/>
  <c r="AO196" i="3" s="1"/>
  <c r="AN243" i="3"/>
  <c r="AO243" i="3" s="1"/>
  <c r="AH206" i="3"/>
  <c r="AI206" i="3" s="1"/>
  <c r="AL206" i="3"/>
  <c r="AM206" i="3" s="1"/>
  <c r="AJ206" i="3"/>
  <c r="AK206" i="3" s="1"/>
  <c r="AF206" i="3"/>
  <c r="AS206" i="3" s="1"/>
  <c r="AQ227" i="3"/>
  <c r="AJ249" i="3"/>
  <c r="AK249" i="3" s="1"/>
  <c r="AH249" i="3"/>
  <c r="AI249" i="3" s="1"/>
  <c r="AF249" i="3"/>
  <c r="AS249" i="3" s="1"/>
  <c r="AL249" i="3"/>
  <c r="AM249" i="3" s="1"/>
  <c r="AQ222" i="3"/>
  <c r="AQ214" i="3"/>
  <c r="AN200" i="3"/>
  <c r="AO200" i="3" s="1"/>
  <c r="AQ159" i="3"/>
  <c r="AF253" i="3"/>
  <c r="AS253" i="3" s="1"/>
  <c r="AL253" i="3"/>
  <c r="AM253" i="3" s="1"/>
  <c r="AJ253" i="3"/>
  <c r="AK253" i="3" s="1"/>
  <c r="AH253" i="3"/>
  <c r="AI253" i="3" s="1"/>
  <c r="AH198" i="3"/>
  <c r="AI198" i="3" s="1"/>
  <c r="AL198" i="3"/>
  <c r="AM198" i="3" s="1"/>
  <c r="AJ198" i="3"/>
  <c r="AK198" i="3" s="1"/>
  <c r="AF198" i="3"/>
  <c r="AS198" i="3" s="1"/>
  <c r="AH190" i="3"/>
  <c r="AI190" i="3" s="1"/>
  <c r="AL190" i="3"/>
  <c r="AM190" i="3" s="1"/>
  <c r="AJ190" i="3"/>
  <c r="AK190" i="3" s="1"/>
  <c r="AF190" i="3"/>
  <c r="AS190" i="3" s="1"/>
  <c r="AF184" i="3"/>
  <c r="AS184" i="3" s="1"/>
  <c r="AJ184" i="3"/>
  <c r="AK184" i="3" s="1"/>
  <c r="AH184" i="3"/>
  <c r="AI184" i="3" s="1"/>
  <c r="AL184" i="3"/>
  <c r="AM184" i="3" s="1"/>
  <c r="AJ171" i="3"/>
  <c r="AK171" i="3" s="1"/>
  <c r="AH171" i="3"/>
  <c r="AI171" i="3" s="1"/>
  <c r="AF171" i="3"/>
  <c r="AS171" i="3" s="1"/>
  <c r="AL171" i="3"/>
  <c r="AM171" i="3" s="1"/>
  <c r="AN171" i="3"/>
  <c r="AO171" i="3" s="1"/>
  <c r="AL194" i="3"/>
  <c r="AM194" i="3" s="1"/>
  <c r="AH194" i="3"/>
  <c r="AI194" i="3" s="1"/>
  <c r="AJ194" i="3"/>
  <c r="AK194" i="3" s="1"/>
  <c r="AF194" i="3"/>
  <c r="AS194" i="3" s="1"/>
  <c r="AQ171" i="3"/>
  <c r="AN203" i="3"/>
  <c r="AO203" i="3" s="1"/>
  <c r="AJ183" i="3"/>
  <c r="AK183" i="3" s="1"/>
  <c r="AL183" i="3"/>
  <c r="AM183" i="3" s="1"/>
  <c r="AH183" i="3"/>
  <c r="AI183" i="3" s="1"/>
  <c r="AF183" i="3"/>
  <c r="AS183" i="3" s="1"/>
  <c r="AQ172" i="3"/>
  <c r="AQ176" i="3"/>
  <c r="I328" i="2"/>
  <c r="D328" i="2"/>
  <c r="I359" i="2"/>
  <c r="D359" i="2"/>
  <c r="I330" i="2"/>
  <c r="D330" i="2"/>
  <c r="AJ180" i="3"/>
  <c r="AK180" i="3" s="1"/>
  <c r="AF180" i="3"/>
  <c r="AS180" i="3" s="1"/>
  <c r="AH180" i="3"/>
  <c r="AI180" i="3" s="1"/>
  <c r="AL180" i="3"/>
  <c r="AM180" i="3" s="1"/>
  <c r="J247" i="2"/>
  <c r="C247" i="2"/>
  <c r="B247" i="2"/>
  <c r="J215" i="2"/>
  <c r="C215" i="2"/>
  <c r="B215" i="2"/>
  <c r="A129" i="2"/>
  <c r="W129" i="1"/>
  <c r="V129" i="1"/>
  <c r="E129" i="1"/>
  <c r="U129" i="1"/>
  <c r="T129" i="1"/>
  <c r="C129" i="1"/>
  <c r="X129" i="1" s="1"/>
  <c r="Y129" i="1" s="1"/>
  <c r="Z129" i="1" s="1"/>
  <c r="D129" i="1" s="1"/>
  <c r="S129" i="1"/>
  <c r="B129" i="1"/>
  <c r="A105" i="2"/>
  <c r="W105" i="1"/>
  <c r="V105" i="1"/>
  <c r="E105" i="1"/>
  <c r="U105" i="1"/>
  <c r="T105" i="1"/>
  <c r="C105" i="1"/>
  <c r="X105" i="1" s="1"/>
  <c r="Y105" i="1" s="1"/>
  <c r="Z105" i="1" s="1"/>
  <c r="D105" i="1" s="1"/>
  <c r="S105" i="1"/>
  <c r="B105" i="1"/>
  <c r="A73" i="2"/>
  <c r="W73" i="1"/>
  <c r="V73" i="1"/>
  <c r="E73" i="1"/>
  <c r="U73" i="1"/>
  <c r="T73" i="1"/>
  <c r="C73" i="1"/>
  <c r="X73" i="1" s="1"/>
  <c r="Y73" i="1" s="1"/>
  <c r="Z73" i="1" s="1"/>
  <c r="D73" i="1" s="1"/>
  <c r="AA73" i="1"/>
  <c r="S73" i="1"/>
  <c r="B73" i="1"/>
  <c r="A41" i="2"/>
  <c r="W41" i="1"/>
  <c r="V41" i="1"/>
  <c r="E41" i="1"/>
  <c r="U41" i="1"/>
  <c r="T41" i="1"/>
  <c r="C41" i="1"/>
  <c r="X41" i="1" s="1"/>
  <c r="Y41" i="1" s="1"/>
  <c r="Z41" i="1" s="1"/>
  <c r="D41" i="1" s="1"/>
  <c r="AA41" i="1"/>
  <c r="S41" i="1"/>
  <c r="B41" i="1"/>
  <c r="A9" i="2"/>
  <c r="W9" i="1"/>
  <c r="V9" i="1"/>
  <c r="E9" i="1"/>
  <c r="U9" i="1"/>
  <c r="T9" i="1"/>
  <c r="C9" i="1"/>
  <c r="X9" i="1" s="1"/>
  <c r="Y9" i="1" s="1"/>
  <c r="Z9" i="1" s="1"/>
  <c r="D9" i="1" s="1"/>
  <c r="S9" i="1"/>
  <c r="B9" i="1"/>
  <c r="AL149" i="3"/>
  <c r="AM149" i="3" s="1"/>
  <c r="AJ149" i="3"/>
  <c r="AK149" i="3" s="1"/>
  <c r="AH149" i="3"/>
  <c r="AI149" i="3" s="1"/>
  <c r="AF149" i="3"/>
  <c r="AS149" i="3" s="1"/>
  <c r="AQ149" i="3"/>
  <c r="AN133" i="3"/>
  <c r="AO133" i="3" s="1"/>
  <c r="AJ122" i="3"/>
  <c r="AK122" i="3" s="1"/>
  <c r="AF122" i="3"/>
  <c r="AS122" i="3" s="1"/>
  <c r="AL122" i="3"/>
  <c r="AM122" i="3" s="1"/>
  <c r="AH122" i="3"/>
  <c r="AI122" i="3" s="1"/>
  <c r="AF119" i="3"/>
  <c r="AQ104" i="3"/>
  <c r="AO104" i="3"/>
  <c r="J216" i="2"/>
  <c r="C216" i="2"/>
  <c r="B216" i="2"/>
  <c r="J200" i="2"/>
  <c r="C200" i="2"/>
  <c r="B200" i="2"/>
  <c r="AQ93" i="3"/>
  <c r="AO93" i="3"/>
  <c r="AR21" i="3"/>
  <c r="F358" i="1"/>
  <c r="AJ160" i="3"/>
  <c r="AK160" i="3" s="1"/>
  <c r="AL160" i="3"/>
  <c r="AM160" i="3" s="1"/>
  <c r="AH160" i="3"/>
  <c r="AI160" i="3" s="1"/>
  <c r="AF160" i="3"/>
  <c r="AS160" i="3" s="1"/>
  <c r="AL173" i="3"/>
  <c r="AM173" i="3" s="1"/>
  <c r="AJ173" i="3"/>
  <c r="AK173" i="3" s="1"/>
  <c r="AH173" i="3"/>
  <c r="AI173" i="3" s="1"/>
  <c r="AF173" i="3"/>
  <c r="AS173" i="3" s="1"/>
  <c r="AQ168" i="3"/>
  <c r="AQ199" i="3"/>
  <c r="AN193" i="3"/>
  <c r="AO193" i="3" s="1"/>
  <c r="AQ160" i="3"/>
  <c r="AQ195" i="3"/>
  <c r="AN177" i="3"/>
  <c r="AO177" i="3" s="1"/>
  <c r="AN213" i="3"/>
  <c r="AO213" i="3" s="1"/>
  <c r="AN218" i="3"/>
  <c r="AO218" i="3" s="1"/>
  <c r="AQ236" i="3"/>
  <c r="AJ240" i="3"/>
  <c r="AK240" i="3" s="1"/>
  <c r="AH240" i="3"/>
  <c r="AI240" i="3" s="1"/>
  <c r="AF240" i="3"/>
  <c r="AS240" i="3" s="1"/>
  <c r="AL240" i="3"/>
  <c r="AM240" i="3" s="1"/>
  <c r="AJ248" i="3"/>
  <c r="AK248" i="3" s="1"/>
  <c r="AH248" i="3"/>
  <c r="AI248" i="3" s="1"/>
  <c r="AF248" i="3"/>
  <c r="AS248" i="3" s="1"/>
  <c r="AL248" i="3"/>
  <c r="AM248" i="3" s="1"/>
  <c r="AN222" i="3"/>
  <c r="AO222" i="3" s="1"/>
  <c r="AH229" i="3"/>
  <c r="AI229" i="3" s="1"/>
  <c r="AF229" i="3"/>
  <c r="AS229" i="3" s="1"/>
  <c r="AL229" i="3"/>
  <c r="AM229" i="3" s="1"/>
  <c r="AJ229" i="3"/>
  <c r="AK229" i="3" s="1"/>
  <c r="AL237" i="3"/>
  <c r="AM237" i="3" s="1"/>
  <c r="AH237" i="3"/>
  <c r="AI237" i="3" s="1"/>
  <c r="AF237" i="3"/>
  <c r="AS237" i="3" s="1"/>
  <c r="AJ237" i="3"/>
  <c r="AK237" i="3" s="1"/>
  <c r="AL245" i="3"/>
  <c r="AM245" i="3" s="1"/>
  <c r="AH245" i="3"/>
  <c r="AI245" i="3" s="1"/>
  <c r="AF245" i="3"/>
  <c r="AS245" i="3" s="1"/>
  <c r="AJ245" i="3"/>
  <c r="AK245" i="3" s="1"/>
  <c r="AQ217" i="3"/>
  <c r="U34" i="7"/>
  <c r="O34" i="3" s="1"/>
  <c r="Z34" i="7"/>
  <c r="Y34" i="7"/>
  <c r="S34" i="3" s="1"/>
  <c r="AG34" i="7"/>
  <c r="AT34" i="3" s="1"/>
  <c r="AA35" i="1" s="1"/>
  <c r="T34" i="7"/>
  <c r="M34" i="3" s="1"/>
  <c r="AG95" i="7"/>
  <c r="AT95" i="3" s="1"/>
  <c r="AA96" i="1" s="1"/>
  <c r="Y95" i="7"/>
  <c r="S95" i="3" s="1"/>
  <c r="T95" i="7"/>
  <c r="M95" i="3" s="1"/>
  <c r="Z95" i="7"/>
  <c r="U95" i="7"/>
  <c r="U50" i="7"/>
  <c r="O50" i="3" s="1"/>
  <c r="Z50" i="7"/>
  <c r="Y50" i="7"/>
  <c r="S50" i="3" s="1"/>
  <c r="AG50" i="7"/>
  <c r="T50" i="7"/>
  <c r="M50" i="3" s="1"/>
  <c r="T60" i="7"/>
  <c r="M60" i="3" s="1"/>
  <c r="AG60" i="7"/>
  <c r="Z60" i="7"/>
  <c r="U60" i="7"/>
  <c r="Y60" i="7"/>
  <c r="S60" i="3" s="1"/>
  <c r="U74" i="7"/>
  <c r="T74" i="7"/>
  <c r="M74" i="3" s="1"/>
  <c r="AG74" i="7"/>
  <c r="Z74" i="7"/>
  <c r="Y74" i="7"/>
  <c r="S74" i="3" s="1"/>
  <c r="T41" i="7"/>
  <c r="M41" i="3" s="1"/>
  <c r="AG41" i="7"/>
  <c r="AT41" i="3" s="1"/>
  <c r="AA42" i="1" s="1"/>
  <c r="U41" i="7"/>
  <c r="Y41" i="7"/>
  <c r="S41" i="3" s="1"/>
  <c r="Z41" i="7"/>
  <c r="V58" i="8"/>
  <c r="T58" i="8" s="1"/>
  <c r="Z90" i="7"/>
  <c r="AA90" i="7" s="1"/>
  <c r="AB90" i="7" s="1"/>
  <c r="AD90" i="7" s="1"/>
  <c r="AF90" i="7" s="1"/>
  <c r="M730" i="10" s="1"/>
  <c r="Q730" i="10" s="1"/>
  <c r="U90" i="7"/>
  <c r="AG90" i="7"/>
  <c r="AT90" i="3" s="1"/>
  <c r="AA91" i="1" s="1"/>
  <c r="T90" i="7"/>
  <c r="M90" i="3" s="1"/>
  <c r="Y90" i="7"/>
  <c r="Y109" i="7"/>
  <c r="U109" i="7"/>
  <c r="T109" i="7"/>
  <c r="M109" i="3" s="1"/>
  <c r="AG109" i="7"/>
  <c r="AT109" i="3" s="1"/>
  <c r="AA110" i="1" s="1"/>
  <c r="Z109" i="7"/>
  <c r="AA109" i="7" s="1"/>
  <c r="AB109" i="7" s="1"/>
  <c r="AD109" i="7" s="1"/>
  <c r="AF109" i="7" s="1"/>
  <c r="M749" i="10" s="1"/>
  <c r="Q749" i="10" s="1"/>
  <c r="U106" i="7"/>
  <c r="Z106" i="7"/>
  <c r="T106" i="7"/>
  <c r="AG106" i="7"/>
  <c r="AT106" i="3" s="1"/>
  <c r="AA107" i="1" s="1"/>
  <c r="Y106" i="7"/>
  <c r="S106" i="3" s="1"/>
  <c r="Y99" i="7"/>
  <c r="S99" i="3" s="1"/>
  <c r="AG99" i="7"/>
  <c r="AT99" i="3" s="1"/>
  <c r="AA100" i="1" s="1"/>
  <c r="T99" i="7"/>
  <c r="M99" i="3" s="1"/>
  <c r="Z99" i="7"/>
  <c r="U99" i="7"/>
  <c r="O99" i="3" s="1"/>
  <c r="AG107" i="7"/>
  <c r="AT107" i="3" s="1"/>
  <c r="AA108" i="1" s="1"/>
  <c r="Y107" i="7"/>
  <c r="S107" i="3" s="1"/>
  <c r="Z107" i="7"/>
  <c r="T107" i="7"/>
  <c r="M107" i="3" s="1"/>
  <c r="J115" i="7"/>
  <c r="K115" i="7" s="1"/>
  <c r="L115" i="7" s="1"/>
  <c r="M115" i="7" s="1"/>
  <c r="N115" i="7" s="1"/>
  <c r="O115" i="7" s="1"/>
  <c r="J667" i="10"/>
  <c r="H667" i="10"/>
  <c r="J688" i="10"/>
  <c r="H688" i="10"/>
  <c r="AQ42" i="3"/>
  <c r="AQ18" i="3"/>
  <c r="AQ16" i="3"/>
  <c r="C321" i="2"/>
  <c r="B321" i="2"/>
  <c r="J321" i="2"/>
  <c r="F279" i="1"/>
  <c r="J252" i="2"/>
  <c r="C252" i="2"/>
  <c r="B252" i="2"/>
  <c r="A152" i="2"/>
  <c r="T152" i="1"/>
  <c r="C152" i="1"/>
  <c r="X152" i="1" s="1"/>
  <c r="Y152" i="1" s="1"/>
  <c r="Z152" i="1" s="1"/>
  <c r="D152" i="1" s="1"/>
  <c r="S152" i="1"/>
  <c r="B152" i="1"/>
  <c r="W152" i="1"/>
  <c r="V152" i="1"/>
  <c r="E152" i="1"/>
  <c r="U152" i="1"/>
  <c r="A100" i="2"/>
  <c r="T100" i="1"/>
  <c r="C100" i="1"/>
  <c r="X100" i="1" s="1"/>
  <c r="Y100" i="1" s="1"/>
  <c r="Z100" i="1" s="1"/>
  <c r="D100" i="1" s="1"/>
  <c r="S100" i="1"/>
  <c r="B100" i="1"/>
  <c r="W100" i="1"/>
  <c r="V100" i="1"/>
  <c r="E100" i="1"/>
  <c r="U100" i="1"/>
  <c r="T68" i="1"/>
  <c r="C68" i="1"/>
  <c r="X68" i="1" s="1"/>
  <c r="Y68" i="1" s="1"/>
  <c r="Z68" i="1" s="1"/>
  <c r="D68" i="1" s="1"/>
  <c r="S68" i="1"/>
  <c r="B68" i="1"/>
  <c r="W68" i="1"/>
  <c r="V68" i="1"/>
  <c r="E68" i="1"/>
  <c r="A68" i="2"/>
  <c r="U68" i="1"/>
  <c r="A36" i="2"/>
  <c r="T36" i="1"/>
  <c r="C36" i="1"/>
  <c r="X36" i="1" s="1"/>
  <c r="Y36" i="1" s="1"/>
  <c r="Z36" i="1" s="1"/>
  <c r="D36" i="1" s="1"/>
  <c r="AA36" i="1"/>
  <c r="S36" i="1"/>
  <c r="B36" i="1"/>
  <c r="W36" i="1"/>
  <c r="V36" i="1"/>
  <c r="E36" i="1"/>
  <c r="U36" i="1"/>
  <c r="AJ118" i="3"/>
  <c r="AK118" i="3" s="1"/>
  <c r="AF118" i="3"/>
  <c r="AS118" i="3" s="1"/>
  <c r="AL118" i="3"/>
  <c r="AM118" i="3" s="1"/>
  <c r="AH118" i="3"/>
  <c r="AI118" i="3" s="1"/>
  <c r="AJ82" i="3"/>
  <c r="AK82" i="3" s="1"/>
  <c r="AH82" i="3"/>
  <c r="AI82" i="3" s="1"/>
  <c r="AL82" i="3"/>
  <c r="AM82" i="3" s="1"/>
  <c r="AF82" i="3"/>
  <c r="AS82" i="3" s="1"/>
  <c r="AO82" i="3"/>
  <c r="AQ82" i="3"/>
  <c r="AQ74" i="3"/>
  <c r="J225" i="2"/>
  <c r="C225" i="2"/>
  <c r="B225" i="2"/>
  <c r="F217" i="1"/>
  <c r="AJ111" i="3"/>
  <c r="AK111" i="3" s="1"/>
  <c r="AH111" i="3"/>
  <c r="AI111" i="3" s="1"/>
  <c r="AF111" i="3"/>
  <c r="AL111" i="3"/>
  <c r="AM111" i="3" s="1"/>
  <c r="AF31" i="3"/>
  <c r="AH31" i="3"/>
  <c r="AI31" i="3" s="1"/>
  <c r="L12" i="3"/>
  <c r="C278" i="2"/>
  <c r="B278" i="2"/>
  <c r="J278" i="2"/>
  <c r="B270" i="2"/>
  <c r="J270" i="2"/>
  <c r="C270" i="2"/>
  <c r="I131" i="2"/>
  <c r="D131" i="2"/>
  <c r="A99" i="2"/>
  <c r="V99" i="1"/>
  <c r="E99" i="1"/>
  <c r="U99" i="1"/>
  <c r="T99" i="1"/>
  <c r="C99" i="1"/>
  <c r="X99" i="1" s="1"/>
  <c r="S99" i="1"/>
  <c r="B99" i="1"/>
  <c r="W99" i="1"/>
  <c r="A67" i="2"/>
  <c r="V67" i="1"/>
  <c r="E67" i="1"/>
  <c r="U67" i="1"/>
  <c r="T67" i="1"/>
  <c r="C67" i="1"/>
  <c r="X67" i="1" s="1"/>
  <c r="Y67" i="1" s="1"/>
  <c r="Z67" i="1" s="1"/>
  <c r="D67" i="1" s="1"/>
  <c r="AA67" i="1"/>
  <c r="S67" i="1"/>
  <c r="B67" i="1"/>
  <c r="W67" i="1"/>
  <c r="A35" i="2"/>
  <c r="V35" i="1"/>
  <c r="E35" i="1"/>
  <c r="U35" i="1"/>
  <c r="T35" i="1"/>
  <c r="C35" i="1"/>
  <c r="X35" i="1" s="1"/>
  <c r="Y35" i="1" s="1"/>
  <c r="Z35" i="1" s="1"/>
  <c r="D35" i="1" s="1"/>
  <c r="S35" i="1"/>
  <c r="B35" i="1"/>
  <c r="W35" i="1"/>
  <c r="AN153" i="3"/>
  <c r="AH129" i="3"/>
  <c r="AI129" i="3" s="1"/>
  <c r="AF129" i="3"/>
  <c r="AL129" i="3"/>
  <c r="AM129" i="3" s="1"/>
  <c r="AJ129" i="3"/>
  <c r="AK129" i="3" s="1"/>
  <c r="D279" i="2"/>
  <c r="I279" i="2"/>
  <c r="J210" i="2"/>
  <c r="C210" i="2"/>
  <c r="B210" i="2"/>
  <c r="AJ142" i="3"/>
  <c r="AK142" i="3" s="1"/>
  <c r="AN81" i="3"/>
  <c r="AR41" i="3"/>
  <c r="AP41" i="3"/>
  <c r="L70" i="3"/>
  <c r="AQ6" i="3"/>
  <c r="L11" i="3"/>
  <c r="L40" i="3"/>
  <c r="AQ24" i="3"/>
  <c r="C355" i="2"/>
  <c r="B355" i="2"/>
  <c r="J355" i="2"/>
  <c r="J265" i="2"/>
  <c r="C265" i="2"/>
  <c r="B265" i="2"/>
  <c r="J245" i="2"/>
  <c r="C245" i="2"/>
  <c r="B245" i="2"/>
  <c r="F233" i="1"/>
  <c r="A106" i="2"/>
  <c r="W106" i="1"/>
  <c r="V106" i="1"/>
  <c r="E106" i="1"/>
  <c r="U106" i="1"/>
  <c r="T106" i="1"/>
  <c r="C106" i="1"/>
  <c r="X106" i="1" s="1"/>
  <c r="Y106" i="1" s="1"/>
  <c r="Z106" i="1" s="1"/>
  <c r="D106" i="1" s="1"/>
  <c r="S106" i="1"/>
  <c r="B106" i="1"/>
  <c r="A74" i="2"/>
  <c r="W74" i="1"/>
  <c r="V74" i="1"/>
  <c r="E74" i="1"/>
  <c r="U74" i="1"/>
  <c r="T74" i="1"/>
  <c r="C74" i="1"/>
  <c r="X74" i="1" s="1"/>
  <c r="Y74" i="1" s="1"/>
  <c r="Z74" i="1" s="1"/>
  <c r="D74" i="1" s="1"/>
  <c r="AA74" i="1"/>
  <c r="S74" i="1"/>
  <c r="B74" i="1"/>
  <c r="A42" i="2"/>
  <c r="W42" i="1"/>
  <c r="V42" i="1"/>
  <c r="E42" i="1"/>
  <c r="U42" i="1"/>
  <c r="T42" i="1"/>
  <c r="C42" i="1"/>
  <c r="X42" i="1" s="1"/>
  <c r="Y42" i="1" s="1"/>
  <c r="Z42" i="1" s="1"/>
  <c r="D42" i="1" s="1"/>
  <c r="S42" i="1"/>
  <c r="B42" i="1"/>
  <c r="A10" i="2"/>
  <c r="W10" i="1"/>
  <c r="V10" i="1"/>
  <c r="E10" i="1"/>
  <c r="U10" i="1"/>
  <c r="T10" i="1"/>
  <c r="C10" i="1"/>
  <c r="X10" i="1" s="1"/>
  <c r="Y10" i="1" s="1"/>
  <c r="Z10" i="1" s="1"/>
  <c r="D10" i="1" s="1"/>
  <c r="S10" i="1"/>
  <c r="B10" i="1"/>
  <c r="L86" i="3"/>
  <c r="AR62" i="3"/>
  <c r="AO54" i="3"/>
  <c r="AQ54" i="3"/>
  <c r="L27" i="3"/>
  <c r="AN152" i="3"/>
  <c r="AH144" i="3"/>
  <c r="AI144" i="3" s="1"/>
  <c r="AQ136" i="3"/>
  <c r="L83" i="3"/>
  <c r="AO83" i="3"/>
  <c r="AQ83" i="3"/>
  <c r="AN59" i="3"/>
  <c r="AO59" i="3" s="1"/>
  <c r="AL56" i="3"/>
  <c r="AM56" i="3" s="1"/>
  <c r="AJ56" i="3"/>
  <c r="AK56" i="3" s="1"/>
  <c r="AH56" i="3"/>
  <c r="AI56" i="3" s="1"/>
  <c r="AF56" i="3"/>
  <c r="AS56" i="3" s="1"/>
  <c r="AQ8" i="3"/>
  <c r="AO8" i="3"/>
  <c r="H722" i="10"/>
  <c r="J722" i="10"/>
  <c r="H737" i="10"/>
  <c r="J737" i="10"/>
  <c r="O116" i="10"/>
  <c r="Q116" i="10"/>
  <c r="H86" i="10"/>
  <c r="J86" i="10"/>
  <c r="J734" i="10"/>
  <c r="H734" i="10"/>
  <c r="J726" i="10"/>
  <c r="H726" i="10"/>
  <c r="J718" i="10"/>
  <c r="H718" i="10"/>
  <c r="J684" i="10"/>
  <c r="H684" i="10"/>
  <c r="J698" i="10"/>
  <c r="H698" i="10"/>
  <c r="J664" i="10"/>
  <c r="H664" i="10"/>
  <c r="H673" i="10"/>
  <c r="J673" i="10"/>
  <c r="J656" i="10"/>
  <c r="H656" i="10"/>
  <c r="J645" i="10"/>
  <c r="H645" i="10"/>
  <c r="J631" i="10"/>
  <c r="H631" i="10"/>
  <c r="Q626" i="10"/>
  <c r="J630" i="10"/>
  <c r="H630" i="10"/>
  <c r="Q602" i="10"/>
  <c r="H634" i="10"/>
  <c r="J634" i="10"/>
  <c r="J604" i="10"/>
  <c r="H604" i="10"/>
  <c r="J603" i="10"/>
  <c r="H603" i="10"/>
  <c r="J627" i="10"/>
  <c r="H627" i="10"/>
  <c r="O525" i="10"/>
  <c r="Q525" i="10"/>
  <c r="O517" i="10"/>
  <c r="Q517" i="10"/>
  <c r="O509" i="10"/>
  <c r="Q509" i="10"/>
  <c r="O501" i="10"/>
  <c r="Q501" i="10"/>
  <c r="O493" i="10"/>
  <c r="Q493" i="10"/>
  <c r="Q633" i="10"/>
  <c r="J623" i="10"/>
  <c r="H623" i="10"/>
  <c r="J478" i="10"/>
  <c r="H478" i="10"/>
  <c r="J420" i="10"/>
  <c r="H420" i="10"/>
  <c r="H413" i="10"/>
  <c r="J413" i="10"/>
  <c r="H416" i="10"/>
  <c r="J416" i="10"/>
  <c r="J250" i="10"/>
  <c r="H250" i="10"/>
  <c r="J193" i="10"/>
  <c r="H193" i="10"/>
  <c r="J177" i="10"/>
  <c r="H177" i="10"/>
  <c r="H476" i="10"/>
  <c r="J476" i="10"/>
  <c r="O144" i="10"/>
  <c r="Q144" i="10"/>
  <c r="O136" i="10"/>
  <c r="Q136" i="10"/>
  <c r="O128" i="10"/>
  <c r="Q128" i="10"/>
  <c r="O120" i="10"/>
  <c r="Q120" i="10"/>
  <c r="H238" i="10"/>
  <c r="J238" i="10"/>
  <c r="H222" i="10"/>
  <c r="J222" i="10"/>
  <c r="Q205" i="10"/>
  <c r="O205" i="10"/>
  <c r="H220" i="10"/>
  <c r="J220" i="10"/>
  <c r="J191" i="10"/>
  <c r="H191" i="10"/>
  <c r="J183" i="10"/>
  <c r="H183" i="10"/>
  <c r="J175" i="10"/>
  <c r="H175" i="10"/>
  <c r="J167" i="10"/>
  <c r="H167" i="10"/>
  <c r="Q212" i="10"/>
  <c r="O212" i="10"/>
  <c r="H112" i="10"/>
  <c r="J112" i="10"/>
  <c r="H104" i="10"/>
  <c r="J104" i="10"/>
  <c r="O96" i="10"/>
  <c r="Q96" i="10"/>
  <c r="H209" i="10"/>
  <c r="J209" i="10"/>
  <c r="Q111" i="10"/>
  <c r="O111" i="10"/>
  <c r="H195" i="10"/>
  <c r="J195" i="10"/>
  <c r="H53" i="10"/>
  <c r="J53" i="10"/>
  <c r="O234" i="10"/>
  <c r="Q234" i="10"/>
  <c r="H218" i="10"/>
  <c r="J218" i="10"/>
  <c r="H102" i="10"/>
  <c r="J102" i="10"/>
  <c r="H109" i="10"/>
  <c r="J109" i="10"/>
  <c r="Q70" i="10"/>
  <c r="H63" i="10"/>
  <c r="J63" i="10"/>
  <c r="Q11" i="10"/>
  <c r="H62" i="10"/>
  <c r="J62" i="10"/>
  <c r="H25" i="10"/>
  <c r="J25" i="10"/>
  <c r="H23" i="10"/>
  <c r="J23" i="10"/>
  <c r="Q18" i="10"/>
  <c r="Q24" i="10"/>
  <c r="H67" i="10"/>
  <c r="J67" i="10"/>
  <c r="H56" i="10"/>
  <c r="J56" i="10"/>
  <c r="H69" i="10"/>
  <c r="J69" i="10"/>
  <c r="AC237" i="8"/>
  <c r="U237" i="8"/>
  <c r="AA237" i="8"/>
  <c r="Z237" i="8"/>
  <c r="Y237" i="8" s="1"/>
  <c r="X237" i="8" s="1"/>
  <c r="W237" i="8" s="1"/>
  <c r="V237" i="8" s="1"/>
  <c r="T237" i="8" s="1"/>
  <c r="AB237" i="8"/>
  <c r="Q628" i="10"/>
  <c r="H66" i="10"/>
  <c r="J66" i="10"/>
  <c r="AC213" i="8"/>
  <c r="U213" i="8"/>
  <c r="AA213" i="8"/>
  <c r="Z213" i="8"/>
  <c r="Y213" i="8" s="1"/>
  <c r="X213" i="8" s="1"/>
  <c r="W213" i="8" s="1"/>
  <c r="V213" i="8" s="1"/>
  <c r="T213" i="8" s="1"/>
  <c r="AB213" i="8"/>
  <c r="Z138" i="8"/>
  <c r="Y138" i="8" s="1"/>
  <c r="X138" i="8" s="1"/>
  <c r="W138" i="8" s="1"/>
  <c r="V138" i="8" s="1"/>
  <c r="T138" i="8" s="1"/>
  <c r="AC138" i="8"/>
  <c r="AB138" i="8"/>
  <c r="AA138" i="8"/>
  <c r="U138" i="8"/>
  <c r="AC221" i="8"/>
  <c r="U221" i="8"/>
  <c r="AA221" i="8"/>
  <c r="Z221" i="8"/>
  <c r="Y221" i="8" s="1"/>
  <c r="X221" i="8" s="1"/>
  <c r="W221" i="8" s="1"/>
  <c r="V221" i="8" s="1"/>
  <c r="T221" i="8" s="1"/>
  <c r="AB221" i="8"/>
  <c r="Z247" i="8"/>
  <c r="Y247" i="8" s="1"/>
  <c r="X247" i="8" s="1"/>
  <c r="W247" i="8" s="1"/>
  <c r="V247" i="8" s="1"/>
  <c r="T247" i="8" s="1"/>
  <c r="AC247" i="8"/>
  <c r="U247" i="8"/>
  <c r="AB247" i="8"/>
  <c r="AA247" i="8"/>
  <c r="AC97" i="8"/>
  <c r="U97" i="8"/>
  <c r="AB97" i="8"/>
  <c r="Z97" i="8"/>
  <c r="Y97" i="8" s="1"/>
  <c r="X97" i="8" s="1"/>
  <c r="W97" i="8" s="1"/>
  <c r="V97" i="8" s="1"/>
  <c r="T97" i="8" s="1"/>
  <c r="AA97" i="8"/>
  <c r="Z53" i="8"/>
  <c r="Y53" i="8" s="1"/>
  <c r="X53" i="8" s="1"/>
  <c r="W53" i="8" s="1"/>
  <c r="V53" i="8" s="1"/>
  <c r="T53" i="8" s="1"/>
  <c r="AC53" i="8"/>
  <c r="U53" i="8"/>
  <c r="AA53" i="8"/>
  <c r="AB53" i="8"/>
  <c r="AA78" i="8"/>
  <c r="Z78" i="8"/>
  <c r="Y78" i="8" s="1"/>
  <c r="X78" i="8" s="1"/>
  <c r="W78" i="8" s="1"/>
  <c r="V78" i="8" s="1"/>
  <c r="T78" i="8" s="1"/>
  <c r="AC78" i="8"/>
  <c r="AB78" i="8"/>
  <c r="AL78" i="3" s="1"/>
  <c r="AM78" i="3" s="1"/>
  <c r="U78" i="8"/>
  <c r="Z45" i="8"/>
  <c r="Y45" i="8" s="1"/>
  <c r="X45" i="8" s="1"/>
  <c r="W45" i="8" s="1"/>
  <c r="V45" i="8" s="1"/>
  <c r="T45" i="8" s="1"/>
  <c r="AC45" i="8"/>
  <c r="U45" i="8"/>
  <c r="AA45" i="8"/>
  <c r="AB45" i="8"/>
  <c r="Z25" i="8"/>
  <c r="Y25" i="8" s="1"/>
  <c r="X25" i="8" s="1"/>
  <c r="W25" i="8" s="1"/>
  <c r="V25" i="8" s="1"/>
  <c r="T25" i="8" s="1"/>
  <c r="AC25" i="8"/>
  <c r="U25" i="8"/>
  <c r="AA25" i="8"/>
  <c r="AB25" i="8"/>
  <c r="AQ259" i="3"/>
  <c r="AF258" i="3"/>
  <c r="AS258" i="3" s="1"/>
  <c r="AJ258" i="3"/>
  <c r="AK258" i="3" s="1"/>
  <c r="AH258" i="3"/>
  <c r="AI258" i="3" s="1"/>
  <c r="AL258" i="3"/>
  <c r="AM258" i="3" s="1"/>
  <c r="AF250" i="3"/>
  <c r="AS250" i="3" s="1"/>
  <c r="AL250" i="3"/>
  <c r="AM250" i="3" s="1"/>
  <c r="AJ250" i="3"/>
  <c r="AK250" i="3" s="1"/>
  <c r="AH250" i="3"/>
  <c r="AI250" i="3" s="1"/>
  <c r="AN227" i="3"/>
  <c r="AO227" i="3" s="1"/>
  <c r="AQ231" i="3"/>
  <c r="AN230" i="3"/>
  <c r="AO230" i="3" s="1"/>
  <c r="AF234" i="3"/>
  <c r="AS234" i="3" s="1"/>
  <c r="AL234" i="3"/>
  <c r="AM234" i="3" s="1"/>
  <c r="AJ234" i="3"/>
  <c r="AK234" i="3" s="1"/>
  <c r="AH234" i="3"/>
  <c r="AI234" i="3" s="1"/>
  <c r="AN224" i="3"/>
  <c r="AO224" i="3" s="1"/>
  <c r="AN192" i="3"/>
  <c r="AO192" i="3" s="1"/>
  <c r="AF164" i="3"/>
  <c r="AS164" i="3" s="1"/>
  <c r="AH164" i="3"/>
  <c r="AI164" i="3" s="1"/>
  <c r="AL164" i="3"/>
  <c r="AM164" i="3" s="1"/>
  <c r="AJ164" i="3"/>
  <c r="AK164" i="3" s="1"/>
  <c r="AF199" i="3"/>
  <c r="AS199" i="3" s="1"/>
  <c r="AJ199" i="3"/>
  <c r="AK199" i="3" s="1"/>
  <c r="AL199" i="3"/>
  <c r="AM199" i="3" s="1"/>
  <c r="AH199" i="3"/>
  <c r="AI199" i="3" s="1"/>
  <c r="AN202" i="3"/>
  <c r="AO202" i="3" s="1"/>
  <c r="AH182" i="3"/>
  <c r="AI182" i="3" s="1"/>
  <c r="AL182" i="3"/>
  <c r="AM182" i="3" s="1"/>
  <c r="AF182" i="3"/>
  <c r="AS182" i="3" s="1"/>
  <c r="AJ182" i="3"/>
  <c r="AK182" i="3" s="1"/>
  <c r="AL170" i="3"/>
  <c r="AM170" i="3" s="1"/>
  <c r="AH170" i="3"/>
  <c r="AI170" i="3" s="1"/>
  <c r="AJ170" i="3"/>
  <c r="AK170" i="3" s="1"/>
  <c r="AF170" i="3"/>
  <c r="AS170" i="3" s="1"/>
  <c r="AN164" i="3"/>
  <c r="AO164" i="3" s="1"/>
  <c r="AQ219" i="3"/>
  <c r="AJ195" i="3"/>
  <c r="AK195" i="3" s="1"/>
  <c r="AF195" i="3"/>
  <c r="AS195" i="3" s="1"/>
  <c r="AL195" i="3"/>
  <c r="AM195" i="3" s="1"/>
  <c r="AH195" i="3"/>
  <c r="AI195" i="3" s="1"/>
  <c r="AN187" i="3"/>
  <c r="AO187" i="3" s="1"/>
  <c r="AN207" i="3"/>
  <c r="AO207" i="3" s="1"/>
  <c r="I312" i="2"/>
  <c r="D312" i="2"/>
  <c r="I307" i="2"/>
  <c r="D307" i="2"/>
  <c r="I291" i="2"/>
  <c r="D291" i="2"/>
  <c r="C280" i="2"/>
  <c r="B280" i="2"/>
  <c r="J280" i="2"/>
  <c r="I342" i="2"/>
  <c r="D342" i="2"/>
  <c r="AN180" i="3"/>
  <c r="AO180" i="3" s="1"/>
  <c r="J268" i="2"/>
  <c r="C268" i="2"/>
  <c r="B268" i="2"/>
  <c r="J243" i="2"/>
  <c r="C243" i="2"/>
  <c r="B243" i="2"/>
  <c r="J211" i="2"/>
  <c r="C211" i="2"/>
  <c r="B211" i="2"/>
  <c r="C281" i="2"/>
  <c r="B281" i="2"/>
  <c r="J281" i="2"/>
  <c r="A101" i="2"/>
  <c r="W101" i="1"/>
  <c r="V101" i="1"/>
  <c r="E101" i="1"/>
  <c r="U101" i="1"/>
  <c r="T101" i="1"/>
  <c r="C101" i="1"/>
  <c r="X101" i="1" s="1"/>
  <c r="Y101" i="1" s="1"/>
  <c r="Z101" i="1" s="1"/>
  <c r="D101" i="1" s="1"/>
  <c r="S101" i="1"/>
  <c r="B101" i="1"/>
  <c r="W69" i="1"/>
  <c r="V69" i="1"/>
  <c r="E69" i="1"/>
  <c r="U69" i="1"/>
  <c r="A69" i="2"/>
  <c r="T69" i="1"/>
  <c r="C69" i="1"/>
  <c r="X69" i="1" s="1"/>
  <c r="S69" i="1"/>
  <c r="B69" i="1"/>
  <c r="A37" i="2"/>
  <c r="W37" i="1"/>
  <c r="V37" i="1"/>
  <c r="E37" i="1"/>
  <c r="U37" i="1"/>
  <c r="T37" i="1"/>
  <c r="C37" i="1"/>
  <c r="X37" i="1" s="1"/>
  <c r="Y37" i="1" s="1"/>
  <c r="Z37" i="1" s="1"/>
  <c r="D37" i="1" s="1"/>
  <c r="AA37" i="1"/>
  <c r="S37" i="1"/>
  <c r="B37" i="1"/>
  <c r="AL141" i="3"/>
  <c r="AM141" i="3" s="1"/>
  <c r="AJ141" i="3"/>
  <c r="AK141" i="3" s="1"/>
  <c r="AH141" i="3"/>
  <c r="AI141" i="3" s="1"/>
  <c r="AF141" i="3"/>
  <c r="AS141" i="3" s="1"/>
  <c r="AQ141" i="3"/>
  <c r="AN125" i="3"/>
  <c r="AH115" i="3"/>
  <c r="AI115" i="3" s="1"/>
  <c r="AN112" i="3"/>
  <c r="AO112" i="3" s="1"/>
  <c r="AH112" i="3"/>
  <c r="AI112" i="3" s="1"/>
  <c r="AL112" i="3"/>
  <c r="AM112" i="3" s="1"/>
  <c r="C337" i="2"/>
  <c r="B337" i="2"/>
  <c r="J337" i="2"/>
  <c r="C317" i="2"/>
  <c r="B317" i="2"/>
  <c r="J317" i="2"/>
  <c r="AP109" i="3"/>
  <c r="AN101" i="3"/>
  <c r="AO101" i="3" s="1"/>
  <c r="AL53" i="3"/>
  <c r="AM53" i="3" s="1"/>
  <c r="AJ53" i="3"/>
  <c r="AK53" i="3" s="1"/>
  <c r="AH53" i="3"/>
  <c r="AI53" i="3" s="1"/>
  <c r="AF53" i="3"/>
  <c r="AR45" i="3"/>
  <c r="AQ45" i="3"/>
  <c r="AQ183" i="3"/>
  <c r="AL193" i="3"/>
  <c r="AM193" i="3" s="1"/>
  <c r="AH193" i="3"/>
  <c r="AI193" i="3" s="1"/>
  <c r="AJ193" i="3"/>
  <c r="AK193" i="3" s="1"/>
  <c r="AF193" i="3"/>
  <c r="AS193" i="3" s="1"/>
  <c r="AQ187" i="3"/>
  <c r="AQ177" i="3"/>
  <c r="AH197" i="3"/>
  <c r="AI197" i="3" s="1"/>
  <c r="AL197" i="3"/>
  <c r="AM197" i="3" s="1"/>
  <c r="AF197" i="3"/>
  <c r="AS197" i="3" s="1"/>
  <c r="AJ197" i="3"/>
  <c r="AK197" i="3" s="1"/>
  <c r="AN252" i="3"/>
  <c r="AO252" i="3" s="1"/>
  <c r="AJ220" i="3"/>
  <c r="AK220" i="3" s="1"/>
  <c r="AH220" i="3"/>
  <c r="AI220" i="3" s="1"/>
  <c r="AF220" i="3"/>
  <c r="AS220" i="3" s="1"/>
  <c r="AL220" i="3"/>
  <c r="AM220" i="3" s="1"/>
  <c r="AF216" i="3"/>
  <c r="AS216" i="3" s="1"/>
  <c r="AJ216" i="3"/>
  <c r="AK216" i="3" s="1"/>
  <c r="AL216" i="3"/>
  <c r="AM216" i="3" s="1"/>
  <c r="AH216" i="3"/>
  <c r="AI216" i="3" s="1"/>
  <c r="AN225" i="3"/>
  <c r="AO225" i="3" s="1"/>
  <c r="AQ250" i="3"/>
  <c r="AQ256" i="3"/>
  <c r="AQ193" i="3"/>
  <c r="AQ239" i="3"/>
  <c r="AN256" i="3"/>
  <c r="AO256" i="3" s="1"/>
  <c r="AH259" i="3"/>
  <c r="AI259" i="3" s="1"/>
  <c r="AF259" i="3"/>
  <c r="AS259" i="3" s="1"/>
  <c r="AL259" i="3"/>
  <c r="AM259" i="3" s="1"/>
  <c r="AJ259" i="3"/>
  <c r="AK259" i="3" s="1"/>
  <c r="U42" i="7"/>
  <c r="Z42" i="7"/>
  <c r="Y42" i="7"/>
  <c r="S42" i="3" s="1"/>
  <c r="AG42" i="7"/>
  <c r="T42" i="7"/>
  <c r="M42" i="3" s="1"/>
  <c r="AG39" i="7"/>
  <c r="Y39" i="7"/>
  <c r="S39" i="3" s="1"/>
  <c r="Z39" i="7"/>
  <c r="U39" i="7"/>
  <c r="T39" i="7"/>
  <c r="T28" i="7"/>
  <c r="M28" i="3" s="1"/>
  <c r="AG28" i="7"/>
  <c r="Y28" i="7"/>
  <c r="S28" i="3" s="1"/>
  <c r="Z28" i="7"/>
  <c r="U28" i="7"/>
  <c r="U53" i="7"/>
  <c r="Z53" i="7"/>
  <c r="Y53" i="7"/>
  <c r="S53" i="3" s="1"/>
  <c r="AG53" i="7"/>
  <c r="AT53" i="3" s="1"/>
  <c r="AA54" i="1" s="1"/>
  <c r="T53" i="7"/>
  <c r="M53" i="3" s="1"/>
  <c r="T66" i="7"/>
  <c r="M66" i="3" s="1"/>
  <c r="AG66" i="7"/>
  <c r="U66" i="7"/>
  <c r="Y66" i="7"/>
  <c r="S66" i="3" s="1"/>
  <c r="Z66" i="7"/>
  <c r="T33" i="7"/>
  <c r="M33" i="3" s="1"/>
  <c r="AG33" i="7"/>
  <c r="U33" i="7"/>
  <c r="Y33" i="7"/>
  <c r="S33" i="3" s="1"/>
  <c r="Z33" i="7"/>
  <c r="Z54" i="7"/>
  <c r="U54" i="7"/>
  <c r="O54" i="3" s="1"/>
  <c r="Y54" i="7"/>
  <c r="S54" i="3" s="1"/>
  <c r="T54" i="7"/>
  <c r="M54" i="3" s="1"/>
  <c r="AG54" i="7"/>
  <c r="AT54" i="3" s="1"/>
  <c r="AA55" i="1" s="1"/>
  <c r="Y102" i="7"/>
  <c r="AG102" i="7"/>
  <c r="AT102" i="3" s="1"/>
  <c r="AA103" i="1" s="1"/>
  <c r="T102" i="7"/>
  <c r="U102" i="7"/>
  <c r="Z102" i="7"/>
  <c r="AA102" i="7" s="1"/>
  <c r="AB102" i="7" s="1"/>
  <c r="AD102" i="7" s="1"/>
  <c r="AF102" i="7" s="1"/>
  <c r="M742" i="10" s="1"/>
  <c r="Q742" i="10" s="1"/>
  <c r="AG87" i="7"/>
  <c r="AT87" i="3" s="1"/>
  <c r="AA88" i="1" s="1"/>
  <c r="Y87" i="7"/>
  <c r="S87" i="3" s="1"/>
  <c r="U87" i="7"/>
  <c r="Z87" i="7"/>
  <c r="T87" i="7"/>
  <c r="M87" i="3" s="1"/>
  <c r="Y119" i="7"/>
  <c r="S119" i="3" s="1"/>
  <c r="AG119" i="7"/>
  <c r="AT119" i="3" s="1"/>
  <c r="AA120" i="1" s="1"/>
  <c r="T119" i="7"/>
  <c r="M119" i="3" s="1"/>
  <c r="Z119" i="7"/>
  <c r="U119" i="7"/>
  <c r="H647" i="10"/>
  <c r="J647" i="10"/>
  <c r="J648" i="10"/>
  <c r="H648" i="10"/>
  <c r="L66" i="3"/>
  <c r="J256" i="2"/>
  <c r="C256" i="2"/>
  <c r="B256" i="2"/>
  <c r="A124" i="2"/>
  <c r="T124" i="1"/>
  <c r="C124" i="1"/>
  <c r="X124" i="1" s="1"/>
  <c r="Y124" i="1" s="1"/>
  <c r="Z124" i="1" s="1"/>
  <c r="D124" i="1" s="1"/>
  <c r="S124" i="1"/>
  <c r="B124" i="1"/>
  <c r="W124" i="1"/>
  <c r="V124" i="1"/>
  <c r="E124" i="1"/>
  <c r="U124" i="1"/>
  <c r="A96" i="2"/>
  <c r="T96" i="1"/>
  <c r="C96" i="1"/>
  <c r="X96" i="1" s="1"/>
  <c r="S96" i="1"/>
  <c r="B96" i="1"/>
  <c r="W96" i="1"/>
  <c r="V96" i="1"/>
  <c r="E96" i="1"/>
  <c r="U96" i="1"/>
  <c r="T64" i="1"/>
  <c r="C64" i="1"/>
  <c r="X64" i="1" s="1"/>
  <c r="Y64" i="1" s="1"/>
  <c r="Z64" i="1" s="1"/>
  <c r="D64" i="1" s="1"/>
  <c r="AA64" i="1"/>
  <c r="S64" i="1"/>
  <c r="B64" i="1"/>
  <c r="A64" i="2"/>
  <c r="W64" i="1"/>
  <c r="V64" i="1"/>
  <c r="E64" i="1"/>
  <c r="U64" i="1"/>
  <c r="A32" i="2"/>
  <c r="T32" i="1"/>
  <c r="C32" i="1"/>
  <c r="X32" i="1" s="1"/>
  <c r="Y32" i="1" s="1"/>
  <c r="Z32" i="1" s="1"/>
  <c r="D32" i="1" s="1"/>
  <c r="AA32" i="1"/>
  <c r="S32" i="1"/>
  <c r="B32" i="1"/>
  <c r="W32" i="1"/>
  <c r="V32" i="1"/>
  <c r="E32" i="1"/>
  <c r="U32" i="1"/>
  <c r="AJ151" i="3"/>
  <c r="AK151" i="3" s="1"/>
  <c r="AH151" i="3"/>
  <c r="AI151" i="3" s="1"/>
  <c r="AF151" i="3"/>
  <c r="AS151" i="3" s="1"/>
  <c r="AL151" i="3"/>
  <c r="AM151" i="3" s="1"/>
  <c r="AJ135" i="3"/>
  <c r="AK135" i="3" s="1"/>
  <c r="AH135" i="3"/>
  <c r="AI135" i="3" s="1"/>
  <c r="AF135" i="3"/>
  <c r="AS135" i="3" s="1"/>
  <c r="AL135" i="3"/>
  <c r="AM135" i="3" s="1"/>
  <c r="AJ127" i="3"/>
  <c r="AK127" i="3" s="1"/>
  <c r="AH127" i="3"/>
  <c r="AI127" i="3" s="1"/>
  <c r="AF127" i="3"/>
  <c r="AS127" i="3" s="1"/>
  <c r="AL127" i="3"/>
  <c r="AM127" i="3" s="1"/>
  <c r="AQ127" i="3"/>
  <c r="AF114" i="3"/>
  <c r="AS114" i="3" s="1"/>
  <c r="AL114" i="3"/>
  <c r="AM114" i="3" s="1"/>
  <c r="AJ114" i="3"/>
  <c r="AK114" i="3" s="1"/>
  <c r="AH114" i="3"/>
  <c r="AI114" i="3" s="1"/>
  <c r="L74" i="3"/>
  <c r="AO84" i="3"/>
  <c r="AQ84" i="3"/>
  <c r="J258" i="2"/>
  <c r="C258" i="2"/>
  <c r="B258" i="2"/>
  <c r="J229" i="2"/>
  <c r="C229" i="2"/>
  <c r="B229" i="2"/>
  <c r="F221" i="1"/>
  <c r="J205" i="2"/>
  <c r="C205" i="2"/>
  <c r="B205" i="2"/>
  <c r="F201" i="1"/>
  <c r="AQ156" i="3"/>
  <c r="AF156" i="3"/>
  <c r="AS156" i="3" s="1"/>
  <c r="AJ156" i="3"/>
  <c r="AK156" i="3" s="1"/>
  <c r="AH156" i="3"/>
  <c r="AI156" i="3" s="1"/>
  <c r="AL156" i="3"/>
  <c r="AM156" i="3" s="1"/>
  <c r="AH132" i="3"/>
  <c r="AI132" i="3" s="1"/>
  <c r="AL132" i="3"/>
  <c r="AM132" i="3" s="1"/>
  <c r="AJ132" i="3"/>
  <c r="AK132" i="3" s="1"/>
  <c r="AF132" i="3"/>
  <c r="L95" i="3"/>
  <c r="AR47" i="3"/>
  <c r="AQ47" i="3"/>
  <c r="L31" i="3"/>
  <c r="AF23" i="3"/>
  <c r="AR7" i="3"/>
  <c r="AP117" i="3"/>
  <c r="L36" i="3"/>
  <c r="C297" i="2"/>
  <c r="B297" i="2"/>
  <c r="J297" i="2"/>
  <c r="A123" i="2"/>
  <c r="V123" i="1"/>
  <c r="E123" i="1"/>
  <c r="U123" i="1"/>
  <c r="T123" i="1"/>
  <c r="C123" i="1"/>
  <c r="X123" i="1" s="1"/>
  <c r="Y123" i="1" s="1"/>
  <c r="Z123" i="1" s="1"/>
  <c r="D123" i="1" s="1"/>
  <c r="S123" i="1"/>
  <c r="B123" i="1"/>
  <c r="W123" i="1"/>
  <c r="A95" i="2"/>
  <c r="V95" i="1"/>
  <c r="E95" i="1"/>
  <c r="U95" i="1"/>
  <c r="T95" i="1"/>
  <c r="C95" i="1"/>
  <c r="X95" i="1" s="1"/>
  <c r="S95" i="1"/>
  <c r="B95" i="1"/>
  <c r="W95" i="1"/>
  <c r="V63" i="1"/>
  <c r="E63" i="1"/>
  <c r="U63" i="1"/>
  <c r="T63" i="1"/>
  <c r="C63" i="1"/>
  <c r="X63" i="1" s="1"/>
  <c r="Y63" i="1" s="1"/>
  <c r="Z63" i="1" s="1"/>
  <c r="D63" i="1" s="1"/>
  <c r="AA63" i="1"/>
  <c r="S63" i="1"/>
  <c r="B63" i="1"/>
  <c r="A63" i="2"/>
  <c r="W63" i="1"/>
  <c r="A31" i="2"/>
  <c r="V31" i="1"/>
  <c r="E31" i="1"/>
  <c r="U31" i="1"/>
  <c r="T31" i="1"/>
  <c r="C31" i="1"/>
  <c r="X31" i="1" s="1"/>
  <c r="Y31" i="1" s="1"/>
  <c r="Z31" i="1" s="1"/>
  <c r="D31" i="1" s="1"/>
  <c r="AA31" i="1"/>
  <c r="S31" i="1"/>
  <c r="B31" i="1"/>
  <c r="W31" i="1"/>
  <c r="L68" i="3"/>
  <c r="AQ20" i="3"/>
  <c r="F275" i="1"/>
  <c r="J206" i="2"/>
  <c r="C206" i="2"/>
  <c r="B206" i="2"/>
  <c r="AN120" i="3"/>
  <c r="AO120" i="3" s="1"/>
  <c r="L113" i="3"/>
  <c r="L97" i="3"/>
  <c r="L81" i="3"/>
  <c r="AF65" i="3"/>
  <c r="AS65" i="3" s="1"/>
  <c r="AL65" i="3"/>
  <c r="AM65" i="3" s="1"/>
  <c r="AJ65" i="3"/>
  <c r="AK65" i="3" s="1"/>
  <c r="AH65" i="3"/>
  <c r="AI65" i="3" s="1"/>
  <c r="AR49" i="3"/>
  <c r="AR25" i="3"/>
  <c r="AQ25" i="3"/>
  <c r="AH46" i="3"/>
  <c r="AI46" i="3" s="1"/>
  <c r="AF46" i="3"/>
  <c r="AS46" i="3" s="1"/>
  <c r="AL46" i="3"/>
  <c r="AM46" i="3" s="1"/>
  <c r="AJ46" i="3"/>
  <c r="AK46" i="3" s="1"/>
  <c r="AJ22" i="3"/>
  <c r="AK22" i="3" s="1"/>
  <c r="AF22" i="3"/>
  <c r="L22" i="3"/>
  <c r="AH51" i="3"/>
  <c r="AI51" i="3" s="1"/>
  <c r="AF51" i="3"/>
  <c r="L51" i="3"/>
  <c r="L43" i="3"/>
  <c r="AN80" i="3"/>
  <c r="AJ40" i="3"/>
  <c r="AK40" i="3" s="1"/>
  <c r="AH40" i="3"/>
  <c r="AI40" i="3" s="1"/>
  <c r="AF40" i="3"/>
  <c r="AS40" i="3" s="1"/>
  <c r="AL40" i="3"/>
  <c r="AM40" i="3" s="1"/>
  <c r="AN40" i="3"/>
  <c r="AO40" i="3" s="1"/>
  <c r="J262" i="2"/>
  <c r="C262" i="2"/>
  <c r="B262" i="2"/>
  <c r="J241" i="2"/>
  <c r="C241" i="2"/>
  <c r="B241" i="2"/>
  <c r="I190" i="2"/>
  <c r="D190" i="2"/>
  <c r="A146" i="2"/>
  <c r="W146" i="1"/>
  <c r="V146" i="1"/>
  <c r="E146" i="1"/>
  <c r="U146" i="1"/>
  <c r="T146" i="1"/>
  <c r="C146" i="1"/>
  <c r="X146" i="1" s="1"/>
  <c r="Y146" i="1" s="1"/>
  <c r="Z146" i="1" s="1"/>
  <c r="D146" i="1" s="1"/>
  <c r="S146" i="1"/>
  <c r="B146" i="1"/>
  <c r="A134" i="2"/>
  <c r="W134" i="1"/>
  <c r="V134" i="1"/>
  <c r="E134" i="1"/>
  <c r="U134" i="1"/>
  <c r="T134" i="1"/>
  <c r="C134" i="1"/>
  <c r="X134" i="1" s="1"/>
  <c r="Y134" i="1" s="1"/>
  <c r="Z134" i="1" s="1"/>
  <c r="D134" i="1" s="1"/>
  <c r="S134" i="1"/>
  <c r="B134" i="1"/>
  <c r="A102" i="2"/>
  <c r="W102" i="1"/>
  <c r="V102" i="1"/>
  <c r="E102" i="1"/>
  <c r="U102" i="1"/>
  <c r="T102" i="1"/>
  <c r="C102" i="1"/>
  <c r="X102" i="1" s="1"/>
  <c r="Y102" i="1" s="1"/>
  <c r="Z102" i="1" s="1"/>
  <c r="D102" i="1" s="1"/>
  <c r="AA102" i="1"/>
  <c r="S102" i="1"/>
  <c r="B102" i="1"/>
  <c r="A70" i="2"/>
  <c r="W70" i="1"/>
  <c r="V70" i="1"/>
  <c r="E70" i="1"/>
  <c r="U70" i="1"/>
  <c r="T70" i="1"/>
  <c r="C70" i="1"/>
  <c r="X70" i="1" s="1"/>
  <c r="Y70" i="1" s="1"/>
  <c r="Z70" i="1" s="1"/>
  <c r="D70" i="1" s="1"/>
  <c r="AA70" i="1"/>
  <c r="S70" i="1"/>
  <c r="B70" i="1"/>
  <c r="A38" i="2"/>
  <c r="W38" i="1"/>
  <c r="V38" i="1"/>
  <c r="E38" i="1"/>
  <c r="U38" i="1"/>
  <c r="T38" i="1"/>
  <c r="C38" i="1"/>
  <c r="X38" i="1" s="1"/>
  <c r="AA38" i="1"/>
  <c r="S38" i="1"/>
  <c r="B38" i="1"/>
  <c r="O155" i="3"/>
  <c r="AN131" i="3"/>
  <c r="AN110" i="3"/>
  <c r="AO110" i="3" s="1"/>
  <c r="AQ94" i="3"/>
  <c r="AH78" i="3"/>
  <c r="AI78" i="3" s="1"/>
  <c r="AF78" i="3"/>
  <c r="AQ62" i="3"/>
  <c r="AQ38" i="3"/>
  <c r="F315" i="1"/>
  <c r="F283" i="1"/>
  <c r="J197" i="2"/>
  <c r="C197" i="2"/>
  <c r="B197" i="2"/>
  <c r="J194" i="2"/>
  <c r="C194" i="2"/>
  <c r="B194" i="2"/>
  <c r="O152" i="3"/>
  <c r="O144" i="3"/>
  <c r="O595" i="10"/>
  <c r="Q595" i="10"/>
  <c r="O513" i="10"/>
  <c r="Q513" i="10"/>
  <c r="O470" i="10"/>
  <c r="Q470" i="10"/>
  <c r="J241" i="10"/>
  <c r="H241" i="10"/>
  <c r="O224" i="10"/>
  <c r="Q224" i="10"/>
  <c r="O148" i="10"/>
  <c r="Q148" i="10"/>
  <c r="H88" i="10"/>
  <c r="J88" i="10"/>
  <c r="Q195" i="10"/>
  <c r="O195" i="10"/>
  <c r="Q228" i="10"/>
  <c r="H55" i="10"/>
  <c r="J55" i="10"/>
  <c r="H733" i="10"/>
  <c r="J733" i="10"/>
  <c r="H721" i="10"/>
  <c r="J721" i="10"/>
  <c r="J697" i="10"/>
  <c r="H697" i="10"/>
  <c r="J732" i="10"/>
  <c r="H732" i="10"/>
  <c r="H675" i="10"/>
  <c r="J675" i="10"/>
  <c r="J694" i="10"/>
  <c r="H694" i="10"/>
  <c r="Q639" i="10"/>
  <c r="Q641" i="10"/>
  <c r="Q614" i="10"/>
  <c r="Q600" i="10"/>
  <c r="H598" i="10"/>
  <c r="J598" i="10"/>
  <c r="Q632" i="10"/>
  <c r="O524" i="10"/>
  <c r="Q524" i="10"/>
  <c r="O516" i="10"/>
  <c r="Q516" i="10"/>
  <c r="O508" i="10"/>
  <c r="Q508" i="10"/>
  <c r="O500" i="10"/>
  <c r="Q500" i="10"/>
  <c r="O492" i="10"/>
  <c r="Q492" i="10"/>
  <c r="J628" i="10"/>
  <c r="H628" i="10"/>
  <c r="J475" i="10"/>
  <c r="H475" i="10"/>
  <c r="O478" i="10"/>
  <c r="Q478" i="10"/>
  <c r="H529" i="10"/>
  <c r="J529" i="10"/>
  <c r="J406" i="10"/>
  <c r="H406" i="10"/>
  <c r="Q466" i="10"/>
  <c r="J418" i="10"/>
  <c r="H418" i="10"/>
  <c r="Q427" i="10"/>
  <c r="Q484" i="10"/>
  <c r="O471" i="10"/>
  <c r="Q471" i="10"/>
  <c r="Q477" i="10"/>
  <c r="O211" i="10"/>
  <c r="Q211" i="10"/>
  <c r="H203" i="10"/>
  <c r="J203" i="10"/>
  <c r="Q190" i="10"/>
  <c r="O190" i="10"/>
  <c r="Q174" i="10"/>
  <c r="O174" i="10"/>
  <c r="H231" i="10"/>
  <c r="J231" i="10"/>
  <c r="H208" i="10"/>
  <c r="J208" i="10"/>
  <c r="J196" i="10"/>
  <c r="H196" i="10"/>
  <c r="O143" i="10"/>
  <c r="Q143" i="10"/>
  <c r="O135" i="10"/>
  <c r="Q135" i="10"/>
  <c r="O127" i="10"/>
  <c r="Q127" i="10"/>
  <c r="O119" i="10"/>
  <c r="Q119" i="10"/>
  <c r="O194" i="10"/>
  <c r="Q194" i="10"/>
  <c r="J178" i="10"/>
  <c r="H178" i="10"/>
  <c r="H237" i="10"/>
  <c r="J237" i="10"/>
  <c r="H202" i="10"/>
  <c r="J202" i="10"/>
  <c r="H207" i="10"/>
  <c r="J207" i="10"/>
  <c r="H84" i="10"/>
  <c r="J84" i="10"/>
  <c r="Q230" i="10"/>
  <c r="Q192" i="10"/>
  <c r="O192" i="10"/>
  <c r="Q184" i="10"/>
  <c r="O184" i="10"/>
  <c r="Q176" i="10"/>
  <c r="O176" i="10"/>
  <c r="Q168" i="10"/>
  <c r="O168" i="10"/>
  <c r="H163" i="10"/>
  <c r="J163" i="10"/>
  <c r="H111" i="10"/>
  <c r="J111" i="10"/>
  <c r="H91" i="10"/>
  <c r="J91" i="10"/>
  <c r="Q231" i="10"/>
  <c r="J79" i="10"/>
  <c r="H79" i="10"/>
  <c r="O62" i="10"/>
  <c r="Q62" i="10"/>
  <c r="H61" i="10"/>
  <c r="J61" i="10"/>
  <c r="Q99" i="10"/>
  <c r="Q23" i="10"/>
  <c r="H58" i="10"/>
  <c r="J58" i="10"/>
  <c r="O56" i="10"/>
  <c r="Q56" i="10"/>
  <c r="Q12" i="10"/>
  <c r="AA177" i="8"/>
  <c r="U177" i="8"/>
  <c r="AB177" i="8"/>
  <c r="Z177" i="8"/>
  <c r="Y177" i="8" s="1"/>
  <c r="X177" i="8" s="1"/>
  <c r="W177" i="8" s="1"/>
  <c r="V177" i="8" s="1"/>
  <c r="T177" i="8" s="1"/>
  <c r="AC177" i="8"/>
  <c r="AA157" i="8"/>
  <c r="U157" i="8"/>
  <c r="AB157" i="8"/>
  <c r="Z157" i="8"/>
  <c r="Y157" i="8" s="1"/>
  <c r="X157" i="8" s="1"/>
  <c r="W157" i="8" s="1"/>
  <c r="V157" i="8" s="1"/>
  <c r="T157" i="8" s="1"/>
  <c r="AC157" i="8"/>
  <c r="AC109" i="8"/>
  <c r="AJ109" i="3" s="1"/>
  <c r="AK109" i="3" s="1"/>
  <c r="U109" i="8"/>
  <c r="Z109" i="8"/>
  <c r="Y109" i="8" s="1"/>
  <c r="X109" i="8" s="1"/>
  <c r="W109" i="8" s="1"/>
  <c r="AA109" i="8"/>
  <c r="AH109" i="3" s="1"/>
  <c r="AI109" i="3" s="1"/>
  <c r="AB109" i="8"/>
  <c r="AL109" i="3" s="1"/>
  <c r="AM109" i="3" s="1"/>
  <c r="AC113" i="8"/>
  <c r="AJ113" i="3" s="1"/>
  <c r="AK113" i="3" s="1"/>
  <c r="U113" i="8"/>
  <c r="AB113" i="8"/>
  <c r="AL113" i="3" s="1"/>
  <c r="AM113" i="3" s="1"/>
  <c r="Z113" i="8"/>
  <c r="Y113" i="8" s="1"/>
  <c r="X113" i="8" s="1"/>
  <c r="W113" i="8" s="1"/>
  <c r="V113" i="8" s="1"/>
  <c r="T113" i="8" s="1"/>
  <c r="AA113" i="8"/>
  <c r="AH113" i="3" s="1"/>
  <c r="AI113" i="3" s="1"/>
  <c r="U7" i="8"/>
  <c r="AC7" i="8"/>
  <c r="AJ7" i="3" s="1"/>
  <c r="AK7" i="3" s="1"/>
  <c r="AA7" i="8"/>
  <c r="Z7" i="8"/>
  <c r="Y7" i="8" s="1"/>
  <c r="X7" i="8" s="1"/>
  <c r="W7" i="8" s="1"/>
  <c r="V7" i="8" s="1"/>
  <c r="T7" i="8" s="1"/>
  <c r="AB7" i="8"/>
  <c r="AL7" i="3" s="1"/>
  <c r="AM7" i="3" s="1"/>
  <c r="U27" i="8"/>
  <c r="AC27" i="8"/>
  <c r="AJ27" i="3" s="1"/>
  <c r="AK27" i="3" s="1"/>
  <c r="AA27" i="8"/>
  <c r="Z27" i="8"/>
  <c r="Y27" i="8" s="1"/>
  <c r="X27" i="8" s="1"/>
  <c r="W27" i="8" s="1"/>
  <c r="V27" i="8" s="1"/>
  <c r="T27" i="8" s="1"/>
  <c r="AB27" i="8"/>
  <c r="AL27" i="3" s="1"/>
  <c r="AM27" i="3" s="1"/>
  <c r="U55" i="8"/>
  <c r="AC55" i="8"/>
  <c r="AA55" i="8"/>
  <c r="Z55" i="8"/>
  <c r="Y55" i="8" s="1"/>
  <c r="X55" i="8" s="1"/>
  <c r="W55" i="8" s="1"/>
  <c r="V55" i="8" s="1"/>
  <c r="T55" i="8" s="1"/>
  <c r="AB55" i="8"/>
  <c r="AA62" i="8"/>
  <c r="AC62" i="8"/>
  <c r="AB62" i="8"/>
  <c r="U62" i="8"/>
  <c r="Z62" i="8"/>
  <c r="Y62" i="8" s="1"/>
  <c r="X62" i="8" s="1"/>
  <c r="W62" i="8" s="1"/>
  <c r="V62" i="8" s="1"/>
  <c r="T62" i="8" s="1"/>
  <c r="U31" i="8"/>
  <c r="AC31" i="8"/>
  <c r="AJ31" i="3" s="1"/>
  <c r="AK31" i="3" s="1"/>
  <c r="AA31" i="8"/>
  <c r="Z31" i="8"/>
  <c r="Y31" i="8" s="1"/>
  <c r="X31" i="8" s="1"/>
  <c r="W31" i="8" s="1"/>
  <c r="V31" i="8" s="1"/>
  <c r="T31" i="8" s="1"/>
  <c r="AB31" i="8"/>
  <c r="AL31" i="3" s="1"/>
  <c r="AM31" i="3" s="1"/>
  <c r="Z33" i="8"/>
  <c r="Y33" i="8" s="1"/>
  <c r="X33" i="8" s="1"/>
  <c r="W33" i="8" s="1"/>
  <c r="V33" i="8" s="1"/>
  <c r="T33" i="8" s="1"/>
  <c r="AC33" i="8"/>
  <c r="U33" i="8"/>
  <c r="AA33" i="8"/>
  <c r="AB33" i="8"/>
  <c r="U19" i="8"/>
  <c r="AC19" i="8"/>
  <c r="AA19" i="8"/>
  <c r="Z19" i="8"/>
  <c r="Y19" i="8" s="1"/>
  <c r="X19" i="8" s="1"/>
  <c r="W19" i="8" s="1"/>
  <c r="V19" i="8" s="1"/>
  <c r="T19" i="8" s="1"/>
  <c r="AB19" i="8"/>
  <c r="AL19" i="3" s="1"/>
  <c r="AM19" i="3" s="1"/>
  <c r="U47" i="8"/>
  <c r="AC47" i="8"/>
  <c r="AJ47" i="3" s="1"/>
  <c r="AK47" i="3" s="1"/>
  <c r="AA47" i="8"/>
  <c r="Z47" i="8"/>
  <c r="Y47" i="8" s="1"/>
  <c r="X47" i="8" s="1"/>
  <c r="W47" i="8" s="1"/>
  <c r="V47" i="8" s="1"/>
  <c r="T47" i="8" s="1"/>
  <c r="AB47" i="8"/>
  <c r="AL47" i="3" s="1"/>
  <c r="AM47" i="3" s="1"/>
  <c r="AQ241" i="3"/>
  <c r="AL218" i="3"/>
  <c r="AM218" i="3" s="1"/>
  <c r="AJ218" i="3"/>
  <c r="AK218" i="3" s="1"/>
  <c r="AH218" i="3"/>
  <c r="AI218" i="3" s="1"/>
  <c r="AF218" i="3"/>
  <c r="AS218" i="3" s="1"/>
  <c r="AQ238" i="3"/>
  <c r="AQ255" i="3"/>
  <c r="AN228" i="3"/>
  <c r="AO228" i="3" s="1"/>
  <c r="AQ226" i="3"/>
  <c r="AN223" i="3"/>
  <c r="AO223" i="3" s="1"/>
  <c r="AF238" i="3"/>
  <c r="AS238" i="3" s="1"/>
  <c r="AL238" i="3"/>
  <c r="AM238" i="3" s="1"/>
  <c r="AJ238" i="3"/>
  <c r="AK238" i="3" s="1"/>
  <c r="AH238" i="3"/>
  <c r="AI238" i="3" s="1"/>
  <c r="AL246" i="3"/>
  <c r="AM246" i="3" s="1"/>
  <c r="AJ246" i="3"/>
  <c r="AK246" i="3" s="1"/>
  <c r="AH246" i="3"/>
  <c r="AI246" i="3" s="1"/>
  <c r="AF246" i="3"/>
  <c r="AS246" i="3" s="1"/>
  <c r="AF230" i="3"/>
  <c r="AS230" i="3" s="1"/>
  <c r="AL230" i="3"/>
  <c r="AM230" i="3" s="1"/>
  <c r="AJ230" i="3"/>
  <c r="AK230" i="3" s="1"/>
  <c r="AH230" i="3"/>
  <c r="AI230" i="3" s="1"/>
  <c r="AN208" i="3"/>
  <c r="AO208" i="3" s="1"/>
  <c r="AN215" i="3"/>
  <c r="AO215" i="3" s="1"/>
  <c r="AQ184" i="3"/>
  <c r="AN161" i="3"/>
  <c r="AO161" i="3" s="1"/>
  <c r="AN168" i="3"/>
  <c r="AO168" i="3" s="1"/>
  <c r="AQ202" i="3"/>
  <c r="AL186" i="3"/>
  <c r="AM186" i="3" s="1"/>
  <c r="AH186" i="3"/>
  <c r="AI186" i="3" s="1"/>
  <c r="AJ186" i="3"/>
  <c r="AK186" i="3" s="1"/>
  <c r="AF186" i="3"/>
  <c r="AS186" i="3" s="1"/>
  <c r="AN174" i="3"/>
  <c r="AO174" i="3" s="1"/>
  <c r="AN158" i="3"/>
  <c r="AO158" i="3" s="1"/>
  <c r="AN210" i="3"/>
  <c r="AO210" i="3" s="1"/>
  <c r="I361" i="2"/>
  <c r="D361" i="2"/>
  <c r="I292" i="2"/>
  <c r="D292" i="2"/>
  <c r="C272" i="2"/>
  <c r="B272" i="2"/>
  <c r="J272" i="2"/>
  <c r="J267" i="2"/>
  <c r="C267" i="2"/>
  <c r="B267" i="2"/>
  <c r="J239" i="2"/>
  <c r="C239" i="2"/>
  <c r="B239" i="2"/>
  <c r="J207" i="2"/>
  <c r="C207" i="2"/>
  <c r="B207" i="2"/>
  <c r="C333" i="2"/>
  <c r="B333" i="2"/>
  <c r="J333" i="2"/>
  <c r="C309" i="2"/>
  <c r="B309" i="2"/>
  <c r="J309" i="2"/>
  <c r="A153" i="2"/>
  <c r="W153" i="1"/>
  <c r="V153" i="1"/>
  <c r="E153" i="1"/>
  <c r="U153" i="1"/>
  <c r="T153" i="1"/>
  <c r="C153" i="1"/>
  <c r="X153" i="1" s="1"/>
  <c r="Y153" i="1" s="1"/>
  <c r="Z153" i="1" s="1"/>
  <c r="D153" i="1" s="1"/>
  <c r="S153" i="1"/>
  <c r="B153" i="1"/>
  <c r="A97" i="2"/>
  <c r="W97" i="1"/>
  <c r="V97" i="1"/>
  <c r="E97" i="1"/>
  <c r="U97" i="1"/>
  <c r="T97" i="1"/>
  <c r="C97" i="1"/>
  <c r="X97" i="1" s="1"/>
  <c r="Y97" i="1" s="1"/>
  <c r="Z97" i="1" s="1"/>
  <c r="D97" i="1" s="1"/>
  <c r="S97" i="1"/>
  <c r="B97" i="1"/>
  <c r="A65" i="2"/>
  <c r="W65" i="1"/>
  <c r="V65" i="1"/>
  <c r="E65" i="1"/>
  <c r="U65" i="1"/>
  <c r="T65" i="1"/>
  <c r="C65" i="1"/>
  <c r="X65" i="1" s="1"/>
  <c r="Y65" i="1" s="1"/>
  <c r="Z65" i="1" s="1"/>
  <c r="D65" i="1" s="1"/>
  <c r="AA65" i="1"/>
  <c r="S65" i="1"/>
  <c r="B65" i="1"/>
  <c r="A33" i="2"/>
  <c r="W33" i="1"/>
  <c r="V33" i="1"/>
  <c r="E33" i="1"/>
  <c r="U33" i="1"/>
  <c r="T33" i="1"/>
  <c r="C33" i="1"/>
  <c r="X33" i="1" s="1"/>
  <c r="Y33" i="1" s="1"/>
  <c r="Z33" i="1" s="1"/>
  <c r="D33" i="1" s="1"/>
  <c r="AA33" i="1"/>
  <c r="S33" i="1"/>
  <c r="B33" i="1"/>
  <c r="AL133" i="3"/>
  <c r="AM133" i="3" s="1"/>
  <c r="AJ133" i="3"/>
  <c r="AK133" i="3" s="1"/>
  <c r="AH133" i="3"/>
  <c r="AI133" i="3" s="1"/>
  <c r="AF133" i="3"/>
  <c r="AS133" i="3" s="1"/>
  <c r="AQ133" i="3"/>
  <c r="C349" i="2"/>
  <c r="B349" i="2"/>
  <c r="J349" i="2"/>
  <c r="J220" i="2"/>
  <c r="C220" i="2"/>
  <c r="B220" i="2"/>
  <c r="J204" i="2"/>
  <c r="C204" i="2"/>
  <c r="B204" i="2"/>
  <c r="AJ138" i="3"/>
  <c r="AK138" i="3" s="1"/>
  <c r="AF138" i="3"/>
  <c r="AS138" i="3" s="1"/>
  <c r="AL138" i="3"/>
  <c r="AM138" i="3" s="1"/>
  <c r="AH138" i="3"/>
  <c r="AI138" i="3" s="1"/>
  <c r="AN138" i="3"/>
  <c r="AO138" i="3" s="1"/>
  <c r="AN85" i="3"/>
  <c r="AO85" i="3" s="1"/>
  <c r="AN205" i="3"/>
  <c r="AO205" i="3" s="1"/>
  <c r="AN165" i="3"/>
  <c r="AO165" i="3" s="1"/>
  <c r="AQ212" i="3"/>
  <c r="AQ220" i="3"/>
  <c r="AJ212" i="3"/>
  <c r="AK212" i="3" s="1"/>
  <c r="AF212" i="3"/>
  <c r="AS212" i="3" s="1"/>
  <c r="AL212" i="3"/>
  <c r="AM212" i="3" s="1"/>
  <c r="AH212" i="3"/>
  <c r="AI212" i="3" s="1"/>
  <c r="AQ204" i="3"/>
  <c r="AN250" i="3"/>
  <c r="AO250" i="3" s="1"/>
  <c r="AN240" i="3"/>
  <c r="AO240" i="3" s="1"/>
  <c r="AN246" i="3"/>
  <c r="AO246" i="3" s="1"/>
  <c r="AJ257" i="3"/>
  <c r="AK257" i="3" s="1"/>
  <c r="AH257" i="3"/>
  <c r="AI257" i="3" s="1"/>
  <c r="AF257" i="3"/>
  <c r="AS257" i="3" s="1"/>
  <c r="AL257" i="3"/>
  <c r="AM257" i="3" s="1"/>
  <c r="AN238" i="3"/>
  <c r="AO238" i="3" s="1"/>
  <c r="U59" i="7"/>
  <c r="AG59" i="7"/>
  <c r="Z59" i="7"/>
  <c r="T59" i="7"/>
  <c r="M59" i="3" s="1"/>
  <c r="Y59" i="7"/>
  <c r="S59" i="3" s="1"/>
  <c r="AG72" i="7"/>
  <c r="Y72" i="7"/>
  <c r="S72" i="3" s="1"/>
  <c r="Z72" i="7"/>
  <c r="T72" i="7"/>
  <c r="M72" i="3" s="1"/>
  <c r="U72" i="7"/>
  <c r="T100" i="7"/>
  <c r="M100" i="3" s="1"/>
  <c r="AG100" i="7"/>
  <c r="AT100" i="3" s="1"/>
  <c r="AA101" i="1" s="1"/>
  <c r="Y100" i="7"/>
  <c r="U100" i="7"/>
  <c r="Z100" i="7"/>
  <c r="AG15" i="7"/>
  <c r="Y15" i="7"/>
  <c r="S15" i="3" s="1"/>
  <c r="Z15" i="7"/>
  <c r="U15" i="7"/>
  <c r="T15" i="7"/>
  <c r="M15" i="3" s="1"/>
  <c r="AG89" i="7"/>
  <c r="AT89" i="3" s="1"/>
  <c r="AA90" i="1" s="1"/>
  <c r="Y89" i="7"/>
  <c r="S89" i="3" s="1"/>
  <c r="U89" i="7"/>
  <c r="T89" i="7"/>
  <c r="M89" i="3" s="1"/>
  <c r="Z89" i="7"/>
  <c r="T92" i="7"/>
  <c r="M92" i="3" s="1"/>
  <c r="Z92" i="7"/>
  <c r="AG92" i="7"/>
  <c r="AT92" i="3" s="1"/>
  <c r="AA93" i="1" s="1"/>
  <c r="Y92" i="7"/>
  <c r="S92" i="3" s="1"/>
  <c r="U92" i="7"/>
  <c r="O92" i="3" s="1"/>
  <c r="U45" i="7"/>
  <c r="Z45" i="7"/>
  <c r="Y45" i="7"/>
  <c r="S45" i="3" s="1"/>
  <c r="AG45" i="7"/>
  <c r="T45" i="7"/>
  <c r="M45" i="3" s="1"/>
  <c r="T25" i="7"/>
  <c r="M25" i="3" s="1"/>
  <c r="AG25" i="7"/>
  <c r="U25" i="7"/>
  <c r="Y25" i="7"/>
  <c r="S25" i="3" s="1"/>
  <c r="Z25" i="7"/>
  <c r="T69" i="7"/>
  <c r="M69" i="3" s="1"/>
  <c r="AG69" i="7"/>
  <c r="Y69" i="7"/>
  <c r="S69" i="3" s="1"/>
  <c r="U69" i="7"/>
  <c r="Z69" i="7"/>
  <c r="Z46" i="7"/>
  <c r="U46" i="7"/>
  <c r="AG46" i="7"/>
  <c r="Y46" i="7"/>
  <c r="S46" i="3" s="1"/>
  <c r="T46" i="7"/>
  <c r="M46" i="3" s="1"/>
  <c r="V34" i="8"/>
  <c r="T34" i="8" s="1"/>
  <c r="U75" i="7"/>
  <c r="Z75" i="7"/>
  <c r="Y75" i="7"/>
  <c r="S75" i="3" s="1"/>
  <c r="T75" i="7"/>
  <c r="AG75" i="7"/>
  <c r="Y94" i="7"/>
  <c r="S94" i="3" s="1"/>
  <c r="AG94" i="7"/>
  <c r="AT94" i="3" s="1"/>
  <c r="AA95" i="1" s="1"/>
  <c r="T94" i="7"/>
  <c r="M94" i="3" s="1"/>
  <c r="Z94" i="7"/>
  <c r="U94" i="7"/>
  <c r="O94" i="3" s="1"/>
  <c r="AG80" i="7"/>
  <c r="Y80" i="7"/>
  <c r="S80" i="3" s="1"/>
  <c r="U80" i="7"/>
  <c r="Z80" i="7"/>
  <c r="T80" i="7"/>
  <c r="M80" i="3" s="1"/>
  <c r="U98" i="7"/>
  <c r="Z98" i="7"/>
  <c r="AG98" i="7"/>
  <c r="AT98" i="3" s="1"/>
  <c r="AA99" i="1" s="1"/>
  <c r="Y98" i="7"/>
  <c r="S98" i="3" s="1"/>
  <c r="T98" i="7"/>
  <c r="J651" i="10"/>
  <c r="H651" i="10"/>
  <c r="J649" i="10"/>
  <c r="H649" i="10"/>
  <c r="J689" i="10"/>
  <c r="H689" i="10"/>
  <c r="AN66" i="3"/>
  <c r="J260" i="2"/>
  <c r="C260" i="2"/>
  <c r="B260" i="2"/>
  <c r="A132" i="2"/>
  <c r="T132" i="1"/>
  <c r="C132" i="1"/>
  <c r="X132" i="1" s="1"/>
  <c r="Y132" i="1" s="1"/>
  <c r="Z132" i="1" s="1"/>
  <c r="D132" i="1" s="1"/>
  <c r="S132" i="1"/>
  <c r="B132" i="1"/>
  <c r="W132" i="1"/>
  <c r="V132" i="1"/>
  <c r="E132" i="1"/>
  <c r="U132" i="1"/>
  <c r="A92" i="2"/>
  <c r="T92" i="1"/>
  <c r="C92" i="1"/>
  <c r="X92" i="1" s="1"/>
  <c r="Y92" i="1" s="1"/>
  <c r="Z92" i="1" s="1"/>
  <c r="D92" i="1" s="1"/>
  <c r="S92" i="1"/>
  <c r="B92" i="1"/>
  <c r="W92" i="1"/>
  <c r="V92" i="1"/>
  <c r="E92" i="1"/>
  <c r="U92" i="1"/>
  <c r="T60" i="1"/>
  <c r="C60" i="1"/>
  <c r="X60" i="1" s="1"/>
  <c r="Y60" i="1" s="1"/>
  <c r="Z60" i="1" s="1"/>
  <c r="D60" i="1" s="1"/>
  <c r="AA60" i="1"/>
  <c r="S60" i="1"/>
  <c r="B60" i="1"/>
  <c r="W60" i="1"/>
  <c r="V60" i="1"/>
  <c r="E60" i="1"/>
  <c r="A60" i="2"/>
  <c r="U60" i="1"/>
  <c r="A28" i="2"/>
  <c r="T28" i="1"/>
  <c r="C28" i="1"/>
  <c r="X28" i="1" s="1"/>
  <c r="Y28" i="1" s="1"/>
  <c r="Z28" i="1" s="1"/>
  <c r="D28" i="1" s="1"/>
  <c r="AA28" i="1"/>
  <c r="S28" i="1"/>
  <c r="B28" i="1"/>
  <c r="W28" i="1"/>
  <c r="V28" i="1"/>
  <c r="E28" i="1"/>
  <c r="U28" i="1"/>
  <c r="AN135" i="3"/>
  <c r="AO135" i="3" s="1"/>
  <c r="AQ118" i="3"/>
  <c r="AN118" i="3"/>
  <c r="AO118" i="3" s="1"/>
  <c r="AQ114" i="3"/>
  <c r="L98" i="3"/>
  <c r="AN74" i="3"/>
  <c r="AO74" i="3" s="1"/>
  <c r="AF58" i="3"/>
  <c r="AS58" i="3" s="1"/>
  <c r="AL58" i="3"/>
  <c r="AM58" i="3" s="1"/>
  <c r="L52" i="3"/>
  <c r="F327" i="1"/>
  <c r="F295" i="1"/>
  <c r="D271" i="2"/>
  <c r="I271" i="2"/>
  <c r="J254" i="2"/>
  <c r="C254" i="2"/>
  <c r="B254" i="2"/>
  <c r="F225" i="1"/>
  <c r="AQ124" i="3"/>
  <c r="AN95" i="3"/>
  <c r="AO95" i="3" s="1"/>
  <c r="L71" i="3"/>
  <c r="L55" i="3"/>
  <c r="L23" i="3"/>
  <c r="L15" i="3"/>
  <c r="AF15" i="3"/>
  <c r="AL15" i="3"/>
  <c r="AM15" i="3" s="1"/>
  <c r="AJ15" i="3"/>
  <c r="AK15" i="3" s="1"/>
  <c r="AH15" i="3"/>
  <c r="AI15" i="3" s="1"/>
  <c r="AH100" i="3"/>
  <c r="AI100" i="3" s="1"/>
  <c r="AF100" i="3"/>
  <c r="AS100" i="3" s="1"/>
  <c r="AL100" i="3"/>
  <c r="AM100" i="3" s="1"/>
  <c r="AJ100" i="3"/>
  <c r="AK100" i="3" s="1"/>
  <c r="L44" i="3"/>
  <c r="AJ36" i="3"/>
  <c r="AK36" i="3" s="1"/>
  <c r="AH36" i="3"/>
  <c r="AI36" i="3" s="1"/>
  <c r="AF36" i="3"/>
  <c r="AS36" i="3" s="1"/>
  <c r="AL36" i="3"/>
  <c r="AM36" i="3" s="1"/>
  <c r="AN36" i="3"/>
  <c r="AO36" i="3" s="1"/>
  <c r="I135" i="2"/>
  <c r="D135" i="2"/>
  <c r="A91" i="2"/>
  <c r="V91" i="1"/>
  <c r="E91" i="1"/>
  <c r="U91" i="1"/>
  <c r="T91" i="1"/>
  <c r="C91" i="1"/>
  <c r="X91" i="1" s="1"/>
  <c r="S91" i="1"/>
  <c r="B91" i="1"/>
  <c r="W91" i="1"/>
  <c r="A59" i="2"/>
  <c r="V59" i="1"/>
  <c r="E59" i="1"/>
  <c r="U59" i="1"/>
  <c r="T59" i="1"/>
  <c r="C59" i="1"/>
  <c r="X59" i="1" s="1"/>
  <c r="Y59" i="1" s="1"/>
  <c r="Z59" i="1" s="1"/>
  <c r="D59" i="1" s="1"/>
  <c r="AA59" i="1"/>
  <c r="S59" i="1"/>
  <c r="B59" i="1"/>
  <c r="W59" i="1"/>
  <c r="A27" i="2"/>
  <c r="V27" i="1"/>
  <c r="E27" i="1"/>
  <c r="U27" i="1"/>
  <c r="T27" i="1"/>
  <c r="C27" i="1"/>
  <c r="X27" i="1" s="1"/>
  <c r="Y27" i="1" s="1"/>
  <c r="Z27" i="1" s="1"/>
  <c r="D27" i="1" s="1"/>
  <c r="AA27" i="1"/>
  <c r="S27" i="1"/>
  <c r="B27" i="1"/>
  <c r="W27" i="1"/>
  <c r="L108" i="3"/>
  <c r="AN108" i="3"/>
  <c r="AO108" i="3" s="1"/>
  <c r="J202" i="2"/>
  <c r="C202" i="2"/>
  <c r="B202" i="2"/>
  <c r="AN134" i="3"/>
  <c r="O134" i="3"/>
  <c r="AQ120" i="3"/>
  <c r="AF113" i="3"/>
  <c r="L65" i="3"/>
  <c r="L57" i="3"/>
  <c r="AH57" i="3"/>
  <c r="AI57" i="3" s="1"/>
  <c r="AF57" i="3"/>
  <c r="AL57" i="3"/>
  <c r="AM57" i="3" s="1"/>
  <c r="AJ57" i="3"/>
  <c r="AK57" i="3" s="1"/>
  <c r="AR17" i="3"/>
  <c r="AN46" i="3"/>
  <c r="AH75" i="3"/>
  <c r="AI75" i="3" s="1"/>
  <c r="AF75" i="3"/>
  <c r="AS75" i="3" s="1"/>
  <c r="AJ75" i="3"/>
  <c r="AK75" i="3" s="1"/>
  <c r="AL75" i="3"/>
  <c r="AM75" i="3" s="1"/>
  <c r="AF43" i="3"/>
  <c r="AN43" i="3"/>
  <c r="AO43" i="3" s="1"/>
  <c r="L19" i="3"/>
  <c r="AF19" i="3"/>
  <c r="AH19" i="3"/>
  <c r="AI19" i="3" s="1"/>
  <c r="C286" i="2"/>
  <c r="B286" i="2"/>
  <c r="J286" i="2"/>
  <c r="F257" i="1"/>
  <c r="J237" i="2"/>
  <c r="C237" i="2"/>
  <c r="B237" i="2"/>
  <c r="A122" i="2"/>
  <c r="W122" i="1"/>
  <c r="E122" i="1"/>
  <c r="C122" i="1"/>
  <c r="S122" i="1"/>
  <c r="B122" i="1"/>
  <c r="A98" i="2"/>
  <c r="W98" i="1"/>
  <c r="V98" i="1"/>
  <c r="E98" i="1"/>
  <c r="U98" i="1"/>
  <c r="T98" i="1"/>
  <c r="C98" i="1"/>
  <c r="X98" i="1" s="1"/>
  <c r="Y98" i="1" s="1"/>
  <c r="Z98" i="1" s="1"/>
  <c r="D98" i="1" s="1"/>
  <c r="S98" i="1"/>
  <c r="B98" i="1"/>
  <c r="A66" i="2"/>
  <c r="W66" i="1"/>
  <c r="V66" i="1"/>
  <c r="E66" i="1"/>
  <c r="U66" i="1"/>
  <c r="T66" i="1"/>
  <c r="C66" i="1"/>
  <c r="X66" i="1" s="1"/>
  <c r="Y66" i="1" s="1"/>
  <c r="Z66" i="1" s="1"/>
  <c r="D66" i="1" s="1"/>
  <c r="AA66" i="1"/>
  <c r="S66" i="1"/>
  <c r="B66" i="1"/>
  <c r="A34" i="2"/>
  <c r="W34" i="1"/>
  <c r="V34" i="1"/>
  <c r="E34" i="1"/>
  <c r="U34" i="1"/>
  <c r="T34" i="1"/>
  <c r="C34" i="1"/>
  <c r="X34" i="1" s="1"/>
  <c r="Y34" i="1" s="1"/>
  <c r="Z34" i="1" s="1"/>
  <c r="D34" i="1" s="1"/>
  <c r="AA34" i="1"/>
  <c r="S34" i="1"/>
  <c r="B34" i="1"/>
  <c r="AQ147" i="3"/>
  <c r="AQ123" i="3"/>
  <c r="AQ110" i="3"/>
  <c r="AH102" i="3"/>
  <c r="AI102" i="3" s="1"/>
  <c r="AF102" i="3"/>
  <c r="AS102" i="3" s="1"/>
  <c r="AL102" i="3"/>
  <c r="AM102" i="3" s="1"/>
  <c r="AJ102" i="3"/>
  <c r="AK102" i="3" s="1"/>
  <c r="L94" i="3"/>
  <c r="AF86" i="3"/>
  <c r="AS86" i="3" s="1"/>
  <c r="AQ78" i="3"/>
  <c r="AR78" i="3"/>
  <c r="J261" i="2"/>
  <c r="C261" i="2"/>
  <c r="B261" i="2"/>
  <c r="AL136" i="3"/>
  <c r="AM136" i="3" s="1"/>
  <c r="AH136" i="3"/>
  <c r="AI136" i="3" s="1"/>
  <c r="AF136" i="3"/>
  <c r="AS136" i="3" s="1"/>
  <c r="AJ136" i="3"/>
  <c r="AK136" i="3" s="1"/>
  <c r="AH83" i="3"/>
  <c r="AI83" i="3" s="1"/>
  <c r="AF83" i="3"/>
  <c r="AS83" i="3" s="1"/>
  <c r="AL83" i="3"/>
  <c r="AM83" i="3" s="1"/>
  <c r="AJ83" i="3"/>
  <c r="AK83" i="3" s="1"/>
  <c r="AF64" i="3"/>
  <c r="AS64" i="3" s="1"/>
  <c r="L64" i="3"/>
  <c r="AO70" i="3" l="1"/>
  <c r="AL76" i="3"/>
  <c r="AM76" i="3" s="1"/>
  <c r="AF139" i="3"/>
  <c r="AO21" i="3"/>
  <c r="AF117" i="3"/>
  <c r="AH117" i="3"/>
  <c r="AI117" i="3" s="1"/>
  <c r="AJ6" i="3"/>
  <c r="AK6" i="3" s="1"/>
  <c r="AJ117" i="3"/>
  <c r="AK117" i="3" s="1"/>
  <c r="AH139" i="3"/>
  <c r="AI139" i="3" s="1"/>
  <c r="AJ139" i="3"/>
  <c r="AK139" i="3" s="1"/>
  <c r="AL73" i="3"/>
  <c r="AM73" i="3" s="1"/>
  <c r="I350" i="2"/>
  <c r="G87" i="1"/>
  <c r="AF26" i="3"/>
  <c r="AS26" i="3" s="1"/>
  <c r="AL32" i="3"/>
  <c r="AM32" i="3" s="1"/>
  <c r="AJ33" i="3"/>
  <c r="AK33" i="3" s="1"/>
  <c r="AF32" i="3"/>
  <c r="AO66" i="3"/>
  <c r="AS121" i="3"/>
  <c r="AS10" i="3"/>
  <c r="AJ107" i="3"/>
  <c r="AK107" i="3" s="1"/>
  <c r="AS134" i="3"/>
  <c r="AO148" i="3"/>
  <c r="AS48" i="3"/>
  <c r="AH42" i="3"/>
  <c r="AI42" i="3" s="1"/>
  <c r="AL44" i="3"/>
  <c r="AM44" i="3" s="1"/>
  <c r="AO26" i="3"/>
  <c r="AL21" i="3"/>
  <c r="AM21" i="3" s="1"/>
  <c r="AF112" i="3"/>
  <c r="AS112" i="3" s="1"/>
  <c r="AH10" i="3"/>
  <c r="AI10" i="3" s="1"/>
  <c r="AH134" i="3"/>
  <c r="AI134" i="3" s="1"/>
  <c r="AH87" i="3"/>
  <c r="AI87" i="3" s="1"/>
  <c r="AL86" i="3"/>
  <c r="AM86" i="3" s="1"/>
  <c r="AL97" i="3"/>
  <c r="AM97" i="3" s="1"/>
  <c r="AL48" i="3"/>
  <c r="AM48" i="3" s="1"/>
  <c r="AJ10" i="3"/>
  <c r="AK10" i="3" s="1"/>
  <c r="J679" i="10"/>
  <c r="AH73" i="3"/>
  <c r="AI73" i="3" s="1"/>
  <c r="AJ76" i="3"/>
  <c r="AK76" i="3" s="1"/>
  <c r="Y80" i="1"/>
  <c r="Z80" i="1" s="1"/>
  <c r="D80" i="1" s="1"/>
  <c r="G70" i="1"/>
  <c r="AO116" i="3"/>
  <c r="AA120" i="7"/>
  <c r="AB120" i="7" s="1"/>
  <c r="AD120" i="7" s="1"/>
  <c r="AF120" i="7" s="1"/>
  <c r="U120" i="3"/>
  <c r="AH76" i="3"/>
  <c r="AI76" i="3" s="1"/>
  <c r="AJ115" i="3"/>
  <c r="AK115" i="3" s="1"/>
  <c r="AF142" i="3"/>
  <c r="AS142" i="3" s="1"/>
  <c r="AH17" i="3"/>
  <c r="AI17" i="3" s="1"/>
  <c r="AF76" i="3"/>
  <c r="AS76" i="3" s="1"/>
  <c r="AA119" i="7"/>
  <c r="AB119" i="7" s="1"/>
  <c r="AD119" i="7" s="1"/>
  <c r="AF119" i="7" s="1"/>
  <c r="U119" i="3"/>
  <c r="AL115" i="3"/>
  <c r="AM115" i="3" s="1"/>
  <c r="AH142" i="3"/>
  <c r="AI142" i="3" s="1"/>
  <c r="AJ17" i="3"/>
  <c r="AK17" i="3" s="1"/>
  <c r="AL150" i="3"/>
  <c r="AM150" i="3" s="1"/>
  <c r="AL152" i="3"/>
  <c r="AM152" i="3" s="1"/>
  <c r="AJ48" i="3"/>
  <c r="AK48" i="3" s="1"/>
  <c r="AF152" i="3"/>
  <c r="AS152" i="3" s="1"/>
  <c r="I181" i="2"/>
  <c r="AH152" i="3"/>
  <c r="AI152" i="3" s="1"/>
  <c r="G18" i="1"/>
  <c r="AO155" i="3"/>
  <c r="AA96" i="7"/>
  <c r="W96" i="3" s="1"/>
  <c r="U96" i="3"/>
  <c r="AO52" i="3"/>
  <c r="AL42" i="3"/>
  <c r="AM42" i="3" s="1"/>
  <c r="AH52" i="3"/>
  <c r="AI52" i="3" s="1"/>
  <c r="AL12" i="3"/>
  <c r="AM12" i="3" s="1"/>
  <c r="AL17" i="3"/>
  <c r="AM17" i="3" s="1"/>
  <c r="AF52" i="3"/>
  <c r="AS52" i="3" s="1"/>
  <c r="AJ52" i="3"/>
  <c r="AK52" i="3" s="1"/>
  <c r="AL52" i="3"/>
  <c r="AM52" i="3" s="1"/>
  <c r="AH148" i="3"/>
  <c r="AI148" i="3" s="1"/>
  <c r="AH61" i="3"/>
  <c r="AI61" i="3" s="1"/>
  <c r="AJ12" i="3"/>
  <c r="AK12" i="3" s="1"/>
  <c r="AF12" i="3"/>
  <c r="AS12" i="3" s="1"/>
  <c r="AH123" i="3"/>
  <c r="AI123" i="3" s="1"/>
  <c r="AL108" i="3"/>
  <c r="AM108" i="3" s="1"/>
  <c r="AO86" i="3"/>
  <c r="AH6" i="3"/>
  <c r="AI6" i="3" s="1"/>
  <c r="AJ123" i="3"/>
  <c r="AK123" i="3" s="1"/>
  <c r="G113" i="1"/>
  <c r="AO88" i="3"/>
  <c r="AH131" i="3"/>
  <c r="AI131" i="3" s="1"/>
  <c r="AJ131" i="3"/>
  <c r="AK131" i="3" s="1"/>
  <c r="AF123" i="3"/>
  <c r="AS123" i="3" s="1"/>
  <c r="AL126" i="3"/>
  <c r="AM126" i="3" s="1"/>
  <c r="AL131" i="3"/>
  <c r="AM131" i="3" s="1"/>
  <c r="I306" i="2"/>
  <c r="AH126" i="3"/>
  <c r="AI126" i="3" s="1"/>
  <c r="AH96" i="3"/>
  <c r="AI96" i="3" s="1"/>
  <c r="AJ126" i="3"/>
  <c r="AK126" i="3" s="1"/>
  <c r="AH26" i="3"/>
  <c r="AI26" i="3" s="1"/>
  <c r="AH72" i="3"/>
  <c r="AI72" i="3" s="1"/>
  <c r="AL72" i="3"/>
  <c r="AM72" i="3" s="1"/>
  <c r="AF116" i="3"/>
  <c r="AS116" i="3" s="1"/>
  <c r="AH116" i="3"/>
  <c r="AI116" i="3" s="1"/>
  <c r="AF6" i="3"/>
  <c r="AS6" i="3" s="1"/>
  <c r="AF96" i="3"/>
  <c r="AS96" i="3" s="1"/>
  <c r="G131" i="1"/>
  <c r="AJ116" i="3"/>
  <c r="AK116" i="3" s="1"/>
  <c r="G123" i="1"/>
  <c r="G93" i="1"/>
  <c r="G7" i="1"/>
  <c r="G24" i="1"/>
  <c r="AF8" i="3"/>
  <c r="AS8" i="3" s="1"/>
  <c r="AO140" i="3"/>
  <c r="AF148" i="3"/>
  <c r="AS148" i="3" s="1"/>
  <c r="AL148" i="3"/>
  <c r="AM148" i="3" s="1"/>
  <c r="AO150" i="3"/>
  <c r="AH86" i="3"/>
  <c r="AI86" i="3" s="1"/>
  <c r="AL30" i="3"/>
  <c r="AM30" i="3" s="1"/>
  <c r="AJ86" i="3"/>
  <c r="AK86" i="3" s="1"/>
  <c r="G49" i="1"/>
  <c r="AH33" i="3"/>
  <c r="AI33" i="3" s="1"/>
  <c r="AL106" i="3"/>
  <c r="AM106" i="3" s="1"/>
  <c r="AJ97" i="3"/>
  <c r="AK97" i="3" s="1"/>
  <c r="AJ11" i="3"/>
  <c r="AK11" i="3" s="1"/>
  <c r="AG128" i="7"/>
  <c r="AJ134" i="3"/>
  <c r="AK134" i="3" s="1"/>
  <c r="G81" i="1"/>
  <c r="AL6" i="3"/>
  <c r="AM6" i="3" s="1"/>
  <c r="AJ18" i="3"/>
  <c r="AK18" i="3" s="1"/>
  <c r="G50" i="1"/>
  <c r="G19" i="1"/>
  <c r="G27" i="1"/>
  <c r="AJ32" i="3"/>
  <c r="AK32" i="3" s="1"/>
  <c r="AO12" i="3"/>
  <c r="AS105" i="3"/>
  <c r="AQ12" i="3"/>
  <c r="AO76" i="3"/>
  <c r="AO49" i="3"/>
  <c r="AO134" i="3"/>
  <c r="AO137" i="3"/>
  <c r="AO17" i="3"/>
  <c r="AO6" i="3"/>
  <c r="AO102" i="3"/>
  <c r="AO105" i="3"/>
  <c r="AO48" i="3"/>
  <c r="AO121" i="3"/>
  <c r="AO81" i="3"/>
  <c r="AQ17" i="3"/>
  <c r="AS80" i="3"/>
  <c r="AO144" i="3"/>
  <c r="AS91" i="3"/>
  <c r="AJ80" i="3"/>
  <c r="AK80" i="3" s="1"/>
  <c r="G33" i="1"/>
  <c r="AJ21" i="3"/>
  <c r="AK21" i="3" s="1"/>
  <c r="G34" i="1"/>
  <c r="D165" i="2"/>
  <c r="F165" i="2" s="1"/>
  <c r="G12" i="1"/>
  <c r="G117" i="1"/>
  <c r="AL67" i="3"/>
  <c r="AM67" i="3" s="1"/>
  <c r="AO61" i="3"/>
  <c r="AJ72" i="3"/>
  <c r="AK72" i="3" s="1"/>
  <c r="AO80" i="3"/>
  <c r="AL18" i="3"/>
  <c r="AM18" i="3" s="1"/>
  <c r="AL154" i="3"/>
  <c r="AM154" i="3" s="1"/>
  <c r="AL80" i="3"/>
  <c r="AM80" i="3" s="1"/>
  <c r="AH18" i="3"/>
  <c r="AI18" i="3" s="1"/>
  <c r="AL11" i="3"/>
  <c r="AM11" i="3" s="1"/>
  <c r="AO152" i="3"/>
  <c r="AF154" i="3"/>
  <c r="AS154" i="3" s="1"/>
  <c r="AO122" i="3"/>
  <c r="AH80" i="3"/>
  <c r="AI80" i="3" s="1"/>
  <c r="G122" i="1"/>
  <c r="G53" i="1"/>
  <c r="AL33" i="3"/>
  <c r="AM33" i="3" s="1"/>
  <c r="D357" i="2"/>
  <c r="E357" i="2" s="1"/>
  <c r="AJ154" i="3"/>
  <c r="AK154" i="3" s="1"/>
  <c r="AO92" i="3"/>
  <c r="G43" i="1"/>
  <c r="G88" i="1"/>
  <c r="AJ42" i="3"/>
  <c r="AK42" i="3" s="1"/>
  <c r="AH62" i="3"/>
  <c r="AI62" i="3" s="1"/>
  <c r="AL96" i="3"/>
  <c r="AM96" i="3" s="1"/>
  <c r="AH44" i="3"/>
  <c r="AI44" i="3" s="1"/>
  <c r="AH48" i="3"/>
  <c r="AI48" i="3" s="1"/>
  <c r="AH28" i="3"/>
  <c r="AI28" i="3" s="1"/>
  <c r="AJ87" i="3"/>
  <c r="AK87" i="3" s="1"/>
  <c r="AL26" i="3"/>
  <c r="AM26" i="3" s="1"/>
  <c r="AH11" i="3"/>
  <c r="AI11" i="3" s="1"/>
  <c r="AH69" i="3"/>
  <c r="AI69" i="3" s="1"/>
  <c r="G118" i="1"/>
  <c r="AL90" i="3"/>
  <c r="AM90" i="3" s="1"/>
  <c r="G63" i="1"/>
  <c r="AJ23" i="3"/>
  <c r="AK23" i="3" s="1"/>
  <c r="AJ70" i="3"/>
  <c r="AK70" i="3" s="1"/>
  <c r="AF69" i="3"/>
  <c r="AS69" i="3" s="1"/>
  <c r="AJ45" i="3"/>
  <c r="AK45" i="3" s="1"/>
  <c r="AJ90" i="3"/>
  <c r="AK90" i="3" s="1"/>
  <c r="AO69" i="3"/>
  <c r="AL8" i="3"/>
  <c r="AM8" i="3" s="1"/>
  <c r="AO91" i="3"/>
  <c r="AH150" i="3"/>
  <c r="AI150" i="3" s="1"/>
  <c r="AL10" i="3"/>
  <c r="AM10" i="3" s="1"/>
  <c r="AJ28" i="3"/>
  <c r="AK28" i="3" s="1"/>
  <c r="AH81" i="3"/>
  <c r="AI81" i="3" s="1"/>
  <c r="AJ66" i="3"/>
  <c r="AK66" i="3" s="1"/>
  <c r="AH23" i="3"/>
  <c r="AI23" i="3" s="1"/>
  <c r="AL87" i="3"/>
  <c r="AM87" i="3" s="1"/>
  <c r="AH12" i="3"/>
  <c r="AI12" i="3" s="1"/>
  <c r="AL81" i="3"/>
  <c r="AM81" i="3" s="1"/>
  <c r="AL70" i="3"/>
  <c r="AM70" i="3" s="1"/>
  <c r="AH35" i="3"/>
  <c r="AI35" i="3" s="1"/>
  <c r="AJ25" i="3"/>
  <c r="AK25" i="3" s="1"/>
  <c r="AL143" i="3"/>
  <c r="AM143" i="3" s="1"/>
  <c r="AJ69" i="3"/>
  <c r="AK69" i="3" s="1"/>
  <c r="AF70" i="3"/>
  <c r="AS70" i="3" s="1"/>
  <c r="AF150" i="3"/>
  <c r="AS150" i="3" s="1"/>
  <c r="AL28" i="3"/>
  <c r="AM28" i="3" s="1"/>
  <c r="AJ19" i="3"/>
  <c r="AK19" i="3" s="1"/>
  <c r="AO131" i="3"/>
  <c r="AF143" i="3"/>
  <c r="AS143" i="3" s="1"/>
  <c r="AL35" i="3"/>
  <c r="AM35" i="3" s="1"/>
  <c r="AF28" i="3"/>
  <c r="AS28" i="3" s="1"/>
  <c r="AO130" i="3"/>
  <c r="AH90" i="3"/>
  <c r="AI90" i="3" s="1"/>
  <c r="AL45" i="3"/>
  <c r="AM45" i="3" s="1"/>
  <c r="AJ143" i="3"/>
  <c r="AK143" i="3" s="1"/>
  <c r="AO72" i="3"/>
  <c r="G71" i="1"/>
  <c r="AF45" i="3"/>
  <c r="AS45" i="3" s="1"/>
  <c r="AH8" i="3"/>
  <c r="AI8" i="3" s="1"/>
  <c r="AL23" i="3"/>
  <c r="AM23" i="3" s="1"/>
  <c r="AJ81" i="3"/>
  <c r="AK81" i="3" s="1"/>
  <c r="G13" i="1"/>
  <c r="G29" i="1"/>
  <c r="G67" i="1"/>
  <c r="AJ137" i="3"/>
  <c r="AK137" i="3" s="1"/>
  <c r="AJ144" i="3"/>
  <c r="AK144" i="3" s="1"/>
  <c r="AO87" i="3"/>
  <c r="AS32" i="3"/>
  <c r="AF66" i="3"/>
  <c r="AS66" i="3" s="1"/>
  <c r="AJ94" i="3"/>
  <c r="AK94" i="3" s="1"/>
  <c r="AH91" i="3"/>
  <c r="AI91" i="3" s="1"/>
  <c r="G42" i="1"/>
  <c r="AH66" i="3"/>
  <c r="AI66" i="3" s="1"/>
  <c r="AL94" i="3"/>
  <c r="AM94" i="3" s="1"/>
  <c r="I176" i="2"/>
  <c r="AJ91" i="3"/>
  <c r="AK91" i="3" s="1"/>
  <c r="AO32" i="3"/>
  <c r="AL91" i="3"/>
  <c r="AM91" i="3" s="1"/>
  <c r="AL137" i="3"/>
  <c r="AM137" i="3" s="1"/>
  <c r="AL62" i="3"/>
  <c r="AM62" i="3" s="1"/>
  <c r="AO153" i="3"/>
  <c r="AF137" i="3"/>
  <c r="AS137" i="3" s="1"/>
  <c r="AF62" i="3"/>
  <c r="AS62" i="3" s="1"/>
  <c r="G22" i="1"/>
  <c r="AJ62" i="3"/>
  <c r="AK62" i="3" s="1"/>
  <c r="AF144" i="3"/>
  <c r="AS144" i="3" s="1"/>
  <c r="AJ35" i="3"/>
  <c r="AK35" i="3" s="1"/>
  <c r="AO96" i="3"/>
  <c r="AO132" i="3"/>
  <c r="AO14" i="3"/>
  <c r="AO46" i="3"/>
  <c r="AO11" i="3"/>
  <c r="AS44" i="3"/>
  <c r="AS22" i="3"/>
  <c r="AS24" i="3"/>
  <c r="AS129" i="3"/>
  <c r="AO126" i="3"/>
  <c r="AS67" i="3"/>
  <c r="G89" i="1"/>
  <c r="AJ44" i="3"/>
  <c r="AK44" i="3" s="1"/>
  <c r="AS132" i="3"/>
  <c r="AO107" i="3"/>
  <c r="AO143" i="3"/>
  <c r="AJ61" i="3"/>
  <c r="AK61" i="3" s="1"/>
  <c r="G95" i="1"/>
  <c r="AF106" i="3"/>
  <c r="AS106" i="3" s="1"/>
  <c r="AJ106" i="3"/>
  <c r="AK106" i="3" s="1"/>
  <c r="G45" i="1"/>
  <c r="AJ30" i="3"/>
  <c r="AK30" i="3" s="1"/>
  <c r="AH94" i="3"/>
  <c r="AI94" i="3" s="1"/>
  <c r="Y128" i="7"/>
  <c r="AF108" i="3"/>
  <c r="AS108" i="3" s="1"/>
  <c r="G39" i="1"/>
  <c r="T128" i="7"/>
  <c r="AH108" i="3"/>
  <c r="AI108" i="3" s="1"/>
  <c r="AJ108" i="3"/>
  <c r="AK108" i="3" s="1"/>
  <c r="AJ78" i="3"/>
  <c r="AK78" i="3" s="1"/>
  <c r="L128" i="3"/>
  <c r="AF30" i="3"/>
  <c r="AS30" i="3" s="1"/>
  <c r="AH30" i="3"/>
  <c r="AI30" i="3" s="1"/>
  <c r="Y91" i="1"/>
  <c r="Z91" i="1" s="1"/>
  <c r="D91" i="1" s="1"/>
  <c r="F91" i="1" s="1"/>
  <c r="Z128" i="7"/>
  <c r="AA128" i="7" s="1"/>
  <c r="AB128" i="7" s="1"/>
  <c r="AD128" i="7" s="1"/>
  <c r="AF128" i="7" s="1"/>
  <c r="AH97" i="3"/>
  <c r="AI97" i="3" s="1"/>
  <c r="AH67" i="3"/>
  <c r="AI67" i="3" s="1"/>
  <c r="G65" i="1"/>
  <c r="T129" i="7"/>
  <c r="AJ67" i="3"/>
  <c r="AK67" i="3" s="1"/>
  <c r="Z130" i="7"/>
  <c r="AA130" i="7" s="1"/>
  <c r="AB130" i="7" s="1"/>
  <c r="AD130" i="7" s="1"/>
  <c r="AF130" i="7" s="1"/>
  <c r="AF60" i="3"/>
  <c r="AS60" i="3" s="1"/>
  <c r="AH60" i="3"/>
  <c r="AI60" i="3" s="1"/>
  <c r="AL61" i="3"/>
  <c r="AM61" i="3" s="1"/>
  <c r="L129" i="3"/>
  <c r="U129" i="7"/>
  <c r="AC129" i="7" s="1"/>
  <c r="Y129" i="7"/>
  <c r="AO139" i="3"/>
  <c r="G129" i="1"/>
  <c r="G74" i="1"/>
  <c r="Y127" i="7"/>
  <c r="Z129" i="7"/>
  <c r="AA129" i="7" s="1"/>
  <c r="AB129" i="7" s="1"/>
  <c r="AD129" i="7" s="1"/>
  <c r="AF129" i="7" s="1"/>
  <c r="G23" i="1"/>
  <c r="AS128" i="3"/>
  <c r="U127" i="7"/>
  <c r="AE127" i="7" s="1"/>
  <c r="T125" i="7"/>
  <c r="G127" i="1"/>
  <c r="Z127" i="7"/>
  <c r="AA127" i="7" s="1"/>
  <c r="AB127" i="7" s="1"/>
  <c r="AD127" i="7" s="1"/>
  <c r="AF127" i="7" s="1"/>
  <c r="AG127" i="7"/>
  <c r="T127" i="7"/>
  <c r="AL43" i="3"/>
  <c r="AM43" i="3" s="1"/>
  <c r="AO64" i="3"/>
  <c r="AJ43" i="3"/>
  <c r="AK43" i="3" s="1"/>
  <c r="G62" i="1"/>
  <c r="G36" i="1"/>
  <c r="G69" i="1"/>
  <c r="G25" i="1"/>
  <c r="G124" i="1"/>
  <c r="F147" i="1"/>
  <c r="AO44" i="3"/>
  <c r="F141" i="1"/>
  <c r="AO73" i="3"/>
  <c r="AO67" i="3"/>
  <c r="AQ67" i="3"/>
  <c r="AO22" i="3"/>
  <c r="AO30" i="3"/>
  <c r="AO10" i="3"/>
  <c r="AS88" i="3"/>
  <c r="AS11" i="3"/>
  <c r="AS153" i="3"/>
  <c r="AS139" i="3"/>
  <c r="AG126" i="7"/>
  <c r="T124" i="7"/>
  <c r="M124" i="3" s="1"/>
  <c r="U125" i="7"/>
  <c r="AE125" i="7" s="1"/>
  <c r="AE125" i="3" s="1"/>
  <c r="AH58" i="3"/>
  <c r="AI58" i="3" s="1"/>
  <c r="AH25" i="3"/>
  <c r="AI25" i="3" s="1"/>
  <c r="AG124" i="7"/>
  <c r="L124" i="3"/>
  <c r="Y124" i="7"/>
  <c r="S124" i="3" s="1"/>
  <c r="U124" i="7"/>
  <c r="X124" i="7" s="1"/>
  <c r="Q124" i="3" s="1"/>
  <c r="B141" i="2"/>
  <c r="J141" i="2"/>
  <c r="AO106" i="3"/>
  <c r="AS98" i="3"/>
  <c r="AO98" i="3"/>
  <c r="AS97" i="3"/>
  <c r="AH98" i="3"/>
  <c r="AI98" i="3" s="1"/>
  <c r="AJ98" i="3"/>
  <c r="AK98" i="3" s="1"/>
  <c r="D314" i="2"/>
  <c r="E314" i="2" s="1"/>
  <c r="AJ60" i="3"/>
  <c r="AK60" i="3" s="1"/>
  <c r="AL98" i="3"/>
  <c r="AM98" i="3" s="1"/>
  <c r="AO129" i="3"/>
  <c r="G99" i="1"/>
  <c r="Y130" i="7"/>
  <c r="Y126" i="7"/>
  <c r="S126" i="3" s="1"/>
  <c r="T126" i="7"/>
  <c r="AJ99" i="3"/>
  <c r="AK99" i="3" s="1"/>
  <c r="T130" i="7"/>
  <c r="AH99" i="3"/>
  <c r="AI99" i="3" s="1"/>
  <c r="Y125" i="7"/>
  <c r="S125" i="3" s="1"/>
  <c r="AG125" i="7"/>
  <c r="U130" i="7"/>
  <c r="X130" i="7" s="1"/>
  <c r="Z125" i="7"/>
  <c r="AA125" i="7" s="1"/>
  <c r="AB125" i="7" s="1"/>
  <c r="AG130" i="7"/>
  <c r="AJ68" i="3"/>
  <c r="AK68" i="3" s="1"/>
  <c r="D343" i="2"/>
  <c r="E343" i="2" s="1"/>
  <c r="AL68" i="3"/>
  <c r="AM68" i="3" s="1"/>
  <c r="I320" i="2"/>
  <c r="AJ29" i="3"/>
  <c r="AK29" i="3" s="1"/>
  <c r="AF68" i="3"/>
  <c r="AS68" i="3" s="1"/>
  <c r="AL89" i="3"/>
  <c r="AM89" i="3" s="1"/>
  <c r="G100" i="1"/>
  <c r="AH29" i="3"/>
  <c r="AI29" i="3" s="1"/>
  <c r="Z126" i="7"/>
  <c r="AA126" i="7" s="1"/>
  <c r="AB126" i="7" s="1"/>
  <c r="I188" i="2"/>
  <c r="AJ89" i="3"/>
  <c r="AK89" i="3" s="1"/>
  <c r="D143" i="2"/>
  <c r="E143" i="2" s="1"/>
  <c r="AL99" i="3"/>
  <c r="AM99" i="3" s="1"/>
  <c r="AL25" i="3"/>
  <c r="AM25" i="3" s="1"/>
  <c r="G61" i="1"/>
  <c r="AF89" i="3"/>
  <c r="AS89" i="3" s="1"/>
  <c r="AH89" i="3"/>
  <c r="AI89" i="3" s="1"/>
  <c r="AO68" i="3"/>
  <c r="AO60" i="3"/>
  <c r="AH68" i="3"/>
  <c r="AI68" i="3" s="1"/>
  <c r="I302" i="2"/>
  <c r="G30" i="1"/>
  <c r="AO58" i="3"/>
  <c r="G26" i="1"/>
  <c r="U123" i="7"/>
  <c r="AH123" i="7" s="1"/>
  <c r="AA124" i="1" s="1"/>
  <c r="M130" i="7"/>
  <c r="N130" i="7" s="1"/>
  <c r="U131" i="1"/>
  <c r="Z123" i="7"/>
  <c r="AA123" i="7" s="1"/>
  <c r="AB123" i="7" s="1"/>
  <c r="AD123" i="7" s="1"/>
  <c r="AF123" i="7" s="1"/>
  <c r="G98" i="1"/>
  <c r="AG123" i="7"/>
  <c r="AO89" i="3"/>
  <c r="T123" i="7"/>
  <c r="U126" i="7"/>
  <c r="AE126" i="7" s="1"/>
  <c r="AE126" i="3" s="1"/>
  <c r="Y123" i="7"/>
  <c r="M126" i="7"/>
  <c r="N126" i="7" s="1"/>
  <c r="U127" i="1"/>
  <c r="AL29" i="3"/>
  <c r="AM29" i="3" s="1"/>
  <c r="AC128" i="7"/>
  <c r="X128" i="7"/>
  <c r="AE128" i="7"/>
  <c r="G90" i="1"/>
  <c r="AA124" i="7"/>
  <c r="AB124" i="7" s="1"/>
  <c r="AD124" i="7" s="1"/>
  <c r="AF124" i="7" s="1"/>
  <c r="U124" i="3"/>
  <c r="AS99" i="3"/>
  <c r="G107" i="1"/>
  <c r="D161" i="2"/>
  <c r="E161" i="2" s="1"/>
  <c r="G59" i="1"/>
  <c r="C125" i="2"/>
  <c r="D125" i="2" s="1"/>
  <c r="E125" i="2" s="1"/>
  <c r="B125" i="2"/>
  <c r="AO128" i="3"/>
  <c r="D311" i="2"/>
  <c r="E311" i="2" s="1"/>
  <c r="I182" i="2"/>
  <c r="I175" i="2"/>
  <c r="D336" i="2"/>
  <c r="E336" i="2" s="1"/>
  <c r="I179" i="2"/>
  <c r="N121" i="1"/>
  <c r="M121" i="1" s="1"/>
  <c r="D192" i="2"/>
  <c r="E192" i="2" s="1"/>
  <c r="Q115" i="1"/>
  <c r="P115" i="1" s="1"/>
  <c r="O115" i="1" s="1"/>
  <c r="Q53" i="1"/>
  <c r="P53" i="1" s="1"/>
  <c r="O53" i="1" s="1"/>
  <c r="Q46" i="1"/>
  <c r="P46" i="1" s="1"/>
  <c r="O46" i="1" s="1"/>
  <c r="Q60" i="1"/>
  <c r="P60" i="1" s="1"/>
  <c r="O60" i="1" s="1"/>
  <c r="Q27" i="1"/>
  <c r="P27" i="1" s="1"/>
  <c r="O27" i="1" s="1"/>
  <c r="Q101" i="1"/>
  <c r="P101" i="1" s="1"/>
  <c r="O101" i="1" s="1"/>
  <c r="Q31" i="1"/>
  <c r="P31" i="1" s="1"/>
  <c r="O31" i="1" s="1"/>
  <c r="Q41" i="1"/>
  <c r="P41" i="1" s="1"/>
  <c r="O41" i="1" s="1"/>
  <c r="Q26" i="1"/>
  <c r="P26" i="1" s="1"/>
  <c r="O26" i="1" s="1"/>
  <c r="Q76" i="1"/>
  <c r="P76" i="1" s="1"/>
  <c r="O76" i="1" s="1"/>
  <c r="Q107" i="1"/>
  <c r="P107" i="1" s="1"/>
  <c r="O107" i="1" s="1"/>
  <c r="Q111" i="1"/>
  <c r="P111" i="1" s="1"/>
  <c r="O111" i="1" s="1"/>
  <c r="Q10" i="1"/>
  <c r="P10" i="1" s="1"/>
  <c r="O10" i="1" s="1"/>
  <c r="Q88" i="1"/>
  <c r="P88" i="1" s="1"/>
  <c r="O88" i="1" s="1"/>
  <c r="Q23" i="1"/>
  <c r="P23" i="1" s="1"/>
  <c r="O23" i="1" s="1"/>
  <c r="Q33" i="1"/>
  <c r="P33" i="1" s="1"/>
  <c r="O33" i="1" s="1"/>
  <c r="Q32" i="1"/>
  <c r="P32" i="1" s="1"/>
  <c r="O32" i="1" s="1"/>
  <c r="Q123" i="1"/>
  <c r="P123" i="1" s="1"/>
  <c r="O123" i="1" s="1"/>
  <c r="Q35" i="1"/>
  <c r="P35" i="1" s="1"/>
  <c r="O35" i="1" s="1"/>
  <c r="Q8" i="1"/>
  <c r="P8" i="1" s="1"/>
  <c r="O8" i="1" s="1"/>
  <c r="Q49" i="1"/>
  <c r="P49" i="1" s="1"/>
  <c r="O49" i="1" s="1"/>
  <c r="Q80" i="1"/>
  <c r="P80" i="1" s="1"/>
  <c r="O80" i="1" s="1"/>
  <c r="Q70" i="1"/>
  <c r="P70" i="1" s="1"/>
  <c r="O70" i="1" s="1"/>
  <c r="Q84" i="1"/>
  <c r="P84" i="1" s="1"/>
  <c r="O84" i="1" s="1"/>
  <c r="Q106" i="1"/>
  <c r="P106" i="1" s="1"/>
  <c r="O106" i="1" s="1"/>
  <c r="Q51" i="1"/>
  <c r="P51" i="1" s="1"/>
  <c r="O51" i="1" s="1"/>
  <c r="Q61" i="1"/>
  <c r="P61" i="1" s="1"/>
  <c r="O61" i="1" s="1"/>
  <c r="Q119" i="1"/>
  <c r="P119" i="1" s="1"/>
  <c r="O119" i="1" s="1"/>
  <c r="Q82" i="1"/>
  <c r="P82" i="1" s="1"/>
  <c r="O82" i="1" s="1"/>
  <c r="Q37" i="1"/>
  <c r="P37" i="1" s="1"/>
  <c r="O37" i="1" s="1"/>
  <c r="Q86" i="1"/>
  <c r="P86" i="1" s="1"/>
  <c r="O86" i="1" s="1"/>
  <c r="Q100" i="1"/>
  <c r="P100" i="1" s="1"/>
  <c r="O100" i="1" s="1"/>
  <c r="Q77" i="1"/>
  <c r="P77" i="1" s="1"/>
  <c r="O77" i="1" s="1"/>
  <c r="Q94" i="1"/>
  <c r="P94" i="1" s="1"/>
  <c r="O94" i="1" s="1"/>
  <c r="Q12" i="1"/>
  <c r="P12" i="1" s="1"/>
  <c r="O12" i="1" s="1"/>
  <c r="Q117" i="1"/>
  <c r="P117" i="1" s="1"/>
  <c r="O117" i="1" s="1"/>
  <c r="Q43" i="1"/>
  <c r="P43" i="1" s="1"/>
  <c r="O43" i="1" s="1"/>
  <c r="Q85" i="1"/>
  <c r="P85" i="1" s="1"/>
  <c r="O85" i="1" s="1"/>
  <c r="Q47" i="1"/>
  <c r="P47" i="1" s="1"/>
  <c r="O47" i="1" s="1"/>
  <c r="Q57" i="1"/>
  <c r="P57" i="1" s="1"/>
  <c r="O57" i="1" s="1"/>
  <c r="Q24" i="1"/>
  <c r="P24" i="1" s="1"/>
  <c r="O24" i="1" s="1"/>
  <c r="Q78" i="1"/>
  <c r="P78" i="1" s="1"/>
  <c r="O78" i="1" s="1"/>
  <c r="Q92" i="1"/>
  <c r="P92" i="1" s="1"/>
  <c r="O92" i="1" s="1"/>
  <c r="Q59" i="1"/>
  <c r="P59" i="1" s="1"/>
  <c r="O59" i="1" s="1"/>
  <c r="Q63" i="1"/>
  <c r="P63" i="1" s="1"/>
  <c r="O63" i="1" s="1"/>
  <c r="Q73" i="1"/>
  <c r="P73" i="1" s="1"/>
  <c r="O73" i="1" s="1"/>
  <c r="Q58" i="1"/>
  <c r="P58" i="1" s="1"/>
  <c r="O58" i="1" s="1"/>
  <c r="Q108" i="1"/>
  <c r="P108" i="1" s="1"/>
  <c r="O108" i="1" s="1"/>
  <c r="Q34" i="1"/>
  <c r="P34" i="1" s="1"/>
  <c r="O34" i="1" s="1"/>
  <c r="Q16" i="1"/>
  <c r="P16" i="1" s="1"/>
  <c r="O16" i="1" s="1"/>
  <c r="Q20" i="1"/>
  <c r="P20" i="1" s="1"/>
  <c r="O20" i="1" s="1"/>
  <c r="Q42" i="1"/>
  <c r="P42" i="1" s="1"/>
  <c r="O42" i="1" s="1"/>
  <c r="Q120" i="1"/>
  <c r="P120" i="1" s="1"/>
  <c r="O120" i="1" s="1"/>
  <c r="Q55" i="1"/>
  <c r="P55" i="1" s="1"/>
  <c r="O55" i="1" s="1"/>
  <c r="Q65" i="1"/>
  <c r="P65" i="1" s="1"/>
  <c r="O65" i="1" s="1"/>
  <c r="Q18" i="1"/>
  <c r="P18" i="1" s="1"/>
  <c r="O18" i="1" s="1"/>
  <c r="Q64" i="1"/>
  <c r="P64" i="1" s="1"/>
  <c r="O64" i="1" s="1"/>
  <c r="Q22" i="1"/>
  <c r="P22" i="1" s="1"/>
  <c r="O22" i="1" s="1"/>
  <c r="Q36" i="1"/>
  <c r="P36" i="1" s="1"/>
  <c r="O36" i="1" s="1"/>
  <c r="Q40" i="1"/>
  <c r="P40" i="1" s="1"/>
  <c r="O40" i="1" s="1"/>
  <c r="Q13" i="1"/>
  <c r="P13" i="1" s="1"/>
  <c r="O13" i="1" s="1"/>
  <c r="Q30" i="1"/>
  <c r="P30" i="1" s="1"/>
  <c r="O30" i="1" s="1"/>
  <c r="Q81" i="1"/>
  <c r="P81" i="1" s="1"/>
  <c r="O81" i="1" s="1"/>
  <c r="Q126" i="1"/>
  <c r="P126" i="1" s="1"/>
  <c r="O126" i="1" s="1"/>
  <c r="Q112" i="1"/>
  <c r="P112" i="1" s="1"/>
  <c r="O112" i="1" s="1"/>
  <c r="Q102" i="1"/>
  <c r="P102" i="1" s="1"/>
  <c r="O102" i="1" s="1"/>
  <c r="Q116" i="1"/>
  <c r="P116" i="1" s="1"/>
  <c r="O116" i="1" s="1"/>
  <c r="Q83" i="1"/>
  <c r="P83" i="1" s="1"/>
  <c r="O83" i="1" s="1"/>
  <c r="Q93" i="1"/>
  <c r="P93" i="1" s="1"/>
  <c r="O93" i="1" s="1"/>
  <c r="Q14" i="1"/>
  <c r="P14" i="1" s="1"/>
  <c r="O14" i="1" s="1"/>
  <c r="Q28" i="1"/>
  <c r="P28" i="1" s="1"/>
  <c r="O28" i="1" s="1"/>
  <c r="Q114" i="1"/>
  <c r="P114" i="1" s="1"/>
  <c r="O114" i="1" s="1"/>
  <c r="Q69" i="1"/>
  <c r="P69" i="1" s="1"/>
  <c r="O69" i="1" s="1"/>
  <c r="Q118" i="1"/>
  <c r="P118" i="1" s="1"/>
  <c r="O118" i="1" s="1"/>
  <c r="Q9" i="1"/>
  <c r="P9" i="1" s="1"/>
  <c r="O9" i="1" s="1"/>
  <c r="Q109" i="1"/>
  <c r="P109" i="1" s="1"/>
  <c r="O109" i="1" s="1"/>
  <c r="Q71" i="1"/>
  <c r="P71" i="1" s="1"/>
  <c r="O71" i="1" s="1"/>
  <c r="Q44" i="1"/>
  <c r="P44" i="1" s="1"/>
  <c r="O44" i="1" s="1"/>
  <c r="N127" i="1"/>
  <c r="M127" i="1" s="1"/>
  <c r="Q75" i="1"/>
  <c r="P75" i="1" s="1"/>
  <c r="O75" i="1" s="1"/>
  <c r="Q79" i="1"/>
  <c r="P79" i="1" s="1"/>
  <c r="O79" i="1" s="1"/>
  <c r="Q89" i="1"/>
  <c r="P89" i="1" s="1"/>
  <c r="O89" i="1" s="1"/>
  <c r="Q56" i="1"/>
  <c r="P56" i="1" s="1"/>
  <c r="O56" i="1" s="1"/>
  <c r="Q110" i="1"/>
  <c r="P110" i="1" s="1"/>
  <c r="O110" i="1" s="1"/>
  <c r="Q124" i="1"/>
  <c r="P124" i="1" s="1"/>
  <c r="O124" i="1" s="1"/>
  <c r="Q91" i="1"/>
  <c r="P91" i="1" s="1"/>
  <c r="O91" i="1" s="1"/>
  <c r="Q95" i="1"/>
  <c r="P95" i="1" s="1"/>
  <c r="O95" i="1" s="1"/>
  <c r="Q105" i="1"/>
  <c r="P105" i="1" s="1"/>
  <c r="O105" i="1" s="1"/>
  <c r="N105" i="1" s="1"/>
  <c r="M105" i="1" s="1"/>
  <c r="Q90" i="1"/>
  <c r="P90" i="1" s="1"/>
  <c r="O90" i="1" s="1"/>
  <c r="Q17" i="1"/>
  <c r="P17" i="1" s="1"/>
  <c r="O17" i="1" s="1"/>
  <c r="Q48" i="1"/>
  <c r="P48" i="1" s="1"/>
  <c r="O48" i="1" s="1"/>
  <c r="Q38" i="1"/>
  <c r="P38" i="1" s="1"/>
  <c r="O38" i="1" s="1"/>
  <c r="Q52" i="1"/>
  <c r="P52" i="1" s="1"/>
  <c r="O52" i="1" s="1"/>
  <c r="Q74" i="1"/>
  <c r="P74" i="1" s="1"/>
  <c r="O74" i="1" s="1"/>
  <c r="Q19" i="1"/>
  <c r="P19" i="1" s="1"/>
  <c r="O19" i="1" s="1"/>
  <c r="Q29" i="1"/>
  <c r="P29" i="1" s="1"/>
  <c r="O29" i="1" s="1"/>
  <c r="Q87" i="1"/>
  <c r="P87" i="1" s="1"/>
  <c r="O87" i="1" s="1"/>
  <c r="N87" i="1" s="1"/>
  <c r="M87" i="1" s="1"/>
  <c r="Q97" i="1"/>
  <c r="P97" i="1" s="1"/>
  <c r="O97" i="1" s="1"/>
  <c r="Q50" i="1"/>
  <c r="P50" i="1" s="1"/>
  <c r="O50" i="1" s="1"/>
  <c r="Q96" i="1"/>
  <c r="P96" i="1" s="1"/>
  <c r="O96" i="1" s="1"/>
  <c r="Q54" i="1"/>
  <c r="P54" i="1" s="1"/>
  <c r="O54" i="1" s="1"/>
  <c r="Q68" i="1"/>
  <c r="P68" i="1" s="1"/>
  <c r="O68" i="1" s="1"/>
  <c r="Q72" i="1"/>
  <c r="P72" i="1" s="1"/>
  <c r="O72" i="1" s="1"/>
  <c r="Q45" i="1"/>
  <c r="P45" i="1" s="1"/>
  <c r="O45" i="1" s="1"/>
  <c r="Q62" i="1"/>
  <c r="P62" i="1" s="1"/>
  <c r="O62" i="1" s="1"/>
  <c r="N62" i="1" s="1"/>
  <c r="M62" i="1" s="1"/>
  <c r="Q7" i="1"/>
  <c r="P7" i="1" s="1"/>
  <c r="O7" i="1" s="1"/>
  <c r="Q113" i="1"/>
  <c r="P113" i="1" s="1"/>
  <c r="O113" i="1" s="1"/>
  <c r="Q11" i="1"/>
  <c r="P11" i="1" s="1"/>
  <c r="O11" i="1" s="1"/>
  <c r="Q21" i="1"/>
  <c r="P21" i="1" s="1"/>
  <c r="O21" i="1" s="1"/>
  <c r="Q15" i="1"/>
  <c r="P15" i="1" s="1"/>
  <c r="O15" i="1" s="1"/>
  <c r="Q25" i="1"/>
  <c r="P25" i="1" s="1"/>
  <c r="O25" i="1" s="1"/>
  <c r="I155" i="2"/>
  <c r="D331" i="2"/>
  <c r="E331" i="2" s="1"/>
  <c r="D187" i="2"/>
  <c r="E187" i="2" s="1"/>
  <c r="D171" i="2"/>
  <c r="E171" i="2" s="1"/>
  <c r="AS43" i="3"/>
  <c r="N275" i="1"/>
  <c r="M275" i="1" s="1"/>
  <c r="N348" i="1"/>
  <c r="M348" i="1" s="1"/>
  <c r="N166" i="1"/>
  <c r="M166" i="1" s="1"/>
  <c r="N180" i="1"/>
  <c r="M180" i="1" s="1"/>
  <c r="N306" i="1"/>
  <c r="M306" i="1" s="1"/>
  <c r="N193" i="1"/>
  <c r="M193" i="1" s="1"/>
  <c r="N286" i="1"/>
  <c r="M286" i="1" s="1"/>
  <c r="N356" i="1"/>
  <c r="M356" i="1" s="1"/>
  <c r="N342" i="1"/>
  <c r="M342" i="1" s="1"/>
  <c r="N267" i="1"/>
  <c r="M267" i="1" s="1"/>
  <c r="N169" i="1"/>
  <c r="M169" i="1" s="1"/>
  <c r="N288" i="1"/>
  <c r="M288" i="1" s="1"/>
  <c r="N222" i="1"/>
  <c r="M222" i="1" s="1"/>
  <c r="N208" i="1"/>
  <c r="M208" i="1" s="1"/>
  <c r="N344" i="1"/>
  <c r="M344" i="1" s="1"/>
  <c r="N284" i="1"/>
  <c r="M284" i="1" s="1"/>
  <c r="N225" i="1"/>
  <c r="M225" i="1" s="1"/>
  <c r="N173" i="1"/>
  <c r="M173" i="1" s="1"/>
  <c r="N183" i="1"/>
  <c r="M183" i="1" s="1"/>
  <c r="N330" i="1"/>
  <c r="M330" i="1" s="1"/>
  <c r="N218" i="1"/>
  <c r="M218" i="1" s="1"/>
  <c r="N343" i="1"/>
  <c r="M343" i="1" s="1"/>
  <c r="N239" i="1"/>
  <c r="M239" i="1" s="1"/>
  <c r="N294" i="1"/>
  <c r="M294" i="1" s="1"/>
  <c r="N221" i="1"/>
  <c r="M221" i="1" s="1"/>
  <c r="N145" i="1"/>
  <c r="M145" i="1" s="1"/>
  <c r="N212" i="1"/>
  <c r="M212" i="1" s="1"/>
  <c r="N143" i="1"/>
  <c r="M143" i="1" s="1"/>
  <c r="D141" i="2"/>
  <c r="E141" i="2" s="1"/>
  <c r="D300" i="2"/>
  <c r="E300" i="2" s="1"/>
  <c r="AA258" i="1"/>
  <c r="I147" i="2"/>
  <c r="H747" i="10"/>
  <c r="I160" i="2"/>
  <c r="D299" i="2"/>
  <c r="E299" i="2" s="1"/>
  <c r="D172" i="2"/>
  <c r="F172" i="2" s="1"/>
  <c r="I177" i="2"/>
  <c r="N156" i="1"/>
  <c r="M156" i="1" s="1"/>
  <c r="N242" i="1"/>
  <c r="M242" i="1" s="1"/>
  <c r="N186" i="1"/>
  <c r="M186" i="1" s="1"/>
  <c r="N270" i="1"/>
  <c r="M270" i="1" s="1"/>
  <c r="N157" i="1"/>
  <c r="M157" i="1" s="1"/>
  <c r="N271" i="1"/>
  <c r="M271" i="1" s="1"/>
  <c r="N139" i="1"/>
  <c r="M139" i="1" s="1"/>
  <c r="N328" i="1"/>
  <c r="M328" i="1" s="1"/>
  <c r="N325" i="1"/>
  <c r="M325" i="1" s="1"/>
  <c r="N228" i="1"/>
  <c r="M228" i="1" s="1"/>
  <c r="N314" i="1"/>
  <c r="M314" i="1" s="1"/>
  <c r="N333" i="1"/>
  <c r="M333" i="1" s="1"/>
  <c r="N349" i="1"/>
  <c r="M349" i="1" s="1"/>
  <c r="N269" i="1"/>
  <c r="M269" i="1" s="1"/>
  <c r="N184" i="1"/>
  <c r="M184" i="1" s="1"/>
  <c r="N219" i="1"/>
  <c r="M219" i="1" s="1"/>
  <c r="N353" i="1"/>
  <c r="M353" i="1" s="1"/>
  <c r="N136" i="1"/>
  <c r="M136" i="1" s="1"/>
  <c r="N297" i="1"/>
  <c r="M297" i="1" s="1"/>
  <c r="N311" i="1"/>
  <c r="M311" i="1" s="1"/>
  <c r="N301" i="1"/>
  <c r="M301" i="1" s="1"/>
  <c r="N185" i="1"/>
  <c r="M185" i="1" s="1"/>
  <c r="N309" i="1"/>
  <c r="M309" i="1" s="1"/>
  <c r="N352" i="1"/>
  <c r="M352" i="1" s="1"/>
  <c r="N174" i="1"/>
  <c r="M174" i="1" s="1"/>
  <c r="N341" i="1"/>
  <c r="M341" i="1" s="1"/>
  <c r="N238" i="1"/>
  <c r="M238" i="1" s="1"/>
  <c r="N165" i="1"/>
  <c r="M165" i="1" s="1"/>
  <c r="N194" i="1"/>
  <c r="M194" i="1" s="1"/>
  <c r="N152" i="1"/>
  <c r="M152" i="1" s="1"/>
  <c r="N188" i="1"/>
  <c r="M188" i="1" s="1"/>
  <c r="N210" i="1"/>
  <c r="M210" i="1" s="1"/>
  <c r="N147" i="1"/>
  <c r="M147" i="1" s="1"/>
  <c r="N153" i="1"/>
  <c r="M153" i="1" s="1"/>
  <c r="N304" i="1"/>
  <c r="M304" i="1" s="1"/>
  <c r="N251" i="1"/>
  <c r="M251" i="1" s="1"/>
  <c r="N321" i="1"/>
  <c r="M321" i="1" s="1"/>
  <c r="N300" i="1"/>
  <c r="M300" i="1" s="1"/>
  <c r="N158" i="1"/>
  <c r="M158" i="1" s="1"/>
  <c r="N281" i="1"/>
  <c r="M281" i="1" s="1"/>
  <c r="N256" i="1"/>
  <c r="M256" i="1" s="1"/>
  <c r="N163" i="1"/>
  <c r="M163" i="1" s="1"/>
  <c r="N246" i="1"/>
  <c r="M246" i="1" s="1"/>
  <c r="N235" i="1"/>
  <c r="M235" i="1" s="1"/>
  <c r="N264" i="1"/>
  <c r="M264" i="1" s="1"/>
  <c r="N189" i="1"/>
  <c r="M189" i="1" s="1"/>
  <c r="N313" i="1"/>
  <c r="M313" i="1" s="1"/>
  <c r="N192" i="1"/>
  <c r="M192" i="1" s="1"/>
  <c r="N259" i="1"/>
  <c r="M259" i="1" s="1"/>
  <c r="N205" i="1"/>
  <c r="M205" i="1" s="1"/>
  <c r="N204" i="1"/>
  <c r="M204" i="1" s="1"/>
  <c r="N273" i="1"/>
  <c r="M273" i="1" s="1"/>
  <c r="N351" i="1"/>
  <c r="M351" i="1" s="1"/>
  <c r="N133" i="1"/>
  <c r="M133" i="1" s="1"/>
  <c r="N213" i="1"/>
  <c r="M213" i="1" s="1"/>
  <c r="N291" i="1"/>
  <c r="M291" i="1" s="1"/>
  <c r="N261" i="1"/>
  <c r="M261" i="1" s="1"/>
  <c r="N310" i="1"/>
  <c r="M310" i="1" s="1"/>
  <c r="N191" i="1"/>
  <c r="M191" i="1" s="1"/>
  <c r="N229" i="1"/>
  <c r="M229" i="1" s="1"/>
  <c r="N268" i="1"/>
  <c r="M268" i="1" s="1"/>
  <c r="N132" i="1"/>
  <c r="M132" i="1" s="1"/>
  <c r="N201" i="1"/>
  <c r="M201" i="1" s="1"/>
  <c r="N285" i="1"/>
  <c r="M285" i="1" s="1"/>
  <c r="N324" i="1"/>
  <c r="M324" i="1" s="1"/>
  <c r="N361" i="1"/>
  <c r="M361" i="1" s="1"/>
  <c r="N170" i="1"/>
  <c r="M170" i="1" s="1"/>
  <c r="N232" i="1"/>
  <c r="M232" i="1" s="1"/>
  <c r="N230" i="1"/>
  <c r="M230" i="1" s="1"/>
  <c r="N266" i="1"/>
  <c r="M266" i="1" s="1"/>
  <c r="N172" i="1"/>
  <c r="M172" i="1" s="1"/>
  <c r="N241" i="1"/>
  <c r="M241" i="1" s="1"/>
  <c r="N319" i="1"/>
  <c r="M319" i="1" s="1"/>
  <c r="N202" i="1"/>
  <c r="M202" i="1" s="1"/>
  <c r="N168" i="1"/>
  <c r="M168" i="1" s="1"/>
  <c r="N260" i="1"/>
  <c r="M260" i="1" s="1"/>
  <c r="N329" i="1"/>
  <c r="M329" i="1" s="1"/>
  <c r="N215" i="1"/>
  <c r="M215" i="1" s="1"/>
  <c r="N162" i="1"/>
  <c r="M162" i="1" s="1"/>
  <c r="N182" i="1"/>
  <c r="M182" i="1" s="1"/>
  <c r="N254" i="1"/>
  <c r="M254" i="1" s="1"/>
  <c r="N274" i="1"/>
  <c r="M274" i="1" s="1"/>
  <c r="N250" i="1"/>
  <c r="M250" i="1" s="1"/>
  <c r="N299" i="1"/>
  <c r="M299" i="1" s="1"/>
  <c r="N236" i="1"/>
  <c r="M236" i="1" s="1"/>
  <c r="N247" i="1"/>
  <c r="M247" i="1" s="1"/>
  <c r="N338" i="1"/>
  <c r="M338" i="1" s="1"/>
  <c r="N298" i="1"/>
  <c r="M298" i="1" s="1"/>
  <c r="N305" i="1"/>
  <c r="M305" i="1" s="1"/>
  <c r="N258" i="1"/>
  <c r="M258" i="1" s="1"/>
  <c r="N302" i="1"/>
  <c r="M302" i="1" s="1"/>
  <c r="N318" i="1"/>
  <c r="M318" i="1" s="1"/>
  <c r="N176" i="1"/>
  <c r="M176" i="1" s="1"/>
  <c r="N326" i="1"/>
  <c r="M326" i="1" s="1"/>
  <c r="N350" i="1"/>
  <c r="M350" i="1" s="1"/>
  <c r="N346" i="1"/>
  <c r="M346" i="1" s="1"/>
  <c r="N290" i="1"/>
  <c r="M290" i="1" s="1"/>
  <c r="N315" i="1"/>
  <c r="M315" i="1" s="1"/>
  <c r="N252" i="1"/>
  <c r="M252" i="1" s="1"/>
  <c r="N320" i="1"/>
  <c r="M320" i="1" s="1"/>
  <c r="N296" i="1"/>
  <c r="M296" i="1" s="1"/>
  <c r="N257" i="1"/>
  <c r="M257" i="1" s="1"/>
  <c r="N146" i="1"/>
  <c r="M146" i="1" s="1"/>
  <c r="N142" i="1"/>
  <c r="M142" i="1" s="1"/>
  <c r="N253" i="1"/>
  <c r="M253" i="1" s="1"/>
  <c r="N335" i="1"/>
  <c r="M335" i="1" s="1"/>
  <c r="N150" i="1"/>
  <c r="M150" i="1" s="1"/>
  <c r="N137" i="1"/>
  <c r="M137" i="1" s="1"/>
  <c r="N276" i="1"/>
  <c r="M276" i="1" s="1"/>
  <c r="N354" i="1"/>
  <c r="M354" i="1" s="1"/>
  <c r="N331" i="1"/>
  <c r="M331" i="1" s="1"/>
  <c r="N292" i="1"/>
  <c r="M292" i="1" s="1"/>
  <c r="N279" i="1"/>
  <c r="M279" i="1" s="1"/>
  <c r="N332" i="1"/>
  <c r="M332" i="1" s="1"/>
  <c r="N245" i="1"/>
  <c r="M245" i="1" s="1"/>
  <c r="N337" i="1"/>
  <c r="M337" i="1" s="1"/>
  <c r="N308" i="1"/>
  <c r="M308" i="1" s="1"/>
  <c r="N355" i="1"/>
  <c r="M355" i="1" s="1"/>
  <c r="N316" i="1"/>
  <c r="M316" i="1" s="1"/>
  <c r="N240" i="1"/>
  <c r="M240" i="1" s="1"/>
  <c r="N293" i="1"/>
  <c r="M293" i="1" s="1"/>
  <c r="N345" i="1"/>
  <c r="M345" i="1" s="1"/>
  <c r="N234" i="1"/>
  <c r="M234" i="1" s="1"/>
  <c r="N283" i="1"/>
  <c r="M283" i="1" s="1"/>
  <c r="N220" i="1"/>
  <c r="M220" i="1" s="1"/>
  <c r="N282" i="1"/>
  <c r="M282" i="1" s="1"/>
  <c r="N360" i="1"/>
  <c r="M360" i="1" s="1"/>
  <c r="N289" i="1"/>
  <c r="M289" i="1" s="1"/>
  <c r="N178" i="1"/>
  <c r="M178" i="1" s="1"/>
  <c r="N227" i="1"/>
  <c r="M227" i="1" s="1"/>
  <c r="N164" i="1"/>
  <c r="M164" i="1" s="1"/>
  <c r="N175" i="1"/>
  <c r="M175" i="1" s="1"/>
  <c r="N272" i="1"/>
  <c r="M272" i="1" s="1"/>
  <c r="Q128" i="1"/>
  <c r="P128" i="1" s="1"/>
  <c r="O128" i="1" s="1"/>
  <c r="N248" i="1"/>
  <c r="M248" i="1" s="1"/>
  <c r="N233" i="1"/>
  <c r="M233" i="1" s="1"/>
  <c r="N334" i="1"/>
  <c r="M334" i="1" s="1"/>
  <c r="N171" i="1"/>
  <c r="M171" i="1" s="1"/>
  <c r="N262" i="1"/>
  <c r="M262" i="1" s="1"/>
  <c r="N278" i="1"/>
  <c r="M278" i="1" s="1"/>
  <c r="N160" i="1"/>
  <c r="M160" i="1" s="1"/>
  <c r="N144" i="1"/>
  <c r="M144" i="1" s="1"/>
  <c r="N177" i="1"/>
  <c r="M177" i="1" s="1"/>
  <c r="N197" i="1"/>
  <c r="M197" i="1" s="1"/>
  <c r="N179" i="1"/>
  <c r="M179" i="1" s="1"/>
  <c r="N244" i="1"/>
  <c r="M244" i="1" s="1"/>
  <c r="N255" i="1"/>
  <c r="M255" i="1" s="1"/>
  <c r="N339" i="1"/>
  <c r="M339" i="1" s="1"/>
  <c r="N280" i="1"/>
  <c r="M280" i="1" s="1"/>
  <c r="N249" i="1"/>
  <c r="M249" i="1" s="1"/>
  <c r="N138" i="1"/>
  <c r="M138" i="1" s="1"/>
  <c r="N187" i="1"/>
  <c r="M187" i="1" s="1"/>
  <c r="N358" i="1"/>
  <c r="M358" i="1" s="1"/>
  <c r="N135" i="1"/>
  <c r="M135" i="1" s="1"/>
  <c r="N134" i="1"/>
  <c r="M134" i="1" s="1"/>
  <c r="N129" i="1"/>
  <c r="M129" i="1" s="1"/>
  <c r="N347" i="1"/>
  <c r="M347" i="1" s="1"/>
  <c r="N322" i="1"/>
  <c r="M322" i="1" s="1"/>
  <c r="N196" i="1"/>
  <c r="M196" i="1" s="1"/>
  <c r="N207" i="1"/>
  <c r="M207" i="1" s="1"/>
  <c r="N336" i="1"/>
  <c r="M336" i="1" s="1"/>
  <c r="N312" i="1"/>
  <c r="M312" i="1" s="1"/>
  <c r="N265" i="1"/>
  <c r="M265" i="1" s="1"/>
  <c r="N154" i="1"/>
  <c r="M154" i="1" s="1"/>
  <c r="N203" i="1"/>
  <c r="M203" i="1" s="1"/>
  <c r="N140" i="1"/>
  <c r="M140" i="1" s="1"/>
  <c r="N151" i="1"/>
  <c r="M151" i="1" s="1"/>
  <c r="N224" i="1"/>
  <c r="M224" i="1" s="1"/>
  <c r="N200" i="1"/>
  <c r="M200" i="1" s="1"/>
  <c r="N209" i="1"/>
  <c r="M209" i="1" s="1"/>
  <c r="N357" i="1"/>
  <c r="M357" i="1" s="1"/>
  <c r="N211" i="1"/>
  <c r="M211" i="1" s="1"/>
  <c r="N148" i="1"/>
  <c r="M148" i="1" s="1"/>
  <c r="N159" i="1"/>
  <c r="M159" i="1" s="1"/>
  <c r="N181" i="1"/>
  <c r="M181" i="1" s="1"/>
  <c r="N216" i="1"/>
  <c r="M216" i="1" s="1"/>
  <c r="N217" i="1"/>
  <c r="M217" i="1" s="1"/>
  <c r="N214" i="1"/>
  <c r="M214" i="1" s="1"/>
  <c r="N155" i="1"/>
  <c r="M155" i="1" s="1"/>
  <c r="N190" i="1"/>
  <c r="M190" i="1" s="1"/>
  <c r="N198" i="1"/>
  <c r="M198" i="1" s="1"/>
  <c r="N206" i="1"/>
  <c r="M206" i="1" s="1"/>
  <c r="N161" i="1"/>
  <c r="M161" i="1" s="1"/>
  <c r="N149" i="1"/>
  <c r="M149" i="1" s="1"/>
  <c r="N317" i="1"/>
  <c r="M317" i="1" s="1"/>
  <c r="N340" i="1"/>
  <c r="M340" i="1" s="1"/>
  <c r="N141" i="1"/>
  <c r="M141" i="1" s="1"/>
  <c r="N303" i="1"/>
  <c r="M303" i="1" s="1"/>
  <c r="N237" i="1"/>
  <c r="M237" i="1" s="1"/>
  <c r="D284" i="2"/>
  <c r="F284" i="2" s="1"/>
  <c r="D139" i="2"/>
  <c r="E139" i="2" s="1"/>
  <c r="I183" i="2"/>
  <c r="N104" i="1"/>
  <c r="M104" i="1" s="1"/>
  <c r="D170" i="2"/>
  <c r="E170" i="2" s="1"/>
  <c r="I157" i="2"/>
  <c r="N122" i="1"/>
  <c r="M122" i="1" s="1"/>
  <c r="M120" i="7"/>
  <c r="N120" i="7" s="1"/>
  <c r="V121" i="1" s="1"/>
  <c r="D185" i="2"/>
  <c r="E185" i="2" s="1"/>
  <c r="D319" i="2"/>
  <c r="E319" i="2" s="1"/>
  <c r="D169" i="2"/>
  <c r="E169" i="2" s="1"/>
  <c r="Y125" i="1"/>
  <c r="Z125" i="1" s="1"/>
  <c r="D125" i="1" s="1"/>
  <c r="F125" i="1" s="1"/>
  <c r="D186" i="2"/>
  <c r="F186" i="2" s="1"/>
  <c r="D344" i="2"/>
  <c r="F344" i="2" s="1"/>
  <c r="D298" i="2"/>
  <c r="E298" i="2" s="1"/>
  <c r="I127" i="2"/>
  <c r="D178" i="2"/>
  <c r="E178" i="2" s="1"/>
  <c r="N125" i="1"/>
  <c r="M125" i="1" s="1"/>
  <c r="AA113" i="7"/>
  <c r="AB113" i="7" s="1"/>
  <c r="AD113" i="7" s="1"/>
  <c r="AF113" i="7" s="1"/>
  <c r="U113" i="3"/>
  <c r="D184" i="2"/>
  <c r="F184" i="2" s="1"/>
  <c r="D360" i="2"/>
  <c r="F360" i="2" s="1"/>
  <c r="Y99" i="1"/>
  <c r="Z99" i="1" s="1"/>
  <c r="D99" i="1" s="1"/>
  <c r="F99" i="1" s="1"/>
  <c r="D295" i="2"/>
  <c r="F295" i="2" s="1"/>
  <c r="D322" i="2"/>
  <c r="E322" i="2" s="1"/>
  <c r="D288" i="2"/>
  <c r="E288" i="2" s="1"/>
  <c r="G6" i="1"/>
  <c r="I318" i="2"/>
  <c r="D308" i="2"/>
  <c r="E308" i="2" s="1"/>
  <c r="D159" i="2"/>
  <c r="E159" i="2" s="1"/>
  <c r="D283" i="2"/>
  <c r="E283" i="2" s="1"/>
  <c r="D332" i="2"/>
  <c r="E332" i="2" s="1"/>
  <c r="D354" i="2"/>
  <c r="E354" i="2" s="1"/>
  <c r="D191" i="2"/>
  <c r="F191" i="2" s="1"/>
  <c r="D310" i="2"/>
  <c r="E310" i="2" s="1"/>
  <c r="I164" i="2"/>
  <c r="D339" i="2"/>
  <c r="E339" i="2" s="1"/>
  <c r="I174" i="2"/>
  <c r="D276" i="2"/>
  <c r="E276" i="2" s="1"/>
  <c r="D163" i="2"/>
  <c r="F163" i="2" s="1"/>
  <c r="D294" i="2"/>
  <c r="E294" i="2" s="1"/>
  <c r="I162" i="2"/>
  <c r="I353" i="2"/>
  <c r="D121" i="2"/>
  <c r="E121" i="2" s="1"/>
  <c r="Y6" i="1"/>
  <c r="Z6" i="1" s="1"/>
  <c r="D6" i="1" s="1"/>
  <c r="F6" i="1" s="1"/>
  <c r="D151" i="2"/>
  <c r="E151" i="2" s="1"/>
  <c r="AS51" i="3"/>
  <c r="AS61" i="3"/>
  <c r="AS113" i="3"/>
  <c r="H682" i="10"/>
  <c r="V122" i="1"/>
  <c r="AA181" i="1"/>
  <c r="AA140" i="1"/>
  <c r="AA231" i="1"/>
  <c r="AA240" i="1"/>
  <c r="AA311" i="1"/>
  <c r="AS27" i="3"/>
  <c r="AS23" i="3"/>
  <c r="AS125" i="3"/>
  <c r="AN97" i="3"/>
  <c r="AO97" i="3" s="1"/>
  <c r="AS19" i="3"/>
  <c r="AN113" i="3"/>
  <c r="AO113" i="3" s="1"/>
  <c r="AN31" i="3"/>
  <c r="AO31" i="3" s="1"/>
  <c r="AS119" i="3"/>
  <c r="F108" i="1"/>
  <c r="AN29" i="3"/>
  <c r="AO29" i="3" s="1"/>
  <c r="X121" i="1"/>
  <c r="Y121" i="1" s="1"/>
  <c r="Z121" i="1" s="1"/>
  <c r="D121" i="1" s="1"/>
  <c r="F121" i="1" s="1"/>
  <c r="AN119" i="3"/>
  <c r="AO119" i="3" s="1"/>
  <c r="L110" i="3"/>
  <c r="U110" i="7"/>
  <c r="X110" i="7" s="1"/>
  <c r="Z110" i="7"/>
  <c r="AA110" i="7" s="1"/>
  <c r="AB110" i="7" s="1"/>
  <c r="AD110" i="7" s="1"/>
  <c r="AF110" i="7" s="1"/>
  <c r="H658" i="10"/>
  <c r="T110" i="7"/>
  <c r="Y110" i="7"/>
  <c r="X122" i="1"/>
  <c r="Y122" i="1" s="1"/>
  <c r="Z122" i="1" s="1"/>
  <c r="D122" i="1" s="1"/>
  <c r="F122" i="1" s="1"/>
  <c r="T122" i="1"/>
  <c r="U122" i="1"/>
  <c r="AA170" i="1"/>
  <c r="U40" i="1"/>
  <c r="AA217" i="1"/>
  <c r="AA279" i="1"/>
  <c r="V40" i="1"/>
  <c r="AA280" i="1"/>
  <c r="AA343" i="1"/>
  <c r="Y122" i="7"/>
  <c r="T40" i="1"/>
  <c r="AA321" i="1"/>
  <c r="AA296" i="1"/>
  <c r="AA288" i="1"/>
  <c r="AA340" i="1"/>
  <c r="T122" i="7"/>
  <c r="AA162" i="1"/>
  <c r="AA150" i="1"/>
  <c r="AG122" i="7"/>
  <c r="AA216" i="1"/>
  <c r="AA156" i="1"/>
  <c r="Z122" i="7"/>
  <c r="AA122" i="7" s="1"/>
  <c r="AB122" i="7" s="1"/>
  <c r="AD122" i="7" s="1"/>
  <c r="AF122" i="7" s="1"/>
  <c r="AA247" i="1"/>
  <c r="AA198" i="1"/>
  <c r="AA135" i="1"/>
  <c r="AA249" i="1"/>
  <c r="AA253" i="1"/>
  <c r="U122" i="7"/>
  <c r="AC122" i="7" s="1"/>
  <c r="AA194" i="1"/>
  <c r="U75" i="1"/>
  <c r="AO125" i="3"/>
  <c r="T75" i="1"/>
  <c r="F112" i="1"/>
  <c r="V75" i="1"/>
  <c r="T113" i="1"/>
  <c r="X75" i="1"/>
  <c r="Y75" i="1" s="1"/>
  <c r="Z75" i="1" s="1"/>
  <c r="D75" i="1" s="1"/>
  <c r="F75" i="1" s="1"/>
  <c r="AS29" i="3"/>
  <c r="AA154" i="1"/>
  <c r="AS81" i="3"/>
  <c r="AA257" i="1"/>
  <c r="AA297" i="1"/>
  <c r="AA129" i="1"/>
  <c r="AA213" i="1"/>
  <c r="AA212" i="1"/>
  <c r="AA207" i="1"/>
  <c r="AA223" i="1"/>
  <c r="AA275" i="1"/>
  <c r="AA307" i="1"/>
  <c r="AA339" i="1"/>
  <c r="AA336" i="1"/>
  <c r="AA167" i="1"/>
  <c r="AA148" i="1"/>
  <c r="AA256" i="1"/>
  <c r="AA265" i="1"/>
  <c r="AA127" i="1"/>
  <c r="AA187" i="1"/>
  <c r="AA153" i="1"/>
  <c r="AA146" i="1"/>
  <c r="AA218" i="1"/>
  <c r="AA290" i="1"/>
  <c r="AA141" i="1"/>
  <c r="AA171" i="1"/>
  <c r="AA254" i="1"/>
  <c r="AA264" i="1"/>
  <c r="AA221" i="1"/>
  <c r="AA220" i="1"/>
  <c r="AA211" i="1"/>
  <c r="AA227" i="1"/>
  <c r="AA195" i="1"/>
  <c r="AA283" i="1"/>
  <c r="AA315" i="1"/>
  <c r="AA347" i="1"/>
  <c r="AA344" i="1"/>
  <c r="AA261" i="1"/>
  <c r="AA262" i="1"/>
  <c r="AA277" i="1"/>
  <c r="AA285" i="1"/>
  <c r="AA278" i="1"/>
  <c r="AA163" i="1"/>
  <c r="AA145" i="1"/>
  <c r="AA142" i="1"/>
  <c r="AA270" i="1"/>
  <c r="AA143" i="1"/>
  <c r="AA178" i="1"/>
  <c r="AA132" i="1"/>
  <c r="AA325" i="1"/>
  <c r="AA157" i="1"/>
  <c r="AA131" i="1"/>
  <c r="AA158" i="1"/>
  <c r="AA166" i="1"/>
  <c r="AA175" i="1"/>
  <c r="AA165" i="1"/>
  <c r="AA313" i="1"/>
  <c r="AA244" i="1"/>
  <c r="AA225" i="1"/>
  <c r="AA304" i="1"/>
  <c r="AA224" i="1"/>
  <c r="AA235" i="1"/>
  <c r="AA251" i="1"/>
  <c r="AA292" i="1"/>
  <c r="AA196" i="1"/>
  <c r="AA287" i="1"/>
  <c r="AA319" i="1"/>
  <c r="AA316" i="1"/>
  <c r="AA348" i="1"/>
  <c r="AA241" i="1"/>
  <c r="AA151" i="1"/>
  <c r="AA234" i="1"/>
  <c r="H715" i="10"/>
  <c r="AA189" i="1"/>
  <c r="AA273" i="1"/>
  <c r="AA139" i="1"/>
  <c r="AA246" i="1"/>
  <c r="AA144" i="1"/>
  <c r="AA272" i="1"/>
  <c r="AA229" i="1"/>
  <c r="AA228" i="1"/>
  <c r="AA199" i="1"/>
  <c r="AA215" i="1"/>
  <c r="AA197" i="1"/>
  <c r="AA291" i="1"/>
  <c r="AA323" i="1"/>
  <c r="AA320" i="1"/>
  <c r="AA137" i="1"/>
  <c r="AA130" i="1"/>
  <c r="AA128" i="1"/>
  <c r="AA186" i="1"/>
  <c r="AA305" i="1"/>
  <c r="AA159" i="1"/>
  <c r="H704" i="10"/>
  <c r="AA238" i="1"/>
  <c r="AA134" i="1"/>
  <c r="AA183" i="1"/>
  <c r="AA274" i="1"/>
  <c r="AA222" i="1"/>
  <c r="AA147" i="1"/>
  <c r="AA149" i="1"/>
  <c r="AA230" i="1"/>
  <c r="AA232" i="1"/>
  <c r="AA248" i="1"/>
  <c r="AA201" i="1"/>
  <c r="AA268" i="1"/>
  <c r="AA312" i="1"/>
  <c r="AA200" i="1"/>
  <c r="AA239" i="1"/>
  <c r="AA255" i="1"/>
  <c r="AA300" i="1"/>
  <c r="AA260" i="1"/>
  <c r="AA295" i="1"/>
  <c r="AA327" i="1"/>
  <c r="AA324" i="1"/>
  <c r="AA185" i="1"/>
  <c r="AA237" i="1"/>
  <c r="AA289" i="1"/>
  <c r="AA286" i="1"/>
  <c r="AA206" i="1"/>
  <c r="AA182" i="1"/>
  <c r="AA191" i="1"/>
  <c r="AA214" i="1"/>
  <c r="AA174" i="1"/>
  <c r="AA242" i="1"/>
  <c r="AA269" i="1"/>
  <c r="AA155" i="1"/>
  <c r="AA152" i="1"/>
  <c r="AA177" i="1"/>
  <c r="AA138" i="1"/>
  <c r="AA250" i="1"/>
  <c r="AA233" i="1"/>
  <c r="AA136" i="1"/>
  <c r="AA205" i="1"/>
  <c r="AA204" i="1"/>
  <c r="AA276" i="1"/>
  <c r="AA203" i="1"/>
  <c r="AA219" i="1"/>
  <c r="AA299" i="1"/>
  <c r="AA331" i="1"/>
  <c r="AA328" i="1"/>
  <c r="AA190" i="1"/>
  <c r="AA173" i="1"/>
  <c r="AA245" i="1"/>
  <c r="AA210" i="1"/>
  <c r="AA266" i="1"/>
  <c r="AA169" i="1"/>
  <c r="AA179" i="1"/>
  <c r="AA226" i="1"/>
  <c r="AA236" i="1"/>
  <c r="AA252" i="1"/>
  <c r="AA209" i="1"/>
  <c r="AA284" i="1"/>
  <c r="AA208" i="1"/>
  <c r="AA243" i="1"/>
  <c r="AA259" i="1"/>
  <c r="AA263" i="1"/>
  <c r="AA308" i="1"/>
  <c r="AA267" i="1"/>
  <c r="AA271" i="1"/>
  <c r="AA303" i="1"/>
  <c r="AA335" i="1"/>
  <c r="AA332" i="1"/>
  <c r="AA202" i="1"/>
  <c r="AA329" i="1"/>
  <c r="AA161" i="1"/>
  <c r="Y105" i="7"/>
  <c r="F120" i="1"/>
  <c r="AS15" i="3"/>
  <c r="AS57" i="3"/>
  <c r="AS31" i="3"/>
  <c r="F134" i="1"/>
  <c r="AT124" i="3"/>
  <c r="AA125" i="1" s="1"/>
  <c r="AS111" i="3"/>
  <c r="F56" i="1"/>
  <c r="AA133" i="1"/>
  <c r="F88" i="1"/>
  <c r="F81" i="1"/>
  <c r="F41" i="1"/>
  <c r="F111" i="1"/>
  <c r="F117" i="1"/>
  <c r="H710" i="10"/>
  <c r="F138" i="1"/>
  <c r="F47" i="1"/>
  <c r="F78" i="1"/>
  <c r="F83" i="1"/>
  <c r="F84" i="1"/>
  <c r="F126" i="1"/>
  <c r="F34" i="1"/>
  <c r="F10" i="1"/>
  <c r="F156" i="1"/>
  <c r="F100" i="1"/>
  <c r="F20" i="1"/>
  <c r="F28" i="1"/>
  <c r="X113" i="1"/>
  <c r="Y113" i="1" s="1"/>
  <c r="Z113" i="1" s="1"/>
  <c r="D113" i="1" s="1"/>
  <c r="F113" i="1" s="1"/>
  <c r="F140" i="1"/>
  <c r="U113" i="1"/>
  <c r="F22" i="1"/>
  <c r="F21" i="1"/>
  <c r="F57" i="1"/>
  <c r="F142" i="1"/>
  <c r="F9" i="1"/>
  <c r="V113" i="1"/>
  <c r="F85" i="1"/>
  <c r="F51" i="1"/>
  <c r="F137" i="1"/>
  <c r="F32" i="1"/>
  <c r="F40" i="1"/>
  <c r="F148" i="1"/>
  <c r="F30" i="1"/>
  <c r="F55" i="1"/>
  <c r="AS35" i="3"/>
  <c r="F37" i="1"/>
  <c r="F72" i="1"/>
  <c r="F77" i="1"/>
  <c r="F128" i="1"/>
  <c r="F146" i="1"/>
  <c r="F136" i="1"/>
  <c r="U105" i="7"/>
  <c r="X105" i="7" s="1"/>
  <c r="AS115" i="3"/>
  <c r="L105" i="3"/>
  <c r="AG105" i="7"/>
  <c r="AT105" i="3" s="1"/>
  <c r="AA106" i="1" s="1"/>
  <c r="F59" i="1"/>
  <c r="F36" i="1"/>
  <c r="F45" i="1"/>
  <c r="F109" i="1"/>
  <c r="F54" i="1"/>
  <c r="F16" i="1"/>
  <c r="Z105" i="7"/>
  <c r="AA105" i="7" s="1"/>
  <c r="AB105" i="7" s="1"/>
  <c r="AD105" i="7" s="1"/>
  <c r="AF105" i="7" s="1"/>
  <c r="M745" i="10" s="1"/>
  <c r="Q745" i="10" s="1"/>
  <c r="F60" i="1"/>
  <c r="F89" i="1"/>
  <c r="F145" i="1"/>
  <c r="F154" i="1"/>
  <c r="F87" i="1"/>
  <c r="F53" i="1"/>
  <c r="AS53" i="3"/>
  <c r="F67" i="1"/>
  <c r="F46" i="1"/>
  <c r="F15" i="1"/>
  <c r="F114" i="1"/>
  <c r="F58" i="1"/>
  <c r="F25" i="1"/>
  <c r="F61" i="1"/>
  <c r="F66" i="1"/>
  <c r="F73" i="1"/>
  <c r="F158" i="1"/>
  <c r="F18" i="1"/>
  <c r="F12" i="1"/>
  <c r="F90" i="1"/>
  <c r="F153" i="1"/>
  <c r="F63" i="1"/>
  <c r="F123" i="1"/>
  <c r="F106" i="1"/>
  <c r="F35" i="1"/>
  <c r="F65" i="1"/>
  <c r="F97" i="1"/>
  <c r="F102" i="1"/>
  <c r="F42" i="1"/>
  <c r="F68" i="1"/>
  <c r="F129" i="1"/>
  <c r="F7" i="1"/>
  <c r="F82" i="1"/>
  <c r="F49" i="1"/>
  <c r="F23" i="1"/>
  <c r="F24" i="1"/>
  <c r="F152" i="1"/>
  <c r="F8" i="1"/>
  <c r="F48" i="1"/>
  <c r="AS109" i="3"/>
  <c r="F52" i="1"/>
  <c r="AA168" i="1"/>
  <c r="AA282" i="1"/>
  <c r="AA317" i="1"/>
  <c r="AA314" i="1"/>
  <c r="AA293" i="1"/>
  <c r="AA350" i="1"/>
  <c r="AA164" i="1"/>
  <c r="AA302" i="1"/>
  <c r="AA322" i="1"/>
  <c r="AA338" i="1"/>
  <c r="AA160" i="1"/>
  <c r="AA188" i="1"/>
  <c r="AA341" i="1"/>
  <c r="AA349" i="1"/>
  <c r="AA193" i="1"/>
  <c r="AA309" i="1"/>
  <c r="AA333" i="1"/>
  <c r="AA310" i="1"/>
  <c r="AA281" i="1"/>
  <c r="AA318" i="1"/>
  <c r="AA184" i="1"/>
  <c r="AA298" i="1"/>
  <c r="AA342" i="1"/>
  <c r="AA330" i="1"/>
  <c r="AA180" i="1"/>
  <c r="AA326" i="1"/>
  <c r="AA176" i="1"/>
  <c r="AA306" i="1"/>
  <c r="AA334" i="1"/>
  <c r="AA172" i="1"/>
  <c r="AA337" i="1"/>
  <c r="AA345" i="1"/>
  <c r="AA301" i="1"/>
  <c r="AA294" i="1"/>
  <c r="AA346" i="1"/>
  <c r="AA192" i="1"/>
  <c r="F98" i="1"/>
  <c r="F92" i="1"/>
  <c r="F64" i="1"/>
  <c r="F124" i="1"/>
  <c r="Y69" i="1"/>
  <c r="Z69" i="1" s="1"/>
  <c r="D69" i="1" s="1"/>
  <c r="F69" i="1" s="1"/>
  <c r="F101" i="1"/>
  <c r="F74" i="1"/>
  <c r="Y103" i="1"/>
  <c r="Z103" i="1" s="1"/>
  <c r="D103" i="1" s="1"/>
  <c r="F103" i="1" s="1"/>
  <c r="F104" i="1"/>
  <c r="F44" i="1"/>
  <c r="Y93" i="1"/>
  <c r="Z93" i="1" s="1"/>
  <c r="D93" i="1" s="1"/>
  <c r="F93" i="1" s="1"/>
  <c r="F31" i="1"/>
  <c r="F43" i="1"/>
  <c r="X118" i="1"/>
  <c r="Y118" i="1" s="1"/>
  <c r="Z118" i="1" s="1"/>
  <c r="D118" i="1" s="1"/>
  <c r="F118" i="1" s="1"/>
  <c r="F79" i="1"/>
  <c r="F26" i="1"/>
  <c r="F29" i="1"/>
  <c r="F33" i="1"/>
  <c r="F70" i="1"/>
  <c r="F14" i="1"/>
  <c r="F110" i="1"/>
  <c r="F13" i="1"/>
  <c r="Y17" i="1"/>
  <c r="Z17" i="1" s="1"/>
  <c r="D17" i="1" s="1"/>
  <c r="F17" i="1" s="1"/>
  <c r="T118" i="1"/>
  <c r="F130" i="1"/>
  <c r="F19" i="1"/>
  <c r="F62" i="1"/>
  <c r="U118" i="1"/>
  <c r="F27" i="1"/>
  <c r="F105" i="1"/>
  <c r="F50" i="1"/>
  <c r="F11" i="1"/>
  <c r="F86" i="1"/>
  <c r="F150" i="1"/>
  <c r="F80" i="1"/>
  <c r="F144" i="1"/>
  <c r="V118" i="1"/>
  <c r="F132" i="1"/>
  <c r="Y76" i="1"/>
  <c r="Z76" i="1" s="1"/>
  <c r="D76" i="1" s="1"/>
  <c r="F76" i="1" s="1"/>
  <c r="J28" i="2"/>
  <c r="C28" i="2"/>
  <c r="B28" i="2"/>
  <c r="I237" i="2"/>
  <c r="D237" i="2"/>
  <c r="I286" i="2"/>
  <c r="D286" i="2"/>
  <c r="J91" i="2"/>
  <c r="C91" i="2"/>
  <c r="B91" i="2"/>
  <c r="E271" i="2"/>
  <c r="F271" i="2"/>
  <c r="I260" i="2"/>
  <c r="D260" i="2"/>
  <c r="AA80" i="7"/>
  <c r="U80" i="3"/>
  <c r="AA89" i="7"/>
  <c r="AB89" i="7" s="1"/>
  <c r="AD89" i="7" s="1"/>
  <c r="AF89" i="7" s="1"/>
  <c r="M729" i="10" s="1"/>
  <c r="Q729" i="10" s="1"/>
  <c r="U89" i="3"/>
  <c r="AE59" i="7"/>
  <c r="AE59" i="3" s="1"/>
  <c r="X59" i="7"/>
  <c r="Q59" i="3" s="1"/>
  <c r="AC59" i="7"/>
  <c r="E361" i="2"/>
  <c r="F361" i="2"/>
  <c r="I197" i="2"/>
  <c r="D197" i="2"/>
  <c r="J134" i="2"/>
  <c r="C134" i="2"/>
  <c r="B134" i="2"/>
  <c r="E190" i="2"/>
  <c r="F190" i="2"/>
  <c r="I262" i="2"/>
  <c r="D262" i="2"/>
  <c r="I206" i="2"/>
  <c r="D206" i="2"/>
  <c r="I229" i="2"/>
  <c r="D229" i="2"/>
  <c r="X102" i="7"/>
  <c r="AE102" i="7"/>
  <c r="AC102" i="7"/>
  <c r="AA54" i="7"/>
  <c r="U54" i="3"/>
  <c r="AC66" i="7"/>
  <c r="X66" i="7"/>
  <c r="Q66" i="3" s="1"/>
  <c r="AE66" i="7"/>
  <c r="AE66" i="3" s="1"/>
  <c r="X28" i="7"/>
  <c r="Q28" i="3" s="1"/>
  <c r="AC28" i="7"/>
  <c r="AE28" i="7"/>
  <c r="AE28" i="3" s="1"/>
  <c r="J69" i="2"/>
  <c r="C69" i="2"/>
  <c r="B69" i="2"/>
  <c r="E307" i="2"/>
  <c r="F307" i="2"/>
  <c r="J67" i="2"/>
  <c r="C67" i="2"/>
  <c r="B67" i="2"/>
  <c r="J68" i="2"/>
  <c r="C68" i="2"/>
  <c r="B68" i="2"/>
  <c r="AA99" i="7"/>
  <c r="U99" i="3"/>
  <c r="AE106" i="7"/>
  <c r="X106" i="7"/>
  <c r="AC106" i="7"/>
  <c r="AA106" i="3" s="1"/>
  <c r="J73" i="2"/>
  <c r="C73" i="2"/>
  <c r="B73" i="2"/>
  <c r="J78" i="2"/>
  <c r="C78" i="2"/>
  <c r="B78" i="2"/>
  <c r="J158" i="2"/>
  <c r="C158" i="2"/>
  <c r="B158" i="2"/>
  <c r="I214" i="2"/>
  <c r="D214" i="2"/>
  <c r="Y39" i="1"/>
  <c r="Z39" i="1" s="1"/>
  <c r="D39" i="1" s="1"/>
  <c r="F39" i="1" s="1"/>
  <c r="AN7" i="3"/>
  <c r="AO7" i="3" s="1"/>
  <c r="X63" i="7"/>
  <c r="Q63" i="3" s="1"/>
  <c r="AE63" i="7"/>
  <c r="AE63" i="3" s="1"/>
  <c r="AC63" i="7"/>
  <c r="O63" i="3"/>
  <c r="AA49" i="7"/>
  <c r="U49" i="3"/>
  <c r="AA77" i="7"/>
  <c r="U77" i="3"/>
  <c r="J109" i="2"/>
  <c r="C109" i="2"/>
  <c r="B109" i="2"/>
  <c r="I219" i="2"/>
  <c r="D219" i="2"/>
  <c r="J114" i="2"/>
  <c r="C114" i="2"/>
  <c r="B114" i="2"/>
  <c r="AA47" i="7"/>
  <c r="U47" i="3"/>
  <c r="I212" i="2"/>
  <c r="D212" i="2"/>
  <c r="I223" i="2"/>
  <c r="D223" i="2"/>
  <c r="E353" i="2"/>
  <c r="F353" i="2"/>
  <c r="J79" i="2"/>
  <c r="C79" i="2"/>
  <c r="B79" i="2"/>
  <c r="E164" i="2"/>
  <c r="F164" i="2"/>
  <c r="AE85" i="7"/>
  <c r="AC85" i="7"/>
  <c r="X85" i="7"/>
  <c r="Q85" i="3" s="1"/>
  <c r="O85" i="3"/>
  <c r="AA43" i="7"/>
  <c r="U43" i="3"/>
  <c r="AC27" i="7"/>
  <c r="X27" i="7"/>
  <c r="Q27" i="3" s="1"/>
  <c r="AE27" i="7"/>
  <c r="AE27" i="3" s="1"/>
  <c r="AC40" i="7"/>
  <c r="X40" i="7"/>
  <c r="Q40" i="3" s="1"/>
  <c r="AE40" i="7"/>
  <c r="AE40" i="3" s="1"/>
  <c r="AA32" i="7"/>
  <c r="U32" i="3"/>
  <c r="AA21" i="7"/>
  <c r="U21" i="3"/>
  <c r="AA44" i="7"/>
  <c r="U44" i="3"/>
  <c r="AA64" i="7"/>
  <c r="U64" i="3"/>
  <c r="J53" i="2"/>
  <c r="C53" i="2"/>
  <c r="B53" i="2"/>
  <c r="I275" i="2"/>
  <c r="D275" i="2"/>
  <c r="E320" i="2"/>
  <c r="F320" i="2"/>
  <c r="AN35" i="3"/>
  <c r="AO35" i="3" s="1"/>
  <c r="J19" i="2"/>
  <c r="C19" i="2"/>
  <c r="B19" i="2"/>
  <c r="T116" i="1"/>
  <c r="AA10" i="7"/>
  <c r="U10" i="3"/>
  <c r="J145" i="2"/>
  <c r="C145" i="2"/>
  <c r="B145" i="2"/>
  <c r="J30" i="2"/>
  <c r="C30" i="2"/>
  <c r="B30" i="2"/>
  <c r="J154" i="2"/>
  <c r="C154" i="2"/>
  <c r="B154" i="2"/>
  <c r="I285" i="2"/>
  <c r="D285" i="2"/>
  <c r="J55" i="2"/>
  <c r="C55" i="2"/>
  <c r="B55" i="2"/>
  <c r="T119" i="1"/>
  <c r="AG116" i="7"/>
  <c r="T116" i="7"/>
  <c r="Z116" i="7"/>
  <c r="AA116" i="7" s="1"/>
  <c r="AB116" i="7" s="1"/>
  <c r="AD116" i="7" s="1"/>
  <c r="AF116" i="7" s="1"/>
  <c r="U116" i="7"/>
  <c r="Y116" i="7"/>
  <c r="L116" i="3"/>
  <c r="AC97" i="7"/>
  <c r="X97" i="7"/>
  <c r="Q97" i="3" s="1"/>
  <c r="AE97" i="7"/>
  <c r="O97" i="3"/>
  <c r="AA71" i="7"/>
  <c r="U71" i="3"/>
  <c r="AE17" i="7"/>
  <c r="AE17" i="3" s="1"/>
  <c r="AC17" i="7"/>
  <c r="AA17" i="3" s="1"/>
  <c r="X17" i="7"/>
  <c r="Q17" i="3" s="1"/>
  <c r="O17" i="3"/>
  <c r="AC55" i="7"/>
  <c r="AA55" i="3" s="1"/>
  <c r="X55" i="7"/>
  <c r="Q55" i="3" s="1"/>
  <c r="AE55" i="7"/>
  <c r="O55" i="3"/>
  <c r="AQ115" i="3"/>
  <c r="E352" i="2"/>
  <c r="F352" i="2"/>
  <c r="AC118" i="7"/>
  <c r="X118" i="7"/>
  <c r="AE118" i="7"/>
  <c r="AH118" i="7"/>
  <c r="AF117" i="4" s="1"/>
  <c r="AT118" i="3" s="1"/>
  <c r="AA119" i="1" s="1"/>
  <c r="O27" i="3"/>
  <c r="J122" i="2"/>
  <c r="C122" i="2"/>
  <c r="B122" i="2"/>
  <c r="E135" i="2"/>
  <c r="F135" i="2"/>
  <c r="J60" i="2"/>
  <c r="C60" i="2"/>
  <c r="B60" i="2"/>
  <c r="AE80" i="7"/>
  <c r="AE80" i="3" s="1"/>
  <c r="AC80" i="7"/>
  <c r="X80" i="7"/>
  <c r="Q80" i="3" s="1"/>
  <c r="O80" i="3"/>
  <c r="AA25" i="7"/>
  <c r="U25" i="3"/>
  <c r="AA45" i="7"/>
  <c r="U45" i="3"/>
  <c r="AA72" i="7"/>
  <c r="U72" i="3"/>
  <c r="I204" i="2"/>
  <c r="D204" i="2"/>
  <c r="J33" i="2"/>
  <c r="C33" i="2"/>
  <c r="B33" i="2"/>
  <c r="I309" i="2"/>
  <c r="D309" i="2"/>
  <c r="J123" i="2"/>
  <c r="C123" i="2"/>
  <c r="B123" i="2"/>
  <c r="I297" i="2"/>
  <c r="D297" i="2"/>
  <c r="AQ117" i="3"/>
  <c r="J32" i="2"/>
  <c r="C32" i="2"/>
  <c r="B32" i="2"/>
  <c r="J64" i="2"/>
  <c r="C64" i="2"/>
  <c r="B64" i="2"/>
  <c r="AA33" i="7"/>
  <c r="U33" i="3"/>
  <c r="AA28" i="7"/>
  <c r="U28" i="3"/>
  <c r="J74" i="2"/>
  <c r="C74" i="2"/>
  <c r="B74" i="2"/>
  <c r="AQ41" i="3"/>
  <c r="I225" i="2"/>
  <c r="D225" i="2"/>
  <c r="J152" i="2"/>
  <c r="C152" i="2"/>
  <c r="B152" i="2"/>
  <c r="X90" i="7"/>
  <c r="AE90" i="7"/>
  <c r="AC90" i="7"/>
  <c r="AA41" i="7"/>
  <c r="U41" i="3"/>
  <c r="E330" i="2"/>
  <c r="F330" i="2"/>
  <c r="E328" i="2"/>
  <c r="F328" i="2"/>
  <c r="E166" i="2"/>
  <c r="F166" i="2"/>
  <c r="AS17" i="3"/>
  <c r="J103" i="2"/>
  <c r="C103" i="2"/>
  <c r="B103" i="2"/>
  <c r="C40" i="2"/>
  <c r="B40" i="2"/>
  <c r="J40" i="2"/>
  <c r="AA63" i="7"/>
  <c r="U63" i="3"/>
  <c r="AA58" i="7"/>
  <c r="U58" i="3"/>
  <c r="AQ37" i="3"/>
  <c r="E149" i="2"/>
  <c r="F149" i="2"/>
  <c r="E350" i="2"/>
  <c r="F350" i="2"/>
  <c r="I329" i="2"/>
  <c r="D329" i="2"/>
  <c r="J11" i="2"/>
  <c r="C11" i="2"/>
  <c r="B11" i="2"/>
  <c r="J108" i="2"/>
  <c r="C108" i="2"/>
  <c r="B108" i="2"/>
  <c r="X14" i="7"/>
  <c r="Q14" i="3" s="1"/>
  <c r="AE14" i="7"/>
  <c r="AE14" i="3" s="1"/>
  <c r="AC14" i="7"/>
  <c r="AA14" i="3" s="1"/>
  <c r="E318" i="2"/>
  <c r="F318" i="2"/>
  <c r="E347" i="2"/>
  <c r="F347" i="2"/>
  <c r="I196" i="2"/>
  <c r="D196" i="2"/>
  <c r="J22" i="2"/>
  <c r="C22" i="2"/>
  <c r="B22" i="2"/>
  <c r="J130" i="2"/>
  <c r="C130" i="2"/>
  <c r="B130" i="2"/>
  <c r="E174" i="2"/>
  <c r="F174" i="2"/>
  <c r="I269" i="2"/>
  <c r="D269" i="2"/>
  <c r="J16" i="2"/>
  <c r="C16" i="2"/>
  <c r="B16" i="2"/>
  <c r="J48" i="2"/>
  <c r="C48" i="2"/>
  <c r="B48" i="2"/>
  <c r="J128" i="2"/>
  <c r="C128" i="2"/>
  <c r="B128" i="2"/>
  <c r="AC51" i="7"/>
  <c r="X51" i="7"/>
  <c r="Q51" i="3" s="1"/>
  <c r="AE51" i="7"/>
  <c r="AE51" i="3" s="1"/>
  <c r="AA56" i="7"/>
  <c r="U56" i="3"/>
  <c r="AE120" i="7"/>
  <c r="X120" i="7"/>
  <c r="Q120" i="3" s="1"/>
  <c r="AC120" i="7"/>
  <c r="AE21" i="7"/>
  <c r="AE21" i="3" s="1"/>
  <c r="X21" i="7"/>
  <c r="Q21" i="3" s="1"/>
  <c r="AC21" i="7"/>
  <c r="O21" i="3"/>
  <c r="E177" i="2"/>
  <c r="F177" i="2"/>
  <c r="E326" i="2"/>
  <c r="F326" i="2"/>
  <c r="V115" i="1"/>
  <c r="AQ111" i="3"/>
  <c r="J52" i="2"/>
  <c r="C52" i="2"/>
  <c r="B52" i="2"/>
  <c r="J116" i="2"/>
  <c r="C116" i="2"/>
  <c r="B116" i="2"/>
  <c r="AC104" i="7"/>
  <c r="AE104" i="7"/>
  <c r="X104" i="7"/>
  <c r="AC91" i="7"/>
  <c r="X91" i="7"/>
  <c r="AE91" i="7"/>
  <c r="AC73" i="7"/>
  <c r="AA73" i="3" s="1"/>
  <c r="X73" i="7"/>
  <c r="Q73" i="3" s="1"/>
  <c r="AE73" i="7"/>
  <c r="AE73" i="3" s="1"/>
  <c r="O73" i="3"/>
  <c r="AA65" i="7"/>
  <c r="U65" i="3"/>
  <c r="AE10" i="7"/>
  <c r="AE10" i="3" s="1"/>
  <c r="AC10" i="7"/>
  <c r="X10" i="7"/>
  <c r="Q10" i="3" s="1"/>
  <c r="I208" i="2"/>
  <c r="D208" i="2"/>
  <c r="E356" i="2"/>
  <c r="F356" i="2"/>
  <c r="U119" i="1"/>
  <c r="I250" i="2"/>
  <c r="D250" i="2"/>
  <c r="J24" i="2"/>
  <c r="C24" i="2"/>
  <c r="B24" i="2"/>
  <c r="J56" i="2"/>
  <c r="C56" i="2"/>
  <c r="B56" i="2"/>
  <c r="J140" i="2"/>
  <c r="C140" i="2"/>
  <c r="B140" i="2"/>
  <c r="I232" i="2"/>
  <c r="D232" i="2"/>
  <c r="Z111" i="7"/>
  <c r="AA111" i="7" s="1"/>
  <c r="AB111" i="7" s="1"/>
  <c r="AD111" i="7" s="1"/>
  <c r="AF111" i="7" s="1"/>
  <c r="Y111" i="7"/>
  <c r="AG111" i="7"/>
  <c r="AT111" i="3" s="1"/>
  <c r="AA112" i="1" s="1"/>
  <c r="U111" i="7"/>
  <c r="T111" i="7"/>
  <c r="L111" i="3"/>
  <c r="AA55" i="7"/>
  <c r="U55" i="3"/>
  <c r="J93" i="2"/>
  <c r="C93" i="2"/>
  <c r="B93" i="2"/>
  <c r="I235" i="2"/>
  <c r="D235" i="2"/>
  <c r="AE121" i="7"/>
  <c r="AH121" i="7"/>
  <c r="AF120" i="4" s="1"/>
  <c r="AT121" i="3" s="1"/>
  <c r="AA122" i="1" s="1"/>
  <c r="AC121" i="7"/>
  <c r="X121" i="7"/>
  <c r="O51" i="3"/>
  <c r="AC115" i="7"/>
  <c r="X115" i="7"/>
  <c r="AH115" i="7"/>
  <c r="AF114" i="4" s="1"/>
  <c r="AT115" i="3" s="1"/>
  <c r="AA116" i="1" s="1"/>
  <c r="AE115" i="7"/>
  <c r="J34" i="2"/>
  <c r="C34" i="2"/>
  <c r="B34" i="2"/>
  <c r="I202" i="2"/>
  <c r="D202" i="2"/>
  <c r="J59" i="2"/>
  <c r="C59" i="2"/>
  <c r="B59" i="2"/>
  <c r="J132" i="2"/>
  <c r="C132" i="2"/>
  <c r="B132" i="2"/>
  <c r="X46" i="7"/>
  <c r="Q46" i="3" s="1"/>
  <c r="AE46" i="7"/>
  <c r="AE46" i="3" s="1"/>
  <c r="AC46" i="7"/>
  <c r="AE45" i="7"/>
  <c r="AE45" i="3" s="1"/>
  <c r="X45" i="7"/>
  <c r="Q45" i="3" s="1"/>
  <c r="AC45" i="7"/>
  <c r="O45" i="3"/>
  <c r="AE89" i="7"/>
  <c r="X89" i="7"/>
  <c r="Q89" i="3" s="1"/>
  <c r="AC89" i="7"/>
  <c r="O89" i="3"/>
  <c r="AA100" i="7"/>
  <c r="U100" i="3"/>
  <c r="J102" i="2"/>
  <c r="C102" i="2"/>
  <c r="B102" i="2"/>
  <c r="AQ109" i="3"/>
  <c r="I337" i="2"/>
  <c r="D337" i="2"/>
  <c r="C37" i="2"/>
  <c r="B37" i="2"/>
  <c r="I243" i="2"/>
  <c r="D243" i="2"/>
  <c r="E306" i="2"/>
  <c r="F306" i="2"/>
  <c r="E312" i="2"/>
  <c r="F312" i="2"/>
  <c r="AN78" i="3"/>
  <c r="AO78" i="3" s="1"/>
  <c r="E162" i="2"/>
  <c r="F162" i="2"/>
  <c r="C35" i="2"/>
  <c r="B35" i="2"/>
  <c r="I278" i="2"/>
  <c r="D278" i="2"/>
  <c r="J100" i="2"/>
  <c r="C100" i="2"/>
  <c r="B100" i="2"/>
  <c r="AE74" i="7"/>
  <c r="AE74" i="3" s="1"/>
  <c r="AC74" i="7"/>
  <c r="X74" i="7"/>
  <c r="Q74" i="3" s="1"/>
  <c r="C41" i="2"/>
  <c r="B41" i="2"/>
  <c r="J41" i="2"/>
  <c r="I247" i="2"/>
  <c r="D247" i="2"/>
  <c r="C46" i="2"/>
  <c r="B46" i="2"/>
  <c r="J46" i="2"/>
  <c r="J138" i="2"/>
  <c r="C138" i="2"/>
  <c r="B138" i="2"/>
  <c r="AS7" i="3"/>
  <c r="AE49" i="7"/>
  <c r="AE49" i="3" s="1"/>
  <c r="AC49" i="7"/>
  <c r="X49" i="7"/>
  <c r="Q49" i="3" s="1"/>
  <c r="O49" i="3"/>
  <c r="AA67" i="7"/>
  <c r="U67" i="3"/>
  <c r="AC23" i="7"/>
  <c r="X23" i="7"/>
  <c r="Q23" i="3" s="1"/>
  <c r="AE23" i="7"/>
  <c r="AE23" i="3" s="1"/>
  <c r="O23" i="3"/>
  <c r="AE58" i="7"/>
  <c r="AE58" i="3" s="1"/>
  <c r="AC58" i="7"/>
  <c r="X58" i="7"/>
  <c r="Q58" i="3" s="1"/>
  <c r="J77" i="2"/>
  <c r="C77" i="2"/>
  <c r="B77" i="2"/>
  <c r="AN62" i="3"/>
  <c r="AO62" i="3" s="1"/>
  <c r="J82" i="2"/>
  <c r="C82" i="2"/>
  <c r="B82" i="2"/>
  <c r="I253" i="2"/>
  <c r="D253" i="2"/>
  <c r="I217" i="2"/>
  <c r="D217" i="2"/>
  <c r="AA14" i="7"/>
  <c r="U14" i="3"/>
  <c r="AQ5" i="3"/>
  <c r="AO5" i="3"/>
  <c r="J17" i="2"/>
  <c r="C17" i="2"/>
  <c r="B17" i="2"/>
  <c r="J137" i="2"/>
  <c r="C137" i="2"/>
  <c r="B137" i="2"/>
  <c r="C47" i="2"/>
  <c r="B47" i="2"/>
  <c r="I213" i="2"/>
  <c r="D213" i="2"/>
  <c r="E180" i="2"/>
  <c r="F180" i="2"/>
  <c r="AC68" i="7"/>
  <c r="AA68" i="3" s="1"/>
  <c r="X68" i="7"/>
  <c r="Q68" i="3" s="1"/>
  <c r="AE68" i="7"/>
  <c r="X93" i="7"/>
  <c r="Q93" i="3" s="1"/>
  <c r="AE93" i="7"/>
  <c r="AC93" i="7"/>
  <c r="AA93" i="3" s="1"/>
  <c r="O93" i="3"/>
  <c r="AA27" i="7"/>
  <c r="U27" i="3"/>
  <c r="AC11" i="7"/>
  <c r="X11" i="7"/>
  <c r="Q11" i="3" s="1"/>
  <c r="AE11" i="7"/>
  <c r="AE11" i="3" s="1"/>
  <c r="O11" i="3"/>
  <c r="AC24" i="7"/>
  <c r="X24" i="7"/>
  <c r="Q24" i="3" s="1"/>
  <c r="AE24" i="7"/>
  <c r="AE24" i="3" s="1"/>
  <c r="O24" i="3"/>
  <c r="AA16" i="7"/>
  <c r="U16" i="3"/>
  <c r="AE62" i="7"/>
  <c r="AE62" i="3" s="1"/>
  <c r="AC62" i="7"/>
  <c r="X62" i="7"/>
  <c r="Q62" i="3" s="1"/>
  <c r="X22" i="7"/>
  <c r="Q22" i="3" s="1"/>
  <c r="AE22" i="7"/>
  <c r="AE22" i="3" s="1"/>
  <c r="AC22" i="7"/>
  <c r="AC7" i="7"/>
  <c r="X7" i="7"/>
  <c r="Q7" i="3" s="1"/>
  <c r="AE7" i="7"/>
  <c r="AE7" i="3" s="1"/>
  <c r="O7" i="3"/>
  <c r="J21" i="2"/>
  <c r="C21" i="2"/>
  <c r="B21" i="2"/>
  <c r="I195" i="2"/>
  <c r="D195" i="2"/>
  <c r="I259" i="2"/>
  <c r="D259" i="2"/>
  <c r="E348" i="2"/>
  <c r="F348" i="2"/>
  <c r="J90" i="2"/>
  <c r="C90" i="2"/>
  <c r="B90" i="2"/>
  <c r="I226" i="2"/>
  <c r="D226" i="2"/>
  <c r="J115" i="2"/>
  <c r="C115" i="2"/>
  <c r="B115" i="2"/>
  <c r="AA29" i="7"/>
  <c r="U29" i="3"/>
  <c r="AC31" i="7"/>
  <c r="X31" i="7"/>
  <c r="Q31" i="3" s="1"/>
  <c r="AE31" i="7"/>
  <c r="AE31" i="3" s="1"/>
  <c r="O31" i="3"/>
  <c r="AA79" i="7"/>
  <c r="AB79" i="7" s="1"/>
  <c r="AD79" i="7" s="1"/>
  <c r="AF79" i="7" s="1"/>
  <c r="M719" i="10" s="1"/>
  <c r="Q719" i="10" s="1"/>
  <c r="U79" i="3"/>
  <c r="AA18" i="7"/>
  <c r="U18" i="3"/>
  <c r="AS13" i="3"/>
  <c r="J57" i="2"/>
  <c r="C57" i="2"/>
  <c r="B57" i="2"/>
  <c r="J89" i="2"/>
  <c r="C89" i="2"/>
  <c r="B89" i="2"/>
  <c r="I231" i="2"/>
  <c r="D231" i="2"/>
  <c r="J142" i="2"/>
  <c r="C142" i="2"/>
  <c r="B142" i="2"/>
  <c r="E182" i="2"/>
  <c r="F182" i="2"/>
  <c r="AS9" i="3"/>
  <c r="I230" i="2"/>
  <c r="D230" i="2"/>
  <c r="J23" i="2"/>
  <c r="C23" i="2"/>
  <c r="B23" i="2"/>
  <c r="I209" i="2"/>
  <c r="D209" i="2"/>
  <c r="X88" i="7"/>
  <c r="Q88" i="3" s="1"/>
  <c r="AC88" i="7"/>
  <c r="AA88" i="3" s="1"/>
  <c r="AE88" i="7"/>
  <c r="O88" i="3"/>
  <c r="AA97" i="7"/>
  <c r="AB97" i="7" s="1"/>
  <c r="AD97" i="7" s="1"/>
  <c r="AF97" i="7" s="1"/>
  <c r="M737" i="10" s="1"/>
  <c r="Q737" i="10" s="1"/>
  <c r="U97" i="3"/>
  <c r="X20" i="7"/>
  <c r="Q20" i="3" s="1"/>
  <c r="AC20" i="7"/>
  <c r="AE20" i="7"/>
  <c r="AE20" i="3" s="1"/>
  <c r="AN109" i="3"/>
  <c r="AO109" i="3" s="1"/>
  <c r="E133" i="2"/>
  <c r="F133" i="2"/>
  <c r="E334" i="2"/>
  <c r="F334" i="2"/>
  <c r="E304" i="2"/>
  <c r="F304" i="2"/>
  <c r="O22" i="3"/>
  <c r="O62" i="3"/>
  <c r="J98" i="2"/>
  <c r="C98" i="2"/>
  <c r="B98" i="2"/>
  <c r="E147" i="2"/>
  <c r="F147" i="2"/>
  <c r="J92" i="2"/>
  <c r="C92" i="2"/>
  <c r="B92" i="2"/>
  <c r="AA46" i="7"/>
  <c r="U46" i="3"/>
  <c r="AE25" i="7"/>
  <c r="AE25" i="3" s="1"/>
  <c r="AC25" i="7"/>
  <c r="X25" i="7"/>
  <c r="Q25" i="3" s="1"/>
  <c r="O25" i="3"/>
  <c r="AE92" i="7"/>
  <c r="AC92" i="7"/>
  <c r="AA92" i="3" s="1"/>
  <c r="X92" i="7"/>
  <c r="Q92" i="3" s="1"/>
  <c r="AE100" i="7"/>
  <c r="X100" i="7"/>
  <c r="AC100" i="7"/>
  <c r="AA100" i="3" s="1"/>
  <c r="I349" i="2"/>
  <c r="D349" i="2"/>
  <c r="I239" i="2"/>
  <c r="D239" i="2"/>
  <c r="I272" i="2"/>
  <c r="D272" i="2"/>
  <c r="I241" i="2"/>
  <c r="D241" i="2"/>
  <c r="J95" i="2"/>
  <c r="C95" i="2"/>
  <c r="B95" i="2"/>
  <c r="I205" i="2"/>
  <c r="D205" i="2"/>
  <c r="Y96" i="1"/>
  <c r="Z96" i="1" s="1"/>
  <c r="D96" i="1" s="1"/>
  <c r="F96" i="1" s="1"/>
  <c r="J124" i="2"/>
  <c r="C124" i="2"/>
  <c r="B124" i="2"/>
  <c r="AA87" i="7"/>
  <c r="AB87" i="7" s="1"/>
  <c r="U87" i="3"/>
  <c r="AE33" i="7"/>
  <c r="AE33" i="3" s="1"/>
  <c r="AC33" i="7"/>
  <c r="X33" i="7"/>
  <c r="Q33" i="3" s="1"/>
  <c r="O33" i="3"/>
  <c r="I280" i="2"/>
  <c r="D280" i="2"/>
  <c r="C42" i="2"/>
  <c r="B42" i="2"/>
  <c r="I355" i="2"/>
  <c r="D355" i="2"/>
  <c r="E279" i="2"/>
  <c r="F279" i="2"/>
  <c r="I270" i="2"/>
  <c r="D270" i="2"/>
  <c r="AE41" i="7"/>
  <c r="AC41" i="7"/>
  <c r="AA41" i="3" s="1"/>
  <c r="X41" i="7"/>
  <c r="Q41" i="3" s="1"/>
  <c r="O41" i="3"/>
  <c r="AA50" i="7"/>
  <c r="U50" i="3"/>
  <c r="I216" i="2"/>
  <c r="D216" i="2"/>
  <c r="E359" i="2"/>
  <c r="F359" i="2"/>
  <c r="AN25" i="3"/>
  <c r="AO25" i="3" s="1"/>
  <c r="J71" i="2"/>
  <c r="C71" i="2"/>
  <c r="B71" i="2"/>
  <c r="I313" i="2"/>
  <c r="D313" i="2"/>
  <c r="I221" i="2"/>
  <c r="D221" i="2"/>
  <c r="J8" i="2"/>
  <c r="C8" i="2"/>
  <c r="B8" i="2"/>
  <c r="J144" i="2"/>
  <c r="C144" i="2"/>
  <c r="B144" i="2"/>
  <c r="AE67" i="7"/>
  <c r="X67" i="7"/>
  <c r="Q67" i="3" s="1"/>
  <c r="AC67" i="7"/>
  <c r="AA67" i="3" s="1"/>
  <c r="AA23" i="7"/>
  <c r="U23" i="3"/>
  <c r="AN45" i="3"/>
  <c r="AO45" i="3" s="1"/>
  <c r="E303" i="2"/>
  <c r="F303" i="2"/>
  <c r="J50" i="2"/>
  <c r="C50" i="2"/>
  <c r="B50" i="2"/>
  <c r="J107" i="2"/>
  <c r="C107" i="2"/>
  <c r="B107" i="2"/>
  <c r="J76" i="2"/>
  <c r="C76" i="2"/>
  <c r="B76" i="2"/>
  <c r="I244" i="2"/>
  <c r="D244" i="2"/>
  <c r="AA57" i="7"/>
  <c r="U57" i="3"/>
  <c r="E338" i="2"/>
  <c r="F338" i="2"/>
  <c r="E335" i="2"/>
  <c r="F335" i="2"/>
  <c r="E351" i="2"/>
  <c r="F351" i="2"/>
  <c r="J118" i="2"/>
  <c r="C118" i="2"/>
  <c r="B118" i="2"/>
  <c r="E175" i="2"/>
  <c r="F175" i="2"/>
  <c r="J112" i="2"/>
  <c r="C112" i="2"/>
  <c r="B112" i="2"/>
  <c r="AA93" i="7"/>
  <c r="U93" i="3"/>
  <c r="AA51" i="7"/>
  <c r="U51" i="3"/>
  <c r="AC35" i="7"/>
  <c r="X35" i="7"/>
  <c r="Q35" i="3" s="1"/>
  <c r="AE35" i="7"/>
  <c r="AE35" i="3" s="1"/>
  <c r="O35" i="3"/>
  <c r="AC48" i="7"/>
  <c r="X48" i="7"/>
  <c r="Q48" i="3" s="1"/>
  <c r="AE48" i="7"/>
  <c r="AE48" i="3" s="1"/>
  <c r="AA40" i="7"/>
  <c r="U40" i="3"/>
  <c r="AA22" i="7"/>
  <c r="U22" i="3"/>
  <c r="AA7" i="7"/>
  <c r="U7" i="3"/>
  <c r="AN115" i="3"/>
  <c r="AO115" i="3" s="1"/>
  <c r="E181" i="2"/>
  <c r="F181" i="2"/>
  <c r="E358" i="2"/>
  <c r="F358" i="2"/>
  <c r="J58" i="2"/>
  <c r="C58" i="2"/>
  <c r="B58" i="2"/>
  <c r="J84" i="2"/>
  <c r="C84" i="2"/>
  <c r="B84" i="2"/>
  <c r="X81" i="7"/>
  <c r="Q81" i="3" s="1"/>
  <c r="AC81" i="7"/>
  <c r="AE81" i="7"/>
  <c r="AE81" i="3" s="1"/>
  <c r="O81" i="3"/>
  <c r="X30" i="7"/>
  <c r="Q30" i="3" s="1"/>
  <c r="AE30" i="7"/>
  <c r="AE30" i="3" s="1"/>
  <c r="AC30" i="7"/>
  <c r="AE29" i="7"/>
  <c r="AE29" i="3" s="1"/>
  <c r="X29" i="7"/>
  <c r="Q29" i="3" s="1"/>
  <c r="AC29" i="7"/>
  <c r="O29" i="3"/>
  <c r="AA31" i="7"/>
  <c r="U31" i="3"/>
  <c r="AA26" i="7"/>
  <c r="U26" i="3"/>
  <c r="X79" i="7"/>
  <c r="Q79" i="3" s="1"/>
  <c r="AE79" i="7"/>
  <c r="AE79" i="3" s="1"/>
  <c r="AC79" i="7"/>
  <c r="AE18" i="7"/>
  <c r="AE18" i="3" s="1"/>
  <c r="AC18" i="7"/>
  <c r="X18" i="7"/>
  <c r="Q18" i="3" s="1"/>
  <c r="I341" i="2"/>
  <c r="D341" i="2"/>
  <c r="E302" i="2"/>
  <c r="F302" i="2"/>
  <c r="AS41" i="3"/>
  <c r="V119" i="1"/>
  <c r="J120" i="2"/>
  <c r="C120" i="2"/>
  <c r="B120" i="2"/>
  <c r="E168" i="2"/>
  <c r="F168" i="2"/>
  <c r="AE84" i="7"/>
  <c r="AC84" i="7"/>
  <c r="AA84" i="3" s="1"/>
  <c r="X84" i="7"/>
  <c r="Q84" i="3" s="1"/>
  <c r="O84" i="3"/>
  <c r="AA37" i="7"/>
  <c r="AB37" i="7" s="1"/>
  <c r="AD37" i="7" s="1"/>
  <c r="AF37" i="7" s="1"/>
  <c r="M677" i="10" s="1"/>
  <c r="Q677" i="10" s="1"/>
  <c r="U37" i="3"/>
  <c r="AA20" i="7"/>
  <c r="U20" i="3"/>
  <c r="J61" i="2"/>
  <c r="C61" i="2"/>
  <c r="B61" i="2"/>
  <c r="O28" i="3"/>
  <c r="O74" i="3"/>
  <c r="I261" i="2"/>
  <c r="D261" i="2"/>
  <c r="J66" i="2"/>
  <c r="C66" i="2"/>
  <c r="B66" i="2"/>
  <c r="J27" i="2"/>
  <c r="C27" i="2"/>
  <c r="B27" i="2"/>
  <c r="I254" i="2"/>
  <c r="D254" i="2"/>
  <c r="X94" i="7"/>
  <c r="Q94" i="3" s="1"/>
  <c r="AE94" i="7"/>
  <c r="AC94" i="7"/>
  <c r="AA94" i="3" s="1"/>
  <c r="AA75" i="7"/>
  <c r="U75" i="3"/>
  <c r="AA69" i="7"/>
  <c r="U69" i="3"/>
  <c r="E292" i="2"/>
  <c r="F292" i="2"/>
  <c r="I194" i="2"/>
  <c r="D194" i="2"/>
  <c r="J70" i="2"/>
  <c r="C70" i="2"/>
  <c r="B70" i="2"/>
  <c r="I256" i="2"/>
  <c r="D256" i="2"/>
  <c r="AE87" i="7"/>
  <c r="AC87" i="7"/>
  <c r="AA87" i="3" s="1"/>
  <c r="X87" i="7"/>
  <c r="Q87" i="3" s="1"/>
  <c r="O87" i="3"/>
  <c r="I281" i="2"/>
  <c r="D281" i="2"/>
  <c r="E342" i="2"/>
  <c r="F342" i="2"/>
  <c r="I265" i="2"/>
  <c r="D265" i="2"/>
  <c r="AA107" i="7"/>
  <c r="AB107" i="7" s="1"/>
  <c r="AD107" i="7" s="1"/>
  <c r="AF107" i="7" s="1"/>
  <c r="M747" i="10" s="1"/>
  <c r="Q747" i="10" s="1"/>
  <c r="U107" i="3"/>
  <c r="X109" i="7"/>
  <c r="AE109" i="7"/>
  <c r="AC109" i="7"/>
  <c r="X60" i="7"/>
  <c r="Q60" i="3" s="1"/>
  <c r="AE60" i="7"/>
  <c r="AE60" i="3" s="1"/>
  <c r="AC60" i="7"/>
  <c r="AE50" i="7"/>
  <c r="AE50" i="3" s="1"/>
  <c r="AC50" i="7"/>
  <c r="X50" i="7"/>
  <c r="Q50" i="3" s="1"/>
  <c r="J9" i="2"/>
  <c r="C9" i="2"/>
  <c r="B9" i="2"/>
  <c r="J129" i="2"/>
  <c r="C129" i="2"/>
  <c r="B129" i="2"/>
  <c r="J14" i="2"/>
  <c r="C14" i="2"/>
  <c r="B14" i="2"/>
  <c r="J126" i="2"/>
  <c r="C126" i="2"/>
  <c r="B126" i="2"/>
  <c r="E155" i="2"/>
  <c r="F155" i="2"/>
  <c r="E160" i="2"/>
  <c r="F160" i="2"/>
  <c r="I248" i="2"/>
  <c r="D248" i="2"/>
  <c r="AC112" i="7"/>
  <c r="AE112" i="7"/>
  <c r="X112" i="7"/>
  <c r="X36" i="7"/>
  <c r="Q36" i="3" s="1"/>
  <c r="AC36" i="7"/>
  <c r="AE36" i="7"/>
  <c r="AE36" i="3" s="1"/>
  <c r="C45" i="2"/>
  <c r="B45" i="2"/>
  <c r="J45" i="2"/>
  <c r="I251" i="2"/>
  <c r="D251" i="2"/>
  <c r="I266" i="2"/>
  <c r="D266" i="2"/>
  <c r="E179" i="2"/>
  <c r="F179" i="2"/>
  <c r="AE108" i="7"/>
  <c r="X108" i="7"/>
  <c r="AC108" i="7"/>
  <c r="AA13" i="7"/>
  <c r="U13" i="3"/>
  <c r="U5" i="3"/>
  <c r="I228" i="2"/>
  <c r="D228" i="2"/>
  <c r="J113" i="2"/>
  <c r="C113" i="2"/>
  <c r="B113" i="2"/>
  <c r="I193" i="2"/>
  <c r="D193" i="2"/>
  <c r="I255" i="2"/>
  <c r="D255" i="2"/>
  <c r="J15" i="2"/>
  <c r="C15" i="2"/>
  <c r="B15" i="2"/>
  <c r="AE101" i="7"/>
  <c r="AE101" i="3" s="1"/>
  <c r="AC101" i="7"/>
  <c r="X101" i="7"/>
  <c r="O101" i="3"/>
  <c r="AA68" i="7"/>
  <c r="U68" i="3"/>
  <c r="AA11" i="7"/>
  <c r="U11" i="3"/>
  <c r="AC8" i="7"/>
  <c r="AA8" i="3" s="1"/>
  <c r="X8" i="7"/>
  <c r="Q8" i="3" s="1"/>
  <c r="AE8" i="7"/>
  <c r="AE8" i="3" s="1"/>
  <c r="X12" i="7"/>
  <c r="Q12" i="3" s="1"/>
  <c r="AC12" i="7"/>
  <c r="AA12" i="3" s="1"/>
  <c r="AE12" i="7"/>
  <c r="AE12" i="3" s="1"/>
  <c r="AQ119" i="3"/>
  <c r="J117" i="2"/>
  <c r="C117" i="2"/>
  <c r="B117" i="2"/>
  <c r="J83" i="2"/>
  <c r="C83" i="2"/>
  <c r="B83" i="2"/>
  <c r="I305" i="2"/>
  <c r="D305" i="2"/>
  <c r="AS39" i="3"/>
  <c r="U116" i="1"/>
  <c r="I289" i="2"/>
  <c r="D289" i="2"/>
  <c r="AA73" i="7"/>
  <c r="U73" i="3"/>
  <c r="AA61" i="7"/>
  <c r="U61" i="3"/>
  <c r="AA30" i="7"/>
  <c r="U30" i="3"/>
  <c r="X103" i="7"/>
  <c r="AC103" i="7"/>
  <c r="AE103" i="7"/>
  <c r="AE26" i="7"/>
  <c r="AE26" i="3" s="1"/>
  <c r="AC26" i="7"/>
  <c r="X26" i="7"/>
  <c r="Q26" i="3" s="1"/>
  <c r="AS37" i="3"/>
  <c r="I293" i="2"/>
  <c r="D293" i="2"/>
  <c r="Y94" i="1"/>
  <c r="Z94" i="1" s="1"/>
  <c r="D94" i="1" s="1"/>
  <c r="F94" i="1" s="1"/>
  <c r="J94" i="2"/>
  <c r="C94" i="2"/>
  <c r="B94" i="2"/>
  <c r="J119" i="2"/>
  <c r="C119" i="2"/>
  <c r="B119" i="2"/>
  <c r="AN117" i="3"/>
  <c r="AO117" i="3" s="1"/>
  <c r="AN111" i="3"/>
  <c r="AO111" i="3" s="1"/>
  <c r="X38" i="7"/>
  <c r="Q38" i="3" s="1"/>
  <c r="AE38" i="7"/>
  <c r="AE38" i="3" s="1"/>
  <c r="AC38" i="7"/>
  <c r="AE37" i="7"/>
  <c r="AE37" i="3" s="1"/>
  <c r="X37" i="7"/>
  <c r="Q37" i="3" s="1"/>
  <c r="AC37" i="7"/>
  <c r="E316" i="2"/>
  <c r="F316" i="2"/>
  <c r="O60" i="3"/>
  <c r="O14" i="3"/>
  <c r="AA98" i="7"/>
  <c r="AB98" i="7" s="1"/>
  <c r="AD98" i="7" s="1"/>
  <c r="AF98" i="7" s="1"/>
  <c r="M738" i="10" s="1"/>
  <c r="Q738" i="10" s="1"/>
  <c r="U98" i="3"/>
  <c r="AA94" i="7"/>
  <c r="U94" i="3"/>
  <c r="X75" i="7"/>
  <c r="Q75" i="3" s="1"/>
  <c r="AE75" i="7"/>
  <c r="AE75" i="3" s="1"/>
  <c r="AC75" i="7"/>
  <c r="X69" i="7"/>
  <c r="Q69" i="3" s="1"/>
  <c r="AE69" i="7"/>
  <c r="AE69" i="3" s="1"/>
  <c r="AC69" i="7"/>
  <c r="O69" i="3"/>
  <c r="I220" i="2"/>
  <c r="D220" i="2"/>
  <c r="J65" i="2"/>
  <c r="C65" i="2"/>
  <c r="B65" i="2"/>
  <c r="J97" i="2"/>
  <c r="C97" i="2"/>
  <c r="B97" i="2"/>
  <c r="J153" i="2"/>
  <c r="C153" i="2"/>
  <c r="B153" i="2"/>
  <c r="I333" i="2"/>
  <c r="D333" i="2"/>
  <c r="J63" i="2"/>
  <c r="C63" i="2"/>
  <c r="B63" i="2"/>
  <c r="J96" i="2"/>
  <c r="C96" i="2"/>
  <c r="B96" i="2"/>
  <c r="AC119" i="7"/>
  <c r="X119" i="7"/>
  <c r="Q119" i="3" s="1"/>
  <c r="AE119" i="7"/>
  <c r="AA42" i="7"/>
  <c r="U42" i="3"/>
  <c r="J10" i="2"/>
  <c r="C10" i="2"/>
  <c r="B10" i="2"/>
  <c r="I210" i="2"/>
  <c r="D210" i="2"/>
  <c r="O66" i="3"/>
  <c r="AA60" i="7"/>
  <c r="U60" i="3"/>
  <c r="X95" i="7"/>
  <c r="Q95" i="3" s="1"/>
  <c r="AC95" i="7"/>
  <c r="AA95" i="3" s="1"/>
  <c r="AE95" i="7"/>
  <c r="O95" i="3"/>
  <c r="AA34" i="7"/>
  <c r="U34" i="3"/>
  <c r="I273" i="2"/>
  <c r="D273" i="2"/>
  <c r="C39" i="2"/>
  <c r="B39" i="2"/>
  <c r="AN47" i="3"/>
  <c r="AO47" i="3" s="1"/>
  <c r="J104" i="2"/>
  <c r="C104" i="2"/>
  <c r="B104" i="2"/>
  <c r="AE77" i="7"/>
  <c r="AC77" i="7"/>
  <c r="AA77" i="3" s="1"/>
  <c r="X77" i="7"/>
  <c r="Q77" i="3" s="1"/>
  <c r="O77" i="3"/>
  <c r="AA36" i="7"/>
  <c r="U36" i="3"/>
  <c r="J75" i="2"/>
  <c r="C75" i="2"/>
  <c r="B75" i="2"/>
  <c r="C44" i="2"/>
  <c r="B44" i="2"/>
  <c r="J44" i="2"/>
  <c r="J650" i="10"/>
  <c r="H650" i="10"/>
  <c r="AE57" i="7"/>
  <c r="AC57" i="7"/>
  <c r="AA57" i="3" s="1"/>
  <c r="X57" i="7"/>
  <c r="Q57" i="3" s="1"/>
  <c r="O57" i="3"/>
  <c r="AE13" i="7"/>
  <c r="AE13" i="3" s="1"/>
  <c r="X13" i="7"/>
  <c r="Q13" i="3" s="1"/>
  <c r="AC13" i="7"/>
  <c r="O13" i="3"/>
  <c r="AC5" i="3"/>
  <c r="E323" i="2"/>
  <c r="F323" i="2"/>
  <c r="J86" i="2"/>
  <c r="C86" i="2"/>
  <c r="B86" i="2"/>
  <c r="AQ97" i="3"/>
  <c r="I222" i="2"/>
  <c r="D222" i="2"/>
  <c r="AS117" i="3"/>
  <c r="AN90" i="3"/>
  <c r="AO90" i="3" s="1"/>
  <c r="J80" i="2"/>
  <c r="C80" i="2"/>
  <c r="B80" i="2"/>
  <c r="I240" i="2"/>
  <c r="D240" i="2"/>
  <c r="AC76" i="7"/>
  <c r="AA76" i="3" s="1"/>
  <c r="X76" i="7"/>
  <c r="Q76" i="3" s="1"/>
  <c r="AE76" i="7"/>
  <c r="O76" i="3"/>
  <c r="AA70" i="7"/>
  <c r="U70" i="3"/>
  <c r="AA35" i="7"/>
  <c r="U35" i="3"/>
  <c r="AC19" i="7"/>
  <c r="X19" i="7"/>
  <c r="Q19" i="3" s="1"/>
  <c r="AE19" i="7"/>
  <c r="AE19" i="3" s="1"/>
  <c r="O19" i="3"/>
  <c r="AC32" i="7"/>
  <c r="X32" i="7"/>
  <c r="Q32" i="3" s="1"/>
  <c r="AE32" i="7"/>
  <c r="AE32" i="3" s="1"/>
  <c r="AA24" i="7"/>
  <c r="U24" i="3"/>
  <c r="AA86" i="7"/>
  <c r="AB86" i="7" s="1"/>
  <c r="U86" i="3"/>
  <c r="AE82" i="7"/>
  <c r="AC82" i="7"/>
  <c r="AA82" i="3" s="1"/>
  <c r="X82" i="7"/>
  <c r="Q82" i="3" s="1"/>
  <c r="AA12" i="7"/>
  <c r="U12" i="3"/>
  <c r="E287" i="2"/>
  <c r="F287" i="2"/>
  <c r="E296" i="2"/>
  <c r="F296" i="2"/>
  <c r="I198" i="2"/>
  <c r="D198" i="2"/>
  <c r="X115" i="1"/>
  <c r="Y115" i="1" s="1"/>
  <c r="Z115" i="1" s="1"/>
  <c r="D115" i="1" s="1"/>
  <c r="F115" i="1" s="1"/>
  <c r="AQ7" i="3"/>
  <c r="AS90" i="3"/>
  <c r="I236" i="2"/>
  <c r="D236" i="2"/>
  <c r="AE61" i="7"/>
  <c r="AE61" i="3" s="1"/>
  <c r="AC61" i="7"/>
  <c r="X61" i="7"/>
  <c r="Q61" i="3" s="1"/>
  <c r="O61" i="3"/>
  <c r="AA9" i="7"/>
  <c r="U9" i="3"/>
  <c r="I224" i="2"/>
  <c r="D224" i="2"/>
  <c r="E346" i="2"/>
  <c r="F346" i="2"/>
  <c r="I274" i="2"/>
  <c r="D274" i="2"/>
  <c r="I233" i="2"/>
  <c r="D233" i="2"/>
  <c r="E167" i="2"/>
  <c r="F167" i="2"/>
  <c r="I325" i="2"/>
  <c r="D325" i="2"/>
  <c r="AN23" i="3"/>
  <c r="AO23" i="3" s="1"/>
  <c r="AQ90" i="3"/>
  <c r="J88" i="2"/>
  <c r="C88" i="2"/>
  <c r="B88" i="2"/>
  <c r="AA38" i="7"/>
  <c r="U38" i="3"/>
  <c r="X52" i="7"/>
  <c r="Q52" i="3" s="1"/>
  <c r="AC52" i="7"/>
  <c r="AA52" i="3" s="1"/>
  <c r="AE52" i="7"/>
  <c r="AE52" i="3" s="1"/>
  <c r="O52" i="3"/>
  <c r="J29" i="2"/>
  <c r="C29" i="2"/>
  <c r="B29" i="2"/>
  <c r="I203" i="2"/>
  <c r="D203" i="2"/>
  <c r="I264" i="2"/>
  <c r="D264" i="2"/>
  <c r="O30" i="3"/>
  <c r="O68" i="3"/>
  <c r="O36" i="3"/>
  <c r="O58" i="3"/>
  <c r="AC114" i="7"/>
  <c r="X114" i="7"/>
  <c r="AE114" i="7"/>
  <c r="AH114" i="7"/>
  <c r="AF113" i="4" s="1"/>
  <c r="AT114" i="3" s="1"/>
  <c r="AA115" i="1" s="1"/>
  <c r="O59" i="3"/>
  <c r="AE98" i="7"/>
  <c r="X98" i="7"/>
  <c r="AC98" i="7"/>
  <c r="AA98" i="3" s="1"/>
  <c r="AA92" i="7"/>
  <c r="U92" i="3"/>
  <c r="AC15" i="7"/>
  <c r="AA15" i="3" s="1"/>
  <c r="X15" i="7"/>
  <c r="Q15" i="3" s="1"/>
  <c r="AE15" i="7"/>
  <c r="AE15" i="3" s="1"/>
  <c r="O15" i="3"/>
  <c r="AA59" i="7"/>
  <c r="U59" i="3"/>
  <c r="AN27" i="3"/>
  <c r="AO27" i="3" s="1"/>
  <c r="Y38" i="1"/>
  <c r="Z38" i="1" s="1"/>
  <c r="D38" i="1" s="1"/>
  <c r="F38" i="1" s="1"/>
  <c r="C38" i="2"/>
  <c r="B38" i="2"/>
  <c r="J146" i="2"/>
  <c r="C146" i="2"/>
  <c r="B146" i="2"/>
  <c r="Y95" i="1"/>
  <c r="Z95" i="1" s="1"/>
  <c r="D95" i="1" s="1"/>
  <c r="F95" i="1" s="1"/>
  <c r="I258" i="2"/>
  <c r="D258" i="2"/>
  <c r="AA66" i="7"/>
  <c r="U66" i="3"/>
  <c r="AA53" i="7"/>
  <c r="U53" i="3"/>
  <c r="AC39" i="7"/>
  <c r="X39" i="7"/>
  <c r="Q39" i="3" s="1"/>
  <c r="AE39" i="7"/>
  <c r="AE39" i="3" s="1"/>
  <c r="AE42" i="7"/>
  <c r="AE42" i="3" s="1"/>
  <c r="AC42" i="7"/>
  <c r="X42" i="7"/>
  <c r="Q42" i="3" s="1"/>
  <c r="I317" i="2"/>
  <c r="D317" i="2"/>
  <c r="J101" i="2"/>
  <c r="C101" i="2"/>
  <c r="B101" i="2"/>
  <c r="I211" i="2"/>
  <c r="D211" i="2"/>
  <c r="I268" i="2"/>
  <c r="D268" i="2"/>
  <c r="E291" i="2"/>
  <c r="F291" i="2"/>
  <c r="J99" i="2"/>
  <c r="C99" i="2"/>
  <c r="B99" i="2"/>
  <c r="B36" i="2"/>
  <c r="C36" i="2"/>
  <c r="I321" i="2"/>
  <c r="D321" i="2"/>
  <c r="AA95" i="7"/>
  <c r="AB95" i="7" s="1"/>
  <c r="AD95" i="7" s="1"/>
  <c r="AF95" i="7" s="1"/>
  <c r="M735" i="10" s="1"/>
  <c r="Q735" i="10" s="1"/>
  <c r="U95" i="3"/>
  <c r="AE34" i="7"/>
  <c r="AC34" i="7"/>
  <c r="AA34" i="3" s="1"/>
  <c r="X34" i="7"/>
  <c r="Q34" i="3" s="1"/>
  <c r="J105" i="2"/>
  <c r="C105" i="2"/>
  <c r="B105" i="2"/>
  <c r="I215" i="2"/>
  <c r="D215" i="2"/>
  <c r="J110" i="2"/>
  <c r="C110" i="2"/>
  <c r="B110" i="2"/>
  <c r="I249" i="2"/>
  <c r="D249" i="2"/>
  <c r="Y71" i="1"/>
  <c r="Z71" i="1" s="1"/>
  <c r="D71" i="1" s="1"/>
  <c r="F71" i="1" s="1"/>
  <c r="E183" i="2"/>
  <c r="F183" i="2"/>
  <c r="AS47" i="3"/>
  <c r="I201" i="2"/>
  <c r="D201" i="2"/>
  <c r="I277" i="2"/>
  <c r="D277" i="2"/>
  <c r="E176" i="2"/>
  <c r="F176" i="2"/>
  <c r="X6" i="7"/>
  <c r="Q6" i="3" s="1"/>
  <c r="AE6" i="7"/>
  <c r="AE6" i="3" s="1"/>
  <c r="AC6" i="7"/>
  <c r="AA6" i="3" s="1"/>
  <c r="AE5" i="7"/>
  <c r="X5" i="7"/>
  <c r="Q5" i="3" s="1"/>
  <c r="AC5" i="7"/>
  <c r="AA5" i="3" s="1"/>
  <c r="I345" i="2"/>
  <c r="D345" i="2"/>
  <c r="J13" i="2"/>
  <c r="C13" i="2"/>
  <c r="B13" i="2"/>
  <c r="I301" i="2"/>
  <c r="D301" i="2"/>
  <c r="J18" i="2"/>
  <c r="C18" i="2"/>
  <c r="B18" i="2"/>
  <c r="AN41" i="3"/>
  <c r="AO41" i="3" s="1"/>
  <c r="Y107" i="1"/>
  <c r="Z107" i="1" s="1"/>
  <c r="D107" i="1" s="1"/>
  <c r="F107" i="1" s="1"/>
  <c r="O5" i="3"/>
  <c r="Y5" i="3"/>
  <c r="J49" i="2"/>
  <c r="C49" i="2"/>
  <c r="B49" i="2"/>
  <c r="J81" i="2"/>
  <c r="C81" i="2"/>
  <c r="B81" i="2"/>
  <c r="I257" i="2"/>
  <c r="D257" i="2"/>
  <c r="AS25" i="3"/>
  <c r="J111" i="2"/>
  <c r="C111" i="2"/>
  <c r="B111" i="2"/>
  <c r="AA76" i="7"/>
  <c r="U76" i="3"/>
  <c r="AE70" i="7"/>
  <c r="AE70" i="3" s="1"/>
  <c r="X70" i="7"/>
  <c r="Q70" i="3" s="1"/>
  <c r="AC70" i="7"/>
  <c r="AC43" i="7"/>
  <c r="X43" i="7"/>
  <c r="Q43" i="3" s="1"/>
  <c r="AE43" i="7"/>
  <c r="AE43" i="3" s="1"/>
  <c r="O43" i="3"/>
  <c r="AC56" i="7"/>
  <c r="AA56" i="3" s="1"/>
  <c r="X56" i="7"/>
  <c r="Q56" i="3" s="1"/>
  <c r="AE56" i="7"/>
  <c r="AA48" i="7"/>
  <c r="U48" i="3"/>
  <c r="X86" i="7"/>
  <c r="Q86" i="3" s="1"/>
  <c r="AE86" i="7"/>
  <c r="AC86" i="7"/>
  <c r="AA86" i="3" s="1"/>
  <c r="AA62" i="7"/>
  <c r="U62" i="3"/>
  <c r="X64" i="7"/>
  <c r="Q64" i="3" s="1"/>
  <c r="AC64" i="7"/>
  <c r="AE64" i="7"/>
  <c r="AE64" i="3" s="1"/>
  <c r="AN13" i="3"/>
  <c r="AO13" i="3" s="1"/>
  <c r="J85" i="2"/>
  <c r="C85" i="2"/>
  <c r="B85" i="2"/>
  <c r="I227" i="2"/>
  <c r="D227" i="2"/>
  <c r="J26" i="2"/>
  <c r="C26" i="2"/>
  <c r="B26" i="2"/>
  <c r="AQ113" i="3"/>
  <c r="J51" i="2"/>
  <c r="C51" i="2"/>
  <c r="B51" i="2"/>
  <c r="T115" i="1"/>
  <c r="V116" i="1"/>
  <c r="AC96" i="7"/>
  <c r="AE96" i="7"/>
  <c r="X96" i="7"/>
  <c r="Q96" i="3" s="1"/>
  <c r="AA83" i="7"/>
  <c r="U83" i="3"/>
  <c r="AE113" i="7"/>
  <c r="AC113" i="7"/>
  <c r="X113" i="7"/>
  <c r="Q113" i="3" s="1"/>
  <c r="O113" i="3"/>
  <c r="J25" i="2"/>
  <c r="C25" i="2"/>
  <c r="B25" i="2"/>
  <c r="I199" i="2"/>
  <c r="D199" i="2"/>
  <c r="I263" i="2"/>
  <c r="D263" i="2"/>
  <c r="J62" i="2"/>
  <c r="C62" i="2"/>
  <c r="B62" i="2"/>
  <c r="J6" i="2"/>
  <c r="C6" i="2"/>
  <c r="B6" i="2"/>
  <c r="J87" i="2"/>
  <c r="C87" i="2"/>
  <c r="B87" i="2"/>
  <c r="O26" i="3"/>
  <c r="AA88" i="7"/>
  <c r="AB88" i="7" s="1"/>
  <c r="AD88" i="7" s="1"/>
  <c r="AF88" i="7" s="1"/>
  <c r="M728" i="10" s="1"/>
  <c r="Q728" i="10" s="1"/>
  <c r="U88" i="3"/>
  <c r="X71" i="7"/>
  <c r="Q71" i="3" s="1"/>
  <c r="AE71" i="7"/>
  <c r="AE71" i="3" s="1"/>
  <c r="AC71" i="7"/>
  <c r="O71" i="3"/>
  <c r="AA17" i="7"/>
  <c r="U17" i="3"/>
  <c r="AA84" i="7"/>
  <c r="U84" i="3"/>
  <c r="AA52" i="7"/>
  <c r="U52" i="3"/>
  <c r="I282" i="2"/>
  <c r="D282" i="2"/>
  <c r="E340" i="2"/>
  <c r="F340" i="2"/>
  <c r="O100" i="3"/>
  <c r="AA78" i="7"/>
  <c r="U78" i="3"/>
  <c r="O46" i="3"/>
  <c r="O40" i="3"/>
  <c r="AC117" i="7"/>
  <c r="X117" i="7"/>
  <c r="AH117" i="7"/>
  <c r="AF116" i="4" s="1"/>
  <c r="AT117" i="3" s="1"/>
  <c r="AA118" i="1" s="1"/>
  <c r="AE117" i="7"/>
  <c r="AA15" i="7"/>
  <c r="U15" i="3"/>
  <c r="X72" i="7"/>
  <c r="Q72" i="3" s="1"/>
  <c r="AC72" i="7"/>
  <c r="AE72" i="7"/>
  <c r="AE72" i="3" s="1"/>
  <c r="O72" i="3"/>
  <c r="I207" i="2"/>
  <c r="D207" i="2"/>
  <c r="I267" i="2"/>
  <c r="D267" i="2"/>
  <c r="AS78" i="3"/>
  <c r="J31" i="2"/>
  <c r="C31" i="2"/>
  <c r="B31" i="2"/>
  <c r="E188" i="2"/>
  <c r="F188" i="2"/>
  <c r="X54" i="7"/>
  <c r="Q54" i="3" s="1"/>
  <c r="AE54" i="7"/>
  <c r="AE54" i="3" s="1"/>
  <c r="AC54" i="7"/>
  <c r="AA54" i="3" s="1"/>
  <c r="AE53" i="7"/>
  <c r="AE53" i="3" s="1"/>
  <c r="X53" i="7"/>
  <c r="Q53" i="3" s="1"/>
  <c r="AC53" i="7"/>
  <c r="AA53" i="3" s="1"/>
  <c r="O53" i="3"/>
  <c r="AA39" i="7"/>
  <c r="U39" i="3"/>
  <c r="J106" i="2"/>
  <c r="C106" i="2"/>
  <c r="B106" i="2"/>
  <c r="I245" i="2"/>
  <c r="D245" i="2"/>
  <c r="E131" i="2"/>
  <c r="F131" i="2"/>
  <c r="I252" i="2"/>
  <c r="D252" i="2"/>
  <c r="AC99" i="7"/>
  <c r="AA99" i="3" s="1"/>
  <c r="X99" i="7"/>
  <c r="Q99" i="3" s="1"/>
  <c r="AE99" i="7"/>
  <c r="AA106" i="7"/>
  <c r="U106" i="3"/>
  <c r="AA74" i="7"/>
  <c r="AB74" i="7" s="1"/>
  <c r="AD74" i="7" s="1"/>
  <c r="AF74" i="7" s="1"/>
  <c r="M714" i="10" s="1"/>
  <c r="Q714" i="10" s="1"/>
  <c r="U74" i="3"/>
  <c r="I200" i="2"/>
  <c r="D200" i="2"/>
  <c r="J7" i="2"/>
  <c r="C7" i="2"/>
  <c r="B7" i="2"/>
  <c r="I234" i="2"/>
  <c r="D234" i="2"/>
  <c r="J72" i="2"/>
  <c r="C72" i="2"/>
  <c r="B72" i="2"/>
  <c r="AA6" i="7"/>
  <c r="U6" i="3"/>
  <c r="E324" i="2"/>
  <c r="F324" i="2"/>
  <c r="AS49" i="3"/>
  <c r="AS73" i="3"/>
  <c r="I218" i="2"/>
  <c r="D218" i="2"/>
  <c r="C43" i="2"/>
  <c r="B43" i="2"/>
  <c r="J43" i="2"/>
  <c r="I238" i="2"/>
  <c r="D238" i="2"/>
  <c r="J12" i="2"/>
  <c r="C12" i="2"/>
  <c r="B12" i="2"/>
  <c r="J136" i="2"/>
  <c r="C136" i="2"/>
  <c r="B136" i="2"/>
  <c r="AC47" i="7"/>
  <c r="X47" i="7"/>
  <c r="Q47" i="3" s="1"/>
  <c r="AE47" i="7"/>
  <c r="AE47" i="3" s="1"/>
  <c r="O47" i="3"/>
  <c r="W5" i="3"/>
  <c r="AJ5" i="3"/>
  <c r="AK5" i="3" s="1"/>
  <c r="AH5" i="3"/>
  <c r="AI5" i="3" s="1"/>
  <c r="AF5" i="3"/>
  <c r="AS5" i="3" s="1"/>
  <c r="AL5" i="3"/>
  <c r="AM5" i="3" s="1"/>
  <c r="E327" i="2"/>
  <c r="F327" i="2"/>
  <c r="J54" i="2"/>
  <c r="C54" i="2"/>
  <c r="B54" i="2"/>
  <c r="J150" i="2"/>
  <c r="C150" i="2"/>
  <c r="B150" i="2"/>
  <c r="AN33" i="3"/>
  <c r="AO33" i="3" s="1"/>
  <c r="E127" i="2"/>
  <c r="F127" i="2"/>
  <c r="I242" i="2"/>
  <c r="D242" i="2"/>
  <c r="I290" i="2"/>
  <c r="D290" i="2"/>
  <c r="J156" i="2"/>
  <c r="C156" i="2"/>
  <c r="B156" i="2"/>
  <c r="AA85" i="7"/>
  <c r="AB85" i="7" s="1"/>
  <c r="U85" i="3"/>
  <c r="AA19" i="7"/>
  <c r="U19" i="3"/>
  <c r="AC16" i="7"/>
  <c r="X16" i="7"/>
  <c r="Q16" i="3" s="1"/>
  <c r="AE16" i="7"/>
  <c r="AE16" i="3" s="1"/>
  <c r="O16" i="3"/>
  <c r="AA8" i="7"/>
  <c r="U8" i="3"/>
  <c r="X44" i="7"/>
  <c r="Q44" i="3" s="1"/>
  <c r="AC44" i="7"/>
  <c r="AE44" i="7"/>
  <c r="AE44" i="3" s="1"/>
  <c r="AN37" i="3"/>
  <c r="AO37" i="3" s="1"/>
  <c r="E157" i="2"/>
  <c r="F157" i="2"/>
  <c r="E173" i="2"/>
  <c r="F173" i="2"/>
  <c r="E189" i="2"/>
  <c r="F189" i="2"/>
  <c r="U115" i="1"/>
  <c r="I246" i="2"/>
  <c r="D246" i="2"/>
  <c r="J20" i="2"/>
  <c r="C20" i="2"/>
  <c r="B20" i="2"/>
  <c r="X116" i="1"/>
  <c r="Y116" i="1" s="1"/>
  <c r="Z116" i="1" s="1"/>
  <c r="D116" i="1" s="1"/>
  <c r="F116" i="1" s="1"/>
  <c r="J148" i="2"/>
  <c r="C148" i="2"/>
  <c r="B148" i="2"/>
  <c r="AC83" i="7"/>
  <c r="AA83" i="3" s="1"/>
  <c r="X83" i="7"/>
  <c r="Q83" i="3" s="1"/>
  <c r="AE83" i="7"/>
  <c r="AE83" i="3" s="1"/>
  <c r="AA81" i="7"/>
  <c r="U81" i="3"/>
  <c r="AC65" i="7"/>
  <c r="X65" i="7"/>
  <c r="Q65" i="3" s="1"/>
  <c r="AE65" i="7"/>
  <c r="AE65" i="3" s="1"/>
  <c r="O65" i="3"/>
  <c r="AE9" i="7"/>
  <c r="AE9" i="3" s="1"/>
  <c r="AC9" i="7"/>
  <c r="AA9" i="3" s="1"/>
  <c r="X9" i="7"/>
  <c r="Q9" i="3" s="1"/>
  <c r="O9" i="3"/>
  <c r="AS21" i="3"/>
  <c r="E315" i="2"/>
  <c r="F315" i="2"/>
  <c r="AN19" i="3"/>
  <c r="AO19" i="3" s="1"/>
  <c r="AS33" i="3"/>
  <c r="X119" i="1"/>
  <c r="Y119" i="1" s="1"/>
  <c r="Z119" i="1" s="1"/>
  <c r="D119" i="1" s="1"/>
  <c r="F119" i="1" s="1"/>
  <c r="AS55" i="3"/>
  <c r="O42" i="3"/>
  <c r="O48" i="3"/>
  <c r="O10" i="3"/>
  <c r="AE78" i="7"/>
  <c r="AE78" i="3" s="1"/>
  <c r="AC78" i="7"/>
  <c r="X78" i="7"/>
  <c r="Q78" i="3" s="1"/>
  <c r="O20" i="3"/>
  <c r="O38" i="3"/>
  <c r="AB92" i="7" l="1"/>
  <c r="W92" i="3"/>
  <c r="AB96" i="7"/>
  <c r="AD96" i="7" s="1"/>
  <c r="AF96" i="7" s="1"/>
  <c r="M736" i="10" s="1"/>
  <c r="Q736" i="10" s="1"/>
  <c r="AB93" i="7"/>
  <c r="W93" i="3"/>
  <c r="AB94" i="7"/>
  <c r="AD94" i="7" s="1"/>
  <c r="AF94" i="7" s="1"/>
  <c r="M734" i="10" s="1"/>
  <c r="Q734" i="10" s="1"/>
  <c r="W94" i="3"/>
  <c r="E165" i="2"/>
  <c r="F357" i="2"/>
  <c r="X129" i="7"/>
  <c r="AE129" i="7"/>
  <c r="AC127" i="7"/>
  <c r="X127" i="7"/>
  <c r="X125" i="7"/>
  <c r="Q125" i="3" s="1"/>
  <c r="AE124" i="7"/>
  <c r="AE124" i="3" s="1"/>
  <c r="AC125" i="7"/>
  <c r="AA125" i="3" s="1"/>
  <c r="AC124" i="7"/>
  <c r="F314" i="2"/>
  <c r="W125" i="3"/>
  <c r="F343" i="2"/>
  <c r="AE130" i="7"/>
  <c r="AC130" i="7"/>
  <c r="F143" i="2"/>
  <c r="W126" i="3"/>
  <c r="I125" i="2"/>
  <c r="F187" i="2"/>
  <c r="X123" i="7"/>
  <c r="AC123" i="7"/>
  <c r="AE123" i="7"/>
  <c r="F141" i="2"/>
  <c r="X126" i="7"/>
  <c r="Q126" i="3" s="1"/>
  <c r="AC126" i="7"/>
  <c r="AA126" i="3" s="1"/>
  <c r="O130" i="7"/>
  <c r="V131" i="1"/>
  <c r="O126" i="7"/>
  <c r="V127" i="1"/>
  <c r="F161" i="2"/>
  <c r="F192" i="2"/>
  <c r="AD125" i="7"/>
  <c r="Y125" i="3"/>
  <c r="AD126" i="7"/>
  <c r="Y126" i="3"/>
  <c r="F311" i="2"/>
  <c r="F125" i="2"/>
  <c r="N74" i="1"/>
  <c r="M74" i="1" s="1"/>
  <c r="N113" i="1"/>
  <c r="M113" i="1" s="1"/>
  <c r="E284" i="2"/>
  <c r="F336" i="2"/>
  <c r="F299" i="2"/>
  <c r="N68" i="1"/>
  <c r="M68" i="1" s="1"/>
  <c r="N29" i="1"/>
  <c r="M29" i="1" s="1"/>
  <c r="N21" i="1"/>
  <c r="M21" i="1" s="1"/>
  <c r="N124" i="1"/>
  <c r="M124" i="1" s="1"/>
  <c r="N54" i="1"/>
  <c r="M54" i="1" s="1"/>
  <c r="N56" i="1"/>
  <c r="M56" i="1" s="1"/>
  <c r="N97" i="1"/>
  <c r="M97" i="1" s="1"/>
  <c r="N79" i="1"/>
  <c r="M79" i="1" s="1"/>
  <c r="N15" i="1"/>
  <c r="M15" i="1" s="1"/>
  <c r="N19" i="1"/>
  <c r="M19" i="1" s="1"/>
  <c r="N11" i="1"/>
  <c r="M11" i="1" s="1"/>
  <c r="N52" i="1"/>
  <c r="M52" i="1" s="1"/>
  <c r="N7" i="1"/>
  <c r="M7" i="1" s="1"/>
  <c r="N91" i="1"/>
  <c r="M91" i="1" s="1"/>
  <c r="N96" i="1"/>
  <c r="M96" i="1" s="1"/>
  <c r="N110" i="1"/>
  <c r="M110" i="1" s="1"/>
  <c r="E344" i="2"/>
  <c r="F171" i="2"/>
  <c r="N89" i="1"/>
  <c r="M89" i="1" s="1"/>
  <c r="N45" i="1"/>
  <c r="M45" i="1" s="1"/>
  <c r="N38" i="1"/>
  <c r="M38" i="1" s="1"/>
  <c r="N75" i="1"/>
  <c r="M75" i="1" s="1"/>
  <c r="N72" i="1"/>
  <c r="M72" i="1" s="1"/>
  <c r="N48" i="1"/>
  <c r="M48" i="1" s="1"/>
  <c r="F331" i="2"/>
  <c r="N17" i="1"/>
  <c r="M17" i="1" s="1"/>
  <c r="N90" i="1"/>
  <c r="M90" i="1" s="1"/>
  <c r="N25" i="1"/>
  <c r="M25" i="1" s="1"/>
  <c r="N50" i="1"/>
  <c r="M50" i="1" s="1"/>
  <c r="N95" i="1"/>
  <c r="M95" i="1" s="1"/>
  <c r="N109" i="1"/>
  <c r="M109" i="1" s="1"/>
  <c r="N114" i="1"/>
  <c r="M114" i="1" s="1"/>
  <c r="N83" i="1"/>
  <c r="M83" i="1" s="1"/>
  <c r="N126" i="1"/>
  <c r="M126" i="1" s="1"/>
  <c r="N40" i="1"/>
  <c r="M40" i="1" s="1"/>
  <c r="N18" i="1"/>
  <c r="M18" i="1" s="1"/>
  <c r="N42" i="1"/>
  <c r="M42" i="1" s="1"/>
  <c r="N108" i="1"/>
  <c r="M108" i="1" s="1"/>
  <c r="N59" i="1"/>
  <c r="M59" i="1" s="1"/>
  <c r="N57" i="1"/>
  <c r="M57" i="1" s="1"/>
  <c r="N117" i="1"/>
  <c r="M117" i="1" s="1"/>
  <c r="N100" i="1"/>
  <c r="M100" i="1" s="1"/>
  <c r="N119" i="1"/>
  <c r="M119" i="1" s="1"/>
  <c r="N84" i="1"/>
  <c r="M84" i="1" s="1"/>
  <c r="N8" i="1"/>
  <c r="M8" i="1" s="1"/>
  <c r="N33" i="1"/>
  <c r="M33" i="1" s="1"/>
  <c r="N111" i="1"/>
  <c r="M111" i="1" s="1"/>
  <c r="N41" i="1"/>
  <c r="M41" i="1" s="1"/>
  <c r="N60" i="1"/>
  <c r="M60" i="1" s="1"/>
  <c r="N9" i="1"/>
  <c r="M9" i="1" s="1"/>
  <c r="N28" i="1"/>
  <c r="M28" i="1" s="1"/>
  <c r="N116" i="1"/>
  <c r="M116" i="1" s="1"/>
  <c r="N81" i="1"/>
  <c r="M81" i="1" s="1"/>
  <c r="N36" i="1"/>
  <c r="M36" i="1" s="1"/>
  <c r="N65" i="1"/>
  <c r="M65" i="1" s="1"/>
  <c r="N20" i="1"/>
  <c r="M20" i="1" s="1"/>
  <c r="N58" i="1"/>
  <c r="M58" i="1" s="1"/>
  <c r="N92" i="1"/>
  <c r="M92" i="1" s="1"/>
  <c r="N47" i="1"/>
  <c r="M47" i="1" s="1"/>
  <c r="N12" i="1"/>
  <c r="M12" i="1" s="1"/>
  <c r="N86" i="1"/>
  <c r="M86" i="1" s="1"/>
  <c r="N61" i="1"/>
  <c r="M61" i="1" s="1"/>
  <c r="N70" i="1"/>
  <c r="M70" i="1" s="1"/>
  <c r="N35" i="1"/>
  <c r="M35" i="1" s="1"/>
  <c r="N23" i="1"/>
  <c r="M23" i="1" s="1"/>
  <c r="N107" i="1"/>
  <c r="M107" i="1" s="1"/>
  <c r="N31" i="1"/>
  <c r="M31" i="1" s="1"/>
  <c r="N46" i="1"/>
  <c r="M46" i="1" s="1"/>
  <c r="N44" i="1"/>
  <c r="M44" i="1" s="1"/>
  <c r="N118" i="1"/>
  <c r="M118" i="1" s="1"/>
  <c r="N14" i="1"/>
  <c r="M14" i="1" s="1"/>
  <c r="N102" i="1"/>
  <c r="M102" i="1" s="1"/>
  <c r="N30" i="1"/>
  <c r="M30" i="1" s="1"/>
  <c r="N22" i="1"/>
  <c r="M22" i="1" s="1"/>
  <c r="N55" i="1"/>
  <c r="M55" i="1" s="1"/>
  <c r="N16" i="1"/>
  <c r="M16" i="1" s="1"/>
  <c r="N73" i="1"/>
  <c r="M73" i="1" s="1"/>
  <c r="N78" i="1"/>
  <c r="M78" i="1" s="1"/>
  <c r="N85" i="1"/>
  <c r="M85" i="1" s="1"/>
  <c r="N94" i="1"/>
  <c r="M94" i="1" s="1"/>
  <c r="N37" i="1"/>
  <c r="M37" i="1" s="1"/>
  <c r="N51" i="1"/>
  <c r="M51" i="1" s="1"/>
  <c r="N80" i="1"/>
  <c r="M80" i="1" s="1"/>
  <c r="N123" i="1"/>
  <c r="M123" i="1" s="1"/>
  <c r="N88" i="1"/>
  <c r="M88" i="1" s="1"/>
  <c r="N76" i="1"/>
  <c r="M76" i="1" s="1"/>
  <c r="N101" i="1"/>
  <c r="M101" i="1" s="1"/>
  <c r="N53" i="1"/>
  <c r="M53" i="1" s="1"/>
  <c r="N71" i="1"/>
  <c r="M71" i="1" s="1"/>
  <c r="N69" i="1"/>
  <c r="M69" i="1" s="1"/>
  <c r="N93" i="1"/>
  <c r="M93" i="1" s="1"/>
  <c r="N112" i="1"/>
  <c r="M112" i="1" s="1"/>
  <c r="N13" i="1"/>
  <c r="M13" i="1" s="1"/>
  <c r="N64" i="1"/>
  <c r="M64" i="1" s="1"/>
  <c r="N120" i="1"/>
  <c r="M120" i="1" s="1"/>
  <c r="N34" i="1"/>
  <c r="M34" i="1" s="1"/>
  <c r="N63" i="1"/>
  <c r="M63" i="1" s="1"/>
  <c r="N24" i="1"/>
  <c r="M24" i="1" s="1"/>
  <c r="N43" i="1"/>
  <c r="M43" i="1" s="1"/>
  <c r="N77" i="1"/>
  <c r="M77" i="1" s="1"/>
  <c r="N82" i="1"/>
  <c r="M82" i="1" s="1"/>
  <c r="N106" i="1"/>
  <c r="M106" i="1" s="1"/>
  <c r="N49" i="1"/>
  <c r="M49" i="1" s="1"/>
  <c r="N32" i="1"/>
  <c r="M32" i="1" s="1"/>
  <c r="N10" i="1"/>
  <c r="M10" i="1" s="1"/>
  <c r="N26" i="1"/>
  <c r="M26" i="1" s="1"/>
  <c r="N27" i="1"/>
  <c r="M27" i="1" s="1"/>
  <c r="N115" i="1"/>
  <c r="M115" i="1" s="1"/>
  <c r="O120" i="7"/>
  <c r="F178" i="2"/>
  <c r="E186" i="2"/>
  <c r="E172" i="2"/>
  <c r="F300" i="2"/>
  <c r="F139" i="2"/>
  <c r="F185" i="2"/>
  <c r="F170" i="2"/>
  <c r="N128" i="1"/>
  <c r="M128" i="1" s="1"/>
  <c r="E360" i="2"/>
  <c r="F298" i="2"/>
  <c r="F276" i="2"/>
  <c r="F169" i="2"/>
  <c r="F322" i="2"/>
  <c r="F283" i="2"/>
  <c r="E191" i="2"/>
  <c r="F319" i="2"/>
  <c r="F310" i="2"/>
  <c r="E184" i="2"/>
  <c r="F308" i="2"/>
  <c r="F288" i="2"/>
  <c r="F159" i="2"/>
  <c r="F354" i="2"/>
  <c r="F339" i="2"/>
  <c r="E295" i="2"/>
  <c r="F332" i="2"/>
  <c r="F121" i="2"/>
  <c r="F294" i="2"/>
  <c r="E163" i="2"/>
  <c r="F151" i="2"/>
  <c r="AD87" i="7"/>
  <c r="AF87" i="7" s="1"/>
  <c r="M727" i="10" s="1"/>
  <c r="Q727" i="10" s="1"/>
  <c r="Y87" i="3"/>
  <c r="AD86" i="7"/>
  <c r="AF86" i="7" s="1"/>
  <c r="M726" i="10" s="1"/>
  <c r="Q726" i="10" s="1"/>
  <c r="Y86" i="3"/>
  <c r="AD85" i="7"/>
  <c r="AF85" i="7" s="1"/>
  <c r="M725" i="10" s="1"/>
  <c r="Q725" i="10" s="1"/>
  <c r="Y85" i="3"/>
  <c r="AC110" i="7"/>
  <c r="AE110" i="7"/>
  <c r="AC105" i="7"/>
  <c r="AH122" i="7"/>
  <c r="AF121" i="4" s="1"/>
  <c r="AT122" i="3" s="1"/>
  <c r="AA123" i="1" s="1"/>
  <c r="AE122" i="7"/>
  <c r="X122" i="7"/>
  <c r="AE105" i="7"/>
  <c r="I148" i="2"/>
  <c r="D148" i="2"/>
  <c r="E246" i="2"/>
  <c r="F246" i="2"/>
  <c r="AB19" i="7"/>
  <c r="AD19" i="7" s="1"/>
  <c r="W19" i="3"/>
  <c r="E207" i="2"/>
  <c r="F207" i="2"/>
  <c r="AB52" i="7"/>
  <c r="W52" i="3"/>
  <c r="E263" i="2"/>
  <c r="F263" i="2"/>
  <c r="I85" i="2"/>
  <c r="D85" i="2"/>
  <c r="AB62" i="7"/>
  <c r="AD62" i="7" s="1"/>
  <c r="W62" i="3"/>
  <c r="I49" i="2"/>
  <c r="D49" i="2"/>
  <c r="I18" i="2"/>
  <c r="D18" i="2"/>
  <c r="AB59" i="7"/>
  <c r="AD59" i="7" s="1"/>
  <c r="W59" i="3"/>
  <c r="Q98" i="3"/>
  <c r="I29" i="2"/>
  <c r="D29" i="2"/>
  <c r="AB38" i="7"/>
  <c r="AD38" i="7" s="1"/>
  <c r="W38" i="3"/>
  <c r="E274" i="2"/>
  <c r="F274" i="2"/>
  <c r="AB24" i="7"/>
  <c r="AD24" i="7" s="1"/>
  <c r="W24" i="3"/>
  <c r="E240" i="2"/>
  <c r="F240" i="2"/>
  <c r="E222" i="2"/>
  <c r="F222" i="2"/>
  <c r="I75" i="2"/>
  <c r="D75" i="2"/>
  <c r="AB34" i="7"/>
  <c r="W34" i="3"/>
  <c r="E210" i="2"/>
  <c r="F210" i="2"/>
  <c r="I153" i="2"/>
  <c r="D153" i="2"/>
  <c r="I65" i="2"/>
  <c r="D65" i="2"/>
  <c r="O112" i="3"/>
  <c r="V112" i="8"/>
  <c r="T112" i="8" s="1"/>
  <c r="AB22" i="7"/>
  <c r="AD22" i="7" s="1"/>
  <c r="W22" i="3"/>
  <c r="E244" i="2"/>
  <c r="F244" i="2"/>
  <c r="E313" i="2"/>
  <c r="F313" i="2"/>
  <c r="D42" i="2"/>
  <c r="I42" i="2"/>
  <c r="AB46" i="7"/>
  <c r="AD46" i="7" s="1"/>
  <c r="W46" i="3"/>
  <c r="I98" i="2"/>
  <c r="D98" i="2"/>
  <c r="I23" i="2"/>
  <c r="D23" i="2"/>
  <c r="I89" i="2"/>
  <c r="D89" i="2"/>
  <c r="E195" i="2"/>
  <c r="F195" i="2"/>
  <c r="I47" i="2"/>
  <c r="D47" i="2"/>
  <c r="E253" i="2"/>
  <c r="F253" i="2"/>
  <c r="I77" i="2"/>
  <c r="D77" i="2"/>
  <c r="E278" i="2"/>
  <c r="F278" i="2"/>
  <c r="I37" i="2"/>
  <c r="D37" i="2"/>
  <c r="I102" i="2"/>
  <c r="D102" i="2"/>
  <c r="AB100" i="7"/>
  <c r="AD100" i="7" s="1"/>
  <c r="W100" i="3"/>
  <c r="I56" i="2"/>
  <c r="D56" i="2"/>
  <c r="I116" i="2"/>
  <c r="D116" i="2"/>
  <c r="E196" i="2"/>
  <c r="F196" i="2"/>
  <c r="I11" i="2"/>
  <c r="D11" i="2"/>
  <c r="E309" i="2"/>
  <c r="F309" i="2"/>
  <c r="I19" i="2"/>
  <c r="D19" i="2"/>
  <c r="E223" i="2"/>
  <c r="F223" i="2"/>
  <c r="I67" i="2"/>
  <c r="D67" i="2"/>
  <c r="AB54" i="7"/>
  <c r="W54" i="3"/>
  <c r="E262" i="2"/>
  <c r="F262" i="2"/>
  <c r="E197" i="2"/>
  <c r="F197" i="2"/>
  <c r="I91" i="2"/>
  <c r="D91" i="2"/>
  <c r="I28" i="2"/>
  <c r="D28" i="2"/>
  <c r="I150" i="2"/>
  <c r="D150" i="2"/>
  <c r="E242" i="2"/>
  <c r="F242" i="2"/>
  <c r="I43" i="2"/>
  <c r="D43" i="2"/>
  <c r="E234" i="2"/>
  <c r="F234" i="2"/>
  <c r="E200" i="2"/>
  <c r="F200" i="2"/>
  <c r="I106" i="2"/>
  <c r="D106" i="2"/>
  <c r="I6" i="2"/>
  <c r="D6" i="2"/>
  <c r="AB76" i="7"/>
  <c r="W76" i="3"/>
  <c r="E257" i="2"/>
  <c r="F257" i="2"/>
  <c r="E345" i="2"/>
  <c r="F345" i="2"/>
  <c r="E215" i="2"/>
  <c r="F215" i="2"/>
  <c r="E268" i="2"/>
  <c r="F268" i="2"/>
  <c r="E317" i="2"/>
  <c r="F317" i="2"/>
  <c r="I146" i="2"/>
  <c r="D146" i="2"/>
  <c r="AB12" i="7"/>
  <c r="W12" i="3"/>
  <c r="AB35" i="7"/>
  <c r="AD35" i="7" s="1"/>
  <c r="W35" i="3"/>
  <c r="O119" i="3"/>
  <c r="V119" i="8"/>
  <c r="T119" i="8" s="1"/>
  <c r="AB73" i="7"/>
  <c r="W73" i="3"/>
  <c r="I83" i="2"/>
  <c r="D83" i="2"/>
  <c r="E193" i="2"/>
  <c r="F193" i="2"/>
  <c r="E266" i="2"/>
  <c r="F266" i="2"/>
  <c r="O109" i="3"/>
  <c r="L749" i="10"/>
  <c r="V109" i="8"/>
  <c r="T109" i="8" s="1"/>
  <c r="AB69" i="7"/>
  <c r="AD69" i="7" s="1"/>
  <c r="W69" i="3"/>
  <c r="E261" i="2"/>
  <c r="F261" i="2"/>
  <c r="I58" i="2"/>
  <c r="D58" i="2"/>
  <c r="E216" i="2"/>
  <c r="F216" i="2"/>
  <c r="E270" i="2"/>
  <c r="F270" i="2"/>
  <c r="E239" i="2"/>
  <c r="F239" i="2"/>
  <c r="AB18" i="7"/>
  <c r="AD18" i="7" s="1"/>
  <c r="W18" i="3"/>
  <c r="AB29" i="7"/>
  <c r="AD29" i="7" s="1"/>
  <c r="W29" i="3"/>
  <c r="I90" i="2"/>
  <c r="D90" i="2"/>
  <c r="AB16" i="7"/>
  <c r="AD16" i="7" s="1"/>
  <c r="W16" i="3"/>
  <c r="I46" i="2"/>
  <c r="D46" i="2"/>
  <c r="E337" i="2"/>
  <c r="F337" i="2"/>
  <c r="I59" i="2"/>
  <c r="D59" i="2"/>
  <c r="E232" i="2"/>
  <c r="F232" i="2"/>
  <c r="I130" i="2"/>
  <c r="D130" i="2"/>
  <c r="O110" i="3"/>
  <c r="V110" i="8"/>
  <c r="T110" i="8" s="1"/>
  <c r="I74" i="2"/>
  <c r="D74" i="2"/>
  <c r="I64" i="2"/>
  <c r="D64" i="2"/>
  <c r="AB72" i="7"/>
  <c r="AD72" i="7" s="1"/>
  <c r="W72" i="3"/>
  <c r="I122" i="2"/>
  <c r="D122" i="2"/>
  <c r="I154" i="2"/>
  <c r="D154" i="2"/>
  <c r="I145" i="2"/>
  <c r="D145" i="2"/>
  <c r="I53" i="2"/>
  <c r="D53" i="2"/>
  <c r="AB21" i="7"/>
  <c r="AD21" i="7" s="1"/>
  <c r="W21" i="3"/>
  <c r="AB77" i="7"/>
  <c r="W77" i="3"/>
  <c r="AB39" i="7"/>
  <c r="W39" i="3"/>
  <c r="AB15" i="7"/>
  <c r="W15" i="3"/>
  <c r="AB78" i="7"/>
  <c r="AD78" i="7" s="1"/>
  <c r="W78" i="3"/>
  <c r="AB8" i="7"/>
  <c r="W8" i="3"/>
  <c r="I12" i="2"/>
  <c r="D12" i="2"/>
  <c r="E252" i="2"/>
  <c r="F252" i="2"/>
  <c r="I31" i="2"/>
  <c r="D31" i="2"/>
  <c r="V117" i="8"/>
  <c r="T117" i="8" s="1"/>
  <c r="O117" i="3"/>
  <c r="AB84" i="7"/>
  <c r="W84" i="3"/>
  <c r="E199" i="2"/>
  <c r="F199" i="2"/>
  <c r="I26" i="2"/>
  <c r="D26" i="2"/>
  <c r="I99" i="2"/>
  <c r="D99" i="2"/>
  <c r="AB53" i="7"/>
  <c r="W53" i="3"/>
  <c r="E325" i="2"/>
  <c r="F325" i="2"/>
  <c r="D39" i="2"/>
  <c r="I39" i="2"/>
  <c r="I63" i="2"/>
  <c r="D63" i="2"/>
  <c r="E289" i="2"/>
  <c r="F289" i="2"/>
  <c r="I45" i="2"/>
  <c r="D45" i="2"/>
  <c r="I126" i="2"/>
  <c r="D126" i="2"/>
  <c r="I129" i="2"/>
  <c r="D129" i="2"/>
  <c r="E256" i="2"/>
  <c r="F256" i="2"/>
  <c r="E194" i="2"/>
  <c r="F194" i="2"/>
  <c r="I27" i="2"/>
  <c r="D27" i="2"/>
  <c r="AB20" i="7"/>
  <c r="AD20" i="7" s="1"/>
  <c r="W20" i="3"/>
  <c r="AB40" i="7"/>
  <c r="AD40" i="7" s="1"/>
  <c r="W40" i="3"/>
  <c r="AB23" i="7"/>
  <c r="AD23" i="7" s="1"/>
  <c r="W23" i="3"/>
  <c r="E280" i="2"/>
  <c r="F280" i="2"/>
  <c r="I95" i="2"/>
  <c r="D95" i="2"/>
  <c r="I92" i="2"/>
  <c r="D92" i="2"/>
  <c r="I142" i="2"/>
  <c r="D142" i="2"/>
  <c r="AB55" i="7"/>
  <c r="W55" i="3"/>
  <c r="L731" i="10"/>
  <c r="V91" i="8"/>
  <c r="T91" i="8" s="1"/>
  <c r="O91" i="3"/>
  <c r="AB56" i="7"/>
  <c r="W56" i="3"/>
  <c r="AB41" i="7"/>
  <c r="W41" i="3"/>
  <c r="E225" i="2"/>
  <c r="F225" i="2"/>
  <c r="E297" i="2"/>
  <c r="F297" i="2"/>
  <c r="E212" i="2"/>
  <c r="F212" i="2"/>
  <c r="E219" i="2"/>
  <c r="F219" i="2"/>
  <c r="O122" i="3"/>
  <c r="V122" i="8"/>
  <c r="T122" i="8" s="1"/>
  <c r="AB99" i="7"/>
  <c r="W99" i="3"/>
  <c r="AB80" i="7"/>
  <c r="AD80" i="7" s="1"/>
  <c r="W80" i="3"/>
  <c r="AB81" i="7"/>
  <c r="AD81" i="7" s="1"/>
  <c r="W81" i="3"/>
  <c r="I54" i="2"/>
  <c r="D54" i="2"/>
  <c r="E301" i="2"/>
  <c r="F301" i="2"/>
  <c r="E277" i="2"/>
  <c r="F277" i="2"/>
  <c r="E249" i="2"/>
  <c r="F249" i="2"/>
  <c r="E211" i="2"/>
  <c r="F211" i="2"/>
  <c r="E264" i="2"/>
  <c r="F264" i="2"/>
  <c r="AB70" i="7"/>
  <c r="AD70" i="7" s="1"/>
  <c r="W70" i="3"/>
  <c r="I80" i="2"/>
  <c r="D80" i="2"/>
  <c r="E273" i="2"/>
  <c r="F273" i="2"/>
  <c r="I10" i="2"/>
  <c r="D10" i="2"/>
  <c r="E220" i="2"/>
  <c r="F220" i="2"/>
  <c r="I119" i="2"/>
  <c r="D119" i="2"/>
  <c r="E293" i="2"/>
  <c r="F293" i="2"/>
  <c r="O103" i="3"/>
  <c r="V103" i="8"/>
  <c r="T103" i="8" s="1"/>
  <c r="L743" i="10"/>
  <c r="V105" i="8"/>
  <c r="T105" i="8" s="1"/>
  <c r="O105" i="3"/>
  <c r="L745" i="10"/>
  <c r="AB13" i="7"/>
  <c r="AD13" i="7" s="1"/>
  <c r="W13" i="3"/>
  <c r="E248" i="2"/>
  <c r="F248" i="2"/>
  <c r="AB75" i="7"/>
  <c r="AD75" i="7" s="1"/>
  <c r="W75" i="3"/>
  <c r="E341" i="2"/>
  <c r="F341" i="2"/>
  <c r="I84" i="2"/>
  <c r="D84" i="2"/>
  <c r="AB51" i="7"/>
  <c r="AD51" i="7" s="1"/>
  <c r="W51" i="3"/>
  <c r="I76" i="2"/>
  <c r="D76" i="2"/>
  <c r="I50" i="2"/>
  <c r="D50" i="2"/>
  <c r="I8" i="2"/>
  <c r="D8" i="2"/>
  <c r="I71" i="2"/>
  <c r="D71" i="2"/>
  <c r="I124" i="2"/>
  <c r="D124" i="2"/>
  <c r="E349" i="2"/>
  <c r="F349" i="2"/>
  <c r="E230" i="2"/>
  <c r="F230" i="2"/>
  <c r="I115" i="2"/>
  <c r="D115" i="2"/>
  <c r="I21" i="2"/>
  <c r="D21" i="2"/>
  <c r="AB27" i="7"/>
  <c r="AD27" i="7" s="1"/>
  <c r="W27" i="3"/>
  <c r="I137" i="2"/>
  <c r="D137" i="2"/>
  <c r="I82" i="2"/>
  <c r="D82" i="2"/>
  <c r="AB67" i="7"/>
  <c r="W67" i="3"/>
  <c r="E247" i="2"/>
  <c r="F247" i="2"/>
  <c r="I35" i="2"/>
  <c r="D35" i="2"/>
  <c r="E235" i="2"/>
  <c r="F235" i="2"/>
  <c r="I48" i="2"/>
  <c r="D48" i="2"/>
  <c r="E329" i="2"/>
  <c r="F329" i="2"/>
  <c r="I33" i="2"/>
  <c r="D33" i="2"/>
  <c r="AB45" i="7"/>
  <c r="AD45" i="7" s="1"/>
  <c r="W45" i="3"/>
  <c r="I60" i="2"/>
  <c r="D60" i="2"/>
  <c r="I55" i="2"/>
  <c r="D55" i="2"/>
  <c r="AB32" i="7"/>
  <c r="AD32" i="7" s="1"/>
  <c r="W32" i="3"/>
  <c r="AB43" i="7"/>
  <c r="AD43" i="7" s="1"/>
  <c r="W43" i="3"/>
  <c r="I79" i="2"/>
  <c r="D79" i="2"/>
  <c r="AB49" i="7"/>
  <c r="AD49" i="7" s="1"/>
  <c r="W49" i="3"/>
  <c r="I78" i="2"/>
  <c r="D78" i="2"/>
  <c r="L742" i="10"/>
  <c r="O102" i="3"/>
  <c r="V102" i="8"/>
  <c r="T102" i="8" s="1"/>
  <c r="E260" i="2"/>
  <c r="F260" i="2"/>
  <c r="E286" i="2"/>
  <c r="F286" i="2"/>
  <c r="E218" i="2"/>
  <c r="F218" i="2"/>
  <c r="I156" i="2"/>
  <c r="D156" i="2"/>
  <c r="AB6" i="7"/>
  <c r="W6" i="3"/>
  <c r="I7" i="2"/>
  <c r="D7" i="2"/>
  <c r="AB17" i="7"/>
  <c r="W17" i="3"/>
  <c r="I51" i="2"/>
  <c r="D51" i="2"/>
  <c r="I81" i="2"/>
  <c r="D81" i="2"/>
  <c r="I105" i="2"/>
  <c r="D105" i="2"/>
  <c r="E321" i="2"/>
  <c r="F321" i="2"/>
  <c r="AB66" i="7"/>
  <c r="AD66" i="7" s="1"/>
  <c r="W66" i="3"/>
  <c r="I88" i="2"/>
  <c r="D88" i="2"/>
  <c r="E224" i="2"/>
  <c r="F224" i="2"/>
  <c r="E236" i="2"/>
  <c r="F236" i="2"/>
  <c r="E198" i="2"/>
  <c r="F198" i="2"/>
  <c r="I104" i="2"/>
  <c r="D104" i="2"/>
  <c r="I97" i="2"/>
  <c r="D97" i="2"/>
  <c r="AB11" i="7"/>
  <c r="AD11" i="7" s="1"/>
  <c r="W11" i="3"/>
  <c r="I15" i="2"/>
  <c r="D15" i="2"/>
  <c r="I113" i="2"/>
  <c r="D113" i="2"/>
  <c r="E265" i="2"/>
  <c r="F265" i="2"/>
  <c r="E281" i="2"/>
  <c r="F281" i="2"/>
  <c r="I120" i="2"/>
  <c r="D120" i="2"/>
  <c r="AB26" i="7"/>
  <c r="AD26" i="7" s="1"/>
  <c r="W26" i="3"/>
  <c r="AB50" i="7"/>
  <c r="AD50" i="7" s="1"/>
  <c r="W50" i="3"/>
  <c r="I57" i="2"/>
  <c r="D57" i="2"/>
  <c r="I138" i="2"/>
  <c r="D138" i="2"/>
  <c r="E243" i="2"/>
  <c r="F243" i="2"/>
  <c r="E202" i="2"/>
  <c r="F202" i="2"/>
  <c r="O115" i="3"/>
  <c r="V115" i="8"/>
  <c r="T115" i="8" s="1"/>
  <c r="I140" i="2"/>
  <c r="D140" i="2"/>
  <c r="I24" i="2"/>
  <c r="D24" i="2"/>
  <c r="AB65" i="7"/>
  <c r="AD65" i="7" s="1"/>
  <c r="W65" i="3"/>
  <c r="V104" i="8"/>
  <c r="T104" i="8" s="1"/>
  <c r="L744" i="10"/>
  <c r="O104" i="3"/>
  <c r="I52" i="2"/>
  <c r="D52" i="2"/>
  <c r="E269" i="2"/>
  <c r="F269" i="2"/>
  <c r="I108" i="2"/>
  <c r="D108" i="2"/>
  <c r="AB58" i="7"/>
  <c r="AD58" i="7" s="1"/>
  <c r="W58" i="3"/>
  <c r="D40" i="2"/>
  <c r="I40" i="2"/>
  <c r="E214" i="2"/>
  <c r="F214" i="2"/>
  <c r="I68" i="2"/>
  <c r="D68" i="2"/>
  <c r="E229" i="2"/>
  <c r="F229" i="2"/>
  <c r="I20" i="2"/>
  <c r="D20" i="2"/>
  <c r="E238" i="2"/>
  <c r="F238" i="2"/>
  <c r="E282" i="2"/>
  <c r="F282" i="2"/>
  <c r="I87" i="2"/>
  <c r="D87" i="2"/>
  <c r="I62" i="2"/>
  <c r="D62" i="2"/>
  <c r="I25" i="2"/>
  <c r="D25" i="2"/>
  <c r="AB83" i="7"/>
  <c r="W83" i="3"/>
  <c r="E227" i="2"/>
  <c r="F227" i="2"/>
  <c r="AB48" i="7"/>
  <c r="AD48" i="7" s="1"/>
  <c r="W48" i="3"/>
  <c r="I111" i="2"/>
  <c r="D111" i="2"/>
  <c r="E201" i="2"/>
  <c r="F201" i="2"/>
  <c r="E258" i="2"/>
  <c r="F258" i="2"/>
  <c r="O114" i="3"/>
  <c r="V114" i="8"/>
  <c r="T114" i="8" s="1"/>
  <c r="E203" i="2"/>
  <c r="F203" i="2"/>
  <c r="I86" i="2"/>
  <c r="D86" i="2"/>
  <c r="I44" i="2"/>
  <c r="D44" i="2"/>
  <c r="E333" i="2"/>
  <c r="F333" i="2"/>
  <c r="AB30" i="7"/>
  <c r="AD30" i="7" s="1"/>
  <c r="W30" i="3"/>
  <c r="I117" i="2"/>
  <c r="D117" i="2"/>
  <c r="L748" i="10"/>
  <c r="O108" i="3"/>
  <c r="V108" i="8"/>
  <c r="T108" i="8" s="1"/>
  <c r="I118" i="2"/>
  <c r="D118" i="2"/>
  <c r="E355" i="2"/>
  <c r="F355" i="2"/>
  <c r="E241" i="2"/>
  <c r="F241" i="2"/>
  <c r="E209" i="2"/>
  <c r="F209" i="2"/>
  <c r="E231" i="2"/>
  <c r="F231" i="2"/>
  <c r="E213" i="2"/>
  <c r="F213" i="2"/>
  <c r="AB14" i="7"/>
  <c r="W14" i="3"/>
  <c r="I100" i="2"/>
  <c r="D100" i="2"/>
  <c r="I132" i="2"/>
  <c r="D132" i="2"/>
  <c r="AC111" i="7"/>
  <c r="AE111" i="7"/>
  <c r="X111" i="7"/>
  <c r="I22" i="2"/>
  <c r="D22" i="2"/>
  <c r="V90" i="8"/>
  <c r="T90" i="8" s="1"/>
  <c r="O90" i="3"/>
  <c r="L730" i="10"/>
  <c r="AB28" i="7"/>
  <c r="AD28" i="7" s="1"/>
  <c r="W28" i="3"/>
  <c r="I32" i="2"/>
  <c r="D32" i="2"/>
  <c r="I123" i="2"/>
  <c r="D123" i="2"/>
  <c r="AB25" i="7"/>
  <c r="AD25" i="7" s="1"/>
  <c r="W25" i="3"/>
  <c r="AC116" i="7"/>
  <c r="X116" i="7"/>
  <c r="AH116" i="7"/>
  <c r="AF115" i="4" s="1"/>
  <c r="AT116" i="3" s="1"/>
  <c r="AA117" i="1" s="1"/>
  <c r="AE116" i="7"/>
  <c r="I30" i="2"/>
  <c r="D30" i="2"/>
  <c r="AB10" i="7"/>
  <c r="AD10" i="7" s="1"/>
  <c r="W10" i="3"/>
  <c r="AB64" i="7"/>
  <c r="AD64" i="7" s="1"/>
  <c r="W64" i="3"/>
  <c r="AB47" i="7"/>
  <c r="AD47" i="7" s="1"/>
  <c r="W47" i="3"/>
  <c r="I109" i="2"/>
  <c r="D109" i="2"/>
  <c r="I134" i="2"/>
  <c r="D134" i="2"/>
  <c r="E237" i="2"/>
  <c r="F237" i="2"/>
  <c r="I136" i="2"/>
  <c r="D136" i="2"/>
  <c r="I72" i="2"/>
  <c r="D72" i="2"/>
  <c r="AB106" i="7"/>
  <c r="W106" i="3"/>
  <c r="E245" i="2"/>
  <c r="F245" i="2"/>
  <c r="E267" i="2"/>
  <c r="F267" i="2"/>
  <c r="L736" i="10"/>
  <c r="O96" i="3"/>
  <c r="V96" i="8"/>
  <c r="T96" i="8" s="1"/>
  <c r="I13" i="2"/>
  <c r="D13" i="2"/>
  <c r="I110" i="2"/>
  <c r="D110" i="2"/>
  <c r="I36" i="2"/>
  <c r="D36" i="2"/>
  <c r="I101" i="2"/>
  <c r="D101" i="2"/>
  <c r="D38" i="2"/>
  <c r="I38" i="2"/>
  <c r="E233" i="2"/>
  <c r="F233" i="2"/>
  <c r="AB36" i="7"/>
  <c r="AD36" i="7" s="1"/>
  <c r="W36" i="3"/>
  <c r="AB60" i="7"/>
  <c r="AD60" i="7" s="1"/>
  <c r="W60" i="3"/>
  <c r="I96" i="2"/>
  <c r="D96" i="2"/>
  <c r="E305" i="2"/>
  <c r="F305" i="2"/>
  <c r="AB68" i="7"/>
  <c r="W68" i="3"/>
  <c r="E251" i="2"/>
  <c r="F251" i="2"/>
  <c r="I14" i="2"/>
  <c r="D14" i="2"/>
  <c r="I9" i="2"/>
  <c r="D9" i="2"/>
  <c r="I66" i="2"/>
  <c r="D66" i="2"/>
  <c r="I61" i="2"/>
  <c r="D61" i="2"/>
  <c r="AB31" i="7"/>
  <c r="AD31" i="7" s="1"/>
  <c r="W31" i="3"/>
  <c r="AB7" i="7"/>
  <c r="AD7" i="7" s="1"/>
  <c r="W7" i="3"/>
  <c r="E221" i="2"/>
  <c r="F221" i="2"/>
  <c r="E226" i="2"/>
  <c r="F226" i="2"/>
  <c r="E259" i="2"/>
  <c r="F259" i="2"/>
  <c r="E217" i="2"/>
  <c r="F217" i="2"/>
  <c r="I93" i="2"/>
  <c r="D93" i="2"/>
  <c r="E208" i="2"/>
  <c r="F208" i="2"/>
  <c r="AB63" i="7"/>
  <c r="AD63" i="7" s="1"/>
  <c r="W63" i="3"/>
  <c r="E204" i="2"/>
  <c r="F204" i="2"/>
  <c r="AB71" i="7"/>
  <c r="AD71" i="7" s="1"/>
  <c r="W71" i="3"/>
  <c r="E285" i="2"/>
  <c r="F285" i="2"/>
  <c r="E275" i="2"/>
  <c r="F275" i="2"/>
  <c r="I69" i="2"/>
  <c r="D69" i="2"/>
  <c r="E206" i="2"/>
  <c r="F206" i="2"/>
  <c r="E290" i="2"/>
  <c r="F290" i="2"/>
  <c r="AB9" i="7"/>
  <c r="W9" i="3"/>
  <c r="AB42" i="7"/>
  <c r="AD42" i="7" s="1"/>
  <c r="W42" i="3"/>
  <c r="I94" i="2"/>
  <c r="D94" i="2"/>
  <c r="AB61" i="7"/>
  <c r="AD61" i="7" s="1"/>
  <c r="W61" i="3"/>
  <c r="E255" i="2"/>
  <c r="F255" i="2"/>
  <c r="E228" i="2"/>
  <c r="F228" i="2"/>
  <c r="I70" i="2"/>
  <c r="D70" i="2"/>
  <c r="E254" i="2"/>
  <c r="F254" i="2"/>
  <c r="I112" i="2"/>
  <c r="D112" i="2"/>
  <c r="AB57" i="7"/>
  <c r="W57" i="3"/>
  <c r="I107" i="2"/>
  <c r="D107" i="2"/>
  <c r="I144" i="2"/>
  <c r="D144" i="2"/>
  <c r="E205" i="2"/>
  <c r="F205" i="2"/>
  <c r="E272" i="2"/>
  <c r="F272" i="2"/>
  <c r="I17" i="2"/>
  <c r="D17" i="2"/>
  <c r="D41" i="2"/>
  <c r="I41" i="2"/>
  <c r="I34" i="2"/>
  <c r="D34" i="2"/>
  <c r="O121" i="3"/>
  <c r="V121" i="8"/>
  <c r="T121" i="8" s="1"/>
  <c r="E250" i="2"/>
  <c r="F250" i="2"/>
  <c r="V120" i="8"/>
  <c r="T120" i="8" s="1"/>
  <c r="O120" i="3"/>
  <c r="I128" i="2"/>
  <c r="D128" i="2"/>
  <c r="I16" i="2"/>
  <c r="D16" i="2"/>
  <c r="I103" i="2"/>
  <c r="D103" i="2"/>
  <c r="I152" i="2"/>
  <c r="D152" i="2"/>
  <c r="AB33" i="7"/>
  <c r="AD33" i="7" s="1"/>
  <c r="W33" i="3"/>
  <c r="O118" i="3"/>
  <c r="V118" i="8"/>
  <c r="T118" i="8" s="1"/>
  <c r="AB44" i="7"/>
  <c r="AD44" i="7" s="1"/>
  <c r="W44" i="3"/>
  <c r="I114" i="2"/>
  <c r="D114" i="2"/>
  <c r="I158" i="2"/>
  <c r="D158" i="2"/>
  <c r="I73" i="2"/>
  <c r="D73" i="2"/>
  <c r="Q106" i="3"/>
  <c r="AD93" i="7" l="1"/>
  <c r="Y93" i="3"/>
  <c r="AD92" i="7"/>
  <c r="AF92" i="7" s="1"/>
  <c r="M732" i="10" s="1"/>
  <c r="Q732" i="10" s="1"/>
  <c r="Y92" i="3"/>
  <c r="AF93" i="7"/>
  <c r="M733" i="10" s="1"/>
  <c r="Q733" i="10" s="1"/>
  <c r="AC93" i="3"/>
  <c r="AF126" i="7"/>
  <c r="AC126" i="3"/>
  <c r="AF125" i="7"/>
  <c r="AC125" i="3"/>
  <c r="AF7" i="7"/>
  <c r="M647" i="10" s="1"/>
  <c r="Q647" i="10" s="1"/>
  <c r="AC7" i="3"/>
  <c r="O124" i="3"/>
  <c r="E36" i="2"/>
  <c r="F36" i="2"/>
  <c r="E16" i="2"/>
  <c r="F16" i="2"/>
  <c r="E69" i="2"/>
  <c r="F69" i="2"/>
  <c r="E9" i="2"/>
  <c r="F9" i="2"/>
  <c r="E110" i="2"/>
  <c r="F110" i="2"/>
  <c r="AF47" i="7"/>
  <c r="M687" i="10" s="1"/>
  <c r="Q687" i="10" s="1"/>
  <c r="AC47" i="3"/>
  <c r="O111" i="3"/>
  <c r="V111" i="8"/>
  <c r="T111" i="8" s="1"/>
  <c r="AD14" i="7"/>
  <c r="Y14" i="3"/>
  <c r="E117" i="2"/>
  <c r="F117" i="2"/>
  <c r="E86" i="2"/>
  <c r="F86" i="2"/>
  <c r="E68" i="2"/>
  <c r="F68" i="2"/>
  <c r="E108" i="2"/>
  <c r="F108" i="2"/>
  <c r="AC11" i="3"/>
  <c r="AF11" i="7"/>
  <c r="M651" i="10" s="1"/>
  <c r="Q651" i="10" s="1"/>
  <c r="AD17" i="7"/>
  <c r="Y17" i="3"/>
  <c r="E78" i="2"/>
  <c r="F78" i="2"/>
  <c r="E33" i="2"/>
  <c r="F33" i="2"/>
  <c r="E35" i="2"/>
  <c r="F35" i="2"/>
  <c r="E137" i="2"/>
  <c r="F137" i="2"/>
  <c r="E8" i="2"/>
  <c r="F8" i="2"/>
  <c r="E84" i="2"/>
  <c r="F84" i="2"/>
  <c r="E54" i="2"/>
  <c r="F54" i="2"/>
  <c r="J731" i="10"/>
  <c r="H731" i="10"/>
  <c r="AF20" i="7"/>
  <c r="M660" i="10" s="1"/>
  <c r="Q660" i="10" s="1"/>
  <c r="AC20" i="3"/>
  <c r="AD8" i="7"/>
  <c r="Y8" i="3"/>
  <c r="AD77" i="7"/>
  <c r="Y77" i="3"/>
  <c r="AF69" i="7"/>
  <c r="M709" i="10" s="1"/>
  <c r="Q709" i="10" s="1"/>
  <c r="AC69" i="3"/>
  <c r="E83" i="2"/>
  <c r="F83" i="2"/>
  <c r="E6" i="2"/>
  <c r="F6" i="2"/>
  <c r="E43" i="2"/>
  <c r="F43" i="2"/>
  <c r="E91" i="2"/>
  <c r="F91" i="2"/>
  <c r="E67" i="2"/>
  <c r="F67" i="2"/>
  <c r="E11" i="2"/>
  <c r="F11" i="2"/>
  <c r="E77" i="2"/>
  <c r="F77" i="2"/>
  <c r="E89" i="2"/>
  <c r="F89" i="2"/>
  <c r="L738" i="10"/>
  <c r="O98" i="3"/>
  <c r="V98" i="8"/>
  <c r="T98" i="8" s="1"/>
  <c r="V106" i="8"/>
  <c r="T106" i="8" s="1"/>
  <c r="O106" i="3"/>
  <c r="L746" i="10"/>
  <c r="E70" i="2"/>
  <c r="F70" i="2"/>
  <c r="AD57" i="7"/>
  <c r="Y57" i="3"/>
  <c r="AF42" i="7"/>
  <c r="M682" i="10" s="1"/>
  <c r="Q682" i="10" s="1"/>
  <c r="AC42" i="3"/>
  <c r="V116" i="8"/>
  <c r="T116" i="8" s="1"/>
  <c r="O116" i="3"/>
  <c r="AD83" i="7"/>
  <c r="Y83" i="3"/>
  <c r="E97" i="2"/>
  <c r="F97" i="2"/>
  <c r="E105" i="2"/>
  <c r="F105" i="2"/>
  <c r="E7" i="2"/>
  <c r="F7" i="2"/>
  <c r="AC32" i="3"/>
  <c r="AF32" i="7"/>
  <c r="M672" i="10" s="1"/>
  <c r="Q672" i="10" s="1"/>
  <c r="AF13" i="7"/>
  <c r="M653" i="10" s="1"/>
  <c r="Q653" i="10" s="1"/>
  <c r="AC13" i="3"/>
  <c r="E27" i="2"/>
  <c r="F27" i="2"/>
  <c r="E126" i="2"/>
  <c r="F126" i="2"/>
  <c r="E26" i="2"/>
  <c r="F26" i="2"/>
  <c r="E31" i="2"/>
  <c r="F31" i="2"/>
  <c r="E122" i="2"/>
  <c r="F122" i="2"/>
  <c r="AD12" i="7"/>
  <c r="Y12" i="3"/>
  <c r="AF100" i="7"/>
  <c r="M740" i="10" s="1"/>
  <c r="Q740" i="10" s="1"/>
  <c r="AC100" i="3"/>
  <c r="E42" i="2"/>
  <c r="F42" i="2"/>
  <c r="AD34" i="7"/>
  <c r="Y34" i="3"/>
  <c r="AF24" i="7"/>
  <c r="M664" i="10" s="1"/>
  <c r="Q664" i="10" s="1"/>
  <c r="AC24" i="3"/>
  <c r="AF62" i="7"/>
  <c r="M702" i="10" s="1"/>
  <c r="Q702" i="10" s="1"/>
  <c r="AC62" i="3"/>
  <c r="E73" i="2"/>
  <c r="F73" i="2"/>
  <c r="E158" i="2"/>
  <c r="F158" i="2"/>
  <c r="E128" i="2"/>
  <c r="F128" i="2"/>
  <c r="E34" i="2"/>
  <c r="F34" i="2"/>
  <c r="E112" i="2"/>
  <c r="F112" i="2"/>
  <c r="E14" i="2"/>
  <c r="F14" i="2"/>
  <c r="E96" i="2"/>
  <c r="F96" i="2"/>
  <c r="E13" i="2"/>
  <c r="F13" i="2"/>
  <c r="AF64" i="7"/>
  <c r="M704" i="10" s="1"/>
  <c r="Q704" i="10" s="1"/>
  <c r="AC64" i="3"/>
  <c r="AC28" i="3"/>
  <c r="AF28" i="7"/>
  <c r="M668" i="10" s="1"/>
  <c r="Q668" i="10" s="1"/>
  <c r="E111" i="2"/>
  <c r="F111" i="2"/>
  <c r="E25" i="2"/>
  <c r="F25" i="2"/>
  <c r="AC65" i="3"/>
  <c r="AF65" i="7"/>
  <c r="M705" i="10" s="1"/>
  <c r="Q705" i="10" s="1"/>
  <c r="AF50" i="7"/>
  <c r="M690" i="10" s="1"/>
  <c r="Q690" i="10" s="1"/>
  <c r="AC50" i="3"/>
  <c r="E55" i="2"/>
  <c r="F55" i="2"/>
  <c r="E50" i="2"/>
  <c r="F50" i="2"/>
  <c r="H745" i="10"/>
  <c r="J745" i="10"/>
  <c r="E119" i="2"/>
  <c r="F119" i="2"/>
  <c r="E80" i="2"/>
  <c r="F80" i="2"/>
  <c r="AD55" i="7"/>
  <c r="Y55" i="3"/>
  <c r="E39" i="2"/>
  <c r="F39" i="2"/>
  <c r="AC78" i="3"/>
  <c r="AF78" i="7"/>
  <c r="M718" i="10" s="1"/>
  <c r="Q718" i="10" s="1"/>
  <c r="AC21" i="3"/>
  <c r="AF21" i="7"/>
  <c r="M661" i="10" s="1"/>
  <c r="Q661" i="10" s="1"/>
  <c r="AC29" i="3"/>
  <c r="AF29" i="7"/>
  <c r="M669" i="10" s="1"/>
  <c r="Q669" i="10" s="1"/>
  <c r="H749" i="10"/>
  <c r="J749" i="10"/>
  <c r="E146" i="2"/>
  <c r="F146" i="2"/>
  <c r="E106" i="2"/>
  <c r="F106" i="2"/>
  <c r="E102" i="2"/>
  <c r="F102" i="2"/>
  <c r="E23" i="2"/>
  <c r="F23" i="2"/>
  <c r="E65" i="2"/>
  <c r="F65" i="2"/>
  <c r="E75" i="2"/>
  <c r="F75" i="2"/>
  <c r="E85" i="2"/>
  <c r="F85" i="2"/>
  <c r="E103" i="2"/>
  <c r="F103" i="2"/>
  <c r="E94" i="2"/>
  <c r="F94" i="2"/>
  <c r="E66" i="2"/>
  <c r="F66" i="2"/>
  <c r="AC44" i="3"/>
  <c r="AF44" i="7"/>
  <c r="M684" i="10" s="1"/>
  <c r="Q684" i="10" s="1"/>
  <c r="AF33" i="7"/>
  <c r="M673" i="10" s="1"/>
  <c r="Q673" i="10" s="1"/>
  <c r="AC33" i="3"/>
  <c r="AD9" i="7"/>
  <c r="Y9" i="3"/>
  <c r="AF63" i="7"/>
  <c r="M703" i="10" s="1"/>
  <c r="Q703" i="10" s="1"/>
  <c r="AC63" i="3"/>
  <c r="AF31" i="7"/>
  <c r="M671" i="10" s="1"/>
  <c r="Q671" i="10" s="1"/>
  <c r="AC31" i="3"/>
  <c r="E38" i="2"/>
  <c r="F38" i="2"/>
  <c r="E134" i="2"/>
  <c r="F134" i="2"/>
  <c r="J730" i="10"/>
  <c r="H730" i="10"/>
  <c r="E132" i="2"/>
  <c r="F132" i="2"/>
  <c r="E118" i="2"/>
  <c r="F118" i="2"/>
  <c r="AF30" i="7"/>
  <c r="M670" i="10" s="1"/>
  <c r="Q670" i="10" s="1"/>
  <c r="AC30" i="3"/>
  <c r="E24" i="2"/>
  <c r="F24" i="2"/>
  <c r="E113" i="2"/>
  <c r="F113" i="2"/>
  <c r="E104" i="2"/>
  <c r="F104" i="2"/>
  <c r="E88" i="2"/>
  <c r="F88" i="2"/>
  <c r="E81" i="2"/>
  <c r="F81" i="2"/>
  <c r="AF49" i="7"/>
  <c r="M689" i="10" s="1"/>
  <c r="Q689" i="10" s="1"/>
  <c r="AC49" i="3"/>
  <c r="AF27" i="7"/>
  <c r="M667" i="10" s="1"/>
  <c r="Q667" i="10" s="1"/>
  <c r="AC27" i="3"/>
  <c r="AF81" i="7"/>
  <c r="M721" i="10" s="1"/>
  <c r="Q721" i="10" s="1"/>
  <c r="AC81" i="3"/>
  <c r="AD41" i="7"/>
  <c r="AF41" i="7" s="1"/>
  <c r="M681" i="10" s="1"/>
  <c r="Q681" i="10" s="1"/>
  <c r="Y41" i="3"/>
  <c r="E142" i="2"/>
  <c r="F142" i="2"/>
  <c r="E45" i="2"/>
  <c r="F45" i="2"/>
  <c r="E53" i="2"/>
  <c r="F53" i="2"/>
  <c r="E130" i="2"/>
  <c r="F130" i="2"/>
  <c r="E46" i="2"/>
  <c r="F46" i="2"/>
  <c r="E58" i="2"/>
  <c r="F58" i="2"/>
  <c r="AD73" i="7"/>
  <c r="Y73" i="3"/>
  <c r="AF59" i="7"/>
  <c r="M699" i="10" s="1"/>
  <c r="Q699" i="10" s="1"/>
  <c r="AC59" i="3"/>
  <c r="AF19" i="7"/>
  <c r="M659" i="10" s="1"/>
  <c r="Q659" i="10" s="1"/>
  <c r="AC19" i="3"/>
  <c r="J736" i="10"/>
  <c r="H736" i="10"/>
  <c r="E144" i="2"/>
  <c r="F144" i="2"/>
  <c r="E61" i="2"/>
  <c r="F61" i="2"/>
  <c r="E101" i="2"/>
  <c r="F101" i="2"/>
  <c r="AD106" i="7"/>
  <c r="Y106" i="3"/>
  <c r="AF10" i="7"/>
  <c r="M650" i="10" s="1"/>
  <c r="Q650" i="10" s="1"/>
  <c r="AC10" i="3"/>
  <c r="AF25" i="7"/>
  <c r="M665" i="10" s="1"/>
  <c r="Q665" i="10" s="1"/>
  <c r="AC25" i="3"/>
  <c r="E62" i="2"/>
  <c r="F62" i="2"/>
  <c r="E20" i="2"/>
  <c r="F20" i="2"/>
  <c r="E52" i="2"/>
  <c r="F52" i="2"/>
  <c r="AF26" i="7"/>
  <c r="M666" i="10" s="1"/>
  <c r="Q666" i="10" s="1"/>
  <c r="AC26" i="3"/>
  <c r="AD6" i="7"/>
  <c r="Y6" i="3"/>
  <c r="E79" i="2"/>
  <c r="F79" i="2"/>
  <c r="E60" i="2"/>
  <c r="F60" i="2"/>
  <c r="E48" i="2"/>
  <c r="F48" i="2"/>
  <c r="E21" i="2"/>
  <c r="F21" i="2"/>
  <c r="E124" i="2"/>
  <c r="F124" i="2"/>
  <c r="E76" i="2"/>
  <c r="F76" i="2"/>
  <c r="AF23" i="7"/>
  <c r="M663" i="10" s="1"/>
  <c r="Q663" i="10" s="1"/>
  <c r="AC23" i="3"/>
  <c r="AD15" i="7"/>
  <c r="Y15" i="3"/>
  <c r="AF72" i="7"/>
  <c r="M712" i="10" s="1"/>
  <c r="Q712" i="10" s="1"/>
  <c r="AC72" i="3"/>
  <c r="AF18" i="7"/>
  <c r="M658" i="10" s="1"/>
  <c r="Q658" i="10" s="1"/>
  <c r="AC18" i="3"/>
  <c r="E150" i="2"/>
  <c r="F150" i="2"/>
  <c r="E19" i="2"/>
  <c r="F19" i="2"/>
  <c r="E116" i="2"/>
  <c r="F116" i="2"/>
  <c r="E37" i="2"/>
  <c r="F37" i="2"/>
  <c r="E47" i="2"/>
  <c r="F47" i="2"/>
  <c r="E98" i="2"/>
  <c r="F98" i="2"/>
  <c r="E153" i="2"/>
  <c r="F153" i="2"/>
  <c r="E18" i="2"/>
  <c r="F18" i="2"/>
  <c r="E107" i="2"/>
  <c r="F107" i="2"/>
  <c r="E114" i="2"/>
  <c r="F114" i="2"/>
  <c r="E152" i="2"/>
  <c r="F152" i="2"/>
  <c r="E41" i="2"/>
  <c r="F41" i="2"/>
  <c r="AF61" i="7"/>
  <c r="M701" i="10" s="1"/>
  <c r="Q701" i="10" s="1"/>
  <c r="AC61" i="3"/>
  <c r="AF60" i="7"/>
  <c r="M700" i="10" s="1"/>
  <c r="Q700" i="10" s="1"/>
  <c r="AC60" i="3"/>
  <c r="E72" i="2"/>
  <c r="F72" i="2"/>
  <c r="E109" i="2"/>
  <c r="F109" i="2"/>
  <c r="E30" i="2"/>
  <c r="F30" i="2"/>
  <c r="E123" i="2"/>
  <c r="F123" i="2"/>
  <c r="E100" i="2"/>
  <c r="F100" i="2"/>
  <c r="AF48" i="7"/>
  <c r="M688" i="10" s="1"/>
  <c r="Q688" i="10" s="1"/>
  <c r="AC48" i="3"/>
  <c r="E40" i="2"/>
  <c r="F40" i="2"/>
  <c r="E140" i="2"/>
  <c r="F140" i="2"/>
  <c r="E138" i="2"/>
  <c r="F138" i="2"/>
  <c r="E120" i="2"/>
  <c r="F120" i="2"/>
  <c r="E15" i="2"/>
  <c r="F15" i="2"/>
  <c r="E51" i="2"/>
  <c r="F51" i="2"/>
  <c r="E156" i="2"/>
  <c r="F156" i="2"/>
  <c r="AD67" i="7"/>
  <c r="Y67" i="3"/>
  <c r="AF75" i="7"/>
  <c r="M715" i="10" s="1"/>
  <c r="Q715" i="10" s="1"/>
  <c r="AC75" i="3"/>
  <c r="J743" i="10"/>
  <c r="H743" i="10"/>
  <c r="AF70" i="7"/>
  <c r="M710" i="10" s="1"/>
  <c r="Q710" i="10" s="1"/>
  <c r="AC70" i="3"/>
  <c r="AF80" i="7"/>
  <c r="M720" i="10" s="1"/>
  <c r="Q720" i="10" s="1"/>
  <c r="AC80" i="3"/>
  <c r="AD56" i="7"/>
  <c r="Y56" i="3"/>
  <c r="E92" i="2"/>
  <c r="F92" i="2"/>
  <c r="E12" i="2"/>
  <c r="F12" i="2"/>
  <c r="E145" i="2"/>
  <c r="F145" i="2"/>
  <c r="E64" i="2"/>
  <c r="F64" i="2"/>
  <c r="AF38" i="7"/>
  <c r="M678" i="10" s="1"/>
  <c r="Q678" i="10" s="1"/>
  <c r="AC38" i="3"/>
  <c r="E17" i="2"/>
  <c r="F17" i="2"/>
  <c r="E93" i="2"/>
  <c r="F93" i="2"/>
  <c r="E22" i="2"/>
  <c r="F22" i="2"/>
  <c r="E44" i="2"/>
  <c r="F44" i="2"/>
  <c r="E87" i="2"/>
  <c r="F87" i="2"/>
  <c r="AF66" i="7"/>
  <c r="M706" i="10" s="1"/>
  <c r="Q706" i="10" s="1"/>
  <c r="AC66" i="3"/>
  <c r="E82" i="2"/>
  <c r="F82" i="2"/>
  <c r="E115" i="2"/>
  <c r="F115" i="2"/>
  <c r="E71" i="2"/>
  <c r="F71" i="2"/>
  <c r="E10" i="2"/>
  <c r="F10" i="2"/>
  <c r="AC40" i="3"/>
  <c r="AF40" i="7"/>
  <c r="M680" i="10" s="1"/>
  <c r="Q680" i="10" s="1"/>
  <c r="AD53" i="7"/>
  <c r="Y53" i="3"/>
  <c r="AD84" i="7"/>
  <c r="Y84" i="3"/>
  <c r="AD39" i="7"/>
  <c r="Y39" i="3"/>
  <c r="AF16" i="7"/>
  <c r="M656" i="10" s="1"/>
  <c r="Q656" i="10" s="1"/>
  <c r="AC16" i="3"/>
  <c r="E28" i="2"/>
  <c r="F28" i="2"/>
  <c r="E56" i="2"/>
  <c r="F56" i="2"/>
  <c r="E29" i="2"/>
  <c r="F29" i="2"/>
  <c r="E49" i="2"/>
  <c r="F49" i="2"/>
  <c r="E148" i="2"/>
  <c r="F148" i="2"/>
  <c r="AF71" i="7"/>
  <c r="M711" i="10" s="1"/>
  <c r="Q711" i="10" s="1"/>
  <c r="AC71" i="3"/>
  <c r="AD68" i="7"/>
  <c r="Y68" i="3"/>
  <c r="AC36" i="3"/>
  <c r="AF36" i="7"/>
  <c r="M676" i="10" s="1"/>
  <c r="Q676" i="10" s="1"/>
  <c r="E136" i="2"/>
  <c r="F136" i="2"/>
  <c r="E32" i="2"/>
  <c r="F32" i="2"/>
  <c r="J748" i="10"/>
  <c r="H748" i="10"/>
  <c r="AC58" i="3"/>
  <c r="AF58" i="7"/>
  <c r="M698" i="10" s="1"/>
  <c r="Q698" i="10" s="1"/>
  <c r="J744" i="10"/>
  <c r="H744" i="10"/>
  <c r="E57" i="2"/>
  <c r="F57" i="2"/>
  <c r="J742" i="10"/>
  <c r="H742" i="10"/>
  <c r="AC43" i="3"/>
  <c r="AF43" i="7"/>
  <c r="M683" i="10" s="1"/>
  <c r="Q683" i="10" s="1"/>
  <c r="AF45" i="7"/>
  <c r="M685" i="10" s="1"/>
  <c r="Q685" i="10" s="1"/>
  <c r="AC45" i="3"/>
  <c r="AC51" i="3"/>
  <c r="AF51" i="7"/>
  <c r="M691" i="10" s="1"/>
  <c r="Q691" i="10" s="1"/>
  <c r="AD99" i="7"/>
  <c r="Y99" i="3"/>
  <c r="E95" i="2"/>
  <c r="F95" i="2"/>
  <c r="E129" i="2"/>
  <c r="F129" i="2"/>
  <c r="E63" i="2"/>
  <c r="F63" i="2"/>
  <c r="E99" i="2"/>
  <c r="F99" i="2"/>
  <c r="E154" i="2"/>
  <c r="F154" i="2"/>
  <c r="E74" i="2"/>
  <c r="F74" i="2"/>
  <c r="E59" i="2"/>
  <c r="F59" i="2"/>
  <c r="E90" i="2"/>
  <c r="F90" i="2"/>
  <c r="AC35" i="3"/>
  <c r="AF35" i="7"/>
  <c r="M675" i="10" s="1"/>
  <c r="Q675" i="10" s="1"/>
  <c r="AD76" i="7"/>
  <c r="Y76" i="3"/>
  <c r="AD54" i="7"/>
  <c r="Y54" i="3"/>
  <c r="AF46" i="7"/>
  <c r="M686" i="10" s="1"/>
  <c r="Q686" i="10" s="1"/>
  <c r="AC46" i="3"/>
  <c r="AF22" i="7"/>
  <c r="M662" i="10" s="1"/>
  <c r="Q662" i="10" s="1"/>
  <c r="AC22" i="3"/>
  <c r="AD52" i="7"/>
  <c r="Y52" i="3"/>
  <c r="AC92" i="3" l="1"/>
  <c r="AC56" i="3"/>
  <c r="AF56" i="7"/>
  <c r="M696" i="10" s="1"/>
  <c r="Q696" i="10" s="1"/>
  <c r="AC68" i="3"/>
  <c r="AF68" i="7"/>
  <c r="M708" i="10" s="1"/>
  <c r="Q708" i="10" s="1"/>
  <c r="AC67" i="3"/>
  <c r="AF67" i="7"/>
  <c r="M707" i="10" s="1"/>
  <c r="Q707" i="10" s="1"/>
  <c r="AF73" i="7"/>
  <c r="M713" i="10" s="1"/>
  <c r="Q713" i="10" s="1"/>
  <c r="AC73" i="3"/>
  <c r="AF9" i="7"/>
  <c r="M649" i="10" s="1"/>
  <c r="Q649" i="10" s="1"/>
  <c r="AC9" i="3"/>
  <c r="AF34" i="7"/>
  <c r="M674" i="10" s="1"/>
  <c r="Q674" i="10" s="1"/>
  <c r="AC34" i="3"/>
  <c r="AF8" i="7"/>
  <c r="M648" i="10" s="1"/>
  <c r="Q648" i="10" s="1"/>
  <c r="AC8" i="3"/>
  <c r="AF14" i="7"/>
  <c r="M654" i="10" s="1"/>
  <c r="Q654" i="10" s="1"/>
  <c r="AC14" i="3"/>
  <c r="AF99" i="7"/>
  <c r="M739" i="10" s="1"/>
  <c r="Q739" i="10" s="1"/>
  <c r="AC99" i="3"/>
  <c r="AF39" i="7"/>
  <c r="M679" i="10" s="1"/>
  <c r="Q679" i="10" s="1"/>
  <c r="AC39" i="3"/>
  <c r="AF84" i="7"/>
  <c r="M724" i="10" s="1"/>
  <c r="Q724" i="10" s="1"/>
  <c r="AC84" i="3"/>
  <c r="AF106" i="7"/>
  <c r="M746" i="10" s="1"/>
  <c r="Q746" i="10" s="1"/>
  <c r="AC106" i="3"/>
  <c r="AF57" i="7"/>
  <c r="M697" i="10" s="1"/>
  <c r="Q697" i="10" s="1"/>
  <c r="AC57" i="3"/>
  <c r="J738" i="10"/>
  <c r="H738" i="10"/>
  <c r="AF54" i="7"/>
  <c r="M694" i="10" s="1"/>
  <c r="Q694" i="10" s="1"/>
  <c r="AC54" i="3"/>
  <c r="AC52" i="3"/>
  <c r="AF52" i="7"/>
  <c r="M692" i="10" s="1"/>
  <c r="Q692" i="10" s="1"/>
  <c r="AF76" i="7"/>
  <c r="M716" i="10" s="1"/>
  <c r="Q716" i="10" s="1"/>
  <c r="AC76" i="3"/>
  <c r="AF15" i="7"/>
  <c r="M655" i="10" s="1"/>
  <c r="Q655" i="10" s="1"/>
  <c r="AC15" i="3"/>
  <c r="AF6" i="7"/>
  <c r="M646" i="10" s="1"/>
  <c r="Q646" i="10" s="1"/>
  <c r="AC6" i="3"/>
  <c r="AF55" i="7"/>
  <c r="M695" i="10" s="1"/>
  <c r="Q695" i="10" s="1"/>
  <c r="AC55" i="3"/>
  <c r="AC83" i="3"/>
  <c r="AF83" i="7"/>
  <c r="M723" i="10" s="1"/>
  <c r="Q723" i="10" s="1"/>
  <c r="AF17" i="7"/>
  <c r="M657" i="10" s="1"/>
  <c r="Q657" i="10" s="1"/>
  <c r="AC17" i="3"/>
  <c r="AC53" i="3"/>
  <c r="AF53" i="7"/>
  <c r="M693" i="10" s="1"/>
  <c r="Q693" i="10" s="1"/>
  <c r="J746" i="10"/>
  <c r="H746" i="10"/>
  <c r="AF12" i="7"/>
  <c r="M652" i="10" s="1"/>
  <c r="Q652" i="10" s="1"/>
  <c r="AC12" i="3"/>
  <c r="AF77" i="7"/>
  <c r="M717" i="10" s="1"/>
  <c r="Q717" i="10" s="1"/>
  <c r="AC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April Lewis</author>
  </authors>
  <commentList>
    <comment ref="H78" authorId="0" shapeId="0" xr:uid="{CF52E23B-2388-4198-AF29-BEDDD88C7669}">
      <text>
        <r>
          <rPr>
            <b/>
            <sz val="9"/>
            <color indexed="81"/>
            <rFont val="Tahoma"/>
            <family val="2"/>
          </rPr>
          <t>April Lewis:</t>
        </r>
        <r>
          <rPr>
            <sz val="9"/>
            <color indexed="81"/>
            <rFont val="Tahoma"/>
            <family val="2"/>
          </rPr>
          <t xml:space="preserve">
Drawings only Fab/Procurement on 120-25</t>
        </r>
      </text>
    </comment>
    <comment ref="H101" authorId="0" shapeId="0" xr:uid="{3FF4C9CB-F040-4A81-8B02-AE6C7E425011}">
      <text>
        <r>
          <rPr>
            <b/>
            <sz val="9"/>
            <color indexed="81"/>
            <rFont val="Tahoma"/>
            <family val="2"/>
          </rPr>
          <t>April Lewis:</t>
        </r>
        <r>
          <rPr>
            <sz val="9"/>
            <color indexed="81"/>
            <rFont val="Tahoma"/>
            <family val="2"/>
          </rPr>
          <t xml:space="preserve">
120-25 does not have drawings drawings are 095-25</t>
        </r>
      </text>
    </comment>
    <comment ref="AE105" authorId="0" shapeId="0" xr:uid="{A21B2D27-356D-4ABB-9C64-3153C764F859}">
      <text>
        <r>
          <rPr>
            <b/>
            <sz val="9"/>
            <color indexed="81"/>
            <rFont val="Tahoma"/>
            <family val="2"/>
          </rPr>
          <t>April Lewis:</t>
        </r>
        <r>
          <rPr>
            <sz val="9"/>
            <color indexed="81"/>
            <rFont val="Tahoma"/>
            <family val="2"/>
          </rPr>
          <t xml:space="preserve">
Vertiv Tanks </t>
        </r>
      </text>
    </comment>
  </commentList>
</comments>
</file>

<file path=xl/sharedStrings.xml><?xml version="1.0" encoding="utf-8"?>
<sst xmlns="http://schemas.openxmlformats.org/spreadsheetml/2006/main" count="1022" uniqueCount="447">
  <si>
    <t>Drawing Submittal</t>
  </si>
  <si>
    <t>On Track</t>
  </si>
  <si>
    <t>At Risk</t>
  </si>
  <si>
    <t>Late</t>
  </si>
  <si>
    <t>No Y</t>
  </si>
  <si>
    <t>Job #</t>
  </si>
  <si>
    <t>Customer</t>
  </si>
  <si>
    <t>Rev.</t>
  </si>
  <si>
    <t>Target</t>
  </si>
  <si>
    <t>Actual</t>
  </si>
  <si>
    <t>Days +/-</t>
  </si>
  <si>
    <t>Status</t>
  </si>
  <si>
    <t>Submitted</t>
  </si>
  <si>
    <t>Approved</t>
  </si>
  <si>
    <t>Drawing Return From Customer</t>
  </si>
  <si>
    <t>Blanks only</t>
  </si>
  <si>
    <t>Returned</t>
  </si>
  <si>
    <t>Y</t>
  </si>
  <si>
    <t>Shop Release Readiness</t>
  </si>
  <si>
    <t>Pre-Approval</t>
  </si>
  <si>
    <t>After Return of Approval Drawings</t>
  </si>
  <si>
    <t>Release to Shop By Ship Date</t>
  </si>
  <si>
    <t>App. Prints</t>
  </si>
  <si>
    <t>Long lead  time</t>
  </si>
  <si>
    <t>Prelim BOM</t>
  </si>
  <si>
    <t>Final Calcs</t>
  </si>
  <si>
    <t>Cert Dwgs</t>
  </si>
  <si>
    <t>Update BOM</t>
  </si>
  <si>
    <t>Stock Check</t>
  </si>
  <si>
    <t>Purch Recvd</t>
  </si>
  <si>
    <t>Final BOM</t>
  </si>
  <si>
    <t>Build Plan</t>
  </si>
  <si>
    <t>Burn File</t>
  </si>
  <si>
    <t>QC Checklist</t>
  </si>
  <si>
    <t>Released</t>
  </si>
  <si>
    <t>Drop Dead Date Week of</t>
  </si>
  <si>
    <t>Drawings Certified</t>
  </si>
  <si>
    <t>Days to go</t>
  </si>
  <si>
    <t>days to go</t>
  </si>
  <si>
    <t>All MAT. 
On hand</t>
  </si>
  <si>
    <t>Purchase vs Release</t>
  </si>
  <si>
    <t>Release to Shop</t>
  </si>
  <si>
    <t>Ship Date Week Of</t>
  </si>
  <si>
    <t>Difference drop dead to ship</t>
  </si>
  <si>
    <t>UDR1 Form  (ASME Only)</t>
  </si>
  <si>
    <t>Logistics Confirmed</t>
  </si>
  <si>
    <t>Actual Ship Date</t>
  </si>
  <si>
    <t>COMMENTS</t>
  </si>
  <si>
    <t>HOLD</t>
  </si>
  <si>
    <t>4/29-(2) Head &amp; 5/11-24" Quick Open T-Bolt Manway</t>
  </si>
  <si>
    <t>Actual Dates</t>
  </si>
  <si>
    <t>Job</t>
  </si>
  <si>
    <t>Submitted 0</t>
  </si>
  <si>
    <t>Submitted 1</t>
  </si>
  <si>
    <t>Submitted 2</t>
  </si>
  <si>
    <t>Submitted 3</t>
  </si>
  <si>
    <t>Rev</t>
  </si>
  <si>
    <t>App. Prints Submitted</t>
  </si>
  <si>
    <t>Customer Response</t>
  </si>
  <si>
    <t>Resubmit</t>
  </si>
  <si>
    <t>Customer Drop Dead Date</t>
  </si>
  <si>
    <t>Order Balance</t>
  </si>
  <si>
    <t>All Purchased Parts Recv'd</t>
  </si>
  <si>
    <t>Release</t>
  </si>
  <si>
    <t>Delivery Date</t>
  </si>
  <si>
    <t>U-DR-1 Form (ASME ONLY)</t>
  </si>
  <si>
    <t>Due Date</t>
  </si>
  <si>
    <t>Date Complete</t>
  </si>
  <si>
    <t>NA</t>
  </si>
  <si>
    <t>n/a</t>
  </si>
  <si>
    <t>Change Order Status</t>
  </si>
  <si>
    <t>Project Scope</t>
  </si>
  <si>
    <t>Material Escalation</t>
  </si>
  <si>
    <t>A.I.</t>
  </si>
  <si>
    <t>16-073</t>
  </si>
  <si>
    <t>16-074</t>
  </si>
  <si>
    <t>16-075</t>
  </si>
  <si>
    <t>16-076</t>
  </si>
  <si>
    <t>21-132</t>
  </si>
  <si>
    <t>21-133</t>
  </si>
  <si>
    <t>21-134</t>
  </si>
  <si>
    <t>21-135</t>
  </si>
  <si>
    <t>21-136</t>
  </si>
  <si>
    <t>21-137</t>
  </si>
  <si>
    <t>21-141</t>
  </si>
  <si>
    <t>21-142</t>
  </si>
  <si>
    <t>21-143</t>
  </si>
  <si>
    <t>21-144</t>
  </si>
  <si>
    <t>21-145</t>
  </si>
  <si>
    <t>21-146</t>
  </si>
  <si>
    <t>21-147</t>
  </si>
  <si>
    <t>21-148</t>
  </si>
  <si>
    <t>21-149</t>
  </si>
  <si>
    <t>21-150</t>
  </si>
  <si>
    <t>21-151</t>
  </si>
  <si>
    <t>21-152</t>
  </si>
  <si>
    <t>21-153</t>
  </si>
  <si>
    <t>21-154</t>
  </si>
  <si>
    <t>21-155</t>
  </si>
  <si>
    <t>21-156</t>
  </si>
  <si>
    <t>22-001</t>
  </si>
  <si>
    <t>22-002</t>
  </si>
  <si>
    <t>22-003</t>
  </si>
  <si>
    <t>22-004</t>
  </si>
  <si>
    <t>22-005</t>
  </si>
  <si>
    <t>22-006</t>
  </si>
  <si>
    <t>22-007</t>
  </si>
  <si>
    <t>22-008</t>
  </si>
  <si>
    <t>22-009</t>
  </si>
  <si>
    <t>22-010</t>
  </si>
  <si>
    <t>22-011</t>
  </si>
  <si>
    <t>22-012</t>
  </si>
  <si>
    <t>22-015</t>
  </si>
  <si>
    <t>22-016</t>
  </si>
  <si>
    <t>22-017</t>
  </si>
  <si>
    <t>22-018</t>
  </si>
  <si>
    <t>22-019</t>
  </si>
  <si>
    <t>22-020</t>
  </si>
  <si>
    <t>22-021</t>
  </si>
  <si>
    <t>22-022</t>
  </si>
  <si>
    <t>22-023</t>
  </si>
  <si>
    <t>22-024</t>
  </si>
  <si>
    <t>22-025</t>
  </si>
  <si>
    <t>22-026</t>
  </si>
  <si>
    <t>22-027</t>
  </si>
  <si>
    <t>22-028</t>
  </si>
  <si>
    <t>22-029</t>
  </si>
  <si>
    <t>22-030</t>
  </si>
  <si>
    <t>22-031</t>
  </si>
  <si>
    <t>22-032</t>
  </si>
  <si>
    <t>22-033</t>
  </si>
  <si>
    <t>22-034</t>
  </si>
  <si>
    <t>22-035</t>
  </si>
  <si>
    <t>22-036</t>
  </si>
  <si>
    <t>22-037</t>
  </si>
  <si>
    <t>22-038</t>
  </si>
  <si>
    <t>22-040</t>
  </si>
  <si>
    <t>22-041</t>
  </si>
  <si>
    <t>22-042</t>
  </si>
  <si>
    <t>22-043</t>
  </si>
  <si>
    <t>22-044</t>
  </si>
  <si>
    <t>22-045</t>
  </si>
  <si>
    <t>22-046</t>
  </si>
  <si>
    <t>22-047</t>
  </si>
  <si>
    <t>22-048</t>
  </si>
  <si>
    <t>22-049</t>
  </si>
  <si>
    <t>22-050</t>
  </si>
  <si>
    <t>22-051</t>
  </si>
  <si>
    <t>22-052</t>
  </si>
  <si>
    <t>22-053</t>
  </si>
  <si>
    <t>22-054</t>
  </si>
  <si>
    <t>22-055</t>
  </si>
  <si>
    <t>22-056</t>
  </si>
  <si>
    <t>22-058</t>
  </si>
  <si>
    <t>22-059</t>
  </si>
  <si>
    <t>22-061</t>
  </si>
  <si>
    <t>22-062</t>
  </si>
  <si>
    <t>22-063</t>
  </si>
  <si>
    <t>22-064</t>
  </si>
  <si>
    <t>22-065</t>
  </si>
  <si>
    <t>22-066</t>
  </si>
  <si>
    <t>22-067</t>
  </si>
  <si>
    <t>22-068</t>
  </si>
  <si>
    <t>22-069</t>
  </si>
  <si>
    <t>22-070</t>
  </si>
  <si>
    <t>22-071</t>
  </si>
  <si>
    <t>22-072</t>
  </si>
  <si>
    <t>22-074</t>
  </si>
  <si>
    <t>22-075</t>
  </si>
  <si>
    <t>22-076</t>
  </si>
  <si>
    <t>Today</t>
  </si>
  <si>
    <t>Dates</t>
  </si>
  <si>
    <t>='Actual Dates'!$A$4:$AB$350</t>
  </si>
  <si>
    <t>Jobs</t>
  </si>
  <si>
    <t>='Date Calcs'!$A$4:$AB$350</t>
  </si>
  <si>
    <t>Ship</t>
  </si>
  <si>
    <t>='Date Calcs from Ship Date'!$A$4:$AB$351</t>
  </si>
  <si>
    <t># of weeks per quote</t>
  </si>
  <si>
    <t># of Days---&gt;</t>
  </si>
  <si>
    <t>from c</t>
  </si>
  <si>
    <t>From h</t>
  </si>
  <si>
    <t>From I</t>
  </si>
  <si>
    <t>From J</t>
  </si>
  <si>
    <t>From k</t>
  </si>
  <si>
    <t>From L</t>
  </si>
  <si>
    <t>From M</t>
  </si>
  <si>
    <t>From N</t>
  </si>
  <si>
    <t>from C</t>
  </si>
  <si>
    <t>From I,K,L or N</t>
  </si>
  <si>
    <t>From S</t>
  </si>
  <si>
    <t>From Z</t>
  </si>
  <si>
    <t>Order Date</t>
  </si>
  <si>
    <t>min design</t>
  </si>
  <si>
    <t>max design</t>
  </si>
  <si>
    <t>min build</t>
  </si>
  <si>
    <t>max build</t>
  </si>
  <si>
    <t>Weeks Drawings on Hold by Customer</t>
  </si>
  <si>
    <t>Weeks Fabrication on Hold by Customer</t>
  </si>
  <si>
    <t>Customer Ship Date</t>
  </si>
  <si>
    <t>Release Target</t>
  </si>
  <si>
    <r>
      <rPr>
        <b/>
        <sz val="12"/>
        <color rgb="FF000000"/>
        <rFont val="Calibri"/>
        <family val="2"/>
        <charset val="1"/>
      </rPr>
      <t>U-DR-1 Form</t>
    </r>
    <r>
      <rPr>
        <b/>
        <sz val="9"/>
        <color rgb="FF000000"/>
        <rFont val="Calibri"/>
        <family val="2"/>
        <charset val="1"/>
      </rPr>
      <t xml:space="preserve"> (ASME ONLY)</t>
    </r>
  </si>
  <si>
    <t>24-046</t>
  </si>
  <si>
    <t>SYMS Engineering</t>
  </si>
  <si>
    <t>25-010</t>
  </si>
  <si>
    <t>Kimberly Clark</t>
  </si>
  <si>
    <t>25-011</t>
  </si>
  <si>
    <t>25-012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</si>
  <si>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</si>
  <si>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</si>
  <si>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</si>
  <si>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</si>
  <si>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</si>
  <si>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</si>
  <si>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</si>
  <si>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</si>
  <si>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</si>
  <si>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25-023</t>
  </si>
  <si>
    <t>Andritz</t>
  </si>
  <si>
    <t>25-024</t>
  </si>
  <si>
    <t>25-025</t>
  </si>
  <si>
    <t>Irving Tissue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</si>
  <si>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</si>
  <si>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</si>
  <si>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</si>
  <si>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</si>
  <si>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</si>
  <si>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</si>
  <si>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</si>
  <si>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</si>
  <si>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</si>
  <si>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</si>
  <si>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</si>
  <si>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</si>
  <si>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25-039</t>
  </si>
  <si>
    <t>Zachry</t>
  </si>
  <si>
    <t>25-040</t>
  </si>
  <si>
    <t>NAK Kiln</t>
  </si>
  <si>
    <t>25-042</t>
  </si>
  <si>
    <t>25-044</t>
  </si>
  <si>
    <t>Noah Industrial</t>
  </si>
  <si>
    <t>25-045</t>
  </si>
  <si>
    <t>ProPipe</t>
  </si>
  <si>
    <t>25-052</t>
  </si>
  <si>
    <t>Kraton</t>
  </si>
  <si>
    <t>25-053</t>
  </si>
  <si>
    <t>25-054</t>
  </si>
  <si>
    <t>Chromascape</t>
  </si>
  <si>
    <t>25-055</t>
  </si>
  <si>
    <t>Airgas</t>
  </si>
  <si>
    <t>25-056</t>
  </si>
  <si>
    <t>Reco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</si>
  <si>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</si>
  <si>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</si>
  <si>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</si>
  <si>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</si>
  <si>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</si>
  <si>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</si>
  <si>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</si>
  <si>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</si>
  <si>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</si>
  <si>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</si>
  <si>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</si>
  <si>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</si>
  <si>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</si>
  <si>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</si>
  <si>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</si>
  <si>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</si>
  <si>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Burke Industrial</t>
  </si>
  <si>
    <t>25-073</t>
  </si>
  <si>
    <t>25-074</t>
  </si>
  <si>
    <t>Kemira</t>
  </si>
  <si>
    <t>25-075</t>
  </si>
  <si>
    <t>25-076</t>
  </si>
  <si>
    <t>Irving tissue</t>
  </si>
  <si>
    <t>25-077</t>
  </si>
  <si>
    <t>Epic Systems</t>
  </si>
  <si>
    <t>25-078</t>
  </si>
  <si>
    <t>25-079</t>
  </si>
  <si>
    <t>25-080</t>
  </si>
  <si>
    <t>Domtar</t>
  </si>
  <si>
    <t>25-083</t>
  </si>
  <si>
    <t>Synthomer</t>
  </si>
  <si>
    <t>25-084</t>
  </si>
  <si>
    <t>Atlas Minerals</t>
  </si>
  <si>
    <t>25-085</t>
  </si>
  <si>
    <t>25-086</t>
  </si>
  <si>
    <t>Tellus</t>
  </si>
  <si>
    <t>25-087</t>
  </si>
  <si>
    <t>Solvay</t>
  </si>
  <si>
    <t>25-088</t>
  </si>
  <si>
    <t>CIL Isotopes</t>
  </si>
  <si>
    <t>25-089</t>
  </si>
  <si>
    <t>Valmet</t>
  </si>
  <si>
    <t>25-090</t>
  </si>
  <si>
    <t>GAF</t>
  </si>
  <si>
    <t>25-091</t>
  </si>
  <si>
    <t>US Sugar</t>
  </si>
  <si>
    <t>25-092</t>
  </si>
  <si>
    <t>Symrise</t>
  </si>
  <si>
    <t>25-093</t>
  </si>
  <si>
    <t>25-094</t>
  </si>
  <si>
    <t>25-095</t>
  </si>
  <si>
    <t>25-096</t>
  </si>
  <si>
    <t>Milliken</t>
  </si>
  <si>
    <t>25-097</t>
  </si>
  <si>
    <t>25-098</t>
  </si>
  <si>
    <t>Coastal Technologies</t>
  </si>
  <si>
    <t>25-099</t>
  </si>
  <si>
    <t>25-101</t>
  </si>
  <si>
    <t>Harper Love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</si>
  <si>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</si>
  <si>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</si>
  <si>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</si>
  <si>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</si>
  <si>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</si>
  <si>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</si>
  <si>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</si>
  <si>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</si>
  <si>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</si>
  <si>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</si>
  <si>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</si>
  <si>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</si>
  <si>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25-115</t>
  </si>
  <si>
    <t>25-116</t>
  </si>
  <si>
    <t>Polynt</t>
  </si>
  <si>
    <t>25-117</t>
  </si>
  <si>
    <t>Merrick</t>
  </si>
  <si>
    <t>25-118</t>
  </si>
  <si>
    <t>25-119</t>
  </si>
  <si>
    <t>Vertiv</t>
  </si>
  <si>
    <t>25-120</t>
  </si>
  <si>
    <t>25-121</t>
  </si>
  <si>
    <t>25-122</t>
  </si>
  <si>
    <t>25-123</t>
  </si>
  <si>
    <t>25-124</t>
  </si>
  <si>
    <t>25-356</t>
  </si>
  <si>
    <t>25-357</t>
  </si>
  <si>
    <t>Sylvamo</t>
  </si>
  <si>
    <t>25-358</t>
  </si>
  <si>
    <t>26-002</t>
  </si>
  <si>
    <t>SNF</t>
  </si>
  <si>
    <t>26-003</t>
  </si>
  <si>
    <t>26-004</t>
  </si>
  <si>
    <t>26-005</t>
  </si>
  <si>
    <t>26-014</t>
  </si>
  <si>
    <t>26-015</t>
  </si>
  <si>
    <t>26-016</t>
  </si>
  <si>
    <t>26-017</t>
  </si>
  <si>
    <t>26-018</t>
  </si>
  <si>
    <t>26-020</t>
  </si>
  <si>
    <t>26-021</t>
  </si>
  <si>
    <t>26-022</t>
  </si>
  <si>
    <t>26-024</t>
  </si>
  <si>
    <t># of weeks per schedule</t>
  </si>
  <si>
    <t>to c</t>
  </si>
  <si>
    <t>Ship Date</t>
  </si>
  <si>
    <t>Fabrication</t>
  </si>
  <si>
    <t>Testing</t>
  </si>
  <si>
    <t>Painting / Sandblasting</t>
  </si>
  <si>
    <t>Cleaning</t>
  </si>
  <si>
    <t>Shipping Prep</t>
  </si>
  <si>
    <t>Last Possible Resubmit</t>
  </si>
  <si>
    <t>Last Possible Customer Response</t>
  </si>
  <si>
    <t>Long lead  time order by</t>
  </si>
  <si>
    <t>Prelim BOM complete by</t>
  </si>
  <si>
    <t>Parts to Arrive</t>
  </si>
  <si>
    <t>ALT JOB #</t>
  </si>
  <si>
    <t>Shipped</t>
  </si>
  <si>
    <t>QC Document Created</t>
  </si>
  <si>
    <t>Customer Notified of ETA</t>
  </si>
  <si>
    <t>As Built Drawings</t>
  </si>
  <si>
    <t>QC Documents</t>
  </si>
  <si>
    <t>Shipping Photographs</t>
  </si>
  <si>
    <t>Ship Loose Verified</t>
  </si>
  <si>
    <t>Sent Survey Email</t>
  </si>
  <si>
    <t>Comments</t>
  </si>
  <si>
    <t>Yes</t>
  </si>
  <si>
    <t>N/A</t>
  </si>
  <si>
    <t>Wait for end of Project</t>
  </si>
  <si>
    <t>OGSM 2019 (EFFICIENCY MEASURE)</t>
  </si>
  <si>
    <t>JOB</t>
  </si>
  <si>
    <t>CUSTOMER</t>
  </si>
  <si>
    <t>PO RECEIVING</t>
  </si>
  <si>
    <t>KICK-OFF MEETING</t>
  </si>
  <si>
    <t>INITIAL DWG SUBMISSION</t>
  </si>
  <si>
    <t>BILL OF MATERIAL</t>
  </si>
  <si>
    <t>BUILT PLAN</t>
  </si>
  <si>
    <t>CERTIFIED DWG</t>
  </si>
  <si>
    <t>SHOP RELEASE</t>
  </si>
  <si>
    <t>CYCLE TIME</t>
  </si>
  <si>
    <t>DWG DELAY</t>
  </si>
  <si>
    <t>RELEASE DELAY</t>
  </si>
  <si>
    <t>REMARK</t>
  </si>
  <si>
    <t>TIME PERIOD</t>
  </si>
  <si>
    <t>DWG DUE</t>
  </si>
  <si>
    <t>DWG ON TIME</t>
  </si>
  <si>
    <t>EFFICIENCY</t>
  </si>
  <si>
    <t>EXPECTED</t>
  </si>
  <si>
    <t xml:space="preserve">ACTUAL </t>
  </si>
  <si>
    <t>ACTUAL</t>
  </si>
  <si>
    <t>NP ON VACATION</t>
  </si>
  <si>
    <t>APPROVAL ON LEG</t>
  </si>
  <si>
    <t>Customer changes</t>
  </si>
  <si>
    <t>AI dwg CHECK</t>
  </si>
  <si>
    <t>TOE plate JN 071-18</t>
  </si>
  <si>
    <t>CRN APPROVAL</t>
  </si>
  <si>
    <t>NO SCALED DWG</t>
  </si>
  <si>
    <t>Hurricane Dorian</t>
  </si>
  <si>
    <t>YATES JOB WAS PRIORITY</t>
  </si>
  <si>
    <t>JAN' 2021</t>
  </si>
  <si>
    <t>FAB'2021</t>
  </si>
  <si>
    <t>MAR'21</t>
  </si>
  <si>
    <t xml:space="preserve">TARGET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</si>
  <si>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</si>
  <si>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</si>
  <si>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</si>
  <si>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</si>
  <si>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</si>
  <si>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</si>
  <si>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</si>
  <si>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</si>
  <si>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</si>
  <si>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</si>
  <si>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</si>
  <si>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</si>
  <si>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26-025</t>
  </si>
  <si>
    <t>Blake &amp; Pendleton</t>
  </si>
  <si>
    <t>26-026</t>
  </si>
  <si>
    <t>26-027</t>
  </si>
  <si>
    <t>26-028</t>
  </si>
  <si>
    <t>LATE</t>
  </si>
  <si>
    <t>TIME AVAILABLE</t>
  </si>
  <si>
    <t>Within the week</t>
  </si>
  <si>
    <t>8-14 DAYS AVAILABLE</t>
  </si>
  <si>
    <t>KEY:</t>
  </si>
  <si>
    <t>Final Invoice Required sent 3/18/26</t>
  </si>
  <si>
    <t>26-030</t>
  </si>
  <si>
    <t>26-031</t>
  </si>
  <si>
    <t>26-032</t>
  </si>
  <si>
    <t>26-033</t>
  </si>
  <si>
    <t>Sysenqo</t>
  </si>
  <si>
    <t>Kimberly-Clark</t>
  </si>
  <si>
    <t>Shipped w/18</t>
  </si>
  <si>
    <t>SEND NOW PROJECT COMPLETE</t>
  </si>
  <si>
    <t>Next Shipment when 8 are ready</t>
  </si>
  <si>
    <t>Other Requested by Customer</t>
  </si>
  <si>
    <t>Order for Components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</si>
</sst>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8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8"/>
      <color rgb="FF0000FF"/>
      <name val="MS Sans Serif"/>
      <family val="2"/>
      <charset val="1"/>
    </font>
    <font>
      <sz val="1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FF"/>
      <name val="MS Sans Serif"/>
      <charset val="1"/>
    </font>
    <font>
      <sz val="9"/>
      <color rgb="FFFFFFFF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8"/>
      <color rgb="FF0000FF"/>
      <name val="MS Sans Serif"/>
      <charset val="1"/>
    </font>
    <font>
      <b/>
      <sz val="9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8"/>
      <color rgb="FF0000FF"/>
      <name val="MS Sans Serif"/>
      <family val="2"/>
      <charset val="1"/>
    </font>
    <font>
      <b/>
      <sz val="9"/>
      <color rgb="FF0000FF"/>
      <name val="MS Sans Serif"/>
      <charset val="1"/>
    </font>
    <font>
      <b/>
      <sz val="12"/>
      <color rgb="FF0000FF"/>
      <name val="MS Sans Serif"/>
      <charset val="1"/>
    </font>
    <font>
      <sz val="11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charset val="1"/>
    </font>
    <font>
      <b/>
      <sz val="16"/>
      <color theme="0"/>
      <name val="Calibri"/>
      <family val="2"/>
    </font>
    <font>
      <b/>
      <sz val="12"/>
      <name val="Calibri"/>
      <family val="2"/>
    </font>
    <font>
      <sz val="8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E6B9B8"/>
        <bgColor rgb="FFFAC090"/>
      </patternFill>
    </fill>
    <fill>
      <patternFill patternType="solid">
        <fgColor rgb="FFC6D9F1"/>
        <bgColor rgb="FFB9CDE5"/>
      </patternFill>
    </fill>
    <fill>
      <patternFill patternType="solid">
        <fgColor rgb="FFDDD9C3"/>
        <bgColor rgb="FFD9D9D9"/>
      </patternFill>
    </fill>
    <fill>
      <patternFill patternType="solid">
        <fgColor rgb="FFFAC090"/>
        <bgColor rgb="FFE6B9B8"/>
      </patternFill>
    </fill>
    <fill>
      <patternFill patternType="solid">
        <fgColor rgb="FF92D050"/>
        <bgColor rgb="FF9BBB59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DDD9C3"/>
      </patternFill>
    </fill>
    <fill>
      <patternFill patternType="solid">
        <fgColor rgb="FFD7E4BD"/>
        <bgColor rgb="FFDDD9C3"/>
      </patternFill>
    </fill>
    <fill>
      <patternFill patternType="solid">
        <fgColor rgb="FFFFFF00"/>
        <bgColor rgb="FFFFC000"/>
      </patternFill>
    </fill>
    <fill>
      <patternFill patternType="solid">
        <fgColor rgb="FF9BBB59"/>
        <bgColor rgb="FF92D050"/>
      </patternFill>
    </fill>
    <fill>
      <patternFill patternType="solid">
        <fgColor rgb="FFFDEADA"/>
        <bgColor rgb="FFF2F2F2"/>
      </patternFill>
    </fill>
    <fill>
      <patternFill patternType="solid">
        <fgColor rgb="FFDBEEF4"/>
        <bgColor rgb="FFF2F2F2"/>
      </patternFill>
    </fill>
    <fill>
      <patternFill patternType="solid">
        <fgColor rgb="FF8EB4E3"/>
        <bgColor rgb="FF99CCFF"/>
      </patternFill>
    </fill>
    <fill>
      <patternFill patternType="solid">
        <fgColor rgb="FFB9CDE5"/>
        <bgColor rgb="FFC6D9F1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0080"/>
      </left>
      <right style="thin">
        <color rgb="FF800080"/>
      </right>
      <top style="thin">
        <color rgb="FF800080"/>
      </top>
      <bottom style="thin">
        <color rgb="FF800080"/>
      </bottom>
      <diagonal/>
    </border>
    <border>
      <left/>
      <right/>
      <top style="thin">
        <color rgb="FF800080"/>
      </top>
      <bottom style="thin">
        <color rgb="FF800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800080"/>
      </left>
      <right style="medium">
        <color rgb="FF800080"/>
      </right>
      <top style="thin">
        <color rgb="FF800080"/>
      </top>
      <bottom style="thin">
        <color rgb="FF800080"/>
      </bottom>
      <diagonal/>
    </border>
    <border>
      <left/>
      <right style="thin">
        <color rgb="FF800080"/>
      </right>
      <top style="thin">
        <color rgb="FF800080"/>
      </top>
      <bottom style="thin">
        <color rgb="FF8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800080"/>
      </left>
      <right/>
      <top style="thin">
        <color rgb="FF800080"/>
      </top>
      <bottom style="thin">
        <color rgb="FF800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rgb="FF800080"/>
      </bottom>
      <diagonal/>
    </border>
  </borders>
  <cellStyleXfs count="6">
    <xf numFmtId="0" fontId="0" fillId="0" borderId="0"/>
    <xf numFmtId="9" fontId="21" fillId="0" borderId="0" applyBorder="0" applyProtection="0"/>
    <xf numFmtId="1" fontId="1" fillId="2" borderId="1">
      <alignment horizontal="center" vertical="center"/>
    </xf>
    <xf numFmtId="0" fontId="2" fillId="3" borderId="2">
      <alignment horizontal="left"/>
    </xf>
    <xf numFmtId="14" fontId="3" fillId="4" borderId="3"/>
    <xf numFmtId="0" fontId="4" fillId="5" borderId="0" applyBorder="0"/>
  </cellStyleXfs>
  <cellXfs count="187">
    <xf numFmtId="0" fontId="0" fillId="0" borderId="0" xfId="0"/>
    <xf numFmtId="0" fontId="1" fillId="0" borderId="15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14" fontId="10" fillId="4" borderId="3" xfId="4" applyFont="1" applyAlignment="1">
      <alignment vertical="top" wrapText="1"/>
    </xf>
    <xf numFmtId="14" fontId="0" fillId="0" borderId="0" xfId="0" applyNumberForma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5" fillId="0" borderId="1" xfId="0" applyFont="1" applyBorder="1" applyAlignment="1">
      <alignment horizontal="center" vertical="top"/>
    </xf>
    <xf numFmtId="0" fontId="0" fillId="2" borderId="0" xfId="0" applyFill="1" applyAlignment="1">
      <alignment vertical="top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0" fillId="9" borderId="0" xfId="0" applyFill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 vertical="top"/>
    </xf>
    <xf numFmtId="0" fontId="6" fillId="8" borderId="1" xfId="0" applyFont="1" applyFill="1" applyBorder="1" applyAlignment="1">
      <alignment horizontal="center" vertical="center"/>
    </xf>
    <xf numFmtId="0" fontId="0" fillId="2" borderId="0" xfId="0" applyFill="1"/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9" fillId="0" borderId="5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14" fontId="10" fillId="4" borderId="3" xfId="4" applyFont="1" applyAlignment="1">
      <alignment horizontal="center" wrapText="1"/>
    </xf>
    <xf numFmtId="14" fontId="10" fillId="4" borderId="3" xfId="4" applyFont="1" applyAlignment="1">
      <alignment wrapText="1"/>
    </xf>
    <xf numFmtId="14" fontId="10" fillId="4" borderId="3" xfId="4" applyFont="1" applyAlignment="1">
      <alignment horizontal="center" vertical="top" wrapText="1"/>
    </xf>
    <xf numFmtId="14" fontId="11" fillId="3" borderId="2" xfId="3" applyNumberFormat="1" applyFont="1" applyAlignment="1" applyProtection="1">
      <alignment horizontal="center" vertical="top" wrapText="1"/>
      <protection locked="0"/>
    </xf>
    <xf numFmtId="0" fontId="11" fillId="3" borderId="2" xfId="3" applyFont="1" applyAlignment="1" applyProtection="1">
      <alignment horizontal="center" vertical="top"/>
      <protection locked="0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64" fontId="13" fillId="5" borderId="1" xfId="5" applyNumberFormat="1" applyFont="1" applyBorder="1" applyAlignment="1">
      <alignment horizontal="center" vertical="center"/>
    </xf>
    <xf numFmtId="1" fontId="1" fillId="2" borderId="1" xfId="2">
      <alignment horizontal="center" vertical="center"/>
    </xf>
    <xf numFmtId="164" fontId="6" fillId="5" borderId="1" xfId="5" applyNumberFormat="1" applyFont="1" applyBorder="1" applyAlignment="1">
      <alignment horizontal="center" vertical="center"/>
    </xf>
    <xf numFmtId="1" fontId="13" fillId="5" borderId="1" xfId="5" applyNumberFormat="1" applyFont="1" applyBorder="1" applyAlignment="1">
      <alignment horizontal="center" vertical="center"/>
    </xf>
    <xf numFmtId="0" fontId="13" fillId="5" borderId="1" xfId="5" applyFont="1" applyBorder="1" applyAlignment="1">
      <alignment vertical="center"/>
    </xf>
    <xf numFmtId="0" fontId="13" fillId="5" borderId="0" xfId="5" applyFont="1" applyBorder="1" applyAlignment="1">
      <alignment horizontal="center" vertical="center"/>
    </xf>
    <xf numFmtId="0" fontId="13" fillId="5" borderId="4" xfId="5" applyFont="1" applyBorder="1" applyAlignment="1">
      <alignment horizontal="center" vertical="center"/>
    </xf>
    <xf numFmtId="0" fontId="13" fillId="5" borderId="6" xfId="5" applyFont="1" applyBorder="1" applyAlignment="1">
      <alignment horizontal="center" vertical="center"/>
    </xf>
    <xf numFmtId="14" fontId="13" fillId="5" borderId="1" xfId="5" applyNumberFormat="1" applyFont="1" applyBorder="1" applyAlignment="1">
      <alignment horizontal="center" vertical="center"/>
    </xf>
    <xf numFmtId="1" fontId="6" fillId="5" borderId="1" xfId="5" applyNumberFormat="1" applyFont="1" applyBorder="1" applyAlignment="1">
      <alignment horizontal="center" vertical="center"/>
    </xf>
    <xf numFmtId="0" fontId="6" fillId="5" borderId="1" xfId="5" applyFont="1" applyBorder="1" applyAlignment="1">
      <alignment vertical="center"/>
    </xf>
    <xf numFmtId="0" fontId="6" fillId="5" borderId="0" xfId="5" applyFont="1" applyBorder="1" applyAlignment="1">
      <alignment horizontal="center" vertical="center"/>
    </xf>
    <xf numFmtId="0" fontId="6" fillId="5" borderId="4" xfId="5" applyFont="1" applyBorder="1" applyAlignment="1">
      <alignment horizontal="center" vertical="center"/>
    </xf>
    <xf numFmtId="0" fontId="6" fillId="5" borderId="6" xfId="5" applyFont="1" applyBorder="1" applyAlignment="1">
      <alignment horizontal="center" vertical="center"/>
    </xf>
    <xf numFmtId="14" fontId="6" fillId="5" borderId="1" xfId="5" applyNumberFormat="1" applyFont="1" applyBorder="1" applyAlignment="1">
      <alignment horizontal="center" vertical="center"/>
    </xf>
    <xf numFmtId="0" fontId="6" fillId="5" borderId="1" xfId="5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/>
    <xf numFmtId="0" fontId="10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5" xfId="0" applyBorder="1" applyProtection="1">
      <protection locked="0"/>
    </xf>
    <xf numFmtId="0" fontId="0" fillId="0" borderId="5" xfId="0" applyBorder="1"/>
    <xf numFmtId="0" fontId="0" fillId="0" borderId="6" xfId="0" applyBorder="1" applyProtection="1">
      <protection locked="0"/>
    </xf>
    <xf numFmtId="14" fontId="14" fillId="4" borderId="3" xfId="4" applyFont="1" applyAlignment="1">
      <alignment horizontal="center"/>
    </xf>
    <xf numFmtId="14" fontId="3" fillId="4" borderId="3" xfId="4" applyAlignment="1">
      <alignment horizontal="left" textRotation="180"/>
    </xf>
    <xf numFmtId="14" fontId="14" fillId="4" borderId="7" xfId="4" applyFont="1" applyBorder="1" applyAlignment="1">
      <alignment horizontal="center" vertical="center" textRotation="180"/>
    </xf>
    <xf numFmtId="0" fontId="15" fillId="3" borderId="8" xfId="3" applyFont="1" applyBorder="1" applyAlignment="1" applyProtection="1">
      <alignment horizontal="center" wrapText="1"/>
      <protection locked="0"/>
    </xf>
    <xf numFmtId="0" fontId="15" fillId="3" borderId="2" xfId="3" applyFont="1" applyAlignment="1" applyProtection="1">
      <alignment horizontal="center" wrapText="1"/>
      <protection locked="0"/>
    </xf>
    <xf numFmtId="1" fontId="14" fillId="4" borderId="3" xfId="4" applyNumberFormat="1" applyFont="1" applyAlignment="1">
      <alignment horizontal="center"/>
    </xf>
    <xf numFmtId="0" fontId="16" fillId="0" borderId="9" xfId="0" applyFont="1" applyBorder="1" applyAlignment="1">
      <alignment horizontal="center" wrapText="1"/>
    </xf>
    <xf numFmtId="0" fontId="15" fillId="3" borderId="2" xfId="3" applyFont="1" applyAlignment="1" applyProtection="1">
      <alignment horizontal="center"/>
      <protection locked="0"/>
    </xf>
    <xf numFmtId="14" fontId="14" fillId="4" borderId="3" xfId="4" applyFont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wrapText="1"/>
    </xf>
    <xf numFmtId="0" fontId="8" fillId="0" borderId="0" xfId="0" applyFont="1"/>
    <xf numFmtId="1" fontId="3" fillId="4" borderId="3" xfId="4" applyNumberFormat="1"/>
    <xf numFmtId="14" fontId="3" fillId="4" borderId="3" xfId="4"/>
    <xf numFmtId="14" fontId="14" fillId="4" borderId="7" xfId="4" applyFont="1" applyBorder="1" applyAlignment="1">
      <alignment horizontal="center"/>
    </xf>
    <xf numFmtId="14" fontId="8" fillId="10" borderId="10" xfId="0" applyNumberFormat="1" applyFont="1" applyFill="1" applyBorder="1" applyProtection="1">
      <protection locked="0"/>
    </xf>
    <xf numFmtId="14" fontId="8" fillId="10" borderId="11" xfId="0" applyNumberFormat="1" applyFont="1" applyFill="1" applyBorder="1" applyProtection="1">
      <protection locked="0"/>
    </xf>
    <xf numFmtId="14" fontId="8" fillId="0" borderId="11" xfId="0" applyNumberFormat="1" applyFont="1" applyBorder="1" applyAlignment="1">
      <alignment horizontal="center"/>
    </xf>
    <xf numFmtId="14" fontId="8" fillId="10" borderId="11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10" borderId="11" xfId="0" applyFont="1" applyFill="1" applyBorder="1" applyProtection="1">
      <protection locked="0"/>
    </xf>
    <xf numFmtId="0" fontId="8" fillId="10" borderId="10" xfId="0" applyFont="1" applyFill="1" applyBorder="1" applyProtection="1">
      <protection locked="0"/>
    </xf>
    <xf numFmtId="0" fontId="8" fillId="0" borderId="0" xfId="0" applyFont="1" applyProtection="1">
      <protection locked="0"/>
    </xf>
    <xf numFmtId="14" fontId="6" fillId="0" borderId="4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17" fillId="0" borderId="0" xfId="0" applyFont="1"/>
    <xf numFmtId="0" fontId="17" fillId="0" borderId="1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1" fontId="10" fillId="0" borderId="0" xfId="0" applyNumberFormat="1" applyFont="1" applyAlignment="1">
      <alignment horizontal="center"/>
    </xf>
    <xf numFmtId="1" fontId="0" fillId="0" borderId="0" xfId="0" applyNumberFormat="1"/>
    <xf numFmtId="0" fontId="0" fillId="10" borderId="0" xfId="0" applyFill="1"/>
    <xf numFmtId="14" fontId="8" fillId="0" borderId="0" xfId="0" applyNumberFormat="1" applyFont="1"/>
    <xf numFmtId="0" fontId="8" fillId="10" borderId="0" xfId="0" applyFont="1" applyFill="1"/>
    <xf numFmtId="1" fontId="16" fillId="0" borderId="0" xfId="0" applyNumberFormat="1" applyFont="1" applyAlignment="1">
      <alignment horizontal="center"/>
    </xf>
    <xf numFmtId="0" fontId="15" fillId="3" borderId="2" xfId="3" applyFont="1" applyAlignment="1">
      <alignment horizontal="left" wrapText="1"/>
    </xf>
    <xf numFmtId="0" fontId="17" fillId="10" borderId="1" xfId="0" applyFont="1" applyFill="1" applyBorder="1" applyAlignment="1">
      <alignment horizontal="center" wrapText="1"/>
    </xf>
    <xf numFmtId="0" fontId="15" fillId="3" borderId="2" xfId="3" applyFont="1" applyAlignment="1">
      <alignment horizontal="center" wrapText="1"/>
    </xf>
    <xf numFmtId="0" fontId="2" fillId="3" borderId="2" xfId="3">
      <alignment horizontal="left"/>
    </xf>
    <xf numFmtId="14" fontId="2" fillId="3" borderId="2" xfId="3" applyNumberFormat="1">
      <alignment horizontal="left"/>
    </xf>
    <xf numFmtId="0" fontId="18" fillId="3" borderId="2" xfId="3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19" fillId="4" borderId="2" xfId="3" applyFont="1" applyFill="1" applyAlignment="1" applyProtection="1">
      <alignment horizontal="left" wrapText="1"/>
      <protection locked="0"/>
    </xf>
    <xf numFmtId="0" fontId="17" fillId="0" borderId="9" xfId="0" applyFont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7" fillId="10" borderId="9" xfId="0" applyFont="1" applyFill="1" applyBorder="1" applyAlignment="1" applyProtection="1">
      <alignment horizontal="center" wrapText="1"/>
      <protection locked="0"/>
    </xf>
    <xf numFmtId="0" fontId="17" fillId="0" borderId="0" xfId="0" applyFont="1" applyProtection="1">
      <protection locked="0"/>
    </xf>
    <xf numFmtId="0" fontId="2" fillId="4" borderId="2" xfId="3" applyFill="1">
      <alignment horizontal="left"/>
    </xf>
    <xf numFmtId="14" fontId="3" fillId="4" borderId="14" xfId="0" applyNumberFormat="1" applyFont="1" applyFill="1" applyBorder="1"/>
    <xf numFmtId="0" fontId="2" fillId="3" borderId="2" xfId="3" applyProtection="1">
      <alignment horizontal="left"/>
      <protection locked="0"/>
    </xf>
    <xf numFmtId="14" fontId="3" fillId="4" borderId="3" xfId="0" applyNumberFormat="1" applyFont="1" applyFill="1" applyBorder="1"/>
    <xf numFmtId="0" fontId="3" fillId="4" borderId="3" xfId="0" applyFont="1" applyFill="1" applyBorder="1"/>
    <xf numFmtId="1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4" fontId="10" fillId="4" borderId="3" xfId="4" applyFont="1" applyAlignment="1" applyProtection="1">
      <alignment horizontal="center" wrapText="1"/>
      <protection locked="0"/>
    </xf>
    <xf numFmtId="0" fontId="20" fillId="3" borderId="2" xfId="3" applyFont="1" applyAlignment="1" applyProtection="1">
      <alignment horizontal="center" vertical="center" wrapText="1"/>
      <protection locked="0"/>
    </xf>
    <xf numFmtId="0" fontId="20" fillId="3" borderId="2" xfId="3" applyFont="1" applyAlignment="1" applyProtection="1">
      <alignment horizontal="center" vertical="top" wrapText="1"/>
      <protection locked="0"/>
    </xf>
    <xf numFmtId="14" fontId="1" fillId="4" borderId="3" xfId="4" applyFont="1"/>
    <xf numFmtId="14" fontId="1" fillId="0" borderId="1" xfId="0" applyNumberFormat="1" applyFont="1" applyBorder="1" applyAlignment="1" applyProtection="1">
      <alignment horizontal="center" vertical="center"/>
      <protection locked="0"/>
    </xf>
    <xf numFmtId="14" fontId="1" fillId="11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4" fontId="1" fillId="4" borderId="3" xfId="4" applyFont="1" applyAlignment="1">
      <alignment horizontal="right"/>
    </xf>
    <xf numFmtId="0" fontId="10" fillId="0" borderId="0" xfId="0" applyFont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1" xfId="0" applyBorder="1" applyAlignment="1">
      <alignment wrapText="1"/>
    </xf>
    <xf numFmtId="0" fontId="2" fillId="12" borderId="2" xfId="0" applyFont="1" applyFill="1" applyBorder="1" applyAlignment="1">
      <alignment horizontal="left" wrapText="1"/>
    </xf>
    <xf numFmtId="0" fontId="2" fillId="11" borderId="2" xfId="0" applyFont="1" applyFill="1" applyBorder="1" applyAlignment="1">
      <alignment horizontal="left" wrapText="1"/>
    </xf>
    <xf numFmtId="14" fontId="2" fillId="11" borderId="2" xfId="0" applyNumberFormat="1" applyFont="1" applyFill="1" applyBorder="1" applyAlignment="1">
      <alignment horizontal="left" wrapText="1"/>
    </xf>
    <xf numFmtId="14" fontId="0" fillId="13" borderId="2" xfId="0" applyNumberFormat="1" applyFill="1" applyBorder="1" applyAlignment="1">
      <alignment horizontal="center" wrapText="1"/>
    </xf>
    <xf numFmtId="1" fontId="0" fillId="14" borderId="2" xfId="0" applyNumberForma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15" borderId="0" xfId="0" applyFill="1" applyAlignment="1">
      <alignment horizontal="center" wrapText="1"/>
    </xf>
    <xf numFmtId="0" fontId="0" fillId="15" borderId="0" xfId="0" applyFill="1" applyAlignment="1">
      <alignment horizontal="left" wrapText="1"/>
    </xf>
    <xf numFmtId="0" fontId="0" fillId="15" borderId="0" xfId="0" applyFill="1" applyAlignment="1">
      <alignment horizontal="center"/>
    </xf>
    <xf numFmtId="14" fontId="0" fillId="13" borderId="2" xfId="0" applyNumberFormat="1" applyFill="1" applyBorder="1" applyAlignment="1">
      <alignment horizontal="center"/>
    </xf>
    <xf numFmtId="0" fontId="7" fillId="1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9" fontId="21" fillId="0" borderId="0" xfId="1" applyBorder="1" applyAlignment="1" applyProtection="1">
      <alignment horizontal="center" vertical="center" wrapText="1"/>
    </xf>
    <xf numFmtId="9" fontId="21" fillId="0" borderId="0" xfId="1" applyBorder="1" applyAlignment="1" applyProtection="1">
      <alignment horizontal="center" vertical="center"/>
    </xf>
    <xf numFmtId="9" fontId="21" fillId="0" borderId="0" xfId="1" applyBorder="1" applyAlignment="1" applyProtection="1">
      <alignment vertical="center"/>
    </xf>
    <xf numFmtId="0" fontId="0" fillId="16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0" borderId="0" xfId="0" applyNumberFormat="1"/>
    <xf numFmtId="0" fontId="0" fillId="16" borderId="0" xfId="0" applyFill="1"/>
    <xf numFmtId="0" fontId="0" fillId="2" borderId="0" xfId="0" applyFill="1" applyAlignment="1">
      <alignment horizontal="center"/>
    </xf>
    <xf numFmtId="0" fontId="24" fillId="17" borderId="5" xfId="0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 applyProtection="1">
      <alignment horizontal="center" vertical="center"/>
      <protection locked="0"/>
    </xf>
    <xf numFmtId="14" fontId="3" fillId="20" borderId="14" xfId="0" applyNumberFormat="1" applyFont="1" applyFill="1" applyBorder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25" fillId="2" borderId="1" xfId="2" applyFont="1">
      <alignment horizontal="center" vertical="center"/>
    </xf>
    <xf numFmtId="0" fontId="26" fillId="18" borderId="13" xfId="0" applyFont="1" applyFill="1" applyBorder="1" applyAlignment="1">
      <alignment horizontal="center"/>
    </xf>
    <xf numFmtId="14" fontId="10" fillId="4" borderId="3" xfId="4" applyFont="1" applyAlignment="1">
      <alignment vertical="top" wrapText="1"/>
    </xf>
    <xf numFmtId="0" fontId="9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 applyProtection="1">
      <alignment horizontal="center"/>
      <protection locked="0"/>
    </xf>
    <xf numFmtId="0" fontId="0" fillId="15" borderId="2" xfId="0" applyFill="1" applyBorder="1" applyAlignment="1">
      <alignment horizontal="center"/>
    </xf>
    <xf numFmtId="9" fontId="21" fillId="0" borderId="0" xfId="1" applyBorder="1" applyAlignment="1" applyProtection="1">
      <alignment horizontal="center" vertical="center" wrapText="1"/>
    </xf>
    <xf numFmtId="9" fontId="21" fillId="0" borderId="0" xfId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15" borderId="2" xfId="0" applyFont="1" applyFill="1" applyBorder="1" applyAlignment="1">
      <alignment horizontal="center"/>
    </xf>
    <xf numFmtId="0" fontId="0" fillId="15" borderId="2" xfId="0" applyFill="1" applyBorder="1" applyAlignment="1">
      <alignment horizontal="center" wrapText="1"/>
    </xf>
    <xf numFmtId="0" fontId="0" fillId="15" borderId="2" xfId="0" applyFill="1" applyBorder="1" applyAlignment="1">
      <alignment horizontal="left" wrapText="1"/>
    </xf>
    <xf numFmtId="0" fontId="10" fillId="0" borderId="15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0" fillId="0" borderId="0" xfId="0" applyFont="1" applyAlignment="1">
      <alignment horizontal="center" vertical="center"/>
    </xf>
  </cellXfs>
  <cellStyles count="6">
    <cellStyle name="Date Close" xfId="2" xr:uid="{00000000-0005-0000-0000-000006000000}"/>
    <cellStyle name="Enter Info" xfId="3" xr:uid="{00000000-0005-0000-0000-000007000000}"/>
    <cellStyle name="Formula Do Not Enter" xfId="4" xr:uid="{00000000-0005-0000-0000-000008000000}"/>
    <cellStyle name="HOLD" xfId="5" xr:uid="{00000000-0005-0000-0000-000009000000}"/>
    <cellStyle name="Normal" xfId="0" builtinId="0"/>
    <cellStyle name="Percent" xfId="1" builtinId="5"/>
  </cellStyles>
  <dxfs count="71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00"/>
      </font>
      <fill>
        <patternFill>
          <bgColor rgb="FFFFC000"/>
        </patternFill>
      </fill>
    </dxf>
    <dxf>
      <fill>
        <patternFill>
          <bgColor rgb="FFFAC090"/>
        </patternFill>
      </fill>
    </dxf>
    <dxf>
      <font>
        <color rgb="FFBFBFBF"/>
      </font>
      <fill>
        <patternFill>
          <bgColor rgb="FFFFFFFF"/>
        </patternFill>
      </fill>
    </dxf>
    <dxf>
      <font>
        <color rgb="FFD9D9D9"/>
      </font>
      <fill>
        <patternFill>
          <bgColor rgb="FFFFFF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E6B9B8"/>
        </patternFill>
      </fill>
    </dxf>
    <dxf>
      <fill>
        <patternFill>
          <bgColor rgb="FFFFC000"/>
        </patternFill>
      </fill>
    </dxf>
    <dxf>
      <font>
        <color rgb="FFFFFFFF"/>
      </font>
      <fill>
        <patternFill>
          <bgColor rgb="FFE6B9B8"/>
        </patternFill>
      </fill>
    </dxf>
    <dxf>
      <fill>
        <patternFill>
          <bgColor rgb="FFFFC000"/>
        </patternFill>
      </fill>
    </dxf>
    <dxf>
      <font>
        <color rgb="FFD9D9D9"/>
      </font>
      <fill>
        <patternFill>
          <bgColor rgb="FFFFFF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BFBFBF"/>
      </font>
      <fill>
        <patternFill>
          <bgColor rgb="FFFFFFFF"/>
        </patternFill>
      </fill>
    </dxf>
    <dxf>
      <font>
        <color rgb="FFFFFFFF"/>
      </font>
      <fill>
        <patternFill>
          <bgColor rgb="FFE6B9B8"/>
        </patternFill>
      </fill>
    </dxf>
    <dxf>
      <fill>
        <patternFill>
          <bgColor rgb="FFFFC000"/>
        </patternFill>
      </fill>
    </dxf>
    <dxf>
      <font>
        <color rgb="FFD9D9D9"/>
      </font>
      <fill>
        <patternFill>
          <bgColor rgb="FFFFFF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BFBFBF"/>
      </font>
      <fill>
        <patternFill>
          <bgColor rgb="FFFFFFFF"/>
        </patternFill>
      </fill>
    </dxf>
    <dxf>
      <font>
        <color rgb="FFFFFFFF"/>
      </font>
      <fill>
        <patternFill>
          <bgColor rgb="FFE6B9B8"/>
        </patternFill>
      </fill>
    </dxf>
    <dxf>
      <fill>
        <patternFill>
          <bgColor rgb="FFFFC000"/>
        </patternFill>
      </fill>
    </dxf>
    <dxf>
      <font>
        <color rgb="FFD9D9D9"/>
      </font>
      <fill>
        <patternFill>
          <bgColor rgb="FFFFFF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E6B9B8"/>
        </patternFill>
      </fill>
    </dxf>
    <dxf>
      <fill>
        <patternFill>
          <bgColor rgb="FFFFC000"/>
        </patternFill>
      </fill>
    </dxf>
    <dxf>
      <font>
        <color rgb="FFD9D9D9"/>
      </font>
      <fill>
        <patternFill>
          <bgColor rgb="FFFFFF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E6B9B8"/>
        </patternFill>
      </fill>
    </dxf>
    <dxf>
      <fill>
        <patternFill>
          <bgColor rgb="FFFFC000"/>
        </patternFill>
      </fill>
    </dxf>
    <dxf>
      <font>
        <color rgb="FFD9D9D9"/>
      </font>
      <fill>
        <patternFill>
          <bgColor rgb="FFFFFF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BFBFBF"/>
      </font>
      <fill>
        <patternFill>
          <bgColor rgb="FFFFFFFF"/>
        </patternFill>
      </fill>
    </dxf>
    <dxf>
      <font>
        <color rgb="FFFFFFFF"/>
      </font>
      <fill>
        <patternFill>
          <bgColor rgb="FFD7E4BD"/>
        </patternFill>
      </fill>
    </dxf>
    <dxf>
      <font>
        <color rgb="FFFFFFFF"/>
      </font>
      <fill>
        <patternFill>
          <bgColor rgb="FFD7E4B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E6B9B8"/>
        </patternFill>
      </fill>
    </dxf>
    <dxf>
      <fill>
        <patternFill>
          <bgColor rgb="FFFFC000"/>
        </patternFill>
      </fill>
    </dxf>
    <dxf>
      <font>
        <color rgb="FFD9D9D9"/>
      </font>
      <fill>
        <patternFill>
          <bgColor rgb="FFFFFF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D7E4BD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b/>
        <i val="0"/>
        <color rgb="FF000000"/>
      </font>
      <fill>
        <patternFill>
          <bgColor rgb="FFBFBFBF"/>
        </patternFill>
      </fill>
    </dxf>
    <dxf>
      <font>
        <color rgb="FFFFFFFF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4F81BD"/>
      <rgbColor rgb="FF8EB4E3"/>
      <rgbColor rgb="FFC0504D"/>
      <rgbColor rgb="FFFDEADA"/>
      <rgbColor rgb="FFDBEEF4"/>
      <rgbColor rgb="FF660066"/>
      <rgbColor rgb="FFD9D9D9"/>
      <rgbColor rgb="FF2E5F99"/>
      <rgbColor rgb="FFC6D9F1"/>
      <rgbColor rgb="FF000080"/>
      <rgbColor rgb="FFFF00FF"/>
      <rgbColor rgb="FFDDD9C3"/>
      <rgbColor rgb="FF00FFFF"/>
      <rgbColor rgb="FF800080"/>
      <rgbColor rgb="FF800000"/>
      <rgbColor rgb="FF008080"/>
      <rgbColor rgb="FF0000FF"/>
      <rgbColor rgb="FF00B0F0"/>
      <rgbColor rgb="FFF2F2F2"/>
      <rgbColor rgb="FFC6EFCE"/>
      <rgbColor rgb="FFD7E4BD"/>
      <rgbColor rgb="FF99CCFF"/>
      <rgbColor rgb="FFE6B9B8"/>
      <rgbColor rgb="FFB9CDE5"/>
      <rgbColor rgb="FFFAC090"/>
      <rgbColor rgb="FF3C7AC7"/>
      <rgbColor rgb="FF33CCCC"/>
      <rgbColor rgb="FF92D050"/>
      <rgbColor rgb="FFFFC000"/>
      <rgbColor rgb="FFFF9900"/>
      <rgbColor rgb="FFFF6600"/>
      <rgbColor rgb="FF595959"/>
      <rgbColor rgb="FF9BBB59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INITIAL APPROVAL DWG SUBMISSION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noFill/>
        <a:ln w="9360">
          <a:noFill/>
        </a:ln>
      </c:spPr>
    </c:floor>
    <c:sideWall>
      <c:thickness val="0"/>
      <c:spPr>
        <a:noFill/>
        <a:ln w="9360">
          <a:noFill/>
        </a:ln>
      </c:spPr>
    </c:sideWall>
    <c:backWall>
      <c:thickness val="0"/>
      <c:spPr>
        <a:noFill/>
        <a:ln w="936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EFFICIENCY'!$C$5:$C$28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0-41E5-AE0C-4FB63B120E2B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EFFICIENCY'!$D$5:$D$28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0-41E5-AE0C-4FB63B120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140227"/>
        <c:axId val="94654596"/>
        <c:axId val="0"/>
      </c:bar3DChart>
      <c:catAx>
        <c:axId val="471402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4654596"/>
        <c:crosses val="autoZero"/>
        <c:auto val="1"/>
        <c:lblAlgn val="ctr"/>
        <c:lblOffset val="100"/>
        <c:noMultiLvlLbl val="0"/>
      </c:catAx>
      <c:valAx>
        <c:axId val="946545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714022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7">
                <a:solidFill>
                  <a:srgbClr val="F2F2F2"/>
                </a:solidFill>
                <a:latin typeface="Calibri"/>
              </a:rPr>
              <a:t>DWG SUBMISSION EFFICIENCY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674573265351399E-2"/>
          <c:y val="0.10076228300557299"/>
          <c:w val="0.89148747506096204"/>
          <c:h val="0.711229261418230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'DRAWING EFFICIENCY'!$B$3:$B$4</c:f>
              <c:strCache>
                <c:ptCount val="2"/>
                <c:pt idx="0">
                  <c:v>TIME PERIOD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100000">
                  <a:srgbClr val="3C7AC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EFFICIENCY'!$B$5:$B$28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5-40B9-BF6C-65B8524489EA}"/>
            </c:ext>
          </c:extLst>
        </c:ser>
        <c:ser>
          <c:idx val="1"/>
          <c:order val="1"/>
          <c:tx>
            <c:strRef>
              <c:f>'DRAWING EFFICIENCY'!$E$3:$E$4</c:f>
              <c:strCache>
                <c:ptCount val="2"/>
                <c:pt idx="0">
                  <c:v>EFFICIENCY</c:v>
                </c:pt>
              </c:strCache>
            </c:strRef>
          </c:tx>
          <c:spPr>
            <a:solidFill>
              <a:srgbClr val="92D050"/>
            </a:solidFill>
            <a:ln w="0">
              <a:solidFill>
                <a:srgbClr val="00B0F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EFFICIENCY'!$E$5:$E$28</c:f>
              <c:numCache>
                <c:formatCode>0%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45-40B9-BF6C-65B852448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7252312"/>
        <c:axId val="31701802"/>
      </c:barChart>
      <c:lineChart>
        <c:grouping val="standard"/>
        <c:varyColors val="0"/>
        <c:ser>
          <c:idx val="2"/>
          <c:order val="2"/>
          <c:tx>
            <c:strRef>
              <c:f>'DRAWING EFFICIENCY'!$F$3:$F$4</c:f>
              <c:strCache>
                <c:ptCount val="2"/>
                <c:pt idx="0">
                  <c:v>TARGET </c:v>
                </c:pt>
              </c:strCache>
            </c:strRef>
          </c:tx>
          <c:spPr>
            <a:ln w="34920" cap="rnd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'DRAWING EFFICIENCY'!$A$5:$B$28</c:f>
              <c:multiLvlStrCache>
                <c:ptCount val="2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</c:lvl>
              </c:multiLvlStrCache>
            </c:multiLvlStrRef>
          </c:cat>
          <c:val>
            <c:numRef>
              <c:f>'DRAWING EFFICIENCY'!$F$5:$F$28</c:f>
              <c:numCache>
                <c:formatCode>0%</c:formatCode>
                <c:ptCount val="24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45-40B9-BF6C-65B852448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7252312"/>
        <c:axId val="31701802"/>
      </c:lineChart>
      <c:catAx>
        <c:axId val="67252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31701802"/>
        <c:crosses val="autoZero"/>
        <c:auto val="1"/>
        <c:lblAlgn val="ctr"/>
        <c:lblOffset val="100"/>
        <c:noMultiLvlLbl val="0"/>
      </c:catAx>
      <c:valAx>
        <c:axId val="31701802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67252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142920</xdr:colOff>
      <xdr:row>2</xdr:row>
      <xdr:rowOff>19080</xdr:rowOff>
    </xdr:from>
    <xdr:to>
      <xdr:col>18</xdr:col>
      <xdr:colOff>71280</xdr:colOff>
      <xdr:row>31</xdr:row>
      <xdr:rowOff>114120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76320</xdr:colOff>
      <xdr:row>2</xdr:row>
      <xdr:rowOff>19080</xdr:rowOff>
    </xdr:from>
    <xdr:to>
      <xdr:col>28</xdr:col>
      <xdr:colOff>456840</xdr:colOff>
      <xdr:row>31</xdr:row>
      <xdr:rowOff>104400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ril/MASTER%20SCHEDULE.xlsx" TargetMode="External"/><Relationship Id="rId2" Type="http://schemas.openxmlformats.org/officeDocument/2006/relationships/externalLinkPath" Target="file:///P:\April\MASTER%20SCHEDULE.xlsx" TargetMode="External"/><Relationship Id="rId1" Type="http://schemas.openxmlformats.org/officeDocument/2006/relationships/externalLinkPath" Target="/April/MASTER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hedule Not Certified"/>
      <sheetName val="CERTIFIED"/>
      <sheetName val="To Customer"/>
    </sheetNames>
    <sheetDataSet>
      <sheetData sheetId="0">
        <row r="1">
          <cell r="C1" t="str">
            <v>Schedule Not Certified</v>
          </cell>
          <cell r="D1"/>
          <cell r="E1"/>
          <cell r="F1"/>
        </row>
        <row r="2">
          <cell r="C2" t="str">
            <v>JOB #</v>
          </cell>
          <cell r="D2" t="str">
            <v>Tank Dimensions</v>
          </cell>
          <cell r="E2" t="str">
            <v>PLANNED SHIPMENT WEEK OF</v>
          </cell>
          <cell r="F2" t="str">
            <v>PO RECVD</v>
          </cell>
        </row>
        <row r="3">
          <cell r="C3" t="str">
            <v>25-053</v>
          </cell>
          <cell r="D3" t="str">
            <v>N/A</v>
          </cell>
          <cell r="E3">
            <v>46174</v>
          </cell>
          <cell r="F3">
            <v>45810</v>
          </cell>
        </row>
        <row r="4">
          <cell r="C4" t="str">
            <v>CUSTOMER?</v>
          </cell>
          <cell r="D4"/>
          <cell r="E4"/>
        </row>
        <row r="5">
          <cell r="C5"/>
          <cell r="D5"/>
          <cell r="E5"/>
        </row>
        <row r="6">
          <cell r="C6"/>
          <cell r="D6"/>
          <cell r="E6"/>
        </row>
        <row r="7">
          <cell r="C7"/>
          <cell r="D7"/>
          <cell r="E7"/>
        </row>
        <row r="8">
          <cell r="C8"/>
          <cell r="D8"/>
          <cell r="E8"/>
        </row>
        <row r="9">
          <cell r="C9"/>
          <cell r="D9"/>
          <cell r="E9"/>
        </row>
        <row r="10">
          <cell r="C10" t="str">
            <v>25-108</v>
          </cell>
          <cell r="D10" t="str">
            <v>5' ID x 8' Straight Side x 1/4” thick</v>
          </cell>
          <cell r="E10">
            <v>46174</v>
          </cell>
          <cell r="F10">
            <v>45960</v>
          </cell>
        </row>
        <row r="11">
          <cell r="C11" t="str">
            <v>SAV TANK</v>
          </cell>
          <cell r="D11"/>
          <cell r="E11"/>
        </row>
        <row r="12">
          <cell r="C12"/>
          <cell r="D12"/>
          <cell r="E12"/>
        </row>
        <row r="13">
          <cell r="C13"/>
          <cell r="D13"/>
          <cell r="E13"/>
        </row>
        <row r="14">
          <cell r="C14"/>
          <cell r="D14"/>
          <cell r="E14"/>
        </row>
        <row r="15">
          <cell r="C15"/>
          <cell r="D15"/>
          <cell r="E15"/>
        </row>
        <row r="16">
          <cell r="C16"/>
          <cell r="D16"/>
          <cell r="E16"/>
        </row>
        <row r="17">
          <cell r="C17" t="str">
            <v>25-116</v>
          </cell>
          <cell r="D17" t="str">
            <v>10' OD x 38' straight side x 3/16” thick</v>
          </cell>
          <cell r="E17">
            <v>46189</v>
          </cell>
          <cell r="F17">
            <v>45965</v>
          </cell>
        </row>
        <row r="18">
          <cell r="C18" t="str">
            <v>SAV TANK</v>
          </cell>
          <cell r="D18"/>
          <cell r="E18"/>
        </row>
        <row r="19">
          <cell r="C19"/>
          <cell r="D19"/>
          <cell r="E19"/>
        </row>
        <row r="20">
          <cell r="C20"/>
          <cell r="D20"/>
          <cell r="E20"/>
        </row>
        <row r="21">
          <cell r="C21"/>
          <cell r="D21"/>
          <cell r="E21"/>
        </row>
        <row r="22">
          <cell r="C22"/>
          <cell r="D22"/>
          <cell r="E22"/>
        </row>
        <row r="23">
          <cell r="C23"/>
          <cell r="D23"/>
          <cell r="E23"/>
        </row>
        <row r="24">
          <cell r="C24" t="str">
            <v>25-120</v>
          </cell>
          <cell r="D24" t="str">
            <v>20' x 44' Oval x 17' x 1/2" thick</v>
          </cell>
          <cell r="E24">
            <v>46209</v>
          </cell>
          <cell r="F24">
            <v>45982</v>
          </cell>
        </row>
        <row r="25">
          <cell r="C25" t="str">
            <v>CUSTOMER</v>
          </cell>
          <cell r="D25"/>
          <cell r="E25"/>
        </row>
        <row r="26">
          <cell r="C26"/>
          <cell r="D26"/>
          <cell r="E26"/>
        </row>
        <row r="27">
          <cell r="C27"/>
          <cell r="D27"/>
          <cell r="E27"/>
        </row>
        <row r="28">
          <cell r="C28"/>
          <cell r="D28"/>
          <cell r="E28"/>
        </row>
        <row r="29">
          <cell r="C29"/>
          <cell r="D29"/>
          <cell r="E29"/>
        </row>
        <row r="30">
          <cell r="C30"/>
          <cell r="D30"/>
          <cell r="E30"/>
        </row>
        <row r="31">
          <cell r="C31" t="str">
            <v>25-121</v>
          </cell>
          <cell r="D31" t="str">
            <v>16' ID x 18' straight side x 1/4” thick</v>
          </cell>
          <cell r="E31">
            <v>46160</v>
          </cell>
          <cell r="F31">
            <v>45995</v>
          </cell>
        </row>
        <row r="32">
          <cell r="C32" t="str">
            <v>SAV TANK</v>
          </cell>
          <cell r="D32"/>
          <cell r="E32"/>
        </row>
        <row r="33">
          <cell r="C33"/>
          <cell r="D33"/>
          <cell r="E33"/>
        </row>
        <row r="34">
          <cell r="C34"/>
          <cell r="D34"/>
          <cell r="E34"/>
        </row>
        <row r="35">
          <cell r="C35"/>
          <cell r="D35"/>
          <cell r="E35"/>
        </row>
        <row r="36">
          <cell r="C36"/>
          <cell r="D36"/>
          <cell r="E36"/>
        </row>
        <row r="37">
          <cell r="C37"/>
          <cell r="D37"/>
          <cell r="E37"/>
        </row>
        <row r="38">
          <cell r="C38" t="str">
            <v>25-122</v>
          </cell>
          <cell r="D38" t="str">
            <v>14' ID x 18' straight side x 1/4” thick</v>
          </cell>
          <cell r="E38">
            <v>46160</v>
          </cell>
          <cell r="F38">
            <v>45995</v>
          </cell>
        </row>
        <row r="39">
          <cell r="C39" t="str">
            <v>SAV TANK</v>
          </cell>
          <cell r="D39"/>
          <cell r="E39"/>
        </row>
        <row r="40">
          <cell r="C40"/>
          <cell r="D40"/>
          <cell r="E40"/>
        </row>
        <row r="41">
          <cell r="C41"/>
          <cell r="D41"/>
          <cell r="E41"/>
        </row>
        <row r="42">
          <cell r="C42"/>
          <cell r="D42"/>
          <cell r="E42"/>
        </row>
        <row r="43">
          <cell r="C43"/>
          <cell r="D43"/>
          <cell r="E43"/>
        </row>
        <row r="44">
          <cell r="C44"/>
          <cell r="D44"/>
          <cell r="E44"/>
        </row>
        <row r="45">
          <cell r="C45" t="str">
            <v>25-123</v>
          </cell>
          <cell r="D45" t="str">
            <v>10' ID X 10' straight side x 1/4” thick</v>
          </cell>
          <cell r="E45">
            <v>46160</v>
          </cell>
          <cell r="F45">
            <v>45995</v>
          </cell>
        </row>
        <row r="46">
          <cell r="C46" t="str">
            <v>SAV TANK</v>
          </cell>
          <cell r="D46"/>
          <cell r="E46"/>
        </row>
        <row r="47">
          <cell r="C47"/>
          <cell r="D47"/>
          <cell r="E47"/>
        </row>
        <row r="48">
          <cell r="C48"/>
          <cell r="D48"/>
          <cell r="E48"/>
        </row>
        <row r="49">
          <cell r="C49"/>
          <cell r="D49"/>
          <cell r="E49"/>
        </row>
        <row r="50">
          <cell r="C50"/>
          <cell r="D50"/>
          <cell r="E50"/>
        </row>
        <row r="51">
          <cell r="C51"/>
          <cell r="D51"/>
          <cell r="E51"/>
        </row>
        <row r="52">
          <cell r="C52" t="str">
            <v>26-002</v>
          </cell>
          <cell r="D52" t="str">
            <v>15' OD x 15' Straight Side</v>
          </cell>
          <cell r="E52">
            <v>46204</v>
          </cell>
          <cell r="F52">
            <v>46031</v>
          </cell>
        </row>
        <row r="53">
          <cell r="C53" t="str">
            <v>SAV TANK</v>
          </cell>
          <cell r="D53"/>
          <cell r="E53"/>
        </row>
        <row r="54">
          <cell r="C54"/>
          <cell r="D54"/>
          <cell r="E54"/>
        </row>
        <row r="55">
          <cell r="C55"/>
          <cell r="D55"/>
          <cell r="E55"/>
        </row>
        <row r="56">
          <cell r="C56"/>
          <cell r="D56"/>
          <cell r="E56"/>
        </row>
        <row r="57">
          <cell r="C57"/>
          <cell r="D57"/>
          <cell r="E57"/>
        </row>
        <row r="58">
          <cell r="C58"/>
          <cell r="D58"/>
          <cell r="E58"/>
        </row>
        <row r="59">
          <cell r="C59" t="str">
            <v>26-003</v>
          </cell>
          <cell r="D59" t="str">
            <v>15' OD x 15' Straight Side</v>
          </cell>
          <cell r="E59">
            <v>46204</v>
          </cell>
          <cell r="F59">
            <v>46031</v>
          </cell>
        </row>
        <row r="60">
          <cell r="C60" t="str">
            <v>SAV TANK</v>
          </cell>
          <cell r="D60"/>
          <cell r="E60"/>
        </row>
        <row r="61">
          <cell r="C61"/>
          <cell r="D61"/>
          <cell r="E61"/>
        </row>
        <row r="62">
          <cell r="C62"/>
          <cell r="D62"/>
          <cell r="E62"/>
        </row>
        <row r="63">
          <cell r="C63"/>
          <cell r="D63"/>
          <cell r="E63"/>
        </row>
        <row r="64">
          <cell r="C64"/>
          <cell r="D64"/>
          <cell r="E64"/>
        </row>
        <row r="65">
          <cell r="C65"/>
          <cell r="D65"/>
          <cell r="E65"/>
        </row>
        <row r="66">
          <cell r="C66" t="str">
            <v>26-004</v>
          </cell>
          <cell r="D66" t="str">
            <v>15' OD x 15' Straight Side</v>
          </cell>
          <cell r="E66">
            <v>46204</v>
          </cell>
          <cell r="F66">
            <v>46031</v>
          </cell>
        </row>
        <row r="67">
          <cell r="C67" t="str">
            <v>SAV TANK</v>
          </cell>
          <cell r="D67"/>
          <cell r="E67"/>
        </row>
        <row r="68">
          <cell r="D68"/>
          <cell r="E68"/>
        </row>
        <row r="69">
          <cell r="C69"/>
          <cell r="D69"/>
          <cell r="E69"/>
        </row>
        <row r="70">
          <cell r="C70"/>
          <cell r="D70"/>
          <cell r="E70"/>
        </row>
        <row r="71">
          <cell r="C71"/>
          <cell r="D71"/>
          <cell r="E71"/>
        </row>
        <row r="72">
          <cell r="C72"/>
          <cell r="D72"/>
          <cell r="E72"/>
        </row>
        <row r="73">
          <cell r="C73" t="str">
            <v>26-014</v>
          </cell>
          <cell r="D73" t="str">
            <v>8' OD x 10' straight side</v>
          </cell>
          <cell r="E73">
            <v>46174</v>
          </cell>
          <cell r="F73">
            <v>46034</v>
          </cell>
        </row>
        <row r="74">
          <cell r="C74" t="str">
            <v>SAV TANK</v>
          </cell>
          <cell r="D74"/>
          <cell r="E74"/>
        </row>
        <row r="75">
          <cell r="C75"/>
          <cell r="D75"/>
          <cell r="E75"/>
        </row>
        <row r="76">
          <cell r="C76"/>
          <cell r="D76"/>
          <cell r="E76"/>
        </row>
        <row r="77">
          <cell r="C77"/>
          <cell r="D77"/>
          <cell r="E77"/>
        </row>
        <row r="78">
          <cell r="C78"/>
          <cell r="D78"/>
          <cell r="E78"/>
        </row>
        <row r="79">
          <cell r="C79"/>
          <cell r="D79"/>
          <cell r="E79"/>
        </row>
        <row r="80">
          <cell r="C80" t="str">
            <v>26-015</v>
          </cell>
          <cell r="D80" t="str">
            <v>10' OD x 11' straight side</v>
          </cell>
          <cell r="E80">
            <v>46196</v>
          </cell>
          <cell r="F80">
            <v>46064</v>
          </cell>
        </row>
        <row r="81">
          <cell r="C81" t="str">
            <v>SAV TANK</v>
          </cell>
          <cell r="D81"/>
          <cell r="E81"/>
        </row>
        <row r="82">
          <cell r="C82"/>
          <cell r="D82"/>
          <cell r="E82"/>
        </row>
        <row r="83">
          <cell r="C83"/>
          <cell r="D83"/>
          <cell r="E83"/>
        </row>
        <row r="84">
          <cell r="C84"/>
          <cell r="D84"/>
          <cell r="E84"/>
        </row>
        <row r="85">
          <cell r="C85"/>
          <cell r="D85"/>
          <cell r="E85"/>
        </row>
        <row r="86">
          <cell r="C86"/>
          <cell r="D86"/>
          <cell r="E86"/>
        </row>
        <row r="87">
          <cell r="C87" t="str">
            <v>26-016</v>
          </cell>
          <cell r="D87" t="str">
            <v>13' OD x 14' straight side</v>
          </cell>
          <cell r="E87">
            <v>46196</v>
          </cell>
          <cell r="F87">
            <v>46064</v>
          </cell>
        </row>
        <row r="88">
          <cell r="C88" t="str">
            <v>SAV TANK</v>
          </cell>
          <cell r="D88"/>
          <cell r="E88"/>
        </row>
        <row r="89">
          <cell r="C89"/>
          <cell r="D89"/>
          <cell r="E89"/>
        </row>
        <row r="90">
          <cell r="C90"/>
          <cell r="D90"/>
          <cell r="E90"/>
        </row>
        <row r="91">
          <cell r="C91"/>
          <cell r="D91"/>
          <cell r="E91"/>
        </row>
        <row r="92">
          <cell r="C92"/>
          <cell r="D92"/>
          <cell r="E92"/>
        </row>
        <row r="93">
          <cell r="C93"/>
          <cell r="D93"/>
          <cell r="E93"/>
        </row>
        <row r="94">
          <cell r="C94" t="str">
            <v>26-017</v>
          </cell>
          <cell r="D94" t="str">
            <v>14' OD x 26' straight side</v>
          </cell>
          <cell r="E94">
            <v>46211</v>
          </cell>
          <cell r="F94">
            <v>46034</v>
          </cell>
        </row>
        <row r="95">
          <cell r="C95" t="str">
            <v>SAV TANK</v>
          </cell>
          <cell r="D95"/>
          <cell r="E95"/>
        </row>
        <row r="96">
          <cell r="C96"/>
          <cell r="D96"/>
          <cell r="E96"/>
        </row>
        <row r="97">
          <cell r="C97"/>
          <cell r="D97"/>
          <cell r="E97"/>
        </row>
        <row r="98">
          <cell r="C98"/>
          <cell r="D98"/>
          <cell r="E98"/>
        </row>
        <row r="99">
          <cell r="C99"/>
          <cell r="D99"/>
          <cell r="E99"/>
        </row>
        <row r="100">
          <cell r="C100"/>
          <cell r="D100"/>
          <cell r="E100"/>
        </row>
        <row r="101">
          <cell r="C101" t="str">
            <v>26-018</v>
          </cell>
          <cell r="D101" t="str">
            <v>14' OD x 26' straight side</v>
          </cell>
          <cell r="E101">
            <v>46211</v>
          </cell>
          <cell r="F101">
            <v>46034</v>
          </cell>
        </row>
        <row r="102">
          <cell r="C102" t="str">
            <v>SAV TANK</v>
          </cell>
          <cell r="D102"/>
          <cell r="E102"/>
        </row>
        <row r="103">
          <cell r="C103"/>
          <cell r="D103"/>
          <cell r="E103"/>
        </row>
        <row r="104">
          <cell r="C104"/>
          <cell r="D104"/>
          <cell r="E104"/>
        </row>
        <row r="105">
          <cell r="C105"/>
          <cell r="D105"/>
          <cell r="E105"/>
        </row>
        <row r="106">
          <cell r="C106"/>
          <cell r="D106"/>
          <cell r="E106"/>
        </row>
        <row r="107">
          <cell r="C107"/>
          <cell r="D107"/>
          <cell r="E107"/>
        </row>
        <row r="108">
          <cell r="C108" t="str">
            <v>26-024</v>
          </cell>
          <cell r="D108" t="str">
            <v>36" OD X 120" straight side x 3/16” thick</v>
          </cell>
          <cell r="E108">
            <v>46223</v>
          </cell>
          <cell r="F108">
            <v>46078</v>
          </cell>
        </row>
        <row r="109">
          <cell r="C109" t="str">
            <v>SAV TANK</v>
          </cell>
          <cell r="D109"/>
          <cell r="E109"/>
        </row>
        <row r="110">
          <cell r="C110"/>
          <cell r="D110"/>
          <cell r="E110"/>
        </row>
        <row r="111">
          <cell r="C111"/>
          <cell r="D111"/>
          <cell r="E111"/>
        </row>
        <row r="112">
          <cell r="C112"/>
          <cell r="D112"/>
          <cell r="E112"/>
        </row>
        <row r="113">
          <cell r="C113"/>
          <cell r="D113"/>
          <cell r="E113"/>
        </row>
        <row r="114">
          <cell r="C114"/>
          <cell r="D114"/>
          <cell r="E114"/>
        </row>
        <row r="115">
          <cell r="C115" t="str">
            <v>26-025</v>
          </cell>
          <cell r="D115" t="str">
            <v>8' OD x 10' straight side 5/8" thick</v>
          </cell>
          <cell r="E115">
            <v>46244</v>
          </cell>
          <cell r="F115">
            <v>46092</v>
          </cell>
        </row>
        <row r="116">
          <cell r="C116" t="str">
            <v>SAV TANK</v>
          </cell>
          <cell r="D116"/>
          <cell r="E116"/>
        </row>
        <row r="117">
          <cell r="C117"/>
          <cell r="D117"/>
          <cell r="E117"/>
        </row>
        <row r="118">
          <cell r="C118" t="str">
            <v>Heads 6/11/26</v>
          </cell>
          <cell r="D118"/>
          <cell r="E118"/>
        </row>
        <row r="119">
          <cell r="C119"/>
          <cell r="D119"/>
          <cell r="E119"/>
        </row>
        <row r="120">
          <cell r="C120"/>
          <cell r="D120"/>
          <cell r="E120"/>
        </row>
        <row r="121">
          <cell r="C121"/>
          <cell r="D121"/>
          <cell r="E121"/>
        </row>
        <row r="122">
          <cell r="C122" t="str">
            <v>26-030</v>
          </cell>
          <cell r="D122" t="str">
            <v xml:space="preserve">48" x 240" </v>
          </cell>
          <cell r="E122">
            <v>46244</v>
          </cell>
          <cell r="F122">
            <v>46100</v>
          </cell>
        </row>
        <row r="123">
          <cell r="C123"/>
          <cell r="D123"/>
          <cell r="E123"/>
        </row>
        <row r="124">
          <cell r="C124"/>
          <cell r="D124"/>
          <cell r="E124"/>
        </row>
        <row r="125">
          <cell r="C125"/>
          <cell r="D125"/>
          <cell r="E125"/>
        </row>
        <row r="126">
          <cell r="C126"/>
          <cell r="D126"/>
          <cell r="E126"/>
        </row>
        <row r="127">
          <cell r="C127"/>
          <cell r="D127"/>
          <cell r="E127"/>
        </row>
        <row r="128">
          <cell r="C128"/>
          <cell r="D128"/>
          <cell r="E128"/>
        </row>
        <row r="129">
          <cell r="C129" t="str">
            <v>26-031</v>
          </cell>
          <cell r="D129" t="str">
            <v>144” OD x 360” straight side 1/4” thick</v>
          </cell>
          <cell r="E129">
            <v>46279</v>
          </cell>
          <cell r="F129">
            <v>46104</v>
          </cell>
        </row>
        <row r="130">
          <cell r="C130"/>
          <cell r="D130"/>
          <cell r="E130"/>
        </row>
        <row r="131">
          <cell r="C131"/>
          <cell r="D131"/>
          <cell r="E131"/>
        </row>
        <row r="132">
          <cell r="C132"/>
          <cell r="D132"/>
          <cell r="E132"/>
        </row>
        <row r="133">
          <cell r="C133"/>
          <cell r="D133"/>
          <cell r="E133"/>
        </row>
        <row r="134">
          <cell r="C134"/>
          <cell r="D134"/>
          <cell r="E134"/>
        </row>
        <row r="135">
          <cell r="C135"/>
          <cell r="D135"/>
          <cell r="E135"/>
        </row>
        <row r="136">
          <cell r="C136" t="str">
            <v>26-032</v>
          </cell>
          <cell r="D136" t="str">
            <v>102” OD x 96” straight side x 1/4” thick</v>
          </cell>
          <cell r="E136">
            <v>46265</v>
          </cell>
          <cell r="F136">
            <v>46099</v>
          </cell>
        </row>
        <row r="137">
          <cell r="C137"/>
          <cell r="D137"/>
          <cell r="E137"/>
        </row>
        <row r="138">
          <cell r="C138"/>
          <cell r="D138"/>
          <cell r="E138"/>
        </row>
        <row r="139">
          <cell r="C139"/>
          <cell r="D139"/>
          <cell r="E139"/>
        </row>
        <row r="140">
          <cell r="C140"/>
          <cell r="D140"/>
          <cell r="E140"/>
        </row>
        <row r="141">
          <cell r="C141"/>
          <cell r="D141"/>
          <cell r="E141"/>
        </row>
        <row r="142">
          <cell r="C142"/>
          <cell r="D142"/>
          <cell r="E142"/>
        </row>
        <row r="143">
          <cell r="C143"/>
          <cell r="D143"/>
          <cell r="E143"/>
          <cell r="F143"/>
        </row>
        <row r="144">
          <cell r="C144" t="str">
            <v>26-033</v>
          </cell>
          <cell r="D144" t="str">
            <v>18” SCH 40 x 40” straight shell</v>
          </cell>
          <cell r="E144">
            <v>46237</v>
          </cell>
          <cell r="F144">
            <v>46099</v>
          </cell>
        </row>
        <row r="145">
          <cell r="C145"/>
          <cell r="D145"/>
          <cell r="E145"/>
        </row>
        <row r="146">
          <cell r="C146"/>
          <cell r="D146"/>
          <cell r="E146"/>
        </row>
        <row r="147">
          <cell r="C147"/>
          <cell r="D147"/>
          <cell r="E147"/>
        </row>
        <row r="148">
          <cell r="C148"/>
          <cell r="D148"/>
          <cell r="E148"/>
        </row>
        <row r="149">
          <cell r="C149"/>
          <cell r="D149"/>
          <cell r="E149"/>
        </row>
        <row r="150">
          <cell r="C150"/>
          <cell r="D150"/>
          <cell r="E150"/>
        </row>
        <row r="151">
          <cell r="C151"/>
          <cell r="D151"/>
          <cell r="E151"/>
          <cell r="F151"/>
        </row>
        <row r="152">
          <cell r="C152"/>
          <cell r="D152"/>
          <cell r="E152"/>
          <cell r="F152" t="e">
            <v>#N/A</v>
          </cell>
        </row>
        <row r="153">
          <cell r="C153"/>
          <cell r="D153"/>
          <cell r="E153"/>
        </row>
        <row r="154">
          <cell r="C154"/>
          <cell r="D154"/>
          <cell r="E154"/>
        </row>
        <row r="155">
          <cell r="C155"/>
          <cell r="D155"/>
          <cell r="E155"/>
        </row>
        <row r="156">
          <cell r="C156"/>
          <cell r="D156"/>
          <cell r="E156"/>
        </row>
        <row r="157">
          <cell r="C157"/>
          <cell r="D157"/>
          <cell r="E157"/>
        </row>
        <row r="158">
          <cell r="C158"/>
          <cell r="D158"/>
          <cell r="E158"/>
        </row>
        <row r="159">
          <cell r="C159"/>
          <cell r="D159"/>
          <cell r="E159"/>
          <cell r="F159"/>
        </row>
        <row r="160">
          <cell r="C160"/>
          <cell r="D160"/>
          <cell r="E160"/>
          <cell r="F160" t="e">
            <v>#N/A</v>
          </cell>
        </row>
        <row r="161">
          <cell r="C161"/>
          <cell r="D161"/>
          <cell r="E161"/>
        </row>
        <row r="162">
          <cell r="C162"/>
          <cell r="D162"/>
          <cell r="E162"/>
        </row>
        <row r="163">
          <cell r="C163"/>
          <cell r="D163"/>
          <cell r="E163"/>
        </row>
        <row r="164">
          <cell r="C164"/>
          <cell r="D164"/>
          <cell r="E164"/>
        </row>
        <row r="165">
          <cell r="C165"/>
          <cell r="D165"/>
          <cell r="E165"/>
        </row>
        <row r="166">
          <cell r="C166"/>
          <cell r="D166"/>
          <cell r="E166"/>
        </row>
        <row r="167">
          <cell r="C167"/>
          <cell r="D167"/>
          <cell r="E167"/>
          <cell r="F167"/>
        </row>
        <row r="168">
          <cell r="C168"/>
          <cell r="D168"/>
          <cell r="E168"/>
          <cell r="F168" t="e">
            <v>#N/A</v>
          </cell>
        </row>
        <row r="169">
          <cell r="C169"/>
          <cell r="D169"/>
          <cell r="E169"/>
        </row>
        <row r="170">
          <cell r="C170"/>
          <cell r="D170"/>
          <cell r="E170"/>
        </row>
        <row r="171">
          <cell r="C171"/>
          <cell r="D171"/>
          <cell r="E171"/>
        </row>
        <row r="172">
          <cell r="C172"/>
          <cell r="D172"/>
          <cell r="E172"/>
        </row>
        <row r="173">
          <cell r="C173"/>
          <cell r="D173"/>
          <cell r="E173"/>
        </row>
        <row r="174">
          <cell r="C174"/>
          <cell r="D174"/>
          <cell r="E174"/>
        </row>
        <row r="175">
          <cell r="C175"/>
          <cell r="D175"/>
          <cell r="E175"/>
          <cell r="F175"/>
        </row>
        <row r="176">
          <cell r="C176"/>
          <cell r="D176"/>
          <cell r="E176"/>
          <cell r="F176"/>
        </row>
      </sheetData>
      <sheetData sheetId="1">
        <row r="1">
          <cell r="C1" t="str">
            <v>CERTIFIED</v>
          </cell>
          <cell r="D1"/>
          <cell r="E1"/>
        </row>
        <row r="2">
          <cell r="C2" t="str">
            <v>JOB #</v>
          </cell>
          <cell r="D2" t="str">
            <v>TANK DIMENSIONS</v>
          </cell>
          <cell r="E2" t="str">
            <v>PLANNED SHIPMENT WEEK OF</v>
          </cell>
        </row>
        <row r="3">
          <cell r="C3" t="str">
            <v>24-046</v>
          </cell>
          <cell r="D3" t="str">
            <v xml:space="preserve"> 13' OD x 30' straight side x 3/16” thick</v>
          </cell>
          <cell r="E3">
            <v>46134</v>
          </cell>
        </row>
        <row r="4">
          <cell r="C4" t="str">
            <v>CUSTOMER</v>
          </cell>
          <cell r="D4"/>
          <cell r="E4"/>
        </row>
        <row r="5">
          <cell r="C5"/>
          <cell r="D5"/>
          <cell r="E5"/>
        </row>
        <row r="6">
          <cell r="C6"/>
          <cell r="D6" t="str">
            <v>PARTS HERE</v>
          </cell>
          <cell r="E6"/>
        </row>
        <row r="7">
          <cell r="C7"/>
          <cell r="D7"/>
          <cell r="E7"/>
        </row>
        <row r="8">
          <cell r="C8"/>
          <cell r="D8"/>
          <cell r="E8"/>
        </row>
        <row r="9">
          <cell r="C9" t="str">
            <v>25-040</v>
          </cell>
          <cell r="D9" t="str">
            <v>7' ID X 58' STRAIGHT SIDE 1/2" THICK (3 SECTION)</v>
          </cell>
          <cell r="E9">
            <v>46115</v>
          </cell>
        </row>
        <row r="10">
          <cell r="C10" t="str">
            <v>CUSTOMER</v>
          </cell>
          <cell r="D10"/>
          <cell r="E10"/>
        </row>
        <row r="11">
          <cell r="C11"/>
          <cell r="D11"/>
          <cell r="E11"/>
        </row>
        <row r="12">
          <cell r="C12"/>
          <cell r="D12" t="str">
            <v>PARTS HERE</v>
          </cell>
          <cell r="E12"/>
        </row>
        <row r="13">
          <cell r="C13"/>
          <cell r="D13"/>
          <cell r="E13"/>
        </row>
        <row r="14">
          <cell r="C14"/>
          <cell r="D14" t="str">
            <v>Shipped in 2</v>
          </cell>
        </row>
        <row r="15">
          <cell r="C15" t="str">
            <v>25-055</v>
          </cell>
          <cell r="D15" t="str">
            <v>7' OD x 3' straight side x 1/2” thick</v>
          </cell>
          <cell r="E15">
            <v>46174</v>
          </cell>
        </row>
        <row r="16">
          <cell r="C16" t="str">
            <v>SAV TANK</v>
          </cell>
          <cell r="D16"/>
          <cell r="E16"/>
        </row>
        <row r="17">
          <cell r="C17"/>
          <cell r="D17"/>
          <cell r="E17"/>
        </row>
        <row r="18">
          <cell r="C18"/>
          <cell r="D18"/>
          <cell r="E18"/>
        </row>
        <row r="19">
          <cell r="C19"/>
          <cell r="D19"/>
          <cell r="E19"/>
        </row>
        <row r="20">
          <cell r="C20"/>
          <cell r="D20"/>
          <cell r="E20"/>
        </row>
        <row r="21">
          <cell r="C21"/>
          <cell r="D21"/>
          <cell r="E21"/>
        </row>
        <row r="22">
          <cell r="C22" t="str">
            <v>25-069</v>
          </cell>
          <cell r="D22" t="str">
            <v>12' OD x 26' straight side x 1/2” thick</v>
          </cell>
          <cell r="E22">
            <v>46118</v>
          </cell>
        </row>
        <row r="23">
          <cell r="C23" t="str">
            <v>CUSTOMER</v>
          </cell>
          <cell r="D23"/>
          <cell r="E23"/>
        </row>
        <row r="24">
          <cell r="C24"/>
          <cell r="D24"/>
          <cell r="E24"/>
        </row>
        <row r="25">
          <cell r="C25"/>
          <cell r="D25" t="str">
            <v>PARTS HERE</v>
          </cell>
          <cell r="E25"/>
        </row>
        <row r="26">
          <cell r="C26"/>
          <cell r="D26"/>
          <cell r="E26"/>
        </row>
        <row r="27">
          <cell r="C27"/>
          <cell r="D27"/>
          <cell r="E27"/>
        </row>
        <row r="28">
          <cell r="C28" t="str">
            <v>25-070</v>
          </cell>
          <cell r="D28" t="str">
            <v>12' OD x 26' straight side x 1/2” thick</v>
          </cell>
          <cell r="E28">
            <v>46132</v>
          </cell>
        </row>
        <row r="29">
          <cell r="C29" t="str">
            <v>CUSTOMER</v>
          </cell>
          <cell r="D29"/>
          <cell r="E29"/>
        </row>
        <row r="30">
          <cell r="C30"/>
          <cell r="D30"/>
          <cell r="E30"/>
        </row>
        <row r="31">
          <cell r="C31"/>
          <cell r="D31" t="str">
            <v>PARTS HERE</v>
          </cell>
          <cell r="E31"/>
        </row>
        <row r="32">
          <cell r="C32"/>
          <cell r="D32"/>
          <cell r="E32"/>
        </row>
        <row r="33">
          <cell r="C33"/>
          <cell r="D33"/>
          <cell r="E33"/>
        </row>
        <row r="34">
          <cell r="C34" t="str">
            <v>25-071</v>
          </cell>
          <cell r="D34" t="str">
            <v>12' OD x 26' straight side x 1/2” thick</v>
          </cell>
          <cell r="E34">
            <v>46132</v>
          </cell>
        </row>
        <row r="35">
          <cell r="C35" t="str">
            <v>CUSTOMER</v>
          </cell>
          <cell r="D35"/>
          <cell r="E35"/>
        </row>
        <row r="36">
          <cell r="C36"/>
          <cell r="D36"/>
          <cell r="E36"/>
        </row>
        <row r="37">
          <cell r="C37"/>
          <cell r="D37"/>
          <cell r="E37"/>
        </row>
        <row r="38">
          <cell r="C38"/>
          <cell r="D38"/>
          <cell r="E38"/>
        </row>
        <row r="39">
          <cell r="C39"/>
          <cell r="D39"/>
          <cell r="E39"/>
        </row>
        <row r="40">
          <cell r="C40" t="str">
            <v>25-083</v>
          </cell>
          <cell r="D40" t="str">
            <v>7' ID x 8' straight side x 1/4” thick</v>
          </cell>
          <cell r="E40">
            <v>46125</v>
          </cell>
        </row>
        <row r="41">
          <cell r="C41" t="str">
            <v>SAV TANK</v>
          </cell>
          <cell r="D41"/>
          <cell r="E41"/>
        </row>
        <row r="42">
          <cell r="C42"/>
          <cell r="D42" t="str">
            <v>Send Final Docs to Greg Peacock</v>
          </cell>
          <cell r="E42"/>
        </row>
        <row r="43">
          <cell r="C43"/>
          <cell r="D43" t="str">
            <v>PARTS HERE</v>
          </cell>
          <cell r="E43"/>
        </row>
        <row r="44">
          <cell r="C44"/>
          <cell r="D44"/>
          <cell r="E44"/>
        </row>
        <row r="45">
          <cell r="C45"/>
          <cell r="D45"/>
          <cell r="E45"/>
        </row>
        <row r="46">
          <cell r="C46" t="str">
            <v>25-084</v>
          </cell>
          <cell r="D46" t="str">
            <v>11' OD x 16' straight side x 1/4” thick</v>
          </cell>
          <cell r="E46">
            <v>46132</v>
          </cell>
        </row>
        <row r="47">
          <cell r="C47" t="str">
            <v>SAV TANK</v>
          </cell>
          <cell r="D47"/>
          <cell r="E47" t="str">
            <v>LANDSTAR PO 60397</v>
          </cell>
        </row>
        <row r="48">
          <cell r="C48"/>
          <cell r="D48"/>
          <cell r="E48"/>
        </row>
        <row r="49">
          <cell r="C49"/>
          <cell r="D49" t="str">
            <v>PARTS HERE</v>
          </cell>
          <cell r="E49"/>
        </row>
        <row r="50">
          <cell r="C50"/>
          <cell r="D50" t="str">
            <v>DONE</v>
          </cell>
          <cell r="E50"/>
        </row>
        <row r="51">
          <cell r="C51"/>
          <cell r="D51"/>
          <cell r="E51"/>
        </row>
        <row r="52">
          <cell r="C52" t="str">
            <v>25-092</v>
          </cell>
          <cell r="D52" t="str">
            <v>4' OD X 20' STRAIGHT SIDE X 3/8"THICK</v>
          </cell>
          <cell r="E52">
            <v>46132</v>
          </cell>
        </row>
        <row r="53">
          <cell r="C53" t="str">
            <v>SAV TANK</v>
          </cell>
          <cell r="D53"/>
          <cell r="E53"/>
        </row>
        <row r="54">
          <cell r="C54"/>
          <cell r="D54"/>
          <cell r="E54"/>
        </row>
        <row r="55">
          <cell r="C55"/>
          <cell r="D55"/>
          <cell r="E55"/>
        </row>
        <row r="56">
          <cell r="C56"/>
          <cell r="D56"/>
          <cell r="E56"/>
        </row>
        <row r="57">
          <cell r="C57"/>
          <cell r="D57"/>
          <cell r="E57"/>
        </row>
        <row r="58">
          <cell r="C58" t="str">
            <v>25-093</v>
          </cell>
          <cell r="D58" t="str">
            <v>4' OD X 20' STRAIGHT SIDE X 3/8"THICK</v>
          </cell>
          <cell r="E58">
            <v>46132</v>
          </cell>
        </row>
        <row r="59">
          <cell r="C59" t="str">
            <v>SAV TANK</v>
          </cell>
          <cell r="D59"/>
          <cell r="E59"/>
        </row>
        <row r="60">
          <cell r="C60"/>
          <cell r="D60"/>
          <cell r="E60"/>
        </row>
        <row r="61">
          <cell r="C61"/>
          <cell r="D61"/>
          <cell r="E61"/>
        </row>
        <row r="62">
          <cell r="C62"/>
          <cell r="D62"/>
          <cell r="E62"/>
        </row>
        <row r="63">
          <cell r="C63"/>
          <cell r="D63"/>
          <cell r="E63"/>
        </row>
        <row r="64">
          <cell r="C64" t="str">
            <v>25-098</v>
          </cell>
          <cell r="D64" t="str">
            <v>16” DIA X 25.5” SQ OPEN X 16” DIA X 62.625” AOL</v>
          </cell>
          <cell r="E64">
            <v>46146</v>
          </cell>
        </row>
        <row r="65">
          <cell r="C65" t="str">
            <v>CUSTOMER</v>
          </cell>
          <cell r="D65"/>
          <cell r="E65"/>
        </row>
        <row r="66">
          <cell r="C66"/>
          <cell r="D66"/>
          <cell r="E66"/>
        </row>
        <row r="67">
          <cell r="C67"/>
          <cell r="D67" t="str">
            <v>PARTS HERE</v>
          </cell>
          <cell r="E67"/>
        </row>
        <row r="70">
          <cell r="C70" t="str">
            <v>25-101</v>
          </cell>
          <cell r="D70" t="str">
            <v>11' OD x 18' Straight Side x 1/2” thick</v>
          </cell>
          <cell r="E70">
            <v>46153</v>
          </cell>
        </row>
        <row r="71">
          <cell r="C71" t="str">
            <v>SAV TANK</v>
          </cell>
          <cell r="D71"/>
          <cell r="E71"/>
        </row>
        <row r="72">
          <cell r="C72"/>
          <cell r="D72"/>
          <cell r="E72"/>
        </row>
        <row r="73">
          <cell r="C73"/>
          <cell r="D73" t="str">
            <v>MATERIAL ON SITE</v>
          </cell>
          <cell r="E73"/>
        </row>
        <row r="74">
          <cell r="C74"/>
          <cell r="D74"/>
          <cell r="E74"/>
        </row>
        <row r="75">
          <cell r="C75"/>
          <cell r="D75"/>
          <cell r="E75"/>
        </row>
        <row r="76">
          <cell r="C76" t="str">
            <v>25-102</v>
          </cell>
          <cell r="D76" t="str">
            <v>10' OD x 18' straight side x 3/16” thick</v>
          </cell>
          <cell r="E76">
            <v>46200</v>
          </cell>
        </row>
        <row r="77">
          <cell r="C77" t="str">
            <v>SAV TANK</v>
          </cell>
          <cell r="D77"/>
          <cell r="E77"/>
        </row>
        <row r="78">
          <cell r="D78"/>
          <cell r="E78"/>
        </row>
        <row r="79">
          <cell r="C79"/>
          <cell r="D79"/>
          <cell r="E79"/>
        </row>
        <row r="80">
          <cell r="C80"/>
          <cell r="D80"/>
          <cell r="E80"/>
        </row>
        <row r="81">
          <cell r="C81"/>
          <cell r="D81"/>
          <cell r="E81"/>
        </row>
        <row r="82">
          <cell r="C82" t="str">
            <v>25-103</v>
          </cell>
          <cell r="D82" t="str">
            <v>10' OD x 18' straight side x 3/16” thick</v>
          </cell>
          <cell r="E82">
            <v>46200</v>
          </cell>
        </row>
        <row r="83">
          <cell r="C83" t="str">
            <v>SAV TANK</v>
          </cell>
          <cell r="D83"/>
          <cell r="E83"/>
        </row>
        <row r="84">
          <cell r="C84"/>
          <cell r="D84"/>
          <cell r="E84"/>
        </row>
        <row r="85">
          <cell r="C85"/>
          <cell r="D85"/>
          <cell r="E85"/>
        </row>
        <row r="86">
          <cell r="C86"/>
          <cell r="D86"/>
          <cell r="E86"/>
        </row>
        <row r="87">
          <cell r="C87"/>
          <cell r="D87"/>
          <cell r="E87"/>
        </row>
        <row r="88">
          <cell r="C88" t="str">
            <v>25-104</v>
          </cell>
          <cell r="D88" t="str">
            <v>10' OD x 18' straight side x 3/16” thick</v>
          </cell>
          <cell r="E88">
            <v>46200</v>
          </cell>
        </row>
        <row r="89">
          <cell r="C89" t="str">
            <v>SAV TANK</v>
          </cell>
          <cell r="D89"/>
          <cell r="E89"/>
        </row>
        <row r="90">
          <cell r="C90"/>
          <cell r="D90"/>
          <cell r="E90"/>
        </row>
        <row r="91">
          <cell r="C91"/>
          <cell r="D91"/>
          <cell r="E91"/>
        </row>
        <row r="92">
          <cell r="C92"/>
          <cell r="D92"/>
          <cell r="E92"/>
        </row>
        <row r="93">
          <cell r="C93"/>
          <cell r="D93"/>
          <cell r="E93"/>
        </row>
        <row r="94">
          <cell r="C94" t="str">
            <v>25-105</v>
          </cell>
          <cell r="D94" t="str">
            <v>10' OD x 18' straight side x 3/16” thick</v>
          </cell>
          <cell r="E94">
            <v>46200</v>
          </cell>
        </row>
        <row r="95">
          <cell r="C95" t="str">
            <v>SAV TANK</v>
          </cell>
          <cell r="D95"/>
          <cell r="E95"/>
        </row>
        <row r="96">
          <cell r="C96"/>
          <cell r="D96"/>
          <cell r="E96"/>
        </row>
        <row r="97">
          <cell r="C97"/>
          <cell r="D97"/>
          <cell r="E97"/>
        </row>
        <row r="98">
          <cell r="C98"/>
          <cell r="D98"/>
          <cell r="E98"/>
        </row>
        <row r="99">
          <cell r="C99"/>
          <cell r="D99"/>
          <cell r="E99"/>
        </row>
        <row r="100">
          <cell r="C100" t="str">
            <v>25-106</v>
          </cell>
          <cell r="D100" t="str">
            <v>10' OD x 18' straight side x 3/16” thick</v>
          </cell>
          <cell r="E100">
            <v>46202</v>
          </cell>
        </row>
        <row r="101">
          <cell r="C101" t="str">
            <v>SAV TANK</v>
          </cell>
          <cell r="D101"/>
          <cell r="E101"/>
        </row>
        <row r="102">
          <cell r="C102"/>
          <cell r="D102"/>
          <cell r="E102"/>
        </row>
        <row r="103">
          <cell r="C103"/>
          <cell r="D103"/>
          <cell r="E103"/>
        </row>
        <row r="104">
          <cell r="C104"/>
          <cell r="D104"/>
          <cell r="E104"/>
        </row>
        <row r="105">
          <cell r="C105"/>
          <cell r="D105"/>
          <cell r="E105"/>
        </row>
        <row r="106">
          <cell r="C106" t="str">
            <v>25-107</v>
          </cell>
          <cell r="D106" t="str">
            <v>5' ID x 8' Straight Side x 1/4” thick</v>
          </cell>
          <cell r="E106">
            <v>46202</v>
          </cell>
        </row>
        <row r="107">
          <cell r="C107" t="str">
            <v>SAV TANK</v>
          </cell>
          <cell r="D107"/>
          <cell r="E107"/>
        </row>
        <row r="108">
          <cell r="C108"/>
          <cell r="D108"/>
          <cell r="E108"/>
        </row>
        <row r="109">
          <cell r="C109"/>
          <cell r="D109"/>
          <cell r="E109"/>
        </row>
        <row r="110">
          <cell r="C110"/>
          <cell r="D110"/>
          <cell r="E110"/>
        </row>
        <row r="111">
          <cell r="C111"/>
          <cell r="D111"/>
          <cell r="E111"/>
        </row>
        <row r="112">
          <cell r="C112"/>
          <cell r="D112"/>
          <cell r="E112"/>
        </row>
        <row r="113">
          <cell r="C113" t="str">
            <v>25-109</v>
          </cell>
          <cell r="D113" t="str">
            <v>18” ID x 48” Straight Side x 1/4” thick</v>
          </cell>
          <cell r="E113">
            <v>46139</v>
          </cell>
        </row>
        <row r="114">
          <cell r="C114" t="str">
            <v>SAV TANK</v>
          </cell>
          <cell r="D114"/>
          <cell r="E114"/>
        </row>
        <row r="115">
          <cell r="C115"/>
          <cell r="D115"/>
          <cell r="E115"/>
        </row>
        <row r="116">
          <cell r="C116"/>
          <cell r="D116"/>
          <cell r="E116" t="str">
            <v>PARTS HERE</v>
          </cell>
        </row>
        <row r="117">
          <cell r="C117"/>
          <cell r="D117"/>
          <cell r="E117"/>
        </row>
        <row r="118">
          <cell r="C118"/>
          <cell r="D118"/>
          <cell r="E118"/>
        </row>
        <row r="119">
          <cell r="C119" t="str">
            <v>25-110</v>
          </cell>
          <cell r="D119" t="str">
            <v>3' ID x 5' straight side x 3/16” thick</v>
          </cell>
          <cell r="E119">
            <v>46139</v>
          </cell>
        </row>
        <row r="120">
          <cell r="C120" t="str">
            <v>SAV TANK</v>
          </cell>
          <cell r="D120"/>
          <cell r="E120"/>
        </row>
        <row r="121">
          <cell r="C121"/>
          <cell r="D121"/>
          <cell r="E121"/>
        </row>
        <row r="122">
          <cell r="C122"/>
          <cell r="D122"/>
          <cell r="E122" t="str">
            <v>PARTS HERE</v>
          </cell>
        </row>
        <row r="123">
          <cell r="C123"/>
          <cell r="D123"/>
          <cell r="E123"/>
        </row>
        <row r="124">
          <cell r="C124"/>
          <cell r="D124"/>
        </row>
        <row r="125">
          <cell r="C125" t="str">
            <v>25-111</v>
          </cell>
          <cell r="D125" t="str">
            <v>4' x 6' straight side x 3/16” thick</v>
          </cell>
          <cell r="E125">
            <v>46153</v>
          </cell>
        </row>
        <row r="126">
          <cell r="C126" t="str">
            <v>SAV TANK</v>
          </cell>
          <cell r="D126"/>
          <cell r="E126"/>
        </row>
        <row r="127">
          <cell r="C127"/>
          <cell r="D127"/>
          <cell r="E127"/>
        </row>
        <row r="128">
          <cell r="C128"/>
          <cell r="D128"/>
          <cell r="E128"/>
        </row>
        <row r="129">
          <cell r="C129"/>
          <cell r="D129"/>
          <cell r="E129"/>
        </row>
        <row r="130">
          <cell r="C130"/>
          <cell r="D130"/>
          <cell r="E130"/>
        </row>
        <row r="131">
          <cell r="C131" t="str">
            <v>25-112</v>
          </cell>
          <cell r="D131" t="str">
            <v>4' x 6' straight side x 3/16” thick</v>
          </cell>
          <cell r="E131">
            <v>46153</v>
          </cell>
        </row>
        <row r="132">
          <cell r="C132" t="str">
            <v>SAV TANK</v>
          </cell>
          <cell r="D132"/>
          <cell r="E132"/>
        </row>
        <row r="133">
          <cell r="C133"/>
          <cell r="D133"/>
          <cell r="E133"/>
        </row>
        <row r="134">
          <cell r="C134"/>
          <cell r="D134"/>
          <cell r="E134"/>
        </row>
        <row r="135">
          <cell r="C135"/>
          <cell r="D135"/>
          <cell r="E135"/>
        </row>
        <row r="136">
          <cell r="C136"/>
          <cell r="D136"/>
          <cell r="E136"/>
        </row>
        <row r="137">
          <cell r="C137" t="str">
            <v>25-113</v>
          </cell>
          <cell r="D137" t="str">
            <v>5' ID x 10' straight side x 1/4” thick</v>
          </cell>
          <cell r="E137">
            <v>46202</v>
          </cell>
        </row>
        <row r="138">
          <cell r="C138" t="str">
            <v>SAV TANK</v>
          </cell>
          <cell r="D138"/>
          <cell r="E138"/>
        </row>
        <row r="139">
          <cell r="C139"/>
          <cell r="D139"/>
          <cell r="E139"/>
        </row>
        <row r="140">
          <cell r="C140"/>
          <cell r="D140"/>
          <cell r="E140"/>
        </row>
        <row r="141">
          <cell r="C141"/>
          <cell r="D141"/>
          <cell r="E141"/>
        </row>
        <row r="142">
          <cell r="C142"/>
          <cell r="D142"/>
          <cell r="E142"/>
        </row>
        <row r="143">
          <cell r="C143"/>
          <cell r="D143"/>
          <cell r="E143"/>
        </row>
        <row r="144">
          <cell r="C144" t="str">
            <v>25-115</v>
          </cell>
          <cell r="D144" t="str">
            <v xml:space="preserve">18” SCH10 x 48” straight side </v>
          </cell>
          <cell r="E144">
            <v>46153</v>
          </cell>
        </row>
        <row r="145">
          <cell r="C145" t="str">
            <v>SAV TANK</v>
          </cell>
          <cell r="D145"/>
          <cell r="E145"/>
        </row>
        <row r="146">
          <cell r="C146"/>
          <cell r="D146"/>
          <cell r="E146"/>
        </row>
        <row r="147">
          <cell r="C147"/>
          <cell r="D147"/>
          <cell r="E147"/>
        </row>
        <row r="148">
          <cell r="C148"/>
          <cell r="D148"/>
          <cell r="E148"/>
        </row>
        <row r="149">
          <cell r="C149"/>
          <cell r="D149"/>
          <cell r="E149"/>
        </row>
        <row r="150">
          <cell r="C150" t="str">
            <v>25-117</v>
          </cell>
          <cell r="D150" t="str">
            <v>26' X 8' X 6' 3/8” thick w/ stiffeners</v>
          </cell>
          <cell r="E150">
            <v>46135</v>
          </cell>
        </row>
        <row r="151">
          <cell r="C151" t="str">
            <v>SAV TANK</v>
          </cell>
          <cell r="D151"/>
          <cell r="E151"/>
        </row>
        <row r="152">
          <cell r="C152"/>
          <cell r="D152"/>
          <cell r="E152"/>
        </row>
        <row r="153">
          <cell r="C153"/>
          <cell r="D153"/>
          <cell r="E153"/>
        </row>
        <row r="154">
          <cell r="C154"/>
          <cell r="D154"/>
          <cell r="E154"/>
        </row>
        <row r="155">
          <cell r="C155"/>
          <cell r="D155"/>
          <cell r="E155"/>
        </row>
        <row r="156">
          <cell r="C156" t="str">
            <v>25-118</v>
          </cell>
          <cell r="D156" t="str">
            <v>26' x 8' x 6' x 3/8” thick w/ stiffeners</v>
          </cell>
          <cell r="E156">
            <v>46153</v>
          </cell>
        </row>
        <row r="157">
          <cell r="C157" t="str">
            <v>SAV TANK</v>
          </cell>
          <cell r="D157"/>
          <cell r="E157"/>
        </row>
        <row r="158">
          <cell r="C158"/>
          <cell r="D158"/>
          <cell r="E158"/>
        </row>
        <row r="159">
          <cell r="C159"/>
          <cell r="D159"/>
          <cell r="E159"/>
        </row>
        <row r="160">
          <cell r="C160"/>
          <cell r="D160"/>
          <cell r="E160"/>
        </row>
        <row r="161">
          <cell r="C161"/>
          <cell r="D161"/>
          <cell r="E161"/>
        </row>
        <row r="162">
          <cell r="C162" t="str">
            <v>25-356</v>
          </cell>
          <cell r="D162" t="str">
            <v>8' ID x 10' Straight Side x 1/2” thick</v>
          </cell>
          <cell r="E162">
            <v>46203</v>
          </cell>
        </row>
        <row r="163">
          <cell r="C163" t="str">
            <v>SAV TANK</v>
          </cell>
          <cell r="D163"/>
          <cell r="E163"/>
        </row>
        <row r="164">
          <cell r="C164"/>
          <cell r="D164"/>
          <cell r="E164"/>
        </row>
        <row r="165">
          <cell r="C165"/>
          <cell r="D165"/>
          <cell r="E165"/>
        </row>
        <row r="166">
          <cell r="C166"/>
          <cell r="D166"/>
          <cell r="E166"/>
        </row>
        <row r="167">
          <cell r="C167"/>
          <cell r="D167"/>
          <cell r="E167"/>
        </row>
        <row r="168">
          <cell r="C168" t="str">
            <v>25-357</v>
          </cell>
          <cell r="D168" t="str">
            <v>5' ID x 8' Straight Side x 3/16” thick</v>
          </cell>
          <cell r="E168">
            <v>46209</v>
          </cell>
        </row>
        <row r="169">
          <cell r="C169" t="str">
            <v>SAV TANK</v>
          </cell>
          <cell r="D169"/>
          <cell r="E169"/>
        </row>
        <row r="170">
          <cell r="C170"/>
          <cell r="D170"/>
          <cell r="E170"/>
        </row>
        <row r="171">
          <cell r="C171"/>
          <cell r="D171"/>
          <cell r="E171"/>
        </row>
        <row r="172">
          <cell r="C172"/>
          <cell r="D172"/>
          <cell r="E172"/>
        </row>
        <row r="173">
          <cell r="C173"/>
          <cell r="D173"/>
          <cell r="E173"/>
        </row>
        <row r="174">
          <cell r="C174" t="str">
            <v>25-358</v>
          </cell>
          <cell r="D174" t="str">
            <v xml:space="preserve">11' L x 6' W x 8' H </v>
          </cell>
          <cell r="E174">
            <v>46209</v>
          </cell>
        </row>
        <row r="175">
          <cell r="C175" t="str">
            <v>SAV TANK</v>
          </cell>
          <cell r="D175"/>
          <cell r="E175"/>
        </row>
        <row r="176">
          <cell r="C176"/>
          <cell r="D176"/>
          <cell r="E176"/>
        </row>
        <row r="177">
          <cell r="C177"/>
          <cell r="D177"/>
          <cell r="E177"/>
        </row>
        <row r="178">
          <cell r="C178"/>
          <cell r="D178"/>
          <cell r="E178"/>
        </row>
        <row r="179">
          <cell r="C179"/>
          <cell r="D179"/>
          <cell r="E179"/>
        </row>
        <row r="180">
          <cell r="C180" t="str">
            <v>26-005</v>
          </cell>
          <cell r="D180" t="str">
            <v>9' ID x 11' straight shell x 3/16” thick</v>
          </cell>
          <cell r="E180">
            <v>46174</v>
          </cell>
        </row>
        <row r="181">
          <cell r="C181" t="str">
            <v>SAV TANK</v>
          </cell>
          <cell r="D181"/>
          <cell r="E181"/>
        </row>
        <row r="182">
          <cell r="C182"/>
          <cell r="D182"/>
          <cell r="E182"/>
        </row>
        <row r="183">
          <cell r="C183"/>
          <cell r="D183"/>
          <cell r="E183"/>
        </row>
        <row r="184">
          <cell r="C184"/>
          <cell r="D184"/>
          <cell r="E184"/>
        </row>
        <row r="185">
          <cell r="C185"/>
          <cell r="D185"/>
          <cell r="E185"/>
        </row>
        <row r="186">
          <cell r="C186" t="str">
            <v>26-020</v>
          </cell>
          <cell r="D186" t="str">
            <v xml:space="preserve">9' OD X 12' straight side x 1/4” thick   </v>
          </cell>
          <cell r="E186">
            <v>46244</v>
          </cell>
        </row>
        <row r="187">
          <cell r="C187" t="str">
            <v>SAV TANK</v>
          </cell>
          <cell r="D187"/>
          <cell r="E187"/>
        </row>
        <row r="188">
          <cell r="C188"/>
          <cell r="D188"/>
          <cell r="E188"/>
        </row>
        <row r="189">
          <cell r="C189"/>
          <cell r="D189"/>
          <cell r="E189"/>
        </row>
        <row r="190">
          <cell r="C190"/>
          <cell r="D190"/>
          <cell r="E190"/>
        </row>
        <row r="191">
          <cell r="C191"/>
          <cell r="D191"/>
          <cell r="E191"/>
        </row>
        <row r="192">
          <cell r="C192"/>
          <cell r="D192"/>
          <cell r="E192"/>
        </row>
        <row r="193">
          <cell r="C193" t="str">
            <v>26-021</v>
          </cell>
          <cell r="D193" t="str">
            <v xml:space="preserve">9' OD X 12' straight side x 1/4” thick   </v>
          </cell>
          <cell r="E193">
            <v>46245</v>
          </cell>
        </row>
        <row r="194">
          <cell r="C194" t="str">
            <v>SAV TANK</v>
          </cell>
          <cell r="D194"/>
          <cell r="E194"/>
        </row>
        <row r="195">
          <cell r="C195"/>
          <cell r="D195"/>
          <cell r="E195"/>
        </row>
        <row r="196">
          <cell r="C196"/>
          <cell r="D196"/>
          <cell r="E196"/>
        </row>
        <row r="197">
          <cell r="C197"/>
          <cell r="D197"/>
          <cell r="E197"/>
        </row>
        <row r="198">
          <cell r="C198"/>
          <cell r="D198"/>
          <cell r="E198"/>
        </row>
        <row r="199">
          <cell r="C199"/>
          <cell r="D199"/>
          <cell r="E199"/>
        </row>
        <row r="200">
          <cell r="C200" t="str">
            <v>26-022</v>
          </cell>
          <cell r="D200" t="str">
            <v>7' OD x 11' Straight Side x 1/4” thick</v>
          </cell>
          <cell r="E200">
            <v>46203</v>
          </cell>
        </row>
        <row r="201">
          <cell r="C201" t="str">
            <v>CUSTOMER</v>
          </cell>
          <cell r="D201"/>
          <cell r="E201"/>
        </row>
        <row r="202">
          <cell r="C202"/>
          <cell r="D202"/>
          <cell r="E202"/>
        </row>
        <row r="203">
          <cell r="C203"/>
          <cell r="D203"/>
          <cell r="E203"/>
        </row>
        <row r="204">
          <cell r="C204"/>
          <cell r="D204"/>
          <cell r="E204"/>
        </row>
        <row r="205">
          <cell r="C205"/>
          <cell r="D205"/>
          <cell r="E205"/>
        </row>
        <row r="206">
          <cell r="C206"/>
          <cell r="D206"/>
          <cell r="E206"/>
        </row>
        <row r="207">
          <cell r="C207"/>
          <cell r="D207"/>
          <cell r="E207"/>
        </row>
        <row r="208">
          <cell r="C208"/>
          <cell r="D208"/>
          <cell r="E208"/>
        </row>
        <row r="209">
          <cell r="C209"/>
          <cell r="D209"/>
          <cell r="E209"/>
        </row>
        <row r="210">
          <cell r="C210"/>
          <cell r="D210"/>
          <cell r="E210"/>
        </row>
        <row r="211">
          <cell r="C211"/>
          <cell r="D211"/>
          <cell r="E211"/>
        </row>
        <row r="212">
          <cell r="C212"/>
          <cell r="D212"/>
          <cell r="E212"/>
        </row>
        <row r="213">
          <cell r="C213"/>
          <cell r="D213"/>
          <cell r="E213"/>
        </row>
        <row r="214">
          <cell r="C214"/>
          <cell r="D214"/>
          <cell r="E214"/>
        </row>
        <row r="215">
          <cell r="C215"/>
          <cell r="D215"/>
          <cell r="E215"/>
        </row>
        <row r="216">
          <cell r="C216"/>
          <cell r="D216"/>
          <cell r="E216"/>
        </row>
        <row r="217">
          <cell r="C217"/>
          <cell r="D217"/>
          <cell r="E217"/>
        </row>
        <row r="218">
          <cell r="C218"/>
          <cell r="D218"/>
          <cell r="E218"/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DDD9C3"/>
    <pageSetUpPr fitToPage="1"/>
  </sheetPr>
  <dimension ref="A1:AB361"/>
  <sheetViews>
    <sheetView zoomScale="80" zoomScaleNormal="80" workbookViewId="0">
      <selection activeCell="B365" sqref="B365"/>
    </sheetView>
  </sheetViews>
  <sheetFormatPr defaultColWidth="8.7109375" defaultRowHeight="15" x14ac:dyDescent="0.25"/>
  <cols>
    <col min="1" max="1" width="21.42578125" customWidth="1"/>
    <col min="2" max="2" width="41.28515625" customWidth="1"/>
    <col min="3" max="3" width="6.7109375" customWidth="1"/>
    <col min="4" max="4" width="19.7109375" customWidth="1"/>
    <col min="5" max="5" width="19.7109375" hidden="1" customWidth="1"/>
    <col min="6" max="6" width="16" customWidth="1"/>
    <col min="7" max="7" width="10.7109375" customWidth="1"/>
    <col min="8" max="8" width="12.42578125" style="4" customWidth="1"/>
    <col min="9" max="9" width="9.85546875" customWidth="1"/>
    <col min="11" max="11" width="10.42578125" customWidth="1"/>
    <col min="12" max="13" width="8.7109375" customWidth="1"/>
    <col min="14" max="14" width="25.5703125" hidden="1" customWidth="1"/>
    <col min="15" max="18" width="8.7109375" hidden="1" customWidth="1"/>
    <col min="19" max="23" width="11.5703125" hidden="1" customWidth="1"/>
    <col min="24" max="24" width="11.5703125" style="4" hidden="1" customWidth="1"/>
    <col min="25" max="26" width="11.5703125" hidden="1" customWidth="1"/>
    <col min="27" max="27" width="10.5703125" style="4" hidden="1" customWidth="1"/>
    <col min="28" max="28" width="9.140625" hidden="1" customWidth="1"/>
    <col min="29" max="29" width="0" hidden="1" customWidth="1"/>
  </cols>
  <sheetData>
    <row r="1" spans="1:27" ht="24.75" customHeight="1" x14ac:dyDescent="0.25">
      <c r="A1" s="163" t="s">
        <v>0</v>
      </c>
      <c r="B1" s="163"/>
      <c r="C1" s="163"/>
      <c r="D1" s="163"/>
      <c r="E1" s="163"/>
      <c r="F1" s="163"/>
      <c r="G1" s="163"/>
    </row>
    <row r="2" spans="1:27" ht="15" customHeight="1" x14ac:dyDescent="0.25">
      <c r="A2" s="5"/>
      <c r="B2" s="5"/>
      <c r="C2" s="5"/>
      <c r="D2" s="5"/>
      <c r="E2" s="5"/>
      <c r="F2" s="6" t="s">
        <v>1</v>
      </c>
      <c r="G2" s="7"/>
    </row>
    <row r="3" spans="1:27" ht="15" customHeight="1" x14ac:dyDescent="0.25">
      <c r="A3" s="5"/>
      <c r="B3" s="5"/>
      <c r="C3" s="5"/>
      <c r="D3" s="5"/>
      <c r="E3" s="5"/>
      <c r="F3" s="6" t="s">
        <v>2</v>
      </c>
      <c r="G3" s="8"/>
    </row>
    <row r="4" spans="1:27" x14ac:dyDescent="0.25">
      <c r="F4" s="6" t="s">
        <v>3</v>
      </c>
      <c r="G4" s="9"/>
      <c r="I4" t="s">
        <v>4</v>
      </c>
      <c r="J4" t="s">
        <v>4</v>
      </c>
    </row>
    <row r="5" spans="1:27" ht="29.25" customHeight="1" x14ac:dyDescent="0.25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I5" s="11" t="s">
        <v>12</v>
      </c>
      <c r="J5" s="11" t="s">
        <v>13</v>
      </c>
      <c r="S5">
        <v>0</v>
      </c>
      <c r="T5">
        <v>1</v>
      </c>
      <c r="U5">
        <v>2</v>
      </c>
      <c r="V5">
        <v>3</v>
      </c>
      <c r="W5">
        <v>4</v>
      </c>
    </row>
    <row r="6" spans="1:27" ht="23.25" hidden="1" x14ac:dyDescent="0.25">
      <c r="A6" s="12" t="str">
        <f>'Actual Dates'!A4</f>
        <v>24-046</v>
      </c>
      <c r="B6" s="13" t="str">
        <f>_xlfn.IFNA(VLOOKUP(A6,'Date Calcs'!A:B,2,),"")</f>
        <v>SYMS Engineering</v>
      </c>
      <c r="C6" s="14">
        <f>VLOOKUP(A6,'Actual Dates'!A:AE,18,)</f>
        <v>4</v>
      </c>
      <c r="D6" s="15">
        <f t="shared" ref="D6:D69" ca="1" si="0">Z6</f>
        <v>45533</v>
      </c>
      <c r="E6" s="15">
        <f t="shared" ref="E6:E69" ca="1" si="1">IF(VLOOKUP(A6,Dates,20,FALSE())="",TODAY(),VLOOKUP(A6,Dates,20,FALSE()))</f>
        <v>45883</v>
      </c>
      <c r="F6" s="14">
        <f ca="1">IFERROR(ROUND(IF(A6="","",IF(E6=0,D6-Date!$B$3,D6-E6)),0),"")</f>
        <v>-350</v>
      </c>
      <c r="G6" s="14" t="str">
        <f>_xlfn.IFNA(VLOOKUP(A6,'RTR v2'!A:AW,48,FALSE)," ")</f>
        <v/>
      </c>
      <c r="I6" s="16" t="str">
        <f t="shared" ref="I6:I69" si="2">IF(VLOOKUP(A6,Dates,2,)="N","N",IF(VLOOKUP(A6,Dates,3,)="N","N",IF(VLOOKUP(A6,Dates,4,)="N","N",IF(VLOOKUP(A6,Dates,5,)="N","N","Y"))))</f>
        <v>Y</v>
      </c>
      <c r="J6" s="16" t="str">
        <f t="shared" ref="J6" si="3">VLOOKUP(A6,Dates,7,)</f>
        <v>y</v>
      </c>
      <c r="L6" s="17"/>
      <c r="M6" t="str">
        <f>IF(N6="Y",N6," ")</f>
        <v xml:space="preserve"> </v>
      </c>
      <c r="O6">
        <f>IF(P6&lt;1,0,IF(VLOOKUP($A6,'Actual Dates'!$A:$G,5,0)="Y",1,0))</f>
        <v>1</v>
      </c>
      <c r="P6">
        <f>IF(Q6&lt;1,0,IF(VLOOKUP($A6,'Actual Dates'!$A:$G,4,0)="Y",1,0))</f>
        <v>1</v>
      </c>
      <c r="Q6">
        <f>IF(R6&lt;1,0,IF(VLOOKUP($A6,'Actual Dates'!$A:$G,3,0)="Y",1,0))</f>
        <v>1</v>
      </c>
      <c r="R6">
        <f>IF(VLOOKUP($A6,'Actual Dates'!$A:$G,2,0)="Y",1,0)</f>
        <v>1</v>
      </c>
      <c r="S6" s="4">
        <f ca="1">_xlfn.IFNA(+VLOOKUP(A6,'Date Calcs'!A:AG,8,),TODAY())</f>
        <v>45540</v>
      </c>
      <c r="T6" s="4">
        <f ca="1">_xlfn.IFNA(VLOOKUP(A6,'Date Calcs'!A:AG,10,),TODAY())</f>
        <v>45789</v>
      </c>
      <c r="U6" s="4">
        <f ca="1">_xlfn.IFNA(+VLOOKUP(A6,'Date Calcs'!A:AG,12,),TODAY())</f>
        <v>45853</v>
      </c>
      <c r="V6" s="4">
        <f ca="1">_xlfn.IFNA(+VLOOKUP(A6,'Date Calcs'!A:AG,14,),TODAY())</f>
        <v>45875</v>
      </c>
      <c r="W6" s="4">
        <f ca="1">_xlfn.IFNA(+VLOOKUP(A6,'Date Calcs'!A:AG,16,),TODAY())</f>
        <v>45533</v>
      </c>
      <c r="X6" s="4">
        <f ca="1">_xlfn.IFNA(IF(C6=0,VLOOKUP(A6,'Date Calcs'!A:AG,8,),IF(C6=1,VLOOKUP(A6,'Date Calcs'!A:AG,10,),IF(C6=2,VLOOKUP(A6,'Date Calcs'!A:AG,12,),IF(C6=3,VLOOKUP(A6,'Date Calcs'!A:AG,14,),4)))),TODAY())</f>
        <v>4</v>
      </c>
      <c r="Y6" s="4">
        <f t="shared" ref="Y6:Y69" ca="1" si="4">_xlfn.IFNA(IF(X6=4,W6,X6),TODAY())</f>
        <v>45533</v>
      </c>
      <c r="Z6" s="4">
        <f ca="1">_xlfn.IFNA(Y6+(VLOOKUP(A6,'Date Calcs'!A:W,22,0)*7),TODAY())</f>
        <v>45533</v>
      </c>
    </row>
    <row r="7" spans="1:27" ht="23.25" hidden="1" x14ac:dyDescent="0.25">
      <c r="A7" s="12" t="str">
        <f>'Actual Dates'!A5</f>
        <v>25-010</v>
      </c>
      <c r="B7" s="13" t="str">
        <f>_xlfn.IFNA(VLOOKUP(A7,'Date Calcs'!A:B,2,),"")</f>
        <v>Kimberly Clark</v>
      </c>
      <c r="C7" s="14">
        <f>VLOOKUP(A7,'Actual Dates'!A:AE,18,)</f>
        <v>3</v>
      </c>
      <c r="D7" s="15">
        <f t="shared" ca="1" si="0"/>
        <v>45911</v>
      </c>
      <c r="E7" s="15">
        <f t="shared" ca="1" si="1"/>
        <v>45897</v>
      </c>
      <c r="F7" s="14">
        <f ca="1">IFERROR(ROUND(IF(A7="","",IF(E7=0,D7-Date!$B$3,D7-E7)),0),"")</f>
        <v>14</v>
      </c>
      <c r="G7" s="14">
        <f>_xlfn.IFNA(VLOOKUP(A7,'RTR v2'!A:AW,48,FALSE)," ")</f>
        <v>46076</v>
      </c>
      <c r="I7" s="16" t="str">
        <f t="shared" si="2"/>
        <v>Y</v>
      </c>
      <c r="J7" s="16" t="str">
        <f t="shared" ref="J7:J70" si="5">VLOOKUP(A7,Dates,7,)</f>
        <v>y</v>
      </c>
      <c r="L7" s="17"/>
      <c r="M7" t="str">
        <f t="shared" ref="M7:M70" si="6">IF(N7="Y",N7," ")</f>
        <v xml:space="preserve"> </v>
      </c>
      <c r="N7">
        <f t="shared" ref="N7:N70" si="7">IF(R7="Y",R7,IF(Q7="Y",Q7,IF(P7="Y",P7,O7)))</f>
        <v>1</v>
      </c>
      <c r="O7">
        <f>IF(P7&lt;1,0,IF(VLOOKUP($A7,'Actual Dates'!$A:$G,5,0)="Y",1,0))</f>
        <v>1</v>
      </c>
      <c r="P7">
        <f>IF(Q7&lt;1,0,IF(VLOOKUP($A7,'Actual Dates'!$A:$G,4,0)="Y",1,0))</f>
        <v>1</v>
      </c>
      <c r="Q7">
        <f>IF(R7&lt;1,0,IF(VLOOKUP($A7,'Actual Dates'!$A:$G,3,0)="Y",1,0))</f>
        <v>1</v>
      </c>
      <c r="R7">
        <f>IF(VLOOKUP($A7,'Actual Dates'!$A:$G,2,0)="Y",1,0)</f>
        <v>1</v>
      </c>
      <c r="S7" s="4">
        <f ca="1">_xlfn.IFNA(+VLOOKUP(A7,'Date Calcs'!A:AG,8,),TODAY())</f>
        <v>45720</v>
      </c>
      <c r="T7" s="4">
        <f ca="1">_xlfn.IFNA(VLOOKUP(A7,'Date Calcs'!A:AG,10,),TODAY())</f>
        <v>45841</v>
      </c>
      <c r="U7" s="4">
        <f ca="1">_xlfn.IFNA(+VLOOKUP(A7,'Date Calcs'!A:AG,12,),TODAY())</f>
        <v>45897</v>
      </c>
      <c r="V7" s="4">
        <f ca="1">_xlfn.IFNA(+VLOOKUP(A7,'Date Calcs'!A:AG,14,),TODAY())</f>
        <v>45911</v>
      </c>
      <c r="W7" s="4">
        <f ca="1">_xlfn.IFNA(+VLOOKUP(A7,'Date Calcs'!A:AG,16,),TODAY())</f>
        <v>45699</v>
      </c>
      <c r="X7" s="4">
        <f ca="1">_xlfn.IFNA(IF(C7=0,VLOOKUP(A7,'Date Calcs'!A:AG,8,),IF(C7=1,VLOOKUP(A7,'Date Calcs'!A:AG,10,),IF(C7=2,VLOOKUP(A7,'Date Calcs'!A:AG,12,),IF(C7=3,VLOOKUP(A7,'Date Calcs'!A:AG,14,),4)))),TODAY())</f>
        <v>45911</v>
      </c>
      <c r="Y7" s="4">
        <f t="shared" ca="1" si="4"/>
        <v>45911</v>
      </c>
      <c r="Z7" s="4">
        <f ca="1">_xlfn.IFNA(Y7+(VLOOKUP(A7,'Date Calcs'!A:W,22,0)*7),TODAY())</f>
        <v>45911</v>
      </c>
      <c r="AA7" s="4">
        <f>_xlfn.IFNA(VLOOKUP(A7,'RTR v2'!$A:$AW,46,0),"")</f>
        <v>0</v>
      </c>
    </row>
    <row r="8" spans="1:27" ht="23.25" hidden="1" x14ac:dyDescent="0.25">
      <c r="A8" s="12" t="str">
        <f>'Actual Dates'!A6</f>
        <v>25-011</v>
      </c>
      <c r="B8" s="13" t="str">
        <f>_xlfn.IFNA(VLOOKUP(A8,'Date Calcs'!A:B,2,),"")</f>
        <v>Kimberly Clark</v>
      </c>
      <c r="C8" s="14">
        <f>VLOOKUP(A8,'Actual Dates'!A:AE,18,)</f>
        <v>3</v>
      </c>
      <c r="D8" s="15">
        <f t="shared" ca="1" si="0"/>
        <v>45918</v>
      </c>
      <c r="E8" s="15">
        <f t="shared" ca="1" si="1"/>
        <v>45904</v>
      </c>
      <c r="F8" s="14">
        <f ca="1">IFERROR(ROUND(IF(A8="","",IF(E8=0,D8-Date!$B$3,D8-E8)),0),"")</f>
        <v>14</v>
      </c>
      <c r="G8" s="14">
        <f>_xlfn.IFNA(VLOOKUP(A8,'RTR v2'!A:AW,48,FALSE)," ")</f>
        <v>46057</v>
      </c>
      <c r="I8" s="16" t="str">
        <f t="shared" si="2"/>
        <v>Y</v>
      </c>
      <c r="J8" s="16" t="str">
        <f t="shared" si="5"/>
        <v>y</v>
      </c>
      <c r="L8" s="17"/>
      <c r="M8" t="str">
        <f t="shared" si="6"/>
        <v xml:space="preserve"> </v>
      </c>
      <c r="N8">
        <f t="shared" si="7"/>
        <v>1</v>
      </c>
      <c r="O8">
        <f>IF(P8&lt;1,0,IF(VLOOKUP($A8,'Actual Dates'!$A:$G,5,0)="Y",1,0))</f>
        <v>1</v>
      </c>
      <c r="P8">
        <f>IF(Q8&lt;1,0,IF(VLOOKUP($A8,'Actual Dates'!$A:$G,4,0)="Y",1,0))</f>
        <v>1</v>
      </c>
      <c r="Q8">
        <f>IF(R8&lt;1,0,IF(VLOOKUP($A8,'Actual Dates'!$A:$G,3,0)="Y",1,0))</f>
        <v>1</v>
      </c>
      <c r="R8">
        <f>IF(VLOOKUP($A8,'Actual Dates'!$A:$G,2,0)="Y",1,0)</f>
        <v>1</v>
      </c>
      <c r="S8" s="4">
        <f ca="1">_xlfn.IFNA(+VLOOKUP(A8,'Date Calcs'!A:AG,8,),TODAY())</f>
        <v>45720</v>
      </c>
      <c r="T8" s="4">
        <f ca="1">_xlfn.IFNA(VLOOKUP(A8,'Date Calcs'!A:AG,10,),TODAY())</f>
        <v>45813</v>
      </c>
      <c r="U8" s="4">
        <f ca="1">_xlfn.IFNA(+VLOOKUP(A8,'Date Calcs'!A:AG,12,),TODAY())</f>
        <v>45904</v>
      </c>
      <c r="V8" s="4">
        <f ca="1">_xlfn.IFNA(+VLOOKUP(A8,'Date Calcs'!A:AG,14,),TODAY())</f>
        <v>45918</v>
      </c>
      <c r="W8" s="4">
        <f ca="1">_xlfn.IFNA(+VLOOKUP(A8,'Date Calcs'!A:AG,16,),TODAY())</f>
        <v>45699</v>
      </c>
      <c r="X8" s="4">
        <f ca="1">_xlfn.IFNA(IF(C8=0,VLOOKUP(A8,'Date Calcs'!A:AG,8,),IF(C8=1,VLOOKUP(A8,'Date Calcs'!A:AG,10,),IF(C8=2,VLOOKUP(A8,'Date Calcs'!A:AG,12,),IF(C8=3,VLOOKUP(A8,'Date Calcs'!A:AG,14,),4)))),TODAY())</f>
        <v>45918</v>
      </c>
      <c r="Y8" s="4">
        <f t="shared" ca="1" si="4"/>
        <v>45918</v>
      </c>
      <c r="Z8" s="4">
        <f ca="1">_xlfn.IFNA(Y8+(VLOOKUP(A8,'Date Calcs'!A:W,22,0)*7),TODAY())</f>
        <v>45918</v>
      </c>
      <c r="AA8" s="4">
        <f>_xlfn.IFNA(VLOOKUP(A8,'RTR v2'!$A:$AW,46,0),"")</f>
        <v>0</v>
      </c>
    </row>
    <row r="9" spans="1:27" ht="23.25" hidden="1" x14ac:dyDescent="0.25">
      <c r="A9" s="12" t="str">
        <f>'Actual Dates'!A7</f>
        <v>25-012</v>
      </c>
      <c r="B9" s="13" t="str">
        <f>_xlfn.IFNA(VLOOKUP(A9,'Date Calcs'!A:B,2,),"")</f>
        <v>Kimberly Clark</v>
      </c>
      <c r="C9" s="14">
        <f>VLOOKUP(A9,'Actual Dates'!A:AE,18,)</f>
        <v>3</v>
      </c>
      <c r="D9" s="15">
        <f t="shared" ca="1" si="0"/>
        <v>45918</v>
      </c>
      <c r="E9" s="15">
        <f t="shared" ca="1" si="1"/>
        <v>45904</v>
      </c>
      <c r="F9" s="14">
        <f ca="1">IFERROR(ROUND(IF(A9="","",IF(E9=0,D9-Date!$B$3,D9-E9)),0),"")</f>
        <v>14</v>
      </c>
      <c r="G9" s="14">
        <f>_xlfn.IFNA(VLOOKUP(A9,'RTR v2'!A:AW,48,FALSE)," ")</f>
        <v>46111</v>
      </c>
      <c r="I9" s="16" t="str">
        <f t="shared" si="2"/>
        <v>Y</v>
      </c>
      <c r="J9" s="16" t="str">
        <f t="shared" si="5"/>
        <v>y</v>
      </c>
      <c r="L9" s="17"/>
      <c r="M9" t="str">
        <f t="shared" si="6"/>
        <v xml:space="preserve"> </v>
      </c>
      <c r="N9">
        <f t="shared" si="7"/>
        <v>1</v>
      </c>
      <c r="O9">
        <f>IF(P9&lt;1,0,IF(VLOOKUP($A9,'Actual Dates'!$A:$G,5,0)="Y",1,0))</f>
        <v>1</v>
      </c>
      <c r="P9">
        <f>IF(Q9&lt;1,0,IF(VLOOKUP($A9,'Actual Dates'!$A:$G,4,0)="Y",1,0))</f>
        <v>1</v>
      </c>
      <c r="Q9">
        <f>IF(R9&lt;1,0,IF(VLOOKUP($A9,'Actual Dates'!$A:$G,3,0)="Y",1,0))</f>
        <v>1</v>
      </c>
      <c r="R9">
        <f>IF(VLOOKUP($A9,'Actual Dates'!$A:$G,2,0)="Y",1,0)</f>
        <v>1</v>
      </c>
      <c r="S9" s="4">
        <f ca="1">_xlfn.IFNA(+VLOOKUP(A9,'Date Calcs'!A:AG,8,),TODAY())</f>
        <v>45720</v>
      </c>
      <c r="T9" s="4">
        <f ca="1">_xlfn.IFNA(VLOOKUP(A9,'Date Calcs'!A:AG,10,),TODAY())</f>
        <v>45813</v>
      </c>
      <c r="U9" s="4">
        <f ca="1">_xlfn.IFNA(+VLOOKUP(A9,'Date Calcs'!A:AG,12,),TODAY())</f>
        <v>45904</v>
      </c>
      <c r="V9" s="4">
        <f ca="1">_xlfn.IFNA(+VLOOKUP(A9,'Date Calcs'!A:AG,14,),TODAY())</f>
        <v>45918</v>
      </c>
      <c r="W9" s="4">
        <f ca="1">_xlfn.IFNA(+VLOOKUP(A9,'Date Calcs'!A:AG,16,),TODAY())</f>
        <v>45699</v>
      </c>
      <c r="X9" s="4">
        <f ca="1">_xlfn.IFNA(IF(C9=0,VLOOKUP(A9,'Date Calcs'!A:AG,8,),IF(C9=1,VLOOKUP(A9,'Date Calcs'!A:AG,10,),IF(C9=2,VLOOKUP(A9,'Date Calcs'!A:AG,12,),IF(C9=3,VLOOKUP(A9,'Date Calcs'!A:AG,14,),4)))),TODAY())</f>
        <v>45918</v>
      </c>
      <c r="Y9" s="4">
        <f t="shared" ca="1" si="4"/>
        <v>45918</v>
      </c>
      <c r="Z9" s="4">
        <f ca="1">_xlfn.IFNA(Y9+(VLOOKUP(A9,'Date Calcs'!A:W,22,0)*7),TODAY())</f>
        <v>45918</v>
      </c>
      <c r="AA9" s="4" t="str">
        <f>_xlfn.IFNA(VLOOKUP(A9,'RTR v2'!$A:$AW,46,0),"")</f>
        <v xml:space="preserve"> </v>
      </c>
    </row>
    <row r="10" spans="1:27" ht="23.25" hidden="1" x14ac:dyDescent="0.25">
      <c r="A10" s="12" t="str">
        <f>'Actual Dates'!A8</f>
        <v>25-013</v>
      </c>
      <c r="B10" s="13" t="str">
        <f>_xlfn.IFNA(VLOOKUP(A10,'Date Calcs'!A:B,2,),"")</f>
        <v>Kimberly Clark</v>
      </c>
      <c r="C10" s="14">
        <f>VLOOKUP(A10,'Actual Dates'!A:AE,18,)</f>
        <v>2</v>
      </c>
      <c r="D10" s="15">
        <f t="shared" ca="1" si="0"/>
        <v>45826</v>
      </c>
      <c r="E10" s="15">
        <f t="shared" ca="1" si="1"/>
        <v>45904</v>
      </c>
      <c r="F10" s="14">
        <f ca="1">IFERROR(ROUND(IF(A10="","",IF(E10=0,D10-Date!$B$3,D10-E10)),0),"")</f>
        <v>-78</v>
      </c>
      <c r="G10" s="14">
        <f>_xlfn.IFNA(VLOOKUP(A10,'RTR v2'!A:AW,48,FALSE)," ")</f>
        <v>46111</v>
      </c>
      <c r="I10" s="16" t="str">
        <f t="shared" si="2"/>
        <v>Y</v>
      </c>
      <c r="J10" s="16" t="str">
        <f t="shared" si="5"/>
        <v>y</v>
      </c>
      <c r="L10" s="17"/>
      <c r="M10" t="str">
        <f t="shared" si="6"/>
        <v xml:space="preserve"> </v>
      </c>
      <c r="N10">
        <f t="shared" si="7"/>
        <v>1</v>
      </c>
      <c r="O10">
        <f>IF(P10&lt;1,0,IF(VLOOKUP($A10,'Actual Dates'!$A:$G,5,0)="Y",1,0))</f>
        <v>1</v>
      </c>
      <c r="P10">
        <f>IF(Q10&lt;1,0,IF(VLOOKUP($A10,'Actual Dates'!$A:$G,4,0)="Y",1,0))</f>
        <v>1</v>
      </c>
      <c r="Q10">
        <f>IF(R10&lt;1,0,IF(VLOOKUP($A10,'Actual Dates'!$A:$G,3,0)="Y",1,0))</f>
        <v>1</v>
      </c>
      <c r="R10">
        <f>IF(VLOOKUP($A10,'Actual Dates'!$A:$G,2,0)="Y",1,0)</f>
        <v>1</v>
      </c>
      <c r="S10" s="4">
        <f ca="1">_xlfn.IFNA(+VLOOKUP(A10,'Date Calcs'!A:AG,8,),TODAY())</f>
        <v>45720</v>
      </c>
      <c r="T10" s="4">
        <f ca="1">_xlfn.IFNA(VLOOKUP(A10,'Date Calcs'!A:AG,10,),TODAY())</f>
        <v>45813</v>
      </c>
      <c r="U10" s="4">
        <f ca="1">_xlfn.IFNA(+VLOOKUP(A10,'Date Calcs'!A:AG,12,),TODAY())</f>
        <v>45826</v>
      </c>
      <c r="V10" s="4">
        <f ca="1">_xlfn.IFNA(+VLOOKUP(A10,'Date Calcs'!A:AG,14,),TODAY())</f>
        <v>45840</v>
      </c>
      <c r="W10" s="4">
        <f ca="1">_xlfn.IFNA(+VLOOKUP(A10,'Date Calcs'!A:AG,16,),TODAY())</f>
        <v>45699</v>
      </c>
      <c r="X10" s="4">
        <f ca="1">_xlfn.IFNA(IF(C10=0,VLOOKUP(A10,'Date Calcs'!A:AG,8,),IF(C10=1,VLOOKUP(A10,'Date Calcs'!A:AG,10,),IF(C10=2,VLOOKUP(A10,'Date Calcs'!A:AG,12,),IF(C10=3,VLOOKUP(A10,'Date Calcs'!A:AG,14,),4)))),TODAY())</f>
        <v>45826</v>
      </c>
      <c r="Y10" s="4">
        <f t="shared" ca="1" si="4"/>
        <v>45826</v>
      </c>
      <c r="Z10" s="4">
        <f ca="1">_xlfn.IFNA(Y10+(VLOOKUP(A10,'Date Calcs'!A:W,22,0)*7),TODAY())</f>
        <v>45826</v>
      </c>
      <c r="AA10" s="4" t="str">
        <f>_xlfn.IFNA(VLOOKUP(A10,'RTR v2'!$A:$AW,46,0),"")</f>
        <v xml:space="preserve"> </v>
      </c>
    </row>
    <row r="11" spans="1:27" ht="23.25" hidden="1" x14ac:dyDescent="0.25">
      <c r="A11" s="12" t="str">
        <f>'Actual Dates'!A9</f>
        <v>25-014</v>
      </c>
      <c r="B11" s="13" t="str">
        <f>_xlfn.IFNA(VLOOKUP(A11,'Date Calcs'!A:B,2,),"")</f>
        <v>Kimberly Clark</v>
      </c>
      <c r="C11" s="14">
        <f>VLOOKUP(A11,'Actual Dates'!A:AE,18,)</f>
        <v>2</v>
      </c>
      <c r="D11" s="15">
        <f t="shared" ca="1" si="0"/>
        <v>45819</v>
      </c>
      <c r="E11" s="15">
        <f t="shared" ca="1" si="1"/>
        <v>45805</v>
      </c>
      <c r="F11" s="14">
        <f ca="1">IFERROR(ROUND(IF(A11="","",IF(E11=0,D11-Date!$B$3,D11-E11)),0),"")</f>
        <v>14</v>
      </c>
      <c r="G11" s="14">
        <f>_xlfn.IFNA(VLOOKUP(A11,'RTR v2'!A:AW,48,FALSE)," ")</f>
        <v>45967</v>
      </c>
      <c r="I11" s="16" t="str">
        <f t="shared" si="2"/>
        <v>Y</v>
      </c>
      <c r="J11" s="16" t="str">
        <f t="shared" si="5"/>
        <v>y</v>
      </c>
      <c r="L11" s="17"/>
      <c r="M11" t="str">
        <f t="shared" si="6"/>
        <v xml:space="preserve"> </v>
      </c>
      <c r="N11">
        <f t="shared" si="7"/>
        <v>1</v>
      </c>
      <c r="O11">
        <f>IF(P11&lt;1,0,IF(VLOOKUP($A11,'Actual Dates'!$A:$G,5,0)="Y",1,0))</f>
        <v>1</v>
      </c>
      <c r="P11">
        <f>IF(Q11&lt;1,0,IF(VLOOKUP($A11,'Actual Dates'!$A:$G,4,0)="Y",1,0))</f>
        <v>1</v>
      </c>
      <c r="Q11">
        <f>IF(R11&lt;1,0,IF(VLOOKUP($A11,'Actual Dates'!$A:$G,3,0)="Y",1,0))</f>
        <v>1</v>
      </c>
      <c r="R11">
        <f>IF(VLOOKUP($A11,'Actual Dates'!$A:$G,2,0)="Y",1,0)</f>
        <v>1</v>
      </c>
      <c r="S11" s="4">
        <f ca="1">_xlfn.IFNA(+VLOOKUP(A11,'Date Calcs'!A:AG,8,),TODAY())</f>
        <v>45720</v>
      </c>
      <c r="T11" s="4">
        <f ca="1">_xlfn.IFNA(VLOOKUP(A11,'Date Calcs'!A:AG,10,),TODAY())</f>
        <v>45798</v>
      </c>
      <c r="U11" s="4">
        <f ca="1">_xlfn.IFNA(+VLOOKUP(A11,'Date Calcs'!A:AG,12,),TODAY())</f>
        <v>45819</v>
      </c>
      <c r="V11" s="4">
        <f ca="1">_xlfn.IFNA(+VLOOKUP(A11,'Date Calcs'!A:AG,14,),TODAY())</f>
        <v>45833</v>
      </c>
      <c r="W11" s="4">
        <f ca="1">_xlfn.IFNA(+VLOOKUP(A11,'Date Calcs'!A:AG,16,),TODAY())</f>
        <v>45699</v>
      </c>
      <c r="X11" s="4">
        <f ca="1">_xlfn.IFNA(IF(C11=0,VLOOKUP(A11,'Date Calcs'!A:AG,8,),IF(C11=1,VLOOKUP(A11,'Date Calcs'!A:AG,10,),IF(C11=2,VLOOKUP(A11,'Date Calcs'!A:AG,12,),IF(C11=3,VLOOKUP(A11,'Date Calcs'!A:AG,14,),4)))),TODAY())</f>
        <v>45819</v>
      </c>
      <c r="Y11" s="4">
        <f t="shared" ca="1" si="4"/>
        <v>45819</v>
      </c>
      <c r="Z11" s="4">
        <f ca="1">_xlfn.IFNA(Y11+(VLOOKUP(A11,'Date Calcs'!A:W,22,0)*7),TODAY())</f>
        <v>45819</v>
      </c>
      <c r="AA11" s="4">
        <f>_xlfn.IFNA(VLOOKUP(A11,'RTR v2'!$A:$AW,46,0),"")</f>
        <v>0</v>
      </c>
    </row>
    <row r="12" spans="1:27" ht="23.25" hidden="1" x14ac:dyDescent="0.25">
      <c r="A12" s="12" t="str">
        <f>'Actual Dates'!A10</f>
        <v>25-015</v>
      </c>
      <c r="B12" s="13" t="str">
        <f>_xlfn.IFNA(VLOOKUP(A12,'Date Calcs'!A:B,2,),"")</f>
        <v>Kimberly Clark</v>
      </c>
      <c r="C12" s="14">
        <f>VLOOKUP(A12,'Actual Dates'!A:AE,18,)</f>
        <v>2</v>
      </c>
      <c r="D12" s="15">
        <f t="shared" ca="1" si="0"/>
        <v>45819</v>
      </c>
      <c r="E12" s="15">
        <f t="shared" ca="1" si="1"/>
        <v>45805</v>
      </c>
      <c r="F12" s="14">
        <f ca="1">IFERROR(ROUND(IF(A12="","",IF(E12=0,D12-Date!$B$3,D12-E12)),0),"")</f>
        <v>14</v>
      </c>
      <c r="G12" s="14">
        <f>_xlfn.IFNA(VLOOKUP(A12,'RTR v2'!A:AW,48,FALSE)," ")</f>
        <v>45967</v>
      </c>
      <c r="I12" s="16" t="str">
        <f t="shared" si="2"/>
        <v>Y</v>
      </c>
      <c r="J12" s="16" t="str">
        <f t="shared" si="5"/>
        <v>y</v>
      </c>
      <c r="L12" s="17"/>
      <c r="M12" t="str">
        <f t="shared" si="6"/>
        <v xml:space="preserve"> </v>
      </c>
      <c r="N12">
        <f t="shared" si="7"/>
        <v>1</v>
      </c>
      <c r="O12">
        <f>IF(P12&lt;1,0,IF(VLOOKUP($A12,'Actual Dates'!$A:$G,5,0)="Y",1,0))</f>
        <v>1</v>
      </c>
      <c r="P12">
        <f>IF(Q12&lt;1,0,IF(VLOOKUP($A12,'Actual Dates'!$A:$G,4,0)="Y",1,0))</f>
        <v>1</v>
      </c>
      <c r="Q12">
        <f>IF(R12&lt;1,0,IF(VLOOKUP($A12,'Actual Dates'!$A:$G,3,0)="Y",1,0))</f>
        <v>1</v>
      </c>
      <c r="R12">
        <f>IF(VLOOKUP($A12,'Actual Dates'!$A:$G,2,0)="Y",1,0)</f>
        <v>1</v>
      </c>
      <c r="S12" s="4">
        <f ca="1">_xlfn.IFNA(+VLOOKUP(A12,'Date Calcs'!A:AG,8,),TODAY())</f>
        <v>45720</v>
      </c>
      <c r="T12" s="4">
        <f ca="1">_xlfn.IFNA(VLOOKUP(A12,'Date Calcs'!A:AG,10,),TODAY())</f>
        <v>45798</v>
      </c>
      <c r="U12" s="4">
        <f ca="1">_xlfn.IFNA(+VLOOKUP(A12,'Date Calcs'!A:AG,12,),TODAY())</f>
        <v>45819</v>
      </c>
      <c r="V12" s="4">
        <f ca="1">_xlfn.IFNA(+VLOOKUP(A12,'Date Calcs'!A:AG,14,),TODAY())</f>
        <v>45833</v>
      </c>
      <c r="W12" s="4">
        <f ca="1">_xlfn.IFNA(+VLOOKUP(A12,'Date Calcs'!A:AG,16,),TODAY())</f>
        <v>45699</v>
      </c>
      <c r="X12" s="4">
        <f ca="1">_xlfn.IFNA(IF(C12=0,VLOOKUP(A12,'Date Calcs'!A:AG,8,),IF(C12=1,VLOOKUP(A12,'Date Calcs'!A:AG,10,),IF(C12=2,VLOOKUP(A12,'Date Calcs'!A:AG,12,),IF(C12=3,VLOOKUP(A12,'Date Calcs'!A:AG,14,),4)))),TODAY())</f>
        <v>45819</v>
      </c>
      <c r="Y12" s="4">
        <f t="shared" ca="1" si="4"/>
        <v>45819</v>
      </c>
      <c r="Z12" s="4">
        <f ca="1">_xlfn.IFNA(Y12+(VLOOKUP(A12,'Date Calcs'!A:W,22,0)*7),TODAY())</f>
        <v>45819</v>
      </c>
      <c r="AA12" s="4">
        <f>_xlfn.IFNA(VLOOKUP(A12,'RTR v2'!$A:$AW,46,0),"")</f>
        <v>0</v>
      </c>
    </row>
    <row r="13" spans="1:27" ht="23.25" hidden="1" x14ac:dyDescent="0.25">
      <c r="A13" s="12" t="str">
        <f>'Actual Dates'!A11</f>
        <v>25-016</v>
      </c>
      <c r="B13" s="13" t="str">
        <f>_xlfn.IFNA(VLOOKUP(A13,'Date Calcs'!A:B,2,),"")</f>
        <v>Kimberly Clark</v>
      </c>
      <c r="C13" s="14">
        <f>VLOOKUP(A13,'Actual Dates'!A:AE,18,)</f>
        <v>2</v>
      </c>
      <c r="D13" s="15">
        <f t="shared" ca="1" si="0"/>
        <v>45819</v>
      </c>
      <c r="E13" s="15">
        <f t="shared" ca="1" si="1"/>
        <v>45805</v>
      </c>
      <c r="F13" s="14">
        <f ca="1">IFERROR(ROUND(IF(A13="","",IF(E13=0,D13-Date!$B$3,D13-E13)),0),"")</f>
        <v>14</v>
      </c>
      <c r="G13" s="14">
        <f>_xlfn.IFNA(VLOOKUP(A13,'RTR v2'!A:AW,48,FALSE)," ")</f>
        <v>46076</v>
      </c>
      <c r="I13" s="16" t="str">
        <f t="shared" si="2"/>
        <v>Y</v>
      </c>
      <c r="J13" s="16" t="str">
        <f t="shared" si="5"/>
        <v>y</v>
      </c>
      <c r="L13" s="17"/>
      <c r="M13" t="str">
        <f t="shared" si="6"/>
        <v xml:space="preserve"> </v>
      </c>
      <c r="N13">
        <f t="shared" si="7"/>
        <v>1</v>
      </c>
      <c r="O13">
        <f>IF(P13&lt;1,0,IF(VLOOKUP($A13,'Actual Dates'!$A:$G,5,0)="Y",1,0))</f>
        <v>1</v>
      </c>
      <c r="P13">
        <f>IF(Q13&lt;1,0,IF(VLOOKUP($A13,'Actual Dates'!$A:$G,4,0)="Y",1,0))</f>
        <v>1</v>
      </c>
      <c r="Q13">
        <f>IF(R13&lt;1,0,IF(VLOOKUP($A13,'Actual Dates'!$A:$G,3,0)="Y",1,0))</f>
        <v>1</v>
      </c>
      <c r="R13">
        <f>IF(VLOOKUP($A13,'Actual Dates'!$A:$G,2,0)="Y",1,0)</f>
        <v>1</v>
      </c>
      <c r="S13" s="4">
        <f ca="1">_xlfn.IFNA(+VLOOKUP(A13,'Date Calcs'!A:AG,8,),TODAY())</f>
        <v>45720</v>
      </c>
      <c r="T13" s="4">
        <f ca="1">_xlfn.IFNA(VLOOKUP(A13,'Date Calcs'!A:AG,10,),TODAY())</f>
        <v>45798</v>
      </c>
      <c r="U13" s="4">
        <f ca="1">_xlfn.IFNA(+VLOOKUP(A13,'Date Calcs'!A:AG,12,),TODAY())</f>
        <v>45819</v>
      </c>
      <c r="V13" s="4">
        <f ca="1">_xlfn.IFNA(+VLOOKUP(A13,'Date Calcs'!A:AG,14,),TODAY())</f>
        <v>45833</v>
      </c>
      <c r="W13" s="4">
        <f ca="1">_xlfn.IFNA(+VLOOKUP(A13,'Date Calcs'!A:AG,16,),TODAY())</f>
        <v>45699</v>
      </c>
      <c r="X13" s="4">
        <f ca="1">_xlfn.IFNA(IF(C13=0,VLOOKUP(A13,'Date Calcs'!A:AG,8,),IF(C13=1,VLOOKUP(A13,'Date Calcs'!A:AG,10,),IF(C13=2,VLOOKUP(A13,'Date Calcs'!A:AG,12,),IF(C13=3,VLOOKUP(A13,'Date Calcs'!A:AG,14,),4)))),TODAY())</f>
        <v>45819</v>
      </c>
      <c r="Y13" s="4">
        <f t="shared" ca="1" si="4"/>
        <v>45819</v>
      </c>
      <c r="Z13" s="4">
        <f ca="1">_xlfn.IFNA(Y13+(VLOOKUP(A13,'Date Calcs'!A:W,22,0)*7),TODAY())</f>
        <v>45819</v>
      </c>
      <c r="AA13" s="4">
        <f>_xlfn.IFNA(VLOOKUP(A13,'RTR v2'!$A:$AW,46,0),"")</f>
        <v>0</v>
      </c>
    </row>
    <row r="14" spans="1:27" ht="23.25" hidden="1" x14ac:dyDescent="0.25">
      <c r="A14" s="12" t="str">
        <f>'Actual Dates'!A12</f>
        <v>25-017</v>
      </c>
      <c r="B14" s="13" t="str">
        <f>_xlfn.IFNA(VLOOKUP(A14,'Date Calcs'!A:B,2,),"")</f>
        <v>Kimberly Clark</v>
      </c>
      <c r="C14" s="14">
        <f>VLOOKUP(A14,'Actual Dates'!A:AE,18,)</f>
        <v>2</v>
      </c>
      <c r="D14" s="15">
        <f t="shared" ca="1" si="0"/>
        <v>45783</v>
      </c>
      <c r="E14" s="15">
        <f t="shared" ca="1" si="1"/>
        <v>45769</v>
      </c>
      <c r="F14" s="14">
        <f ca="1">IFERROR(ROUND(IF(A14="","",IF(E14=0,D14-Date!$B$3,D14-E14)),0),"")</f>
        <v>14</v>
      </c>
      <c r="G14" s="14">
        <f>_xlfn.IFNA(VLOOKUP(A14,'RTR v2'!A:AW,48,FALSE)," ")</f>
        <v>46043</v>
      </c>
      <c r="I14" s="16" t="str">
        <f t="shared" si="2"/>
        <v>Y</v>
      </c>
      <c r="J14" s="16" t="str">
        <f t="shared" si="5"/>
        <v>y</v>
      </c>
      <c r="L14" s="17"/>
      <c r="M14" t="str">
        <f t="shared" si="6"/>
        <v xml:space="preserve"> </v>
      </c>
      <c r="N14">
        <f t="shared" si="7"/>
        <v>1</v>
      </c>
      <c r="O14">
        <f>IF(P14&lt;1,0,IF(VLOOKUP($A14,'Actual Dates'!$A:$G,5,0)="Y",1,0))</f>
        <v>1</v>
      </c>
      <c r="P14">
        <f>IF(Q14&lt;1,0,IF(VLOOKUP($A14,'Actual Dates'!$A:$G,4,0)="Y",1,0))</f>
        <v>1</v>
      </c>
      <c r="Q14">
        <f>IF(R14&lt;1,0,IF(VLOOKUP($A14,'Actual Dates'!$A:$G,3,0)="Y",1,0))</f>
        <v>1</v>
      </c>
      <c r="R14">
        <f>IF(VLOOKUP($A14,'Actual Dates'!$A:$G,2,0)="Y",1,0)</f>
        <v>1</v>
      </c>
      <c r="S14" s="4">
        <f ca="1">_xlfn.IFNA(+VLOOKUP(A14,'Date Calcs'!A:AG,8,),TODAY())</f>
        <v>45720</v>
      </c>
      <c r="T14" s="4">
        <f ca="1">_xlfn.IFNA(VLOOKUP(A14,'Date Calcs'!A:AG,10,),TODAY())</f>
        <v>45761</v>
      </c>
      <c r="U14" s="4">
        <f ca="1">_xlfn.IFNA(+VLOOKUP(A14,'Date Calcs'!A:AG,12,),TODAY())</f>
        <v>45783</v>
      </c>
      <c r="V14" s="4">
        <f ca="1">_xlfn.IFNA(+VLOOKUP(A14,'Date Calcs'!A:AG,14,),TODAY())</f>
        <v>45797</v>
      </c>
      <c r="W14" s="4">
        <f ca="1">_xlfn.IFNA(+VLOOKUP(A14,'Date Calcs'!A:AG,16,),TODAY())</f>
        <v>45699</v>
      </c>
      <c r="X14" s="4">
        <f ca="1">_xlfn.IFNA(IF(C14=0,VLOOKUP(A14,'Date Calcs'!A:AG,8,),IF(C14=1,VLOOKUP(A14,'Date Calcs'!A:AG,10,),IF(C14=2,VLOOKUP(A14,'Date Calcs'!A:AG,12,),IF(C14=3,VLOOKUP(A14,'Date Calcs'!A:AG,14,),4)))),TODAY())</f>
        <v>45783</v>
      </c>
      <c r="Y14" s="4">
        <f t="shared" ca="1" si="4"/>
        <v>45783</v>
      </c>
      <c r="Z14" s="4">
        <f ca="1">_xlfn.IFNA(Y14+(VLOOKUP(A14,'Date Calcs'!A:W,22,0)*7),TODAY())</f>
        <v>45783</v>
      </c>
      <c r="AA14" s="4">
        <f>_xlfn.IFNA(VLOOKUP(A14,'RTR v2'!$A:$AW,46,0),"")</f>
        <v>0</v>
      </c>
    </row>
    <row r="15" spans="1:27" ht="23.25" hidden="1" x14ac:dyDescent="0.25">
      <c r="A15" s="12" t="str">
        <f>'Actual Dates'!A13</f>
        <v>25-018</v>
      </c>
      <c r="B15" s="13" t="str">
        <f>_xlfn.IFNA(VLOOKUP(A15,'Date Calcs'!A:B,2,),"")</f>
        <v>Kimberly Clark</v>
      </c>
      <c r="C15" s="14">
        <f>VLOOKUP(A15,'Actual Dates'!A:AE,18,)</f>
        <v>3</v>
      </c>
      <c r="D15" s="15">
        <f t="shared" ca="1" si="0"/>
        <v>45919</v>
      </c>
      <c r="E15" s="15">
        <f t="shared" ca="1" si="1"/>
        <v>45905</v>
      </c>
      <c r="F15" s="14">
        <f ca="1">IFERROR(ROUND(IF(A15="","",IF(E15=0,D15-Date!$B$3,D15-E15)),0),"")</f>
        <v>14</v>
      </c>
      <c r="G15" s="14">
        <f>_xlfn.IFNA(VLOOKUP(A15,'RTR v2'!A:AW,48,FALSE)," ")</f>
        <v>46097</v>
      </c>
      <c r="I15" s="16" t="str">
        <f t="shared" si="2"/>
        <v>Y</v>
      </c>
      <c r="J15" s="16" t="str">
        <f t="shared" si="5"/>
        <v>y</v>
      </c>
      <c r="L15" s="17"/>
      <c r="M15" t="str">
        <f t="shared" si="6"/>
        <v xml:space="preserve"> </v>
      </c>
      <c r="N15">
        <f t="shared" si="7"/>
        <v>1</v>
      </c>
      <c r="O15">
        <f>IF(P15&lt;1,0,IF(VLOOKUP($A15,'Actual Dates'!$A:$G,5,0)="Y",1,0))</f>
        <v>1</v>
      </c>
      <c r="P15">
        <f>IF(Q15&lt;1,0,IF(VLOOKUP($A15,'Actual Dates'!$A:$G,4,0)="Y",1,0))</f>
        <v>1</v>
      </c>
      <c r="Q15">
        <f>IF(R15&lt;1,0,IF(VLOOKUP($A15,'Actual Dates'!$A:$G,3,0)="Y",1,0))</f>
        <v>1</v>
      </c>
      <c r="R15">
        <f>IF(VLOOKUP($A15,'Actual Dates'!$A:$G,2,0)="Y",1,0)</f>
        <v>1</v>
      </c>
      <c r="S15" s="4">
        <f ca="1">_xlfn.IFNA(+VLOOKUP(A15,'Date Calcs'!A:AG,8,),TODAY())</f>
        <v>45720</v>
      </c>
      <c r="T15" s="4">
        <f ca="1">_xlfn.IFNA(VLOOKUP(A15,'Date Calcs'!A:AG,10,),TODAY())</f>
        <v>45859</v>
      </c>
      <c r="U15" s="4">
        <f ca="1">_xlfn.IFNA(+VLOOKUP(A15,'Date Calcs'!A:AG,12,),TODAY())</f>
        <v>45897</v>
      </c>
      <c r="V15" s="4">
        <f ca="1">_xlfn.IFNA(+VLOOKUP(A15,'Date Calcs'!A:AG,14,),TODAY())</f>
        <v>45919</v>
      </c>
      <c r="W15" s="4">
        <f ca="1">_xlfn.IFNA(+VLOOKUP(A15,'Date Calcs'!A:AG,16,),TODAY())</f>
        <v>45699</v>
      </c>
      <c r="X15" s="4">
        <f ca="1">_xlfn.IFNA(IF(C15=0,VLOOKUP(A15,'Date Calcs'!A:AG,8,),IF(C15=1,VLOOKUP(A15,'Date Calcs'!A:AG,10,),IF(C15=2,VLOOKUP(A15,'Date Calcs'!A:AG,12,),IF(C15=3,VLOOKUP(A15,'Date Calcs'!A:AG,14,),4)))),TODAY())</f>
        <v>45919</v>
      </c>
      <c r="Y15" s="4">
        <f t="shared" ca="1" si="4"/>
        <v>45919</v>
      </c>
      <c r="Z15" s="4">
        <f ca="1">_xlfn.IFNA(Y15+(VLOOKUP(A15,'Date Calcs'!A:W,22,0)*7),TODAY())</f>
        <v>45919</v>
      </c>
      <c r="AA15" s="4" t="str">
        <f>_xlfn.IFNA(VLOOKUP(A15,'RTR v2'!$A:$AW,46,0),"")</f>
        <v xml:space="preserve"> </v>
      </c>
    </row>
    <row r="16" spans="1:27" ht="23.25" hidden="1" x14ac:dyDescent="0.25">
      <c r="A16" s="12" t="str">
        <f>'Actual Dates'!A14</f>
        <v>25-019</v>
      </c>
      <c r="B16" s="13" t="str">
        <f>_xlfn.IFNA(VLOOKUP(A16,'Date Calcs'!A:B,2,),"")</f>
        <v>Kimberly Clark</v>
      </c>
      <c r="C16" s="14">
        <f>VLOOKUP(A16,'Actual Dates'!A:AE,18,)</f>
        <v>3</v>
      </c>
      <c r="D16" s="15">
        <f t="shared" ca="1" si="0"/>
        <v>45919</v>
      </c>
      <c r="E16" s="15">
        <f t="shared" ca="1" si="1"/>
        <v>45905</v>
      </c>
      <c r="F16" s="14">
        <f ca="1">IFERROR(ROUND(IF(A16="","",IF(E16=0,D16-Date!$B$3,D16-E16)),0),"")</f>
        <v>14</v>
      </c>
      <c r="G16" s="14">
        <f>_xlfn.IFNA(VLOOKUP(A16,'RTR v2'!A:AW,48,FALSE)," ")</f>
        <v>46076</v>
      </c>
      <c r="I16" s="16" t="str">
        <f t="shared" si="2"/>
        <v>Y</v>
      </c>
      <c r="J16" s="16" t="str">
        <f t="shared" si="5"/>
        <v>y</v>
      </c>
      <c r="L16" s="17"/>
      <c r="M16" t="str">
        <f t="shared" si="6"/>
        <v xml:space="preserve"> </v>
      </c>
      <c r="N16">
        <f t="shared" si="7"/>
        <v>1</v>
      </c>
      <c r="O16">
        <f>IF(P16&lt;1,0,IF(VLOOKUP($A16,'Actual Dates'!$A:$G,5,0)="Y",1,0))</f>
        <v>1</v>
      </c>
      <c r="P16">
        <f>IF(Q16&lt;1,0,IF(VLOOKUP($A16,'Actual Dates'!$A:$G,4,0)="Y",1,0))</f>
        <v>1</v>
      </c>
      <c r="Q16">
        <f>IF(R16&lt;1,0,IF(VLOOKUP($A16,'Actual Dates'!$A:$G,3,0)="Y",1,0))</f>
        <v>1</v>
      </c>
      <c r="R16">
        <f>IF(VLOOKUP($A16,'Actual Dates'!$A:$G,2,0)="Y",1,0)</f>
        <v>1</v>
      </c>
      <c r="S16" s="4">
        <f ca="1">_xlfn.IFNA(+VLOOKUP(A16,'Date Calcs'!A:AG,8,),TODAY())</f>
        <v>45720</v>
      </c>
      <c r="T16" s="4">
        <f ca="1">_xlfn.IFNA(VLOOKUP(A16,'Date Calcs'!A:AG,10,),TODAY())</f>
        <v>45833</v>
      </c>
      <c r="U16" s="4">
        <f ca="1">_xlfn.IFNA(+VLOOKUP(A16,'Date Calcs'!A:AG,12,),TODAY())</f>
        <v>45904</v>
      </c>
      <c r="V16" s="4">
        <f ca="1">_xlfn.IFNA(+VLOOKUP(A16,'Date Calcs'!A:AG,14,),TODAY())</f>
        <v>45919</v>
      </c>
      <c r="W16" s="4">
        <f ca="1">_xlfn.IFNA(+VLOOKUP(A16,'Date Calcs'!A:AG,16,),TODAY())</f>
        <v>45699</v>
      </c>
      <c r="X16" s="4">
        <f ca="1">_xlfn.IFNA(IF(C16=0,VLOOKUP(A16,'Date Calcs'!A:AG,8,),IF(C16=1,VLOOKUP(A16,'Date Calcs'!A:AG,10,),IF(C16=2,VLOOKUP(A16,'Date Calcs'!A:AG,12,),IF(C16=3,VLOOKUP(A16,'Date Calcs'!A:AG,14,),4)))),TODAY())</f>
        <v>45919</v>
      </c>
      <c r="Y16" s="4">
        <f t="shared" ca="1" si="4"/>
        <v>45919</v>
      </c>
      <c r="Z16" s="4">
        <f ca="1">_xlfn.IFNA(Y16+(VLOOKUP(A16,'Date Calcs'!A:W,22,0)*7),TODAY())</f>
        <v>45919</v>
      </c>
      <c r="AA16" s="4">
        <f>_xlfn.IFNA(VLOOKUP(A16,'RTR v2'!$A:$AW,46,0),"")</f>
        <v>0</v>
      </c>
    </row>
    <row r="17" spans="1:27" ht="23.25" hidden="1" x14ac:dyDescent="0.25">
      <c r="A17" s="12" t="str">
        <f>'Actual Dates'!A15</f>
        <v>25-020</v>
      </c>
      <c r="B17" s="13" t="str">
        <f>_xlfn.IFNA(VLOOKUP(A17,'Date Calcs'!A:B,2,),"")</f>
        <v>Kimberly Clark</v>
      </c>
      <c r="C17" s="14">
        <f>VLOOKUP(A17,'Actual Dates'!A:AE,18,)</f>
        <v>4</v>
      </c>
      <c r="D17" s="15">
        <f t="shared" ca="1" si="0"/>
        <v>45699</v>
      </c>
      <c r="E17" s="15">
        <f t="shared" ca="1" si="1"/>
        <v>45895</v>
      </c>
      <c r="F17" s="14">
        <f ca="1">IFERROR(ROUND(IF(A17="","",IF(E17=0,D17-Date!$B$3,D17-E17)),0),"")</f>
        <v>-196</v>
      </c>
      <c r="G17" s="14">
        <f>_xlfn.IFNA(VLOOKUP(A17,'RTR v2'!A:AW,48,FALSE)," ")</f>
        <v>46058</v>
      </c>
      <c r="I17" s="16" t="str">
        <f t="shared" si="2"/>
        <v>Y</v>
      </c>
      <c r="J17" s="16" t="str">
        <f t="shared" si="5"/>
        <v>y</v>
      </c>
      <c r="L17" s="17"/>
      <c r="M17" t="str">
        <f t="shared" si="6"/>
        <v xml:space="preserve"> </v>
      </c>
      <c r="N17">
        <f t="shared" si="7"/>
        <v>1</v>
      </c>
      <c r="O17">
        <f>IF(P17&lt;1,0,IF(VLOOKUP($A17,'Actual Dates'!$A:$G,5,0)="Y",1,0))</f>
        <v>1</v>
      </c>
      <c r="P17">
        <f>IF(Q17&lt;1,0,IF(VLOOKUP($A17,'Actual Dates'!$A:$G,4,0)="Y",1,0))</f>
        <v>1</v>
      </c>
      <c r="Q17">
        <f>IF(R17&lt;1,0,IF(VLOOKUP($A17,'Actual Dates'!$A:$G,3,0)="Y",1,0))</f>
        <v>1</v>
      </c>
      <c r="R17">
        <f>IF(VLOOKUP($A17,'Actual Dates'!$A:$G,2,0)="Y",1,0)</f>
        <v>1</v>
      </c>
      <c r="S17" s="4">
        <f ca="1">_xlfn.IFNA(+VLOOKUP(A17,'Date Calcs'!A:AG,8,),TODAY())</f>
        <v>45720</v>
      </c>
      <c r="T17" s="4">
        <f ca="1">_xlfn.IFNA(VLOOKUP(A17,'Date Calcs'!A:AG,10,),TODAY())</f>
        <v>45813</v>
      </c>
      <c r="U17" s="4">
        <f ca="1">_xlfn.IFNA(+VLOOKUP(A17,'Date Calcs'!A:AG,12,),TODAY())</f>
        <v>45869</v>
      </c>
      <c r="V17" s="4">
        <f ca="1">_xlfn.IFNA(+VLOOKUP(A17,'Date Calcs'!A:AG,14,),TODAY())</f>
        <v>45897</v>
      </c>
      <c r="W17" s="4">
        <f ca="1">_xlfn.IFNA(+VLOOKUP(A17,'Date Calcs'!A:AG,16,),TODAY())</f>
        <v>45699</v>
      </c>
      <c r="X17" s="4">
        <f ca="1">_xlfn.IFNA(IF(C17=0,VLOOKUP(A17,'Date Calcs'!A:AG,8,),IF(C17=1,VLOOKUP(A17,'Date Calcs'!A:AG,10,),IF(C17=2,VLOOKUP(A17,'Date Calcs'!A:AG,12,),IF(C17=3,VLOOKUP(A17,'Date Calcs'!A:AG,14,),4)))),TODAY())</f>
        <v>4</v>
      </c>
      <c r="Y17" s="4">
        <f t="shared" ca="1" si="4"/>
        <v>45699</v>
      </c>
      <c r="Z17" s="4">
        <f ca="1">_xlfn.IFNA(Y17+(VLOOKUP(A17,'Date Calcs'!A:W,22,0)*7),TODAY())</f>
        <v>45699</v>
      </c>
      <c r="AA17" s="4">
        <f>_xlfn.IFNA(VLOOKUP(A17,'RTR v2'!$A:$AW,46,0),"")</f>
        <v>0</v>
      </c>
    </row>
    <row r="18" spans="1:27" ht="23.25" hidden="1" x14ac:dyDescent="0.25">
      <c r="A18" s="12" t="str">
        <f>'Actual Dates'!A16</f>
        <v>25-021</v>
      </c>
      <c r="B18" s="13" t="str">
        <f>_xlfn.IFNA(VLOOKUP(A18,'Date Calcs'!A:B,2,),"")</f>
        <v>Kimberly Clark</v>
      </c>
      <c r="C18" s="14">
        <f>VLOOKUP(A18,'Actual Dates'!A:AE,18,)</f>
        <v>3</v>
      </c>
      <c r="D18" s="15">
        <f t="shared" ca="1" si="0"/>
        <v>45916</v>
      </c>
      <c r="E18" s="15">
        <f t="shared" ca="1" si="1"/>
        <v>45902</v>
      </c>
      <c r="F18" s="14">
        <f ca="1">IFERROR(ROUND(IF(A18="","",IF(E18=0,D18-Date!$B$3,D18-E18)),0),"")</f>
        <v>14</v>
      </c>
      <c r="G18" s="14">
        <f>_xlfn.IFNA(VLOOKUP(A18,'RTR v2'!A:AW,48,FALSE)," ")</f>
        <v>46073</v>
      </c>
      <c r="I18" s="16" t="str">
        <f t="shared" si="2"/>
        <v>Y</v>
      </c>
      <c r="J18" s="16" t="str">
        <f t="shared" si="5"/>
        <v>y</v>
      </c>
      <c r="L18" s="17"/>
      <c r="M18" t="str">
        <f t="shared" si="6"/>
        <v xml:space="preserve"> </v>
      </c>
      <c r="N18">
        <f t="shared" si="7"/>
        <v>1</v>
      </c>
      <c r="O18">
        <f>IF(P18&lt;1,0,IF(VLOOKUP($A18,'Actual Dates'!$A:$G,5,0)="Y",1,0))</f>
        <v>1</v>
      </c>
      <c r="P18">
        <f>IF(Q18&lt;1,0,IF(VLOOKUP($A18,'Actual Dates'!$A:$G,4,0)="Y",1,0))</f>
        <v>1</v>
      </c>
      <c r="Q18">
        <f>IF(R18&lt;1,0,IF(VLOOKUP($A18,'Actual Dates'!$A:$G,3,0)="Y",1,0))</f>
        <v>1</v>
      </c>
      <c r="R18">
        <f>IF(VLOOKUP($A18,'Actual Dates'!$A:$G,2,0)="Y",1,0)</f>
        <v>1</v>
      </c>
      <c r="S18" s="4">
        <f ca="1">_xlfn.IFNA(+VLOOKUP(A18,'Date Calcs'!A:AG,8,),TODAY())</f>
        <v>45720</v>
      </c>
      <c r="T18" s="4">
        <f ca="1">_xlfn.IFNA(VLOOKUP(A18,'Date Calcs'!A:AG,10,),TODAY())</f>
        <v>45833</v>
      </c>
      <c r="U18" s="4">
        <f ca="1">_xlfn.IFNA(+VLOOKUP(A18,'Date Calcs'!A:AG,12,),TODAY())</f>
        <v>45904</v>
      </c>
      <c r="V18" s="4">
        <f ca="1">_xlfn.IFNA(+VLOOKUP(A18,'Date Calcs'!A:AG,14,),TODAY())</f>
        <v>45916</v>
      </c>
      <c r="W18" s="4">
        <f ca="1">_xlfn.IFNA(+VLOOKUP(A18,'Date Calcs'!A:AG,16,),TODAY())</f>
        <v>45699</v>
      </c>
      <c r="X18" s="4">
        <f ca="1">_xlfn.IFNA(IF(C18=0,VLOOKUP(A18,'Date Calcs'!A:AG,8,),IF(C18=1,VLOOKUP(A18,'Date Calcs'!A:AG,10,),IF(C18=2,VLOOKUP(A18,'Date Calcs'!A:AG,12,),IF(C18=3,VLOOKUP(A18,'Date Calcs'!A:AG,14,),4)))),TODAY())</f>
        <v>45916</v>
      </c>
      <c r="Y18" s="4">
        <f t="shared" ca="1" si="4"/>
        <v>45916</v>
      </c>
      <c r="Z18" s="4">
        <f ca="1">_xlfn.IFNA(Y18+(VLOOKUP(A18,'Date Calcs'!A:W,22,0)*7),TODAY())</f>
        <v>45916</v>
      </c>
      <c r="AA18" s="4">
        <f>_xlfn.IFNA(VLOOKUP(A18,'RTR v2'!$A:$AW,46,0),"")</f>
        <v>0</v>
      </c>
    </row>
    <row r="19" spans="1:27" ht="23.25" hidden="1" x14ac:dyDescent="0.25">
      <c r="A19" s="12" t="str">
        <f>'Actual Dates'!A17</f>
        <v>25-023</v>
      </c>
      <c r="B19" s="13" t="str">
        <f>_xlfn.IFNA(VLOOKUP(A19,'Date Calcs'!A:B,2,),"")</f>
        <v>Andritz</v>
      </c>
      <c r="C19" s="14">
        <f>VLOOKUP(A19,'Actual Dates'!A:AE,18,)</f>
        <v>3</v>
      </c>
      <c r="D19" s="15">
        <f t="shared" ca="1" si="0"/>
        <v>45740</v>
      </c>
      <c r="E19" s="15">
        <f t="shared" ca="1" si="1"/>
        <v>45726</v>
      </c>
      <c r="F19" s="14">
        <f ca="1">IFERROR(ROUND(IF(A19="","",IF(E19=0,D19-Date!$B$3,D19-E19)),0),"")</f>
        <v>14</v>
      </c>
      <c r="G19" s="14">
        <f>_xlfn.IFNA(VLOOKUP(A19,'RTR v2'!A:AW,48,FALSE)," ")</f>
        <v>45804</v>
      </c>
      <c r="I19" s="16" t="str">
        <f t="shared" si="2"/>
        <v>Y</v>
      </c>
      <c r="J19" s="16" t="str">
        <f t="shared" si="5"/>
        <v>y</v>
      </c>
      <c r="L19" s="17"/>
      <c r="M19" t="str">
        <f t="shared" si="6"/>
        <v xml:space="preserve"> </v>
      </c>
      <c r="N19">
        <f t="shared" si="7"/>
        <v>1</v>
      </c>
      <c r="O19">
        <f>IF(P19&lt;1,0,IF(VLOOKUP($A19,'Actual Dates'!$A:$G,5,0)="Y",1,0))</f>
        <v>1</v>
      </c>
      <c r="P19">
        <f>IF(Q19&lt;1,0,IF(VLOOKUP($A19,'Actual Dates'!$A:$G,4,0)="Y",1,0))</f>
        <v>1</v>
      </c>
      <c r="Q19">
        <f>IF(R19&lt;1,0,IF(VLOOKUP($A19,'Actual Dates'!$A:$G,3,0)="Y",1,0))</f>
        <v>1</v>
      </c>
      <c r="R19">
        <f>IF(VLOOKUP($A19,'Actual Dates'!$A:$G,2,0)="Y",1,0)</f>
        <v>1</v>
      </c>
      <c r="S19" s="4">
        <f ca="1">_xlfn.IFNA(+VLOOKUP(A19,'Date Calcs'!A:AG,8,),TODAY())</f>
        <v>45701</v>
      </c>
      <c r="T19" s="4">
        <f ca="1">_xlfn.IFNA(VLOOKUP(A19,'Date Calcs'!A:AG,10,),TODAY())</f>
        <v>45721</v>
      </c>
      <c r="U19" s="4">
        <f ca="1">_xlfn.IFNA(+VLOOKUP(A19,'Date Calcs'!A:AG,12,),TODAY())</f>
        <v>45733</v>
      </c>
      <c r="V19" s="4">
        <f ca="1">_xlfn.IFNA(+VLOOKUP(A19,'Date Calcs'!A:AG,14,),TODAY())</f>
        <v>45740</v>
      </c>
      <c r="W19" s="4">
        <f ca="1">_xlfn.IFNA(+VLOOKUP(A19,'Date Calcs'!A:AG,16,),TODAY())</f>
        <v>45701</v>
      </c>
      <c r="X19" s="4">
        <f ca="1">_xlfn.IFNA(IF(C19=0,VLOOKUP(A19,'Date Calcs'!A:AG,8,),IF(C19=1,VLOOKUP(A19,'Date Calcs'!A:AG,10,),IF(C19=2,VLOOKUP(A19,'Date Calcs'!A:AG,12,),IF(C19=3,VLOOKUP(A19,'Date Calcs'!A:AG,14,),4)))),TODAY())</f>
        <v>45740</v>
      </c>
      <c r="Y19" s="4">
        <f t="shared" ca="1" si="4"/>
        <v>45740</v>
      </c>
      <c r="Z19" s="4">
        <f ca="1">_xlfn.IFNA(Y19+(VLOOKUP(A19,'Date Calcs'!A:W,22,0)*7),TODAY())</f>
        <v>45740</v>
      </c>
      <c r="AA19" s="4">
        <f>_xlfn.IFNA(VLOOKUP(A19,'RTR v2'!$A:$AW,46,0),"")</f>
        <v>0</v>
      </c>
    </row>
    <row r="20" spans="1:27" ht="23.25" hidden="1" x14ac:dyDescent="0.25">
      <c r="A20" s="12" t="str">
        <f>'Actual Dates'!A18</f>
        <v>25-024</v>
      </c>
      <c r="B20" s="13" t="str">
        <f>_xlfn.IFNA(VLOOKUP(A20,'Date Calcs'!A:B,2,),"")</f>
        <v>Andritz</v>
      </c>
      <c r="C20" s="14">
        <f>VLOOKUP(A20,'Actual Dates'!A:AE,18,)</f>
        <v>3</v>
      </c>
      <c r="D20" s="15">
        <f t="shared" ca="1" si="0"/>
        <v>45740</v>
      </c>
      <c r="E20" s="15">
        <f t="shared" ca="1" si="1"/>
        <v>45726</v>
      </c>
      <c r="F20" s="14">
        <f ca="1">IFERROR(ROUND(IF(A20="","",IF(E20=0,D20-Date!$B$3,D20-E20)),0),"")</f>
        <v>14</v>
      </c>
      <c r="G20" s="14">
        <f>_xlfn.IFNA(VLOOKUP(A20,'RTR v2'!A:AW,48,FALSE)," ")</f>
        <v>45804</v>
      </c>
      <c r="I20" s="16" t="str">
        <f t="shared" si="2"/>
        <v>Y</v>
      </c>
      <c r="J20" s="16" t="str">
        <f t="shared" si="5"/>
        <v>y</v>
      </c>
      <c r="L20" s="17"/>
      <c r="M20" t="str">
        <f t="shared" si="6"/>
        <v xml:space="preserve"> </v>
      </c>
      <c r="N20">
        <f t="shared" si="7"/>
        <v>1</v>
      </c>
      <c r="O20">
        <f>IF(P20&lt;1,0,IF(VLOOKUP($A20,'Actual Dates'!$A:$G,5,0)="Y",1,0))</f>
        <v>1</v>
      </c>
      <c r="P20">
        <f>IF(Q20&lt;1,0,IF(VLOOKUP($A20,'Actual Dates'!$A:$G,4,0)="Y",1,0))</f>
        <v>1</v>
      </c>
      <c r="Q20">
        <f>IF(R20&lt;1,0,IF(VLOOKUP($A20,'Actual Dates'!$A:$G,3,0)="Y",1,0))</f>
        <v>1</v>
      </c>
      <c r="R20">
        <f>IF(VLOOKUP($A20,'Actual Dates'!$A:$G,2,0)="Y",1,0)</f>
        <v>1</v>
      </c>
      <c r="S20" s="4">
        <f ca="1">_xlfn.IFNA(+VLOOKUP(A20,'Date Calcs'!A:AG,8,),TODAY())</f>
        <v>45701</v>
      </c>
      <c r="T20" s="4">
        <f ca="1">_xlfn.IFNA(VLOOKUP(A20,'Date Calcs'!A:AG,10,),TODAY())</f>
        <v>45721</v>
      </c>
      <c r="U20" s="4">
        <f ca="1">_xlfn.IFNA(+VLOOKUP(A20,'Date Calcs'!A:AG,12,),TODAY())</f>
        <v>45733</v>
      </c>
      <c r="V20" s="4">
        <f ca="1">_xlfn.IFNA(+VLOOKUP(A20,'Date Calcs'!A:AG,14,),TODAY())</f>
        <v>45740</v>
      </c>
      <c r="W20" s="4">
        <f ca="1">_xlfn.IFNA(+VLOOKUP(A20,'Date Calcs'!A:AG,16,),TODAY())</f>
        <v>45701</v>
      </c>
      <c r="X20" s="4">
        <f ca="1">_xlfn.IFNA(IF(C20=0,VLOOKUP(A20,'Date Calcs'!A:AG,8,),IF(C20=1,VLOOKUP(A20,'Date Calcs'!A:AG,10,),IF(C20=2,VLOOKUP(A20,'Date Calcs'!A:AG,12,),IF(C20=3,VLOOKUP(A20,'Date Calcs'!A:AG,14,),4)))),TODAY())</f>
        <v>45740</v>
      </c>
      <c r="Y20" s="4">
        <f t="shared" ca="1" si="4"/>
        <v>45740</v>
      </c>
      <c r="Z20" s="4">
        <f ca="1">_xlfn.IFNA(Y20+(VLOOKUP(A20,'Date Calcs'!A:W,22,0)*7),TODAY())</f>
        <v>45740</v>
      </c>
      <c r="AA20" s="4">
        <f>_xlfn.IFNA(VLOOKUP(A20,'RTR v2'!$A:$AW,46,0),"")</f>
        <v>0</v>
      </c>
    </row>
    <row r="21" spans="1:27" ht="23.25" hidden="1" customHeight="1" x14ac:dyDescent="0.25">
      <c r="A21" s="12" t="str">
        <f>'Actual Dates'!A19</f>
        <v>25-025</v>
      </c>
      <c r="B21" s="13" t="str">
        <f>_xlfn.IFNA(VLOOKUP(A21,'Date Calcs'!A:B,2,),"")</f>
        <v>Irving Tissue</v>
      </c>
      <c r="C21" s="14">
        <f>VLOOKUP(A21,'Actual Dates'!A:AE,18,)</f>
        <v>3</v>
      </c>
      <c r="D21" s="15">
        <f t="shared" ca="1" si="0"/>
        <v>45819</v>
      </c>
      <c r="E21" s="15">
        <f t="shared" ca="1" si="1"/>
        <v>45805</v>
      </c>
      <c r="F21" s="14">
        <f ca="1">IFERROR(ROUND(IF(A21="","",IF(E21=0,D21-Date!$B$3,D21-E21)),0),"")</f>
        <v>14</v>
      </c>
      <c r="G21" s="14">
        <f>_xlfn.IFNA(VLOOKUP(A21,'RTR v2'!A:AW,48,FALSE)," ")</f>
        <v>45904</v>
      </c>
      <c r="I21" s="16" t="str">
        <f t="shared" si="2"/>
        <v>Y</v>
      </c>
      <c r="J21" s="16" t="str">
        <f t="shared" si="5"/>
        <v>y</v>
      </c>
      <c r="L21" s="17"/>
      <c r="M21" t="str">
        <f t="shared" si="6"/>
        <v xml:space="preserve"> </v>
      </c>
      <c r="N21">
        <f t="shared" si="7"/>
        <v>1</v>
      </c>
      <c r="O21">
        <f>IF(P21&lt;1,0,IF(VLOOKUP($A21,'Actual Dates'!$A:$G,5,0)="Y",1,0))</f>
        <v>1</v>
      </c>
      <c r="P21">
        <f>IF(Q21&lt;1,0,IF(VLOOKUP($A21,'Actual Dates'!$A:$G,4,0)="Y",1,0))</f>
        <v>1</v>
      </c>
      <c r="Q21">
        <f>IF(R21&lt;1,0,IF(VLOOKUP($A21,'Actual Dates'!$A:$G,3,0)="Y",1,0))</f>
        <v>1</v>
      </c>
      <c r="R21">
        <f>IF(VLOOKUP($A21,'Actual Dates'!$A:$G,2,0)="Y",1,0)</f>
        <v>1</v>
      </c>
      <c r="S21" s="4">
        <f ca="1">_xlfn.IFNA(+VLOOKUP(A21,'Date Calcs'!A:AG,8,),TODAY())</f>
        <v>45721</v>
      </c>
      <c r="T21" s="4">
        <f ca="1">_xlfn.IFNA(VLOOKUP(A21,'Date Calcs'!A:AG,10,),TODAY())</f>
        <v>45761</v>
      </c>
      <c r="U21" s="4">
        <f ca="1">_xlfn.IFNA(+VLOOKUP(A21,'Date Calcs'!A:AG,12,),TODAY())</f>
        <v>45806</v>
      </c>
      <c r="V21" s="4">
        <f ca="1">_xlfn.IFNA(+VLOOKUP(A21,'Date Calcs'!A:AG,14,),TODAY())</f>
        <v>45819</v>
      </c>
      <c r="W21" s="4">
        <f ca="1">_xlfn.IFNA(+VLOOKUP(A21,'Date Calcs'!A:AG,16,),TODAY())</f>
        <v>45707</v>
      </c>
      <c r="X21" s="4">
        <f ca="1">_xlfn.IFNA(IF(C21=0,VLOOKUP(A21,'Date Calcs'!A:AG,8,),IF(C21=1,VLOOKUP(A21,'Date Calcs'!A:AG,10,),IF(C21=2,VLOOKUP(A21,'Date Calcs'!A:AG,12,),IF(C21=3,VLOOKUP(A21,'Date Calcs'!A:AG,14,),4)))),TODAY())</f>
        <v>45819</v>
      </c>
      <c r="Y21" s="4">
        <f t="shared" ca="1" si="4"/>
        <v>45819</v>
      </c>
      <c r="Z21" s="4">
        <f ca="1">_xlfn.IFNA(Y21+(VLOOKUP(A21,'Date Calcs'!A:W,22,0)*7),TODAY())</f>
        <v>45819</v>
      </c>
      <c r="AA21" s="4">
        <f>_xlfn.IFNA(VLOOKUP(A21,'RTR v2'!$A:$AW,46,0),"")</f>
        <v>0</v>
      </c>
    </row>
    <row r="22" spans="1:27" ht="23.25" hidden="1" customHeight="1" x14ac:dyDescent="0.25">
      <c r="A22" s="12" t="str">
        <f>'Actual Dates'!A20</f>
        <v>25-026</v>
      </c>
      <c r="B22" s="13" t="str">
        <f>_xlfn.IFNA(VLOOKUP(A22,'Date Calcs'!A:B,2,),"")</f>
        <v>Irving Tissue</v>
      </c>
      <c r="C22" s="14">
        <f>VLOOKUP(A22,'Actual Dates'!A:AE,18,)</f>
        <v>3</v>
      </c>
      <c r="D22" s="15">
        <f t="shared" ca="1" si="0"/>
        <v>45811</v>
      </c>
      <c r="E22" s="15">
        <f t="shared" ca="1" si="1"/>
        <v>45797</v>
      </c>
      <c r="F22" s="14">
        <f ca="1">IFERROR(ROUND(IF(A22="","",IF(E22=0,D22-Date!$B$3,D22-E22)),0),"")</f>
        <v>14</v>
      </c>
      <c r="G22" s="14">
        <f>_xlfn.IFNA(VLOOKUP(A22,'RTR v2'!A:AW,48,FALSE)," ")</f>
        <v>45904</v>
      </c>
      <c r="I22" s="16" t="str">
        <f t="shared" si="2"/>
        <v>Y</v>
      </c>
      <c r="J22" s="16" t="str">
        <f t="shared" si="5"/>
        <v>y</v>
      </c>
      <c r="L22" s="17"/>
      <c r="M22" t="str">
        <f t="shared" si="6"/>
        <v xml:space="preserve"> </v>
      </c>
      <c r="N22">
        <f t="shared" si="7"/>
        <v>1</v>
      </c>
      <c r="O22">
        <f>IF(P22&lt;1,0,IF(VLOOKUP($A22,'Actual Dates'!$A:$G,5,0)="Y",1,0))</f>
        <v>1</v>
      </c>
      <c r="P22">
        <f>IF(Q22&lt;1,0,IF(VLOOKUP($A22,'Actual Dates'!$A:$G,4,0)="Y",1,0))</f>
        <v>1</v>
      </c>
      <c r="Q22">
        <f>IF(R22&lt;1,0,IF(VLOOKUP($A22,'Actual Dates'!$A:$G,3,0)="Y",1,0))</f>
        <v>1</v>
      </c>
      <c r="R22">
        <f>IF(VLOOKUP($A22,'Actual Dates'!$A:$G,2,0)="Y",1,0)</f>
        <v>1</v>
      </c>
      <c r="S22" s="4">
        <f ca="1">_xlfn.IFNA(+VLOOKUP(A22,'Date Calcs'!A:AG,8,),TODAY())</f>
        <v>45721</v>
      </c>
      <c r="T22" s="4">
        <f ca="1">_xlfn.IFNA(VLOOKUP(A22,'Date Calcs'!A:AG,10,),TODAY())</f>
        <v>45761</v>
      </c>
      <c r="U22" s="4">
        <f ca="1">_xlfn.IFNA(+VLOOKUP(A22,'Date Calcs'!A:AG,12,),TODAY())</f>
        <v>45797</v>
      </c>
      <c r="V22" s="4">
        <f ca="1">_xlfn.IFNA(+VLOOKUP(A22,'Date Calcs'!A:AG,14,),TODAY())</f>
        <v>45811</v>
      </c>
      <c r="W22" s="4">
        <f ca="1">_xlfn.IFNA(+VLOOKUP(A22,'Date Calcs'!A:AG,16,),TODAY())</f>
        <v>45707</v>
      </c>
      <c r="X22" s="4">
        <f ca="1">_xlfn.IFNA(IF(C22=0,VLOOKUP(A22,'Date Calcs'!A:AG,8,),IF(C22=1,VLOOKUP(A22,'Date Calcs'!A:AG,10,),IF(C22=2,VLOOKUP(A22,'Date Calcs'!A:AG,12,),IF(C22=3,VLOOKUP(A22,'Date Calcs'!A:AG,14,),4)))),TODAY())</f>
        <v>45811</v>
      </c>
      <c r="Y22" s="4">
        <f t="shared" ca="1" si="4"/>
        <v>45811</v>
      </c>
      <c r="Z22" s="4">
        <f ca="1">_xlfn.IFNA(Y22+(VLOOKUP(A22,'Date Calcs'!A:W,22,0)*7),TODAY())</f>
        <v>45811</v>
      </c>
      <c r="AA22" s="4">
        <f>_xlfn.IFNA(VLOOKUP(A22,'RTR v2'!$A:$AW,46,0),"")</f>
        <v>0</v>
      </c>
    </row>
    <row r="23" spans="1:27" ht="23.25" hidden="1" customHeight="1" x14ac:dyDescent="0.25">
      <c r="A23" s="12" t="str">
        <f>'Actual Dates'!A21</f>
        <v>25-027</v>
      </c>
      <c r="B23" s="13" t="str">
        <f>_xlfn.IFNA(VLOOKUP(A23,'Date Calcs'!A:B,2,),"")</f>
        <v>Irving Tissue</v>
      </c>
      <c r="C23" s="14">
        <f>VLOOKUP(A23,'Actual Dates'!A:AE,18,)</f>
        <v>3</v>
      </c>
      <c r="D23" s="15">
        <f t="shared" ca="1" si="0"/>
        <v>45811</v>
      </c>
      <c r="E23" s="15">
        <f t="shared" ca="1" si="1"/>
        <v>45797</v>
      </c>
      <c r="F23" s="14">
        <f ca="1">IFERROR(ROUND(IF(A23="","",IF(E23=0,D23-Date!$B$3,D23-E23)),0),"")</f>
        <v>14</v>
      </c>
      <c r="G23" s="14">
        <f>_xlfn.IFNA(VLOOKUP(A23,'RTR v2'!A:AW,48,FALSE)," ")</f>
        <v>45932</v>
      </c>
      <c r="I23" s="16" t="str">
        <f t="shared" si="2"/>
        <v>Y</v>
      </c>
      <c r="J23" s="16" t="str">
        <f t="shared" si="5"/>
        <v>y</v>
      </c>
      <c r="L23" s="17"/>
      <c r="M23" t="str">
        <f t="shared" si="6"/>
        <v xml:space="preserve"> </v>
      </c>
      <c r="N23">
        <f t="shared" si="7"/>
        <v>1</v>
      </c>
      <c r="O23">
        <f>IF(P23&lt;1,0,IF(VLOOKUP($A23,'Actual Dates'!$A:$G,5,0)="Y",1,0))</f>
        <v>1</v>
      </c>
      <c r="P23">
        <f>IF(Q23&lt;1,0,IF(VLOOKUP($A23,'Actual Dates'!$A:$G,4,0)="Y",1,0))</f>
        <v>1</v>
      </c>
      <c r="Q23">
        <f>IF(R23&lt;1,0,IF(VLOOKUP($A23,'Actual Dates'!$A:$G,3,0)="Y",1,0))</f>
        <v>1</v>
      </c>
      <c r="R23">
        <f>IF(VLOOKUP($A23,'Actual Dates'!$A:$G,2,0)="Y",1,0)</f>
        <v>1</v>
      </c>
      <c r="S23" s="4">
        <f ca="1">_xlfn.IFNA(+VLOOKUP(A23,'Date Calcs'!A:AG,8,),TODAY())</f>
        <v>45721</v>
      </c>
      <c r="T23" s="4">
        <f ca="1">_xlfn.IFNA(VLOOKUP(A23,'Date Calcs'!A:AG,10,),TODAY())</f>
        <v>45761</v>
      </c>
      <c r="U23" s="4">
        <f ca="1">_xlfn.IFNA(+VLOOKUP(A23,'Date Calcs'!A:AG,12,),TODAY())</f>
        <v>45797</v>
      </c>
      <c r="V23" s="4">
        <f ca="1">_xlfn.IFNA(+VLOOKUP(A23,'Date Calcs'!A:AG,14,),TODAY())</f>
        <v>45811</v>
      </c>
      <c r="W23" s="4">
        <f ca="1">_xlfn.IFNA(+VLOOKUP(A23,'Date Calcs'!A:AG,16,),TODAY())</f>
        <v>45707</v>
      </c>
      <c r="X23" s="4">
        <f ca="1">_xlfn.IFNA(IF(C23=0,VLOOKUP(A23,'Date Calcs'!A:AG,8,),IF(C23=1,VLOOKUP(A23,'Date Calcs'!A:AG,10,),IF(C23=2,VLOOKUP(A23,'Date Calcs'!A:AG,12,),IF(C23=3,VLOOKUP(A23,'Date Calcs'!A:AG,14,),4)))),TODAY())</f>
        <v>45811</v>
      </c>
      <c r="Y23" s="4">
        <f t="shared" ca="1" si="4"/>
        <v>45811</v>
      </c>
      <c r="Z23" s="4">
        <f ca="1">_xlfn.IFNA(Y23+(VLOOKUP(A23,'Date Calcs'!A:W,22,0)*7),TODAY())</f>
        <v>45811</v>
      </c>
      <c r="AA23" s="4">
        <f>_xlfn.IFNA(VLOOKUP(A23,'RTR v2'!$A:$AW,46,0),"")</f>
        <v>0</v>
      </c>
    </row>
    <row r="24" spans="1:27" ht="23.25" hidden="1" customHeight="1" x14ac:dyDescent="0.25">
      <c r="A24" s="12" t="str">
        <f>'Actual Dates'!A22</f>
        <v>25-028</v>
      </c>
      <c r="B24" s="13" t="str">
        <f>_xlfn.IFNA(VLOOKUP(A24,'Date Calcs'!A:B,2,),"")</f>
        <v>Irving Tissue</v>
      </c>
      <c r="C24" s="14">
        <f>VLOOKUP(A24,'Actual Dates'!A:AE,18,)</f>
        <v>3</v>
      </c>
      <c r="D24" s="15">
        <f t="shared" ca="1" si="0"/>
        <v>45811</v>
      </c>
      <c r="E24" s="15">
        <f t="shared" ca="1" si="1"/>
        <v>45797</v>
      </c>
      <c r="F24" s="14">
        <f ca="1">IFERROR(ROUND(IF(A24="","",IF(E24=0,D24-Date!$B$3,D24-E24)),0),"")</f>
        <v>14</v>
      </c>
      <c r="G24" s="14">
        <f>_xlfn.IFNA(VLOOKUP(A24,'RTR v2'!A:AW,48,FALSE)," ")</f>
        <v>45932</v>
      </c>
      <c r="I24" s="16" t="str">
        <f t="shared" si="2"/>
        <v>Y</v>
      </c>
      <c r="J24" s="16" t="str">
        <f t="shared" si="5"/>
        <v>y</v>
      </c>
      <c r="L24" s="17"/>
      <c r="M24" t="str">
        <f t="shared" si="6"/>
        <v xml:space="preserve"> </v>
      </c>
      <c r="N24">
        <f t="shared" si="7"/>
        <v>1</v>
      </c>
      <c r="O24">
        <f>IF(P24&lt;1,0,IF(VLOOKUP($A24,'Actual Dates'!$A:$G,5,0)="Y",1,0))</f>
        <v>1</v>
      </c>
      <c r="P24">
        <f>IF(Q24&lt;1,0,IF(VLOOKUP($A24,'Actual Dates'!$A:$G,4,0)="Y",1,0))</f>
        <v>1</v>
      </c>
      <c r="Q24">
        <f>IF(R24&lt;1,0,IF(VLOOKUP($A24,'Actual Dates'!$A:$G,3,0)="Y",1,0))</f>
        <v>1</v>
      </c>
      <c r="R24">
        <f>IF(VLOOKUP($A24,'Actual Dates'!$A:$G,2,0)="Y",1,0)</f>
        <v>1</v>
      </c>
      <c r="S24" s="4">
        <f ca="1">_xlfn.IFNA(+VLOOKUP(A24,'Date Calcs'!A:AG,8,),TODAY())</f>
        <v>45721</v>
      </c>
      <c r="T24" s="4">
        <f ca="1">_xlfn.IFNA(VLOOKUP(A24,'Date Calcs'!A:AG,10,),TODAY())</f>
        <v>45761</v>
      </c>
      <c r="U24" s="4">
        <f ca="1">_xlfn.IFNA(+VLOOKUP(A24,'Date Calcs'!A:AG,12,),TODAY())</f>
        <v>45797</v>
      </c>
      <c r="V24" s="4">
        <f ca="1">_xlfn.IFNA(+VLOOKUP(A24,'Date Calcs'!A:AG,14,),TODAY())</f>
        <v>45811</v>
      </c>
      <c r="W24" s="4">
        <f ca="1">_xlfn.IFNA(+VLOOKUP(A24,'Date Calcs'!A:AG,16,),TODAY())</f>
        <v>45707</v>
      </c>
      <c r="X24" s="4">
        <f ca="1">_xlfn.IFNA(IF(C24=0,VLOOKUP(A24,'Date Calcs'!A:AG,8,),IF(C24=1,VLOOKUP(A24,'Date Calcs'!A:AG,10,),IF(C24=2,VLOOKUP(A24,'Date Calcs'!A:AG,12,),IF(C24=3,VLOOKUP(A24,'Date Calcs'!A:AG,14,),4)))),TODAY())</f>
        <v>45811</v>
      </c>
      <c r="Y24" s="4">
        <f t="shared" ca="1" si="4"/>
        <v>45811</v>
      </c>
      <c r="Z24" s="4">
        <f ca="1">_xlfn.IFNA(Y24+(VLOOKUP(A24,'Date Calcs'!A:W,22,0)*7),TODAY())</f>
        <v>45811</v>
      </c>
      <c r="AA24" s="4">
        <f>_xlfn.IFNA(VLOOKUP(A24,'RTR v2'!$A:$AW,46,0),"")</f>
        <v>0</v>
      </c>
    </row>
    <row r="25" spans="1:27" ht="23.25" hidden="1" x14ac:dyDescent="0.25">
      <c r="A25" s="12" t="str">
        <f>'Actual Dates'!A23</f>
        <v>25-029</v>
      </c>
      <c r="B25" s="13" t="str">
        <f>_xlfn.IFNA(VLOOKUP(A25,'Date Calcs'!A:B,2,),"")</f>
        <v>Irving Tissue</v>
      </c>
      <c r="C25" s="14">
        <f>VLOOKUP(A25,'Actual Dates'!A:AE,18,)</f>
        <v>3</v>
      </c>
      <c r="D25" s="15">
        <f t="shared" ca="1" si="0"/>
        <v>45811</v>
      </c>
      <c r="E25" s="15">
        <f t="shared" ca="1" si="1"/>
        <v>45797</v>
      </c>
      <c r="F25" s="14">
        <f ca="1">IFERROR(ROUND(IF(A25="","",IF(E25=0,D25-Date!$B$3,D25-E25)),0),"")</f>
        <v>14</v>
      </c>
      <c r="G25" s="14">
        <f>_xlfn.IFNA(VLOOKUP(A25,'RTR v2'!A:AW,48,FALSE)," ")</f>
        <v>45930</v>
      </c>
      <c r="I25" s="16" t="str">
        <f t="shared" si="2"/>
        <v>Y</v>
      </c>
      <c r="J25" s="16" t="str">
        <f t="shared" si="5"/>
        <v>y</v>
      </c>
      <c r="L25" s="17"/>
      <c r="M25" t="str">
        <f t="shared" si="6"/>
        <v xml:space="preserve"> </v>
      </c>
      <c r="N25">
        <f t="shared" si="7"/>
        <v>1</v>
      </c>
      <c r="O25">
        <f>IF(P25&lt;1,0,IF(VLOOKUP($A25,'Actual Dates'!$A:$G,5,0)="Y",1,0))</f>
        <v>1</v>
      </c>
      <c r="P25">
        <f>IF(Q25&lt;1,0,IF(VLOOKUP($A25,'Actual Dates'!$A:$G,4,0)="Y",1,0))</f>
        <v>1</v>
      </c>
      <c r="Q25">
        <f>IF(R25&lt;1,0,IF(VLOOKUP($A25,'Actual Dates'!$A:$G,3,0)="Y",1,0))</f>
        <v>1</v>
      </c>
      <c r="R25">
        <f>IF(VLOOKUP($A25,'Actual Dates'!$A:$G,2,0)="Y",1,0)</f>
        <v>1</v>
      </c>
      <c r="S25" s="4">
        <f ca="1">_xlfn.IFNA(+VLOOKUP(A25,'Date Calcs'!A:AG,8,),TODAY())</f>
        <v>45721</v>
      </c>
      <c r="T25" s="4">
        <f ca="1">_xlfn.IFNA(VLOOKUP(A25,'Date Calcs'!A:AG,10,),TODAY())</f>
        <v>45761</v>
      </c>
      <c r="U25" s="4">
        <f ca="1">_xlfn.IFNA(+VLOOKUP(A25,'Date Calcs'!A:AG,12,),TODAY())</f>
        <v>45797</v>
      </c>
      <c r="V25" s="4">
        <f ca="1">_xlfn.IFNA(+VLOOKUP(A25,'Date Calcs'!A:AG,14,),TODAY())</f>
        <v>45811</v>
      </c>
      <c r="W25" s="4">
        <f ca="1">_xlfn.IFNA(+VLOOKUP(A25,'Date Calcs'!A:AG,16,),TODAY())</f>
        <v>45707</v>
      </c>
      <c r="X25" s="4">
        <f ca="1">_xlfn.IFNA(IF(C25=0,VLOOKUP(A25,'Date Calcs'!A:AG,8,),IF(C25=1,VLOOKUP(A25,'Date Calcs'!A:AG,10,),IF(C25=2,VLOOKUP(A25,'Date Calcs'!A:AG,12,),IF(C25=3,VLOOKUP(A25,'Date Calcs'!A:AG,14,),4)))),TODAY())</f>
        <v>45811</v>
      </c>
      <c r="Y25" s="4">
        <f t="shared" ca="1" si="4"/>
        <v>45811</v>
      </c>
      <c r="Z25" s="4">
        <f ca="1">_xlfn.IFNA(Y25+(VLOOKUP(A25,'Date Calcs'!A:W,22,0)*7),TODAY())</f>
        <v>45811</v>
      </c>
      <c r="AA25" s="4">
        <f>_xlfn.IFNA(VLOOKUP(A25,'RTR v2'!$A:$AW,46,0),"")</f>
        <v>0</v>
      </c>
    </row>
    <row r="26" spans="1:27" ht="23.25" hidden="1" customHeight="1" x14ac:dyDescent="0.25">
      <c r="A26" s="12" t="str">
        <f>'Actual Dates'!A24</f>
        <v>25-030</v>
      </c>
      <c r="B26" s="13" t="str">
        <f>_xlfn.IFNA(VLOOKUP(A26,'Date Calcs'!A:B,2,),"")</f>
        <v>Irving Tissue</v>
      </c>
      <c r="C26" s="14">
        <f>VLOOKUP(A26,'Actual Dates'!A:AE,18,)</f>
        <v>3</v>
      </c>
      <c r="D26" s="15">
        <f t="shared" ca="1" si="0"/>
        <v>45811</v>
      </c>
      <c r="E26" s="15">
        <f t="shared" ca="1" si="1"/>
        <v>45797</v>
      </c>
      <c r="F26" s="14">
        <f ca="1">IFERROR(ROUND(IF(A26="","",IF(E26=0,D26-Date!$B$3,D26-E26)),0),"")</f>
        <v>14</v>
      </c>
      <c r="G26" s="14">
        <f>_xlfn.IFNA(VLOOKUP(A26,'RTR v2'!A:AW,48,FALSE)," ")</f>
        <v>45930</v>
      </c>
      <c r="I26" s="16" t="str">
        <f t="shared" si="2"/>
        <v>Y</v>
      </c>
      <c r="J26" s="16" t="str">
        <f t="shared" si="5"/>
        <v>y</v>
      </c>
      <c r="L26" s="17"/>
      <c r="M26" t="str">
        <f t="shared" si="6"/>
        <v xml:space="preserve"> </v>
      </c>
      <c r="N26">
        <f t="shared" si="7"/>
        <v>1</v>
      </c>
      <c r="O26">
        <f>IF(P26&lt;1,0,IF(VLOOKUP($A26,'Actual Dates'!$A:$G,5,0)="Y",1,0))</f>
        <v>1</v>
      </c>
      <c r="P26">
        <f>IF(Q26&lt;1,0,IF(VLOOKUP($A26,'Actual Dates'!$A:$G,4,0)="Y",1,0))</f>
        <v>1</v>
      </c>
      <c r="Q26">
        <f>IF(R26&lt;1,0,IF(VLOOKUP($A26,'Actual Dates'!$A:$G,3,0)="Y",1,0))</f>
        <v>1</v>
      </c>
      <c r="R26">
        <f>IF(VLOOKUP($A26,'Actual Dates'!$A:$G,2,0)="Y",1,0)</f>
        <v>1</v>
      </c>
      <c r="S26" s="4">
        <f ca="1">_xlfn.IFNA(+VLOOKUP(A26,'Date Calcs'!A:AG,8,),TODAY())</f>
        <v>45721</v>
      </c>
      <c r="T26" s="4">
        <f ca="1">_xlfn.IFNA(VLOOKUP(A26,'Date Calcs'!A:AG,10,),TODAY())</f>
        <v>45761</v>
      </c>
      <c r="U26" s="4">
        <f ca="1">_xlfn.IFNA(+VLOOKUP(A26,'Date Calcs'!A:AG,12,),TODAY())</f>
        <v>45797</v>
      </c>
      <c r="V26" s="4">
        <f ca="1">_xlfn.IFNA(+VLOOKUP(A26,'Date Calcs'!A:AG,14,),TODAY())</f>
        <v>45811</v>
      </c>
      <c r="W26" s="4">
        <f ca="1">_xlfn.IFNA(+VLOOKUP(A26,'Date Calcs'!A:AG,16,),TODAY())</f>
        <v>45707</v>
      </c>
      <c r="X26" s="4">
        <f ca="1">_xlfn.IFNA(IF(C26=0,VLOOKUP(A26,'Date Calcs'!A:AG,8,),IF(C26=1,VLOOKUP(A26,'Date Calcs'!A:AG,10,),IF(C26=2,VLOOKUP(A26,'Date Calcs'!A:AG,12,),IF(C26=3,VLOOKUP(A26,'Date Calcs'!A:AG,14,),4)))),TODAY())</f>
        <v>45811</v>
      </c>
      <c r="Y26" s="4">
        <f t="shared" ca="1" si="4"/>
        <v>45811</v>
      </c>
      <c r="Z26" s="4">
        <f ca="1">_xlfn.IFNA(Y26+(VLOOKUP(A26,'Date Calcs'!A:W,22,0)*7),TODAY())</f>
        <v>45811</v>
      </c>
      <c r="AA26" s="4">
        <f>_xlfn.IFNA(VLOOKUP(A26,'RTR v2'!$A:$AW,46,0),"")</f>
        <v>0</v>
      </c>
    </row>
    <row r="27" spans="1:27" ht="23.25" hidden="1" customHeight="1" x14ac:dyDescent="0.25">
      <c r="A27" s="12" t="str">
        <f>'Actual Dates'!A25</f>
        <v>25-031</v>
      </c>
      <c r="B27" s="13" t="str">
        <f>_xlfn.IFNA(VLOOKUP(A27,'Date Calcs'!A:B,2,),"")</f>
        <v>Irving Tissue</v>
      </c>
      <c r="C27" s="14">
        <f>VLOOKUP(A27,'Actual Dates'!A:AE,18,)</f>
        <v>3</v>
      </c>
      <c r="D27" s="15">
        <f t="shared" ca="1" si="0"/>
        <v>45819</v>
      </c>
      <c r="E27" s="15">
        <f t="shared" ca="1" si="1"/>
        <v>45805</v>
      </c>
      <c r="F27" s="14">
        <f ca="1">IFERROR(ROUND(IF(A27="","",IF(E27=0,D27-Date!$B$3,D27-E27)),0),"")</f>
        <v>14</v>
      </c>
      <c r="G27" s="14">
        <f>_xlfn.IFNA(VLOOKUP(A27,'RTR v2'!A:AW,48,FALSE)," ")</f>
        <v>45958</v>
      </c>
      <c r="I27" s="16" t="str">
        <f t="shared" si="2"/>
        <v>Y</v>
      </c>
      <c r="J27" s="16" t="str">
        <f t="shared" si="5"/>
        <v>y</v>
      </c>
      <c r="L27" s="17"/>
      <c r="M27" t="str">
        <f t="shared" si="6"/>
        <v xml:space="preserve"> </v>
      </c>
      <c r="N27">
        <f t="shared" si="7"/>
        <v>1</v>
      </c>
      <c r="O27">
        <f>IF(P27&lt;1,0,IF(VLOOKUP($A27,'Actual Dates'!$A:$G,5,0)="Y",1,0))</f>
        <v>1</v>
      </c>
      <c r="P27">
        <f>IF(Q27&lt;1,0,IF(VLOOKUP($A27,'Actual Dates'!$A:$G,4,0)="Y",1,0))</f>
        <v>1</v>
      </c>
      <c r="Q27">
        <f>IF(R27&lt;1,0,IF(VLOOKUP($A27,'Actual Dates'!$A:$G,3,0)="Y",1,0))</f>
        <v>1</v>
      </c>
      <c r="R27">
        <f>IF(VLOOKUP($A27,'Actual Dates'!$A:$G,2,0)="Y",1,0)</f>
        <v>1</v>
      </c>
      <c r="S27" s="4">
        <f ca="1">_xlfn.IFNA(+VLOOKUP(A27,'Date Calcs'!A:AG,8,),TODAY())</f>
        <v>45721</v>
      </c>
      <c r="T27" s="4">
        <f ca="1">_xlfn.IFNA(VLOOKUP(A27,'Date Calcs'!A:AG,10,),TODAY())</f>
        <v>45761</v>
      </c>
      <c r="U27" s="4">
        <f ca="1">_xlfn.IFNA(+VLOOKUP(A27,'Date Calcs'!A:AG,12,),TODAY())</f>
        <v>45805</v>
      </c>
      <c r="V27" s="4">
        <f ca="1">_xlfn.IFNA(+VLOOKUP(A27,'Date Calcs'!A:AG,14,),TODAY())</f>
        <v>45819</v>
      </c>
      <c r="W27" s="4">
        <f ca="1">_xlfn.IFNA(+VLOOKUP(A27,'Date Calcs'!A:AG,16,),TODAY())</f>
        <v>45707</v>
      </c>
      <c r="X27" s="4">
        <f ca="1">_xlfn.IFNA(IF(C27=0,VLOOKUP(A27,'Date Calcs'!A:AG,8,),IF(C27=1,VLOOKUP(A27,'Date Calcs'!A:AG,10,),IF(C27=2,VLOOKUP(A27,'Date Calcs'!A:AG,12,),IF(C27=3,VLOOKUP(A27,'Date Calcs'!A:AG,14,),4)))),TODAY())</f>
        <v>45819</v>
      </c>
      <c r="Y27" s="4">
        <f t="shared" ca="1" si="4"/>
        <v>45819</v>
      </c>
      <c r="Z27" s="4">
        <f ca="1">_xlfn.IFNA(Y27+(VLOOKUP(A27,'Date Calcs'!A:W,22,0)*7),TODAY())</f>
        <v>45819</v>
      </c>
      <c r="AA27" s="4">
        <f>_xlfn.IFNA(VLOOKUP(A27,'RTR v2'!$A:$AW,46,0),"")</f>
        <v>0</v>
      </c>
    </row>
    <row r="28" spans="1:27" ht="23.25" hidden="1" customHeight="1" x14ac:dyDescent="0.25">
      <c r="A28" s="12" t="str">
        <f>'Actual Dates'!A26</f>
        <v>25-032</v>
      </c>
      <c r="B28" s="13" t="str">
        <f>_xlfn.IFNA(VLOOKUP(A28,'Date Calcs'!A:B,2,),"")</f>
        <v>Irving Tissue</v>
      </c>
      <c r="C28" s="14">
        <f>VLOOKUP(A28,'Actual Dates'!A:AE,18,)</f>
        <v>3</v>
      </c>
      <c r="D28" s="15">
        <f t="shared" ca="1" si="0"/>
        <v>45819</v>
      </c>
      <c r="E28" s="15">
        <f t="shared" ca="1" si="1"/>
        <v>45805</v>
      </c>
      <c r="F28" s="14">
        <f ca="1">IFERROR(ROUND(IF(A28="","",IF(E28=0,D28-Date!$B$3,D28-E28)),0),"")</f>
        <v>14</v>
      </c>
      <c r="G28" s="14">
        <f>_xlfn.IFNA(VLOOKUP(A28,'RTR v2'!A:AW,48,FALSE)," ")</f>
        <v>45958</v>
      </c>
      <c r="I28" s="16" t="str">
        <f t="shared" si="2"/>
        <v>Y</v>
      </c>
      <c r="J28" s="16" t="str">
        <f t="shared" si="5"/>
        <v>y</v>
      </c>
      <c r="L28" s="17"/>
      <c r="M28" t="str">
        <f t="shared" si="6"/>
        <v xml:space="preserve"> </v>
      </c>
      <c r="N28">
        <f t="shared" si="7"/>
        <v>1</v>
      </c>
      <c r="O28">
        <f>IF(P28&lt;1,0,IF(VLOOKUP($A28,'Actual Dates'!$A:$G,5,0)="Y",1,0))</f>
        <v>1</v>
      </c>
      <c r="P28">
        <f>IF(Q28&lt;1,0,IF(VLOOKUP($A28,'Actual Dates'!$A:$G,4,0)="Y",1,0))</f>
        <v>1</v>
      </c>
      <c r="Q28">
        <f>IF(R28&lt;1,0,IF(VLOOKUP($A28,'Actual Dates'!$A:$G,3,0)="Y",1,0))</f>
        <v>1</v>
      </c>
      <c r="R28">
        <f>IF(VLOOKUP($A28,'Actual Dates'!$A:$G,2,0)="Y",1,0)</f>
        <v>1</v>
      </c>
      <c r="S28" s="4">
        <f ca="1">_xlfn.IFNA(+VLOOKUP(A28,'Date Calcs'!A:AG,8,),TODAY())</f>
        <v>45721</v>
      </c>
      <c r="T28" s="4">
        <f ca="1">_xlfn.IFNA(VLOOKUP(A28,'Date Calcs'!A:AG,10,),TODAY())</f>
        <v>45761</v>
      </c>
      <c r="U28" s="4">
        <f ca="1">_xlfn.IFNA(+VLOOKUP(A28,'Date Calcs'!A:AG,12,),TODAY())</f>
        <v>45805</v>
      </c>
      <c r="V28" s="4">
        <f ca="1">_xlfn.IFNA(+VLOOKUP(A28,'Date Calcs'!A:AG,14,),TODAY())</f>
        <v>45819</v>
      </c>
      <c r="W28" s="4">
        <f ca="1">_xlfn.IFNA(+VLOOKUP(A28,'Date Calcs'!A:AG,16,),TODAY())</f>
        <v>45707</v>
      </c>
      <c r="X28" s="4">
        <f ca="1">_xlfn.IFNA(IF(C28=0,VLOOKUP(A28,'Date Calcs'!A:AG,8,),IF(C28=1,VLOOKUP(A28,'Date Calcs'!A:AG,10,),IF(C28=2,VLOOKUP(A28,'Date Calcs'!A:AG,12,),IF(C28=3,VLOOKUP(A28,'Date Calcs'!A:AG,14,),4)))),TODAY())</f>
        <v>45819</v>
      </c>
      <c r="Y28" s="4">
        <f t="shared" ca="1" si="4"/>
        <v>45819</v>
      </c>
      <c r="Z28" s="4">
        <f ca="1">_xlfn.IFNA(Y28+(VLOOKUP(A28,'Date Calcs'!A:W,22,0)*7),TODAY())</f>
        <v>45819</v>
      </c>
      <c r="AA28" s="4">
        <f>_xlfn.IFNA(VLOOKUP(A28,'RTR v2'!$A:$AW,46,0),"")</f>
        <v>0</v>
      </c>
    </row>
    <row r="29" spans="1:27" ht="23.25" hidden="1" customHeight="1" x14ac:dyDescent="0.25">
      <c r="A29" s="12" t="str">
        <f>'Actual Dates'!A27</f>
        <v>25-033</v>
      </c>
      <c r="B29" s="13" t="str">
        <f>_xlfn.IFNA(VLOOKUP(A29,'Date Calcs'!A:B,2,),"")</f>
        <v>Irving Tissue</v>
      </c>
      <c r="C29" s="14">
        <f>VLOOKUP(A29,'Actual Dates'!A:AE,18,)</f>
        <v>3</v>
      </c>
      <c r="D29" s="15">
        <f t="shared" ca="1" si="0"/>
        <v>45819</v>
      </c>
      <c r="E29" s="15">
        <f t="shared" ca="1" si="1"/>
        <v>45805</v>
      </c>
      <c r="F29" s="14">
        <f ca="1">IFERROR(ROUND(IF(A29="","",IF(E29=0,D29-Date!$B$3,D29-E29)),0),"")</f>
        <v>14</v>
      </c>
      <c r="G29" s="14">
        <f>_xlfn.IFNA(VLOOKUP(A29,'RTR v2'!A:AW,48,FALSE)," ")</f>
        <v>45958</v>
      </c>
      <c r="I29" s="16" t="str">
        <f t="shared" si="2"/>
        <v>Y</v>
      </c>
      <c r="J29" s="16" t="str">
        <f t="shared" si="5"/>
        <v>y</v>
      </c>
      <c r="L29" s="17"/>
      <c r="M29" t="str">
        <f t="shared" si="6"/>
        <v xml:space="preserve"> </v>
      </c>
      <c r="N29">
        <f t="shared" si="7"/>
        <v>1</v>
      </c>
      <c r="O29">
        <f>IF(P29&lt;1,0,IF(VLOOKUP($A29,'Actual Dates'!$A:$G,5,0)="Y",1,0))</f>
        <v>1</v>
      </c>
      <c r="P29">
        <f>IF(Q29&lt;1,0,IF(VLOOKUP($A29,'Actual Dates'!$A:$G,4,0)="Y",1,0))</f>
        <v>1</v>
      </c>
      <c r="Q29">
        <f>IF(R29&lt;1,0,IF(VLOOKUP($A29,'Actual Dates'!$A:$G,3,0)="Y",1,0))</f>
        <v>1</v>
      </c>
      <c r="R29">
        <f>IF(VLOOKUP($A29,'Actual Dates'!$A:$G,2,0)="Y",1,0)</f>
        <v>1</v>
      </c>
      <c r="S29" s="4">
        <f ca="1">_xlfn.IFNA(+VLOOKUP(A29,'Date Calcs'!A:AG,8,),TODAY())</f>
        <v>45721</v>
      </c>
      <c r="T29" s="4">
        <f ca="1">_xlfn.IFNA(VLOOKUP(A29,'Date Calcs'!A:AG,10,),TODAY())</f>
        <v>45761</v>
      </c>
      <c r="U29" s="4">
        <f ca="1">_xlfn.IFNA(+VLOOKUP(A29,'Date Calcs'!A:AG,12,),TODAY())</f>
        <v>45805</v>
      </c>
      <c r="V29" s="4">
        <f ca="1">_xlfn.IFNA(+VLOOKUP(A29,'Date Calcs'!A:AG,14,),TODAY())</f>
        <v>45819</v>
      </c>
      <c r="W29" s="4">
        <f ca="1">_xlfn.IFNA(+VLOOKUP(A29,'Date Calcs'!A:AG,16,),TODAY())</f>
        <v>45707</v>
      </c>
      <c r="X29" s="4">
        <f ca="1">_xlfn.IFNA(IF(C29=0,VLOOKUP(A29,'Date Calcs'!A:AG,8,),IF(C29=1,VLOOKUP(A29,'Date Calcs'!A:AG,10,),IF(C29=2,VLOOKUP(A29,'Date Calcs'!A:AG,12,),IF(C29=3,VLOOKUP(A29,'Date Calcs'!A:AG,14,),4)))),TODAY())</f>
        <v>45819</v>
      </c>
      <c r="Y29" s="4">
        <f t="shared" ca="1" si="4"/>
        <v>45819</v>
      </c>
      <c r="Z29" s="4">
        <f ca="1">_xlfn.IFNA(Y29+(VLOOKUP(A29,'Date Calcs'!A:W,22,0)*7),TODAY())</f>
        <v>45819</v>
      </c>
      <c r="AA29" s="4">
        <f>_xlfn.IFNA(VLOOKUP(A29,'RTR v2'!$A:$AW,46,0),"")</f>
        <v>0</v>
      </c>
    </row>
    <row r="30" spans="1:27" ht="23.25" hidden="1" x14ac:dyDescent="0.25">
      <c r="A30" s="12" t="str">
        <f>'Actual Dates'!A28</f>
        <v>25-034</v>
      </c>
      <c r="B30" s="13" t="str">
        <f>_xlfn.IFNA(VLOOKUP(A30,'Date Calcs'!A:B,2,),"")</f>
        <v>Irving Tissue</v>
      </c>
      <c r="C30" s="14">
        <f>VLOOKUP(A30,'Actual Dates'!A:AE,18,)</f>
        <v>3</v>
      </c>
      <c r="D30" s="15">
        <f t="shared" ca="1" si="0"/>
        <v>45819</v>
      </c>
      <c r="E30" s="15">
        <f t="shared" ca="1" si="1"/>
        <v>45805</v>
      </c>
      <c r="F30" s="14">
        <f ca="1">IFERROR(ROUND(IF(A30="","",IF(E30=0,D30-Date!$B$3,D30-E30)),0),"")</f>
        <v>14</v>
      </c>
      <c r="G30" s="14">
        <f>_xlfn.IFNA(VLOOKUP(A30,'RTR v2'!A:AW,48,FALSE)," ")</f>
        <v>45896</v>
      </c>
      <c r="I30" s="16" t="str">
        <f t="shared" si="2"/>
        <v>Y</v>
      </c>
      <c r="J30" s="16" t="str">
        <f t="shared" si="5"/>
        <v>y</v>
      </c>
      <c r="L30" s="17"/>
      <c r="M30" t="str">
        <f t="shared" si="6"/>
        <v xml:space="preserve"> </v>
      </c>
      <c r="N30">
        <f t="shared" si="7"/>
        <v>1</v>
      </c>
      <c r="O30">
        <f>IF(P30&lt;1,0,IF(VLOOKUP($A30,'Actual Dates'!$A:$G,5,0)="Y",1,0))</f>
        <v>1</v>
      </c>
      <c r="P30">
        <f>IF(Q30&lt;1,0,IF(VLOOKUP($A30,'Actual Dates'!$A:$G,4,0)="Y",1,0))</f>
        <v>1</v>
      </c>
      <c r="Q30">
        <f>IF(R30&lt;1,0,IF(VLOOKUP($A30,'Actual Dates'!$A:$G,3,0)="Y",1,0))</f>
        <v>1</v>
      </c>
      <c r="R30">
        <f>IF(VLOOKUP($A30,'Actual Dates'!$A:$G,2,0)="Y",1,0)</f>
        <v>1</v>
      </c>
      <c r="S30" s="4">
        <f ca="1">_xlfn.IFNA(+VLOOKUP(A30,'Date Calcs'!A:AG,8,),TODAY())</f>
        <v>45721</v>
      </c>
      <c r="T30" s="4">
        <f ca="1">_xlfn.IFNA(VLOOKUP(A30,'Date Calcs'!A:AG,10,),TODAY())</f>
        <v>45761</v>
      </c>
      <c r="U30" s="4">
        <f ca="1">_xlfn.IFNA(+VLOOKUP(A30,'Date Calcs'!A:AG,12,),TODAY())</f>
        <v>45805</v>
      </c>
      <c r="V30" s="4">
        <f ca="1">_xlfn.IFNA(+VLOOKUP(A30,'Date Calcs'!A:AG,14,),TODAY())</f>
        <v>45819</v>
      </c>
      <c r="W30" s="4">
        <f ca="1">_xlfn.IFNA(+VLOOKUP(A30,'Date Calcs'!A:AG,16,),TODAY())</f>
        <v>45707</v>
      </c>
      <c r="X30" s="4">
        <f ca="1">_xlfn.IFNA(IF(C30=0,VLOOKUP(A30,'Date Calcs'!A:AG,8,),IF(C30=1,VLOOKUP(A30,'Date Calcs'!A:AG,10,),IF(C30=2,VLOOKUP(A30,'Date Calcs'!A:AG,12,),IF(C30=3,VLOOKUP(A30,'Date Calcs'!A:AG,14,),4)))),TODAY())</f>
        <v>45819</v>
      </c>
      <c r="Y30" s="4">
        <f t="shared" ca="1" si="4"/>
        <v>45819</v>
      </c>
      <c r="Z30" s="4">
        <f ca="1">_xlfn.IFNA(Y30+(VLOOKUP(A30,'Date Calcs'!A:W,22,0)*7),TODAY())</f>
        <v>45819</v>
      </c>
      <c r="AA30" s="4">
        <f>_xlfn.IFNA(VLOOKUP(A30,'RTR v2'!$A:$AW,46,0),"")</f>
        <v>0</v>
      </c>
    </row>
    <row r="31" spans="1:27" ht="23.25" hidden="1" customHeight="1" x14ac:dyDescent="0.25">
      <c r="A31" s="12" t="str">
        <f>'Actual Dates'!A29</f>
        <v>25-035</v>
      </c>
      <c r="B31" s="13" t="str">
        <f>_xlfn.IFNA(VLOOKUP(A31,'Date Calcs'!A:B,2,),"")</f>
        <v>Irving Tissue</v>
      </c>
      <c r="C31" s="14">
        <f>VLOOKUP(A31,'Actual Dates'!A:AE,18,)</f>
        <v>3</v>
      </c>
      <c r="D31" s="15">
        <f t="shared" ca="1" si="0"/>
        <v>45819</v>
      </c>
      <c r="E31" s="15">
        <f t="shared" ca="1" si="1"/>
        <v>45805</v>
      </c>
      <c r="F31" s="14">
        <f ca="1">IFERROR(ROUND(IF(A31="","",IF(E31=0,D31-Date!$B$3,D31-E31)),0),"")</f>
        <v>14</v>
      </c>
      <c r="G31" s="14">
        <f>_xlfn.IFNA(VLOOKUP(A31,'RTR v2'!A:AW,48,FALSE)," ")</f>
        <v>45896</v>
      </c>
      <c r="I31" s="16" t="str">
        <f t="shared" si="2"/>
        <v>Y</v>
      </c>
      <c r="J31" s="16" t="str">
        <f t="shared" si="5"/>
        <v>y</v>
      </c>
      <c r="L31" s="17"/>
      <c r="M31" t="str">
        <f t="shared" si="6"/>
        <v xml:space="preserve"> </v>
      </c>
      <c r="N31">
        <f t="shared" si="7"/>
        <v>1</v>
      </c>
      <c r="O31">
        <f>IF(P31&lt;1,0,IF(VLOOKUP($A31,'Actual Dates'!$A:$G,5,0)="Y",1,0))</f>
        <v>1</v>
      </c>
      <c r="P31">
        <f>IF(Q31&lt;1,0,IF(VLOOKUP($A31,'Actual Dates'!$A:$G,4,0)="Y",1,0))</f>
        <v>1</v>
      </c>
      <c r="Q31">
        <f>IF(R31&lt;1,0,IF(VLOOKUP($A31,'Actual Dates'!$A:$G,3,0)="Y",1,0))</f>
        <v>1</v>
      </c>
      <c r="R31">
        <f>IF(VLOOKUP($A31,'Actual Dates'!$A:$G,2,0)="Y",1,0)</f>
        <v>1</v>
      </c>
      <c r="S31" s="4">
        <f ca="1">_xlfn.IFNA(+VLOOKUP(A31,'Date Calcs'!A:AG,8,),TODAY())</f>
        <v>45721</v>
      </c>
      <c r="T31" s="4">
        <f ca="1">_xlfn.IFNA(VLOOKUP(A31,'Date Calcs'!A:AG,10,),TODAY())</f>
        <v>45761</v>
      </c>
      <c r="U31" s="4">
        <f ca="1">_xlfn.IFNA(+VLOOKUP(A31,'Date Calcs'!A:AG,12,),TODAY())</f>
        <v>45805</v>
      </c>
      <c r="V31" s="4">
        <f ca="1">_xlfn.IFNA(+VLOOKUP(A31,'Date Calcs'!A:AG,14,),TODAY())</f>
        <v>45819</v>
      </c>
      <c r="W31" s="4">
        <f ca="1">_xlfn.IFNA(+VLOOKUP(A31,'Date Calcs'!A:AG,16,),TODAY())</f>
        <v>45707</v>
      </c>
      <c r="X31" s="4">
        <f ca="1">_xlfn.IFNA(IF(C31=0,VLOOKUP(A31,'Date Calcs'!A:AG,8,),IF(C31=1,VLOOKUP(A31,'Date Calcs'!A:AG,10,),IF(C31=2,VLOOKUP(A31,'Date Calcs'!A:AG,12,),IF(C31=3,VLOOKUP(A31,'Date Calcs'!A:AG,14,),4)))),TODAY())</f>
        <v>45819</v>
      </c>
      <c r="Y31" s="4">
        <f t="shared" ca="1" si="4"/>
        <v>45819</v>
      </c>
      <c r="Z31" s="4">
        <f ca="1">_xlfn.IFNA(Y31+(VLOOKUP(A31,'Date Calcs'!A:W,22,0)*7),TODAY())</f>
        <v>45819</v>
      </c>
      <c r="AA31" s="4">
        <f>_xlfn.IFNA(VLOOKUP(A31,'RTR v2'!$A:$AW,46,0),"")</f>
        <v>0</v>
      </c>
    </row>
    <row r="32" spans="1:27" ht="23.25" hidden="1" customHeight="1" x14ac:dyDescent="0.25">
      <c r="A32" s="12" t="str">
        <f>'Actual Dates'!A30</f>
        <v>25-036</v>
      </c>
      <c r="B32" s="13" t="str">
        <f>_xlfn.IFNA(VLOOKUP(A32,'Date Calcs'!A:B,2,),"")</f>
        <v>Irving Tissue</v>
      </c>
      <c r="C32" s="14">
        <f>VLOOKUP(A32,'Actual Dates'!A:AE,18,)</f>
        <v>3</v>
      </c>
      <c r="D32" s="15">
        <f t="shared" ca="1" si="0"/>
        <v>45819</v>
      </c>
      <c r="E32" s="15">
        <f t="shared" ca="1" si="1"/>
        <v>45805</v>
      </c>
      <c r="F32" s="14">
        <f ca="1">IFERROR(ROUND(IF(A32="","",IF(E32=0,D32-Date!$B$3,D32-E32)),0),"")</f>
        <v>14</v>
      </c>
      <c r="G32" s="14">
        <f>_xlfn.IFNA(VLOOKUP(A32,'RTR v2'!A:AW,48,FALSE)," ")</f>
        <v>45896</v>
      </c>
      <c r="I32" s="16" t="str">
        <f t="shared" si="2"/>
        <v>Y</v>
      </c>
      <c r="J32" s="16" t="str">
        <f t="shared" si="5"/>
        <v>y</v>
      </c>
      <c r="L32" s="17"/>
      <c r="M32" t="str">
        <f t="shared" si="6"/>
        <v xml:space="preserve"> </v>
      </c>
      <c r="N32">
        <f t="shared" si="7"/>
        <v>1</v>
      </c>
      <c r="O32">
        <f>IF(P32&lt;1,0,IF(VLOOKUP($A32,'Actual Dates'!$A:$G,5,0)="Y",1,0))</f>
        <v>1</v>
      </c>
      <c r="P32">
        <f>IF(Q32&lt;1,0,IF(VLOOKUP($A32,'Actual Dates'!$A:$G,4,0)="Y",1,0))</f>
        <v>1</v>
      </c>
      <c r="Q32">
        <f>IF(R32&lt;1,0,IF(VLOOKUP($A32,'Actual Dates'!$A:$G,3,0)="Y",1,0))</f>
        <v>1</v>
      </c>
      <c r="R32">
        <f>IF(VLOOKUP($A32,'Actual Dates'!$A:$G,2,0)="Y",1,0)</f>
        <v>1</v>
      </c>
      <c r="S32" s="4">
        <f ca="1">_xlfn.IFNA(+VLOOKUP(A32,'Date Calcs'!A:AG,8,),TODAY())</f>
        <v>45721</v>
      </c>
      <c r="T32" s="4">
        <f ca="1">_xlfn.IFNA(VLOOKUP(A32,'Date Calcs'!A:AG,10,),TODAY())</f>
        <v>45761</v>
      </c>
      <c r="U32" s="4">
        <f ca="1">_xlfn.IFNA(+VLOOKUP(A32,'Date Calcs'!A:AG,12,),TODAY())</f>
        <v>45805</v>
      </c>
      <c r="V32" s="4">
        <f ca="1">_xlfn.IFNA(+VLOOKUP(A32,'Date Calcs'!A:AG,14,),TODAY())</f>
        <v>45819</v>
      </c>
      <c r="W32" s="4">
        <f ca="1">_xlfn.IFNA(+VLOOKUP(A32,'Date Calcs'!A:AG,16,),TODAY())</f>
        <v>45707</v>
      </c>
      <c r="X32" s="4">
        <f ca="1">_xlfn.IFNA(IF(C32=0,VLOOKUP(A32,'Date Calcs'!A:AG,8,),IF(C32=1,VLOOKUP(A32,'Date Calcs'!A:AG,10,),IF(C32=2,VLOOKUP(A32,'Date Calcs'!A:AG,12,),IF(C32=3,VLOOKUP(A32,'Date Calcs'!A:AG,14,),4)))),TODAY())</f>
        <v>45819</v>
      </c>
      <c r="Y32" s="4">
        <f t="shared" ca="1" si="4"/>
        <v>45819</v>
      </c>
      <c r="Z32" s="4">
        <f ca="1">_xlfn.IFNA(Y32+(VLOOKUP(A32,'Date Calcs'!A:W,22,0)*7),TODAY())</f>
        <v>45819</v>
      </c>
      <c r="AA32" s="4">
        <f>_xlfn.IFNA(VLOOKUP(A32,'RTR v2'!$A:$AW,46,0),"")</f>
        <v>0</v>
      </c>
    </row>
    <row r="33" spans="1:27" ht="23.25" hidden="1" customHeight="1" x14ac:dyDescent="0.25">
      <c r="A33" s="12" t="str">
        <f>'Actual Dates'!A31</f>
        <v>25-037</v>
      </c>
      <c r="B33" s="13" t="str">
        <f>_xlfn.IFNA(VLOOKUP(A33,'Date Calcs'!A:B,2,),"")</f>
        <v>Irving Tissue</v>
      </c>
      <c r="C33" s="14">
        <f>VLOOKUP(A33,'Actual Dates'!A:AE,18,)</f>
        <v>3</v>
      </c>
      <c r="D33" s="15">
        <f t="shared" ca="1" si="0"/>
        <v>45819</v>
      </c>
      <c r="E33" s="15">
        <f t="shared" ca="1" si="1"/>
        <v>45805</v>
      </c>
      <c r="F33" s="14">
        <f ca="1">IFERROR(ROUND(IF(A33="","",IF(E33=0,D33-Date!$B$3,D33-E33)),0),"")</f>
        <v>14</v>
      </c>
      <c r="G33" s="14">
        <f>_xlfn.IFNA(VLOOKUP(A33,'RTR v2'!A:AW,48,FALSE)," ")</f>
        <v>45904</v>
      </c>
      <c r="I33" s="16" t="str">
        <f t="shared" si="2"/>
        <v>Y</v>
      </c>
      <c r="J33" s="16" t="str">
        <f t="shared" si="5"/>
        <v>y</v>
      </c>
      <c r="L33" s="17"/>
      <c r="M33" t="str">
        <f t="shared" si="6"/>
        <v xml:space="preserve"> </v>
      </c>
      <c r="N33">
        <f t="shared" si="7"/>
        <v>1</v>
      </c>
      <c r="O33">
        <f>IF(P33&lt;1,0,IF(VLOOKUP($A33,'Actual Dates'!$A:$G,5,0)="Y",1,0))</f>
        <v>1</v>
      </c>
      <c r="P33">
        <f>IF(Q33&lt;1,0,IF(VLOOKUP($A33,'Actual Dates'!$A:$G,4,0)="Y",1,0))</f>
        <v>1</v>
      </c>
      <c r="Q33">
        <f>IF(R33&lt;1,0,IF(VLOOKUP($A33,'Actual Dates'!$A:$G,3,0)="Y",1,0))</f>
        <v>1</v>
      </c>
      <c r="R33">
        <f>IF(VLOOKUP($A33,'Actual Dates'!$A:$G,2,0)="Y",1,0)</f>
        <v>1</v>
      </c>
      <c r="S33" s="4">
        <f ca="1">_xlfn.IFNA(+VLOOKUP(A33,'Date Calcs'!A:AG,8,),TODAY())</f>
        <v>45721</v>
      </c>
      <c r="T33" s="4">
        <f ca="1">_xlfn.IFNA(VLOOKUP(A33,'Date Calcs'!A:AG,10,),TODAY())</f>
        <v>45761</v>
      </c>
      <c r="U33" s="4">
        <f ca="1">_xlfn.IFNA(+VLOOKUP(A33,'Date Calcs'!A:AG,12,),TODAY())</f>
        <v>45805</v>
      </c>
      <c r="V33" s="4">
        <f ca="1">_xlfn.IFNA(+VLOOKUP(A33,'Date Calcs'!A:AG,14,),TODAY())</f>
        <v>45819</v>
      </c>
      <c r="W33" s="4">
        <f ca="1">_xlfn.IFNA(+VLOOKUP(A33,'Date Calcs'!A:AG,16,),TODAY())</f>
        <v>45707</v>
      </c>
      <c r="X33" s="4">
        <f ca="1">_xlfn.IFNA(IF(C33=0,VLOOKUP(A33,'Date Calcs'!A:AG,8,),IF(C33=1,VLOOKUP(A33,'Date Calcs'!A:AG,10,),IF(C33=2,VLOOKUP(A33,'Date Calcs'!A:AG,12,),IF(C33=3,VLOOKUP(A33,'Date Calcs'!A:AG,14,),4)))),TODAY())</f>
        <v>45819</v>
      </c>
      <c r="Y33" s="4">
        <f t="shared" ca="1" si="4"/>
        <v>45819</v>
      </c>
      <c r="Z33" s="4">
        <f ca="1">_xlfn.IFNA(Y33+(VLOOKUP(A33,'Date Calcs'!A:W,22,0)*7),TODAY())</f>
        <v>45819</v>
      </c>
      <c r="AA33" s="4">
        <f>_xlfn.IFNA(VLOOKUP(A33,'RTR v2'!$A:$AW,46,0),"")</f>
        <v>0</v>
      </c>
    </row>
    <row r="34" spans="1:27" ht="23.25" hidden="1" customHeight="1" x14ac:dyDescent="0.25">
      <c r="A34" s="12" t="str">
        <f>'Actual Dates'!A32</f>
        <v>25-039</v>
      </c>
      <c r="B34" s="13" t="str">
        <f>_xlfn.IFNA(VLOOKUP(A34,'Date Calcs'!A:B,2,),"")</f>
        <v>Zachry</v>
      </c>
      <c r="C34" s="14">
        <f>VLOOKUP(A34,'Actual Dates'!A:AE,18,)</f>
        <v>2</v>
      </c>
      <c r="D34" s="15">
        <f t="shared" ca="1" si="0"/>
        <v>45797</v>
      </c>
      <c r="E34" s="15">
        <f t="shared" ca="1" si="1"/>
        <v>45783</v>
      </c>
      <c r="F34" s="14">
        <f ca="1">IFERROR(ROUND(IF(A34="","",IF(E34=0,D34-Date!$B$3,D34-E34)),0),"")</f>
        <v>14</v>
      </c>
      <c r="G34" s="14">
        <f>_xlfn.IFNA(VLOOKUP(A34,'RTR v2'!A:AW,48,FALSE)," ")</f>
        <v>45884</v>
      </c>
      <c r="I34" s="16" t="str">
        <f t="shared" si="2"/>
        <v>Y</v>
      </c>
      <c r="J34" s="16" t="str">
        <f t="shared" si="5"/>
        <v>y</v>
      </c>
      <c r="L34" s="17"/>
      <c r="M34" t="str">
        <f t="shared" si="6"/>
        <v xml:space="preserve"> </v>
      </c>
      <c r="N34">
        <f t="shared" si="7"/>
        <v>1</v>
      </c>
      <c r="O34">
        <f>IF(P34&lt;1,0,IF(VLOOKUP($A34,'Actual Dates'!$A:$G,5,0)="Y",1,0))</f>
        <v>1</v>
      </c>
      <c r="P34">
        <f>IF(Q34&lt;1,0,IF(VLOOKUP($A34,'Actual Dates'!$A:$G,4,0)="Y",1,0))</f>
        <v>1</v>
      </c>
      <c r="Q34">
        <f>IF(R34&lt;1,0,IF(VLOOKUP($A34,'Actual Dates'!$A:$G,3,0)="Y",1,0))</f>
        <v>1</v>
      </c>
      <c r="R34">
        <f>IF(VLOOKUP($A34,'Actual Dates'!$A:$G,2,0)="Y",1,0)</f>
        <v>1</v>
      </c>
      <c r="S34" s="4">
        <f ca="1">_xlfn.IFNA(+VLOOKUP(A34,'Date Calcs'!A:AG,8,),TODAY())</f>
        <v>45735</v>
      </c>
      <c r="T34" s="4">
        <f ca="1">_xlfn.IFNA(VLOOKUP(A34,'Date Calcs'!A:AG,10,),TODAY())</f>
        <v>45785</v>
      </c>
      <c r="U34" s="4">
        <f ca="1">_xlfn.IFNA(+VLOOKUP(A34,'Date Calcs'!A:AG,12,),TODAY())</f>
        <v>45797</v>
      </c>
      <c r="V34" s="4">
        <f ca="1">_xlfn.IFNA(+VLOOKUP(A34,'Date Calcs'!A:AG,14,),TODAY())</f>
        <v>45811</v>
      </c>
      <c r="W34" s="4">
        <f ca="1">_xlfn.IFNA(+VLOOKUP(A34,'Date Calcs'!A:AG,16,),TODAY())</f>
        <v>45728</v>
      </c>
      <c r="X34" s="4">
        <f ca="1">_xlfn.IFNA(IF(C34=0,VLOOKUP(A34,'Date Calcs'!A:AG,8,),IF(C34=1,VLOOKUP(A34,'Date Calcs'!A:AG,10,),IF(C34=2,VLOOKUP(A34,'Date Calcs'!A:AG,12,),IF(C34=3,VLOOKUP(A34,'Date Calcs'!A:AG,14,),4)))),TODAY())</f>
        <v>45797</v>
      </c>
      <c r="Y34" s="4">
        <f t="shared" ca="1" si="4"/>
        <v>45797</v>
      </c>
      <c r="Z34" s="4">
        <f ca="1">_xlfn.IFNA(Y34+(VLOOKUP(A34,'Date Calcs'!A:W,22,0)*7),TODAY())</f>
        <v>45797</v>
      </c>
      <c r="AA34" s="4">
        <f>_xlfn.IFNA(VLOOKUP(A34,'RTR v2'!$A:$AW,46,0),"")</f>
        <v>0</v>
      </c>
    </row>
    <row r="35" spans="1:27" ht="23.25" hidden="1" customHeight="1" x14ac:dyDescent="0.25">
      <c r="A35" s="12" t="str">
        <f>'Actual Dates'!A33</f>
        <v>25-040</v>
      </c>
      <c r="B35" s="13" t="str">
        <f>_xlfn.IFNA(VLOOKUP(A35,'Date Calcs'!A:B,2,),"")</f>
        <v>NAK Kiln</v>
      </c>
      <c r="C35" s="14">
        <f>VLOOKUP(A35,'Actual Dates'!A:AE,18,)</f>
        <v>2</v>
      </c>
      <c r="D35" s="15">
        <f t="shared" ca="1" si="0"/>
        <v>45743</v>
      </c>
      <c r="E35" s="15">
        <f t="shared" ca="1" si="1"/>
        <v>45729</v>
      </c>
      <c r="F35" s="14">
        <f ca="1">IFERROR(ROUND(IF(A35="","",IF(E35=0,D35-Date!$B$3,D35-E35)),0),"")</f>
        <v>14</v>
      </c>
      <c r="G35" s="14" t="str">
        <f>_xlfn.IFNA(VLOOKUP(A35,'RTR v2'!A:AW,48,FALSE)," ")</f>
        <v/>
      </c>
      <c r="I35" s="16" t="str">
        <f t="shared" si="2"/>
        <v>Y</v>
      </c>
      <c r="J35" s="16" t="str">
        <f t="shared" si="5"/>
        <v>y</v>
      </c>
      <c r="L35" s="17"/>
      <c r="M35" t="str">
        <f t="shared" si="6"/>
        <v xml:space="preserve"> </v>
      </c>
      <c r="N35">
        <f t="shared" si="7"/>
        <v>1</v>
      </c>
      <c r="O35">
        <f>IF(P35&lt;1,0,IF(VLOOKUP($A35,'Actual Dates'!$A:$G,5,0)="Y",1,0))</f>
        <v>1</v>
      </c>
      <c r="P35">
        <f>IF(Q35&lt;1,0,IF(VLOOKUP($A35,'Actual Dates'!$A:$G,4,0)="Y",1,0))</f>
        <v>1</v>
      </c>
      <c r="Q35">
        <f>IF(R35&lt;1,0,IF(VLOOKUP($A35,'Actual Dates'!$A:$G,3,0)="Y",1,0))</f>
        <v>1</v>
      </c>
      <c r="R35">
        <f>IF(VLOOKUP($A35,'Actual Dates'!$A:$G,2,0)="Y",1,0)</f>
        <v>1</v>
      </c>
      <c r="S35" s="4">
        <f ca="1">_xlfn.IFNA(+VLOOKUP(A35,'Date Calcs'!A:AG,8,),TODAY())</f>
        <v>45735</v>
      </c>
      <c r="T35" s="4">
        <f ca="1">_xlfn.IFNA(VLOOKUP(A35,'Date Calcs'!A:AG,10,),TODAY())</f>
        <v>45720</v>
      </c>
      <c r="U35" s="4">
        <f ca="1">_xlfn.IFNA(+VLOOKUP(A35,'Date Calcs'!A:AG,12,),TODAY())</f>
        <v>45743</v>
      </c>
      <c r="V35" s="4">
        <f ca="1">_xlfn.IFNA(+VLOOKUP(A35,'Date Calcs'!A:AG,14,),TODAY())</f>
        <v>45757</v>
      </c>
      <c r="W35" s="4">
        <f ca="1">_xlfn.IFNA(+VLOOKUP(A35,'Date Calcs'!A:AG,16,),TODAY())</f>
        <v>45735</v>
      </c>
      <c r="X35" s="4">
        <f ca="1">_xlfn.IFNA(IF(C35=0,VLOOKUP(A35,'Date Calcs'!A:AG,8,),IF(C35=1,VLOOKUP(A35,'Date Calcs'!A:AG,10,),IF(C35=2,VLOOKUP(A35,'Date Calcs'!A:AG,12,),IF(C35=3,VLOOKUP(A35,'Date Calcs'!A:AG,14,),4)))),TODAY())</f>
        <v>45743</v>
      </c>
      <c r="Y35" s="4">
        <f t="shared" ca="1" si="4"/>
        <v>45743</v>
      </c>
      <c r="Z35" s="4">
        <f ca="1">_xlfn.IFNA(Y35+(VLOOKUP(A35,'Date Calcs'!A:W,22,0)*7),TODAY())</f>
        <v>45743</v>
      </c>
      <c r="AA35" s="4" t="str">
        <f>_xlfn.IFNA(VLOOKUP(A35,'RTR v2'!$A:$AW,46,0),"")</f>
        <v xml:space="preserve"> </v>
      </c>
    </row>
    <row r="36" spans="1:27" ht="23.25" hidden="1" customHeight="1" x14ac:dyDescent="0.25">
      <c r="A36" s="12" t="str">
        <f>'Actual Dates'!A34</f>
        <v>25-042</v>
      </c>
      <c r="B36" s="13" t="str">
        <f>_xlfn.IFNA(VLOOKUP(A36,'Date Calcs'!A:B,2,),"")</f>
        <v>Andritz</v>
      </c>
      <c r="C36" s="14">
        <f>VLOOKUP(A36,'Actual Dates'!A:AE,18,)</f>
        <v>3</v>
      </c>
      <c r="D36" s="15">
        <f t="shared" ca="1" si="0"/>
        <v>45813</v>
      </c>
      <c r="E36" s="15">
        <f t="shared" ca="1" si="1"/>
        <v>45799</v>
      </c>
      <c r="F36" s="14">
        <f ca="1">IFERROR(ROUND(IF(A36="","",IF(E36=0,D36-Date!$B$3,D36-E36)),0),"")</f>
        <v>14</v>
      </c>
      <c r="G36" s="14">
        <f>_xlfn.IFNA(VLOOKUP(A36,'RTR v2'!A:AW,48,FALSE)," ")</f>
        <v>45896</v>
      </c>
      <c r="I36" s="16" t="str">
        <f t="shared" si="2"/>
        <v>Y</v>
      </c>
      <c r="J36" s="16" t="str">
        <f t="shared" si="5"/>
        <v>y</v>
      </c>
      <c r="L36" s="17"/>
      <c r="M36" t="str">
        <f t="shared" si="6"/>
        <v xml:space="preserve"> </v>
      </c>
      <c r="N36">
        <f t="shared" si="7"/>
        <v>1</v>
      </c>
      <c r="O36">
        <f>IF(P36&lt;1,0,IF(VLOOKUP($A36,'Actual Dates'!$A:$G,5,0)="Y",1,0))</f>
        <v>1</v>
      </c>
      <c r="P36">
        <f>IF(Q36&lt;1,0,IF(VLOOKUP($A36,'Actual Dates'!$A:$G,4,0)="Y",1,0))</f>
        <v>1</v>
      </c>
      <c r="Q36">
        <f>IF(R36&lt;1,0,IF(VLOOKUP($A36,'Actual Dates'!$A:$G,3,0)="Y",1,0))</f>
        <v>1</v>
      </c>
      <c r="R36">
        <f>IF(VLOOKUP($A36,'Actual Dates'!$A:$G,2,0)="Y",1,0)</f>
        <v>1</v>
      </c>
      <c r="S36" s="4">
        <f ca="1">_xlfn.IFNA(+VLOOKUP(A36,'Date Calcs'!A:AG,8,),TODAY())</f>
        <v>45756</v>
      </c>
      <c r="T36" s="4">
        <f ca="1">_xlfn.IFNA(VLOOKUP(A36,'Date Calcs'!A:AG,10,),TODAY())</f>
        <v>45768</v>
      </c>
      <c r="U36" s="4">
        <f ca="1">_xlfn.IFNA(+VLOOKUP(A36,'Date Calcs'!A:AG,12,),TODAY())</f>
        <v>45803</v>
      </c>
      <c r="V36" s="4">
        <f ca="1">_xlfn.IFNA(+VLOOKUP(A36,'Date Calcs'!A:AG,14,),TODAY())</f>
        <v>45813</v>
      </c>
      <c r="W36" s="4">
        <f ca="1">_xlfn.IFNA(+VLOOKUP(A36,'Date Calcs'!A:AG,16,),TODAY())</f>
        <v>45749</v>
      </c>
      <c r="X36" s="4">
        <f ca="1">_xlfn.IFNA(IF(C36=0,VLOOKUP(A36,'Date Calcs'!A:AG,8,),IF(C36=1,VLOOKUP(A36,'Date Calcs'!A:AG,10,),IF(C36=2,VLOOKUP(A36,'Date Calcs'!A:AG,12,),IF(C36=3,VLOOKUP(A36,'Date Calcs'!A:AG,14,),4)))),TODAY())</f>
        <v>45813</v>
      </c>
      <c r="Y36" s="4">
        <f t="shared" ca="1" si="4"/>
        <v>45813</v>
      </c>
      <c r="Z36" s="4">
        <f ca="1">_xlfn.IFNA(Y36+(VLOOKUP(A36,'Date Calcs'!A:W,22,0)*7),TODAY())</f>
        <v>45813</v>
      </c>
      <c r="AA36" s="4">
        <f>_xlfn.IFNA(VLOOKUP(A36,'RTR v2'!$A:$AW,46,0),"")</f>
        <v>0</v>
      </c>
    </row>
    <row r="37" spans="1:27" ht="23.25" hidden="1" customHeight="1" x14ac:dyDescent="0.25">
      <c r="A37" s="12" t="str">
        <f>'Actual Dates'!A35</f>
        <v>25-044</v>
      </c>
      <c r="B37" s="13" t="str">
        <f>_xlfn.IFNA(VLOOKUP(A37,'Date Calcs'!A:B,2,),"")</f>
        <v>Noah Industrial</v>
      </c>
      <c r="C37" s="14">
        <f>VLOOKUP(A37,'Actual Dates'!A:AE,18,)</f>
        <v>3</v>
      </c>
      <c r="D37" s="15">
        <f t="shared" ca="1" si="0"/>
        <v>45821</v>
      </c>
      <c r="E37" s="15">
        <f t="shared" ca="1" si="1"/>
        <v>45807</v>
      </c>
      <c r="F37" s="14">
        <f ca="1">IFERROR(ROUND(IF(A37="","",IF(E37=0,D37-Date!$B$3,D37-E37)),0),"")</f>
        <v>14</v>
      </c>
      <c r="G37" s="14">
        <f>_xlfn.IFNA(VLOOKUP(A37,'RTR v2'!A:AW,48,FALSE)," ")</f>
        <v>45883</v>
      </c>
      <c r="I37" s="16" t="str">
        <f t="shared" si="2"/>
        <v>Y</v>
      </c>
      <c r="J37" s="16" t="str">
        <f t="shared" si="5"/>
        <v>y</v>
      </c>
      <c r="L37" s="17"/>
      <c r="M37" t="str">
        <f t="shared" si="6"/>
        <v xml:space="preserve"> </v>
      </c>
      <c r="N37">
        <f t="shared" si="7"/>
        <v>1</v>
      </c>
      <c r="O37">
        <f>IF(P37&lt;1,0,IF(VLOOKUP($A37,'Actual Dates'!$A:$G,5,0)="Y",1,0))</f>
        <v>1</v>
      </c>
      <c r="P37">
        <f>IF(Q37&lt;1,0,IF(VLOOKUP($A37,'Actual Dates'!$A:$G,4,0)="Y",1,0))</f>
        <v>1</v>
      </c>
      <c r="Q37">
        <f>IF(R37&lt;1,0,IF(VLOOKUP($A37,'Actual Dates'!$A:$G,3,0)="Y",1,0))</f>
        <v>1</v>
      </c>
      <c r="R37">
        <f>IF(VLOOKUP($A37,'Actual Dates'!$A:$G,2,0)="Y",1,0)</f>
        <v>1</v>
      </c>
      <c r="S37" s="4">
        <f ca="1">_xlfn.IFNA(+VLOOKUP(A37,'Date Calcs'!A:AG,8,),TODAY())</f>
        <v>45776</v>
      </c>
      <c r="T37" s="4">
        <f ca="1">_xlfn.IFNA(VLOOKUP(A37,'Date Calcs'!A:AG,10,),TODAY())</f>
        <v>45805</v>
      </c>
      <c r="U37" s="4">
        <f ca="1">_xlfn.IFNA(+VLOOKUP(A37,'Date Calcs'!A:AG,12,),TODAY())</f>
        <v>45813</v>
      </c>
      <c r="V37" s="4">
        <f ca="1">_xlfn.IFNA(+VLOOKUP(A37,'Date Calcs'!A:AG,14,),TODAY())</f>
        <v>45821</v>
      </c>
      <c r="W37" s="4">
        <f ca="1">_xlfn.IFNA(+VLOOKUP(A37,'Date Calcs'!A:AG,16,),TODAY())</f>
        <v>45762</v>
      </c>
      <c r="X37" s="4">
        <f ca="1">_xlfn.IFNA(IF(C37=0,VLOOKUP(A37,'Date Calcs'!A:AG,8,),IF(C37=1,VLOOKUP(A37,'Date Calcs'!A:AG,10,),IF(C37=2,VLOOKUP(A37,'Date Calcs'!A:AG,12,),IF(C37=3,VLOOKUP(A37,'Date Calcs'!A:AG,14,),4)))),TODAY())</f>
        <v>45821</v>
      </c>
      <c r="Y37" s="4">
        <f t="shared" ca="1" si="4"/>
        <v>45821</v>
      </c>
      <c r="Z37" s="4">
        <f ca="1">_xlfn.IFNA(Y37+(VLOOKUP(A37,'Date Calcs'!A:W,22,0)*7),TODAY())</f>
        <v>45821</v>
      </c>
      <c r="AA37" s="4">
        <f>_xlfn.IFNA(VLOOKUP(A37,'RTR v2'!$A:$AW,46,0),"")</f>
        <v>0</v>
      </c>
    </row>
    <row r="38" spans="1:27" ht="23.25" hidden="1" x14ac:dyDescent="0.25">
      <c r="A38" s="12" t="str">
        <f>'Actual Dates'!A36</f>
        <v>25-045</v>
      </c>
      <c r="B38" s="13" t="str">
        <f>_xlfn.IFNA(VLOOKUP(A38,'Date Calcs'!A:B,2,),"")</f>
        <v>ProPipe</v>
      </c>
      <c r="C38" s="14">
        <f>VLOOKUP(A38,'Actual Dates'!A:AE,18,)</f>
        <v>4</v>
      </c>
      <c r="D38" s="15">
        <f t="shared" ca="1" si="0"/>
        <v>45766</v>
      </c>
      <c r="E38" s="15">
        <f t="shared" ca="1" si="1"/>
        <v>46115</v>
      </c>
      <c r="F38" s="14">
        <f ca="1">IFERROR(ROUND(IF(A38="","",IF(E38=0,D38-Date!$B$3,D38-E38)),0),"")</f>
        <v>-349</v>
      </c>
      <c r="G38" s="14">
        <f>_xlfn.IFNA(VLOOKUP(A38,'RTR v2'!A:AW,48,FALSE)," ")</f>
        <v>46022</v>
      </c>
      <c r="I38" s="16" t="str">
        <f t="shared" si="2"/>
        <v>Y</v>
      </c>
      <c r="J38" s="16" t="str">
        <f t="shared" si="5"/>
        <v xml:space="preserve">  </v>
      </c>
      <c r="L38" s="17"/>
      <c r="M38" t="str">
        <f t="shared" si="6"/>
        <v xml:space="preserve"> </v>
      </c>
      <c r="N38">
        <f t="shared" si="7"/>
        <v>1</v>
      </c>
      <c r="O38">
        <f>IF(P38&lt;1,0,IF(VLOOKUP($A38,'Actual Dates'!$A:$G,5,0)="Y",1,0))</f>
        <v>1</v>
      </c>
      <c r="P38">
        <f>IF(Q38&lt;1,0,IF(VLOOKUP($A38,'Actual Dates'!$A:$G,4,0)="Y",1,0))</f>
        <v>1</v>
      </c>
      <c r="Q38">
        <f>IF(R38&lt;1,0,IF(VLOOKUP($A38,'Actual Dates'!$A:$G,3,0)="Y",1,0))</f>
        <v>1</v>
      </c>
      <c r="R38">
        <f>IF(VLOOKUP($A38,'Actual Dates'!$A:$G,2,0)="Y",1,0)</f>
        <v>1</v>
      </c>
      <c r="S38" s="4">
        <f ca="1">_xlfn.IFNA(+VLOOKUP(A38,'Date Calcs'!A:AG,8,),TODAY())</f>
        <v>45759</v>
      </c>
      <c r="T38" s="4">
        <f ca="1">_xlfn.IFNA(VLOOKUP(A38,'Date Calcs'!A:AG,10,),TODAY())</f>
        <v>46029</v>
      </c>
      <c r="U38" s="4">
        <f ca="1">_xlfn.IFNA(+VLOOKUP(A38,'Date Calcs'!A:AG,12,),TODAY())</f>
        <v>46029</v>
      </c>
      <c r="V38" s="4">
        <f ca="1">_xlfn.IFNA(+VLOOKUP(A38,'Date Calcs'!A:AG,14,),TODAY())</f>
        <v>46029</v>
      </c>
      <c r="W38" s="4">
        <f ca="1">_xlfn.IFNA(+VLOOKUP(A38,'Date Calcs'!A:AG,16,),TODAY())</f>
        <v>45766</v>
      </c>
      <c r="X38" s="4">
        <f ca="1">_xlfn.IFNA(IF(C38=0,VLOOKUP(A38,'Date Calcs'!A:AG,8,),IF(C38=1,VLOOKUP(A38,'Date Calcs'!A:AG,10,),IF(C38=2,VLOOKUP(A38,'Date Calcs'!A:AG,12,),IF(C38=3,VLOOKUP(A38,'Date Calcs'!A:AG,14,),4)))),TODAY())</f>
        <v>4</v>
      </c>
      <c r="Y38" s="4">
        <f t="shared" ca="1" si="4"/>
        <v>45766</v>
      </c>
      <c r="Z38" s="4">
        <f ca="1">_xlfn.IFNA(Y38+(VLOOKUP(A38,'Date Calcs'!A:W,22,0)*7),TODAY())</f>
        <v>45766</v>
      </c>
      <c r="AA38" s="4">
        <f>_xlfn.IFNA(VLOOKUP(A38,'RTR v2'!$A:$AW,46,0),"")</f>
        <v>0</v>
      </c>
    </row>
    <row r="39" spans="1:27" ht="23.25" hidden="1" x14ac:dyDescent="0.25">
      <c r="A39" s="12" t="str">
        <f>'Actual Dates'!A37</f>
        <v>25-052</v>
      </c>
      <c r="B39" s="13" t="str">
        <f>_xlfn.IFNA(VLOOKUP(A39,'Date Calcs'!A:B,2,),"")</f>
        <v>Kraton</v>
      </c>
      <c r="C39" s="14">
        <f>VLOOKUP(A39,'Actual Dates'!A:AE,18,)</f>
        <v>4</v>
      </c>
      <c r="D39" s="15">
        <f t="shared" ca="1" si="0"/>
        <v>45810</v>
      </c>
      <c r="E39" s="15">
        <f t="shared" ca="1" si="1"/>
        <v>45867</v>
      </c>
      <c r="F39" s="14">
        <f ca="1">IFERROR(ROUND(IF(A39="","",IF(E39=0,D39-Date!$B$3,D39-E39)),0),"")</f>
        <v>-57</v>
      </c>
      <c r="G39" s="14">
        <f>_xlfn.IFNA(VLOOKUP(A39,'RTR v2'!A:AW,48,FALSE)," ")</f>
        <v>46020</v>
      </c>
      <c r="I39" s="16" t="str">
        <f t="shared" si="2"/>
        <v>Y</v>
      </c>
      <c r="J39" s="16" t="str">
        <f t="shared" si="5"/>
        <v>y</v>
      </c>
      <c r="L39" s="17"/>
      <c r="M39" t="str">
        <f t="shared" si="6"/>
        <v xml:space="preserve"> </v>
      </c>
      <c r="N39">
        <f t="shared" si="7"/>
        <v>1</v>
      </c>
      <c r="O39">
        <f>IF(P39&lt;1,0,IF(VLOOKUP($A39,'Actual Dates'!$A:$G,5,0)="Y",1,0))</f>
        <v>1</v>
      </c>
      <c r="P39">
        <f>IF(Q39&lt;1,0,IF(VLOOKUP($A39,'Actual Dates'!$A:$G,4,0)="Y",1,0))</f>
        <v>1</v>
      </c>
      <c r="Q39">
        <f>IF(R39&lt;1,0,IF(VLOOKUP($A39,'Actual Dates'!$A:$G,3,0)="Y",1,0))</f>
        <v>1</v>
      </c>
      <c r="R39">
        <f>IF(VLOOKUP($A39,'Actual Dates'!$A:$G,2,0)="Y",1,0)</f>
        <v>1</v>
      </c>
      <c r="S39" s="4">
        <f ca="1">_xlfn.IFNA(+VLOOKUP(A39,'Date Calcs'!A:AG,8,),TODAY())</f>
        <v>45817</v>
      </c>
      <c r="T39" s="4">
        <f ca="1">_xlfn.IFNA(VLOOKUP(A39,'Date Calcs'!A:AG,10,),TODAY())</f>
        <v>45846</v>
      </c>
      <c r="U39" s="4">
        <f ca="1">_xlfn.IFNA(+VLOOKUP(A39,'Date Calcs'!A:AG,12,),TODAY())</f>
        <v>45859</v>
      </c>
      <c r="V39" s="4">
        <f ca="1">_xlfn.IFNA(+VLOOKUP(A39,'Date Calcs'!A:AG,14,),TODAY())</f>
        <v>45867</v>
      </c>
      <c r="W39" s="4">
        <f ca="1">_xlfn.IFNA(+VLOOKUP(A39,'Date Calcs'!A:AG,16,),TODAY())</f>
        <v>45810</v>
      </c>
      <c r="X39" s="4">
        <f ca="1">_xlfn.IFNA(IF(C39=0,VLOOKUP(A39,'Date Calcs'!A:AG,8,),IF(C39=1,VLOOKUP(A39,'Date Calcs'!A:AG,10,),IF(C39=2,VLOOKUP(A39,'Date Calcs'!A:AG,12,),IF(C39=3,VLOOKUP(A39,'Date Calcs'!A:AG,14,),4)))),TODAY())</f>
        <v>4</v>
      </c>
      <c r="Y39" s="4">
        <f t="shared" ca="1" si="4"/>
        <v>45810</v>
      </c>
      <c r="Z39" s="4">
        <f ca="1">_xlfn.IFNA(Y39+(VLOOKUP(A39,'Date Calcs'!A:W,22,0)*7),TODAY())</f>
        <v>45810</v>
      </c>
      <c r="AA39" s="4">
        <f>_xlfn.IFNA(VLOOKUP(A39,'RTR v2'!$A:$AW,46,0),"")</f>
        <v>0</v>
      </c>
    </row>
    <row r="40" spans="1:27" ht="23.25" x14ac:dyDescent="0.25">
      <c r="A40" s="12" t="str">
        <f>'Actual Dates'!A38</f>
        <v>25-053</v>
      </c>
      <c r="B40" s="13" t="str">
        <f>_xlfn.IFNA(VLOOKUP(A40,'Date Calcs'!A:B,2,),"")</f>
        <v>Andritz</v>
      </c>
      <c r="C40" s="14">
        <f>VLOOKUP(A40,'Actual Dates'!A:AE,18,)</f>
        <v>0</v>
      </c>
      <c r="D40" s="15">
        <f t="shared" ca="1" si="0"/>
        <v>46139</v>
      </c>
      <c r="E40" s="15">
        <f t="shared" ca="1" si="1"/>
        <v>46115</v>
      </c>
      <c r="F40" s="14">
        <f ca="1">IFERROR(ROUND(IF(A40="","",IF(E40=0,D40-Date!$B$3,D40-E40)),0),"")</f>
        <v>24</v>
      </c>
      <c r="G40" s="14">
        <f>_xlfn.IFNA(VLOOKUP(A40,'RTR v2'!A:AW,48,FALSE)," ")</f>
        <v>45926</v>
      </c>
      <c r="I40" s="16" t="str">
        <f t="shared" si="2"/>
        <v>N</v>
      </c>
      <c r="J40" s="16" t="str">
        <f t="shared" si="5"/>
        <v xml:space="preserve">  </v>
      </c>
      <c r="L40" s="17"/>
      <c r="M40" t="str">
        <f t="shared" si="6"/>
        <v xml:space="preserve"> </v>
      </c>
      <c r="N40">
        <f t="shared" si="7"/>
        <v>0</v>
      </c>
      <c r="O40">
        <f>IF(P40&lt;1,0,IF(VLOOKUP($A40,'Actual Dates'!$A:$G,5,0)="Y",1,0))</f>
        <v>0</v>
      </c>
      <c r="P40">
        <f>IF(Q40&lt;1,0,IF(VLOOKUP($A40,'Actual Dates'!$A:$G,4,0)="Y",1,0))</f>
        <v>0</v>
      </c>
      <c r="Q40">
        <f>IF(R40&lt;1,0,IF(VLOOKUP($A40,'Actual Dates'!$A:$G,3,0)="Y",1,0))</f>
        <v>0</v>
      </c>
      <c r="R40">
        <f>IF(VLOOKUP($A40,'Actual Dates'!$A:$G,2,0)="Y",1,0)</f>
        <v>0</v>
      </c>
      <c r="S40" s="4">
        <f ca="1">_xlfn.IFNA(+VLOOKUP(A40,'Date Calcs'!A:AG,8,),TODAY())</f>
        <v>46027</v>
      </c>
      <c r="T40" s="4">
        <f ca="1">_xlfn.IFNA(VLOOKUP(A40,'Date Calcs'!A:AG,10,),TODAY())</f>
        <v>46048</v>
      </c>
      <c r="U40" s="4">
        <f ca="1">_xlfn.IFNA(+VLOOKUP(A40,'Date Calcs'!A:AG,12,),TODAY())</f>
        <v>46062</v>
      </c>
      <c r="V40" s="4">
        <f ca="1">_xlfn.IFNA(+VLOOKUP(A40,'Date Calcs'!A:AG,14,),TODAY())</f>
        <v>46076</v>
      </c>
      <c r="W40" s="4">
        <f ca="1">_xlfn.IFNA(+VLOOKUP(A40,'Date Calcs'!A:AG,16,),TODAY())</f>
        <v>45824</v>
      </c>
      <c r="X40" s="4">
        <f ca="1">_xlfn.IFNA(IF(C40=0,VLOOKUP(A40,'Date Calcs'!A:AG,8,),IF(C40=1,VLOOKUP(A40,'Date Calcs'!A:AG,10,),IF(C40=2,VLOOKUP(A40,'Date Calcs'!A:AG,12,),IF(C40=3,VLOOKUP(A40,'Date Calcs'!A:AG,14,),4)))),TODAY())</f>
        <v>46027</v>
      </c>
      <c r="Y40" s="4">
        <f t="shared" ca="1" si="4"/>
        <v>46027</v>
      </c>
      <c r="Z40" s="4">
        <f ca="1">_xlfn.IFNA(Y40+(VLOOKUP(A40,'Date Calcs'!A:W,22,0)*7),TODAY())</f>
        <v>46139</v>
      </c>
      <c r="AA40" s="4">
        <f>_xlfn.IFNA(VLOOKUP(A40,'RTR v2'!$A:$AW,46,0),"")</f>
        <v>0</v>
      </c>
    </row>
    <row r="41" spans="1:27" ht="23.25" hidden="1" x14ac:dyDescent="0.25">
      <c r="A41" s="12" t="str">
        <f>'Actual Dates'!A39</f>
        <v>25-054</v>
      </c>
      <c r="B41" s="13" t="str">
        <f>_xlfn.IFNA(VLOOKUP(A41,'Date Calcs'!A:B,2,),"")</f>
        <v>Chromascape</v>
      </c>
      <c r="C41" s="14">
        <f>VLOOKUP(A41,'Actual Dates'!A:AE,18,)</f>
        <v>3</v>
      </c>
      <c r="D41" s="15">
        <f t="shared" ca="1" si="0"/>
        <v>45869</v>
      </c>
      <c r="E41" s="15">
        <f t="shared" ca="1" si="1"/>
        <v>45855</v>
      </c>
      <c r="F41" s="14">
        <f ca="1">IFERROR(ROUND(IF(A41="","",IF(E41=0,D41-Date!$B$3,D41-E41)),0),"")</f>
        <v>14</v>
      </c>
      <c r="G41" s="14">
        <f>_xlfn.IFNA(VLOOKUP(A41,'RTR v2'!A:AW,48,FALSE)," ")</f>
        <v>45985</v>
      </c>
      <c r="I41" s="16" t="str">
        <f t="shared" si="2"/>
        <v>Y</v>
      </c>
      <c r="J41" s="16" t="str">
        <f t="shared" si="5"/>
        <v>y</v>
      </c>
      <c r="L41" s="17"/>
      <c r="M41" t="str">
        <f t="shared" si="6"/>
        <v xml:space="preserve"> </v>
      </c>
      <c r="N41">
        <f t="shared" si="7"/>
        <v>1</v>
      </c>
      <c r="O41">
        <f>IF(P41&lt;1,0,IF(VLOOKUP($A41,'Actual Dates'!$A:$G,5,0)="Y",1,0))</f>
        <v>1</v>
      </c>
      <c r="P41">
        <f>IF(Q41&lt;1,0,IF(VLOOKUP($A41,'Actual Dates'!$A:$G,4,0)="Y",1,0))</f>
        <v>1</v>
      </c>
      <c r="Q41">
        <f>IF(R41&lt;1,0,IF(VLOOKUP($A41,'Actual Dates'!$A:$G,3,0)="Y",1,0))</f>
        <v>1</v>
      </c>
      <c r="R41">
        <f>IF(VLOOKUP($A41,'Actual Dates'!$A:$G,2,0)="Y",1,0)</f>
        <v>1</v>
      </c>
      <c r="S41" s="4">
        <f ca="1">_xlfn.IFNA(+VLOOKUP(A41,'Date Calcs'!A:AG,8,),TODAY())</f>
        <v>45839</v>
      </c>
      <c r="T41" s="4">
        <f ca="1">_xlfn.IFNA(VLOOKUP(A41,'Date Calcs'!A:AG,10,),TODAY())</f>
        <v>45845</v>
      </c>
      <c r="U41" s="4">
        <f ca="1">_xlfn.IFNA(+VLOOKUP(A41,'Date Calcs'!A:AG,12,),TODAY())</f>
        <v>45855</v>
      </c>
      <c r="V41" s="4">
        <f ca="1">_xlfn.IFNA(+VLOOKUP(A41,'Date Calcs'!A:AG,14,),TODAY())</f>
        <v>45869</v>
      </c>
      <c r="W41" s="4">
        <f ca="1">_xlfn.IFNA(+VLOOKUP(A41,'Date Calcs'!A:AG,16,),TODAY())</f>
        <v>45825</v>
      </c>
      <c r="X41" s="4">
        <f ca="1">_xlfn.IFNA(IF(C41=0,VLOOKUP(A41,'Date Calcs'!A:AG,8,),IF(C41=1,VLOOKUP(A41,'Date Calcs'!A:AG,10,),IF(C41=2,VLOOKUP(A41,'Date Calcs'!A:AG,12,),IF(C41=3,VLOOKUP(A41,'Date Calcs'!A:AG,14,),4)))),TODAY())</f>
        <v>45869</v>
      </c>
      <c r="Y41" s="4">
        <f t="shared" ca="1" si="4"/>
        <v>45869</v>
      </c>
      <c r="Z41" s="4">
        <f ca="1">_xlfn.IFNA(Y41+(VLOOKUP(A41,'Date Calcs'!A:W,22,0)*7),TODAY())</f>
        <v>45869</v>
      </c>
      <c r="AA41" s="4">
        <f>_xlfn.IFNA(VLOOKUP(A41,'RTR v2'!$A:$AW,46,0),"")</f>
        <v>0</v>
      </c>
    </row>
    <row r="42" spans="1:27" ht="23.25" hidden="1" customHeight="1" x14ac:dyDescent="0.25">
      <c r="A42" s="12" t="str">
        <f>'Actual Dates'!A40</f>
        <v>25-055</v>
      </c>
      <c r="B42" s="13" t="str">
        <f>_xlfn.IFNA(VLOOKUP(A42,'Date Calcs'!A:B,2,),"")</f>
        <v>Airgas</v>
      </c>
      <c r="C42" s="14">
        <f>VLOOKUP(A42,'Actual Dates'!A:AE,18,)</f>
        <v>2</v>
      </c>
      <c r="D42" s="15">
        <f t="shared" ca="1" si="0"/>
        <v>46022</v>
      </c>
      <c r="E42" s="15">
        <f t="shared" ca="1" si="1"/>
        <v>46008</v>
      </c>
      <c r="F42" s="14">
        <f ca="1">IFERROR(ROUND(IF(A42="","",IF(E42=0,D42-Date!$B$3,D42-E42)),0),"")</f>
        <v>14</v>
      </c>
      <c r="G42" s="14" t="str">
        <f>_xlfn.IFNA(VLOOKUP(A42,'RTR v2'!A:AW,48,FALSE)," ")</f>
        <v/>
      </c>
      <c r="I42" s="16" t="str">
        <f t="shared" si="2"/>
        <v>Y</v>
      </c>
      <c r="J42" s="16" t="str">
        <f t="shared" si="5"/>
        <v>y</v>
      </c>
      <c r="L42" s="17"/>
      <c r="M42" t="str">
        <f t="shared" si="6"/>
        <v xml:space="preserve"> </v>
      </c>
      <c r="N42">
        <f t="shared" si="7"/>
        <v>1</v>
      </c>
      <c r="O42">
        <f>IF(P42&lt;1,0,IF(VLOOKUP($A42,'Actual Dates'!$A:$G,5,0)="Y",1,0))</f>
        <v>1</v>
      </c>
      <c r="P42">
        <f>IF(Q42&lt;1,0,IF(VLOOKUP($A42,'Actual Dates'!$A:$G,4,0)="Y",1,0))</f>
        <v>1</v>
      </c>
      <c r="Q42">
        <f>IF(R42&lt;1,0,IF(VLOOKUP($A42,'Actual Dates'!$A:$G,3,0)="Y",1,0))</f>
        <v>1</v>
      </c>
      <c r="R42">
        <f>IF(VLOOKUP($A42,'Actual Dates'!$A:$G,2,0)="Y",1,0)</f>
        <v>1</v>
      </c>
      <c r="S42" s="4">
        <f ca="1">_xlfn.IFNA(+VLOOKUP(A42,'Date Calcs'!A:AG,8,),TODAY())</f>
        <v>45932</v>
      </c>
      <c r="T42" s="4">
        <f ca="1">_xlfn.IFNA(VLOOKUP(A42,'Date Calcs'!A:AG,10,),TODAY())</f>
        <v>46008</v>
      </c>
      <c r="U42" s="4">
        <f ca="1">_xlfn.IFNA(+VLOOKUP(A42,'Date Calcs'!A:AG,12,),TODAY())</f>
        <v>46022</v>
      </c>
      <c r="V42" s="4">
        <f ca="1">_xlfn.IFNA(+VLOOKUP(A42,'Date Calcs'!A:AG,14,),TODAY())</f>
        <v>46036</v>
      </c>
      <c r="W42" s="4">
        <f ca="1">_xlfn.IFNA(+VLOOKUP(A42,'Date Calcs'!A:AG,16,),TODAY())</f>
        <v>45834</v>
      </c>
      <c r="X42" s="4">
        <f ca="1">_xlfn.IFNA(IF(C42=0,VLOOKUP(A42,'Date Calcs'!A:AG,8,),IF(C42=1,VLOOKUP(A42,'Date Calcs'!A:AG,10,),IF(C42=2,VLOOKUP(A42,'Date Calcs'!A:AG,12,),IF(C42=3,VLOOKUP(A42,'Date Calcs'!A:AG,14,),4)))),TODAY())</f>
        <v>46022</v>
      </c>
      <c r="Y42" s="4">
        <f t="shared" ca="1" si="4"/>
        <v>46022</v>
      </c>
      <c r="Z42" s="4">
        <f ca="1">_xlfn.IFNA(Y42+(VLOOKUP(A42,'Date Calcs'!A:W,22,0)*7),TODAY())</f>
        <v>46022</v>
      </c>
      <c r="AA42" s="4" t="str">
        <f>_xlfn.IFNA(VLOOKUP(A42,'RTR v2'!$A:$AW,46,0),"")</f>
        <v xml:space="preserve"> </v>
      </c>
    </row>
    <row r="43" spans="1:27" ht="23.25" hidden="1" x14ac:dyDescent="0.25">
      <c r="A43" s="12" t="str">
        <f>'Actual Dates'!A41</f>
        <v>25-056</v>
      </c>
      <c r="B43" s="13" t="str">
        <f>_xlfn.IFNA(VLOOKUP(A43,'Date Calcs'!A:B,2,),"")</f>
        <v>Reco</v>
      </c>
      <c r="C43" s="14">
        <f>VLOOKUP(A43,'Actual Dates'!A:AE,18,)</f>
        <v>3</v>
      </c>
      <c r="D43" s="15">
        <f t="shared" ca="1" si="0"/>
        <v>45887</v>
      </c>
      <c r="E43" s="15">
        <f t="shared" ca="1" si="1"/>
        <v>45873</v>
      </c>
      <c r="F43" s="14">
        <f ca="1">IFERROR(ROUND(IF(A43="","",IF(E43=0,D43-Date!$B$3,D43-E43)),0),"")</f>
        <v>14</v>
      </c>
      <c r="G43" s="14">
        <f>_xlfn.IFNA(VLOOKUP(A43,'RTR v2'!A:AW,48,FALSE)," ")</f>
        <v>45972</v>
      </c>
      <c r="I43" s="16" t="str">
        <f t="shared" si="2"/>
        <v>Y</v>
      </c>
      <c r="J43" s="16" t="str">
        <f t="shared" si="5"/>
        <v>y</v>
      </c>
      <c r="L43" s="17"/>
      <c r="M43" t="str">
        <f t="shared" si="6"/>
        <v xml:space="preserve"> </v>
      </c>
      <c r="N43">
        <f t="shared" si="7"/>
        <v>1</v>
      </c>
      <c r="O43">
        <f>IF(P43&lt;1,0,IF(VLOOKUP($A43,'Actual Dates'!$A:$G,5,0)="Y",1,0))</f>
        <v>1</v>
      </c>
      <c r="P43">
        <f>IF(Q43&lt;1,0,IF(VLOOKUP($A43,'Actual Dates'!$A:$G,4,0)="Y",1,0))</f>
        <v>1</v>
      </c>
      <c r="Q43">
        <f>IF(R43&lt;1,0,IF(VLOOKUP($A43,'Actual Dates'!$A:$G,3,0)="Y",1,0))</f>
        <v>1</v>
      </c>
      <c r="R43">
        <f>IF(VLOOKUP($A43,'Actual Dates'!$A:$G,2,0)="Y",1,0)</f>
        <v>1</v>
      </c>
      <c r="S43" s="4">
        <f ca="1">_xlfn.IFNA(+VLOOKUP(A43,'Date Calcs'!A:AG,8,),TODAY())</f>
        <v>45842</v>
      </c>
      <c r="T43" s="4">
        <f ca="1">_xlfn.IFNA(VLOOKUP(A43,'Date Calcs'!A:AG,10,),TODAY())</f>
        <v>45859</v>
      </c>
      <c r="U43" s="4">
        <f ca="1">_xlfn.IFNA(+VLOOKUP(A43,'Date Calcs'!A:AG,12,),TODAY())</f>
        <v>45873</v>
      </c>
      <c r="V43" s="4">
        <f ca="1">_xlfn.IFNA(+VLOOKUP(A43,'Date Calcs'!A:AG,14,),TODAY())</f>
        <v>45887</v>
      </c>
      <c r="W43" s="4">
        <f ca="1">_xlfn.IFNA(+VLOOKUP(A43,'Date Calcs'!A:AG,16,),TODAY())</f>
        <v>45835</v>
      </c>
      <c r="X43" s="4">
        <f ca="1">_xlfn.IFNA(IF(C43=0,VLOOKUP(A43,'Date Calcs'!A:AG,8,),IF(C43=1,VLOOKUP(A43,'Date Calcs'!A:AG,10,),IF(C43=2,VLOOKUP(A43,'Date Calcs'!A:AG,12,),IF(C43=3,VLOOKUP(A43,'Date Calcs'!A:AG,14,),4)))),TODAY())</f>
        <v>45887</v>
      </c>
      <c r="Y43" s="4">
        <f t="shared" ca="1" si="4"/>
        <v>45887</v>
      </c>
      <c r="Z43" s="4">
        <f ca="1">_xlfn.IFNA(Y43+(VLOOKUP(A43,'Date Calcs'!A:W,22,0)*7),TODAY())</f>
        <v>45887</v>
      </c>
      <c r="AA43" s="4">
        <f>_xlfn.IFNA(VLOOKUP(A43,'RTR v2'!$A:$AW,46,0),"")</f>
        <v>0</v>
      </c>
    </row>
    <row r="44" spans="1:27" ht="23.25" hidden="1" x14ac:dyDescent="0.25">
      <c r="A44" s="12" t="str">
        <f>'Actual Dates'!A42</f>
        <v>25-057</v>
      </c>
      <c r="B44" s="13" t="str">
        <f>_xlfn.IFNA(VLOOKUP(A44,'Date Calcs'!A:B,2,),"")</f>
        <v>Reco</v>
      </c>
      <c r="C44" s="14">
        <f>VLOOKUP(A44,'Actual Dates'!A:AE,18,)</f>
        <v>3</v>
      </c>
      <c r="D44" s="15">
        <f t="shared" ca="1" si="0"/>
        <v>45887</v>
      </c>
      <c r="E44" s="15">
        <f t="shared" ca="1" si="1"/>
        <v>45873</v>
      </c>
      <c r="F44" s="14">
        <f ca="1">IFERROR(ROUND(IF(A44="","",IF(E44=0,D44-Date!$B$3,D44-E44)),0),"")</f>
        <v>14</v>
      </c>
      <c r="G44" s="14">
        <f>_xlfn.IFNA(VLOOKUP(A44,'RTR v2'!A:AW,48,FALSE)," ")</f>
        <v>45972</v>
      </c>
      <c r="I44" s="16" t="str">
        <f t="shared" si="2"/>
        <v>Y</v>
      </c>
      <c r="J44" s="16" t="str">
        <f t="shared" si="5"/>
        <v>y</v>
      </c>
      <c r="L44" s="17"/>
      <c r="M44" t="str">
        <f t="shared" si="6"/>
        <v xml:space="preserve"> </v>
      </c>
      <c r="N44">
        <f t="shared" si="7"/>
        <v>1</v>
      </c>
      <c r="O44">
        <f>IF(P44&lt;1,0,IF(VLOOKUP($A44,'Actual Dates'!$A:$G,5,0)="Y",1,0))</f>
        <v>1</v>
      </c>
      <c r="P44">
        <f>IF(Q44&lt;1,0,IF(VLOOKUP($A44,'Actual Dates'!$A:$G,4,0)="Y",1,0))</f>
        <v>1</v>
      </c>
      <c r="Q44">
        <f>IF(R44&lt;1,0,IF(VLOOKUP($A44,'Actual Dates'!$A:$G,3,0)="Y",1,0))</f>
        <v>1</v>
      </c>
      <c r="R44">
        <f>IF(VLOOKUP($A44,'Actual Dates'!$A:$G,2,0)="Y",1,0)</f>
        <v>1</v>
      </c>
      <c r="S44" s="4">
        <f ca="1">_xlfn.IFNA(+VLOOKUP(A44,'Date Calcs'!A:AG,8,),TODAY())</f>
        <v>45842</v>
      </c>
      <c r="T44" s="4">
        <f ca="1">_xlfn.IFNA(VLOOKUP(A44,'Date Calcs'!A:AG,10,),TODAY())</f>
        <v>45859</v>
      </c>
      <c r="U44" s="4">
        <f ca="1">_xlfn.IFNA(+VLOOKUP(A44,'Date Calcs'!A:AG,12,),TODAY())</f>
        <v>45873</v>
      </c>
      <c r="V44" s="4">
        <f ca="1">_xlfn.IFNA(+VLOOKUP(A44,'Date Calcs'!A:AG,14,),TODAY())</f>
        <v>45887</v>
      </c>
      <c r="W44" s="4">
        <f ca="1">_xlfn.IFNA(+VLOOKUP(A44,'Date Calcs'!A:AG,16,),TODAY())</f>
        <v>45835</v>
      </c>
      <c r="X44" s="4">
        <f ca="1">_xlfn.IFNA(IF(C44=0,VLOOKUP(A44,'Date Calcs'!A:AG,8,),IF(C44=1,VLOOKUP(A44,'Date Calcs'!A:AG,10,),IF(C44=2,VLOOKUP(A44,'Date Calcs'!A:AG,12,),IF(C44=3,VLOOKUP(A44,'Date Calcs'!A:AG,14,),4)))),TODAY())</f>
        <v>45887</v>
      </c>
      <c r="Y44" s="4">
        <f t="shared" ca="1" si="4"/>
        <v>45887</v>
      </c>
      <c r="Z44" s="4">
        <f ca="1">_xlfn.IFNA(Y44+(VLOOKUP(A44,'Date Calcs'!A:W,22,0)*7),TODAY())</f>
        <v>45887</v>
      </c>
      <c r="AA44" s="4">
        <f>_xlfn.IFNA(VLOOKUP(A44,'RTR v2'!$A:$AW,46,0),"")</f>
        <v>0</v>
      </c>
    </row>
    <row r="45" spans="1:27" ht="23.25" hidden="1" x14ac:dyDescent="0.25">
      <c r="A45" s="12" t="str">
        <f>'Actual Dates'!A43</f>
        <v>25-058</v>
      </c>
      <c r="B45" s="13" t="str">
        <f>_xlfn.IFNA(VLOOKUP(A45,'Date Calcs'!A:B,2,),"")</f>
        <v>Reco</v>
      </c>
      <c r="C45" s="14">
        <f>VLOOKUP(A45,'Actual Dates'!A:AE,18,)</f>
        <v>3</v>
      </c>
      <c r="D45" s="15">
        <f t="shared" ca="1" si="0"/>
        <v>45887</v>
      </c>
      <c r="E45" s="15">
        <f t="shared" ca="1" si="1"/>
        <v>45873</v>
      </c>
      <c r="F45" s="14">
        <f ca="1">IFERROR(ROUND(IF(A45="","",IF(E45=0,D45-Date!$B$3,D45-E45)),0),"")</f>
        <v>14</v>
      </c>
      <c r="G45" s="14">
        <f>_xlfn.IFNA(VLOOKUP(A45,'RTR v2'!A:AW,48,FALSE)," ")</f>
        <v>46009</v>
      </c>
      <c r="I45" s="16" t="str">
        <f t="shared" si="2"/>
        <v>Y</v>
      </c>
      <c r="J45" s="16" t="str">
        <f t="shared" si="5"/>
        <v>y</v>
      </c>
      <c r="L45" s="17"/>
      <c r="M45" t="str">
        <f t="shared" si="6"/>
        <v xml:space="preserve"> </v>
      </c>
      <c r="N45">
        <f t="shared" si="7"/>
        <v>1</v>
      </c>
      <c r="O45">
        <f>IF(P45&lt;1,0,IF(VLOOKUP($A45,'Actual Dates'!$A:$G,5,0)="Y",1,0))</f>
        <v>1</v>
      </c>
      <c r="P45">
        <f>IF(Q45&lt;1,0,IF(VLOOKUP($A45,'Actual Dates'!$A:$G,4,0)="Y",1,0))</f>
        <v>1</v>
      </c>
      <c r="Q45">
        <f>IF(R45&lt;1,0,IF(VLOOKUP($A45,'Actual Dates'!$A:$G,3,0)="Y",1,0))</f>
        <v>1</v>
      </c>
      <c r="R45">
        <f>IF(VLOOKUP($A45,'Actual Dates'!$A:$G,2,0)="Y",1,0)</f>
        <v>1</v>
      </c>
      <c r="S45" s="4">
        <f ca="1">_xlfn.IFNA(+VLOOKUP(A45,'Date Calcs'!A:AG,8,),TODAY())</f>
        <v>45842</v>
      </c>
      <c r="T45" s="4">
        <f ca="1">_xlfn.IFNA(VLOOKUP(A45,'Date Calcs'!A:AG,10,),TODAY())</f>
        <v>45859</v>
      </c>
      <c r="U45" s="4">
        <f ca="1">_xlfn.IFNA(+VLOOKUP(A45,'Date Calcs'!A:AG,12,),TODAY())</f>
        <v>45873</v>
      </c>
      <c r="V45" s="4">
        <f ca="1">_xlfn.IFNA(+VLOOKUP(A45,'Date Calcs'!A:AG,14,),TODAY())</f>
        <v>45887</v>
      </c>
      <c r="W45" s="4">
        <f ca="1">_xlfn.IFNA(+VLOOKUP(A45,'Date Calcs'!A:AG,16,),TODAY())</f>
        <v>45835</v>
      </c>
      <c r="X45" s="4">
        <f ca="1">_xlfn.IFNA(IF(C45=0,VLOOKUP(A45,'Date Calcs'!A:AG,8,),IF(C45=1,VLOOKUP(A45,'Date Calcs'!A:AG,10,),IF(C45=2,VLOOKUP(A45,'Date Calcs'!A:AG,12,),IF(C45=3,VLOOKUP(A45,'Date Calcs'!A:AG,14,),4)))),TODAY())</f>
        <v>45887</v>
      </c>
      <c r="Y45" s="4">
        <f t="shared" ca="1" si="4"/>
        <v>45887</v>
      </c>
      <c r="Z45" s="4">
        <f ca="1">_xlfn.IFNA(Y45+(VLOOKUP(A45,'Date Calcs'!A:W,22,0)*7),TODAY())</f>
        <v>45887</v>
      </c>
      <c r="AA45" s="4">
        <f>_xlfn.IFNA(VLOOKUP(A45,'RTR v2'!$A:$AW,46,0),"")</f>
        <v>0</v>
      </c>
    </row>
    <row r="46" spans="1:27" ht="23.25" hidden="1" x14ac:dyDescent="0.25">
      <c r="A46" s="12" t="str">
        <f>'Actual Dates'!A44</f>
        <v>25-059</v>
      </c>
      <c r="B46" s="13" t="str">
        <f>_xlfn.IFNA(VLOOKUP(A46,'Date Calcs'!A:B,2,),"")</f>
        <v>Reco</v>
      </c>
      <c r="C46" s="14">
        <f>VLOOKUP(A46,'Actual Dates'!A:AE,18,)</f>
        <v>3</v>
      </c>
      <c r="D46" s="15">
        <f t="shared" ca="1" si="0"/>
        <v>45887</v>
      </c>
      <c r="E46" s="15">
        <f t="shared" ca="1" si="1"/>
        <v>45873</v>
      </c>
      <c r="F46" s="14">
        <f ca="1">IFERROR(ROUND(IF(A46="","",IF(E46=0,D46-Date!$B$3,D46-E46)),0),"")</f>
        <v>14</v>
      </c>
      <c r="G46" s="14">
        <f>_xlfn.IFNA(VLOOKUP(A46,'RTR v2'!A:AW,48,FALSE)," ")</f>
        <v>46007</v>
      </c>
      <c r="I46" s="16" t="str">
        <f t="shared" si="2"/>
        <v>Y</v>
      </c>
      <c r="J46" s="16" t="str">
        <f t="shared" si="5"/>
        <v>y</v>
      </c>
      <c r="L46" s="17"/>
      <c r="M46" t="str">
        <f t="shared" si="6"/>
        <v xml:space="preserve"> </v>
      </c>
      <c r="N46">
        <f t="shared" si="7"/>
        <v>1</v>
      </c>
      <c r="O46">
        <f>IF(P46&lt;1,0,IF(VLOOKUP($A46,'Actual Dates'!$A:$G,5,0)="Y",1,0))</f>
        <v>1</v>
      </c>
      <c r="P46">
        <f>IF(Q46&lt;1,0,IF(VLOOKUP($A46,'Actual Dates'!$A:$G,4,0)="Y",1,0))</f>
        <v>1</v>
      </c>
      <c r="Q46">
        <f>IF(R46&lt;1,0,IF(VLOOKUP($A46,'Actual Dates'!$A:$G,3,0)="Y",1,0))</f>
        <v>1</v>
      </c>
      <c r="R46">
        <f>IF(VLOOKUP($A46,'Actual Dates'!$A:$G,2,0)="Y",1,0)</f>
        <v>1</v>
      </c>
      <c r="S46" s="4">
        <f ca="1">_xlfn.IFNA(+VLOOKUP(A46,'Date Calcs'!A:AG,8,),TODAY())</f>
        <v>45842</v>
      </c>
      <c r="T46" s="4">
        <f ca="1">_xlfn.IFNA(VLOOKUP(A46,'Date Calcs'!A:AG,10,),TODAY())</f>
        <v>45859</v>
      </c>
      <c r="U46" s="4">
        <f ca="1">_xlfn.IFNA(+VLOOKUP(A46,'Date Calcs'!A:AG,12,),TODAY())</f>
        <v>45873</v>
      </c>
      <c r="V46" s="4">
        <f ca="1">_xlfn.IFNA(+VLOOKUP(A46,'Date Calcs'!A:AG,14,),TODAY())</f>
        <v>45887</v>
      </c>
      <c r="W46" s="4">
        <f ca="1">_xlfn.IFNA(+VLOOKUP(A46,'Date Calcs'!A:AG,16,),TODAY())</f>
        <v>45835</v>
      </c>
      <c r="X46" s="4">
        <f ca="1">_xlfn.IFNA(IF(C46=0,VLOOKUP(A46,'Date Calcs'!A:AG,8,),IF(C46=1,VLOOKUP(A46,'Date Calcs'!A:AG,10,),IF(C46=2,VLOOKUP(A46,'Date Calcs'!A:AG,12,),IF(C46=3,VLOOKUP(A46,'Date Calcs'!A:AG,14,),4)))),TODAY())</f>
        <v>45887</v>
      </c>
      <c r="Y46" s="4">
        <f t="shared" ca="1" si="4"/>
        <v>45887</v>
      </c>
      <c r="Z46" s="4">
        <f ca="1">_xlfn.IFNA(Y46+(VLOOKUP(A46,'Date Calcs'!A:W,22,0)*7),TODAY())</f>
        <v>45887</v>
      </c>
      <c r="AA46" s="4">
        <f>_xlfn.IFNA(VLOOKUP(A46,'RTR v2'!$A:$AW,46,0),"")</f>
        <v>0</v>
      </c>
    </row>
    <row r="47" spans="1:27" ht="23.25" hidden="1" x14ac:dyDescent="0.25">
      <c r="A47" s="12" t="str">
        <f>'Actual Dates'!A45</f>
        <v>25-060</v>
      </c>
      <c r="B47" s="13" t="str">
        <f>_xlfn.IFNA(VLOOKUP(A47,'Date Calcs'!A:B,2,),"")</f>
        <v>Reco</v>
      </c>
      <c r="C47" s="14">
        <f>VLOOKUP(A47,'Actual Dates'!A:AE,18,)</f>
        <v>3</v>
      </c>
      <c r="D47" s="15">
        <f t="shared" ca="1" si="0"/>
        <v>45887</v>
      </c>
      <c r="E47" s="15">
        <f t="shared" ca="1" si="1"/>
        <v>45873</v>
      </c>
      <c r="F47" s="14">
        <f ca="1">IFERROR(ROUND(IF(A47="","",IF(E47=0,D47-Date!$B$3,D47-E47)),0),"")</f>
        <v>14</v>
      </c>
      <c r="G47" s="14">
        <f>_xlfn.IFNA(VLOOKUP(A47,'RTR v2'!A:AW,48,FALSE)," ")</f>
        <v>46035</v>
      </c>
      <c r="I47" s="16" t="str">
        <f t="shared" si="2"/>
        <v>Y</v>
      </c>
      <c r="J47" s="16" t="str">
        <f t="shared" si="5"/>
        <v>y</v>
      </c>
      <c r="L47" s="17"/>
      <c r="M47" t="str">
        <f t="shared" si="6"/>
        <v xml:space="preserve"> </v>
      </c>
      <c r="N47">
        <f t="shared" si="7"/>
        <v>1</v>
      </c>
      <c r="O47">
        <f>IF(P47&lt;1,0,IF(VLOOKUP($A47,'Actual Dates'!$A:$G,5,0)="Y",1,0))</f>
        <v>1</v>
      </c>
      <c r="P47">
        <f>IF(Q47&lt;1,0,IF(VLOOKUP($A47,'Actual Dates'!$A:$G,4,0)="Y",1,0))</f>
        <v>1</v>
      </c>
      <c r="Q47">
        <f>IF(R47&lt;1,0,IF(VLOOKUP($A47,'Actual Dates'!$A:$G,3,0)="Y",1,0))</f>
        <v>1</v>
      </c>
      <c r="R47">
        <f>IF(VLOOKUP($A47,'Actual Dates'!$A:$G,2,0)="Y",1,0)</f>
        <v>1</v>
      </c>
      <c r="S47" s="4">
        <f ca="1">_xlfn.IFNA(+VLOOKUP(A47,'Date Calcs'!A:AG,8,),TODAY())</f>
        <v>45842</v>
      </c>
      <c r="T47" s="4">
        <f ca="1">_xlfn.IFNA(VLOOKUP(A47,'Date Calcs'!A:AG,10,),TODAY())</f>
        <v>45859</v>
      </c>
      <c r="U47" s="4">
        <f ca="1">_xlfn.IFNA(+VLOOKUP(A47,'Date Calcs'!A:AG,12,),TODAY())</f>
        <v>45873</v>
      </c>
      <c r="V47" s="4">
        <f ca="1">_xlfn.IFNA(+VLOOKUP(A47,'Date Calcs'!A:AG,14,),TODAY())</f>
        <v>45887</v>
      </c>
      <c r="W47" s="4">
        <f ca="1">_xlfn.IFNA(+VLOOKUP(A47,'Date Calcs'!A:AG,16,),TODAY())</f>
        <v>45835</v>
      </c>
      <c r="X47" s="4">
        <f ca="1">_xlfn.IFNA(IF(C47=0,VLOOKUP(A47,'Date Calcs'!A:AG,8,),IF(C47=1,VLOOKUP(A47,'Date Calcs'!A:AG,10,),IF(C47=2,VLOOKUP(A47,'Date Calcs'!A:AG,12,),IF(C47=3,VLOOKUP(A47,'Date Calcs'!A:AG,14,),4)))),TODAY())</f>
        <v>45887</v>
      </c>
      <c r="Y47" s="4">
        <f t="shared" ca="1" si="4"/>
        <v>45887</v>
      </c>
      <c r="Z47" s="4">
        <f ca="1">_xlfn.IFNA(Y47+(VLOOKUP(A47,'Date Calcs'!A:W,22,0)*7),TODAY())</f>
        <v>45887</v>
      </c>
      <c r="AA47" s="4">
        <f>_xlfn.IFNA(VLOOKUP(A47,'RTR v2'!$A:$AW,46,0),"")</f>
        <v>0</v>
      </c>
    </row>
    <row r="48" spans="1:27" ht="23.25" hidden="1" x14ac:dyDescent="0.25">
      <c r="A48" s="12" t="str">
        <f>'Actual Dates'!A46</f>
        <v>25-061</v>
      </c>
      <c r="B48" s="13" t="str">
        <f>_xlfn.IFNA(VLOOKUP(A48,'Date Calcs'!A:B,2,),"")</f>
        <v>Reco</v>
      </c>
      <c r="C48" s="14">
        <f>VLOOKUP(A48,'Actual Dates'!A:AE,18,)</f>
        <v>3</v>
      </c>
      <c r="D48" s="15">
        <f t="shared" ca="1" si="0"/>
        <v>45887</v>
      </c>
      <c r="E48" s="15">
        <f t="shared" ca="1" si="1"/>
        <v>45873</v>
      </c>
      <c r="F48" s="14">
        <f ca="1">IFERROR(ROUND(IF(A48="","",IF(E48=0,D48-Date!$B$3,D48-E48)),0),"")</f>
        <v>14</v>
      </c>
      <c r="G48" s="14">
        <f>_xlfn.IFNA(VLOOKUP(A48,'RTR v2'!A:AW,48,FALSE)," ")</f>
        <v>46035</v>
      </c>
      <c r="I48" s="16" t="str">
        <f t="shared" si="2"/>
        <v>Y</v>
      </c>
      <c r="J48" s="16" t="str">
        <f t="shared" si="5"/>
        <v>y</v>
      </c>
      <c r="L48" s="17"/>
      <c r="M48" t="str">
        <f t="shared" si="6"/>
        <v xml:space="preserve"> </v>
      </c>
      <c r="N48">
        <f t="shared" si="7"/>
        <v>1</v>
      </c>
      <c r="O48">
        <f>IF(P48&lt;1,0,IF(VLOOKUP($A48,'Actual Dates'!$A:$G,5,0)="Y",1,0))</f>
        <v>1</v>
      </c>
      <c r="P48">
        <f>IF(Q48&lt;1,0,IF(VLOOKUP($A48,'Actual Dates'!$A:$G,4,0)="Y",1,0))</f>
        <v>1</v>
      </c>
      <c r="Q48">
        <f>IF(R48&lt;1,0,IF(VLOOKUP($A48,'Actual Dates'!$A:$G,3,0)="Y",1,0))</f>
        <v>1</v>
      </c>
      <c r="R48">
        <f>IF(VLOOKUP($A48,'Actual Dates'!$A:$G,2,0)="Y",1,0)</f>
        <v>1</v>
      </c>
      <c r="S48" s="4">
        <f ca="1">_xlfn.IFNA(+VLOOKUP(A48,'Date Calcs'!A:AG,8,),TODAY())</f>
        <v>45842</v>
      </c>
      <c r="T48" s="4">
        <f ca="1">_xlfn.IFNA(VLOOKUP(A48,'Date Calcs'!A:AG,10,),TODAY())</f>
        <v>45859</v>
      </c>
      <c r="U48" s="4">
        <f ca="1">_xlfn.IFNA(+VLOOKUP(A48,'Date Calcs'!A:AG,12,),TODAY())</f>
        <v>45873</v>
      </c>
      <c r="V48" s="4">
        <f ca="1">_xlfn.IFNA(+VLOOKUP(A48,'Date Calcs'!A:AG,14,),TODAY())</f>
        <v>45887</v>
      </c>
      <c r="W48" s="4">
        <f ca="1">_xlfn.IFNA(+VLOOKUP(A48,'Date Calcs'!A:AG,16,),TODAY())</f>
        <v>45835</v>
      </c>
      <c r="X48" s="4">
        <f ca="1">_xlfn.IFNA(IF(C48=0,VLOOKUP(A48,'Date Calcs'!A:AG,8,),IF(C48=1,VLOOKUP(A48,'Date Calcs'!A:AG,10,),IF(C48=2,VLOOKUP(A48,'Date Calcs'!A:AG,12,),IF(C48=3,VLOOKUP(A48,'Date Calcs'!A:AG,14,),4)))),TODAY())</f>
        <v>45887</v>
      </c>
      <c r="Y48" s="4">
        <f t="shared" ca="1" si="4"/>
        <v>45887</v>
      </c>
      <c r="Z48" s="4">
        <f ca="1">_xlfn.IFNA(Y48+(VLOOKUP(A48,'Date Calcs'!A:W,22,0)*7),TODAY())</f>
        <v>45887</v>
      </c>
      <c r="AA48" s="4">
        <f>_xlfn.IFNA(VLOOKUP(A48,'RTR v2'!$A:$AW,46,0),"")</f>
        <v>0</v>
      </c>
    </row>
    <row r="49" spans="1:27" ht="23.25" hidden="1" x14ac:dyDescent="0.25">
      <c r="A49" s="12" t="str">
        <f>'Actual Dates'!A47</f>
        <v>25-062</v>
      </c>
      <c r="B49" s="13" t="str">
        <f>_xlfn.IFNA(VLOOKUP(A49,'Date Calcs'!A:B,2,),"")</f>
        <v>Reco</v>
      </c>
      <c r="C49" s="14">
        <f>VLOOKUP(A49,'Actual Dates'!A:AE,18,)</f>
        <v>3</v>
      </c>
      <c r="D49" s="15">
        <f t="shared" ca="1" si="0"/>
        <v>45887</v>
      </c>
      <c r="E49" s="15">
        <f t="shared" ca="1" si="1"/>
        <v>45873</v>
      </c>
      <c r="F49" s="14">
        <f ca="1">IFERROR(ROUND(IF(A49="","",IF(E49=0,D49-Date!$B$3,D49-E49)),0),"")</f>
        <v>14</v>
      </c>
      <c r="G49" s="14">
        <f>_xlfn.IFNA(VLOOKUP(A49,'RTR v2'!A:AW,48,FALSE)," ")</f>
        <v>46055</v>
      </c>
      <c r="I49" s="16" t="str">
        <f t="shared" si="2"/>
        <v>Y</v>
      </c>
      <c r="J49" s="16" t="str">
        <f t="shared" si="5"/>
        <v>y</v>
      </c>
      <c r="L49" s="17"/>
      <c r="M49" t="str">
        <f t="shared" si="6"/>
        <v xml:space="preserve"> </v>
      </c>
      <c r="N49">
        <f t="shared" si="7"/>
        <v>1</v>
      </c>
      <c r="O49">
        <f>IF(P49&lt;1,0,IF(VLOOKUP($A49,'Actual Dates'!$A:$G,5,0)="Y",1,0))</f>
        <v>1</v>
      </c>
      <c r="P49">
        <f>IF(Q49&lt;1,0,IF(VLOOKUP($A49,'Actual Dates'!$A:$G,4,0)="Y",1,0))</f>
        <v>1</v>
      </c>
      <c r="Q49">
        <f>IF(R49&lt;1,0,IF(VLOOKUP($A49,'Actual Dates'!$A:$G,3,0)="Y",1,0))</f>
        <v>1</v>
      </c>
      <c r="R49">
        <f>IF(VLOOKUP($A49,'Actual Dates'!$A:$G,2,0)="Y",1,0)</f>
        <v>1</v>
      </c>
      <c r="S49" s="4">
        <f ca="1">_xlfn.IFNA(+VLOOKUP(A49,'Date Calcs'!A:AG,8,),TODAY())</f>
        <v>45842</v>
      </c>
      <c r="T49" s="4">
        <f ca="1">_xlfn.IFNA(VLOOKUP(A49,'Date Calcs'!A:AG,10,),TODAY())</f>
        <v>45859</v>
      </c>
      <c r="U49" s="4">
        <f ca="1">_xlfn.IFNA(+VLOOKUP(A49,'Date Calcs'!A:AG,12,),TODAY())</f>
        <v>45873</v>
      </c>
      <c r="V49" s="4">
        <f ca="1">_xlfn.IFNA(+VLOOKUP(A49,'Date Calcs'!A:AG,14,),TODAY())</f>
        <v>45887</v>
      </c>
      <c r="W49" s="4">
        <f ca="1">_xlfn.IFNA(+VLOOKUP(A49,'Date Calcs'!A:AG,16,),TODAY())</f>
        <v>45835</v>
      </c>
      <c r="X49" s="4">
        <f ca="1">_xlfn.IFNA(IF(C49=0,VLOOKUP(A49,'Date Calcs'!A:AG,8,),IF(C49=1,VLOOKUP(A49,'Date Calcs'!A:AG,10,),IF(C49=2,VLOOKUP(A49,'Date Calcs'!A:AG,12,),IF(C49=3,VLOOKUP(A49,'Date Calcs'!A:AG,14,),4)))),TODAY())</f>
        <v>45887</v>
      </c>
      <c r="Y49" s="4">
        <f t="shared" ca="1" si="4"/>
        <v>45887</v>
      </c>
      <c r="Z49" s="4">
        <f ca="1">_xlfn.IFNA(Y49+(VLOOKUP(A49,'Date Calcs'!A:W,22,0)*7),TODAY())</f>
        <v>45887</v>
      </c>
      <c r="AA49" s="4">
        <f>_xlfn.IFNA(VLOOKUP(A49,'RTR v2'!$A:$AW,46,0),"")</f>
        <v>0</v>
      </c>
    </row>
    <row r="50" spans="1:27" ht="23.25" hidden="1" x14ac:dyDescent="0.25">
      <c r="A50" s="12" t="str">
        <f>'Actual Dates'!A48</f>
        <v>25-063</v>
      </c>
      <c r="B50" s="13" t="str">
        <f>_xlfn.IFNA(VLOOKUP(A50,'Date Calcs'!A:B,2,),"")</f>
        <v>Reco</v>
      </c>
      <c r="C50" s="14">
        <f>VLOOKUP(A50,'Actual Dates'!A:AE,18,)</f>
        <v>3</v>
      </c>
      <c r="D50" s="15">
        <f t="shared" ca="1" si="0"/>
        <v>45887</v>
      </c>
      <c r="E50" s="15">
        <f t="shared" ca="1" si="1"/>
        <v>45873</v>
      </c>
      <c r="F50" s="14">
        <f ca="1">IFERROR(ROUND(IF(A50="","",IF(E50=0,D50-Date!$B$3,D50-E50)),0),"")</f>
        <v>14</v>
      </c>
      <c r="G50" s="14">
        <f>_xlfn.IFNA(VLOOKUP(A50,'RTR v2'!A:AW,48,FALSE)," ")</f>
        <v>46055</v>
      </c>
      <c r="I50" s="16" t="str">
        <f t="shared" si="2"/>
        <v>Y</v>
      </c>
      <c r="J50" s="16" t="str">
        <f t="shared" si="5"/>
        <v>y</v>
      </c>
      <c r="L50" s="17"/>
      <c r="M50" t="str">
        <f t="shared" si="6"/>
        <v xml:space="preserve"> </v>
      </c>
      <c r="N50">
        <f t="shared" si="7"/>
        <v>1</v>
      </c>
      <c r="O50">
        <f>IF(P50&lt;1,0,IF(VLOOKUP($A50,'Actual Dates'!$A:$G,5,0)="Y",1,0))</f>
        <v>1</v>
      </c>
      <c r="P50">
        <f>IF(Q50&lt;1,0,IF(VLOOKUP($A50,'Actual Dates'!$A:$G,4,0)="Y",1,0))</f>
        <v>1</v>
      </c>
      <c r="Q50">
        <f>IF(R50&lt;1,0,IF(VLOOKUP($A50,'Actual Dates'!$A:$G,3,0)="Y",1,0))</f>
        <v>1</v>
      </c>
      <c r="R50">
        <f>IF(VLOOKUP($A50,'Actual Dates'!$A:$G,2,0)="Y",1,0)</f>
        <v>1</v>
      </c>
      <c r="S50" s="4">
        <f ca="1">_xlfn.IFNA(+VLOOKUP(A50,'Date Calcs'!A:AG,8,),TODAY())</f>
        <v>45842</v>
      </c>
      <c r="T50" s="4">
        <f ca="1">_xlfn.IFNA(VLOOKUP(A50,'Date Calcs'!A:AG,10,),TODAY())</f>
        <v>45859</v>
      </c>
      <c r="U50" s="4">
        <f ca="1">_xlfn.IFNA(+VLOOKUP(A50,'Date Calcs'!A:AG,12,),TODAY())</f>
        <v>45873</v>
      </c>
      <c r="V50" s="4">
        <f ca="1">_xlfn.IFNA(+VLOOKUP(A50,'Date Calcs'!A:AG,14,),TODAY())</f>
        <v>45887</v>
      </c>
      <c r="W50" s="4">
        <f ca="1">_xlfn.IFNA(+VLOOKUP(A50,'Date Calcs'!A:AG,16,),TODAY())</f>
        <v>45835</v>
      </c>
      <c r="X50" s="4">
        <f ca="1">_xlfn.IFNA(IF(C50=0,VLOOKUP(A50,'Date Calcs'!A:AG,8,),IF(C50=1,VLOOKUP(A50,'Date Calcs'!A:AG,10,),IF(C50=2,VLOOKUP(A50,'Date Calcs'!A:AG,12,),IF(C50=3,VLOOKUP(A50,'Date Calcs'!A:AG,14,),4)))),TODAY())</f>
        <v>45887</v>
      </c>
      <c r="Y50" s="4">
        <f t="shared" ca="1" si="4"/>
        <v>45887</v>
      </c>
      <c r="Z50" s="4">
        <f ca="1">_xlfn.IFNA(Y50+(VLOOKUP(A50,'Date Calcs'!A:W,22,0)*7),TODAY())</f>
        <v>45887</v>
      </c>
      <c r="AA50" s="4">
        <f>_xlfn.IFNA(VLOOKUP(A50,'RTR v2'!$A:$AW,46,0),"")</f>
        <v>0</v>
      </c>
    </row>
    <row r="51" spans="1:27" ht="23.25" hidden="1" x14ac:dyDescent="0.25">
      <c r="A51" s="12" t="str">
        <f>'Actual Dates'!A49</f>
        <v>25-064</v>
      </c>
      <c r="B51" s="13" t="str">
        <f>_xlfn.IFNA(VLOOKUP(A51,'Date Calcs'!A:B,2,),"")</f>
        <v>Reco</v>
      </c>
      <c r="C51" s="14">
        <f>VLOOKUP(A51,'Actual Dates'!A:AE,18,)</f>
        <v>3</v>
      </c>
      <c r="D51" s="15">
        <f t="shared" ca="1" si="0"/>
        <v>45887</v>
      </c>
      <c r="E51" s="15">
        <f t="shared" ca="1" si="1"/>
        <v>45873</v>
      </c>
      <c r="F51" s="14">
        <f ca="1">IFERROR(ROUND(IF(A51="","",IF(E51=0,D51-Date!$B$3,D51-E51)),0),"")</f>
        <v>14</v>
      </c>
      <c r="G51" s="14">
        <f>_xlfn.IFNA(VLOOKUP(A51,'RTR v2'!A:AW,48,FALSE)," ")</f>
        <v>46069</v>
      </c>
      <c r="I51" s="16" t="str">
        <f t="shared" si="2"/>
        <v>Y</v>
      </c>
      <c r="J51" s="16" t="str">
        <f t="shared" si="5"/>
        <v>y</v>
      </c>
      <c r="L51" s="17"/>
      <c r="M51" t="str">
        <f t="shared" si="6"/>
        <v xml:space="preserve"> </v>
      </c>
      <c r="N51">
        <f t="shared" si="7"/>
        <v>1</v>
      </c>
      <c r="O51">
        <f>IF(P51&lt;1,0,IF(VLOOKUP($A51,'Actual Dates'!$A:$G,5,0)="Y",1,0))</f>
        <v>1</v>
      </c>
      <c r="P51">
        <f>IF(Q51&lt;1,0,IF(VLOOKUP($A51,'Actual Dates'!$A:$G,4,0)="Y",1,0))</f>
        <v>1</v>
      </c>
      <c r="Q51">
        <f>IF(R51&lt;1,0,IF(VLOOKUP($A51,'Actual Dates'!$A:$G,3,0)="Y",1,0))</f>
        <v>1</v>
      </c>
      <c r="R51">
        <f>IF(VLOOKUP($A51,'Actual Dates'!$A:$G,2,0)="Y",1,0)</f>
        <v>1</v>
      </c>
      <c r="S51" s="4">
        <f ca="1">_xlfn.IFNA(+VLOOKUP(A51,'Date Calcs'!A:AG,8,),TODAY())</f>
        <v>45842</v>
      </c>
      <c r="T51" s="4">
        <f ca="1">_xlfn.IFNA(VLOOKUP(A51,'Date Calcs'!A:AG,10,),TODAY())</f>
        <v>45859</v>
      </c>
      <c r="U51" s="4">
        <f ca="1">_xlfn.IFNA(+VLOOKUP(A51,'Date Calcs'!A:AG,12,),TODAY())</f>
        <v>45873</v>
      </c>
      <c r="V51" s="4">
        <f ca="1">_xlfn.IFNA(+VLOOKUP(A51,'Date Calcs'!A:AG,14,),TODAY())</f>
        <v>45887</v>
      </c>
      <c r="W51" s="4">
        <f ca="1">_xlfn.IFNA(+VLOOKUP(A51,'Date Calcs'!A:AG,16,),TODAY())</f>
        <v>45835</v>
      </c>
      <c r="X51" s="4">
        <f ca="1">_xlfn.IFNA(IF(C51=0,VLOOKUP(A51,'Date Calcs'!A:AG,8,),IF(C51=1,VLOOKUP(A51,'Date Calcs'!A:AG,10,),IF(C51=2,VLOOKUP(A51,'Date Calcs'!A:AG,12,),IF(C51=3,VLOOKUP(A51,'Date Calcs'!A:AG,14,),4)))),TODAY())</f>
        <v>45887</v>
      </c>
      <c r="Y51" s="4">
        <f t="shared" ca="1" si="4"/>
        <v>45887</v>
      </c>
      <c r="Z51" s="4">
        <f ca="1">_xlfn.IFNA(Y51+(VLOOKUP(A51,'Date Calcs'!A:W,22,0)*7),TODAY())</f>
        <v>45887</v>
      </c>
      <c r="AA51" s="4">
        <f>_xlfn.IFNA(VLOOKUP(A51,'RTR v2'!$A:$AW,46,0),"")</f>
        <v>0</v>
      </c>
    </row>
    <row r="52" spans="1:27" ht="23.25" hidden="1" x14ac:dyDescent="0.25">
      <c r="A52" s="12" t="str">
        <f>'Actual Dates'!A50</f>
        <v>25-065</v>
      </c>
      <c r="B52" s="13" t="str">
        <f>_xlfn.IFNA(VLOOKUP(A52,'Date Calcs'!A:B,2,),"")</f>
        <v>Reco</v>
      </c>
      <c r="C52" s="14">
        <f>VLOOKUP(A52,'Actual Dates'!A:AE,18,)</f>
        <v>3</v>
      </c>
      <c r="D52" s="15">
        <f t="shared" ca="1" si="0"/>
        <v>45887</v>
      </c>
      <c r="E52" s="15">
        <f t="shared" ca="1" si="1"/>
        <v>45873</v>
      </c>
      <c r="F52" s="14">
        <f ca="1">IFERROR(ROUND(IF(A52="","",IF(E52=0,D52-Date!$B$3,D52-E52)),0),"")</f>
        <v>14</v>
      </c>
      <c r="G52" s="14">
        <f>_xlfn.IFNA(VLOOKUP(A52,'RTR v2'!A:AW,48,FALSE)," ")</f>
        <v>46069</v>
      </c>
      <c r="I52" s="16" t="str">
        <f t="shared" si="2"/>
        <v>Y</v>
      </c>
      <c r="J52" s="16" t="str">
        <f t="shared" si="5"/>
        <v>y</v>
      </c>
      <c r="L52" s="17"/>
      <c r="M52" t="str">
        <f t="shared" si="6"/>
        <v xml:space="preserve"> </v>
      </c>
      <c r="N52">
        <f t="shared" si="7"/>
        <v>1</v>
      </c>
      <c r="O52">
        <f>IF(P52&lt;1,0,IF(VLOOKUP($A52,'Actual Dates'!$A:$G,5,0)="Y",1,0))</f>
        <v>1</v>
      </c>
      <c r="P52">
        <f>IF(Q52&lt;1,0,IF(VLOOKUP($A52,'Actual Dates'!$A:$G,4,0)="Y",1,0))</f>
        <v>1</v>
      </c>
      <c r="Q52">
        <f>IF(R52&lt;1,0,IF(VLOOKUP($A52,'Actual Dates'!$A:$G,3,0)="Y",1,0))</f>
        <v>1</v>
      </c>
      <c r="R52">
        <f>IF(VLOOKUP($A52,'Actual Dates'!$A:$G,2,0)="Y",1,0)</f>
        <v>1</v>
      </c>
      <c r="S52" s="4">
        <f ca="1">_xlfn.IFNA(+VLOOKUP(A52,'Date Calcs'!A:AG,8,),TODAY())</f>
        <v>45842</v>
      </c>
      <c r="T52" s="4">
        <f ca="1">_xlfn.IFNA(VLOOKUP(A52,'Date Calcs'!A:AG,10,),TODAY())</f>
        <v>45859</v>
      </c>
      <c r="U52" s="4">
        <f ca="1">_xlfn.IFNA(+VLOOKUP(A52,'Date Calcs'!A:AG,12,),TODAY())</f>
        <v>45873</v>
      </c>
      <c r="V52" s="4">
        <f ca="1">_xlfn.IFNA(+VLOOKUP(A52,'Date Calcs'!A:AG,14,),TODAY())</f>
        <v>45887</v>
      </c>
      <c r="W52" s="4">
        <f ca="1">_xlfn.IFNA(+VLOOKUP(A52,'Date Calcs'!A:AG,16,),TODAY())</f>
        <v>45835</v>
      </c>
      <c r="X52" s="4">
        <f ca="1">_xlfn.IFNA(IF(C52=0,VLOOKUP(A52,'Date Calcs'!A:AG,8,),IF(C52=1,VLOOKUP(A52,'Date Calcs'!A:AG,10,),IF(C52=2,VLOOKUP(A52,'Date Calcs'!A:AG,12,),IF(C52=3,VLOOKUP(A52,'Date Calcs'!A:AG,14,),4)))),TODAY())</f>
        <v>45887</v>
      </c>
      <c r="Y52" s="4">
        <f t="shared" ca="1" si="4"/>
        <v>45887</v>
      </c>
      <c r="Z52" s="4">
        <f ca="1">_xlfn.IFNA(Y52+(VLOOKUP(A52,'Date Calcs'!A:W,22,0)*7),TODAY())</f>
        <v>45887</v>
      </c>
      <c r="AA52" s="4">
        <f>_xlfn.IFNA(VLOOKUP(A52,'RTR v2'!$A:$AW,46,0),"")</f>
        <v>0</v>
      </c>
    </row>
    <row r="53" spans="1:27" ht="23.25" hidden="1" x14ac:dyDescent="0.25">
      <c r="A53" s="12" t="str">
        <f>'Actual Dates'!A51</f>
        <v>25-066</v>
      </c>
      <c r="B53" s="13" t="str">
        <f>_xlfn.IFNA(VLOOKUP(A53,'Date Calcs'!A:B,2,),"")</f>
        <v>Reco</v>
      </c>
      <c r="C53" s="14">
        <f>VLOOKUP(A53,'Actual Dates'!A:AE,18,)</f>
        <v>3</v>
      </c>
      <c r="D53" s="15">
        <f t="shared" ca="1" si="0"/>
        <v>45887</v>
      </c>
      <c r="E53" s="15">
        <f t="shared" ca="1" si="1"/>
        <v>45873</v>
      </c>
      <c r="F53" s="14">
        <f ca="1">IFERROR(ROUND(IF(A53="","",IF(E53=0,D53-Date!$B$3,D53-E53)),0),"")</f>
        <v>14</v>
      </c>
      <c r="G53" s="14">
        <f>_xlfn.IFNA(VLOOKUP(A53,'RTR v2'!A:AW,48,FALSE)," ")</f>
        <v>46098</v>
      </c>
      <c r="I53" s="16" t="str">
        <f t="shared" si="2"/>
        <v>Y</v>
      </c>
      <c r="J53" s="16" t="str">
        <f t="shared" si="5"/>
        <v>y</v>
      </c>
      <c r="L53" s="17"/>
      <c r="M53" t="str">
        <f t="shared" si="6"/>
        <v xml:space="preserve"> </v>
      </c>
      <c r="N53">
        <f t="shared" si="7"/>
        <v>1</v>
      </c>
      <c r="O53">
        <f>IF(P53&lt;1,0,IF(VLOOKUP($A53,'Actual Dates'!$A:$G,5,0)="Y",1,0))</f>
        <v>1</v>
      </c>
      <c r="P53">
        <f>IF(Q53&lt;1,0,IF(VLOOKUP($A53,'Actual Dates'!$A:$G,4,0)="Y",1,0))</f>
        <v>1</v>
      </c>
      <c r="Q53">
        <f>IF(R53&lt;1,0,IF(VLOOKUP($A53,'Actual Dates'!$A:$G,3,0)="Y",1,0))</f>
        <v>1</v>
      </c>
      <c r="R53">
        <f>IF(VLOOKUP($A53,'Actual Dates'!$A:$G,2,0)="Y",1,0)</f>
        <v>1</v>
      </c>
      <c r="S53" s="4">
        <f ca="1">_xlfn.IFNA(+VLOOKUP(A53,'Date Calcs'!A:AG,8,),TODAY())</f>
        <v>45842</v>
      </c>
      <c r="T53" s="4">
        <f ca="1">_xlfn.IFNA(VLOOKUP(A53,'Date Calcs'!A:AG,10,),TODAY())</f>
        <v>45859</v>
      </c>
      <c r="U53" s="4">
        <f ca="1">_xlfn.IFNA(+VLOOKUP(A53,'Date Calcs'!A:AG,12,),TODAY())</f>
        <v>45873</v>
      </c>
      <c r="V53" s="4">
        <f ca="1">_xlfn.IFNA(+VLOOKUP(A53,'Date Calcs'!A:AG,14,),TODAY())</f>
        <v>45887</v>
      </c>
      <c r="W53" s="4">
        <f ca="1">_xlfn.IFNA(+VLOOKUP(A53,'Date Calcs'!A:AG,16,),TODAY())</f>
        <v>45835</v>
      </c>
      <c r="X53" s="4">
        <f ca="1">_xlfn.IFNA(IF(C53=0,VLOOKUP(A53,'Date Calcs'!A:AG,8,),IF(C53=1,VLOOKUP(A53,'Date Calcs'!A:AG,10,),IF(C53=2,VLOOKUP(A53,'Date Calcs'!A:AG,12,),IF(C53=3,VLOOKUP(A53,'Date Calcs'!A:AG,14,),4)))),TODAY())</f>
        <v>45887</v>
      </c>
      <c r="Y53" s="4">
        <f t="shared" ca="1" si="4"/>
        <v>45887</v>
      </c>
      <c r="Z53" s="4">
        <f ca="1">_xlfn.IFNA(Y53+(VLOOKUP(A53,'Date Calcs'!A:W,22,0)*7),TODAY())</f>
        <v>45887</v>
      </c>
      <c r="AA53" s="4" t="str">
        <f>_xlfn.IFNA(VLOOKUP(A53,'RTR v2'!$A:$AW,46,0),"")</f>
        <v xml:space="preserve"> </v>
      </c>
    </row>
    <row r="54" spans="1:27" ht="23.25" hidden="1" x14ac:dyDescent="0.25">
      <c r="A54" s="12" t="str">
        <f>'Actual Dates'!A52</f>
        <v>25-067</v>
      </c>
      <c r="B54" s="13" t="str">
        <f>_xlfn.IFNA(VLOOKUP(A54,'Date Calcs'!A:B,2,),"")</f>
        <v>Reco</v>
      </c>
      <c r="C54" s="14">
        <f>VLOOKUP(A54,'Actual Dates'!A:AE,18,)</f>
        <v>3</v>
      </c>
      <c r="D54" s="15">
        <f t="shared" ca="1" si="0"/>
        <v>45887</v>
      </c>
      <c r="E54" s="15">
        <f t="shared" ca="1" si="1"/>
        <v>45873</v>
      </c>
      <c r="F54" s="14">
        <f ca="1">IFERROR(ROUND(IF(A54="","",IF(E54=0,D54-Date!$B$3,D54-E54)),0),"")</f>
        <v>14</v>
      </c>
      <c r="G54" s="14">
        <f>_xlfn.IFNA(VLOOKUP(A54,'RTR v2'!A:AW,48,FALSE)," ")</f>
        <v>46099</v>
      </c>
      <c r="I54" s="16" t="str">
        <f t="shared" si="2"/>
        <v>Y</v>
      </c>
      <c r="J54" s="16" t="str">
        <f t="shared" si="5"/>
        <v>y</v>
      </c>
      <c r="L54" s="17"/>
      <c r="M54" t="str">
        <f t="shared" si="6"/>
        <v xml:space="preserve"> </v>
      </c>
      <c r="N54">
        <f t="shared" si="7"/>
        <v>1</v>
      </c>
      <c r="O54">
        <f>IF(P54&lt;1,0,IF(VLOOKUP($A54,'Actual Dates'!$A:$G,5,0)="Y",1,0))</f>
        <v>1</v>
      </c>
      <c r="P54">
        <f>IF(Q54&lt;1,0,IF(VLOOKUP($A54,'Actual Dates'!$A:$G,4,0)="Y",1,0))</f>
        <v>1</v>
      </c>
      <c r="Q54">
        <f>IF(R54&lt;1,0,IF(VLOOKUP($A54,'Actual Dates'!$A:$G,3,0)="Y",1,0))</f>
        <v>1</v>
      </c>
      <c r="R54">
        <f>IF(VLOOKUP($A54,'Actual Dates'!$A:$G,2,0)="Y",1,0)</f>
        <v>1</v>
      </c>
      <c r="S54" s="4">
        <f ca="1">_xlfn.IFNA(+VLOOKUP(A54,'Date Calcs'!A:AG,8,),TODAY())</f>
        <v>45842</v>
      </c>
      <c r="T54" s="4">
        <f ca="1">_xlfn.IFNA(VLOOKUP(A54,'Date Calcs'!A:AG,10,),TODAY())</f>
        <v>45859</v>
      </c>
      <c r="U54" s="4">
        <f ca="1">_xlfn.IFNA(+VLOOKUP(A54,'Date Calcs'!A:AG,12,),TODAY())</f>
        <v>45873</v>
      </c>
      <c r="V54" s="4">
        <f ca="1">_xlfn.IFNA(+VLOOKUP(A54,'Date Calcs'!A:AG,14,),TODAY())</f>
        <v>45887</v>
      </c>
      <c r="W54" s="4">
        <f ca="1">_xlfn.IFNA(+VLOOKUP(A54,'Date Calcs'!A:AG,16,),TODAY())</f>
        <v>45835</v>
      </c>
      <c r="X54" s="4">
        <f ca="1">_xlfn.IFNA(IF(C54=0,VLOOKUP(A54,'Date Calcs'!A:AG,8,),IF(C54=1,VLOOKUP(A54,'Date Calcs'!A:AG,10,),IF(C54=2,VLOOKUP(A54,'Date Calcs'!A:AG,12,),IF(C54=3,VLOOKUP(A54,'Date Calcs'!A:AG,14,),4)))),TODAY())</f>
        <v>45887</v>
      </c>
      <c r="Y54" s="4">
        <f t="shared" ca="1" si="4"/>
        <v>45887</v>
      </c>
      <c r="Z54" s="4">
        <f ca="1">_xlfn.IFNA(Y54+(VLOOKUP(A54,'Date Calcs'!A:W,22,0)*7),TODAY())</f>
        <v>45887</v>
      </c>
      <c r="AA54" s="4" t="str">
        <f>_xlfn.IFNA(VLOOKUP(A54,'RTR v2'!$A:$AW,46,0),"")</f>
        <v xml:space="preserve"> </v>
      </c>
    </row>
    <row r="55" spans="1:27" ht="23.25" hidden="1" x14ac:dyDescent="0.25">
      <c r="A55" s="12" t="str">
        <f>'Actual Dates'!A53</f>
        <v>25-068</v>
      </c>
      <c r="B55" s="13" t="str">
        <f>_xlfn.IFNA(VLOOKUP(A55,'Date Calcs'!A:B,2,),"")</f>
        <v>Reco</v>
      </c>
      <c r="C55" s="14">
        <f>VLOOKUP(A55,'Actual Dates'!A:AE,18,)</f>
        <v>3</v>
      </c>
      <c r="D55" s="15">
        <f t="shared" ca="1" si="0"/>
        <v>45887</v>
      </c>
      <c r="E55" s="15">
        <f t="shared" ca="1" si="1"/>
        <v>45873</v>
      </c>
      <c r="F55" s="14">
        <f ca="1">IFERROR(ROUND(IF(A55="","",IF(E55=0,D55-Date!$B$3,D55-E55)),0),"")</f>
        <v>14</v>
      </c>
      <c r="G55" s="14">
        <f>_xlfn.IFNA(VLOOKUP(A55,'RTR v2'!A:AW,48,FALSE)," ")</f>
        <v>46111</v>
      </c>
      <c r="I55" s="16" t="str">
        <f t="shared" si="2"/>
        <v>Y</v>
      </c>
      <c r="J55" s="16" t="str">
        <f t="shared" si="5"/>
        <v>y</v>
      </c>
      <c r="L55" s="17"/>
      <c r="M55" t="str">
        <f t="shared" si="6"/>
        <v xml:space="preserve"> </v>
      </c>
      <c r="N55">
        <f t="shared" si="7"/>
        <v>1</v>
      </c>
      <c r="O55">
        <f>IF(P55&lt;1,0,IF(VLOOKUP($A55,'Actual Dates'!$A:$G,5,0)="Y",1,0))</f>
        <v>1</v>
      </c>
      <c r="P55">
        <f>IF(Q55&lt;1,0,IF(VLOOKUP($A55,'Actual Dates'!$A:$G,4,0)="Y",1,0))</f>
        <v>1</v>
      </c>
      <c r="Q55">
        <f>IF(R55&lt;1,0,IF(VLOOKUP($A55,'Actual Dates'!$A:$G,3,0)="Y",1,0))</f>
        <v>1</v>
      </c>
      <c r="R55">
        <f>IF(VLOOKUP($A55,'Actual Dates'!$A:$G,2,0)="Y",1,0)</f>
        <v>1</v>
      </c>
      <c r="S55" s="4">
        <f ca="1">_xlfn.IFNA(+VLOOKUP(A55,'Date Calcs'!A:AG,8,),TODAY())</f>
        <v>45842</v>
      </c>
      <c r="T55" s="4">
        <f ca="1">_xlfn.IFNA(VLOOKUP(A55,'Date Calcs'!A:AG,10,),TODAY())</f>
        <v>45859</v>
      </c>
      <c r="U55" s="4">
        <f ca="1">_xlfn.IFNA(+VLOOKUP(A55,'Date Calcs'!A:AG,12,),TODAY())</f>
        <v>45873</v>
      </c>
      <c r="V55" s="4">
        <f ca="1">_xlfn.IFNA(+VLOOKUP(A55,'Date Calcs'!A:AG,14,),TODAY())</f>
        <v>45887</v>
      </c>
      <c r="W55" s="4">
        <f ca="1">_xlfn.IFNA(+VLOOKUP(A55,'Date Calcs'!A:AG,16,),TODAY())</f>
        <v>45835</v>
      </c>
      <c r="X55" s="4">
        <f ca="1">_xlfn.IFNA(IF(C55=0,VLOOKUP(A55,'Date Calcs'!A:AG,8,),IF(C55=1,VLOOKUP(A55,'Date Calcs'!A:AG,10,),IF(C55=2,VLOOKUP(A55,'Date Calcs'!A:AG,12,),IF(C55=3,VLOOKUP(A55,'Date Calcs'!A:AG,14,),4)))),TODAY())</f>
        <v>45887</v>
      </c>
      <c r="Y55" s="4">
        <f t="shared" ca="1" si="4"/>
        <v>45887</v>
      </c>
      <c r="Z55" s="4">
        <f ca="1">_xlfn.IFNA(Y55+(VLOOKUP(A55,'Date Calcs'!A:W,22,0)*7),TODAY())</f>
        <v>45887</v>
      </c>
      <c r="AA55" s="4" t="str">
        <f>_xlfn.IFNA(VLOOKUP(A55,'RTR v2'!$A:$AW,46,0),"")</f>
        <v xml:space="preserve"> </v>
      </c>
    </row>
    <row r="56" spans="1:27" ht="23.25" hidden="1" x14ac:dyDescent="0.25">
      <c r="A56" s="12" t="str">
        <f>'Actual Dates'!A54</f>
        <v>25-069</v>
      </c>
      <c r="B56" s="13" t="str">
        <f>_xlfn.IFNA(VLOOKUP(A56,'Date Calcs'!A:B,2,),"")</f>
        <v>Reco</v>
      </c>
      <c r="C56" s="14">
        <f>VLOOKUP(A56,'Actual Dates'!A:AE,18,)</f>
        <v>3</v>
      </c>
      <c r="D56" s="15">
        <f t="shared" ca="1" si="0"/>
        <v>45887</v>
      </c>
      <c r="E56" s="15">
        <f t="shared" ca="1" si="1"/>
        <v>45873</v>
      </c>
      <c r="F56" s="14">
        <f ca="1">IFERROR(ROUND(IF(A56="","",IF(E56=0,D56-Date!$B$3,D56-E56)),0),"")</f>
        <v>14</v>
      </c>
      <c r="G56" s="14" t="str">
        <f>_xlfn.IFNA(VLOOKUP(A56,'RTR v2'!A:AW,48,FALSE)," ")</f>
        <v/>
      </c>
      <c r="I56" s="16" t="str">
        <f t="shared" si="2"/>
        <v>Y</v>
      </c>
      <c r="J56" s="16" t="str">
        <f t="shared" si="5"/>
        <v>y</v>
      </c>
      <c r="L56" s="17"/>
      <c r="M56" t="str">
        <f t="shared" si="6"/>
        <v xml:space="preserve"> </v>
      </c>
      <c r="N56">
        <f t="shared" si="7"/>
        <v>1</v>
      </c>
      <c r="O56">
        <f>IF(P56&lt;1,0,IF(VLOOKUP($A56,'Actual Dates'!$A:$G,5,0)="Y",1,0))</f>
        <v>1</v>
      </c>
      <c r="P56">
        <f>IF(Q56&lt;1,0,IF(VLOOKUP($A56,'Actual Dates'!$A:$G,4,0)="Y",1,0))</f>
        <v>1</v>
      </c>
      <c r="Q56">
        <f>IF(R56&lt;1,0,IF(VLOOKUP($A56,'Actual Dates'!$A:$G,3,0)="Y",1,0))</f>
        <v>1</v>
      </c>
      <c r="R56">
        <f>IF(VLOOKUP($A56,'Actual Dates'!$A:$G,2,0)="Y",1,0)</f>
        <v>1</v>
      </c>
      <c r="S56" s="4">
        <f ca="1">_xlfn.IFNA(+VLOOKUP(A56,'Date Calcs'!A:AG,8,),TODAY())</f>
        <v>45842</v>
      </c>
      <c r="T56" s="4">
        <f ca="1">_xlfn.IFNA(VLOOKUP(A56,'Date Calcs'!A:AG,10,),TODAY())</f>
        <v>45859</v>
      </c>
      <c r="U56" s="4">
        <f ca="1">_xlfn.IFNA(+VLOOKUP(A56,'Date Calcs'!A:AG,12,),TODAY())</f>
        <v>45873</v>
      </c>
      <c r="V56" s="4">
        <f ca="1">_xlfn.IFNA(+VLOOKUP(A56,'Date Calcs'!A:AG,14,),TODAY())</f>
        <v>45887</v>
      </c>
      <c r="W56" s="4">
        <f ca="1">_xlfn.IFNA(+VLOOKUP(A56,'Date Calcs'!A:AG,16,),TODAY())</f>
        <v>45835</v>
      </c>
      <c r="X56" s="4">
        <f ca="1">_xlfn.IFNA(IF(C56=0,VLOOKUP(A56,'Date Calcs'!A:AG,8,),IF(C56=1,VLOOKUP(A56,'Date Calcs'!A:AG,10,),IF(C56=2,VLOOKUP(A56,'Date Calcs'!A:AG,12,),IF(C56=3,VLOOKUP(A56,'Date Calcs'!A:AG,14,),4)))),TODAY())</f>
        <v>45887</v>
      </c>
      <c r="Y56" s="4">
        <f t="shared" ca="1" si="4"/>
        <v>45887</v>
      </c>
      <c r="Z56" s="4">
        <f ca="1">_xlfn.IFNA(Y56+(VLOOKUP(A56,'Date Calcs'!A:W,22,0)*7),TODAY())</f>
        <v>45887</v>
      </c>
      <c r="AA56" s="4" t="str">
        <f>_xlfn.IFNA(VLOOKUP(A56,'RTR v2'!$A:$AW,46,0),"")</f>
        <v xml:space="preserve"> </v>
      </c>
    </row>
    <row r="57" spans="1:27" ht="23.25" hidden="1" x14ac:dyDescent="0.25">
      <c r="A57" s="12" t="str">
        <f>'Actual Dates'!A55</f>
        <v>25-070</v>
      </c>
      <c r="B57" s="13" t="str">
        <f>_xlfn.IFNA(VLOOKUP(A57,'Date Calcs'!A:B,2,),"")</f>
        <v>Reco</v>
      </c>
      <c r="C57" s="14">
        <f>VLOOKUP(A57,'Actual Dates'!A:AE,18,)</f>
        <v>3</v>
      </c>
      <c r="D57" s="15">
        <f t="shared" ca="1" si="0"/>
        <v>45887</v>
      </c>
      <c r="E57" s="15">
        <f t="shared" ca="1" si="1"/>
        <v>45873</v>
      </c>
      <c r="F57" s="14">
        <f ca="1">IFERROR(ROUND(IF(A57="","",IF(E57=0,D57-Date!$B$3,D57-E57)),0),"")</f>
        <v>14</v>
      </c>
      <c r="G57" s="14" t="str">
        <f>_xlfn.IFNA(VLOOKUP(A57,'RTR v2'!A:AW,48,FALSE)," ")</f>
        <v/>
      </c>
      <c r="I57" s="16" t="str">
        <f t="shared" si="2"/>
        <v>Y</v>
      </c>
      <c r="J57" s="16" t="str">
        <f t="shared" si="5"/>
        <v>y</v>
      </c>
      <c r="L57" s="17"/>
      <c r="M57" t="str">
        <f t="shared" si="6"/>
        <v xml:space="preserve"> </v>
      </c>
      <c r="N57">
        <f t="shared" si="7"/>
        <v>1</v>
      </c>
      <c r="O57">
        <f>IF(P57&lt;1,0,IF(VLOOKUP($A57,'Actual Dates'!$A:$G,5,0)="Y",1,0))</f>
        <v>1</v>
      </c>
      <c r="P57">
        <f>IF(Q57&lt;1,0,IF(VLOOKUP($A57,'Actual Dates'!$A:$G,4,0)="Y",1,0))</f>
        <v>1</v>
      </c>
      <c r="Q57">
        <f>IF(R57&lt;1,0,IF(VLOOKUP($A57,'Actual Dates'!$A:$G,3,0)="Y",1,0))</f>
        <v>1</v>
      </c>
      <c r="R57">
        <f>IF(VLOOKUP($A57,'Actual Dates'!$A:$G,2,0)="Y",1,0)</f>
        <v>1</v>
      </c>
      <c r="S57" s="4">
        <f ca="1">_xlfn.IFNA(+VLOOKUP(A57,'Date Calcs'!A:AG,8,),TODAY())</f>
        <v>45842</v>
      </c>
      <c r="T57" s="4">
        <f ca="1">_xlfn.IFNA(VLOOKUP(A57,'Date Calcs'!A:AG,10,),TODAY())</f>
        <v>45859</v>
      </c>
      <c r="U57" s="4">
        <f ca="1">_xlfn.IFNA(+VLOOKUP(A57,'Date Calcs'!A:AG,12,),TODAY())</f>
        <v>45873</v>
      </c>
      <c r="V57" s="4">
        <f ca="1">_xlfn.IFNA(+VLOOKUP(A57,'Date Calcs'!A:AG,14,),TODAY())</f>
        <v>45887</v>
      </c>
      <c r="W57" s="4">
        <f ca="1">_xlfn.IFNA(+VLOOKUP(A57,'Date Calcs'!A:AG,16,),TODAY())</f>
        <v>45835</v>
      </c>
      <c r="X57" s="4">
        <f ca="1">_xlfn.IFNA(IF(C57=0,VLOOKUP(A57,'Date Calcs'!A:AG,8,),IF(C57=1,VLOOKUP(A57,'Date Calcs'!A:AG,10,),IF(C57=2,VLOOKUP(A57,'Date Calcs'!A:AG,12,),IF(C57=3,VLOOKUP(A57,'Date Calcs'!A:AG,14,),4)))),TODAY())</f>
        <v>45887</v>
      </c>
      <c r="Y57" s="4">
        <f t="shared" ca="1" si="4"/>
        <v>45887</v>
      </c>
      <c r="Z57" s="4">
        <f ca="1">_xlfn.IFNA(Y57+(VLOOKUP(A57,'Date Calcs'!A:W,22,0)*7),TODAY())</f>
        <v>45887</v>
      </c>
      <c r="AA57" s="4" t="str">
        <f>_xlfn.IFNA(VLOOKUP(A57,'RTR v2'!$A:$AW,46,0),"")</f>
        <v xml:space="preserve"> </v>
      </c>
    </row>
    <row r="58" spans="1:27" ht="23.25" hidden="1" x14ac:dyDescent="0.25">
      <c r="A58" s="12" t="str">
        <f>'Actual Dates'!A56</f>
        <v>25-071</v>
      </c>
      <c r="B58" s="13" t="str">
        <f>_xlfn.IFNA(VLOOKUP(A58,'Date Calcs'!A:B,2,),"")</f>
        <v>Reco</v>
      </c>
      <c r="C58" s="14">
        <f>VLOOKUP(A58,'Actual Dates'!A:AE,18,)</f>
        <v>3</v>
      </c>
      <c r="D58" s="15">
        <f t="shared" ca="1" si="0"/>
        <v>45887</v>
      </c>
      <c r="E58" s="15">
        <f t="shared" ca="1" si="1"/>
        <v>45873</v>
      </c>
      <c r="F58" s="14">
        <f ca="1">IFERROR(ROUND(IF(A58="","",IF(E58=0,D58-Date!$B$3,D58-E58)),0),"")</f>
        <v>14</v>
      </c>
      <c r="G58" s="14" t="str">
        <f>_xlfn.IFNA(VLOOKUP(A58,'RTR v2'!A:AW,48,FALSE)," ")</f>
        <v/>
      </c>
      <c r="I58" s="16" t="str">
        <f t="shared" si="2"/>
        <v>Y</v>
      </c>
      <c r="J58" s="16" t="str">
        <f t="shared" si="5"/>
        <v>y</v>
      </c>
      <c r="L58" s="17"/>
      <c r="M58" t="str">
        <f t="shared" si="6"/>
        <v xml:space="preserve"> </v>
      </c>
      <c r="N58">
        <f t="shared" si="7"/>
        <v>1</v>
      </c>
      <c r="O58">
        <f>IF(P58&lt;1,0,IF(VLOOKUP($A58,'Actual Dates'!$A:$G,5,0)="Y",1,0))</f>
        <v>1</v>
      </c>
      <c r="P58">
        <f>IF(Q58&lt;1,0,IF(VLOOKUP($A58,'Actual Dates'!$A:$G,4,0)="Y",1,0))</f>
        <v>1</v>
      </c>
      <c r="Q58">
        <f>IF(R58&lt;1,0,IF(VLOOKUP($A58,'Actual Dates'!$A:$G,3,0)="Y",1,0))</f>
        <v>1</v>
      </c>
      <c r="R58">
        <f>IF(VLOOKUP($A58,'Actual Dates'!$A:$G,2,0)="Y",1,0)</f>
        <v>1</v>
      </c>
      <c r="S58" s="4">
        <f ca="1">_xlfn.IFNA(+VLOOKUP(A58,'Date Calcs'!A:AG,8,),TODAY())</f>
        <v>45842</v>
      </c>
      <c r="T58" s="4">
        <f ca="1">_xlfn.IFNA(VLOOKUP(A58,'Date Calcs'!A:AG,10,),TODAY())</f>
        <v>45859</v>
      </c>
      <c r="U58" s="4">
        <f ca="1">_xlfn.IFNA(+VLOOKUP(A58,'Date Calcs'!A:AG,12,),TODAY())</f>
        <v>45873</v>
      </c>
      <c r="V58" s="4">
        <f ca="1">_xlfn.IFNA(+VLOOKUP(A58,'Date Calcs'!A:AG,14,),TODAY())</f>
        <v>45887</v>
      </c>
      <c r="W58" s="4">
        <f ca="1">_xlfn.IFNA(+VLOOKUP(A58,'Date Calcs'!A:AG,16,),TODAY())</f>
        <v>45835</v>
      </c>
      <c r="X58" s="4">
        <f ca="1">_xlfn.IFNA(IF(C58=0,VLOOKUP(A58,'Date Calcs'!A:AG,8,),IF(C58=1,VLOOKUP(A58,'Date Calcs'!A:AG,10,),IF(C58=2,VLOOKUP(A58,'Date Calcs'!A:AG,12,),IF(C58=3,VLOOKUP(A58,'Date Calcs'!A:AG,14,),4)))),TODAY())</f>
        <v>45887</v>
      </c>
      <c r="Y58" s="4">
        <f t="shared" ca="1" si="4"/>
        <v>45887</v>
      </c>
      <c r="Z58" s="4">
        <f ca="1">_xlfn.IFNA(Y58+(VLOOKUP(A58,'Date Calcs'!A:W,22,0)*7),TODAY())</f>
        <v>45887</v>
      </c>
      <c r="AA58" s="4" t="str">
        <f>_xlfn.IFNA(VLOOKUP(A58,'RTR v2'!$A:$AW,46,0),"")</f>
        <v xml:space="preserve"> </v>
      </c>
    </row>
    <row r="59" spans="1:27" ht="23.25" hidden="1" x14ac:dyDescent="0.25">
      <c r="A59" s="12" t="str">
        <f>'Actual Dates'!A57</f>
        <v>25-072</v>
      </c>
      <c r="B59" s="13" t="str">
        <f>_xlfn.IFNA(VLOOKUP(A59,'Date Calcs'!A:B,2,),"")</f>
        <v>Burke Industrial</v>
      </c>
      <c r="C59" s="14">
        <f>VLOOKUP(A59,'Actual Dates'!A:AE,18,)</f>
        <v>2</v>
      </c>
      <c r="D59" s="15">
        <f t="shared" ca="1" si="0"/>
        <v>45866</v>
      </c>
      <c r="E59" s="15">
        <f t="shared" ca="1" si="1"/>
        <v>45852</v>
      </c>
      <c r="F59" s="14">
        <f ca="1">IFERROR(ROUND(IF(A59="","",IF(E59=0,D59-Date!$B$3,D59-E59)),0),"")</f>
        <v>14</v>
      </c>
      <c r="G59" s="14">
        <f>_xlfn.IFNA(VLOOKUP(A59,'RTR v2'!A:AW,48,FALSE)," ")</f>
        <v>45922</v>
      </c>
      <c r="I59" s="16" t="str">
        <f t="shared" si="2"/>
        <v>Y</v>
      </c>
      <c r="J59" s="16" t="str">
        <f t="shared" si="5"/>
        <v>y</v>
      </c>
      <c r="L59" s="17"/>
      <c r="M59" t="str">
        <f t="shared" si="6"/>
        <v xml:space="preserve"> </v>
      </c>
      <c r="N59">
        <f t="shared" si="7"/>
        <v>1</v>
      </c>
      <c r="O59">
        <f>IF(P59&lt;1,0,IF(VLOOKUP($A59,'Actual Dates'!$A:$G,5,0)="Y",1,0))</f>
        <v>1</v>
      </c>
      <c r="P59">
        <f>IF(Q59&lt;1,0,IF(VLOOKUP($A59,'Actual Dates'!$A:$G,4,0)="Y",1,0))</f>
        <v>1</v>
      </c>
      <c r="Q59">
        <f>IF(R59&lt;1,0,IF(VLOOKUP($A59,'Actual Dates'!$A:$G,3,0)="Y",1,0))</f>
        <v>1</v>
      </c>
      <c r="R59">
        <f>IF(VLOOKUP($A59,'Actual Dates'!$A:$G,2,0)="Y",1,0)</f>
        <v>1</v>
      </c>
      <c r="S59" s="4">
        <f ca="1">_xlfn.IFNA(+VLOOKUP(A59,'Date Calcs'!A:AG,8,),TODAY())</f>
        <v>45845</v>
      </c>
      <c r="T59" s="4">
        <f ca="1">_xlfn.IFNA(VLOOKUP(A59,'Date Calcs'!A:AG,10,),TODAY())</f>
        <v>45852</v>
      </c>
      <c r="U59" s="4">
        <f ca="1">_xlfn.IFNA(+VLOOKUP(A59,'Date Calcs'!A:AG,12,),TODAY())</f>
        <v>45866</v>
      </c>
      <c r="V59" s="4">
        <f ca="1">_xlfn.IFNA(+VLOOKUP(A59,'Date Calcs'!A:AG,14,),TODAY())</f>
        <v>45880</v>
      </c>
      <c r="W59" s="4">
        <f ca="1">_xlfn.IFNA(+VLOOKUP(A59,'Date Calcs'!A:AG,16,),TODAY())</f>
        <v>45838</v>
      </c>
      <c r="X59" s="4">
        <f ca="1">_xlfn.IFNA(IF(C59=0,VLOOKUP(A59,'Date Calcs'!A:AG,8,),IF(C59=1,VLOOKUP(A59,'Date Calcs'!A:AG,10,),IF(C59=2,VLOOKUP(A59,'Date Calcs'!A:AG,12,),IF(C59=3,VLOOKUP(A59,'Date Calcs'!A:AG,14,),4)))),TODAY())</f>
        <v>45866</v>
      </c>
      <c r="Y59" s="4">
        <f t="shared" ca="1" si="4"/>
        <v>45866</v>
      </c>
      <c r="Z59" s="4">
        <f ca="1">_xlfn.IFNA(Y59+(VLOOKUP(A59,'Date Calcs'!A:W,22,0)*7),TODAY())</f>
        <v>45866</v>
      </c>
      <c r="AA59" s="4">
        <f>_xlfn.IFNA(VLOOKUP(A59,'RTR v2'!$A:$AW,46,0),"")</f>
        <v>0</v>
      </c>
    </row>
    <row r="60" spans="1:27" ht="23.25" hidden="1" x14ac:dyDescent="0.25">
      <c r="A60" s="12" t="str">
        <f>'Actual Dates'!A58</f>
        <v>25-073</v>
      </c>
      <c r="B60" s="13" t="str">
        <f>_xlfn.IFNA(VLOOKUP(A60,'Date Calcs'!A:B,2,),"")</f>
        <v>Burke Industrial</v>
      </c>
      <c r="C60" s="14">
        <f>VLOOKUP(A60,'Actual Dates'!A:AE,18,)</f>
        <v>2</v>
      </c>
      <c r="D60" s="15">
        <f t="shared" ca="1" si="0"/>
        <v>45866</v>
      </c>
      <c r="E60" s="15">
        <f t="shared" ca="1" si="1"/>
        <v>45852</v>
      </c>
      <c r="F60" s="14">
        <f ca="1">IFERROR(ROUND(IF(A60="","",IF(E60=0,D60-Date!$B$3,D60-E60)),0),"")</f>
        <v>14</v>
      </c>
      <c r="G60" s="14">
        <f>_xlfn.IFNA(VLOOKUP(A60,'RTR v2'!A:AW,48,FALSE)," ")</f>
        <v>45925</v>
      </c>
      <c r="I60" s="16" t="str">
        <f t="shared" si="2"/>
        <v>Y</v>
      </c>
      <c r="J60" s="16" t="str">
        <f t="shared" si="5"/>
        <v>y</v>
      </c>
      <c r="L60" s="17"/>
      <c r="M60" t="str">
        <f t="shared" si="6"/>
        <v xml:space="preserve"> </v>
      </c>
      <c r="N60">
        <f t="shared" si="7"/>
        <v>1</v>
      </c>
      <c r="O60">
        <f>IF(P60&lt;1,0,IF(VLOOKUP($A60,'Actual Dates'!$A:$G,5,0)="Y",1,0))</f>
        <v>1</v>
      </c>
      <c r="P60">
        <f>IF(Q60&lt;1,0,IF(VLOOKUP($A60,'Actual Dates'!$A:$G,4,0)="Y",1,0))</f>
        <v>1</v>
      </c>
      <c r="Q60">
        <f>IF(R60&lt;1,0,IF(VLOOKUP($A60,'Actual Dates'!$A:$G,3,0)="Y",1,0))</f>
        <v>1</v>
      </c>
      <c r="R60">
        <f>IF(VLOOKUP($A60,'Actual Dates'!$A:$G,2,0)="Y",1,0)</f>
        <v>1</v>
      </c>
      <c r="S60" s="4">
        <f ca="1">_xlfn.IFNA(+VLOOKUP(A60,'Date Calcs'!A:AG,8,),TODAY())</f>
        <v>45845</v>
      </c>
      <c r="T60" s="4">
        <f ca="1">_xlfn.IFNA(VLOOKUP(A60,'Date Calcs'!A:AG,10,),TODAY())</f>
        <v>45852</v>
      </c>
      <c r="U60" s="4">
        <f ca="1">_xlfn.IFNA(+VLOOKUP(A60,'Date Calcs'!A:AG,12,),TODAY())</f>
        <v>45866</v>
      </c>
      <c r="V60" s="4">
        <f ca="1">_xlfn.IFNA(+VLOOKUP(A60,'Date Calcs'!A:AG,14,),TODAY())</f>
        <v>45880</v>
      </c>
      <c r="W60" s="4">
        <f ca="1">_xlfn.IFNA(+VLOOKUP(A60,'Date Calcs'!A:AG,16,),TODAY())</f>
        <v>45838</v>
      </c>
      <c r="X60" s="4">
        <f ca="1">_xlfn.IFNA(IF(C60=0,VLOOKUP(A60,'Date Calcs'!A:AG,8,),IF(C60=1,VLOOKUP(A60,'Date Calcs'!A:AG,10,),IF(C60=2,VLOOKUP(A60,'Date Calcs'!A:AG,12,),IF(C60=3,VLOOKUP(A60,'Date Calcs'!A:AG,14,),4)))),TODAY())</f>
        <v>45866</v>
      </c>
      <c r="Y60" s="4">
        <f t="shared" ca="1" si="4"/>
        <v>45866</v>
      </c>
      <c r="Z60" s="4">
        <f ca="1">_xlfn.IFNA(Y60+(VLOOKUP(A60,'Date Calcs'!A:W,22,0)*7),TODAY())</f>
        <v>45866</v>
      </c>
      <c r="AA60" s="4">
        <f>_xlfn.IFNA(VLOOKUP(A60,'RTR v2'!$A:$AW,46,0),"")</f>
        <v>0</v>
      </c>
    </row>
    <row r="61" spans="1:27" ht="23.25" hidden="1" x14ac:dyDescent="0.25">
      <c r="A61" s="12" t="str">
        <f>'Actual Dates'!A59</f>
        <v>25-074</v>
      </c>
      <c r="B61" s="13" t="str">
        <f>_xlfn.IFNA(VLOOKUP(A61,'Date Calcs'!A:B,2,),"")</f>
        <v>Kemira</v>
      </c>
      <c r="C61" s="14">
        <f>VLOOKUP(A61,'Actual Dates'!A:AE,18,)</f>
        <v>2</v>
      </c>
      <c r="D61" s="15">
        <f t="shared" ca="1" si="0"/>
        <v>45874</v>
      </c>
      <c r="E61" s="15">
        <f t="shared" ca="1" si="1"/>
        <v>45860</v>
      </c>
      <c r="F61" s="14">
        <f ca="1">IFERROR(ROUND(IF(A61="","",IF(E61=0,D61-Date!$B$3,D61-E61)),0),"")</f>
        <v>14</v>
      </c>
      <c r="G61" s="14">
        <f>_xlfn.IFNA(VLOOKUP(A61,'RTR v2'!A:AW,48,FALSE)," ")</f>
        <v>46008</v>
      </c>
      <c r="I61" s="16" t="str">
        <f t="shared" si="2"/>
        <v>Y</v>
      </c>
      <c r="J61" s="16" t="str">
        <f t="shared" si="5"/>
        <v>y</v>
      </c>
      <c r="L61" s="17"/>
      <c r="M61" t="str">
        <f t="shared" si="6"/>
        <v xml:space="preserve"> </v>
      </c>
      <c r="N61">
        <f t="shared" si="7"/>
        <v>1</v>
      </c>
      <c r="O61">
        <f>IF(P61&lt;1,0,IF(VLOOKUP($A61,'Actual Dates'!$A:$G,5,0)="Y",1,0))</f>
        <v>1</v>
      </c>
      <c r="P61">
        <f>IF(Q61&lt;1,0,IF(VLOOKUP($A61,'Actual Dates'!$A:$G,4,0)="Y",1,0))</f>
        <v>1</v>
      </c>
      <c r="Q61">
        <f>IF(R61&lt;1,0,IF(VLOOKUP($A61,'Actual Dates'!$A:$G,3,0)="Y",1,0))</f>
        <v>1</v>
      </c>
      <c r="R61">
        <f>IF(VLOOKUP($A61,'Actual Dates'!$A:$G,2,0)="Y",1,0)</f>
        <v>1</v>
      </c>
      <c r="S61" s="4">
        <f ca="1">_xlfn.IFNA(+VLOOKUP(A61,'Date Calcs'!A:AG,8,),TODAY())</f>
        <v>45845</v>
      </c>
      <c r="T61" s="4">
        <f ca="1">_xlfn.IFNA(VLOOKUP(A61,'Date Calcs'!A:AG,10,),TODAY())</f>
        <v>45862</v>
      </c>
      <c r="U61" s="4">
        <f ca="1">_xlfn.IFNA(+VLOOKUP(A61,'Date Calcs'!A:AG,12,),TODAY())</f>
        <v>45874</v>
      </c>
      <c r="V61" s="4">
        <f ca="1">_xlfn.IFNA(+VLOOKUP(A61,'Date Calcs'!A:AG,14,),TODAY())</f>
        <v>45888</v>
      </c>
      <c r="W61" s="4">
        <f ca="1">_xlfn.IFNA(+VLOOKUP(A61,'Date Calcs'!A:AG,16,),TODAY())</f>
        <v>45838</v>
      </c>
      <c r="X61" s="4">
        <f ca="1">_xlfn.IFNA(IF(C61=0,VLOOKUP(A61,'Date Calcs'!A:AG,8,),IF(C61=1,VLOOKUP(A61,'Date Calcs'!A:AG,10,),IF(C61=2,VLOOKUP(A61,'Date Calcs'!A:AG,12,),IF(C61=3,VLOOKUP(A61,'Date Calcs'!A:AG,14,),4)))),TODAY())</f>
        <v>45874</v>
      </c>
      <c r="Y61" s="4">
        <f t="shared" ca="1" si="4"/>
        <v>45874</v>
      </c>
      <c r="Z61" s="4">
        <f ca="1">_xlfn.IFNA(Y61+(VLOOKUP(A61,'Date Calcs'!A:W,22,0)*7),TODAY())</f>
        <v>45874</v>
      </c>
      <c r="AA61" s="4">
        <f>_xlfn.IFNA(VLOOKUP(A61,'RTR v2'!$A:$AW,46,0),"")</f>
        <v>0</v>
      </c>
    </row>
    <row r="62" spans="1:27" ht="23.25" hidden="1" x14ac:dyDescent="0.25">
      <c r="A62" s="12" t="str">
        <f>'Actual Dates'!A60</f>
        <v>25-075</v>
      </c>
      <c r="B62" s="13" t="str">
        <f>_xlfn.IFNA(VLOOKUP(A62,'Date Calcs'!A:B,2,),"")</f>
        <v>Kemira</v>
      </c>
      <c r="C62" s="14">
        <f>VLOOKUP(A62,'Actual Dates'!A:AE,18,)</f>
        <v>3</v>
      </c>
      <c r="D62" s="15">
        <f t="shared" ca="1" si="0"/>
        <v>45902</v>
      </c>
      <c r="E62" s="15">
        <f t="shared" ca="1" si="1"/>
        <v>45888</v>
      </c>
      <c r="F62" s="14">
        <f ca="1">IFERROR(ROUND(IF(A62="","",IF(E62=0,D62-Date!$B$3,D62-E62)),0),"")</f>
        <v>14</v>
      </c>
      <c r="G62" s="14">
        <f>_xlfn.IFNA(VLOOKUP(A62,'RTR v2'!A:AW,48,FALSE)," ")</f>
        <v>45994</v>
      </c>
      <c r="I62" s="16" t="str">
        <f t="shared" si="2"/>
        <v>Y</v>
      </c>
      <c r="J62" s="16" t="str">
        <f t="shared" si="5"/>
        <v>y</v>
      </c>
      <c r="L62" s="17"/>
      <c r="M62" t="str">
        <f t="shared" si="6"/>
        <v xml:space="preserve"> </v>
      </c>
      <c r="N62">
        <f t="shared" si="7"/>
        <v>1</v>
      </c>
      <c r="O62">
        <f>IF(P62&lt;1,0,IF(VLOOKUP($A62,'Actual Dates'!$A:$G,5,0)="Y",1,0))</f>
        <v>1</v>
      </c>
      <c r="P62">
        <f>IF(Q62&lt;1,0,IF(VLOOKUP($A62,'Actual Dates'!$A:$G,4,0)="Y",1,0))</f>
        <v>1</v>
      </c>
      <c r="Q62">
        <f>IF(R62&lt;1,0,IF(VLOOKUP($A62,'Actual Dates'!$A:$G,3,0)="Y",1,0))</f>
        <v>1</v>
      </c>
      <c r="R62">
        <f>IF(VLOOKUP($A62,'Actual Dates'!$A:$G,2,0)="Y",1,0)</f>
        <v>1</v>
      </c>
      <c r="S62" s="4">
        <f ca="1">_xlfn.IFNA(+VLOOKUP(A62,'Date Calcs'!A:AG,8,),TODAY())</f>
        <v>45845</v>
      </c>
      <c r="T62" s="4">
        <f ca="1">_xlfn.IFNA(VLOOKUP(A62,'Date Calcs'!A:AG,10,),TODAY())</f>
        <v>45866</v>
      </c>
      <c r="U62" s="4">
        <f ca="1">_xlfn.IFNA(+VLOOKUP(A62,'Date Calcs'!A:AG,12,),TODAY())</f>
        <v>45891</v>
      </c>
      <c r="V62" s="4">
        <f ca="1">_xlfn.IFNA(+VLOOKUP(A62,'Date Calcs'!A:AG,14,),TODAY())</f>
        <v>45902</v>
      </c>
      <c r="W62" s="4">
        <f ca="1">_xlfn.IFNA(+VLOOKUP(A62,'Date Calcs'!A:AG,16,),TODAY())</f>
        <v>45838</v>
      </c>
      <c r="X62" s="4">
        <f ca="1">_xlfn.IFNA(IF(C62=0,VLOOKUP(A62,'Date Calcs'!A:AG,8,),IF(C62=1,VLOOKUP(A62,'Date Calcs'!A:AG,10,),IF(C62=2,VLOOKUP(A62,'Date Calcs'!A:AG,12,),IF(C62=3,VLOOKUP(A62,'Date Calcs'!A:AG,14,),4)))),TODAY())</f>
        <v>45902</v>
      </c>
      <c r="Y62" s="4">
        <f t="shared" ca="1" si="4"/>
        <v>45902</v>
      </c>
      <c r="Z62" s="4">
        <f ca="1">_xlfn.IFNA(Y62+(VLOOKUP(A62,'Date Calcs'!A:W,22,0)*7),TODAY())</f>
        <v>45902</v>
      </c>
      <c r="AA62" s="4">
        <f>_xlfn.IFNA(VLOOKUP(A62,'RTR v2'!$A:$AW,46,0),"")</f>
        <v>0</v>
      </c>
    </row>
    <row r="63" spans="1:27" ht="23.25" hidden="1" x14ac:dyDescent="0.25">
      <c r="A63" s="12" t="str">
        <f>'Actual Dates'!A61</f>
        <v>25-076</v>
      </c>
      <c r="B63" s="13" t="str">
        <f>_xlfn.IFNA(VLOOKUP(A63,'Date Calcs'!A:B,2,),"")</f>
        <v>Irving tissue</v>
      </c>
      <c r="C63" s="14">
        <f>VLOOKUP(A63,'Actual Dates'!A:AE,18,)</f>
        <v>2</v>
      </c>
      <c r="D63" s="15">
        <f t="shared" ca="1" si="0"/>
        <v>45902</v>
      </c>
      <c r="E63" s="15">
        <f t="shared" ca="1" si="1"/>
        <v>45888</v>
      </c>
      <c r="F63" s="14">
        <f ca="1">IFERROR(ROUND(IF(A63="","",IF(E63=0,D63-Date!$B$3,D63-E63)),0),"")</f>
        <v>14</v>
      </c>
      <c r="G63" s="14">
        <f>_xlfn.IFNA(VLOOKUP(A63,'RTR v2'!A:AW,48,FALSE)," ")</f>
        <v>45930</v>
      </c>
      <c r="I63" s="16" t="str">
        <f t="shared" si="2"/>
        <v>Y</v>
      </c>
      <c r="J63" s="16" t="str">
        <f t="shared" si="5"/>
        <v>y</v>
      </c>
      <c r="L63" s="17"/>
      <c r="M63" t="str">
        <f t="shared" si="6"/>
        <v xml:space="preserve"> </v>
      </c>
      <c r="N63">
        <f t="shared" si="7"/>
        <v>1</v>
      </c>
      <c r="O63">
        <f>IF(P63&lt;1,0,IF(VLOOKUP($A63,'Actual Dates'!$A:$G,5,0)="Y",1,0))</f>
        <v>1</v>
      </c>
      <c r="P63">
        <f>IF(Q63&lt;1,0,IF(VLOOKUP($A63,'Actual Dates'!$A:$G,4,0)="Y",1,0))</f>
        <v>1</v>
      </c>
      <c r="Q63">
        <f>IF(R63&lt;1,0,IF(VLOOKUP($A63,'Actual Dates'!$A:$G,3,0)="Y",1,0))</f>
        <v>1</v>
      </c>
      <c r="R63">
        <f>IF(VLOOKUP($A63,'Actual Dates'!$A:$G,2,0)="Y",1,0)</f>
        <v>1</v>
      </c>
      <c r="S63" s="4">
        <f ca="1">_xlfn.IFNA(+VLOOKUP(A63,'Date Calcs'!A:AG,8,),TODAY())</f>
        <v>45853</v>
      </c>
      <c r="T63" s="4">
        <f ca="1">_xlfn.IFNA(VLOOKUP(A63,'Date Calcs'!A:AG,10,),TODAY())</f>
        <v>45888</v>
      </c>
      <c r="U63" s="4">
        <f ca="1">_xlfn.IFNA(+VLOOKUP(A63,'Date Calcs'!A:AG,12,),TODAY())</f>
        <v>45902</v>
      </c>
      <c r="V63" s="4">
        <f ca="1">_xlfn.IFNA(+VLOOKUP(A63,'Date Calcs'!A:AG,14,),TODAY())</f>
        <v>45916</v>
      </c>
      <c r="W63" s="4">
        <f ca="1">_xlfn.IFNA(+VLOOKUP(A63,'Date Calcs'!A:AG,16,),TODAY())</f>
        <v>45839</v>
      </c>
      <c r="X63" s="4">
        <f ca="1">_xlfn.IFNA(IF(C63=0,VLOOKUP(A63,'Date Calcs'!A:AG,8,),IF(C63=1,VLOOKUP(A63,'Date Calcs'!A:AG,10,),IF(C63=2,VLOOKUP(A63,'Date Calcs'!A:AG,12,),IF(C63=3,VLOOKUP(A63,'Date Calcs'!A:AG,14,),4)))),TODAY())</f>
        <v>45902</v>
      </c>
      <c r="Y63" s="4">
        <f t="shared" ca="1" si="4"/>
        <v>45902</v>
      </c>
      <c r="Z63" s="4">
        <f ca="1">_xlfn.IFNA(Y63+(VLOOKUP(A63,'Date Calcs'!A:W,22,0)*7),TODAY())</f>
        <v>45902</v>
      </c>
      <c r="AA63" s="4">
        <f>_xlfn.IFNA(VLOOKUP(A63,'RTR v2'!$A:$AW,46,0),"")</f>
        <v>0</v>
      </c>
    </row>
    <row r="64" spans="1:27" ht="23.25" hidden="1" x14ac:dyDescent="0.25">
      <c r="A64" s="12" t="str">
        <f>'Actual Dates'!A62</f>
        <v>25-077</v>
      </c>
      <c r="B64" s="13" t="str">
        <f>_xlfn.IFNA(VLOOKUP(A64,'Date Calcs'!A:B,2,),"")</f>
        <v>Epic Systems</v>
      </c>
      <c r="C64" s="14">
        <f>VLOOKUP(A64,'Actual Dates'!A:AE,18,)</f>
        <v>3</v>
      </c>
      <c r="D64" s="15">
        <f t="shared" ca="1" si="0"/>
        <v>45908</v>
      </c>
      <c r="E64" s="15">
        <f t="shared" ca="1" si="1"/>
        <v>45894</v>
      </c>
      <c r="F64" s="14">
        <f ca="1">IFERROR(ROUND(IF(A64="","",IF(E64=0,D64-Date!$B$3,D64-E64)),0),"")</f>
        <v>14</v>
      </c>
      <c r="G64" s="14">
        <f>_xlfn.IFNA(VLOOKUP(A64,'RTR v2'!A:AW,48,FALSE)," ")</f>
        <v>46028</v>
      </c>
      <c r="I64" s="16" t="str">
        <f t="shared" si="2"/>
        <v>Y</v>
      </c>
      <c r="J64" s="16" t="str">
        <f t="shared" si="5"/>
        <v>y</v>
      </c>
      <c r="L64" s="17"/>
      <c r="M64" t="str">
        <f t="shared" si="6"/>
        <v xml:space="preserve"> </v>
      </c>
      <c r="N64">
        <f t="shared" si="7"/>
        <v>1</v>
      </c>
      <c r="O64">
        <f>IF(P64&lt;1,0,IF(VLOOKUP($A64,'Actual Dates'!$A:$G,5,0)="Y",1,0))</f>
        <v>1</v>
      </c>
      <c r="P64">
        <f>IF(Q64&lt;1,0,IF(VLOOKUP($A64,'Actual Dates'!$A:$G,4,0)="Y",1,0))</f>
        <v>1</v>
      </c>
      <c r="Q64">
        <f>IF(R64&lt;1,0,IF(VLOOKUP($A64,'Actual Dates'!$A:$G,3,0)="Y",1,0))</f>
        <v>1</v>
      </c>
      <c r="R64">
        <f>IF(VLOOKUP($A64,'Actual Dates'!$A:$G,2,0)="Y",1,0)</f>
        <v>1</v>
      </c>
      <c r="S64" s="4">
        <f ca="1">_xlfn.IFNA(+VLOOKUP(A64,'Date Calcs'!A:AG,8,),TODAY())</f>
        <v>45854</v>
      </c>
      <c r="T64" s="4">
        <f ca="1">_xlfn.IFNA(VLOOKUP(A64,'Date Calcs'!A:AG,10,),TODAY())</f>
        <v>45882</v>
      </c>
      <c r="U64" s="4">
        <f ca="1">_xlfn.IFNA(+VLOOKUP(A64,'Date Calcs'!A:AG,12,),TODAY())</f>
        <v>45894</v>
      </c>
      <c r="V64" s="4">
        <f ca="1">_xlfn.IFNA(+VLOOKUP(A64,'Date Calcs'!A:AG,14,),TODAY())</f>
        <v>45908</v>
      </c>
      <c r="W64" s="4">
        <f ca="1">_xlfn.IFNA(+VLOOKUP(A64,'Date Calcs'!A:AG,16,),TODAY())</f>
        <v>45847</v>
      </c>
      <c r="X64" s="4">
        <f ca="1">_xlfn.IFNA(IF(C64=0,VLOOKUP(A64,'Date Calcs'!A:AG,8,),IF(C64=1,VLOOKUP(A64,'Date Calcs'!A:AG,10,),IF(C64=2,VLOOKUP(A64,'Date Calcs'!A:AG,12,),IF(C64=3,VLOOKUP(A64,'Date Calcs'!A:AG,14,),4)))),TODAY())</f>
        <v>45908</v>
      </c>
      <c r="Y64" s="4">
        <f t="shared" ca="1" si="4"/>
        <v>45908</v>
      </c>
      <c r="Z64" s="4">
        <f ca="1">_xlfn.IFNA(Y64+(VLOOKUP(A64,'Date Calcs'!A:W,22,0)*7),TODAY())</f>
        <v>45908</v>
      </c>
      <c r="AA64" s="4">
        <f>_xlfn.IFNA(VLOOKUP(A64,'RTR v2'!$A:$AW,46,0),"")</f>
        <v>0</v>
      </c>
    </row>
    <row r="65" spans="1:27" ht="23.25" hidden="1" x14ac:dyDescent="0.25">
      <c r="A65" s="12" t="str">
        <f>'Actual Dates'!A63</f>
        <v>25-078</v>
      </c>
      <c r="B65" s="13" t="str">
        <f>_xlfn.IFNA(VLOOKUP(A65,'Date Calcs'!A:B,2,),"")</f>
        <v>Epic Systems</v>
      </c>
      <c r="C65" s="14">
        <f>VLOOKUP(A65,'Actual Dates'!A:AE,18,)</f>
        <v>3</v>
      </c>
      <c r="D65" s="15">
        <f t="shared" ca="1" si="0"/>
        <v>45908</v>
      </c>
      <c r="E65" s="15">
        <f t="shared" ca="1" si="1"/>
        <v>45894</v>
      </c>
      <c r="F65" s="14">
        <f ca="1">IFERROR(ROUND(IF(A65="","",IF(E65=0,D65-Date!$B$3,D65-E65)),0),"")</f>
        <v>14</v>
      </c>
      <c r="G65" s="14">
        <f>_xlfn.IFNA(VLOOKUP(A65,'RTR v2'!A:AW,48,FALSE)," ")</f>
        <v>46028</v>
      </c>
      <c r="I65" s="16" t="str">
        <f t="shared" si="2"/>
        <v>Y</v>
      </c>
      <c r="J65" s="16" t="str">
        <f t="shared" si="5"/>
        <v>y</v>
      </c>
      <c r="L65" s="17"/>
      <c r="M65" t="str">
        <f t="shared" si="6"/>
        <v xml:space="preserve"> </v>
      </c>
      <c r="N65">
        <f t="shared" si="7"/>
        <v>1</v>
      </c>
      <c r="O65">
        <f>IF(P65&lt;1,0,IF(VLOOKUP($A65,'Actual Dates'!$A:$G,5,0)="Y",1,0))</f>
        <v>1</v>
      </c>
      <c r="P65">
        <f>IF(Q65&lt;1,0,IF(VLOOKUP($A65,'Actual Dates'!$A:$G,4,0)="Y",1,0))</f>
        <v>1</v>
      </c>
      <c r="Q65">
        <f>IF(R65&lt;1,0,IF(VLOOKUP($A65,'Actual Dates'!$A:$G,3,0)="Y",1,0))</f>
        <v>1</v>
      </c>
      <c r="R65">
        <f>IF(VLOOKUP($A65,'Actual Dates'!$A:$G,2,0)="Y",1,0)</f>
        <v>1</v>
      </c>
      <c r="S65" s="4">
        <f ca="1">_xlfn.IFNA(+VLOOKUP(A65,'Date Calcs'!A:AG,8,),TODAY())</f>
        <v>45854</v>
      </c>
      <c r="T65" s="4">
        <f ca="1">_xlfn.IFNA(VLOOKUP(A65,'Date Calcs'!A:AG,10,),TODAY())</f>
        <v>45877</v>
      </c>
      <c r="U65" s="4">
        <f ca="1">_xlfn.IFNA(+VLOOKUP(A65,'Date Calcs'!A:AG,12,),TODAY())</f>
        <v>45894</v>
      </c>
      <c r="V65" s="4">
        <f ca="1">_xlfn.IFNA(+VLOOKUP(A65,'Date Calcs'!A:AG,14,),TODAY())</f>
        <v>45908</v>
      </c>
      <c r="W65" s="4">
        <f ca="1">_xlfn.IFNA(+VLOOKUP(A65,'Date Calcs'!A:AG,16,),TODAY())</f>
        <v>45847</v>
      </c>
      <c r="X65" s="4">
        <f ca="1">_xlfn.IFNA(IF(C65=0,VLOOKUP(A65,'Date Calcs'!A:AG,8,),IF(C65=1,VLOOKUP(A65,'Date Calcs'!A:AG,10,),IF(C65=2,VLOOKUP(A65,'Date Calcs'!A:AG,12,),IF(C65=3,VLOOKUP(A65,'Date Calcs'!A:AG,14,),4)))),TODAY())</f>
        <v>45908</v>
      </c>
      <c r="Y65" s="4">
        <f t="shared" ca="1" si="4"/>
        <v>45908</v>
      </c>
      <c r="Z65" s="4">
        <f ca="1">_xlfn.IFNA(Y65+(VLOOKUP(A65,'Date Calcs'!A:W,22,0)*7),TODAY())</f>
        <v>45908</v>
      </c>
      <c r="AA65" s="4">
        <f>_xlfn.IFNA(VLOOKUP(A65,'RTR v2'!$A:$AW,46,0),"")</f>
        <v>0</v>
      </c>
    </row>
    <row r="66" spans="1:27" ht="23.25" hidden="1" x14ac:dyDescent="0.25">
      <c r="A66" s="12" t="str">
        <f>'Actual Dates'!A64</f>
        <v>25-079</v>
      </c>
      <c r="B66" s="13" t="str">
        <f>_xlfn.IFNA(VLOOKUP(A66,'Date Calcs'!A:B,2,),"")</f>
        <v>Epic Systems</v>
      </c>
      <c r="C66" s="14">
        <f>VLOOKUP(A66,'Actual Dates'!A:AE,18,)</f>
        <v>3</v>
      </c>
      <c r="D66" s="15">
        <f t="shared" ca="1" si="0"/>
        <v>45908</v>
      </c>
      <c r="E66" s="15">
        <f t="shared" ca="1" si="1"/>
        <v>45894</v>
      </c>
      <c r="F66" s="14">
        <f ca="1">IFERROR(ROUND(IF(A66="","",IF(E66=0,D66-Date!$B$3,D66-E66)),0),"")</f>
        <v>14</v>
      </c>
      <c r="G66" s="14">
        <f>_xlfn.IFNA(VLOOKUP(A66,'RTR v2'!A:AW,48,FALSE)," ")</f>
        <v>46028</v>
      </c>
      <c r="I66" s="16" t="str">
        <f t="shared" si="2"/>
        <v>Y</v>
      </c>
      <c r="J66" s="16" t="str">
        <f t="shared" si="5"/>
        <v>y</v>
      </c>
      <c r="L66" s="17"/>
      <c r="M66" t="str">
        <f t="shared" si="6"/>
        <v xml:space="preserve"> </v>
      </c>
      <c r="N66">
        <f t="shared" si="7"/>
        <v>1</v>
      </c>
      <c r="O66">
        <f>IF(P66&lt;1,0,IF(VLOOKUP($A66,'Actual Dates'!$A:$G,5,0)="Y",1,0))</f>
        <v>1</v>
      </c>
      <c r="P66">
        <f>IF(Q66&lt;1,0,IF(VLOOKUP($A66,'Actual Dates'!$A:$G,4,0)="Y",1,0))</f>
        <v>1</v>
      </c>
      <c r="Q66">
        <f>IF(R66&lt;1,0,IF(VLOOKUP($A66,'Actual Dates'!$A:$G,3,0)="Y",1,0))</f>
        <v>1</v>
      </c>
      <c r="R66">
        <f>IF(VLOOKUP($A66,'Actual Dates'!$A:$G,2,0)="Y",1,0)</f>
        <v>1</v>
      </c>
      <c r="S66" s="4">
        <f ca="1">_xlfn.IFNA(+VLOOKUP(A66,'Date Calcs'!A:AG,8,),TODAY())</f>
        <v>45854</v>
      </c>
      <c r="T66" s="4">
        <f ca="1">_xlfn.IFNA(VLOOKUP(A66,'Date Calcs'!A:AG,10,),TODAY())</f>
        <v>45877</v>
      </c>
      <c r="U66" s="4">
        <f ca="1">_xlfn.IFNA(+VLOOKUP(A66,'Date Calcs'!A:AG,12,),TODAY())</f>
        <v>45894</v>
      </c>
      <c r="V66" s="4">
        <f ca="1">_xlfn.IFNA(+VLOOKUP(A66,'Date Calcs'!A:AG,14,),TODAY())</f>
        <v>45908</v>
      </c>
      <c r="W66" s="4">
        <f ca="1">_xlfn.IFNA(+VLOOKUP(A66,'Date Calcs'!A:AG,16,),TODAY())</f>
        <v>45847</v>
      </c>
      <c r="X66" s="4">
        <f ca="1">_xlfn.IFNA(IF(C66=0,VLOOKUP(A66,'Date Calcs'!A:AG,8,),IF(C66=1,VLOOKUP(A66,'Date Calcs'!A:AG,10,),IF(C66=2,VLOOKUP(A66,'Date Calcs'!A:AG,12,),IF(C66=3,VLOOKUP(A66,'Date Calcs'!A:AG,14,),4)))),TODAY())</f>
        <v>45908</v>
      </c>
      <c r="Y66" s="4">
        <f t="shared" ca="1" si="4"/>
        <v>45908</v>
      </c>
      <c r="Z66" s="4">
        <f ca="1">_xlfn.IFNA(Y66+(VLOOKUP(A66,'Date Calcs'!A:W,22,0)*7),TODAY())</f>
        <v>45908</v>
      </c>
      <c r="AA66" s="4">
        <f>_xlfn.IFNA(VLOOKUP(A66,'RTR v2'!$A:$AW,46,0),"")</f>
        <v>0</v>
      </c>
    </row>
    <row r="67" spans="1:27" ht="23.25" hidden="1" x14ac:dyDescent="0.25">
      <c r="A67" s="12" t="str">
        <f>'Actual Dates'!A65</f>
        <v>25-080</v>
      </c>
      <c r="B67" s="13" t="str">
        <f>_xlfn.IFNA(VLOOKUP(A67,'Date Calcs'!A:B,2,),"")</f>
        <v>Domtar</v>
      </c>
      <c r="C67" s="14">
        <f>VLOOKUP(A67,'Actual Dates'!A:AE,18,)</f>
        <v>2</v>
      </c>
      <c r="D67" s="15">
        <f t="shared" ca="1" si="0"/>
        <v>45904</v>
      </c>
      <c r="E67" s="15">
        <f t="shared" ca="1" si="1"/>
        <v>45890</v>
      </c>
      <c r="F67" s="14">
        <f ca="1">IFERROR(ROUND(IF(A67="","",IF(E67=0,D67-Date!$B$3,D67-E67)),0),"")</f>
        <v>14</v>
      </c>
      <c r="G67" s="14">
        <f>_xlfn.IFNA(VLOOKUP(A67,'RTR v2'!A:AW,48,FALSE)," ")</f>
        <v>46029</v>
      </c>
      <c r="I67" s="16" t="str">
        <f t="shared" si="2"/>
        <v>Y</v>
      </c>
      <c r="J67" s="16" t="str">
        <f t="shared" si="5"/>
        <v>y</v>
      </c>
      <c r="L67" s="17"/>
      <c r="M67" t="str">
        <f t="shared" si="6"/>
        <v xml:space="preserve"> </v>
      </c>
      <c r="N67">
        <f t="shared" si="7"/>
        <v>1</v>
      </c>
      <c r="O67">
        <f>IF(P67&lt;1,0,IF(VLOOKUP($A67,'Actual Dates'!$A:$G,5,0)="Y",1,0))</f>
        <v>1</v>
      </c>
      <c r="P67">
        <f>IF(Q67&lt;1,0,IF(VLOOKUP($A67,'Actual Dates'!$A:$G,4,0)="Y",1,0))</f>
        <v>1</v>
      </c>
      <c r="Q67">
        <f>IF(R67&lt;1,0,IF(VLOOKUP($A67,'Actual Dates'!$A:$G,3,0)="Y",1,0))</f>
        <v>1</v>
      </c>
      <c r="R67">
        <f>IF(VLOOKUP($A67,'Actual Dates'!$A:$G,2,0)="Y",1,0)</f>
        <v>1</v>
      </c>
      <c r="S67" s="4">
        <f ca="1">_xlfn.IFNA(+VLOOKUP(A67,'Date Calcs'!A:AG,8,),TODAY())</f>
        <v>45856</v>
      </c>
      <c r="T67" s="4">
        <f ca="1">_xlfn.IFNA(VLOOKUP(A67,'Date Calcs'!A:AG,10,),TODAY())</f>
        <v>45876</v>
      </c>
      <c r="U67" s="4">
        <f ca="1">_xlfn.IFNA(+VLOOKUP(A67,'Date Calcs'!A:AG,12,),TODAY())</f>
        <v>45904</v>
      </c>
      <c r="V67" s="4">
        <f ca="1">_xlfn.IFNA(+VLOOKUP(A67,'Date Calcs'!A:AG,14,),TODAY())</f>
        <v>45918</v>
      </c>
      <c r="W67" s="4">
        <f ca="1">_xlfn.IFNA(+VLOOKUP(A67,'Date Calcs'!A:AG,16,),TODAY())</f>
        <v>45849</v>
      </c>
      <c r="X67" s="4">
        <f ca="1">_xlfn.IFNA(IF(C67=0,VLOOKUP(A67,'Date Calcs'!A:AG,8,),IF(C67=1,VLOOKUP(A67,'Date Calcs'!A:AG,10,),IF(C67=2,VLOOKUP(A67,'Date Calcs'!A:AG,12,),IF(C67=3,VLOOKUP(A67,'Date Calcs'!A:AG,14,),4)))),TODAY())</f>
        <v>45904</v>
      </c>
      <c r="Y67" s="4">
        <f t="shared" ca="1" si="4"/>
        <v>45904</v>
      </c>
      <c r="Z67" s="4">
        <f ca="1">_xlfn.IFNA(Y67+(VLOOKUP(A67,'Date Calcs'!A:W,22,0)*7),TODAY())</f>
        <v>45904</v>
      </c>
      <c r="AA67" s="4">
        <f>_xlfn.IFNA(VLOOKUP(A67,'RTR v2'!$A:$AW,46,0),"")</f>
        <v>0</v>
      </c>
    </row>
    <row r="68" spans="1:27" ht="23.25" hidden="1" x14ac:dyDescent="0.25">
      <c r="A68" s="12" t="str">
        <f>'Actual Dates'!A66</f>
        <v>25-083</v>
      </c>
      <c r="B68" s="13" t="str">
        <f>_xlfn.IFNA(VLOOKUP(A68,'Date Calcs'!A:B,2,),"")</f>
        <v>Synthomer</v>
      </c>
      <c r="C68" s="14">
        <f>VLOOKUP(A68,'Actual Dates'!A:AE,18,)</f>
        <v>3</v>
      </c>
      <c r="D68" s="15">
        <f t="shared" ca="1" si="0"/>
        <v>46062</v>
      </c>
      <c r="E68" s="15">
        <f t="shared" ca="1" si="1"/>
        <v>45965</v>
      </c>
      <c r="F68" s="14">
        <f ca="1">IFERROR(ROUND(IF(A68="","",IF(E68=0,D68-Date!$B$3,D68-E68)),0),"")</f>
        <v>97</v>
      </c>
      <c r="G68" s="14" t="str">
        <f>_xlfn.IFNA(VLOOKUP(A68,'RTR v2'!A:AW,48,FALSE)," ")</f>
        <v/>
      </c>
      <c r="I68" s="16" t="str">
        <f t="shared" si="2"/>
        <v>N</v>
      </c>
      <c r="J68" s="16" t="str">
        <f t="shared" si="5"/>
        <v>y</v>
      </c>
      <c r="L68" s="17"/>
      <c r="M68" t="str">
        <f t="shared" si="6"/>
        <v xml:space="preserve"> </v>
      </c>
      <c r="N68">
        <f t="shared" si="7"/>
        <v>0</v>
      </c>
      <c r="O68">
        <f>IF(P68&lt;1,0,IF(VLOOKUP($A68,'Actual Dates'!$A:$G,5,0)="Y",1,0))</f>
        <v>0</v>
      </c>
      <c r="P68">
        <f>IF(Q68&lt;1,0,IF(VLOOKUP($A68,'Actual Dates'!$A:$G,4,0)="Y",1,0))</f>
        <v>1</v>
      </c>
      <c r="Q68">
        <f>IF(R68&lt;1,0,IF(VLOOKUP($A68,'Actual Dates'!$A:$G,3,0)="Y",1,0))</f>
        <v>1</v>
      </c>
      <c r="R68">
        <f>IF(VLOOKUP($A68,'Actual Dates'!$A:$G,2,0)="Y",1,0)</f>
        <v>1</v>
      </c>
      <c r="S68" s="4">
        <f ca="1">_xlfn.IFNA(+VLOOKUP(A68,'Date Calcs'!A:AG,8,),TODAY())</f>
        <v>45874</v>
      </c>
      <c r="T68" s="4">
        <f ca="1">_xlfn.IFNA(VLOOKUP(A68,'Date Calcs'!A:AG,10,),TODAY())</f>
        <v>45951</v>
      </c>
      <c r="U68" s="4">
        <f ca="1">_xlfn.IFNA(+VLOOKUP(A68,'Date Calcs'!A:AG,12,),TODAY())</f>
        <v>45967</v>
      </c>
      <c r="V68" s="4">
        <f ca="1">_xlfn.IFNA(+VLOOKUP(A68,'Date Calcs'!A:AG,14,),TODAY())</f>
        <v>46062</v>
      </c>
      <c r="W68" s="4">
        <f ca="1">_xlfn.IFNA(+VLOOKUP(A68,'Date Calcs'!A:AG,16,),TODAY())</f>
        <v>45867</v>
      </c>
      <c r="X68" s="4">
        <f ca="1">_xlfn.IFNA(IF(C68=0,VLOOKUP(A68,'Date Calcs'!A:AG,8,),IF(C68=1,VLOOKUP(A68,'Date Calcs'!A:AG,10,),IF(C68=2,VLOOKUP(A68,'Date Calcs'!A:AG,12,),IF(C68=3,VLOOKUP(A68,'Date Calcs'!A:AG,14,),4)))),TODAY())</f>
        <v>46062</v>
      </c>
      <c r="Y68" s="4">
        <f t="shared" ca="1" si="4"/>
        <v>46062</v>
      </c>
      <c r="Z68" s="4">
        <f ca="1">_xlfn.IFNA(Y68+(VLOOKUP(A68,'Date Calcs'!A:W,22,0)*7),TODAY())</f>
        <v>46062</v>
      </c>
      <c r="AA68" s="4" t="str">
        <f>_xlfn.IFNA(VLOOKUP(A68,'RTR v2'!$A:$AW,46,0),"")</f>
        <v xml:space="preserve"> </v>
      </c>
    </row>
    <row r="69" spans="1:27" ht="23.25" hidden="1" x14ac:dyDescent="0.25">
      <c r="A69" s="12" t="str">
        <f>'Actual Dates'!A67</f>
        <v>25-084</v>
      </c>
      <c r="B69" s="13" t="str">
        <f>_xlfn.IFNA(VLOOKUP(A69,'Date Calcs'!A:B,2,),"")</f>
        <v>Atlas Minerals</v>
      </c>
      <c r="C69" s="14">
        <f>VLOOKUP(A69,'Actual Dates'!A:AE,18,)</f>
        <v>4</v>
      </c>
      <c r="D69" s="15">
        <f t="shared" ca="1" si="0"/>
        <v>45870</v>
      </c>
      <c r="E69" s="15">
        <f t="shared" ca="1" si="1"/>
        <v>45965</v>
      </c>
      <c r="F69" s="14">
        <f ca="1">IFERROR(ROUND(IF(A69="","",IF(E69=0,D69-Date!$B$3,D69-E69)),0),"")</f>
        <v>-95</v>
      </c>
      <c r="G69" s="14" t="str">
        <f>_xlfn.IFNA(VLOOKUP(A69,'RTR v2'!A:AW,48,FALSE)," ")</f>
        <v/>
      </c>
      <c r="I69" s="16" t="str">
        <f t="shared" si="2"/>
        <v>Y</v>
      </c>
      <c r="J69" s="16" t="str">
        <f t="shared" si="5"/>
        <v>y</v>
      </c>
      <c r="L69" s="17"/>
      <c r="M69" t="str">
        <f t="shared" si="6"/>
        <v xml:space="preserve"> </v>
      </c>
      <c r="N69">
        <f t="shared" si="7"/>
        <v>1</v>
      </c>
      <c r="O69">
        <f>IF(P69&lt;1,0,IF(VLOOKUP($A69,'Actual Dates'!$A:$G,5,0)="Y",1,0))</f>
        <v>1</v>
      </c>
      <c r="P69">
        <f>IF(Q69&lt;1,0,IF(VLOOKUP($A69,'Actual Dates'!$A:$G,4,0)="Y",1,0))</f>
        <v>1</v>
      </c>
      <c r="Q69">
        <f>IF(R69&lt;1,0,IF(VLOOKUP($A69,'Actual Dates'!$A:$G,3,0)="Y",1,0))</f>
        <v>1</v>
      </c>
      <c r="R69">
        <f>IF(VLOOKUP($A69,'Actual Dates'!$A:$G,2,0)="Y",1,0)</f>
        <v>1</v>
      </c>
      <c r="S69" s="4">
        <f ca="1">_xlfn.IFNA(+VLOOKUP(A69,'Date Calcs'!A:AG,8,),TODAY())</f>
        <v>45877</v>
      </c>
      <c r="T69" s="4">
        <f ca="1">_xlfn.IFNA(VLOOKUP(A69,'Date Calcs'!A:AG,10,),TODAY())</f>
        <v>45887</v>
      </c>
      <c r="U69" s="4">
        <f ca="1">_xlfn.IFNA(+VLOOKUP(A69,'Date Calcs'!A:AG,12,),TODAY())</f>
        <v>45952</v>
      </c>
      <c r="V69" s="4">
        <f ca="1">_xlfn.IFNA(+VLOOKUP(A69,'Date Calcs'!A:AG,14,),TODAY())</f>
        <v>45961</v>
      </c>
      <c r="W69" s="4">
        <f ca="1">_xlfn.IFNA(+VLOOKUP(A69,'Date Calcs'!A:AG,16,),TODAY())</f>
        <v>45870</v>
      </c>
      <c r="X69" s="4">
        <f ca="1">_xlfn.IFNA(IF(C69=0,VLOOKUP(A69,'Date Calcs'!A:AG,8,),IF(C69=1,VLOOKUP(A69,'Date Calcs'!A:AG,10,),IF(C69=2,VLOOKUP(A69,'Date Calcs'!A:AG,12,),IF(C69=3,VLOOKUP(A69,'Date Calcs'!A:AG,14,),4)))),TODAY())</f>
        <v>4</v>
      </c>
      <c r="Y69" s="4">
        <f t="shared" ca="1" si="4"/>
        <v>45870</v>
      </c>
      <c r="Z69" s="4">
        <f ca="1">_xlfn.IFNA(Y69+(VLOOKUP(A69,'Date Calcs'!A:W,22,0)*7),TODAY())</f>
        <v>45870</v>
      </c>
      <c r="AA69" s="4" t="str">
        <f>_xlfn.IFNA(VLOOKUP(A69,'RTR v2'!$A:$AW,46,0),"")</f>
        <v xml:space="preserve"> </v>
      </c>
    </row>
    <row r="70" spans="1:27" ht="23.25" hidden="1" x14ac:dyDescent="0.25">
      <c r="A70" s="12" t="str">
        <f>'Actual Dates'!A68</f>
        <v>25-085</v>
      </c>
      <c r="B70" s="13" t="str">
        <f>_xlfn.IFNA(VLOOKUP(A70,'Date Calcs'!A:B,2,),"")</f>
        <v>Noah Industrial</v>
      </c>
      <c r="C70" s="14">
        <f>VLOOKUP(A70,'Actual Dates'!A:AE,18,)</f>
        <v>2</v>
      </c>
      <c r="D70" s="15">
        <f t="shared" ref="D70:D133" ca="1" si="8">Z70</f>
        <v>45902</v>
      </c>
      <c r="E70" s="15">
        <f t="shared" ref="E70:E133" ca="1" si="9">IF(VLOOKUP(A70,Dates,20,FALSE())="",TODAY(),VLOOKUP(A70,Dates,20,FALSE()))</f>
        <v>45888</v>
      </c>
      <c r="F70" s="14">
        <f ca="1">IFERROR(ROUND(IF(A70="","",IF(E70=0,D70-Date!$B$3,D70-E70)),0),"")</f>
        <v>14</v>
      </c>
      <c r="G70" s="14">
        <f>_xlfn.IFNA(VLOOKUP(A70,'RTR v2'!A:AW,48,FALSE)," ")</f>
        <v>45999</v>
      </c>
      <c r="I70" s="16" t="str">
        <f t="shared" ref="I70:I133" si="10">IF(VLOOKUP(A70,Dates,2,)="N","N",IF(VLOOKUP(A70,Dates,3,)="N","N",IF(VLOOKUP(A70,Dates,4,)="N","N",IF(VLOOKUP(A70,Dates,5,)="N","N","Y"))))</f>
        <v>Y</v>
      </c>
      <c r="J70" s="16" t="str">
        <f t="shared" si="5"/>
        <v>y</v>
      </c>
      <c r="L70" s="17"/>
      <c r="M70" t="str">
        <f t="shared" si="6"/>
        <v xml:space="preserve"> </v>
      </c>
      <c r="N70">
        <f t="shared" si="7"/>
        <v>1</v>
      </c>
      <c r="O70">
        <f>IF(P70&lt;1,0,IF(VLOOKUP($A70,'Actual Dates'!$A:$G,5,0)="Y",1,0))</f>
        <v>1</v>
      </c>
      <c r="P70">
        <f>IF(Q70&lt;1,0,IF(VLOOKUP($A70,'Actual Dates'!$A:$G,4,0)="Y",1,0))</f>
        <v>1</v>
      </c>
      <c r="Q70">
        <f>IF(R70&lt;1,0,IF(VLOOKUP($A70,'Actual Dates'!$A:$G,3,0)="Y",1,0))</f>
        <v>1</v>
      </c>
      <c r="R70">
        <f>IF(VLOOKUP($A70,'Actual Dates'!$A:$G,2,0)="Y",1,0)</f>
        <v>1</v>
      </c>
      <c r="S70" s="4">
        <f ca="1">_xlfn.IFNA(+VLOOKUP(A70,'Date Calcs'!A:AG,8,),TODAY())</f>
        <v>45881</v>
      </c>
      <c r="T70" s="4">
        <f ca="1">_xlfn.IFNA(VLOOKUP(A70,'Date Calcs'!A:AG,10,),TODAY())</f>
        <v>45890</v>
      </c>
      <c r="U70" s="4">
        <f ca="1">_xlfn.IFNA(+VLOOKUP(A70,'Date Calcs'!A:AG,12,),TODAY())</f>
        <v>45902</v>
      </c>
      <c r="V70" s="4">
        <f ca="1">_xlfn.IFNA(+VLOOKUP(A70,'Date Calcs'!A:AG,14,),TODAY())</f>
        <v>45916</v>
      </c>
      <c r="W70" s="4">
        <f ca="1">_xlfn.IFNA(+VLOOKUP(A70,'Date Calcs'!A:AG,16,),TODAY())</f>
        <v>45874</v>
      </c>
      <c r="X70" s="4">
        <f ca="1">_xlfn.IFNA(IF(C70=0,VLOOKUP(A70,'Date Calcs'!A:AG,8,),IF(C70=1,VLOOKUP(A70,'Date Calcs'!A:AG,10,),IF(C70=2,VLOOKUP(A70,'Date Calcs'!A:AG,12,),IF(C70=3,VLOOKUP(A70,'Date Calcs'!A:AG,14,),4)))),TODAY())</f>
        <v>45902</v>
      </c>
      <c r="Y70" s="4">
        <f t="shared" ref="Y70:Y133" ca="1" si="11">_xlfn.IFNA(IF(X70=4,W70,X70),TODAY())</f>
        <v>45902</v>
      </c>
      <c r="Z70" s="4">
        <f ca="1">_xlfn.IFNA(Y70+(VLOOKUP(A70,'Date Calcs'!A:W,22,0)*7),TODAY())</f>
        <v>45902</v>
      </c>
      <c r="AA70" s="4">
        <f>_xlfn.IFNA(VLOOKUP(A70,'RTR v2'!$A:$AW,46,0),"")</f>
        <v>0</v>
      </c>
    </row>
    <row r="71" spans="1:27" ht="23.25" hidden="1" x14ac:dyDescent="0.25">
      <c r="A71" s="12" t="str">
        <f>'Actual Dates'!A69</f>
        <v>25-086</v>
      </c>
      <c r="B71" s="13" t="str">
        <f>_xlfn.IFNA(VLOOKUP(A71,'Date Calcs'!A:B,2,),"")</f>
        <v>Tellus</v>
      </c>
      <c r="C71" s="14">
        <f>VLOOKUP(A71,'Actual Dates'!A:AE,18,)</f>
        <v>4</v>
      </c>
      <c r="D71" s="15">
        <f t="shared" ca="1" si="8"/>
        <v>45882</v>
      </c>
      <c r="E71" s="15">
        <f t="shared" ca="1" si="9"/>
        <v>46115</v>
      </c>
      <c r="F71" s="14">
        <f ca="1">IFERROR(ROUND(IF(A71="","",IF(E71=0,D71-Date!$B$3,D71-E71)),0),"")</f>
        <v>-233</v>
      </c>
      <c r="G71" s="14">
        <f>_xlfn.IFNA(VLOOKUP(A71,'RTR v2'!A:AW,48,FALSE)," ")</f>
        <v>46022</v>
      </c>
      <c r="I71" s="16" t="str">
        <f t="shared" si="10"/>
        <v>Y</v>
      </c>
      <c r="J71" s="16" t="str">
        <f t="shared" ref="J71:J134" si="12">VLOOKUP(A71,Dates,7,)</f>
        <v xml:space="preserve">  </v>
      </c>
      <c r="L71" s="17"/>
      <c r="M71" t="str">
        <f t="shared" ref="M71:M134" si="13">IF(N71="Y",N71," ")</f>
        <v xml:space="preserve"> </v>
      </c>
      <c r="N71">
        <f t="shared" ref="N71:N134" si="14">IF(R71="Y",R71,IF(Q71="Y",Q71,IF(P71="Y",P71,O71)))</f>
        <v>1</v>
      </c>
      <c r="O71">
        <f>IF(P71&lt;1,0,IF(VLOOKUP($A71,'Actual Dates'!$A:$G,5,0)="Y",1,0))</f>
        <v>1</v>
      </c>
      <c r="P71">
        <f>IF(Q71&lt;1,0,IF(VLOOKUP($A71,'Actual Dates'!$A:$G,4,0)="Y",1,0))</f>
        <v>1</v>
      </c>
      <c r="Q71">
        <f>IF(R71&lt;1,0,IF(VLOOKUP($A71,'Actual Dates'!$A:$G,3,0)="Y",1,0))</f>
        <v>1</v>
      </c>
      <c r="R71">
        <f>IF(VLOOKUP($A71,'Actual Dates'!$A:$G,2,0)="Y",1,0)</f>
        <v>1</v>
      </c>
      <c r="S71" s="4">
        <f ca="1">_xlfn.IFNA(+VLOOKUP(A71,'Date Calcs'!A:AG,8,),TODAY())</f>
        <v>45868</v>
      </c>
      <c r="T71" s="4">
        <f ca="1">_xlfn.IFNA(VLOOKUP(A71,'Date Calcs'!A:AG,10,),TODAY())</f>
        <v>46029</v>
      </c>
      <c r="U71" s="4">
        <f ca="1">_xlfn.IFNA(+VLOOKUP(A71,'Date Calcs'!A:AG,12,),TODAY())</f>
        <v>46029</v>
      </c>
      <c r="V71" s="4">
        <f ca="1">_xlfn.IFNA(+VLOOKUP(A71,'Date Calcs'!A:AG,14,),TODAY())</f>
        <v>46029</v>
      </c>
      <c r="W71" s="4">
        <f ca="1">_xlfn.IFNA(+VLOOKUP(A71,'Date Calcs'!A:AG,16,),TODAY())</f>
        <v>45882</v>
      </c>
      <c r="X71" s="4">
        <f ca="1">_xlfn.IFNA(IF(C71=0,VLOOKUP(A71,'Date Calcs'!A:AG,8,),IF(C71=1,VLOOKUP(A71,'Date Calcs'!A:AG,10,),IF(C71=2,VLOOKUP(A71,'Date Calcs'!A:AG,12,),IF(C71=3,VLOOKUP(A71,'Date Calcs'!A:AG,14,),4)))),TODAY())</f>
        <v>4</v>
      </c>
      <c r="Y71" s="4">
        <f t="shared" ca="1" si="11"/>
        <v>45882</v>
      </c>
      <c r="Z71" s="4">
        <f ca="1">_xlfn.IFNA(Y71+(VLOOKUP(A71,'Date Calcs'!A:W,22,0)*7),TODAY())</f>
        <v>45882</v>
      </c>
      <c r="AA71" s="4">
        <f>_xlfn.IFNA(VLOOKUP(A71,'RTR v2'!$A:$AW,46,0),"")</f>
        <v>0</v>
      </c>
    </row>
    <row r="72" spans="1:27" ht="23.25" hidden="1" x14ac:dyDescent="0.25">
      <c r="A72" s="12" t="str">
        <f>'Actual Dates'!A70</f>
        <v>25-087</v>
      </c>
      <c r="B72" s="13" t="str">
        <f>_xlfn.IFNA(VLOOKUP(A72,'Date Calcs'!A:B,2,),"")</f>
        <v>Solvay</v>
      </c>
      <c r="C72" s="14">
        <f>VLOOKUP(A72,'Actual Dates'!A:AE,18,)</f>
        <v>2</v>
      </c>
      <c r="D72" s="15">
        <f t="shared" ca="1" si="8"/>
        <v>45929</v>
      </c>
      <c r="E72" s="15">
        <f t="shared" ca="1" si="9"/>
        <v>45915</v>
      </c>
      <c r="F72" s="14">
        <f ca="1">IFERROR(ROUND(IF(A72="","",IF(E72=0,D72-Date!$B$3,D72-E72)),0),"")</f>
        <v>14</v>
      </c>
      <c r="G72" s="14">
        <f>_xlfn.IFNA(VLOOKUP(A72,'RTR v2'!A:AW,48,FALSE)," ")</f>
        <v>45952</v>
      </c>
      <c r="I72" s="16" t="str">
        <f t="shared" si="10"/>
        <v>Y</v>
      </c>
      <c r="J72" s="16" t="str">
        <f t="shared" si="12"/>
        <v>y</v>
      </c>
      <c r="L72" s="17"/>
      <c r="M72" t="str">
        <f t="shared" si="13"/>
        <v xml:space="preserve"> </v>
      </c>
      <c r="N72">
        <f t="shared" si="14"/>
        <v>1</v>
      </c>
      <c r="O72">
        <f>IF(P72&lt;1,0,IF(VLOOKUP($A72,'Actual Dates'!$A:$G,5,0)="Y",1,0))</f>
        <v>1</v>
      </c>
      <c r="P72">
        <f>IF(Q72&lt;1,0,IF(VLOOKUP($A72,'Actual Dates'!$A:$G,4,0)="Y",1,0))</f>
        <v>1</v>
      </c>
      <c r="Q72">
        <f>IF(R72&lt;1,0,IF(VLOOKUP($A72,'Actual Dates'!$A:$G,3,0)="Y",1,0))</f>
        <v>1</v>
      </c>
      <c r="R72">
        <f>IF(VLOOKUP($A72,'Actual Dates'!$A:$G,2,0)="Y",1,0)</f>
        <v>1</v>
      </c>
      <c r="S72" s="4">
        <f ca="1">_xlfn.IFNA(+VLOOKUP(A72,'Date Calcs'!A:AG,8,),TODAY())</f>
        <v>45897</v>
      </c>
      <c r="T72" s="4">
        <f ca="1">_xlfn.IFNA(VLOOKUP(A72,'Date Calcs'!A:AG,10,),TODAY())</f>
        <v>45915</v>
      </c>
      <c r="U72" s="4">
        <f ca="1">_xlfn.IFNA(+VLOOKUP(A72,'Date Calcs'!A:AG,12,),TODAY())</f>
        <v>45929</v>
      </c>
      <c r="V72" s="4">
        <f ca="1">_xlfn.IFNA(+VLOOKUP(A72,'Date Calcs'!A:AG,14,),TODAY())</f>
        <v>45943</v>
      </c>
      <c r="W72" s="4">
        <f ca="1">_xlfn.IFNA(+VLOOKUP(A72,'Date Calcs'!A:AG,16,),TODAY())</f>
        <v>45890</v>
      </c>
      <c r="X72" s="4">
        <f ca="1">_xlfn.IFNA(IF(C72=0,VLOOKUP(A72,'Date Calcs'!A:AG,8,),IF(C72=1,VLOOKUP(A72,'Date Calcs'!A:AG,10,),IF(C72=2,VLOOKUP(A72,'Date Calcs'!A:AG,12,),IF(C72=3,VLOOKUP(A72,'Date Calcs'!A:AG,14,),4)))),TODAY())</f>
        <v>45929</v>
      </c>
      <c r="Y72" s="4">
        <f t="shared" ca="1" si="11"/>
        <v>45929</v>
      </c>
      <c r="Z72" s="4">
        <f ca="1">_xlfn.IFNA(Y72+(VLOOKUP(A72,'Date Calcs'!A:W,22,0)*7),TODAY())</f>
        <v>45929</v>
      </c>
      <c r="AA72" s="4">
        <f>_xlfn.IFNA(VLOOKUP(A72,'RTR v2'!$A:$AW,46,0),"")</f>
        <v>0</v>
      </c>
    </row>
    <row r="73" spans="1:27" ht="23.25" hidden="1" x14ac:dyDescent="0.25">
      <c r="A73" s="12" t="str">
        <f>'Actual Dates'!A71</f>
        <v>25-088</v>
      </c>
      <c r="B73" s="13" t="str">
        <f>_xlfn.IFNA(VLOOKUP(A73,'Date Calcs'!A:B,2,),"")</f>
        <v>CIL Isotopes</v>
      </c>
      <c r="C73" s="14">
        <f>VLOOKUP(A73,'Actual Dates'!A:AE,18,)</f>
        <v>2</v>
      </c>
      <c r="D73" s="15">
        <f t="shared" ca="1" si="8"/>
        <v>45929</v>
      </c>
      <c r="E73" s="15">
        <f t="shared" ca="1" si="9"/>
        <v>45915</v>
      </c>
      <c r="F73" s="14">
        <f ca="1">IFERROR(ROUND(IF(A73="","",IF(E73=0,D73-Date!$B$3,D73-E73)),0),"")</f>
        <v>14</v>
      </c>
      <c r="G73" s="14">
        <f>_xlfn.IFNA(VLOOKUP(A73,'RTR v2'!A:AW,48,FALSE)," ")</f>
        <v>45979</v>
      </c>
      <c r="I73" s="16" t="str">
        <f t="shared" si="10"/>
        <v>Y</v>
      </c>
      <c r="J73" s="16" t="str">
        <f t="shared" si="12"/>
        <v>y</v>
      </c>
      <c r="L73" s="17"/>
      <c r="M73" t="str">
        <f t="shared" si="13"/>
        <v xml:space="preserve"> </v>
      </c>
      <c r="N73">
        <f t="shared" si="14"/>
        <v>1</v>
      </c>
      <c r="O73">
        <f>IF(P73&lt;1,0,IF(VLOOKUP($A73,'Actual Dates'!$A:$G,5,0)="Y",1,0))</f>
        <v>1</v>
      </c>
      <c r="P73">
        <f>IF(Q73&lt;1,0,IF(VLOOKUP($A73,'Actual Dates'!$A:$G,4,0)="Y",1,0))</f>
        <v>1</v>
      </c>
      <c r="Q73">
        <f>IF(R73&lt;1,0,IF(VLOOKUP($A73,'Actual Dates'!$A:$G,3,0)="Y",1,0))</f>
        <v>1</v>
      </c>
      <c r="R73">
        <f>IF(VLOOKUP($A73,'Actual Dates'!$A:$G,2,0)="Y",1,0)</f>
        <v>1</v>
      </c>
      <c r="S73" s="4">
        <f ca="1">_xlfn.IFNA(+VLOOKUP(A73,'Date Calcs'!A:AG,8,),TODAY())</f>
        <v>45903</v>
      </c>
      <c r="T73" s="4">
        <f ca="1">_xlfn.IFNA(VLOOKUP(A73,'Date Calcs'!A:AG,10,),TODAY())</f>
        <v>45916</v>
      </c>
      <c r="U73" s="4">
        <f ca="1">_xlfn.IFNA(+VLOOKUP(A73,'Date Calcs'!A:AG,12,),TODAY())</f>
        <v>45929</v>
      </c>
      <c r="V73" s="4">
        <f ca="1">_xlfn.IFNA(+VLOOKUP(A73,'Date Calcs'!A:AG,14,),TODAY())</f>
        <v>45943</v>
      </c>
      <c r="W73" s="4">
        <f ca="1">_xlfn.IFNA(+VLOOKUP(A73,'Date Calcs'!A:AG,16,),TODAY())</f>
        <v>45896</v>
      </c>
      <c r="X73" s="4">
        <f ca="1">_xlfn.IFNA(IF(C73=0,VLOOKUP(A73,'Date Calcs'!A:AG,8,),IF(C73=1,VLOOKUP(A73,'Date Calcs'!A:AG,10,),IF(C73=2,VLOOKUP(A73,'Date Calcs'!A:AG,12,),IF(C73=3,VLOOKUP(A73,'Date Calcs'!A:AG,14,),4)))),TODAY())</f>
        <v>45929</v>
      </c>
      <c r="Y73" s="4">
        <f t="shared" ca="1" si="11"/>
        <v>45929</v>
      </c>
      <c r="Z73" s="4">
        <f ca="1">_xlfn.IFNA(Y73+(VLOOKUP(A73,'Date Calcs'!A:W,22,0)*7),TODAY())</f>
        <v>45929</v>
      </c>
      <c r="AA73" s="4">
        <f>_xlfn.IFNA(VLOOKUP(A73,'RTR v2'!$A:$AW,46,0),"")</f>
        <v>0</v>
      </c>
    </row>
    <row r="74" spans="1:27" ht="23.25" hidden="1" x14ac:dyDescent="0.25">
      <c r="A74" s="12" t="str">
        <f>'Actual Dates'!A72</f>
        <v>25-089</v>
      </c>
      <c r="B74" s="13" t="str">
        <f>_xlfn.IFNA(VLOOKUP(A74,'Date Calcs'!A:B,2,),"")</f>
        <v>Valmet</v>
      </c>
      <c r="C74" s="14">
        <f>VLOOKUP(A74,'Actual Dates'!A:AE,18,)</f>
        <v>2</v>
      </c>
      <c r="D74" s="15">
        <f t="shared" ca="1" si="8"/>
        <v>46009</v>
      </c>
      <c r="E74" s="15">
        <f t="shared" ca="1" si="9"/>
        <v>45995</v>
      </c>
      <c r="F74" s="14">
        <f ca="1">IFERROR(ROUND(IF(A74="","",IF(E74=0,D74-Date!$B$3,D74-E74)),0),"")</f>
        <v>14</v>
      </c>
      <c r="G74" s="14">
        <f>_xlfn.IFNA(VLOOKUP(A74,'RTR v2'!A:AW,48,FALSE)," ")</f>
        <v>46090</v>
      </c>
      <c r="I74" s="16" t="str">
        <f t="shared" si="10"/>
        <v>Y</v>
      </c>
      <c r="J74" s="16" t="str">
        <f t="shared" si="12"/>
        <v>y</v>
      </c>
      <c r="L74" s="17"/>
      <c r="M74" t="str">
        <f t="shared" si="13"/>
        <v xml:space="preserve"> </v>
      </c>
      <c r="N74">
        <f t="shared" si="14"/>
        <v>1</v>
      </c>
      <c r="O74">
        <f>IF(P74&lt;1,0,IF(VLOOKUP($A74,'Actual Dates'!$A:$G,5,0)="Y",1,0))</f>
        <v>1</v>
      </c>
      <c r="P74">
        <f>IF(Q74&lt;1,0,IF(VLOOKUP($A74,'Actual Dates'!$A:$G,4,0)="Y",1,0))</f>
        <v>1</v>
      </c>
      <c r="Q74">
        <f>IF(R74&lt;1,0,IF(VLOOKUP($A74,'Actual Dates'!$A:$G,3,0)="Y",1,0))</f>
        <v>1</v>
      </c>
      <c r="R74">
        <f>IF(VLOOKUP($A74,'Actual Dates'!$A:$G,2,0)="Y",1,0)</f>
        <v>1</v>
      </c>
      <c r="S74" s="4">
        <f ca="1">_xlfn.IFNA(+VLOOKUP(A74,'Date Calcs'!A:AG,8,),TODAY())</f>
        <v>45922.5</v>
      </c>
      <c r="T74" s="4">
        <f ca="1">_xlfn.IFNA(VLOOKUP(A74,'Date Calcs'!A:AG,10,),TODAY())</f>
        <v>45989</v>
      </c>
      <c r="U74" s="4">
        <f ca="1">_xlfn.IFNA(+VLOOKUP(A74,'Date Calcs'!A:AG,12,),TODAY())</f>
        <v>46009</v>
      </c>
      <c r="V74" s="4">
        <f ca="1">_xlfn.IFNA(+VLOOKUP(A74,'Date Calcs'!A:AG,14,),TODAY())</f>
        <v>46023</v>
      </c>
      <c r="W74" s="4">
        <f ca="1">_xlfn.IFNA(+VLOOKUP(A74,'Date Calcs'!A:AG,16,),TODAY())</f>
        <v>45905</v>
      </c>
      <c r="X74" s="4">
        <f ca="1">_xlfn.IFNA(IF(C74=0,VLOOKUP(A74,'Date Calcs'!A:AG,8,),IF(C74=1,VLOOKUP(A74,'Date Calcs'!A:AG,10,),IF(C74=2,VLOOKUP(A74,'Date Calcs'!A:AG,12,),IF(C74=3,VLOOKUP(A74,'Date Calcs'!A:AG,14,),4)))),TODAY())</f>
        <v>46009</v>
      </c>
      <c r="Y74" s="4">
        <f t="shared" ca="1" si="11"/>
        <v>46009</v>
      </c>
      <c r="Z74" s="4">
        <f ca="1">_xlfn.IFNA(Y74+(VLOOKUP(A74,'Date Calcs'!A:W,22,0)*7),TODAY())</f>
        <v>46009</v>
      </c>
      <c r="AA74" s="4">
        <f>_xlfn.IFNA(VLOOKUP(A74,'RTR v2'!$A:$AW,46,0),"")</f>
        <v>0</v>
      </c>
    </row>
    <row r="75" spans="1:27" ht="23.25" hidden="1" x14ac:dyDescent="0.25">
      <c r="A75" s="12" t="str">
        <f>'Actual Dates'!A73</f>
        <v>25-090</v>
      </c>
      <c r="B75" s="13" t="str">
        <f>_xlfn.IFNA(VLOOKUP(A75,'Date Calcs'!A:B,2,),"")</f>
        <v>GAF</v>
      </c>
      <c r="C75" s="14">
        <f>VLOOKUP(A75,'Actual Dates'!A:AE,18,)</f>
        <v>1</v>
      </c>
      <c r="D75" s="15">
        <f t="shared" ca="1" si="8"/>
        <v>45912</v>
      </c>
      <c r="E75" s="15">
        <f t="shared" ca="1" si="9"/>
        <v>45891</v>
      </c>
      <c r="F75" s="14">
        <f ca="1">IFERROR(ROUND(IF(A75="","",IF(E75=0,D75-Date!$B$3,D75-E75)),0),"")</f>
        <v>21</v>
      </c>
      <c r="G75" s="14">
        <f>_xlfn.IFNA(VLOOKUP(A75,'RTR v2'!A:AW,48,FALSE)," ")</f>
        <v>45912</v>
      </c>
      <c r="I75" s="16" t="str">
        <f t="shared" si="10"/>
        <v>Y</v>
      </c>
      <c r="J75" s="16" t="str">
        <f t="shared" si="12"/>
        <v>y</v>
      </c>
      <c r="L75" s="17"/>
      <c r="M75" t="str">
        <f t="shared" si="13"/>
        <v xml:space="preserve"> </v>
      </c>
      <c r="N75">
        <f t="shared" si="14"/>
        <v>1</v>
      </c>
      <c r="O75">
        <f>IF(P75&lt;1,0,IF(VLOOKUP($A75,'Actual Dates'!$A:$G,5,0)="Y",1,0))</f>
        <v>1</v>
      </c>
      <c r="P75">
        <f>IF(Q75&lt;1,0,IF(VLOOKUP($A75,'Actual Dates'!$A:$G,4,0)="Y",1,0))</f>
        <v>1</v>
      </c>
      <c r="Q75">
        <f>IF(R75&lt;1,0,IF(VLOOKUP($A75,'Actual Dates'!$A:$G,3,0)="Y",1,0))</f>
        <v>1</v>
      </c>
      <c r="R75">
        <f>IF(VLOOKUP($A75,'Actual Dates'!$A:$G,2,0)="Y",1,0)</f>
        <v>1</v>
      </c>
      <c r="S75" s="4">
        <f ca="1">_xlfn.IFNA(+VLOOKUP(A75,'Date Calcs'!A:AG,8,),TODAY())</f>
        <v>45894</v>
      </c>
      <c r="T75" s="4">
        <f ca="1">_xlfn.IFNA(VLOOKUP(A75,'Date Calcs'!A:AG,10,),TODAY())</f>
        <v>45912</v>
      </c>
      <c r="U75" s="4">
        <f ca="1">_xlfn.IFNA(+VLOOKUP(A75,'Date Calcs'!A:AG,12,),TODAY())</f>
        <v>45926</v>
      </c>
      <c r="V75" s="4">
        <f ca="1">_xlfn.IFNA(+VLOOKUP(A75,'Date Calcs'!A:AG,14,),TODAY())</f>
        <v>45940</v>
      </c>
      <c r="W75" s="4">
        <f ca="1">_xlfn.IFNA(+VLOOKUP(A75,'Date Calcs'!A:AG,16,),TODAY())</f>
        <v>45901</v>
      </c>
      <c r="X75" s="4">
        <f ca="1">_xlfn.IFNA(IF(C75=0,VLOOKUP(A75,'Date Calcs'!A:AG,8,),IF(C75=1,VLOOKUP(A75,'Date Calcs'!A:AG,10,),IF(C75=2,VLOOKUP(A75,'Date Calcs'!A:AG,12,),IF(C75=3,VLOOKUP(A75,'Date Calcs'!A:AG,14,),4)))),TODAY())</f>
        <v>45912</v>
      </c>
      <c r="Y75" s="4">
        <f t="shared" ca="1" si="11"/>
        <v>45912</v>
      </c>
      <c r="Z75" s="4">
        <f ca="1">_xlfn.IFNA(Y75+(VLOOKUP(A75,'Date Calcs'!A:W,22,0)*7),TODAY())</f>
        <v>45912</v>
      </c>
      <c r="AA75" s="4">
        <f>_xlfn.IFNA(VLOOKUP(A75,'RTR v2'!$A:$AW,46,0),"")</f>
        <v>0</v>
      </c>
    </row>
    <row r="76" spans="1:27" ht="23.25" hidden="1" x14ac:dyDescent="0.25">
      <c r="A76" s="12" t="str">
        <f>'Actual Dates'!A74</f>
        <v>25-091</v>
      </c>
      <c r="B76" s="13" t="str">
        <f>_xlfn.IFNA(VLOOKUP(A76,'Date Calcs'!A:B,2,),"")</f>
        <v>US Sugar</v>
      </c>
      <c r="C76" s="14">
        <f>VLOOKUP(A76,'Actual Dates'!A:AE,18,)</f>
        <v>4</v>
      </c>
      <c r="D76" s="15">
        <f t="shared" ca="1" si="8"/>
        <v>45918</v>
      </c>
      <c r="E76" s="15">
        <f t="shared" ca="1" si="9"/>
        <v>46115</v>
      </c>
      <c r="F76" s="14">
        <f ca="1">IFERROR(ROUND(IF(A76="","",IF(E76=0,D76-Date!$B$3,D76-E76)),0),"")</f>
        <v>-197</v>
      </c>
      <c r="G76" s="14">
        <f>_xlfn.IFNA(VLOOKUP(A76,'RTR v2'!A:AW,48,FALSE)," ")</f>
        <v>46022</v>
      </c>
      <c r="I76" s="16" t="str">
        <f t="shared" si="10"/>
        <v>Y</v>
      </c>
      <c r="J76" s="16" t="str">
        <f t="shared" si="12"/>
        <v xml:space="preserve">  </v>
      </c>
      <c r="L76" s="17"/>
      <c r="M76" t="str">
        <f t="shared" si="13"/>
        <v xml:space="preserve"> </v>
      </c>
      <c r="N76">
        <f t="shared" si="14"/>
        <v>1</v>
      </c>
      <c r="O76">
        <f>IF(P76&lt;1,0,IF(VLOOKUP($A76,'Actual Dates'!$A:$G,5,0)="Y",1,0))</f>
        <v>1</v>
      </c>
      <c r="P76">
        <f>IF(Q76&lt;1,0,IF(VLOOKUP($A76,'Actual Dates'!$A:$G,4,0)="Y",1,0))</f>
        <v>1</v>
      </c>
      <c r="Q76">
        <f>IF(R76&lt;1,0,IF(VLOOKUP($A76,'Actual Dates'!$A:$G,3,0)="Y",1,0))</f>
        <v>1</v>
      </c>
      <c r="R76">
        <f>IF(VLOOKUP($A76,'Actual Dates'!$A:$G,2,0)="Y",1,0)</f>
        <v>1</v>
      </c>
      <c r="S76" s="4">
        <f ca="1">_xlfn.IFNA(+VLOOKUP(A76,'Date Calcs'!A:AG,8,),TODAY())</f>
        <v>45911</v>
      </c>
      <c r="T76" s="4">
        <f ca="1">_xlfn.IFNA(VLOOKUP(A76,'Date Calcs'!A:AG,10,),TODAY())</f>
        <v>46029</v>
      </c>
      <c r="U76" s="4">
        <f ca="1">_xlfn.IFNA(+VLOOKUP(A76,'Date Calcs'!A:AG,12,),TODAY())</f>
        <v>46029</v>
      </c>
      <c r="V76" s="4">
        <f ca="1">_xlfn.IFNA(+VLOOKUP(A76,'Date Calcs'!A:AG,14,),TODAY())</f>
        <v>46029</v>
      </c>
      <c r="W76" s="4">
        <f ca="1">_xlfn.IFNA(+VLOOKUP(A76,'Date Calcs'!A:AG,16,),TODAY())</f>
        <v>45918</v>
      </c>
      <c r="X76" s="4">
        <f ca="1">_xlfn.IFNA(IF(C76=0,VLOOKUP(A76,'Date Calcs'!A:AG,8,),IF(C76=1,VLOOKUP(A76,'Date Calcs'!A:AG,10,),IF(C76=2,VLOOKUP(A76,'Date Calcs'!A:AG,12,),IF(C76=3,VLOOKUP(A76,'Date Calcs'!A:AG,14,),4)))),TODAY())</f>
        <v>4</v>
      </c>
      <c r="Y76" s="4">
        <f t="shared" ca="1" si="11"/>
        <v>45918</v>
      </c>
      <c r="Z76" s="4">
        <f ca="1">_xlfn.IFNA(Y76+(VLOOKUP(A76,'Date Calcs'!A:W,22,0)*7),TODAY())</f>
        <v>45918</v>
      </c>
      <c r="AA76" s="4">
        <f>_xlfn.IFNA(VLOOKUP(A76,'RTR v2'!$A:$AW,46,0),"")</f>
        <v>0</v>
      </c>
    </row>
    <row r="77" spans="1:27" ht="23.25" hidden="1" x14ac:dyDescent="0.25">
      <c r="A77" s="12" t="str">
        <f>'Actual Dates'!A75</f>
        <v>25-092</v>
      </c>
      <c r="B77" s="13" t="str">
        <f>_xlfn.IFNA(VLOOKUP(A77,'Date Calcs'!A:B,2,),"")</f>
        <v>Symrise</v>
      </c>
      <c r="C77" s="14">
        <f>VLOOKUP(A77,'Actual Dates'!A:AE,18,)</f>
        <v>3</v>
      </c>
      <c r="D77" s="15">
        <f t="shared" ca="1" si="8"/>
        <v>45971</v>
      </c>
      <c r="E77" s="15">
        <f t="shared" ca="1" si="9"/>
        <v>45957</v>
      </c>
      <c r="F77" s="14">
        <f ca="1">IFERROR(ROUND(IF(A77="","",IF(E77=0,D77-Date!$B$3,D77-E77)),0),"")</f>
        <v>14</v>
      </c>
      <c r="G77" s="14" t="str">
        <f>_xlfn.IFNA(VLOOKUP(A77,'RTR v2'!A:AW,48,FALSE)," ")</f>
        <v/>
      </c>
      <c r="I77" s="16" t="str">
        <f t="shared" si="10"/>
        <v>Y</v>
      </c>
      <c r="J77" s="16" t="str">
        <f t="shared" si="12"/>
        <v>y</v>
      </c>
      <c r="L77" s="17"/>
      <c r="M77" t="str">
        <f t="shared" si="13"/>
        <v xml:space="preserve"> </v>
      </c>
      <c r="N77">
        <f t="shared" si="14"/>
        <v>1</v>
      </c>
      <c r="O77">
        <f>IF(P77&lt;1,0,IF(VLOOKUP($A77,'Actual Dates'!$A:$G,5,0)="Y",1,0))</f>
        <v>1</v>
      </c>
      <c r="P77">
        <f>IF(Q77&lt;1,0,IF(VLOOKUP($A77,'Actual Dates'!$A:$G,4,0)="Y",1,0))</f>
        <v>1</v>
      </c>
      <c r="Q77">
        <f>IF(R77&lt;1,0,IF(VLOOKUP($A77,'Actual Dates'!$A:$G,3,0)="Y",1,0))</f>
        <v>1</v>
      </c>
      <c r="R77">
        <f>IF(VLOOKUP($A77,'Actual Dates'!$A:$G,2,0)="Y",1,0)</f>
        <v>1</v>
      </c>
      <c r="S77" s="4">
        <f ca="1">_xlfn.IFNA(+VLOOKUP(A77,'Date Calcs'!A:AG,8,),TODAY())</f>
        <v>45938</v>
      </c>
      <c r="T77" s="4">
        <f ca="1">_xlfn.IFNA(VLOOKUP(A77,'Date Calcs'!A:AG,10,),TODAY())</f>
        <v>45944</v>
      </c>
      <c r="U77" s="4">
        <f ca="1">_xlfn.IFNA(+VLOOKUP(A77,'Date Calcs'!A:AG,12,),TODAY())</f>
        <v>45960</v>
      </c>
      <c r="V77" s="4">
        <f ca="1">_xlfn.IFNA(+VLOOKUP(A77,'Date Calcs'!A:AG,14,),TODAY())</f>
        <v>45971</v>
      </c>
      <c r="W77" s="4">
        <f ca="1">_xlfn.IFNA(+VLOOKUP(A77,'Date Calcs'!A:AG,16,),TODAY())</f>
        <v>45924</v>
      </c>
      <c r="X77" s="4">
        <f ca="1">_xlfn.IFNA(IF(C77=0,VLOOKUP(A77,'Date Calcs'!A:AG,8,),IF(C77=1,VLOOKUP(A77,'Date Calcs'!A:AG,10,),IF(C77=2,VLOOKUP(A77,'Date Calcs'!A:AG,12,),IF(C77=3,VLOOKUP(A77,'Date Calcs'!A:AG,14,),4)))),TODAY())</f>
        <v>45971</v>
      </c>
      <c r="Y77" s="4">
        <f t="shared" ca="1" si="11"/>
        <v>45971</v>
      </c>
      <c r="Z77" s="4">
        <f ca="1">_xlfn.IFNA(Y77+(VLOOKUP(A77,'Date Calcs'!A:W,22,0)*7),TODAY())</f>
        <v>45971</v>
      </c>
      <c r="AA77" s="4" t="str">
        <f>_xlfn.IFNA(VLOOKUP(A77,'RTR v2'!$A:$AW,46,0),"")</f>
        <v xml:space="preserve"> </v>
      </c>
    </row>
    <row r="78" spans="1:27" ht="23.25" hidden="1" x14ac:dyDescent="0.25">
      <c r="A78" s="12" t="str">
        <f>'Actual Dates'!A76</f>
        <v>25-093</v>
      </c>
      <c r="B78" s="13" t="str">
        <f>_xlfn.IFNA(VLOOKUP(A78,'Date Calcs'!A:B,2,),"")</f>
        <v>Symrise</v>
      </c>
      <c r="C78" s="14">
        <f>VLOOKUP(A78,'Actual Dates'!A:AE,18,)</f>
        <v>3</v>
      </c>
      <c r="D78" s="15">
        <f t="shared" ca="1" si="8"/>
        <v>45971</v>
      </c>
      <c r="E78" s="15">
        <f t="shared" ca="1" si="9"/>
        <v>45957</v>
      </c>
      <c r="F78" s="14">
        <f ca="1">IFERROR(ROUND(IF(A78="","",IF(E78=0,D78-Date!$B$3,D78-E78)),0),"")</f>
        <v>14</v>
      </c>
      <c r="G78" s="14" t="str">
        <f>_xlfn.IFNA(VLOOKUP(A78,'RTR v2'!A:AW,48,FALSE)," ")</f>
        <v/>
      </c>
      <c r="I78" s="16" t="str">
        <f t="shared" si="10"/>
        <v>Y</v>
      </c>
      <c r="J78" s="16" t="str">
        <f t="shared" si="12"/>
        <v>y</v>
      </c>
      <c r="L78" s="17"/>
      <c r="M78" t="str">
        <f t="shared" si="13"/>
        <v xml:space="preserve"> </v>
      </c>
      <c r="N78">
        <f t="shared" si="14"/>
        <v>1</v>
      </c>
      <c r="O78">
        <f>IF(P78&lt;1,0,IF(VLOOKUP($A78,'Actual Dates'!$A:$G,5,0)="Y",1,0))</f>
        <v>1</v>
      </c>
      <c r="P78">
        <f>IF(Q78&lt;1,0,IF(VLOOKUP($A78,'Actual Dates'!$A:$G,4,0)="Y",1,0))</f>
        <v>1</v>
      </c>
      <c r="Q78">
        <f>IF(R78&lt;1,0,IF(VLOOKUP($A78,'Actual Dates'!$A:$G,3,0)="Y",1,0))</f>
        <v>1</v>
      </c>
      <c r="R78">
        <f>IF(VLOOKUP($A78,'Actual Dates'!$A:$G,2,0)="Y",1,0)</f>
        <v>1</v>
      </c>
      <c r="S78" s="4">
        <f ca="1">_xlfn.IFNA(+VLOOKUP(A78,'Date Calcs'!A:AG,8,),TODAY())</f>
        <v>45938</v>
      </c>
      <c r="T78" s="4">
        <f ca="1">_xlfn.IFNA(VLOOKUP(A78,'Date Calcs'!A:AG,10,),TODAY())</f>
        <v>45944</v>
      </c>
      <c r="U78" s="4">
        <f ca="1">_xlfn.IFNA(+VLOOKUP(A78,'Date Calcs'!A:AG,12,),TODAY())</f>
        <v>45960</v>
      </c>
      <c r="V78" s="4">
        <f ca="1">_xlfn.IFNA(+VLOOKUP(A78,'Date Calcs'!A:AG,14,),TODAY())</f>
        <v>45971</v>
      </c>
      <c r="W78" s="4">
        <f ca="1">_xlfn.IFNA(+VLOOKUP(A78,'Date Calcs'!A:AG,16,),TODAY())</f>
        <v>45924</v>
      </c>
      <c r="X78" s="4">
        <f ca="1">_xlfn.IFNA(IF(C78=0,VLOOKUP(A78,'Date Calcs'!A:AG,8,),IF(C78=1,VLOOKUP(A78,'Date Calcs'!A:AG,10,),IF(C78=2,VLOOKUP(A78,'Date Calcs'!A:AG,12,),IF(C78=3,VLOOKUP(A78,'Date Calcs'!A:AG,14,),4)))),TODAY())</f>
        <v>45971</v>
      </c>
      <c r="Y78" s="4">
        <f t="shared" ca="1" si="11"/>
        <v>45971</v>
      </c>
      <c r="Z78" s="4">
        <f ca="1">_xlfn.IFNA(Y78+(VLOOKUP(A78,'Date Calcs'!A:W,22,0)*7),TODAY())</f>
        <v>45971</v>
      </c>
      <c r="AA78" s="4" t="str">
        <f>_xlfn.IFNA(VLOOKUP(A78,'RTR v2'!$A:$AW,46,0),"")</f>
        <v xml:space="preserve"> </v>
      </c>
    </row>
    <row r="79" spans="1:27" ht="23.25" hidden="1" x14ac:dyDescent="0.25">
      <c r="A79" s="12" t="str">
        <f>'Actual Dates'!A77</f>
        <v>25-094</v>
      </c>
      <c r="B79" s="13" t="str">
        <f>_xlfn.IFNA(VLOOKUP(A79,'Date Calcs'!A:B,2,),"")</f>
        <v>Kimberly Clark</v>
      </c>
      <c r="C79" s="14">
        <f>VLOOKUP(A79,'Actual Dates'!A:AE,18,)</f>
        <v>2</v>
      </c>
      <c r="D79" s="15">
        <f t="shared" ca="1" si="8"/>
        <v>45993</v>
      </c>
      <c r="E79" s="15">
        <f t="shared" ca="1" si="9"/>
        <v>45979</v>
      </c>
      <c r="F79" s="14">
        <f ca="1">IFERROR(ROUND(IF(A79="","",IF(E79=0,D79-Date!$B$3,D79-E79)),0),"")</f>
        <v>14</v>
      </c>
      <c r="G79" s="14">
        <f>_xlfn.IFNA(VLOOKUP(A79,'RTR v2'!A:AW,48,FALSE)," ")</f>
        <v>45678</v>
      </c>
      <c r="I79" s="16" t="str">
        <f t="shared" si="10"/>
        <v>Y</v>
      </c>
      <c r="J79" s="16" t="str">
        <f t="shared" si="12"/>
        <v>y</v>
      </c>
      <c r="L79" s="17"/>
      <c r="M79" t="str">
        <f t="shared" si="13"/>
        <v xml:space="preserve"> </v>
      </c>
      <c r="N79">
        <f t="shared" si="14"/>
        <v>1</v>
      </c>
      <c r="O79">
        <f>IF(P79&lt;1,0,IF(VLOOKUP($A79,'Actual Dates'!$A:$G,5,0)="Y",1,0))</f>
        <v>1</v>
      </c>
      <c r="P79">
        <f>IF(Q79&lt;1,0,IF(VLOOKUP($A79,'Actual Dates'!$A:$G,4,0)="Y",1,0))</f>
        <v>1</v>
      </c>
      <c r="Q79">
        <f>IF(R79&lt;1,0,IF(VLOOKUP($A79,'Actual Dates'!$A:$G,3,0)="Y",1,0))</f>
        <v>1</v>
      </c>
      <c r="R79">
        <f>IF(VLOOKUP($A79,'Actual Dates'!$A:$G,2,0)="Y",1,0)</f>
        <v>1</v>
      </c>
      <c r="S79" s="4">
        <f ca="1">_xlfn.IFNA(+VLOOKUP(A79,'Date Calcs'!A:AG,8,),TODAY())</f>
        <v>45936</v>
      </c>
      <c r="T79" s="4">
        <f ca="1">_xlfn.IFNA(VLOOKUP(A79,'Date Calcs'!A:AG,10,),TODAY())</f>
        <v>45957</v>
      </c>
      <c r="U79" s="4">
        <f ca="1">_xlfn.IFNA(+VLOOKUP(A79,'Date Calcs'!A:AG,12,),TODAY())</f>
        <v>45993</v>
      </c>
      <c r="V79" s="4">
        <f ca="1">_xlfn.IFNA(+VLOOKUP(A79,'Date Calcs'!A:AG,14,),TODAY())</f>
        <v>46007</v>
      </c>
      <c r="W79" s="4">
        <f ca="1">_xlfn.IFNA(+VLOOKUP(A79,'Date Calcs'!A:AG,16,),TODAY())</f>
        <v>45929</v>
      </c>
      <c r="X79" s="4">
        <f ca="1">_xlfn.IFNA(IF(C79=0,VLOOKUP(A79,'Date Calcs'!A:AG,8,),IF(C79=1,VLOOKUP(A79,'Date Calcs'!A:AG,10,),IF(C79=2,VLOOKUP(A79,'Date Calcs'!A:AG,12,),IF(C79=3,VLOOKUP(A79,'Date Calcs'!A:AG,14,),4)))),TODAY())</f>
        <v>45993</v>
      </c>
      <c r="Y79" s="4">
        <f t="shared" ca="1" si="11"/>
        <v>45993</v>
      </c>
      <c r="Z79" s="4">
        <f ca="1">_xlfn.IFNA(Y79+(VLOOKUP(A79,'Date Calcs'!A:W,22,0)*7),TODAY())</f>
        <v>45993</v>
      </c>
      <c r="AA79" s="4">
        <f>_xlfn.IFNA(VLOOKUP(A79,'RTR v2'!$A:$AW,46,0),"")</f>
        <v>0</v>
      </c>
    </row>
    <row r="80" spans="1:27" ht="23.25" hidden="1" x14ac:dyDescent="0.25">
      <c r="A80" s="12" t="str">
        <f>'Actual Dates'!A78</f>
        <v>25-095</v>
      </c>
      <c r="B80" s="13" t="str">
        <f>_xlfn.IFNA(VLOOKUP(A80,'Date Calcs'!A:B,2,),"")</f>
        <v>Andritz</v>
      </c>
      <c r="C80" s="14">
        <f>VLOOKUP(A80,'Actual Dates'!A:AE,18,)</f>
        <v>4</v>
      </c>
      <c r="D80" s="15">
        <f t="shared" ca="1" si="8"/>
        <v>45933</v>
      </c>
      <c r="E80" s="15">
        <f t="shared" ca="1" si="9"/>
        <v>46115</v>
      </c>
      <c r="F80" s="14">
        <f ca="1">IFERROR(ROUND(IF(A80="","",IF(E80=0,D80-Date!$B$3,D80-E80)),0),"")</f>
        <v>-182</v>
      </c>
      <c r="G80" s="14">
        <f>_xlfn.IFNA(VLOOKUP(A80,'RTR v2'!A:AW,48,FALSE)," ")</f>
        <v>46022</v>
      </c>
      <c r="I80" s="16" t="str">
        <f t="shared" si="10"/>
        <v>Y</v>
      </c>
      <c r="J80" s="16" t="str">
        <f t="shared" si="12"/>
        <v xml:space="preserve">  </v>
      </c>
      <c r="L80" s="17"/>
      <c r="M80" t="str">
        <f t="shared" si="13"/>
        <v xml:space="preserve"> </v>
      </c>
      <c r="N80">
        <f t="shared" si="14"/>
        <v>1</v>
      </c>
      <c r="O80">
        <f>IF(P80&lt;1,0,IF(VLOOKUP($A80,'Actual Dates'!$A:$G,5,0)="Y",1,0))</f>
        <v>1</v>
      </c>
      <c r="P80">
        <f>IF(Q80&lt;1,0,IF(VLOOKUP($A80,'Actual Dates'!$A:$G,4,0)="Y",1,0))</f>
        <v>1</v>
      </c>
      <c r="Q80">
        <f>IF(R80&lt;1,0,IF(VLOOKUP($A80,'Actual Dates'!$A:$G,3,0)="Y",1,0))</f>
        <v>1</v>
      </c>
      <c r="R80">
        <f>IF(VLOOKUP($A80,'Actual Dates'!$A:$G,2,0)="Y",1,0)</f>
        <v>1</v>
      </c>
      <c r="S80" s="4">
        <f ca="1">_xlfn.IFNA(+VLOOKUP(A80,'Date Calcs'!A:AG,8,),TODAY())</f>
        <v>45947</v>
      </c>
      <c r="T80" s="4">
        <f ca="1">_xlfn.IFNA(VLOOKUP(A80,'Date Calcs'!A:AG,10,),TODAY())</f>
        <v>45980</v>
      </c>
      <c r="U80" s="4">
        <f ca="1">_xlfn.IFNA(+VLOOKUP(A80,'Date Calcs'!A:AG,12,),TODAY())</f>
        <v>46062</v>
      </c>
      <c r="V80" s="4">
        <f ca="1">_xlfn.IFNA(+VLOOKUP(A80,'Date Calcs'!A:AG,14,),TODAY())</f>
        <v>46115</v>
      </c>
      <c r="W80" s="4">
        <f ca="1">_xlfn.IFNA(+VLOOKUP(A80,'Date Calcs'!A:AG,16,),TODAY())</f>
        <v>45933</v>
      </c>
      <c r="X80" s="4">
        <f ca="1">_xlfn.IFNA(IF(C80=0,VLOOKUP(A80,'Date Calcs'!A:AG,8,),IF(C80=1,VLOOKUP(A80,'Date Calcs'!A:AG,10,),IF(C80=2,VLOOKUP(A80,'Date Calcs'!A:AG,12,),IF(C80=3,VLOOKUP(A80,'Date Calcs'!A:AG,14,),4)))),TODAY())</f>
        <v>4</v>
      </c>
      <c r="Y80" s="4">
        <f t="shared" ca="1" si="11"/>
        <v>45933</v>
      </c>
      <c r="Z80" s="4">
        <f ca="1">_xlfn.IFNA(Y80+(VLOOKUP(A80,'Date Calcs'!A:W,22,0)*7),TODAY())</f>
        <v>45933</v>
      </c>
      <c r="AA80" s="4">
        <f>_xlfn.IFNA(VLOOKUP(A80,'RTR v2'!$A:$AW,46,0),"")</f>
        <v>0</v>
      </c>
    </row>
    <row r="81" spans="1:27" ht="23.25" hidden="1" x14ac:dyDescent="0.25">
      <c r="A81" s="12" t="str">
        <f>'Actual Dates'!A79</f>
        <v>25-096</v>
      </c>
      <c r="B81" s="13" t="str">
        <f>_xlfn.IFNA(VLOOKUP(A81,'Date Calcs'!A:B,2,),"")</f>
        <v>Milliken</v>
      </c>
      <c r="C81" s="14">
        <f>VLOOKUP(A81,'Actual Dates'!A:AE,18,)</f>
        <v>2</v>
      </c>
      <c r="D81" s="15">
        <f t="shared" ca="1" si="8"/>
        <v>45967</v>
      </c>
      <c r="E81" s="15">
        <f t="shared" ca="1" si="9"/>
        <v>45953</v>
      </c>
      <c r="F81" s="14">
        <f ca="1">IFERROR(ROUND(IF(A81="","",IF(E81=0,D81-Date!$B$3,D81-E81)),0),"")</f>
        <v>14</v>
      </c>
      <c r="G81" s="14">
        <f>_xlfn.IFNA(VLOOKUP(A81,'RTR v2'!A:AW,48,FALSE)," ")</f>
        <v>46029</v>
      </c>
      <c r="I81" s="16" t="str">
        <f t="shared" si="10"/>
        <v>Y</v>
      </c>
      <c r="J81" s="16" t="str">
        <f t="shared" si="12"/>
        <v>y</v>
      </c>
      <c r="L81" s="17"/>
      <c r="M81" t="str">
        <f t="shared" si="13"/>
        <v xml:space="preserve"> </v>
      </c>
      <c r="N81">
        <f t="shared" si="14"/>
        <v>1</v>
      </c>
      <c r="O81">
        <f>IF(P81&lt;1,0,IF(VLOOKUP($A81,'Actual Dates'!$A:$G,5,0)="Y",1,0))</f>
        <v>1</v>
      </c>
      <c r="P81">
        <f>IF(Q81&lt;1,0,IF(VLOOKUP($A81,'Actual Dates'!$A:$G,4,0)="Y",1,0))</f>
        <v>1</v>
      </c>
      <c r="Q81">
        <f>IF(R81&lt;1,0,IF(VLOOKUP($A81,'Actual Dates'!$A:$G,3,0)="Y",1,0))</f>
        <v>1</v>
      </c>
      <c r="R81">
        <f>IF(VLOOKUP($A81,'Actual Dates'!$A:$G,2,0)="Y",1,0)</f>
        <v>1</v>
      </c>
      <c r="S81" s="4">
        <f ca="1">_xlfn.IFNA(+VLOOKUP(A81,'Date Calcs'!A:AG,8,),TODAY())</f>
        <v>45943</v>
      </c>
      <c r="T81" s="4">
        <f ca="1">_xlfn.IFNA(VLOOKUP(A81,'Date Calcs'!A:AG,10,),TODAY())</f>
        <v>45953</v>
      </c>
      <c r="U81" s="4">
        <f ca="1">_xlfn.IFNA(+VLOOKUP(A81,'Date Calcs'!A:AG,12,),TODAY())</f>
        <v>45967</v>
      </c>
      <c r="V81" s="4">
        <f ca="1">_xlfn.IFNA(+VLOOKUP(A81,'Date Calcs'!A:AG,14,),TODAY())</f>
        <v>45981</v>
      </c>
      <c r="W81" s="4">
        <f ca="1">_xlfn.IFNA(+VLOOKUP(A81,'Date Calcs'!A:AG,16,),TODAY())</f>
        <v>45936</v>
      </c>
      <c r="X81" s="4">
        <f ca="1">_xlfn.IFNA(IF(C81=0,VLOOKUP(A81,'Date Calcs'!A:AG,8,),IF(C81=1,VLOOKUP(A81,'Date Calcs'!A:AG,10,),IF(C81=2,VLOOKUP(A81,'Date Calcs'!A:AG,12,),IF(C81=3,VLOOKUP(A81,'Date Calcs'!A:AG,14,),4)))),TODAY())</f>
        <v>45967</v>
      </c>
      <c r="Y81" s="4">
        <f t="shared" ca="1" si="11"/>
        <v>45967</v>
      </c>
      <c r="Z81" s="4">
        <f ca="1">_xlfn.IFNA(Y81+(VLOOKUP(A81,'Date Calcs'!A:W,22,0)*7),TODAY())</f>
        <v>45967</v>
      </c>
      <c r="AA81" s="4">
        <f>_xlfn.IFNA(VLOOKUP(A81,'RTR v2'!$A:$AW,46,0),"")</f>
        <v>0</v>
      </c>
    </row>
    <row r="82" spans="1:27" ht="23.25" hidden="1" x14ac:dyDescent="0.25">
      <c r="A82" s="12" t="str">
        <f>'Actual Dates'!A80</f>
        <v>25-097</v>
      </c>
      <c r="B82" s="13" t="str">
        <f>_xlfn.IFNA(VLOOKUP(A82,'Date Calcs'!A:B,2,),"")</f>
        <v>Milliken</v>
      </c>
      <c r="C82" s="14">
        <f>VLOOKUP(A82,'Actual Dates'!A:AE,18,)</f>
        <v>2</v>
      </c>
      <c r="D82" s="15">
        <f t="shared" ca="1" si="8"/>
        <v>45967</v>
      </c>
      <c r="E82" s="15">
        <f t="shared" ca="1" si="9"/>
        <v>45953</v>
      </c>
      <c r="F82" s="14">
        <f ca="1">IFERROR(ROUND(IF(A82="","",IF(E82=0,D82-Date!$B$3,D82-E82)),0),"")</f>
        <v>14</v>
      </c>
      <c r="G82" s="14">
        <f>_xlfn.IFNA(VLOOKUP(A82,'RTR v2'!A:AW,48,FALSE)," ")</f>
        <v>46029</v>
      </c>
      <c r="I82" s="16" t="str">
        <f t="shared" si="10"/>
        <v>Y</v>
      </c>
      <c r="J82" s="16" t="str">
        <f t="shared" si="12"/>
        <v>y</v>
      </c>
      <c r="L82" s="17"/>
      <c r="M82" t="str">
        <f t="shared" si="13"/>
        <v xml:space="preserve"> </v>
      </c>
      <c r="N82">
        <f t="shared" si="14"/>
        <v>1</v>
      </c>
      <c r="O82">
        <f>IF(P82&lt;1,0,IF(VLOOKUP($A82,'Actual Dates'!$A:$G,5,0)="Y",1,0))</f>
        <v>1</v>
      </c>
      <c r="P82">
        <f>IF(Q82&lt;1,0,IF(VLOOKUP($A82,'Actual Dates'!$A:$G,4,0)="Y",1,0))</f>
        <v>1</v>
      </c>
      <c r="Q82">
        <f>IF(R82&lt;1,0,IF(VLOOKUP($A82,'Actual Dates'!$A:$G,3,0)="Y",1,0))</f>
        <v>1</v>
      </c>
      <c r="R82">
        <f>IF(VLOOKUP($A82,'Actual Dates'!$A:$G,2,0)="Y",1,0)</f>
        <v>1</v>
      </c>
      <c r="S82" s="4">
        <f ca="1">_xlfn.IFNA(+VLOOKUP(A82,'Date Calcs'!A:AG,8,),TODAY())</f>
        <v>45943</v>
      </c>
      <c r="T82" s="4">
        <f ca="1">_xlfn.IFNA(VLOOKUP(A82,'Date Calcs'!A:AG,10,),TODAY())</f>
        <v>45953</v>
      </c>
      <c r="U82" s="4">
        <f ca="1">_xlfn.IFNA(+VLOOKUP(A82,'Date Calcs'!A:AG,12,),TODAY())</f>
        <v>45967</v>
      </c>
      <c r="V82" s="4">
        <f ca="1">_xlfn.IFNA(+VLOOKUP(A82,'Date Calcs'!A:AG,14,),TODAY())</f>
        <v>45981</v>
      </c>
      <c r="W82" s="4">
        <f ca="1">_xlfn.IFNA(+VLOOKUP(A82,'Date Calcs'!A:AG,16,),TODAY())</f>
        <v>45936</v>
      </c>
      <c r="X82" s="4">
        <f ca="1">_xlfn.IFNA(IF(C82=0,VLOOKUP(A82,'Date Calcs'!A:AG,8,),IF(C82=1,VLOOKUP(A82,'Date Calcs'!A:AG,10,),IF(C82=2,VLOOKUP(A82,'Date Calcs'!A:AG,12,),IF(C82=3,VLOOKUP(A82,'Date Calcs'!A:AG,14,),4)))),TODAY())</f>
        <v>45967</v>
      </c>
      <c r="Y82" s="4">
        <f t="shared" ca="1" si="11"/>
        <v>45967</v>
      </c>
      <c r="Z82" s="4">
        <f ca="1">_xlfn.IFNA(Y82+(VLOOKUP(A82,'Date Calcs'!A:W,22,0)*7),TODAY())</f>
        <v>45967</v>
      </c>
      <c r="AA82" s="4">
        <f>_xlfn.IFNA(VLOOKUP(A82,'RTR v2'!$A:$AW,46,0),"")</f>
        <v>0</v>
      </c>
    </row>
    <row r="83" spans="1:27" ht="23.25" hidden="1" x14ac:dyDescent="0.25">
      <c r="A83" s="12" t="str">
        <f>'Actual Dates'!A81</f>
        <v>25-098</v>
      </c>
      <c r="B83" s="13" t="str">
        <f>_xlfn.IFNA(VLOOKUP(A83,'Date Calcs'!A:B,2,),"")</f>
        <v>Coastal Technologies</v>
      </c>
      <c r="C83" s="14">
        <f>VLOOKUP(A83,'Actual Dates'!A:AE,18,)</f>
        <v>2</v>
      </c>
      <c r="D83" s="15">
        <f t="shared" ca="1" si="8"/>
        <v>45974</v>
      </c>
      <c r="E83" s="15">
        <f t="shared" ca="1" si="9"/>
        <v>45960</v>
      </c>
      <c r="F83" s="14">
        <f ca="1">IFERROR(ROUND(IF(A83="","",IF(E83=0,D83-Date!$B$3,D83-E83)),0),"")</f>
        <v>14</v>
      </c>
      <c r="G83" s="14" t="str">
        <f>_xlfn.IFNA(VLOOKUP(A83,'RTR v2'!A:AW,48,FALSE)," ")</f>
        <v/>
      </c>
      <c r="I83" s="16" t="str">
        <f t="shared" si="10"/>
        <v>Y</v>
      </c>
      <c r="J83" s="16" t="str">
        <f t="shared" si="12"/>
        <v>y</v>
      </c>
      <c r="L83" s="17"/>
      <c r="M83" t="str">
        <f t="shared" si="13"/>
        <v xml:space="preserve"> </v>
      </c>
      <c r="N83">
        <f t="shared" si="14"/>
        <v>1</v>
      </c>
      <c r="O83">
        <f>IF(P83&lt;1,0,IF(VLOOKUP($A83,'Actual Dates'!$A:$G,5,0)="Y",1,0))</f>
        <v>1</v>
      </c>
      <c r="P83">
        <f>IF(Q83&lt;1,0,IF(VLOOKUP($A83,'Actual Dates'!$A:$G,4,0)="Y",1,0))</f>
        <v>1</v>
      </c>
      <c r="Q83">
        <f>IF(R83&lt;1,0,IF(VLOOKUP($A83,'Actual Dates'!$A:$G,3,0)="Y",1,0))</f>
        <v>1</v>
      </c>
      <c r="R83">
        <f>IF(VLOOKUP($A83,'Actual Dates'!$A:$G,2,0)="Y",1,0)</f>
        <v>1</v>
      </c>
      <c r="S83" s="4">
        <f ca="1">_xlfn.IFNA(+VLOOKUP(A83,'Date Calcs'!A:AG,8,),TODAY())</f>
        <v>45952</v>
      </c>
      <c r="T83" s="4">
        <f ca="1">_xlfn.IFNA(VLOOKUP(A83,'Date Calcs'!A:AG,10,),TODAY())</f>
        <v>45961</v>
      </c>
      <c r="U83" s="4">
        <f ca="1">_xlfn.IFNA(+VLOOKUP(A83,'Date Calcs'!A:AG,12,),TODAY())</f>
        <v>45974</v>
      </c>
      <c r="V83" s="4">
        <f ca="1">_xlfn.IFNA(+VLOOKUP(A83,'Date Calcs'!A:AG,14,),TODAY())</f>
        <v>45988</v>
      </c>
      <c r="W83" s="4">
        <f ca="1">_xlfn.IFNA(+VLOOKUP(A83,'Date Calcs'!A:AG,16,),TODAY())</f>
        <v>45938</v>
      </c>
      <c r="X83" s="4">
        <f ca="1">_xlfn.IFNA(IF(C83=0,VLOOKUP(A83,'Date Calcs'!A:AG,8,),IF(C83=1,VLOOKUP(A83,'Date Calcs'!A:AG,10,),IF(C83=2,VLOOKUP(A83,'Date Calcs'!A:AG,12,),IF(C83=3,VLOOKUP(A83,'Date Calcs'!A:AG,14,),4)))),TODAY())</f>
        <v>45974</v>
      </c>
      <c r="Y83" s="4">
        <f t="shared" ca="1" si="11"/>
        <v>45974</v>
      </c>
      <c r="Z83" s="4">
        <f ca="1">_xlfn.IFNA(Y83+(VLOOKUP(A83,'Date Calcs'!A:W,22,0)*7),TODAY())</f>
        <v>45974</v>
      </c>
      <c r="AA83" s="4" t="str">
        <f>_xlfn.IFNA(VLOOKUP(A83,'RTR v2'!$A:$AW,46,0),"")</f>
        <v xml:space="preserve"> </v>
      </c>
    </row>
    <row r="84" spans="1:27" ht="23.25" hidden="1" x14ac:dyDescent="0.25">
      <c r="A84" s="12" t="str">
        <f>'Actual Dates'!A82</f>
        <v>25-099</v>
      </c>
      <c r="B84" s="13" t="str">
        <f>_xlfn.IFNA(VLOOKUP(A84,'Date Calcs'!A:B,2,),"")</f>
        <v>Burke Industrial</v>
      </c>
      <c r="C84" s="14">
        <f>VLOOKUP(A84,'Actual Dates'!A:AE,18,)</f>
        <v>2</v>
      </c>
      <c r="D84" s="15">
        <f t="shared" ca="1" si="8"/>
        <v>45980</v>
      </c>
      <c r="E84" s="15">
        <f t="shared" ca="1" si="9"/>
        <v>45966</v>
      </c>
      <c r="F84" s="14">
        <f ca="1">IFERROR(ROUND(IF(A84="","",IF(E84=0,D84-Date!$B$3,D84-E84)),0),"")</f>
        <v>14</v>
      </c>
      <c r="G84" s="14">
        <f>_xlfn.IFNA(VLOOKUP(A84,'RTR v2'!A:AW,48,FALSE)," ")</f>
        <v>46106</v>
      </c>
      <c r="I84" s="16" t="str">
        <f t="shared" si="10"/>
        <v>Y</v>
      </c>
      <c r="J84" s="16" t="str">
        <f t="shared" si="12"/>
        <v>y</v>
      </c>
      <c r="L84" s="17"/>
      <c r="M84" t="str">
        <f t="shared" si="13"/>
        <v xml:space="preserve"> </v>
      </c>
      <c r="N84">
        <f t="shared" si="14"/>
        <v>1</v>
      </c>
      <c r="O84">
        <f>IF(P84&lt;1,0,IF(VLOOKUP($A84,'Actual Dates'!$A:$G,5,0)="Y",1,0))</f>
        <v>1</v>
      </c>
      <c r="P84">
        <f>IF(Q84&lt;1,0,IF(VLOOKUP($A84,'Actual Dates'!$A:$G,4,0)="Y",1,0))</f>
        <v>1</v>
      </c>
      <c r="Q84">
        <f>IF(R84&lt;1,0,IF(VLOOKUP($A84,'Actual Dates'!$A:$G,3,0)="Y",1,0))</f>
        <v>1</v>
      </c>
      <c r="R84">
        <f>IF(VLOOKUP($A84,'Actual Dates'!$A:$G,2,0)="Y",1,0)</f>
        <v>1</v>
      </c>
      <c r="S84" s="4">
        <f ca="1">_xlfn.IFNA(+VLOOKUP(A84,'Date Calcs'!A:AG,8,),TODAY())</f>
        <v>45960</v>
      </c>
      <c r="T84" s="4">
        <f ca="1">_xlfn.IFNA(VLOOKUP(A84,'Date Calcs'!A:AG,10,),TODAY())</f>
        <v>45966</v>
      </c>
      <c r="U84" s="4">
        <f ca="1">_xlfn.IFNA(+VLOOKUP(A84,'Date Calcs'!A:AG,12,),TODAY())</f>
        <v>45980</v>
      </c>
      <c r="V84" s="4">
        <f ca="1">_xlfn.IFNA(+VLOOKUP(A84,'Date Calcs'!A:AG,14,),TODAY())</f>
        <v>45994</v>
      </c>
      <c r="W84" s="4">
        <f ca="1">_xlfn.IFNA(+VLOOKUP(A84,'Date Calcs'!A:AG,16,),TODAY())</f>
        <v>45946</v>
      </c>
      <c r="X84" s="4">
        <f ca="1">_xlfn.IFNA(IF(C84=0,VLOOKUP(A84,'Date Calcs'!A:AG,8,),IF(C84=1,VLOOKUP(A84,'Date Calcs'!A:AG,10,),IF(C84=2,VLOOKUP(A84,'Date Calcs'!A:AG,12,),IF(C84=3,VLOOKUP(A84,'Date Calcs'!A:AG,14,),4)))),TODAY())</f>
        <v>45980</v>
      </c>
      <c r="Y84" s="4">
        <f t="shared" ca="1" si="11"/>
        <v>45980</v>
      </c>
      <c r="Z84" s="4">
        <f ca="1">_xlfn.IFNA(Y84+(VLOOKUP(A84,'Date Calcs'!A:W,22,0)*7),TODAY())</f>
        <v>45980</v>
      </c>
      <c r="AA84" s="4" t="str">
        <f>_xlfn.IFNA(VLOOKUP(A84,'RTR v2'!$A:$AW,46,0),"")</f>
        <v xml:space="preserve"> </v>
      </c>
    </row>
    <row r="85" spans="1:27" ht="23.25" hidden="1" x14ac:dyDescent="0.25">
      <c r="A85" s="12" t="str">
        <f>'Actual Dates'!A83</f>
        <v>25-101</v>
      </c>
      <c r="B85" s="13" t="str">
        <f>_xlfn.IFNA(VLOOKUP(A85,'Date Calcs'!A:B,2,),"")</f>
        <v>Harper Love</v>
      </c>
      <c r="C85" s="14">
        <f>VLOOKUP(A85,'Actual Dates'!A:AE,18,)</f>
        <v>2</v>
      </c>
      <c r="D85" s="15">
        <f t="shared" ca="1" si="8"/>
        <v>46013</v>
      </c>
      <c r="E85" s="15">
        <f t="shared" ca="1" si="9"/>
        <v>45999</v>
      </c>
      <c r="F85" s="14">
        <f ca="1">IFERROR(ROUND(IF(A85="","",IF(E85=0,D85-Date!$B$3,D85-E85)),0),"")</f>
        <v>14</v>
      </c>
      <c r="G85" s="14" t="str">
        <f>_xlfn.IFNA(VLOOKUP(A85,'RTR v2'!A:AW,48,FALSE)," ")</f>
        <v/>
      </c>
      <c r="I85" s="16" t="str">
        <f t="shared" si="10"/>
        <v>Y</v>
      </c>
      <c r="J85" s="16" t="str">
        <f t="shared" si="12"/>
        <v>y</v>
      </c>
      <c r="L85" s="17"/>
      <c r="M85" t="str">
        <f t="shared" si="13"/>
        <v xml:space="preserve"> </v>
      </c>
      <c r="N85">
        <f t="shared" si="14"/>
        <v>1</v>
      </c>
      <c r="O85">
        <f>IF(P85&lt;1,0,IF(VLOOKUP($A85,'Actual Dates'!$A:$G,5,0)="Y",1,0))</f>
        <v>1</v>
      </c>
      <c r="P85">
        <f>IF(Q85&lt;1,0,IF(VLOOKUP($A85,'Actual Dates'!$A:$G,4,0)="Y",1,0))</f>
        <v>1</v>
      </c>
      <c r="Q85">
        <f>IF(R85&lt;1,0,IF(VLOOKUP($A85,'Actual Dates'!$A:$G,3,0)="Y",1,0))</f>
        <v>1</v>
      </c>
      <c r="R85">
        <f>IF(VLOOKUP($A85,'Actual Dates'!$A:$G,2,0)="Y",1,0)</f>
        <v>1</v>
      </c>
      <c r="S85" s="4">
        <f ca="1">_xlfn.IFNA(+VLOOKUP(A85,'Date Calcs'!A:AG,8,),TODAY())</f>
        <v>45982</v>
      </c>
      <c r="T85" s="4">
        <f ca="1">_xlfn.IFNA(VLOOKUP(A85,'Date Calcs'!A:AG,10,),TODAY())</f>
        <v>45999</v>
      </c>
      <c r="U85" s="4">
        <f ca="1">_xlfn.IFNA(+VLOOKUP(A85,'Date Calcs'!A:AG,12,),TODAY())</f>
        <v>46013</v>
      </c>
      <c r="V85" s="4">
        <f ca="1">_xlfn.IFNA(+VLOOKUP(A85,'Date Calcs'!A:AG,14,),TODAY())</f>
        <v>46027</v>
      </c>
      <c r="W85" s="4">
        <f ca="1">_xlfn.IFNA(+VLOOKUP(A85,'Date Calcs'!A:AG,16,),TODAY())</f>
        <v>45968</v>
      </c>
      <c r="X85" s="4">
        <f ca="1">_xlfn.IFNA(IF(C85=0,VLOOKUP(A85,'Date Calcs'!A:AG,8,),IF(C85=1,VLOOKUP(A85,'Date Calcs'!A:AG,10,),IF(C85=2,VLOOKUP(A85,'Date Calcs'!A:AG,12,),IF(C85=3,VLOOKUP(A85,'Date Calcs'!A:AG,14,),4)))),TODAY())</f>
        <v>46013</v>
      </c>
      <c r="Y85" s="4">
        <f t="shared" ca="1" si="11"/>
        <v>46013</v>
      </c>
      <c r="Z85" s="4">
        <f ca="1">_xlfn.IFNA(Y85+(VLOOKUP(A85,'Date Calcs'!A:W,22,0)*7),TODAY())</f>
        <v>46013</v>
      </c>
      <c r="AA85" s="4" t="str">
        <f>_xlfn.IFNA(VLOOKUP(A85,'RTR v2'!$A:$AW,46,0),"")</f>
        <v xml:space="preserve"> </v>
      </c>
    </row>
    <row r="86" spans="1:27" ht="23.25" hidden="1" x14ac:dyDescent="0.25">
      <c r="A86" s="12" t="str">
        <f>'Actual Dates'!A84</f>
        <v>25-102</v>
      </c>
      <c r="B86" s="13" t="str">
        <f>_xlfn.IFNA(VLOOKUP(A86,'Date Calcs'!A:B,2,),"")</f>
        <v>Epic Systems</v>
      </c>
      <c r="C86" s="14">
        <f>VLOOKUP(A86,'Actual Dates'!A:AE,18,)</f>
        <v>3</v>
      </c>
      <c r="D86" s="15">
        <f t="shared" ca="1" si="8"/>
        <v>46079</v>
      </c>
      <c r="E86" s="15">
        <f t="shared" ca="1" si="9"/>
        <v>46077</v>
      </c>
      <c r="F86" s="14">
        <f ca="1">IFERROR(ROUND(IF(A86="","",IF(E86=0,D86-Date!$B$3,D86-E86)),0),"")</f>
        <v>2</v>
      </c>
      <c r="G86" s="14" t="str">
        <f>_xlfn.IFNA(VLOOKUP(A86,'RTR v2'!A:AW,48,FALSE)," ")</f>
        <v/>
      </c>
      <c r="I86" s="16" t="str">
        <f t="shared" si="10"/>
        <v>N</v>
      </c>
      <c r="J86" s="16" t="str">
        <f t="shared" si="12"/>
        <v>y</v>
      </c>
      <c r="L86" s="17"/>
      <c r="M86" t="str">
        <f t="shared" si="13"/>
        <v xml:space="preserve"> </v>
      </c>
      <c r="N86">
        <f t="shared" si="14"/>
        <v>0</v>
      </c>
      <c r="O86">
        <f>IF(P86&lt;1,0,IF(VLOOKUP($A86,'Actual Dates'!$A:$G,5,0)="Y",1,0))</f>
        <v>0</v>
      </c>
      <c r="P86">
        <f>IF(Q86&lt;1,0,IF(VLOOKUP($A86,'Actual Dates'!$A:$G,4,0)="Y",1,0))</f>
        <v>1</v>
      </c>
      <c r="Q86">
        <f>IF(R86&lt;1,0,IF(VLOOKUP($A86,'Actual Dates'!$A:$G,3,0)="Y",1,0))</f>
        <v>1</v>
      </c>
      <c r="R86">
        <f>IF(VLOOKUP($A86,'Actual Dates'!$A:$G,2,0)="Y",1,0)</f>
        <v>1</v>
      </c>
      <c r="S86" s="4">
        <f ca="1">_xlfn.IFNA(+VLOOKUP(A86,'Date Calcs'!A:AG,8,),TODAY())</f>
        <v>46003</v>
      </c>
      <c r="T86" s="4">
        <f ca="1">_xlfn.IFNA(VLOOKUP(A86,'Date Calcs'!A:AG,10,),TODAY())</f>
        <v>46041</v>
      </c>
      <c r="U86" s="4">
        <f ca="1">_xlfn.IFNA(+VLOOKUP(A86,'Date Calcs'!A:AG,12,),TODAY())</f>
        <v>46062</v>
      </c>
      <c r="V86" s="4">
        <f ca="1">_xlfn.IFNA(+VLOOKUP(A86,'Date Calcs'!A:AG,14,),TODAY())</f>
        <v>46079</v>
      </c>
      <c r="W86" s="4">
        <f ca="1">_xlfn.IFNA(+VLOOKUP(A86,'Date Calcs'!A:AG,16,),TODAY())</f>
        <v>45982</v>
      </c>
      <c r="X86" s="4">
        <f ca="1">_xlfn.IFNA(IF(C86=0,VLOOKUP(A86,'Date Calcs'!A:AG,8,),IF(C86=1,VLOOKUP(A86,'Date Calcs'!A:AG,10,),IF(C86=2,VLOOKUP(A86,'Date Calcs'!A:AG,12,),IF(C86=3,VLOOKUP(A86,'Date Calcs'!A:AG,14,),4)))),TODAY())</f>
        <v>46079</v>
      </c>
      <c r="Y86" s="4">
        <f t="shared" ca="1" si="11"/>
        <v>46079</v>
      </c>
      <c r="Z86" s="4">
        <f ca="1">_xlfn.IFNA(Y86+(VLOOKUP(A86,'Date Calcs'!A:W,22,0)*7),TODAY())</f>
        <v>46079</v>
      </c>
      <c r="AA86" s="4" t="str">
        <f>_xlfn.IFNA(VLOOKUP(A86,'RTR v2'!$A:$AW,46,0),"")</f>
        <v xml:space="preserve"> </v>
      </c>
    </row>
    <row r="87" spans="1:27" ht="23.25" hidden="1" x14ac:dyDescent="0.25">
      <c r="A87" s="12" t="str">
        <f>'Actual Dates'!A85</f>
        <v>25-103</v>
      </c>
      <c r="B87" s="13" t="str">
        <f>_xlfn.IFNA(VLOOKUP(A87,'Date Calcs'!A:B,2,),"")</f>
        <v>Epic Systems</v>
      </c>
      <c r="C87" s="14">
        <f>VLOOKUP(A87,'Actual Dates'!A:AE,18,)</f>
        <v>3</v>
      </c>
      <c r="D87" s="15">
        <f t="shared" ca="1" si="8"/>
        <v>46079</v>
      </c>
      <c r="E87" s="15">
        <f t="shared" ca="1" si="9"/>
        <v>46072</v>
      </c>
      <c r="F87" s="14">
        <f ca="1">IFERROR(ROUND(IF(A87="","",IF(E87=0,D87-Date!$B$3,D87-E87)),0),"")</f>
        <v>7</v>
      </c>
      <c r="G87" s="14" t="str">
        <f>_xlfn.IFNA(VLOOKUP(A87,'RTR v2'!A:AW,48,FALSE)," ")</f>
        <v/>
      </c>
      <c r="I87" s="16" t="str">
        <f t="shared" si="10"/>
        <v>N</v>
      </c>
      <c r="J87" s="16" t="str">
        <f t="shared" si="12"/>
        <v>y</v>
      </c>
      <c r="L87" s="17"/>
      <c r="M87" t="str">
        <f t="shared" si="13"/>
        <v xml:space="preserve"> </v>
      </c>
      <c r="N87">
        <f t="shared" si="14"/>
        <v>0</v>
      </c>
      <c r="O87">
        <f>IF(P87&lt;1,0,IF(VLOOKUP($A87,'Actual Dates'!$A:$G,5,0)="Y",1,0))</f>
        <v>0</v>
      </c>
      <c r="P87">
        <f>IF(Q87&lt;1,0,IF(VLOOKUP($A87,'Actual Dates'!$A:$G,4,0)="Y",1,0))</f>
        <v>1</v>
      </c>
      <c r="Q87">
        <f>IF(R87&lt;1,0,IF(VLOOKUP($A87,'Actual Dates'!$A:$G,3,0)="Y",1,0))</f>
        <v>1</v>
      </c>
      <c r="R87">
        <f>IF(VLOOKUP($A87,'Actual Dates'!$A:$G,2,0)="Y",1,0)</f>
        <v>1</v>
      </c>
      <c r="S87" s="4">
        <f ca="1">_xlfn.IFNA(+VLOOKUP(A87,'Date Calcs'!A:AG,8,),TODAY())</f>
        <v>46003</v>
      </c>
      <c r="T87" s="4">
        <f ca="1">_xlfn.IFNA(VLOOKUP(A87,'Date Calcs'!A:AG,10,),TODAY())</f>
        <v>46041</v>
      </c>
      <c r="U87" s="4">
        <f ca="1">_xlfn.IFNA(+VLOOKUP(A87,'Date Calcs'!A:AG,12,),TODAY())</f>
        <v>46062</v>
      </c>
      <c r="V87" s="4">
        <f ca="1">_xlfn.IFNA(+VLOOKUP(A87,'Date Calcs'!A:AG,14,),TODAY())</f>
        <v>46079</v>
      </c>
      <c r="W87" s="4">
        <f ca="1">_xlfn.IFNA(+VLOOKUP(A87,'Date Calcs'!A:AG,16,),TODAY())</f>
        <v>45982</v>
      </c>
      <c r="X87" s="4">
        <f ca="1">_xlfn.IFNA(IF(C87=0,VLOOKUP(A87,'Date Calcs'!A:AG,8,),IF(C87=1,VLOOKUP(A87,'Date Calcs'!A:AG,10,),IF(C87=2,VLOOKUP(A87,'Date Calcs'!A:AG,12,),IF(C87=3,VLOOKUP(A87,'Date Calcs'!A:AG,14,),4)))),TODAY())</f>
        <v>46079</v>
      </c>
      <c r="Y87" s="4">
        <f t="shared" ca="1" si="11"/>
        <v>46079</v>
      </c>
      <c r="Z87" s="4">
        <f ca="1">_xlfn.IFNA(Y87+(VLOOKUP(A87,'Date Calcs'!A:W,22,0)*7),TODAY())</f>
        <v>46079</v>
      </c>
      <c r="AA87" s="4" t="str">
        <f>_xlfn.IFNA(VLOOKUP(A87,'RTR v2'!$A:$AW,46,0),"")</f>
        <v xml:space="preserve"> </v>
      </c>
    </row>
    <row r="88" spans="1:27" ht="23.25" hidden="1" x14ac:dyDescent="0.25">
      <c r="A88" s="12" t="str">
        <f>'Actual Dates'!A86</f>
        <v>25-104</v>
      </c>
      <c r="B88" s="13" t="str">
        <f>_xlfn.IFNA(VLOOKUP(A88,'Date Calcs'!A:B,2,),"")</f>
        <v>Epic Systems</v>
      </c>
      <c r="C88" s="14">
        <f>VLOOKUP(A88,'Actual Dates'!A:AE,18,)</f>
        <v>3</v>
      </c>
      <c r="D88" s="15">
        <f t="shared" ca="1" si="8"/>
        <v>46079</v>
      </c>
      <c r="E88" s="15">
        <f t="shared" ca="1" si="9"/>
        <v>46072</v>
      </c>
      <c r="F88" s="14">
        <f ca="1">IFERROR(ROUND(IF(A88="","",IF(E88=0,D88-Date!$B$3,D88-E88)),0),"")</f>
        <v>7</v>
      </c>
      <c r="G88" s="14" t="str">
        <f>_xlfn.IFNA(VLOOKUP(A88,'RTR v2'!A:AW,48,FALSE)," ")</f>
        <v/>
      </c>
      <c r="I88" s="16" t="str">
        <f t="shared" si="10"/>
        <v>N</v>
      </c>
      <c r="J88" s="16" t="str">
        <f t="shared" si="12"/>
        <v>y</v>
      </c>
      <c r="L88" s="17"/>
      <c r="M88" t="str">
        <f t="shared" si="13"/>
        <v xml:space="preserve"> </v>
      </c>
      <c r="N88">
        <f t="shared" si="14"/>
        <v>0</v>
      </c>
      <c r="O88">
        <f>IF(P88&lt;1,0,IF(VLOOKUP($A88,'Actual Dates'!$A:$G,5,0)="Y",1,0))</f>
        <v>0</v>
      </c>
      <c r="P88">
        <f>IF(Q88&lt;1,0,IF(VLOOKUP($A88,'Actual Dates'!$A:$G,4,0)="Y",1,0))</f>
        <v>1</v>
      </c>
      <c r="Q88">
        <f>IF(R88&lt;1,0,IF(VLOOKUP($A88,'Actual Dates'!$A:$G,3,0)="Y",1,0))</f>
        <v>1</v>
      </c>
      <c r="R88">
        <f>IF(VLOOKUP($A88,'Actual Dates'!$A:$G,2,0)="Y",1,0)</f>
        <v>1</v>
      </c>
      <c r="S88" s="4">
        <f ca="1">_xlfn.IFNA(+VLOOKUP(A88,'Date Calcs'!A:AG,8,),TODAY())</f>
        <v>46003</v>
      </c>
      <c r="T88" s="4">
        <f ca="1">_xlfn.IFNA(VLOOKUP(A88,'Date Calcs'!A:AG,10,),TODAY())</f>
        <v>46041</v>
      </c>
      <c r="U88" s="4">
        <f ca="1">_xlfn.IFNA(+VLOOKUP(A88,'Date Calcs'!A:AG,12,),TODAY())</f>
        <v>46062</v>
      </c>
      <c r="V88" s="4">
        <f ca="1">_xlfn.IFNA(+VLOOKUP(A88,'Date Calcs'!A:AG,14,),TODAY())</f>
        <v>46079</v>
      </c>
      <c r="W88" s="4">
        <f ca="1">_xlfn.IFNA(+VLOOKUP(A88,'Date Calcs'!A:AG,16,),TODAY())</f>
        <v>45982</v>
      </c>
      <c r="X88" s="4">
        <f ca="1">_xlfn.IFNA(IF(C88=0,VLOOKUP(A88,'Date Calcs'!A:AG,8,),IF(C88=1,VLOOKUP(A88,'Date Calcs'!A:AG,10,),IF(C88=2,VLOOKUP(A88,'Date Calcs'!A:AG,12,),IF(C88=3,VLOOKUP(A88,'Date Calcs'!A:AG,14,),4)))),TODAY())</f>
        <v>46079</v>
      </c>
      <c r="Y88" s="4">
        <f t="shared" ca="1" si="11"/>
        <v>46079</v>
      </c>
      <c r="Z88" s="4">
        <f ca="1">_xlfn.IFNA(Y88+(VLOOKUP(A88,'Date Calcs'!A:W,22,0)*7),TODAY())</f>
        <v>46079</v>
      </c>
      <c r="AA88" s="4" t="str">
        <f>_xlfn.IFNA(VLOOKUP(A88,'RTR v2'!$A:$AW,46,0),"")</f>
        <v xml:space="preserve"> </v>
      </c>
    </row>
    <row r="89" spans="1:27" ht="23.25" hidden="1" x14ac:dyDescent="0.25">
      <c r="A89" s="12" t="str">
        <f>'Actual Dates'!A87</f>
        <v>25-105</v>
      </c>
      <c r="B89" s="13" t="str">
        <f>_xlfn.IFNA(VLOOKUP(A89,'Date Calcs'!A:B,2,),"")</f>
        <v>Epic Systems</v>
      </c>
      <c r="C89" s="14">
        <f>VLOOKUP(A89,'Actual Dates'!A:AE,18,)</f>
        <v>3</v>
      </c>
      <c r="D89" s="15">
        <f t="shared" ca="1" si="8"/>
        <v>46079</v>
      </c>
      <c r="E89" s="15">
        <f t="shared" ca="1" si="9"/>
        <v>46072</v>
      </c>
      <c r="F89" s="14">
        <f ca="1">IFERROR(ROUND(IF(A89="","",IF(E89=0,D89-Date!$B$3,D89-E89)),0),"")</f>
        <v>7</v>
      </c>
      <c r="G89" s="14" t="str">
        <f>_xlfn.IFNA(VLOOKUP(A89,'RTR v2'!A:AW,48,FALSE)," ")</f>
        <v/>
      </c>
      <c r="I89" s="16" t="str">
        <f t="shared" si="10"/>
        <v>N</v>
      </c>
      <c r="J89" s="16" t="str">
        <f t="shared" si="12"/>
        <v>y</v>
      </c>
      <c r="L89" s="17"/>
      <c r="M89" t="str">
        <f t="shared" si="13"/>
        <v xml:space="preserve"> </v>
      </c>
      <c r="N89">
        <f t="shared" si="14"/>
        <v>0</v>
      </c>
      <c r="O89">
        <f>IF(P89&lt;1,0,IF(VLOOKUP($A89,'Actual Dates'!$A:$G,5,0)="Y",1,0))</f>
        <v>0</v>
      </c>
      <c r="P89">
        <f>IF(Q89&lt;1,0,IF(VLOOKUP($A89,'Actual Dates'!$A:$G,4,0)="Y",1,0))</f>
        <v>1</v>
      </c>
      <c r="Q89">
        <f>IF(R89&lt;1,0,IF(VLOOKUP($A89,'Actual Dates'!$A:$G,3,0)="Y",1,0))</f>
        <v>1</v>
      </c>
      <c r="R89">
        <f>IF(VLOOKUP($A89,'Actual Dates'!$A:$G,2,0)="Y",1,0)</f>
        <v>1</v>
      </c>
      <c r="S89" s="4">
        <f ca="1">_xlfn.IFNA(+VLOOKUP(A89,'Date Calcs'!A:AG,8,),TODAY())</f>
        <v>46003</v>
      </c>
      <c r="T89" s="4">
        <f ca="1">_xlfn.IFNA(VLOOKUP(A89,'Date Calcs'!A:AG,10,),TODAY())</f>
        <v>46041</v>
      </c>
      <c r="U89" s="4">
        <f ca="1">_xlfn.IFNA(+VLOOKUP(A89,'Date Calcs'!A:AG,12,),TODAY())</f>
        <v>46062</v>
      </c>
      <c r="V89" s="4">
        <f ca="1">_xlfn.IFNA(+VLOOKUP(A89,'Date Calcs'!A:AG,14,),TODAY())</f>
        <v>46079</v>
      </c>
      <c r="W89" s="4">
        <f ca="1">_xlfn.IFNA(+VLOOKUP(A89,'Date Calcs'!A:AG,16,),TODAY())</f>
        <v>45982</v>
      </c>
      <c r="X89" s="4">
        <f ca="1">_xlfn.IFNA(IF(C89=0,VLOOKUP(A89,'Date Calcs'!A:AG,8,),IF(C89=1,VLOOKUP(A89,'Date Calcs'!A:AG,10,),IF(C89=2,VLOOKUP(A89,'Date Calcs'!A:AG,12,),IF(C89=3,VLOOKUP(A89,'Date Calcs'!A:AG,14,),4)))),TODAY())</f>
        <v>46079</v>
      </c>
      <c r="Y89" s="4">
        <f t="shared" ca="1" si="11"/>
        <v>46079</v>
      </c>
      <c r="Z89" s="4">
        <f ca="1">_xlfn.IFNA(Y89+(VLOOKUP(A89,'Date Calcs'!A:W,22,0)*7),TODAY())</f>
        <v>46079</v>
      </c>
      <c r="AA89" s="4" t="str">
        <f>_xlfn.IFNA(VLOOKUP(A89,'RTR v2'!$A:$AW,46,0),"")</f>
        <v xml:space="preserve"> </v>
      </c>
    </row>
    <row r="90" spans="1:27" ht="23.25" hidden="1" x14ac:dyDescent="0.25">
      <c r="A90" s="12" t="str">
        <f>'Actual Dates'!A88</f>
        <v>25-106</v>
      </c>
      <c r="B90" s="13" t="str">
        <f>_xlfn.IFNA(VLOOKUP(A90,'Date Calcs'!A:B,2,),"")</f>
        <v>Epic Systems</v>
      </c>
      <c r="C90" s="14">
        <f>VLOOKUP(A90,'Actual Dates'!A:AE,18,)</f>
        <v>3</v>
      </c>
      <c r="D90" s="15">
        <f t="shared" ca="1" si="8"/>
        <v>46079</v>
      </c>
      <c r="E90" s="15">
        <f t="shared" ca="1" si="9"/>
        <v>46077</v>
      </c>
      <c r="F90" s="14">
        <f ca="1">IFERROR(ROUND(IF(A90="","",IF(E90=0,D90-Date!$B$3,D90-E90)),0),"")</f>
        <v>2</v>
      </c>
      <c r="G90" s="14" t="str">
        <f>_xlfn.IFNA(VLOOKUP(A90,'RTR v2'!A:AW,48,FALSE)," ")</f>
        <v/>
      </c>
      <c r="I90" s="16" t="str">
        <f t="shared" si="10"/>
        <v>N</v>
      </c>
      <c r="J90" s="16" t="str">
        <f t="shared" si="12"/>
        <v>y</v>
      </c>
      <c r="L90" s="17"/>
      <c r="M90" t="str">
        <f t="shared" si="13"/>
        <v xml:space="preserve"> </v>
      </c>
      <c r="N90">
        <f t="shared" si="14"/>
        <v>0</v>
      </c>
      <c r="O90">
        <f>IF(P90&lt;1,0,IF(VLOOKUP($A90,'Actual Dates'!$A:$G,5,0)="Y",1,0))</f>
        <v>0</v>
      </c>
      <c r="P90">
        <f>IF(Q90&lt;1,0,IF(VLOOKUP($A90,'Actual Dates'!$A:$G,4,0)="Y",1,0))</f>
        <v>1</v>
      </c>
      <c r="Q90">
        <f>IF(R90&lt;1,0,IF(VLOOKUP($A90,'Actual Dates'!$A:$G,3,0)="Y",1,0))</f>
        <v>1</v>
      </c>
      <c r="R90">
        <f>IF(VLOOKUP($A90,'Actual Dates'!$A:$G,2,0)="Y",1,0)</f>
        <v>1</v>
      </c>
      <c r="S90" s="4">
        <f ca="1">_xlfn.IFNA(+VLOOKUP(A90,'Date Calcs'!A:AG,8,),TODAY())</f>
        <v>46003</v>
      </c>
      <c r="T90" s="4">
        <f ca="1">_xlfn.IFNA(VLOOKUP(A90,'Date Calcs'!A:AG,10,),TODAY())</f>
        <v>46041</v>
      </c>
      <c r="U90" s="4">
        <f ca="1">_xlfn.IFNA(+VLOOKUP(A90,'Date Calcs'!A:AG,12,),TODAY())</f>
        <v>46062</v>
      </c>
      <c r="V90" s="4">
        <f ca="1">_xlfn.IFNA(+VLOOKUP(A90,'Date Calcs'!A:AG,14,),TODAY())</f>
        <v>46079</v>
      </c>
      <c r="W90" s="4">
        <f ca="1">_xlfn.IFNA(+VLOOKUP(A90,'Date Calcs'!A:AG,16,),TODAY())</f>
        <v>45982</v>
      </c>
      <c r="X90" s="4">
        <f ca="1">_xlfn.IFNA(IF(C90=0,VLOOKUP(A90,'Date Calcs'!A:AG,8,),IF(C90=1,VLOOKUP(A90,'Date Calcs'!A:AG,10,),IF(C90=2,VLOOKUP(A90,'Date Calcs'!A:AG,12,),IF(C90=3,VLOOKUP(A90,'Date Calcs'!A:AG,14,),4)))),TODAY())</f>
        <v>46079</v>
      </c>
      <c r="Y90" s="4">
        <f t="shared" ca="1" si="11"/>
        <v>46079</v>
      </c>
      <c r="Z90" s="4">
        <f ca="1">_xlfn.IFNA(Y90+(VLOOKUP(A90,'Date Calcs'!A:W,22,0)*7),TODAY())</f>
        <v>46079</v>
      </c>
      <c r="AA90" s="4" t="str">
        <f>_xlfn.IFNA(VLOOKUP(A90,'RTR v2'!$A:$AW,46,0),"")</f>
        <v xml:space="preserve"> </v>
      </c>
    </row>
    <row r="91" spans="1:27" ht="23.25" hidden="1" x14ac:dyDescent="0.25">
      <c r="A91" s="12" t="str">
        <f>'Actual Dates'!A89</f>
        <v>25-107</v>
      </c>
      <c r="B91" s="13" t="str">
        <f>_xlfn.IFNA(VLOOKUP(A91,'Date Calcs'!A:B,2,),"")</f>
        <v>Epic Systems</v>
      </c>
      <c r="C91" s="14">
        <f>VLOOKUP(A91,'Actual Dates'!A:AE,18,)</f>
        <v>4</v>
      </c>
      <c r="D91" s="15">
        <f t="shared" ca="1" si="8"/>
        <v>46076</v>
      </c>
      <c r="E91" s="15">
        <f t="shared" ca="1" si="9"/>
        <v>46111</v>
      </c>
      <c r="F91" s="14">
        <f ca="1">IFERROR(ROUND(IF(A91="","",IF(E91=0,D91-Date!$B$3,D91-E91)),0),"")</f>
        <v>-35</v>
      </c>
      <c r="G91" s="14" t="str">
        <f>_xlfn.IFNA(VLOOKUP(A91,'RTR v2'!A:AW,48,FALSE)," ")</f>
        <v/>
      </c>
      <c r="I91" s="16" t="str">
        <f t="shared" si="10"/>
        <v>Y</v>
      </c>
      <c r="J91" s="16" t="str">
        <f t="shared" si="12"/>
        <v>y</v>
      </c>
      <c r="L91" s="17"/>
      <c r="M91" t="str">
        <f t="shared" si="13"/>
        <v xml:space="preserve"> </v>
      </c>
      <c r="N91">
        <f t="shared" si="14"/>
        <v>1</v>
      </c>
      <c r="O91">
        <f>IF(P91&lt;1,0,IF(VLOOKUP($A91,'Actual Dates'!$A:$G,5,0)="Y",1,0))</f>
        <v>1</v>
      </c>
      <c r="P91">
        <f>IF(Q91&lt;1,0,IF(VLOOKUP($A91,'Actual Dates'!$A:$G,4,0)="Y",1,0))</f>
        <v>1</v>
      </c>
      <c r="Q91">
        <f>IF(R91&lt;1,0,IF(VLOOKUP($A91,'Actual Dates'!$A:$G,3,0)="Y",1,0))</f>
        <v>1</v>
      </c>
      <c r="R91">
        <f>IF(VLOOKUP($A91,'Actual Dates'!$A:$G,2,0)="Y",1,0)</f>
        <v>1</v>
      </c>
      <c r="S91" s="4">
        <f ca="1">_xlfn.IFNA(+VLOOKUP(A91,'Date Calcs'!A:AG,8,),TODAY())</f>
        <v>46083</v>
      </c>
      <c r="T91" s="4">
        <f ca="1">_xlfn.IFNA(VLOOKUP(A91,'Date Calcs'!A:AG,10,),TODAY())</f>
        <v>46062</v>
      </c>
      <c r="U91" s="4">
        <f ca="1">_xlfn.IFNA(+VLOOKUP(A91,'Date Calcs'!A:AG,12,),TODAY())</f>
        <v>46100</v>
      </c>
      <c r="V91" s="4">
        <f ca="1">_xlfn.IFNA(+VLOOKUP(A91,'Date Calcs'!A:AG,14,),TODAY())</f>
        <v>46114</v>
      </c>
      <c r="W91" s="4">
        <f ca="1">_xlfn.IFNA(+VLOOKUP(A91,'Date Calcs'!A:AG,16,),TODAY())</f>
        <v>46069</v>
      </c>
      <c r="X91" s="4">
        <f ca="1">_xlfn.IFNA(IF(C91=0,VLOOKUP(A91,'Date Calcs'!A:AG,8,),IF(C91=1,VLOOKUP(A91,'Date Calcs'!A:AG,10,),IF(C91=2,VLOOKUP(A91,'Date Calcs'!A:AG,12,),IF(C91=3,VLOOKUP(A91,'Date Calcs'!A:AG,14,),4)))),TODAY())</f>
        <v>4</v>
      </c>
      <c r="Y91" s="4">
        <f t="shared" ca="1" si="11"/>
        <v>46069</v>
      </c>
      <c r="Z91" s="4">
        <f ca="1">_xlfn.IFNA(Y91+(VLOOKUP(A91,'Date Calcs'!A:W,22,0)*7),TODAY())</f>
        <v>46076</v>
      </c>
      <c r="AA91" s="4" t="str">
        <f>_xlfn.IFNA(VLOOKUP(A91,'RTR v2'!$A:$AW,46,0),"")</f>
        <v xml:space="preserve"> </v>
      </c>
    </row>
    <row r="92" spans="1:27" ht="23.25" x14ac:dyDescent="0.25">
      <c r="A92" s="12" t="str">
        <f>'Actual Dates'!A90</f>
        <v>25-108</v>
      </c>
      <c r="B92" s="13" t="str">
        <f>_xlfn.IFNA(VLOOKUP(A92,'Date Calcs'!A:B,2,),"")</f>
        <v>Epic Systems</v>
      </c>
      <c r="C92" s="14">
        <f>VLOOKUP(A92,'Actual Dates'!A:AE,18,)</f>
        <v>2</v>
      </c>
      <c r="D92" s="15">
        <f t="shared" ca="1" si="8"/>
        <v>46121</v>
      </c>
      <c r="E92" s="15">
        <f t="shared" ca="1" si="9"/>
        <v>46115</v>
      </c>
      <c r="F92" s="14">
        <f ca="1">IFERROR(ROUND(IF(A92="","",IF(E92=0,D92-Date!$B$3,D92-E92)),0),"")</f>
        <v>6</v>
      </c>
      <c r="G92" s="14" t="str">
        <f>_xlfn.IFNA(VLOOKUP(A92,'RTR v2'!A:AW,48,FALSE)," ")</f>
        <v/>
      </c>
      <c r="I92" s="16" t="str">
        <f t="shared" si="10"/>
        <v>N</v>
      </c>
      <c r="J92" s="16" t="str">
        <f t="shared" si="12"/>
        <v xml:space="preserve">  </v>
      </c>
      <c r="L92" s="17"/>
      <c r="M92" t="str">
        <f t="shared" si="13"/>
        <v xml:space="preserve"> </v>
      </c>
      <c r="N92">
        <f t="shared" si="14"/>
        <v>0</v>
      </c>
      <c r="O92">
        <f>IF(P92&lt;1,0,IF(VLOOKUP($A92,'Actual Dates'!$A:$G,5,0)="Y",1,0))</f>
        <v>0</v>
      </c>
      <c r="P92">
        <f>IF(Q92&lt;1,0,IF(VLOOKUP($A92,'Actual Dates'!$A:$G,4,0)="Y",1,0))</f>
        <v>0</v>
      </c>
      <c r="Q92">
        <f>IF(R92&lt;1,0,IF(VLOOKUP($A92,'Actual Dates'!$A:$G,3,0)="Y",1,0))</f>
        <v>1</v>
      </c>
      <c r="R92">
        <f>IF(VLOOKUP($A92,'Actual Dates'!$A:$G,2,0)="Y",1,0)</f>
        <v>1</v>
      </c>
      <c r="S92" s="4">
        <f ca="1">_xlfn.IFNA(+VLOOKUP(A92,'Date Calcs'!A:AG,8,),TODAY())</f>
        <v>45988</v>
      </c>
      <c r="T92" s="4">
        <f ca="1">_xlfn.IFNA(VLOOKUP(A92,'Date Calcs'!A:AG,10,),TODAY())</f>
        <v>46062</v>
      </c>
      <c r="U92" s="4">
        <f ca="1">_xlfn.IFNA(+VLOOKUP(A92,'Date Calcs'!A:AG,12,),TODAY())</f>
        <v>46100</v>
      </c>
      <c r="V92" s="4">
        <f ca="1">_xlfn.IFNA(+VLOOKUP(A92,'Date Calcs'!A:AG,14,),TODAY())</f>
        <v>46114</v>
      </c>
      <c r="W92" s="4">
        <f ca="1">_xlfn.IFNA(+VLOOKUP(A92,'Date Calcs'!A:AG,16,),TODAY())</f>
        <v>45974</v>
      </c>
      <c r="X92" s="4">
        <f ca="1">_xlfn.IFNA(IF(C92=0,VLOOKUP(A92,'Date Calcs'!A:AG,8,),IF(C92=1,VLOOKUP(A92,'Date Calcs'!A:AG,10,),IF(C92=2,VLOOKUP(A92,'Date Calcs'!A:AG,12,),IF(C92=3,VLOOKUP(A92,'Date Calcs'!A:AG,14,),4)))),TODAY())</f>
        <v>46100</v>
      </c>
      <c r="Y92" s="4">
        <f t="shared" ca="1" si="11"/>
        <v>46100</v>
      </c>
      <c r="Z92" s="4">
        <f ca="1">_xlfn.IFNA(Y92+(VLOOKUP(A92,'Date Calcs'!A:W,22,0)*7),TODAY())</f>
        <v>46121</v>
      </c>
      <c r="AA92" s="4" t="str">
        <f>_xlfn.IFNA(VLOOKUP(A92,'RTR v2'!$A:$AW,46,0),"")</f>
        <v xml:space="preserve"> </v>
      </c>
    </row>
    <row r="93" spans="1:27" ht="23.25" hidden="1" x14ac:dyDescent="0.25">
      <c r="A93" s="12" t="str">
        <f>'Actual Dates'!A91</f>
        <v>25-109</v>
      </c>
      <c r="B93" s="13" t="str">
        <f>_xlfn.IFNA(VLOOKUP(A93,'Date Calcs'!A:B,2,),"")</f>
        <v>Epic Systems</v>
      </c>
      <c r="C93" s="14">
        <f>VLOOKUP(A93,'Actual Dates'!A:AE,18,)</f>
        <v>4</v>
      </c>
      <c r="D93" s="15">
        <f t="shared" ca="1" si="8"/>
        <v>45974</v>
      </c>
      <c r="E93" s="15">
        <f t="shared" ca="1" si="9"/>
        <v>46072</v>
      </c>
      <c r="F93" s="14">
        <f ca="1">IFERROR(ROUND(IF(A93="","",IF(E93=0,D93-Date!$B$3,D93-E93)),0),"")</f>
        <v>-98</v>
      </c>
      <c r="G93" s="14" t="str">
        <f>_xlfn.IFNA(VLOOKUP(A93,'RTR v2'!A:AW,48,FALSE)," ")</f>
        <v/>
      </c>
      <c r="I93" s="16" t="str">
        <f t="shared" si="10"/>
        <v>Y</v>
      </c>
      <c r="J93" s="16" t="str">
        <f t="shared" si="12"/>
        <v>y</v>
      </c>
      <c r="L93" s="17"/>
      <c r="M93" t="str">
        <f t="shared" si="13"/>
        <v xml:space="preserve"> </v>
      </c>
      <c r="N93">
        <f t="shared" si="14"/>
        <v>1</v>
      </c>
      <c r="O93">
        <f>IF(P93&lt;1,0,IF(VLOOKUP($A93,'Actual Dates'!$A:$G,5,0)="Y",1,0))</f>
        <v>1</v>
      </c>
      <c r="P93">
        <f>IF(Q93&lt;1,0,IF(VLOOKUP($A93,'Actual Dates'!$A:$G,4,0)="Y",1,0))</f>
        <v>1</v>
      </c>
      <c r="Q93">
        <f>IF(R93&lt;1,0,IF(VLOOKUP($A93,'Actual Dates'!$A:$G,3,0)="Y",1,0))</f>
        <v>1</v>
      </c>
      <c r="R93">
        <f>IF(VLOOKUP($A93,'Actual Dates'!$A:$G,2,0)="Y",1,0)</f>
        <v>1</v>
      </c>
      <c r="S93" s="4">
        <f ca="1">_xlfn.IFNA(+VLOOKUP(A93,'Date Calcs'!A:AG,8,),TODAY())</f>
        <v>45988</v>
      </c>
      <c r="T93" s="4">
        <f ca="1">_xlfn.IFNA(VLOOKUP(A93,'Date Calcs'!A:AG,10,),TODAY())</f>
        <v>46010</v>
      </c>
      <c r="U93" s="4">
        <f ca="1">_xlfn.IFNA(+VLOOKUP(A93,'Date Calcs'!A:AG,12,),TODAY())</f>
        <v>46041</v>
      </c>
      <c r="V93" s="4">
        <f ca="1">_xlfn.IFNA(+VLOOKUP(A93,'Date Calcs'!A:AG,14,),TODAY())</f>
        <v>46052</v>
      </c>
      <c r="W93" s="4">
        <f ca="1">_xlfn.IFNA(+VLOOKUP(A93,'Date Calcs'!A:AG,16,),TODAY())</f>
        <v>45974</v>
      </c>
      <c r="X93" s="4">
        <f ca="1">_xlfn.IFNA(IF(C93=0,VLOOKUP(A93,'Date Calcs'!A:AG,8,),IF(C93=1,VLOOKUP(A93,'Date Calcs'!A:AG,10,),IF(C93=2,VLOOKUP(A93,'Date Calcs'!A:AG,12,),IF(C93=3,VLOOKUP(A93,'Date Calcs'!A:AG,14,),4)))),TODAY())</f>
        <v>4</v>
      </c>
      <c r="Y93" s="4">
        <f t="shared" ca="1" si="11"/>
        <v>45974</v>
      </c>
      <c r="Z93" s="4">
        <f ca="1">_xlfn.IFNA(Y93+(VLOOKUP(A93,'Date Calcs'!A:W,22,0)*7),TODAY())</f>
        <v>45974</v>
      </c>
      <c r="AA93" s="4" t="str">
        <f>_xlfn.IFNA(VLOOKUP(A93,'RTR v2'!$A:$AW,46,0),"")</f>
        <v xml:space="preserve"> </v>
      </c>
    </row>
    <row r="94" spans="1:27" ht="23.25" hidden="1" x14ac:dyDescent="0.25">
      <c r="A94" s="12" t="str">
        <f>'Actual Dates'!A92</f>
        <v>25-110</v>
      </c>
      <c r="B94" s="13" t="str">
        <f>_xlfn.IFNA(VLOOKUP(A94,'Date Calcs'!A:B,2,),"")</f>
        <v>Epic Systems</v>
      </c>
      <c r="C94" s="14">
        <f>VLOOKUP(A94,'Actual Dates'!A:AE,18,)</f>
        <v>4</v>
      </c>
      <c r="D94" s="15">
        <f t="shared" ca="1" si="8"/>
        <v>45974</v>
      </c>
      <c r="E94" s="15">
        <f t="shared" ca="1" si="9"/>
        <v>46077</v>
      </c>
      <c r="F94" s="14">
        <f ca="1">IFERROR(ROUND(IF(A94="","",IF(E94=0,D94-Date!$B$3,D94-E94)),0),"")</f>
        <v>-103</v>
      </c>
      <c r="G94" s="14" t="str">
        <f>_xlfn.IFNA(VLOOKUP(A94,'RTR v2'!A:AW,48,FALSE)," ")</f>
        <v/>
      </c>
      <c r="I94" s="16" t="str">
        <f t="shared" si="10"/>
        <v>Y</v>
      </c>
      <c r="J94" s="16" t="str">
        <f t="shared" si="12"/>
        <v>y</v>
      </c>
      <c r="L94" s="17"/>
      <c r="M94" t="str">
        <f t="shared" si="13"/>
        <v xml:space="preserve"> </v>
      </c>
      <c r="N94">
        <f t="shared" si="14"/>
        <v>1</v>
      </c>
      <c r="O94">
        <f>IF(P94&lt;1,0,IF(VLOOKUP($A94,'Actual Dates'!$A:$G,5,0)="Y",1,0))</f>
        <v>1</v>
      </c>
      <c r="P94">
        <f>IF(Q94&lt;1,0,IF(VLOOKUP($A94,'Actual Dates'!$A:$G,4,0)="Y",1,0))</f>
        <v>1</v>
      </c>
      <c r="Q94">
        <f>IF(R94&lt;1,0,IF(VLOOKUP($A94,'Actual Dates'!$A:$G,3,0)="Y",1,0))</f>
        <v>1</v>
      </c>
      <c r="R94">
        <f>IF(VLOOKUP($A94,'Actual Dates'!$A:$G,2,0)="Y",1,0)</f>
        <v>1</v>
      </c>
      <c r="S94" s="4">
        <f ca="1">_xlfn.IFNA(+VLOOKUP(A94,'Date Calcs'!A:AG,8,),TODAY())</f>
        <v>45988</v>
      </c>
      <c r="T94" s="4">
        <f ca="1">_xlfn.IFNA(VLOOKUP(A94,'Date Calcs'!A:AG,10,),TODAY())</f>
        <v>46010</v>
      </c>
      <c r="U94" s="4">
        <f ca="1">_xlfn.IFNA(+VLOOKUP(A94,'Date Calcs'!A:AG,12,),TODAY())</f>
        <v>46041</v>
      </c>
      <c r="V94" s="4">
        <f ca="1">_xlfn.IFNA(+VLOOKUP(A94,'Date Calcs'!A:AG,14,),TODAY())</f>
        <v>46052</v>
      </c>
      <c r="W94" s="4">
        <f ca="1">_xlfn.IFNA(+VLOOKUP(A94,'Date Calcs'!A:AG,16,),TODAY())</f>
        <v>45974</v>
      </c>
      <c r="X94" s="4">
        <f ca="1">_xlfn.IFNA(IF(C94=0,VLOOKUP(A94,'Date Calcs'!A:AG,8,),IF(C94=1,VLOOKUP(A94,'Date Calcs'!A:AG,10,),IF(C94=2,VLOOKUP(A94,'Date Calcs'!A:AG,12,),IF(C94=3,VLOOKUP(A94,'Date Calcs'!A:AG,14,),4)))),TODAY())</f>
        <v>4</v>
      </c>
      <c r="Y94" s="4">
        <f t="shared" ca="1" si="11"/>
        <v>45974</v>
      </c>
      <c r="Z94" s="4">
        <f ca="1">_xlfn.IFNA(Y94+(VLOOKUP(A94,'Date Calcs'!A:W,22,0)*7),TODAY())</f>
        <v>45974</v>
      </c>
      <c r="AA94" s="4" t="str">
        <f>_xlfn.IFNA(VLOOKUP(A94,'RTR v2'!$A:$AW,46,0),"")</f>
        <v xml:space="preserve"> </v>
      </c>
    </row>
    <row r="95" spans="1:27" ht="23.25" hidden="1" x14ac:dyDescent="0.25">
      <c r="A95" s="12" t="str">
        <f>'Actual Dates'!A93</f>
        <v>25-111</v>
      </c>
      <c r="B95" s="13" t="str">
        <f>_xlfn.IFNA(VLOOKUP(A95,'Date Calcs'!A:B,2,),"")</f>
        <v>Epic Systems</v>
      </c>
      <c r="C95" s="14">
        <f>VLOOKUP(A95,'Actual Dates'!A:AE,18,)</f>
        <v>4</v>
      </c>
      <c r="D95" s="15">
        <f t="shared" ca="1" si="8"/>
        <v>45974</v>
      </c>
      <c r="E95" s="15">
        <f t="shared" ca="1" si="9"/>
        <v>46077</v>
      </c>
      <c r="F95" s="14">
        <f ca="1">IFERROR(ROUND(IF(A95="","",IF(E95=0,D95-Date!$B$3,D95-E95)),0),"")</f>
        <v>-103</v>
      </c>
      <c r="G95" s="14" t="str">
        <f>_xlfn.IFNA(VLOOKUP(A95,'RTR v2'!A:AW,48,FALSE)," ")</f>
        <v/>
      </c>
      <c r="I95" s="16" t="str">
        <f t="shared" si="10"/>
        <v>Y</v>
      </c>
      <c r="J95" s="16" t="str">
        <f t="shared" si="12"/>
        <v>y</v>
      </c>
      <c r="L95" s="17"/>
      <c r="M95" t="str">
        <f t="shared" si="13"/>
        <v xml:space="preserve"> </v>
      </c>
      <c r="N95">
        <f t="shared" si="14"/>
        <v>1</v>
      </c>
      <c r="O95">
        <f>IF(P95&lt;1,0,IF(VLOOKUP($A95,'Actual Dates'!$A:$G,5,0)="Y",1,0))</f>
        <v>1</v>
      </c>
      <c r="P95">
        <f>IF(Q95&lt;1,0,IF(VLOOKUP($A95,'Actual Dates'!$A:$G,4,0)="Y",1,0))</f>
        <v>1</v>
      </c>
      <c r="Q95">
        <f>IF(R95&lt;1,0,IF(VLOOKUP($A95,'Actual Dates'!$A:$G,3,0)="Y",1,0))</f>
        <v>1</v>
      </c>
      <c r="R95">
        <f>IF(VLOOKUP($A95,'Actual Dates'!$A:$G,2,0)="Y",1,0)</f>
        <v>1</v>
      </c>
      <c r="S95" s="4">
        <f ca="1">_xlfn.IFNA(+VLOOKUP(A95,'Date Calcs'!A:AG,8,),TODAY())</f>
        <v>45988</v>
      </c>
      <c r="T95" s="4">
        <f ca="1">_xlfn.IFNA(VLOOKUP(A95,'Date Calcs'!A:AG,10,),TODAY())</f>
        <v>46010</v>
      </c>
      <c r="U95" s="4">
        <f ca="1">_xlfn.IFNA(+VLOOKUP(A95,'Date Calcs'!A:AG,12,),TODAY())</f>
        <v>46041</v>
      </c>
      <c r="V95" s="4">
        <f ca="1">_xlfn.IFNA(+VLOOKUP(A95,'Date Calcs'!A:AG,14,),TODAY())</f>
        <v>46052</v>
      </c>
      <c r="W95" s="4">
        <f ca="1">_xlfn.IFNA(+VLOOKUP(A95,'Date Calcs'!A:AG,16,),TODAY())</f>
        <v>45974</v>
      </c>
      <c r="X95" s="4">
        <f ca="1">_xlfn.IFNA(IF(C95=0,VLOOKUP(A95,'Date Calcs'!A:AG,8,),IF(C95=1,VLOOKUP(A95,'Date Calcs'!A:AG,10,),IF(C95=2,VLOOKUP(A95,'Date Calcs'!A:AG,12,),IF(C95=3,VLOOKUP(A95,'Date Calcs'!A:AG,14,),4)))),TODAY())</f>
        <v>4</v>
      </c>
      <c r="Y95" s="4">
        <f t="shared" ca="1" si="11"/>
        <v>45974</v>
      </c>
      <c r="Z95" s="4">
        <f ca="1">_xlfn.IFNA(Y95+(VLOOKUP(A95,'Date Calcs'!A:W,22,0)*7),TODAY())</f>
        <v>45974</v>
      </c>
      <c r="AA95" s="4" t="str">
        <f>_xlfn.IFNA(VLOOKUP(A95,'RTR v2'!$A:$AW,46,0),"")</f>
        <v xml:space="preserve"> </v>
      </c>
    </row>
    <row r="96" spans="1:27" ht="23.25" hidden="1" x14ac:dyDescent="0.25">
      <c r="A96" s="12" t="str">
        <f>'Actual Dates'!A94</f>
        <v>25-112</v>
      </c>
      <c r="B96" s="13" t="str">
        <f>_xlfn.IFNA(VLOOKUP(A96,'Date Calcs'!A:B,2,),"")</f>
        <v>Epic Systems</v>
      </c>
      <c r="C96" s="14">
        <f>VLOOKUP(A96,'Actual Dates'!A:AE,18,)</f>
        <v>4</v>
      </c>
      <c r="D96" s="15">
        <f t="shared" ca="1" si="8"/>
        <v>45974</v>
      </c>
      <c r="E96" s="15">
        <f t="shared" ca="1" si="9"/>
        <v>46077</v>
      </c>
      <c r="F96" s="14">
        <f ca="1">IFERROR(ROUND(IF(A96="","",IF(E96=0,D96-Date!$B$3,D96-E96)),0),"")</f>
        <v>-103</v>
      </c>
      <c r="G96" s="14" t="str">
        <f>_xlfn.IFNA(VLOOKUP(A96,'RTR v2'!A:AW,48,FALSE)," ")</f>
        <v/>
      </c>
      <c r="I96" s="16" t="str">
        <f t="shared" si="10"/>
        <v>Y</v>
      </c>
      <c r="J96" s="16" t="str">
        <f t="shared" si="12"/>
        <v>y</v>
      </c>
      <c r="L96" s="17"/>
      <c r="M96" t="str">
        <f t="shared" si="13"/>
        <v xml:space="preserve"> </v>
      </c>
      <c r="N96">
        <f t="shared" si="14"/>
        <v>1</v>
      </c>
      <c r="O96">
        <f>IF(P96&lt;1,0,IF(VLOOKUP($A96,'Actual Dates'!$A:$G,5,0)="Y",1,0))</f>
        <v>1</v>
      </c>
      <c r="P96">
        <f>IF(Q96&lt;1,0,IF(VLOOKUP($A96,'Actual Dates'!$A:$G,4,0)="Y",1,0))</f>
        <v>1</v>
      </c>
      <c r="Q96">
        <f>IF(R96&lt;1,0,IF(VLOOKUP($A96,'Actual Dates'!$A:$G,3,0)="Y",1,0))</f>
        <v>1</v>
      </c>
      <c r="R96">
        <f>IF(VLOOKUP($A96,'Actual Dates'!$A:$G,2,0)="Y",1,0)</f>
        <v>1</v>
      </c>
      <c r="S96" s="4">
        <f ca="1">_xlfn.IFNA(+VLOOKUP(A96,'Date Calcs'!A:AG,8,),TODAY())</f>
        <v>45988</v>
      </c>
      <c r="T96" s="4">
        <f ca="1">_xlfn.IFNA(VLOOKUP(A96,'Date Calcs'!A:AG,10,),TODAY())</f>
        <v>46010</v>
      </c>
      <c r="U96" s="4">
        <f ca="1">_xlfn.IFNA(+VLOOKUP(A96,'Date Calcs'!A:AG,12,),TODAY())</f>
        <v>46041</v>
      </c>
      <c r="V96" s="4">
        <f ca="1">_xlfn.IFNA(+VLOOKUP(A96,'Date Calcs'!A:AG,14,),TODAY())</f>
        <v>46052</v>
      </c>
      <c r="W96" s="4">
        <f ca="1">_xlfn.IFNA(+VLOOKUP(A96,'Date Calcs'!A:AG,16,),TODAY())</f>
        <v>45974</v>
      </c>
      <c r="X96" s="4">
        <f ca="1">_xlfn.IFNA(IF(C96=0,VLOOKUP(A96,'Date Calcs'!A:AG,8,),IF(C96=1,VLOOKUP(A96,'Date Calcs'!A:AG,10,),IF(C96=2,VLOOKUP(A96,'Date Calcs'!A:AG,12,),IF(C96=3,VLOOKUP(A96,'Date Calcs'!A:AG,14,),4)))),TODAY())</f>
        <v>4</v>
      </c>
      <c r="Y96" s="4">
        <f t="shared" ca="1" si="11"/>
        <v>45974</v>
      </c>
      <c r="Z96" s="4">
        <f ca="1">_xlfn.IFNA(Y96+(VLOOKUP(A96,'Date Calcs'!A:W,22,0)*7),TODAY())</f>
        <v>45974</v>
      </c>
      <c r="AA96" s="4" t="str">
        <f>_xlfn.IFNA(VLOOKUP(A96,'RTR v2'!$A:$AW,46,0),"")</f>
        <v xml:space="preserve"> </v>
      </c>
    </row>
    <row r="97" spans="1:27" ht="23.25" hidden="1" x14ac:dyDescent="0.25">
      <c r="A97" s="12" t="str">
        <f>'Actual Dates'!A95</f>
        <v>25-113</v>
      </c>
      <c r="B97" s="13" t="str">
        <f>_xlfn.IFNA(VLOOKUP(A97,'Date Calcs'!A:B,2,),"")</f>
        <v>Epic Systems</v>
      </c>
      <c r="C97" s="14">
        <f>VLOOKUP(A97,'Actual Dates'!A:AE,18,)</f>
        <v>3</v>
      </c>
      <c r="D97" s="15">
        <f t="shared" ca="1" si="8"/>
        <v>46107</v>
      </c>
      <c r="E97" s="15">
        <f t="shared" ca="1" si="9"/>
        <v>46100</v>
      </c>
      <c r="F97" s="14">
        <f ca="1">IFERROR(ROUND(IF(A97="","",IF(E97=0,D97-Date!$B$3,D97-E97)),0),"")</f>
        <v>7</v>
      </c>
      <c r="G97" s="14" t="str">
        <f>_xlfn.IFNA(VLOOKUP(A97,'RTR v2'!A:AW,48,FALSE)," ")</f>
        <v/>
      </c>
      <c r="I97" s="16" t="str">
        <f t="shared" si="10"/>
        <v>N</v>
      </c>
      <c r="J97" s="16" t="str">
        <f t="shared" si="12"/>
        <v>y</v>
      </c>
      <c r="L97" s="17"/>
      <c r="M97" t="str">
        <f t="shared" si="13"/>
        <v xml:space="preserve"> </v>
      </c>
      <c r="N97">
        <f t="shared" si="14"/>
        <v>0</v>
      </c>
      <c r="O97">
        <f>IF(P97&lt;1,0,IF(VLOOKUP($A97,'Actual Dates'!$A:$G,5,0)="Y",1,0))</f>
        <v>0</v>
      </c>
      <c r="P97">
        <f>IF(Q97&lt;1,0,IF(VLOOKUP($A97,'Actual Dates'!$A:$G,4,0)="Y",1,0))</f>
        <v>1</v>
      </c>
      <c r="Q97">
        <f>IF(R97&lt;1,0,IF(VLOOKUP($A97,'Actual Dates'!$A:$G,3,0)="Y",1,0))</f>
        <v>1</v>
      </c>
      <c r="R97">
        <f>IF(VLOOKUP($A97,'Actual Dates'!$A:$G,2,0)="Y",1,0)</f>
        <v>1</v>
      </c>
      <c r="S97" s="4">
        <f ca="1">_xlfn.IFNA(+VLOOKUP(A97,'Date Calcs'!A:AG,8,),TODAY())</f>
        <v>46003</v>
      </c>
      <c r="T97" s="4">
        <f ca="1">_xlfn.IFNA(VLOOKUP(A97,'Date Calcs'!A:AG,10,),TODAY())</f>
        <v>46041</v>
      </c>
      <c r="U97" s="4">
        <f ca="1">_xlfn.IFNA(+VLOOKUP(A97,'Date Calcs'!A:AG,12,),TODAY())</f>
        <v>46062</v>
      </c>
      <c r="V97" s="4">
        <f ca="1">_xlfn.IFNA(+VLOOKUP(A97,'Date Calcs'!A:AG,14,),TODAY())</f>
        <v>46107</v>
      </c>
      <c r="W97" s="4">
        <f ca="1">_xlfn.IFNA(+VLOOKUP(A97,'Date Calcs'!A:AG,16,),TODAY())</f>
        <v>45989</v>
      </c>
      <c r="X97" s="4">
        <f ca="1">_xlfn.IFNA(IF(C97=0,VLOOKUP(A97,'Date Calcs'!A:AG,8,),IF(C97=1,VLOOKUP(A97,'Date Calcs'!A:AG,10,),IF(C97=2,VLOOKUP(A97,'Date Calcs'!A:AG,12,),IF(C97=3,VLOOKUP(A97,'Date Calcs'!A:AG,14,),4)))),TODAY())</f>
        <v>46107</v>
      </c>
      <c r="Y97" s="4">
        <f t="shared" ca="1" si="11"/>
        <v>46107</v>
      </c>
      <c r="Z97" s="4">
        <f ca="1">_xlfn.IFNA(Y97+(VLOOKUP(A97,'Date Calcs'!A:W,22,0)*7),TODAY())</f>
        <v>46107</v>
      </c>
      <c r="AA97" s="4" t="str">
        <f>_xlfn.IFNA(VLOOKUP(A97,'RTR v2'!$A:$AW,46,0),"")</f>
        <v xml:space="preserve"> </v>
      </c>
    </row>
    <row r="98" spans="1:27" ht="23.25" hidden="1" x14ac:dyDescent="0.25">
      <c r="A98" s="12" t="str">
        <f>'Actual Dates'!A96</f>
        <v>25-115</v>
      </c>
      <c r="B98" s="13" t="str">
        <f>_xlfn.IFNA(VLOOKUP(A98,'Date Calcs'!A:B,2,),"")</f>
        <v>Epic Systems</v>
      </c>
      <c r="C98" s="14">
        <f>VLOOKUP(A98,'Actual Dates'!A:AE,18,)</f>
        <v>3</v>
      </c>
      <c r="D98" s="15">
        <f t="shared" ca="1" si="8"/>
        <v>46079</v>
      </c>
      <c r="E98" s="15">
        <f t="shared" ca="1" si="9"/>
        <v>46072</v>
      </c>
      <c r="F98" s="14">
        <f ca="1">IFERROR(ROUND(IF(A98="","",IF(E98=0,D98-Date!$B$3,D98-E98)),0),"")</f>
        <v>7</v>
      </c>
      <c r="G98" s="14" t="str">
        <f>_xlfn.IFNA(VLOOKUP(A98,'RTR v2'!A:AW,48,FALSE)," ")</f>
        <v/>
      </c>
      <c r="I98" s="16" t="str">
        <f t="shared" si="10"/>
        <v>N</v>
      </c>
      <c r="J98" s="16" t="str">
        <f t="shared" si="12"/>
        <v>y</v>
      </c>
      <c r="L98" s="17"/>
      <c r="M98" t="str">
        <f t="shared" si="13"/>
        <v xml:space="preserve"> </v>
      </c>
      <c r="N98">
        <f t="shared" si="14"/>
        <v>0</v>
      </c>
      <c r="O98">
        <f>IF(P98&lt;1,0,IF(VLOOKUP($A98,'Actual Dates'!$A:$G,5,0)="Y",1,0))</f>
        <v>0</v>
      </c>
      <c r="P98">
        <f>IF(Q98&lt;1,0,IF(VLOOKUP($A98,'Actual Dates'!$A:$G,4,0)="Y",1,0))</f>
        <v>1</v>
      </c>
      <c r="Q98">
        <f>IF(R98&lt;1,0,IF(VLOOKUP($A98,'Actual Dates'!$A:$G,3,0)="Y",1,0))</f>
        <v>1</v>
      </c>
      <c r="R98">
        <f>IF(VLOOKUP($A98,'Actual Dates'!$A:$G,2,0)="Y",1,0)</f>
        <v>1</v>
      </c>
      <c r="S98" s="4">
        <f ca="1">_xlfn.IFNA(+VLOOKUP(A98,'Date Calcs'!A:AG,8,),TODAY())</f>
        <v>45988</v>
      </c>
      <c r="T98" s="4">
        <f ca="1">_xlfn.IFNA(VLOOKUP(A98,'Date Calcs'!A:AG,10,),TODAY())</f>
        <v>46041</v>
      </c>
      <c r="U98" s="4">
        <f ca="1">_xlfn.IFNA(+VLOOKUP(A98,'Date Calcs'!A:AG,12,),TODAY())</f>
        <v>46052</v>
      </c>
      <c r="V98" s="4">
        <f ca="1">_xlfn.IFNA(+VLOOKUP(A98,'Date Calcs'!A:AG,14,),TODAY())</f>
        <v>46079</v>
      </c>
      <c r="W98" s="4">
        <f ca="1">_xlfn.IFNA(+VLOOKUP(A98,'Date Calcs'!A:AG,16,),TODAY())</f>
        <v>45974</v>
      </c>
      <c r="X98" s="4">
        <f ca="1">_xlfn.IFNA(IF(C98=0,VLOOKUP(A98,'Date Calcs'!A:AG,8,),IF(C98=1,VLOOKUP(A98,'Date Calcs'!A:AG,10,),IF(C98=2,VLOOKUP(A98,'Date Calcs'!A:AG,12,),IF(C98=3,VLOOKUP(A98,'Date Calcs'!A:AG,14,),4)))),TODAY())</f>
        <v>46079</v>
      </c>
      <c r="Y98" s="4">
        <f t="shared" ca="1" si="11"/>
        <v>46079</v>
      </c>
      <c r="Z98" s="4">
        <f ca="1">_xlfn.IFNA(Y98+(VLOOKUP(A98,'Date Calcs'!A:W,22,0)*7),TODAY())</f>
        <v>46079</v>
      </c>
      <c r="AA98" s="4" t="str">
        <f>_xlfn.IFNA(VLOOKUP(A98,'RTR v2'!$A:$AW,46,0),"")</f>
        <v xml:space="preserve"> </v>
      </c>
    </row>
    <row r="99" spans="1:27" ht="23.25" hidden="1" x14ac:dyDescent="0.25">
      <c r="A99" s="12" t="str">
        <f>'Actual Dates'!A97</f>
        <v>25-116</v>
      </c>
      <c r="B99" s="13" t="str">
        <f>_xlfn.IFNA(VLOOKUP(A99,'Date Calcs'!A:B,2,),"")</f>
        <v>Polynt</v>
      </c>
      <c r="C99" s="14">
        <f>VLOOKUP(A99,'Actual Dates'!A:AE,18,)</f>
        <v>4</v>
      </c>
      <c r="D99" s="15">
        <f t="shared" ca="1" si="8"/>
        <v>45979</v>
      </c>
      <c r="E99" s="15">
        <f t="shared" ca="1" si="9"/>
        <v>46115</v>
      </c>
      <c r="F99" s="14">
        <f ca="1">IFERROR(ROUND(IF(A99="","",IF(E99=0,D99-Date!$B$3,D99-E99)),0),"")</f>
        <v>-136</v>
      </c>
      <c r="G99" s="14" t="str">
        <f>_xlfn.IFNA(VLOOKUP(A99,'RTR v2'!A:AW,48,FALSE)," ")</f>
        <v/>
      </c>
      <c r="I99" s="16" t="str">
        <f t="shared" si="10"/>
        <v>Y</v>
      </c>
      <c r="J99" s="16" t="str">
        <f t="shared" si="12"/>
        <v xml:space="preserve">  </v>
      </c>
      <c r="L99" s="17"/>
      <c r="M99" t="str">
        <f t="shared" si="13"/>
        <v xml:space="preserve"> </v>
      </c>
      <c r="N99">
        <f t="shared" si="14"/>
        <v>1</v>
      </c>
      <c r="O99">
        <f>IF(P99&lt;1,0,IF(VLOOKUP($A99,'Actual Dates'!$A:$G,5,0)="Y",1,0))</f>
        <v>1</v>
      </c>
      <c r="P99">
        <f>IF(Q99&lt;1,0,IF(VLOOKUP($A99,'Actual Dates'!$A:$G,4,0)="Y",1,0))</f>
        <v>1</v>
      </c>
      <c r="Q99">
        <f>IF(R99&lt;1,0,IF(VLOOKUP($A99,'Actual Dates'!$A:$G,3,0)="Y",1,0))</f>
        <v>1</v>
      </c>
      <c r="R99">
        <f>IF(VLOOKUP($A99,'Actual Dates'!$A:$G,2,0)="Y",1,0)</f>
        <v>1</v>
      </c>
      <c r="S99" s="4">
        <f ca="1">_xlfn.IFNA(+VLOOKUP(A99,'Date Calcs'!A:AG,8,),TODAY())</f>
        <v>45993</v>
      </c>
      <c r="T99" s="4">
        <f ca="1">_xlfn.IFNA(VLOOKUP(A99,'Date Calcs'!A:AG,10,),TODAY())</f>
        <v>46031</v>
      </c>
      <c r="U99" s="4">
        <f ca="1">_xlfn.IFNA(+VLOOKUP(A99,'Date Calcs'!A:AG,12,),TODAY())</f>
        <v>46072</v>
      </c>
      <c r="V99" s="4">
        <f ca="1">_xlfn.IFNA(+VLOOKUP(A99,'Date Calcs'!A:AG,14,),TODAY())</f>
        <v>46111</v>
      </c>
      <c r="W99" s="4">
        <f ca="1">_xlfn.IFNA(+VLOOKUP(A99,'Date Calcs'!A:AG,16,),TODAY())</f>
        <v>45979</v>
      </c>
      <c r="X99" s="4">
        <f ca="1">_xlfn.IFNA(IF(C99=0,VLOOKUP(A99,'Date Calcs'!A:AG,8,),IF(C99=1,VLOOKUP(A99,'Date Calcs'!A:AG,10,),IF(C99=2,VLOOKUP(A99,'Date Calcs'!A:AG,12,),IF(C99=3,VLOOKUP(A99,'Date Calcs'!A:AG,14,),4)))),TODAY())</f>
        <v>4</v>
      </c>
      <c r="Y99" s="4">
        <f t="shared" ca="1" si="11"/>
        <v>45979</v>
      </c>
      <c r="Z99" s="4">
        <f ca="1">_xlfn.IFNA(Y99+(VLOOKUP(A99,'Date Calcs'!A:W,22,0)*7),TODAY())</f>
        <v>45979</v>
      </c>
      <c r="AA99" s="4" t="str">
        <f>_xlfn.IFNA(VLOOKUP(A99,'RTR v2'!$A:$AW,46,0),"")</f>
        <v xml:space="preserve"> </v>
      </c>
    </row>
    <row r="100" spans="1:27" ht="23.25" hidden="1" x14ac:dyDescent="0.25">
      <c r="A100" s="12" t="str">
        <f>'Actual Dates'!A98</f>
        <v>25-117</v>
      </c>
      <c r="B100" s="13" t="str">
        <f>_xlfn.IFNA(VLOOKUP(A100,'Date Calcs'!A:B,2,),"")</f>
        <v>Merrick</v>
      </c>
      <c r="C100" s="14">
        <f>VLOOKUP(A100,'Actual Dates'!A:AE,18,)</f>
        <v>3</v>
      </c>
      <c r="D100" s="15">
        <f t="shared" ca="1" si="8"/>
        <v>46077</v>
      </c>
      <c r="E100" s="15">
        <f t="shared" ca="1" si="9"/>
        <v>46063</v>
      </c>
      <c r="F100" s="14">
        <f ca="1">IFERROR(ROUND(IF(A100="","",IF(E100=0,D100-Date!$B$3,D100-E100)),0),"")</f>
        <v>14</v>
      </c>
      <c r="G100" s="14" t="str">
        <f>_xlfn.IFNA(VLOOKUP(A100,'RTR v2'!A:AW,48,FALSE)," ")</f>
        <v/>
      </c>
      <c r="I100" s="16" t="str">
        <f t="shared" si="10"/>
        <v>Y</v>
      </c>
      <c r="J100" s="16" t="str">
        <f t="shared" si="12"/>
        <v>y</v>
      </c>
      <c r="L100" s="17"/>
      <c r="M100" t="str">
        <f t="shared" si="13"/>
        <v xml:space="preserve"> </v>
      </c>
      <c r="N100">
        <f t="shared" si="14"/>
        <v>1</v>
      </c>
      <c r="O100">
        <f>IF(P100&lt;1,0,IF(VLOOKUP($A100,'Actual Dates'!$A:$G,5,0)="Y",1,0))</f>
        <v>1</v>
      </c>
      <c r="P100">
        <f>IF(Q100&lt;1,0,IF(VLOOKUP($A100,'Actual Dates'!$A:$G,4,0)="Y",1,0))</f>
        <v>1</v>
      </c>
      <c r="Q100">
        <f>IF(R100&lt;1,0,IF(VLOOKUP($A100,'Actual Dates'!$A:$G,3,0)="Y",1,0))</f>
        <v>1</v>
      </c>
      <c r="R100">
        <f>IF(VLOOKUP($A100,'Actual Dates'!$A:$G,2,0)="Y",1,0)</f>
        <v>1</v>
      </c>
      <c r="S100" s="4">
        <f ca="1">_xlfn.IFNA(+VLOOKUP(A100,'Date Calcs'!A:AG,8,),TODAY())</f>
        <v>46031</v>
      </c>
      <c r="T100" s="4">
        <f ca="1">_xlfn.IFNA(VLOOKUP(A100,'Date Calcs'!A:AG,10,),TODAY())</f>
        <v>46050</v>
      </c>
      <c r="U100" s="4">
        <f ca="1">_xlfn.IFNA(+VLOOKUP(A100,'Date Calcs'!A:AG,12,),TODAY())</f>
        <v>46062</v>
      </c>
      <c r="V100" s="4">
        <f ca="1">_xlfn.IFNA(+VLOOKUP(A100,'Date Calcs'!A:AG,14,),TODAY())</f>
        <v>46077</v>
      </c>
      <c r="W100" s="4">
        <f ca="1">_xlfn.IFNA(+VLOOKUP(A100,'Date Calcs'!A:AG,16,),TODAY())</f>
        <v>45982</v>
      </c>
      <c r="X100" s="4">
        <f ca="1">_xlfn.IFNA(IF(C100=0,VLOOKUP(A100,'Date Calcs'!A:AG,8,),IF(C100=1,VLOOKUP(A100,'Date Calcs'!A:AG,10,),IF(C100=2,VLOOKUP(A100,'Date Calcs'!A:AG,12,),IF(C100=3,VLOOKUP(A100,'Date Calcs'!A:AG,14,),4)))),TODAY())</f>
        <v>46077</v>
      </c>
      <c r="Y100" s="4">
        <f t="shared" ca="1" si="11"/>
        <v>46077</v>
      </c>
      <c r="Z100" s="4">
        <f ca="1">_xlfn.IFNA(Y100+(VLOOKUP(A100,'Date Calcs'!A:W,22,0)*7),TODAY())</f>
        <v>46077</v>
      </c>
      <c r="AA100" s="4" t="str">
        <f>_xlfn.IFNA(VLOOKUP(A100,'RTR v2'!$A:$AW,46,0),"")</f>
        <v xml:space="preserve"> </v>
      </c>
    </row>
    <row r="101" spans="1:27" ht="23.25" hidden="1" x14ac:dyDescent="0.25">
      <c r="A101" s="12" t="str">
        <f>'Actual Dates'!A99</f>
        <v>25-118</v>
      </c>
      <c r="B101" s="13" t="str">
        <f>_xlfn.IFNA(VLOOKUP(A101,'Date Calcs'!A:B,2,),"")</f>
        <v>Merrick</v>
      </c>
      <c r="C101" s="14">
        <f>VLOOKUP(A101,'Actual Dates'!A:AE,18,)</f>
        <v>3</v>
      </c>
      <c r="D101" s="15">
        <f t="shared" ca="1" si="8"/>
        <v>46083</v>
      </c>
      <c r="E101" s="15">
        <f t="shared" ca="1" si="9"/>
        <v>46069</v>
      </c>
      <c r="F101" s="14">
        <f ca="1">IFERROR(ROUND(IF(A101="","",IF(E101=0,D101-Date!$B$3,D101-E101)),0),"")</f>
        <v>14</v>
      </c>
      <c r="G101" s="14" t="str">
        <f>_xlfn.IFNA(VLOOKUP(A101,'RTR v2'!A:AW,48,FALSE)," ")</f>
        <v/>
      </c>
      <c r="I101" s="16" t="str">
        <f t="shared" si="10"/>
        <v>Y</v>
      </c>
      <c r="J101" s="16" t="str">
        <f t="shared" si="12"/>
        <v>y</v>
      </c>
      <c r="L101" s="17"/>
      <c r="M101" t="str">
        <f t="shared" si="13"/>
        <v xml:space="preserve"> </v>
      </c>
      <c r="N101">
        <f t="shared" si="14"/>
        <v>1</v>
      </c>
      <c r="O101">
        <f>IF(P101&lt;1,0,IF(VLOOKUP($A101,'Actual Dates'!$A:$G,5,0)="Y",1,0))</f>
        <v>1</v>
      </c>
      <c r="P101">
        <f>IF(Q101&lt;1,0,IF(VLOOKUP($A101,'Actual Dates'!$A:$G,4,0)="Y",1,0))</f>
        <v>1</v>
      </c>
      <c r="Q101">
        <f>IF(R101&lt;1,0,IF(VLOOKUP($A101,'Actual Dates'!$A:$G,3,0)="Y",1,0))</f>
        <v>1</v>
      </c>
      <c r="R101">
        <f>IF(VLOOKUP($A101,'Actual Dates'!$A:$G,2,0)="Y",1,0)</f>
        <v>1</v>
      </c>
      <c r="S101" s="4">
        <f ca="1">_xlfn.IFNA(+VLOOKUP(A101,'Date Calcs'!A:AG,8,),TODAY())</f>
        <v>46031</v>
      </c>
      <c r="T101" s="4">
        <f ca="1">_xlfn.IFNA(VLOOKUP(A101,'Date Calcs'!A:AG,10,),TODAY())</f>
        <v>46050</v>
      </c>
      <c r="U101" s="4">
        <f ca="1">_xlfn.IFNA(+VLOOKUP(A101,'Date Calcs'!A:AG,12,),TODAY())</f>
        <v>46069</v>
      </c>
      <c r="V101" s="4">
        <f ca="1">_xlfn.IFNA(+VLOOKUP(A101,'Date Calcs'!A:AG,14,),TODAY())</f>
        <v>46083</v>
      </c>
      <c r="W101" s="4">
        <f ca="1">_xlfn.IFNA(+VLOOKUP(A101,'Date Calcs'!A:AG,16,),TODAY())</f>
        <v>45982</v>
      </c>
      <c r="X101" s="4">
        <f ca="1">_xlfn.IFNA(IF(C101=0,VLOOKUP(A101,'Date Calcs'!A:AG,8,),IF(C101=1,VLOOKUP(A101,'Date Calcs'!A:AG,10,),IF(C101=2,VLOOKUP(A101,'Date Calcs'!A:AG,12,),IF(C101=3,VLOOKUP(A101,'Date Calcs'!A:AG,14,),4)))),TODAY())</f>
        <v>46083</v>
      </c>
      <c r="Y101" s="4">
        <f t="shared" ca="1" si="11"/>
        <v>46083</v>
      </c>
      <c r="Z101" s="4">
        <f ca="1">_xlfn.IFNA(Y101+(VLOOKUP(A101,'Date Calcs'!A:W,22,0)*7),TODAY())</f>
        <v>46083</v>
      </c>
      <c r="AA101" s="4" t="str">
        <f>_xlfn.IFNA(VLOOKUP(A101,'RTR v2'!$A:$AW,46,0),"")</f>
        <v xml:space="preserve"> </v>
      </c>
    </row>
    <row r="102" spans="1:27" ht="23.25" hidden="1" x14ac:dyDescent="0.25">
      <c r="A102" s="12" t="str">
        <f>'Actual Dates'!A100</f>
        <v>25-119</v>
      </c>
      <c r="B102" s="13" t="str">
        <f>_xlfn.IFNA(VLOOKUP(A102,'Date Calcs'!A:B,2,),"")</f>
        <v>Vertiv</v>
      </c>
      <c r="C102" s="14">
        <f>VLOOKUP(A102,'Actual Dates'!A:AE,18,)</f>
        <v>2</v>
      </c>
      <c r="D102" s="15">
        <f t="shared" ca="1" si="8"/>
        <v>46008</v>
      </c>
      <c r="E102" s="15">
        <f t="shared" ca="1" si="9"/>
        <v>45994</v>
      </c>
      <c r="F102" s="14">
        <f ca="1">IFERROR(ROUND(IF(A102="","",IF(E102=0,D102-Date!$B$3,D102-E102)),0),"")</f>
        <v>14</v>
      </c>
      <c r="G102" s="14">
        <f>_xlfn.IFNA(VLOOKUP(A102,'RTR v2'!A:AW,48,FALSE)," ")</f>
        <v>46022</v>
      </c>
      <c r="I102" s="16" t="str">
        <f t="shared" si="10"/>
        <v>Y</v>
      </c>
      <c r="J102" s="16" t="str">
        <f t="shared" si="12"/>
        <v>y</v>
      </c>
      <c r="L102" s="17"/>
      <c r="M102" t="str">
        <f t="shared" si="13"/>
        <v xml:space="preserve"> </v>
      </c>
      <c r="N102">
        <f t="shared" si="14"/>
        <v>1</v>
      </c>
      <c r="O102">
        <f>IF(P102&lt;1,0,IF(VLOOKUP($A102,'Actual Dates'!$A:$G,5,0)="Y",1,0))</f>
        <v>1</v>
      </c>
      <c r="P102">
        <f>IF(Q102&lt;1,0,IF(VLOOKUP($A102,'Actual Dates'!$A:$G,4,0)="Y",1,0))</f>
        <v>1</v>
      </c>
      <c r="Q102">
        <f>IF(R102&lt;1,0,IF(VLOOKUP($A102,'Actual Dates'!$A:$G,3,0)="Y",1,0))</f>
        <v>1</v>
      </c>
      <c r="R102">
        <f>IF(VLOOKUP($A102,'Actual Dates'!$A:$G,2,0)="Y",1,0)</f>
        <v>1</v>
      </c>
      <c r="S102" s="4">
        <f ca="1">_xlfn.IFNA(+VLOOKUP(A102,'Date Calcs'!A:AG,8,),TODAY())</f>
        <v>45989</v>
      </c>
      <c r="T102" s="4">
        <f ca="1">_xlfn.IFNA(VLOOKUP(A102,'Date Calcs'!A:AG,10,),TODAY())</f>
        <v>46001</v>
      </c>
      <c r="U102" s="4">
        <f ca="1">_xlfn.IFNA(+VLOOKUP(A102,'Date Calcs'!A:AG,12,),TODAY())</f>
        <v>46008</v>
      </c>
      <c r="V102" s="4">
        <f ca="1">_xlfn.IFNA(+VLOOKUP(A102,'Date Calcs'!A:AG,14,),TODAY())</f>
        <v>46022</v>
      </c>
      <c r="W102" s="4">
        <f ca="1">_xlfn.IFNA(+VLOOKUP(A102,'Date Calcs'!A:AG,16,),TODAY())</f>
        <v>45989</v>
      </c>
      <c r="X102" s="4">
        <f ca="1">_xlfn.IFNA(IF(C102=0,VLOOKUP(A102,'Date Calcs'!A:AG,8,),IF(C102=1,VLOOKUP(A102,'Date Calcs'!A:AG,10,),IF(C102=2,VLOOKUP(A102,'Date Calcs'!A:AG,12,),IF(C102=3,VLOOKUP(A102,'Date Calcs'!A:AG,14,),4)))),TODAY())</f>
        <v>46008</v>
      </c>
      <c r="Y102" s="4">
        <f t="shared" ca="1" si="11"/>
        <v>46008</v>
      </c>
      <c r="Z102" s="4">
        <f ca="1">_xlfn.IFNA(Y102+(VLOOKUP(A102,'Date Calcs'!A:W,22,0)*7),TODAY())</f>
        <v>46008</v>
      </c>
      <c r="AA102" s="4">
        <f>_xlfn.IFNA(VLOOKUP(A102,'RTR v2'!$A:$AW,46,0),"")</f>
        <v>0</v>
      </c>
    </row>
    <row r="103" spans="1:27" ht="23.25" hidden="1" x14ac:dyDescent="0.25">
      <c r="A103" s="12" t="str">
        <f>'Actual Dates'!A101</f>
        <v>25-120</v>
      </c>
      <c r="B103" s="13" t="str">
        <f>_xlfn.IFNA(VLOOKUP(A103,'Date Calcs'!A:B,2,),"")</f>
        <v>Andritz</v>
      </c>
      <c r="C103" s="14">
        <f>VLOOKUP(A103,'Actual Dates'!A:AE,18,)</f>
        <v>4</v>
      </c>
      <c r="D103" s="15">
        <f t="shared" ca="1" si="8"/>
        <v>45996</v>
      </c>
      <c r="E103" s="15">
        <f t="shared" ca="1" si="9"/>
        <v>46115</v>
      </c>
      <c r="F103" s="14">
        <f ca="1">IFERROR(ROUND(IF(A103="","",IF(E103=0,D103-Date!$B$3,D103-E103)),0),"")</f>
        <v>-119</v>
      </c>
      <c r="G103" s="14" t="str">
        <f>_xlfn.IFNA(VLOOKUP(A103,'RTR v2'!A:AW,48,FALSE)," ")</f>
        <v/>
      </c>
      <c r="I103" s="16" t="str">
        <f t="shared" si="10"/>
        <v>Y</v>
      </c>
      <c r="J103" s="16" t="str">
        <f t="shared" si="12"/>
        <v xml:space="preserve">  </v>
      </c>
      <c r="L103" s="17"/>
      <c r="M103" t="str">
        <f t="shared" si="13"/>
        <v xml:space="preserve"> </v>
      </c>
      <c r="N103">
        <f t="shared" si="14"/>
        <v>1</v>
      </c>
      <c r="O103">
        <f>IF(P103&lt;1,0,IF(VLOOKUP($A103,'Actual Dates'!$A:$G,5,0)="Y",1,0))</f>
        <v>1</v>
      </c>
      <c r="P103">
        <f>IF(Q103&lt;1,0,IF(VLOOKUP($A103,'Actual Dates'!$A:$G,4,0)="Y",1,0))</f>
        <v>1</v>
      </c>
      <c r="Q103">
        <f>IF(R103&lt;1,0,IF(VLOOKUP($A103,'Actual Dates'!$A:$G,3,0)="Y",1,0))</f>
        <v>1</v>
      </c>
      <c r="R103">
        <f>IF(VLOOKUP($A103,'Actual Dates'!$A:$G,2,0)="Y",1,0)</f>
        <v>1</v>
      </c>
      <c r="S103" s="4">
        <f ca="1">_xlfn.IFNA(+VLOOKUP(A103,'Date Calcs'!A:AG,8,),TODAY())</f>
        <v>45982</v>
      </c>
      <c r="T103" s="4">
        <f ca="1">_xlfn.IFNA(VLOOKUP(A103,'Date Calcs'!A:AG,10,),TODAY())</f>
        <v>46029</v>
      </c>
      <c r="U103" s="4">
        <f ca="1">_xlfn.IFNA(+VLOOKUP(A103,'Date Calcs'!A:AG,12,),TODAY())</f>
        <v>46029</v>
      </c>
      <c r="V103" s="4">
        <f ca="1">_xlfn.IFNA(+VLOOKUP(A103,'Date Calcs'!A:AG,14,),TODAY())</f>
        <v>46029</v>
      </c>
      <c r="W103" s="4">
        <f ca="1">_xlfn.IFNA(+VLOOKUP(A103,'Date Calcs'!A:AG,16,),TODAY())</f>
        <v>45996</v>
      </c>
      <c r="X103" s="4">
        <f ca="1">_xlfn.IFNA(IF(C103=0,VLOOKUP(A103,'Date Calcs'!A:AG,8,),IF(C103=1,VLOOKUP(A103,'Date Calcs'!A:AG,10,),IF(C103=2,VLOOKUP(A103,'Date Calcs'!A:AG,12,),IF(C103=3,VLOOKUP(A103,'Date Calcs'!A:AG,14,),4)))),TODAY())</f>
        <v>4</v>
      </c>
      <c r="Y103" s="4">
        <f t="shared" ca="1" si="11"/>
        <v>45996</v>
      </c>
      <c r="Z103" s="4">
        <f ca="1">_xlfn.IFNA(Y103+(VLOOKUP(A103,'Date Calcs'!A:W,22,0)*7),TODAY())</f>
        <v>45996</v>
      </c>
      <c r="AA103" s="4" t="str">
        <f>_xlfn.IFNA(VLOOKUP(A103,'RTR v2'!$A:$AW,46,0),"")</f>
        <v xml:space="preserve"> </v>
      </c>
    </row>
    <row r="104" spans="1:27" ht="23.25" hidden="1" x14ac:dyDescent="0.25">
      <c r="A104" s="12" t="str">
        <f>'Actual Dates'!A102</f>
        <v>25-121</v>
      </c>
      <c r="B104" s="13" t="str">
        <f>_xlfn.IFNA(VLOOKUP(A104,'Date Calcs'!A:B,2,),"")</f>
        <v>Kimberly Clark</v>
      </c>
      <c r="C104" s="14">
        <f>VLOOKUP(A104,'Actual Dates'!A:AE,18,)</f>
        <v>2</v>
      </c>
      <c r="D104" s="15">
        <f t="shared" ca="1" si="8"/>
        <v>46133</v>
      </c>
      <c r="E104" s="15">
        <f t="shared" ca="1" si="9"/>
        <v>46115</v>
      </c>
      <c r="F104" s="14">
        <f ca="1">IFERROR(ROUND(IF(A104="","",IF(E104=0,D104-Date!$B$3,D104-E104)),0),"")</f>
        <v>18</v>
      </c>
      <c r="G104" s="14" t="str">
        <f>_xlfn.IFNA(VLOOKUP(A104,'RTR v2'!A:AW,48,FALSE)," ")</f>
        <v/>
      </c>
      <c r="I104" s="16" t="str">
        <f t="shared" si="10"/>
        <v>Y</v>
      </c>
      <c r="J104" s="16" t="str">
        <f t="shared" si="12"/>
        <v xml:space="preserve">  </v>
      </c>
      <c r="L104" s="17"/>
      <c r="M104" t="str">
        <f t="shared" si="13"/>
        <v xml:space="preserve"> </v>
      </c>
      <c r="N104">
        <f t="shared" si="14"/>
        <v>1</v>
      </c>
      <c r="O104">
        <f>IF(P104&lt;1,0,IF(VLOOKUP($A104,'Actual Dates'!$A:$G,5,0)="Y",1,0))</f>
        <v>1</v>
      </c>
      <c r="P104">
        <f>IF(Q104&lt;1,0,IF(VLOOKUP($A104,'Actual Dates'!$A:$G,4,0)="Y",1,0))</f>
        <v>1</v>
      </c>
      <c r="Q104">
        <f>IF(R104&lt;1,0,IF(VLOOKUP($A104,'Actual Dates'!$A:$G,3,0)="Y",1,0))</f>
        <v>1</v>
      </c>
      <c r="R104">
        <f>IF(VLOOKUP($A104,'Actual Dates'!$A:$G,2,0)="Y",1,0)</f>
        <v>1</v>
      </c>
      <c r="S104" s="4">
        <f ca="1">_xlfn.IFNA(+VLOOKUP(A104,'Date Calcs'!A:AG,8,),TODAY())</f>
        <v>46023</v>
      </c>
      <c r="T104" s="4">
        <f ca="1">_xlfn.IFNA(VLOOKUP(A104,'Date Calcs'!A:AG,10,),TODAY())</f>
        <v>46077</v>
      </c>
      <c r="U104" s="4">
        <f ca="1">_xlfn.IFNA(+VLOOKUP(A104,'Date Calcs'!A:AG,12,),TODAY())</f>
        <v>46112</v>
      </c>
      <c r="V104" s="4">
        <f ca="1">_xlfn.IFNA(+VLOOKUP(A104,'Date Calcs'!A:AG,14,),TODAY())</f>
        <v>46126</v>
      </c>
      <c r="W104" s="4">
        <f ca="1">_xlfn.IFNA(+VLOOKUP(A104,'Date Calcs'!A:AG,16,),TODAY())</f>
        <v>46009</v>
      </c>
      <c r="X104" s="4">
        <f ca="1">_xlfn.IFNA(IF(C104=0,VLOOKUP(A104,'Date Calcs'!A:AG,8,),IF(C104=1,VLOOKUP(A104,'Date Calcs'!A:AG,10,),IF(C104=2,VLOOKUP(A104,'Date Calcs'!A:AG,12,),IF(C104=3,VLOOKUP(A104,'Date Calcs'!A:AG,14,),4)))),TODAY())</f>
        <v>46112</v>
      </c>
      <c r="Y104" s="4">
        <f t="shared" ca="1" si="11"/>
        <v>46112</v>
      </c>
      <c r="Z104" s="4">
        <f ca="1">_xlfn.IFNA(Y104+(VLOOKUP(A104,'Date Calcs'!A:W,22,0)*7),TODAY())</f>
        <v>46133</v>
      </c>
      <c r="AA104" s="4" t="str">
        <f>_xlfn.IFNA(VLOOKUP(A104,'RTR v2'!$A:$AW,46,0),"")</f>
        <v xml:space="preserve"> </v>
      </c>
    </row>
    <row r="105" spans="1:27" ht="23.25" hidden="1" x14ac:dyDescent="0.25">
      <c r="A105" s="12" t="str">
        <f>'Actual Dates'!A103</f>
        <v>25-122</v>
      </c>
      <c r="B105" s="13" t="str">
        <f>_xlfn.IFNA(VLOOKUP(A105,'Date Calcs'!A:B,2,),"")</f>
        <v>Kimberly Clark</v>
      </c>
      <c r="C105" s="14">
        <f>VLOOKUP(A105,'Actual Dates'!A:AE,18,)</f>
        <v>2</v>
      </c>
      <c r="D105" s="15">
        <f t="shared" ca="1" si="8"/>
        <v>46133</v>
      </c>
      <c r="E105" s="15">
        <f t="shared" ca="1" si="9"/>
        <v>46115</v>
      </c>
      <c r="F105" s="14">
        <f ca="1">IFERROR(ROUND(IF(A105="","",IF(E105=0,D105-Date!$B$3,D105-E105)),0),"")</f>
        <v>18</v>
      </c>
      <c r="G105" s="14" t="str">
        <f>_xlfn.IFNA(VLOOKUP(A105,'RTR v2'!A:AW,48,FALSE)," ")</f>
        <v/>
      </c>
      <c r="I105" s="16" t="str">
        <f t="shared" si="10"/>
        <v>Y</v>
      </c>
      <c r="J105" s="16" t="str">
        <f t="shared" si="12"/>
        <v xml:space="preserve">  </v>
      </c>
      <c r="L105" s="17"/>
      <c r="M105" t="str">
        <f t="shared" si="13"/>
        <v xml:space="preserve"> </v>
      </c>
      <c r="N105">
        <f t="shared" si="14"/>
        <v>1</v>
      </c>
      <c r="O105">
        <f>IF(P105&lt;1,0,IF(VLOOKUP($A105,'Actual Dates'!$A:$G,5,0)="Y",1,0))</f>
        <v>1</v>
      </c>
      <c r="P105">
        <f>IF(Q105&lt;1,0,IF(VLOOKUP($A105,'Actual Dates'!$A:$G,4,0)="Y",1,0))</f>
        <v>1</v>
      </c>
      <c r="Q105">
        <f>IF(R105&lt;1,0,IF(VLOOKUP($A105,'Actual Dates'!$A:$G,3,0)="Y",1,0))</f>
        <v>1</v>
      </c>
      <c r="R105">
        <f>IF(VLOOKUP($A105,'Actual Dates'!$A:$G,2,0)="Y",1,0)</f>
        <v>1</v>
      </c>
      <c r="S105" s="4">
        <f ca="1">_xlfn.IFNA(+VLOOKUP(A105,'Date Calcs'!A:AG,8,),TODAY())</f>
        <v>46023</v>
      </c>
      <c r="T105" s="4">
        <f ca="1">_xlfn.IFNA(VLOOKUP(A105,'Date Calcs'!A:AG,10,),TODAY())</f>
        <v>46077</v>
      </c>
      <c r="U105" s="4">
        <f ca="1">_xlfn.IFNA(+VLOOKUP(A105,'Date Calcs'!A:AG,12,),TODAY())</f>
        <v>46112</v>
      </c>
      <c r="V105" s="4">
        <f ca="1">_xlfn.IFNA(+VLOOKUP(A105,'Date Calcs'!A:AG,14,),TODAY())</f>
        <v>46126</v>
      </c>
      <c r="W105" s="4">
        <f ca="1">_xlfn.IFNA(+VLOOKUP(A105,'Date Calcs'!A:AG,16,),TODAY())</f>
        <v>46009</v>
      </c>
      <c r="X105" s="4">
        <f ca="1">_xlfn.IFNA(IF(C105=0,VLOOKUP(A105,'Date Calcs'!A:AG,8,),IF(C105=1,VLOOKUP(A105,'Date Calcs'!A:AG,10,),IF(C105=2,VLOOKUP(A105,'Date Calcs'!A:AG,12,),IF(C105=3,VLOOKUP(A105,'Date Calcs'!A:AG,14,),4)))),TODAY())</f>
        <v>46112</v>
      </c>
      <c r="Y105" s="4">
        <f t="shared" ca="1" si="11"/>
        <v>46112</v>
      </c>
      <c r="Z105" s="4">
        <f ca="1">_xlfn.IFNA(Y105+(VLOOKUP(A105,'Date Calcs'!A:W,22,0)*7),TODAY())</f>
        <v>46133</v>
      </c>
      <c r="AA105" s="4" t="str">
        <f>_xlfn.IFNA(VLOOKUP(A105,'RTR v2'!$A:$AW,46,0),"")</f>
        <v xml:space="preserve"> </v>
      </c>
    </row>
    <row r="106" spans="1:27" ht="23.25" hidden="1" x14ac:dyDescent="0.25">
      <c r="A106" s="12" t="str">
        <f>'Actual Dates'!A104</f>
        <v>25-123</v>
      </c>
      <c r="B106" s="13" t="str">
        <f>_xlfn.IFNA(VLOOKUP(A106,'Date Calcs'!A:B,2,),"")</f>
        <v>Kimberly Clark</v>
      </c>
      <c r="C106" s="14">
        <f>VLOOKUP(A106,'Actual Dates'!A:AE,18,)</f>
        <v>2</v>
      </c>
      <c r="D106" s="15">
        <f t="shared" ca="1" si="8"/>
        <v>46120</v>
      </c>
      <c r="E106" s="15">
        <f t="shared" ca="1" si="9"/>
        <v>46115</v>
      </c>
      <c r="F106" s="14">
        <f ca="1">IFERROR(ROUND(IF(A106="","",IF(E106=0,D106-Date!$B$3,D106-E106)),0),"")</f>
        <v>5</v>
      </c>
      <c r="G106" s="14" t="str">
        <f>_xlfn.IFNA(VLOOKUP(A106,'RTR v2'!A:AW,48,FALSE)," ")</f>
        <v/>
      </c>
      <c r="I106" s="16" t="str">
        <f t="shared" si="10"/>
        <v>Y</v>
      </c>
      <c r="J106" s="16" t="str">
        <f t="shared" si="12"/>
        <v xml:space="preserve">  </v>
      </c>
      <c r="L106" s="17"/>
      <c r="M106" t="str">
        <f t="shared" si="13"/>
        <v xml:space="preserve"> </v>
      </c>
      <c r="N106">
        <f t="shared" si="14"/>
        <v>1</v>
      </c>
      <c r="O106">
        <f>IF(P106&lt;1,0,IF(VLOOKUP($A106,'Actual Dates'!$A:$G,5,0)="Y",1,0))</f>
        <v>1</v>
      </c>
      <c r="P106">
        <f>IF(Q106&lt;1,0,IF(VLOOKUP($A106,'Actual Dates'!$A:$G,4,0)="Y",1,0))</f>
        <v>1</v>
      </c>
      <c r="Q106">
        <f>IF(R106&lt;1,0,IF(VLOOKUP($A106,'Actual Dates'!$A:$G,3,0)="Y",1,0))</f>
        <v>1</v>
      </c>
      <c r="R106">
        <f>IF(VLOOKUP($A106,'Actual Dates'!$A:$G,2,0)="Y",1,0)</f>
        <v>1</v>
      </c>
      <c r="S106" s="4">
        <f ca="1">_xlfn.IFNA(+VLOOKUP(A106,'Date Calcs'!A:AG,8,),TODAY())</f>
        <v>46023</v>
      </c>
      <c r="T106" s="4">
        <f ca="1">_xlfn.IFNA(VLOOKUP(A106,'Date Calcs'!A:AG,10,),TODAY())</f>
        <v>46104</v>
      </c>
      <c r="U106" s="4">
        <f ca="1">_xlfn.IFNA(+VLOOKUP(A106,'Date Calcs'!A:AG,12,),TODAY())</f>
        <v>46120</v>
      </c>
      <c r="V106" s="4">
        <f ca="1">_xlfn.IFNA(+VLOOKUP(A106,'Date Calcs'!A:AG,14,),TODAY())</f>
        <v>46134</v>
      </c>
      <c r="W106" s="4">
        <f ca="1">_xlfn.IFNA(+VLOOKUP(A106,'Date Calcs'!A:AG,16,),TODAY())</f>
        <v>46009</v>
      </c>
      <c r="X106" s="4">
        <f ca="1">_xlfn.IFNA(IF(C106=0,VLOOKUP(A106,'Date Calcs'!A:AG,8,),IF(C106=1,VLOOKUP(A106,'Date Calcs'!A:AG,10,),IF(C106=2,VLOOKUP(A106,'Date Calcs'!A:AG,12,),IF(C106=3,VLOOKUP(A106,'Date Calcs'!A:AG,14,),4)))),TODAY())</f>
        <v>46120</v>
      </c>
      <c r="Y106" s="4">
        <f t="shared" ca="1" si="11"/>
        <v>46120</v>
      </c>
      <c r="Z106" s="4">
        <f ca="1">_xlfn.IFNA(Y106+(VLOOKUP(A106,'Date Calcs'!A:W,22,0)*7),TODAY())</f>
        <v>46120</v>
      </c>
      <c r="AA106" s="4" t="str">
        <f>_xlfn.IFNA(VLOOKUP(A106,'RTR v2'!$A:$AW,46,0),"")</f>
        <v xml:space="preserve"> </v>
      </c>
    </row>
    <row r="107" spans="1:27" ht="23.25" hidden="1" x14ac:dyDescent="0.25">
      <c r="A107" s="12" t="str">
        <f>'Actual Dates'!A105</f>
        <v>25-124</v>
      </c>
      <c r="B107" s="13" t="str">
        <f>_xlfn.IFNA(VLOOKUP(A107,'Date Calcs'!A:B,2,),"")</f>
        <v>Vertiv</v>
      </c>
      <c r="C107" s="14">
        <f>VLOOKUP(A107,'Actual Dates'!A:AE,18,)</f>
        <v>4</v>
      </c>
      <c r="D107" s="15">
        <f t="shared" ca="1" si="8"/>
        <v>46020</v>
      </c>
      <c r="E107" s="15">
        <f t="shared" ca="1" si="9"/>
        <v>46115</v>
      </c>
      <c r="F107" s="14">
        <f ca="1">IFERROR(ROUND(IF(A107="","",IF(E107=0,D107-Date!$B$3,D107-E107)),0),"")</f>
        <v>-95</v>
      </c>
      <c r="G107" s="14" t="str">
        <f>_xlfn.IFNA(VLOOKUP(A107,'RTR v2'!A:AW,48,FALSE)," ")</f>
        <v/>
      </c>
      <c r="I107" s="16" t="str">
        <f t="shared" si="10"/>
        <v>Y</v>
      </c>
      <c r="J107" s="16" t="str">
        <f t="shared" si="12"/>
        <v xml:space="preserve">  </v>
      </c>
      <c r="L107" s="17"/>
      <c r="M107" t="str">
        <f t="shared" si="13"/>
        <v xml:space="preserve"> </v>
      </c>
      <c r="N107">
        <f t="shared" si="14"/>
        <v>1</v>
      </c>
      <c r="O107">
        <f>IF(P107&lt;1,0,IF(VLOOKUP($A107,'Actual Dates'!$A:$G,5,0)="Y",1,0))</f>
        <v>1</v>
      </c>
      <c r="P107">
        <f>IF(Q107&lt;1,0,IF(VLOOKUP($A107,'Actual Dates'!$A:$G,4,0)="Y",1,0))</f>
        <v>1</v>
      </c>
      <c r="Q107">
        <f>IF(R107&lt;1,0,IF(VLOOKUP($A107,'Actual Dates'!$A:$G,3,0)="Y",1,0))</f>
        <v>1</v>
      </c>
      <c r="R107">
        <f>IF(VLOOKUP($A107,'Actual Dates'!$A:$G,2,0)="Y",1,0)</f>
        <v>1</v>
      </c>
      <c r="S107" s="4">
        <f ca="1">_xlfn.IFNA(+VLOOKUP(A107,'Date Calcs'!A:AG,8,),TODAY())</f>
        <v>46006</v>
      </c>
      <c r="T107" s="4">
        <f ca="1">_xlfn.IFNA(VLOOKUP(A107,'Date Calcs'!A:AG,10,),TODAY())</f>
        <v>46029</v>
      </c>
      <c r="U107" s="4">
        <f ca="1">_xlfn.IFNA(+VLOOKUP(A107,'Date Calcs'!A:AG,12,),TODAY())</f>
        <v>46029</v>
      </c>
      <c r="V107" s="4">
        <f ca="1">_xlfn.IFNA(+VLOOKUP(A107,'Date Calcs'!A:AG,14,),TODAY())</f>
        <v>46029</v>
      </c>
      <c r="W107" s="4">
        <f ca="1">_xlfn.IFNA(+VLOOKUP(A107,'Date Calcs'!A:AG,16,),TODAY())</f>
        <v>46020</v>
      </c>
      <c r="X107" s="4">
        <f ca="1">_xlfn.IFNA(IF(C107=0,VLOOKUP(A107,'Date Calcs'!A:AG,8,),IF(C107=1,VLOOKUP(A107,'Date Calcs'!A:AG,10,),IF(C107=2,VLOOKUP(A107,'Date Calcs'!A:AG,12,),IF(C107=3,VLOOKUP(A107,'Date Calcs'!A:AG,14,),4)))),TODAY())</f>
        <v>4</v>
      </c>
      <c r="Y107" s="4">
        <f t="shared" ca="1" si="11"/>
        <v>46020</v>
      </c>
      <c r="Z107" s="4">
        <f ca="1">_xlfn.IFNA(Y107+(VLOOKUP(A107,'Date Calcs'!A:W,22,0)*7),TODAY())</f>
        <v>46020</v>
      </c>
      <c r="AA107" s="4" t="str">
        <f>_xlfn.IFNA(VLOOKUP(A107,'RTR v2'!$A:$AW,46,0),"")</f>
        <v xml:space="preserve"> </v>
      </c>
    </row>
    <row r="108" spans="1:27" ht="23.25" hidden="1" x14ac:dyDescent="0.25">
      <c r="A108" s="12" t="str">
        <f>'Actual Dates'!A106</f>
        <v>25-356</v>
      </c>
      <c r="B108" s="13" t="str">
        <f>_xlfn.IFNA(VLOOKUP(A108,'Date Calcs'!A:B,2,),"")</f>
        <v>Synthomer</v>
      </c>
      <c r="C108" s="14">
        <f>VLOOKUP(A108,'Actual Dates'!A:AE,18,)</f>
        <v>3</v>
      </c>
      <c r="D108" s="15">
        <f t="shared" ca="1" si="8"/>
        <v>46093</v>
      </c>
      <c r="E108" s="15">
        <f t="shared" ca="1" si="9"/>
        <v>46079</v>
      </c>
      <c r="F108" s="14">
        <f ca="1">IFERROR(ROUND(IF(A108="","",IF(E108=0,D108-Date!$B$3,D108-E108)),0),"")</f>
        <v>14</v>
      </c>
      <c r="G108" s="14" t="str">
        <f>_xlfn.IFNA(VLOOKUP(A108,'RTR v2'!A:AW,48,FALSE)," ")</f>
        <v/>
      </c>
      <c r="I108" s="16" t="str">
        <f t="shared" si="10"/>
        <v>Y</v>
      </c>
      <c r="J108" s="16" t="str">
        <f t="shared" si="12"/>
        <v>y</v>
      </c>
      <c r="L108" s="17"/>
      <c r="M108" t="str">
        <f t="shared" si="13"/>
        <v xml:space="preserve"> </v>
      </c>
      <c r="N108">
        <f t="shared" si="14"/>
        <v>1</v>
      </c>
      <c r="O108">
        <f>IF(P108&lt;1,0,IF(VLOOKUP($A108,'Actual Dates'!$A:$G,5,0)="Y",1,0))</f>
        <v>1</v>
      </c>
      <c r="P108">
        <f>IF(Q108&lt;1,0,IF(VLOOKUP($A108,'Actual Dates'!$A:$G,4,0)="Y",1,0))</f>
        <v>1</v>
      </c>
      <c r="Q108">
        <f>IF(R108&lt;1,0,IF(VLOOKUP($A108,'Actual Dates'!$A:$G,3,0)="Y",1,0))</f>
        <v>1</v>
      </c>
      <c r="R108">
        <f>IF(VLOOKUP($A108,'Actual Dates'!$A:$G,2,0)="Y",1,0)</f>
        <v>1</v>
      </c>
      <c r="S108" s="4">
        <f ca="1">_xlfn.IFNA(+VLOOKUP(A108,'Date Calcs'!A:AG,8,),TODAY())</f>
        <v>46048</v>
      </c>
      <c r="T108" s="4">
        <f ca="1">_xlfn.IFNA(VLOOKUP(A108,'Date Calcs'!A:AG,10,),TODAY())</f>
        <v>46062</v>
      </c>
      <c r="U108" s="4">
        <f ca="1">_xlfn.IFNA(+VLOOKUP(A108,'Date Calcs'!A:AG,12,),TODAY())</f>
        <v>46081</v>
      </c>
      <c r="V108" s="4">
        <f ca="1">_xlfn.IFNA(+VLOOKUP(A108,'Date Calcs'!A:AG,14,),TODAY())</f>
        <v>46093</v>
      </c>
      <c r="W108" s="4">
        <f ca="1">_xlfn.IFNA(+VLOOKUP(A108,'Date Calcs'!A:AG,16,),TODAY())</f>
        <v>46034</v>
      </c>
      <c r="X108" s="4">
        <f ca="1">_xlfn.IFNA(IF(C108=0,VLOOKUP(A108,'Date Calcs'!A:AG,8,),IF(C108=1,VLOOKUP(A108,'Date Calcs'!A:AG,10,),IF(C108=2,VLOOKUP(A108,'Date Calcs'!A:AG,12,),IF(C108=3,VLOOKUP(A108,'Date Calcs'!A:AG,14,),4)))),TODAY())</f>
        <v>46093</v>
      </c>
      <c r="Y108" s="4">
        <f t="shared" ca="1" si="11"/>
        <v>46093</v>
      </c>
      <c r="Z108" s="4">
        <f ca="1">_xlfn.IFNA(Y108+(VLOOKUP(A108,'Date Calcs'!A:W,22,0)*7),TODAY())</f>
        <v>46093</v>
      </c>
      <c r="AA108" s="4" t="str">
        <f>_xlfn.IFNA(VLOOKUP(A108,'RTR v2'!$A:$AW,46,0),"")</f>
        <v xml:space="preserve"> </v>
      </c>
    </row>
    <row r="109" spans="1:27" ht="23.25" hidden="1" x14ac:dyDescent="0.25">
      <c r="A109" s="12" t="str">
        <f>'Actual Dates'!A107</f>
        <v>25-357</v>
      </c>
      <c r="B109" s="13" t="str">
        <f>_xlfn.IFNA(VLOOKUP(A109,'Date Calcs'!A:B,2,),"")</f>
        <v>Sylvamo</v>
      </c>
      <c r="C109" s="14">
        <f>VLOOKUP(A109,'Actual Dates'!A:AE,18,)</f>
        <v>3</v>
      </c>
      <c r="D109" s="15">
        <f t="shared" ca="1" si="8"/>
        <v>46127</v>
      </c>
      <c r="E109" s="15">
        <f t="shared" ca="1" si="9"/>
        <v>46113</v>
      </c>
      <c r="F109" s="14">
        <f ca="1">IFERROR(ROUND(IF(A109="","",IF(E109=0,D109-Date!$B$3,D109-E109)),0),"")</f>
        <v>14</v>
      </c>
      <c r="G109" s="14" t="str">
        <f>_xlfn.IFNA(VLOOKUP(A109,'RTR v2'!A:AW,48,FALSE)," ")</f>
        <v/>
      </c>
      <c r="I109" s="16" t="str">
        <f t="shared" si="10"/>
        <v>Y</v>
      </c>
      <c r="J109" s="16" t="str">
        <f t="shared" si="12"/>
        <v>y</v>
      </c>
      <c r="L109" s="17"/>
      <c r="M109" t="str">
        <f t="shared" si="13"/>
        <v xml:space="preserve"> </v>
      </c>
      <c r="N109">
        <f t="shared" si="14"/>
        <v>1</v>
      </c>
      <c r="O109">
        <f>IF(P109&lt;1,0,IF(VLOOKUP($A109,'Actual Dates'!$A:$G,5,0)="Y",1,0))</f>
        <v>1</v>
      </c>
      <c r="P109">
        <f>IF(Q109&lt;1,0,IF(VLOOKUP($A109,'Actual Dates'!$A:$G,4,0)="Y",1,0))</f>
        <v>1</v>
      </c>
      <c r="Q109">
        <f>IF(R109&lt;1,0,IF(VLOOKUP($A109,'Actual Dates'!$A:$G,3,0)="Y",1,0))</f>
        <v>1</v>
      </c>
      <c r="R109">
        <f>IF(VLOOKUP($A109,'Actual Dates'!$A:$G,2,0)="Y",1,0)</f>
        <v>1</v>
      </c>
      <c r="S109" s="4">
        <f ca="1">_xlfn.IFNA(+VLOOKUP(A109,'Date Calcs'!A:AG,8,),TODAY())</f>
        <v>46049</v>
      </c>
      <c r="T109" s="4">
        <f ca="1">_xlfn.IFNA(VLOOKUP(A109,'Date Calcs'!A:AG,10,),TODAY())</f>
        <v>46071</v>
      </c>
      <c r="U109" s="4">
        <f ca="1">_xlfn.IFNA(+VLOOKUP(A109,'Date Calcs'!A:AG,12,),TODAY())</f>
        <v>46114</v>
      </c>
      <c r="V109" s="4">
        <f ca="1">_xlfn.IFNA(+VLOOKUP(A109,'Date Calcs'!A:AG,14,),TODAY())</f>
        <v>46127</v>
      </c>
      <c r="W109" s="4">
        <f ca="1">_xlfn.IFNA(+VLOOKUP(A109,'Date Calcs'!A:AG,16,),TODAY())</f>
        <v>46035</v>
      </c>
      <c r="X109" s="4">
        <f ca="1">_xlfn.IFNA(IF(C109=0,VLOOKUP(A109,'Date Calcs'!A:AG,8,),IF(C109=1,VLOOKUP(A109,'Date Calcs'!A:AG,10,),IF(C109=2,VLOOKUP(A109,'Date Calcs'!A:AG,12,),IF(C109=3,VLOOKUP(A109,'Date Calcs'!A:AG,14,),4)))),TODAY())</f>
        <v>46127</v>
      </c>
      <c r="Y109" s="4">
        <f t="shared" ca="1" si="11"/>
        <v>46127</v>
      </c>
      <c r="Z109" s="4">
        <f ca="1">_xlfn.IFNA(Y109+(VLOOKUP(A109,'Date Calcs'!A:W,22,0)*7),TODAY())</f>
        <v>46127</v>
      </c>
      <c r="AA109" s="4" t="str">
        <f>_xlfn.IFNA(VLOOKUP(A109,'RTR v2'!$A:$AW,46,0),"")</f>
        <v xml:space="preserve"> </v>
      </c>
    </row>
    <row r="110" spans="1:27" ht="23.25" hidden="1" x14ac:dyDescent="0.25">
      <c r="A110" s="12" t="str">
        <f>'Actual Dates'!A108</f>
        <v>25-358</v>
      </c>
      <c r="B110" s="13" t="str">
        <f>_xlfn.IFNA(VLOOKUP(A110,'Date Calcs'!A:B,2,),"")</f>
        <v>Sylvamo</v>
      </c>
      <c r="C110" s="14">
        <f>VLOOKUP(A110,'Actual Dates'!A:AE,18,)</f>
        <v>3</v>
      </c>
      <c r="D110" s="15">
        <f t="shared" ca="1" si="8"/>
        <v>46127</v>
      </c>
      <c r="E110" s="15">
        <f t="shared" ca="1" si="9"/>
        <v>46113</v>
      </c>
      <c r="F110" s="14">
        <f ca="1">IFERROR(ROUND(IF(A110="","",IF(E110=0,D110-Date!$B$3,D110-E110)),0),"")</f>
        <v>14</v>
      </c>
      <c r="G110" s="14" t="str">
        <f>_xlfn.IFNA(VLOOKUP(A110,'RTR v2'!A:AW,48,FALSE)," ")</f>
        <v/>
      </c>
      <c r="I110" s="16" t="str">
        <f t="shared" si="10"/>
        <v>Y</v>
      </c>
      <c r="J110" s="16" t="str">
        <f t="shared" si="12"/>
        <v>y</v>
      </c>
      <c r="L110" s="17"/>
      <c r="M110" t="str">
        <f t="shared" si="13"/>
        <v xml:space="preserve"> </v>
      </c>
      <c r="N110">
        <f t="shared" si="14"/>
        <v>1</v>
      </c>
      <c r="O110">
        <f>IF(P110&lt;1,0,IF(VLOOKUP($A110,'Actual Dates'!$A:$G,5,0)="Y",1,0))</f>
        <v>1</v>
      </c>
      <c r="P110">
        <f>IF(Q110&lt;1,0,IF(VLOOKUP($A110,'Actual Dates'!$A:$G,4,0)="Y",1,0))</f>
        <v>1</v>
      </c>
      <c r="Q110">
        <f>IF(R110&lt;1,0,IF(VLOOKUP($A110,'Actual Dates'!$A:$G,3,0)="Y",1,0))</f>
        <v>1</v>
      </c>
      <c r="R110">
        <f>IF(VLOOKUP($A110,'Actual Dates'!$A:$G,2,0)="Y",1,0)</f>
        <v>1</v>
      </c>
      <c r="S110" s="4">
        <f ca="1">_xlfn.IFNA(+VLOOKUP(A110,'Date Calcs'!A:AG,8,),TODAY())</f>
        <v>46049</v>
      </c>
      <c r="T110" s="4">
        <f ca="1">_xlfn.IFNA(VLOOKUP(A110,'Date Calcs'!A:AG,10,),TODAY())</f>
        <v>46071</v>
      </c>
      <c r="U110" s="4">
        <f ca="1">_xlfn.IFNA(+VLOOKUP(A110,'Date Calcs'!A:AG,12,),TODAY())</f>
        <v>46114</v>
      </c>
      <c r="V110" s="4">
        <f ca="1">_xlfn.IFNA(+VLOOKUP(A110,'Date Calcs'!A:AG,14,),TODAY())</f>
        <v>46127</v>
      </c>
      <c r="W110" s="4">
        <f ca="1">_xlfn.IFNA(+VLOOKUP(A110,'Date Calcs'!A:AG,16,),TODAY())</f>
        <v>46035</v>
      </c>
      <c r="X110" s="4">
        <f ca="1">_xlfn.IFNA(IF(C110=0,VLOOKUP(A110,'Date Calcs'!A:AG,8,),IF(C110=1,VLOOKUP(A110,'Date Calcs'!A:AG,10,),IF(C110=2,VLOOKUP(A110,'Date Calcs'!A:AG,12,),IF(C110=3,VLOOKUP(A110,'Date Calcs'!A:AG,14,),4)))),TODAY())</f>
        <v>46127</v>
      </c>
      <c r="Y110" s="4">
        <f t="shared" ca="1" si="11"/>
        <v>46127</v>
      </c>
      <c r="Z110" s="4">
        <f ca="1">_xlfn.IFNA(Y110+(VLOOKUP(A110,'Date Calcs'!A:W,22,0)*7),TODAY())</f>
        <v>46127</v>
      </c>
      <c r="AA110" s="4" t="str">
        <f>_xlfn.IFNA(VLOOKUP(A110,'RTR v2'!$A:$AW,46,0),"")</f>
        <v xml:space="preserve"> </v>
      </c>
    </row>
    <row r="111" spans="1:27" ht="23.25" x14ac:dyDescent="0.25">
      <c r="A111" s="12" t="str">
        <f>'Actual Dates'!A109</f>
        <v>26-002</v>
      </c>
      <c r="B111" s="13" t="str">
        <f>_xlfn.IFNA(VLOOKUP(A111,'Date Calcs'!A:B,2,),"")</f>
        <v>SNF</v>
      </c>
      <c r="C111" s="14">
        <f>VLOOKUP(A111,'Actual Dates'!A:AE,18,)</f>
        <v>1</v>
      </c>
      <c r="D111" s="15">
        <f t="shared" ca="1" si="8"/>
        <v>46118</v>
      </c>
      <c r="E111" s="15">
        <f t="shared" ca="1" si="9"/>
        <v>46115</v>
      </c>
      <c r="F111" s="14">
        <f ca="1">IFERROR(ROUND(IF(A111="","",IF(E111=0,D111-Date!$B$3,D111-E111)),0),"")</f>
        <v>3</v>
      </c>
      <c r="G111" s="14" t="str">
        <f>_xlfn.IFNA(VLOOKUP(A111,'RTR v2'!A:AW,48,FALSE)," ")</f>
        <v/>
      </c>
      <c r="I111" s="16" t="str">
        <f t="shared" si="10"/>
        <v>N</v>
      </c>
      <c r="J111" s="16" t="str">
        <f t="shared" si="12"/>
        <v xml:space="preserve">  </v>
      </c>
      <c r="L111" s="17"/>
      <c r="M111" t="str">
        <f t="shared" si="13"/>
        <v xml:space="preserve"> </v>
      </c>
      <c r="N111">
        <f t="shared" si="14"/>
        <v>0</v>
      </c>
      <c r="O111">
        <f>IF(P111&lt;1,0,IF(VLOOKUP($A111,'Actual Dates'!$A:$G,5,0)="Y",1,0))</f>
        <v>0</v>
      </c>
      <c r="P111">
        <f>IF(Q111&lt;1,0,IF(VLOOKUP($A111,'Actual Dates'!$A:$G,4,0)="Y",1,0))</f>
        <v>0</v>
      </c>
      <c r="Q111">
        <f>IF(R111&lt;1,0,IF(VLOOKUP($A111,'Actual Dates'!$A:$G,3,0)="Y",1,0))</f>
        <v>0</v>
      </c>
      <c r="R111">
        <f>IF(VLOOKUP($A111,'Actual Dates'!$A:$G,2,0)="Y",1,0)</f>
        <v>1</v>
      </c>
      <c r="S111" s="4">
        <f ca="1">_xlfn.IFNA(+VLOOKUP(A111,'Date Calcs'!A:AG,8,),TODAY())</f>
        <v>46059</v>
      </c>
      <c r="T111" s="4">
        <f ca="1">_xlfn.IFNA(VLOOKUP(A111,'Date Calcs'!A:AG,10,),TODAY())</f>
        <v>46104</v>
      </c>
      <c r="U111" s="4">
        <f ca="1">_xlfn.IFNA(+VLOOKUP(A111,'Date Calcs'!A:AG,12,),TODAY())</f>
        <v>46118</v>
      </c>
      <c r="V111" s="4">
        <f ca="1">_xlfn.IFNA(+VLOOKUP(A111,'Date Calcs'!A:AG,14,),TODAY())</f>
        <v>46132</v>
      </c>
      <c r="W111" s="4">
        <f ca="1">_xlfn.IFNA(+VLOOKUP(A111,'Date Calcs'!A:AG,16,),TODAY())</f>
        <v>46045</v>
      </c>
      <c r="X111" s="4">
        <f ca="1">_xlfn.IFNA(IF(C111=0,VLOOKUP(A111,'Date Calcs'!A:AG,8,),IF(C111=1,VLOOKUP(A111,'Date Calcs'!A:AG,10,),IF(C111=2,VLOOKUP(A111,'Date Calcs'!A:AG,12,),IF(C111=3,VLOOKUP(A111,'Date Calcs'!A:AG,14,),4)))),TODAY())</f>
        <v>46104</v>
      </c>
      <c r="Y111" s="4">
        <f t="shared" ca="1" si="11"/>
        <v>46104</v>
      </c>
      <c r="Z111" s="4">
        <f ca="1">_xlfn.IFNA(Y111+(VLOOKUP(A111,'Date Calcs'!A:W,22,0)*7),TODAY())</f>
        <v>46118</v>
      </c>
      <c r="AA111" s="4" t="str">
        <f>_xlfn.IFNA(VLOOKUP(A111,'RTR v2'!$A:$AW,46,0),"")</f>
        <v xml:space="preserve"> </v>
      </c>
    </row>
    <row r="112" spans="1:27" ht="23.25" x14ac:dyDescent="0.25">
      <c r="A112" s="12" t="str">
        <f>'Actual Dates'!A110</f>
        <v>26-003</v>
      </c>
      <c r="B112" s="13" t="str">
        <f>_xlfn.IFNA(VLOOKUP(A112,'Date Calcs'!A:B,2,),"")</f>
        <v>SNF</v>
      </c>
      <c r="C112" s="14">
        <f>VLOOKUP(A112,'Actual Dates'!A:AE,18,)</f>
        <v>1</v>
      </c>
      <c r="D112" s="15">
        <f t="shared" ca="1" si="8"/>
        <v>46118</v>
      </c>
      <c r="E112" s="15">
        <f t="shared" ca="1" si="9"/>
        <v>46115</v>
      </c>
      <c r="F112" s="14">
        <f ca="1">IFERROR(ROUND(IF(A112="","",IF(E112=0,D112-Date!$B$3,D112-E112)),0),"")</f>
        <v>3</v>
      </c>
      <c r="G112" s="14" t="str">
        <f>_xlfn.IFNA(VLOOKUP(A112,'RTR v2'!A:AW,48,FALSE)," ")</f>
        <v/>
      </c>
      <c r="I112" s="16" t="str">
        <f t="shared" si="10"/>
        <v>N</v>
      </c>
      <c r="J112" s="16" t="str">
        <f t="shared" si="12"/>
        <v xml:space="preserve">  </v>
      </c>
      <c r="L112" s="17"/>
      <c r="M112" t="str">
        <f t="shared" si="13"/>
        <v xml:space="preserve"> </v>
      </c>
      <c r="N112">
        <f t="shared" si="14"/>
        <v>0</v>
      </c>
      <c r="O112">
        <f>IF(P112&lt;1,0,IF(VLOOKUP($A112,'Actual Dates'!$A:$G,5,0)="Y",1,0))</f>
        <v>0</v>
      </c>
      <c r="P112">
        <f>IF(Q112&lt;1,0,IF(VLOOKUP($A112,'Actual Dates'!$A:$G,4,0)="Y",1,0))</f>
        <v>0</v>
      </c>
      <c r="Q112">
        <f>IF(R112&lt;1,0,IF(VLOOKUP($A112,'Actual Dates'!$A:$G,3,0)="Y",1,0))</f>
        <v>0</v>
      </c>
      <c r="R112">
        <f>IF(VLOOKUP($A112,'Actual Dates'!$A:$G,2,0)="Y",1,0)</f>
        <v>1</v>
      </c>
      <c r="S112" s="4">
        <f ca="1">_xlfn.IFNA(+VLOOKUP(A112,'Date Calcs'!A:AG,8,),TODAY())</f>
        <v>46059</v>
      </c>
      <c r="T112" s="4">
        <f ca="1">_xlfn.IFNA(VLOOKUP(A112,'Date Calcs'!A:AG,10,),TODAY())</f>
        <v>46104</v>
      </c>
      <c r="U112" s="4">
        <f ca="1">_xlfn.IFNA(+VLOOKUP(A112,'Date Calcs'!A:AG,12,),TODAY())</f>
        <v>46118</v>
      </c>
      <c r="V112" s="4">
        <f ca="1">_xlfn.IFNA(+VLOOKUP(A112,'Date Calcs'!A:AG,14,),TODAY())</f>
        <v>46132</v>
      </c>
      <c r="W112" s="4">
        <f ca="1">_xlfn.IFNA(+VLOOKUP(A112,'Date Calcs'!A:AG,16,),TODAY())</f>
        <v>46045</v>
      </c>
      <c r="X112" s="4">
        <f ca="1">_xlfn.IFNA(IF(C112=0,VLOOKUP(A112,'Date Calcs'!A:AG,8,),IF(C112=1,VLOOKUP(A112,'Date Calcs'!A:AG,10,),IF(C112=2,VLOOKUP(A112,'Date Calcs'!A:AG,12,),IF(C112=3,VLOOKUP(A112,'Date Calcs'!A:AG,14,),4)))),TODAY())</f>
        <v>46104</v>
      </c>
      <c r="Y112" s="4">
        <f t="shared" ca="1" si="11"/>
        <v>46104</v>
      </c>
      <c r="Z112" s="4">
        <f ca="1">_xlfn.IFNA(Y112+(VLOOKUP(A112,'Date Calcs'!A:W,22,0)*7),TODAY())</f>
        <v>46118</v>
      </c>
      <c r="AA112" s="4" t="str">
        <f>_xlfn.IFNA(VLOOKUP(A112,'RTR v2'!$A:$AW,46,0),"")</f>
        <v xml:space="preserve"> </v>
      </c>
    </row>
    <row r="113" spans="1:27" ht="23.25" x14ac:dyDescent="0.25">
      <c r="A113" s="12" t="str">
        <f>'Actual Dates'!A111</f>
        <v>26-004</v>
      </c>
      <c r="B113" s="13" t="str">
        <f>_xlfn.IFNA(VLOOKUP(A113,'Date Calcs'!A:B,2,),"")</f>
        <v>SNF</v>
      </c>
      <c r="C113" s="14">
        <f>VLOOKUP(A113,'Actual Dates'!A:AE,18,)</f>
        <v>1</v>
      </c>
      <c r="D113" s="15">
        <f t="shared" ca="1" si="8"/>
        <v>46118</v>
      </c>
      <c r="E113" s="15">
        <f t="shared" ca="1" si="9"/>
        <v>46115</v>
      </c>
      <c r="F113" s="14">
        <f ca="1">IFERROR(ROUND(IF(A113="","",IF(E113=0,D113-Date!$B$3,D113-E113)),0),"")</f>
        <v>3</v>
      </c>
      <c r="G113" s="14" t="str">
        <f>_xlfn.IFNA(VLOOKUP(A113,'RTR v2'!A:AW,48,FALSE)," ")</f>
        <v/>
      </c>
      <c r="I113" s="16" t="str">
        <f t="shared" si="10"/>
        <v>N</v>
      </c>
      <c r="J113" s="16" t="str">
        <f t="shared" si="12"/>
        <v xml:space="preserve">  </v>
      </c>
      <c r="L113" s="17"/>
      <c r="M113" t="str">
        <f t="shared" si="13"/>
        <v xml:space="preserve"> </v>
      </c>
      <c r="N113">
        <f t="shared" si="14"/>
        <v>0</v>
      </c>
      <c r="O113">
        <f>IF(P113&lt;1,0,IF(VLOOKUP($A113,'Actual Dates'!$A:$G,5,0)="Y",1,0))</f>
        <v>0</v>
      </c>
      <c r="P113">
        <f>IF(Q113&lt;1,0,IF(VLOOKUP($A113,'Actual Dates'!$A:$G,4,0)="Y",1,0))</f>
        <v>0</v>
      </c>
      <c r="Q113">
        <f>IF(R113&lt;1,0,IF(VLOOKUP($A113,'Actual Dates'!$A:$G,3,0)="Y",1,0))</f>
        <v>0</v>
      </c>
      <c r="R113">
        <f>IF(VLOOKUP($A113,'Actual Dates'!$A:$G,2,0)="Y",1,0)</f>
        <v>1</v>
      </c>
      <c r="S113" s="4">
        <f ca="1">_xlfn.IFNA(+VLOOKUP(A113,'Date Calcs'!A:AG,8,),TODAY())</f>
        <v>46059</v>
      </c>
      <c r="T113" s="4">
        <f ca="1">_xlfn.IFNA(VLOOKUP(A113,'Date Calcs'!A:AG,10,),TODAY())</f>
        <v>46104</v>
      </c>
      <c r="U113" s="4">
        <f ca="1">_xlfn.IFNA(+VLOOKUP(A113,'Date Calcs'!A:AG,12,),TODAY())</f>
        <v>46118</v>
      </c>
      <c r="V113" s="4">
        <f ca="1">_xlfn.IFNA(+VLOOKUP(A113,'Date Calcs'!A:AG,14,),TODAY())</f>
        <v>46132</v>
      </c>
      <c r="W113" s="4">
        <f ca="1">_xlfn.IFNA(+VLOOKUP(A113,'Date Calcs'!A:AG,16,),TODAY())</f>
        <v>46045</v>
      </c>
      <c r="X113" s="4">
        <f ca="1">_xlfn.IFNA(IF(C113=0,VLOOKUP(A113,'Date Calcs'!A:AG,8,),IF(C113=1,VLOOKUP(A113,'Date Calcs'!A:AG,10,),IF(C113=2,VLOOKUP(A113,'Date Calcs'!A:AG,12,),IF(C113=3,VLOOKUP(A113,'Date Calcs'!A:AG,14,),4)))),TODAY())</f>
        <v>46104</v>
      </c>
      <c r="Y113" s="4">
        <f t="shared" ca="1" si="11"/>
        <v>46104</v>
      </c>
      <c r="Z113" s="4">
        <f ca="1">_xlfn.IFNA(Y113+(VLOOKUP(A113,'Date Calcs'!A:W,22,0)*7),TODAY())</f>
        <v>46118</v>
      </c>
      <c r="AA113" s="4" t="str">
        <f>_xlfn.IFNA(VLOOKUP(A113,'RTR v2'!$A:$AW,46,0),"")</f>
        <v xml:space="preserve"> </v>
      </c>
    </row>
    <row r="114" spans="1:27" ht="23.25" hidden="1" x14ac:dyDescent="0.25">
      <c r="A114" s="12" t="str">
        <f>'Actual Dates'!A112</f>
        <v>26-005</v>
      </c>
      <c r="B114" s="13" t="str">
        <f>_xlfn.IFNA(VLOOKUP(A114,'Date Calcs'!A:B,2,),"")</f>
        <v>US Sugar</v>
      </c>
      <c r="C114" s="14">
        <f>VLOOKUP(A114,'Actual Dates'!A:AE,18,)</f>
        <v>2</v>
      </c>
      <c r="D114" s="15">
        <f t="shared" ca="1" si="8"/>
        <v>46099</v>
      </c>
      <c r="E114" s="15">
        <f t="shared" ca="1" si="9"/>
        <v>46085</v>
      </c>
      <c r="F114" s="14">
        <f ca="1">IFERROR(ROUND(IF(A114="","",IF(E114=0,D114-Date!$B$3,D114-E114)),0),"")</f>
        <v>14</v>
      </c>
      <c r="G114" s="14" t="str">
        <f>_xlfn.IFNA(VLOOKUP(A114,'RTR v2'!A:AW,48,FALSE)," ")</f>
        <v/>
      </c>
      <c r="I114" s="16" t="str">
        <f t="shared" si="10"/>
        <v>Y</v>
      </c>
      <c r="J114" s="16" t="str">
        <f t="shared" si="12"/>
        <v>y</v>
      </c>
      <c r="L114" s="17"/>
      <c r="M114" t="str">
        <f t="shared" si="13"/>
        <v xml:space="preserve"> </v>
      </c>
      <c r="N114">
        <f t="shared" si="14"/>
        <v>1</v>
      </c>
      <c r="O114">
        <f>IF(P114&lt;1,0,IF(VLOOKUP($A114,'Actual Dates'!$A:$G,5,0)="Y",1,0))</f>
        <v>1</v>
      </c>
      <c r="P114">
        <f>IF(Q114&lt;1,0,IF(VLOOKUP($A114,'Actual Dates'!$A:$G,4,0)="Y",1,0))</f>
        <v>1</v>
      </c>
      <c r="Q114">
        <f>IF(R114&lt;1,0,IF(VLOOKUP($A114,'Actual Dates'!$A:$G,3,0)="Y",1,0))</f>
        <v>1</v>
      </c>
      <c r="R114">
        <f>IF(VLOOKUP($A114,'Actual Dates'!$A:$G,2,0)="Y",1,0)</f>
        <v>1</v>
      </c>
      <c r="S114" s="4">
        <f ca="1">_xlfn.IFNA(+VLOOKUP(A114,'Date Calcs'!A:AG,8,),TODAY())</f>
        <v>46062</v>
      </c>
      <c r="T114" s="4">
        <f ca="1">_xlfn.IFNA(VLOOKUP(A114,'Date Calcs'!A:AG,10,),TODAY())</f>
        <v>46071</v>
      </c>
      <c r="U114" s="4">
        <f ca="1">_xlfn.IFNA(+VLOOKUP(A114,'Date Calcs'!A:AG,12,),TODAY())</f>
        <v>46099</v>
      </c>
      <c r="V114" s="4">
        <f ca="1">_xlfn.IFNA(+VLOOKUP(A114,'Date Calcs'!A:AG,14,),TODAY())</f>
        <v>46113</v>
      </c>
      <c r="W114" s="4">
        <f ca="1">_xlfn.IFNA(+VLOOKUP(A114,'Date Calcs'!A:AG,16,),TODAY())</f>
        <v>46048</v>
      </c>
      <c r="X114" s="4">
        <f ca="1">_xlfn.IFNA(IF(C114=0,VLOOKUP(A114,'Date Calcs'!A:AG,8,),IF(C114=1,VLOOKUP(A114,'Date Calcs'!A:AG,10,),IF(C114=2,VLOOKUP(A114,'Date Calcs'!A:AG,12,),IF(C114=3,VLOOKUP(A114,'Date Calcs'!A:AG,14,),4)))),TODAY())</f>
        <v>46099</v>
      </c>
      <c r="Y114" s="4">
        <f t="shared" ca="1" si="11"/>
        <v>46099</v>
      </c>
      <c r="Z114" s="4">
        <f ca="1">_xlfn.IFNA(Y114+(VLOOKUP(A114,'Date Calcs'!A:W,22,0)*7),TODAY())</f>
        <v>46099</v>
      </c>
      <c r="AA114" s="4" t="str">
        <f>_xlfn.IFNA(VLOOKUP(A114,'RTR v2'!$A:$AW,46,0),"")</f>
        <v xml:space="preserve"> </v>
      </c>
    </row>
    <row r="115" spans="1:27" ht="23.25" x14ac:dyDescent="0.25">
      <c r="A115" s="12" t="str">
        <f>'Actual Dates'!A113</f>
        <v>26-014</v>
      </c>
      <c r="B115" s="13" t="str">
        <f>_xlfn.IFNA(VLOOKUP(A115,'Date Calcs'!A:B,2,),"")</f>
        <v>SNF</v>
      </c>
      <c r="C115" s="14">
        <f>VLOOKUP(A115,'Actual Dates'!A:AE,18,)</f>
        <v>1</v>
      </c>
      <c r="D115" s="15">
        <f t="shared" ca="1" si="8"/>
        <v>46114</v>
      </c>
      <c r="E115" s="15">
        <f t="shared" ca="1" si="9"/>
        <v>46115</v>
      </c>
      <c r="F115" s="14">
        <f ca="1">IFERROR(ROUND(IF(A115="","",IF(E115=0,D115-Date!$B$3,D115-E115)),0),"")</f>
        <v>-1</v>
      </c>
      <c r="G115" s="14" t="str">
        <f>_xlfn.IFNA(VLOOKUP(A115,'RTR v2'!A:AW,48,FALSE)," ")</f>
        <v/>
      </c>
      <c r="I115" s="16" t="str">
        <f t="shared" si="10"/>
        <v>N</v>
      </c>
      <c r="J115" s="16" t="str">
        <f t="shared" si="12"/>
        <v xml:space="preserve">  </v>
      </c>
      <c r="L115" s="17"/>
      <c r="M115" t="str">
        <f t="shared" si="13"/>
        <v xml:space="preserve"> </v>
      </c>
      <c r="N115">
        <f t="shared" si="14"/>
        <v>0</v>
      </c>
      <c r="O115">
        <f>IF(P115&lt;1,0,IF(VLOOKUP($A115,'Actual Dates'!$A:$G,5,0)="Y",1,0))</f>
        <v>0</v>
      </c>
      <c r="P115">
        <f>IF(Q115&lt;1,0,IF(VLOOKUP($A115,'Actual Dates'!$A:$G,4,0)="Y",1,0))</f>
        <v>0</v>
      </c>
      <c r="Q115">
        <f>IF(R115&lt;1,0,IF(VLOOKUP($A115,'Actual Dates'!$A:$G,3,0)="Y",1,0))</f>
        <v>0</v>
      </c>
      <c r="R115">
        <f>IF(VLOOKUP($A115,'Actual Dates'!$A:$G,2,0)="Y",1,0)</f>
        <v>1</v>
      </c>
      <c r="S115" s="4">
        <f ca="1">_xlfn.IFNA(+VLOOKUP(A115,'Date Calcs'!A:AG,8,),TODAY())</f>
        <v>46062</v>
      </c>
      <c r="T115" s="4">
        <f ca="1">_xlfn.IFNA(VLOOKUP(A115,'Date Calcs'!A:AG,10,),TODAY())</f>
        <v>46114</v>
      </c>
      <c r="U115" s="4">
        <f ca="1">_xlfn.IFNA(+VLOOKUP(A115,'Date Calcs'!A:AG,12,),TODAY())</f>
        <v>46128</v>
      </c>
      <c r="V115" s="4">
        <f ca="1">_xlfn.IFNA(+VLOOKUP(A115,'Date Calcs'!A:AG,14,),TODAY())</f>
        <v>46142</v>
      </c>
      <c r="W115" s="4">
        <f ca="1">_xlfn.IFNA(+VLOOKUP(A115,'Date Calcs'!A:AG,16,),TODAY())</f>
        <v>46048</v>
      </c>
      <c r="X115" s="4">
        <f ca="1">_xlfn.IFNA(IF(C115=0,VLOOKUP(A115,'Date Calcs'!A:AG,8,),IF(C115=1,VLOOKUP(A115,'Date Calcs'!A:AG,10,),IF(C115=2,VLOOKUP(A115,'Date Calcs'!A:AG,12,),IF(C115=3,VLOOKUP(A115,'Date Calcs'!A:AG,14,),4)))),TODAY())</f>
        <v>46114</v>
      </c>
      <c r="Y115" s="4">
        <f t="shared" ca="1" si="11"/>
        <v>46114</v>
      </c>
      <c r="Z115" s="4">
        <f ca="1">_xlfn.IFNA(Y115+(VLOOKUP(A115,'Date Calcs'!A:W,22,0)*7),TODAY())</f>
        <v>46114</v>
      </c>
      <c r="AA115" s="4">
        <f>_xlfn.IFNA(VLOOKUP(A115,'RTR v2'!$A:$AW,46,0),"")</f>
        <v>46116</v>
      </c>
    </row>
    <row r="116" spans="1:27" ht="23.25" x14ac:dyDescent="0.25">
      <c r="A116" s="12" t="str">
        <f>'Actual Dates'!A114</f>
        <v>26-015</v>
      </c>
      <c r="B116" s="13" t="str">
        <f>_xlfn.IFNA(VLOOKUP(A116,'Date Calcs'!A:B,2,),"")</f>
        <v>SNF</v>
      </c>
      <c r="C116" s="14">
        <f>VLOOKUP(A116,'Actual Dates'!A:AE,18,)</f>
        <v>1</v>
      </c>
      <c r="D116" s="15">
        <f t="shared" ca="1" si="8"/>
        <v>46120</v>
      </c>
      <c r="E116" s="15">
        <f t="shared" ca="1" si="9"/>
        <v>46115</v>
      </c>
      <c r="F116" s="14">
        <f ca="1">IFERROR(ROUND(IF(A116="","",IF(E116=0,D116-Date!$B$3,D116-E116)),0),"")</f>
        <v>5</v>
      </c>
      <c r="G116" s="14" t="str">
        <f>_xlfn.IFNA(VLOOKUP(A116,'RTR v2'!A:AW,48,FALSE)," ")</f>
        <v/>
      </c>
      <c r="I116" s="16" t="str">
        <f t="shared" si="10"/>
        <v>N</v>
      </c>
      <c r="J116" s="16" t="str">
        <f t="shared" si="12"/>
        <v xml:space="preserve">  </v>
      </c>
      <c r="L116" s="17"/>
      <c r="M116" t="str">
        <f t="shared" si="13"/>
        <v xml:space="preserve"> </v>
      </c>
      <c r="N116">
        <f t="shared" si="14"/>
        <v>0</v>
      </c>
      <c r="O116">
        <f>IF(P116&lt;1,0,IF(VLOOKUP($A116,'Actual Dates'!$A:$G,5,0)="Y",1,0))</f>
        <v>0</v>
      </c>
      <c r="P116">
        <f>IF(Q116&lt;1,0,IF(VLOOKUP($A116,'Actual Dates'!$A:$G,4,0)="Y",1,0))</f>
        <v>0</v>
      </c>
      <c r="Q116">
        <f>IF(R116&lt;1,0,IF(VLOOKUP($A116,'Actual Dates'!$A:$G,3,0)="Y",1,0))</f>
        <v>0</v>
      </c>
      <c r="R116">
        <f>IF(VLOOKUP($A116,'Actual Dates'!$A:$G,2,0)="Y",1,0)</f>
        <v>1</v>
      </c>
      <c r="S116" s="4">
        <f ca="1">_xlfn.IFNA(+VLOOKUP(A116,'Date Calcs'!A:AG,8,),TODAY())</f>
        <v>46092</v>
      </c>
      <c r="T116" s="4">
        <f ca="1">_xlfn.IFNA(VLOOKUP(A116,'Date Calcs'!A:AG,10,),TODAY())</f>
        <v>46120</v>
      </c>
      <c r="U116" s="4">
        <f ca="1">_xlfn.IFNA(+VLOOKUP(A116,'Date Calcs'!A:AG,12,),TODAY())</f>
        <v>46134</v>
      </c>
      <c r="V116" s="4">
        <f ca="1">_xlfn.IFNA(+VLOOKUP(A116,'Date Calcs'!A:AG,14,),TODAY())</f>
        <v>46148</v>
      </c>
      <c r="W116" s="4">
        <f ca="1">_xlfn.IFNA(+VLOOKUP(A116,'Date Calcs'!A:AG,16,),TODAY())</f>
        <v>46078</v>
      </c>
      <c r="X116" s="4">
        <f ca="1">_xlfn.IFNA(IF(C116=0,VLOOKUP(A116,'Date Calcs'!A:AG,8,),IF(C116=1,VLOOKUP(A116,'Date Calcs'!A:AG,10,),IF(C116=2,VLOOKUP(A116,'Date Calcs'!A:AG,12,),IF(C116=3,VLOOKUP(A116,'Date Calcs'!A:AG,14,),4)))),TODAY())</f>
        <v>46120</v>
      </c>
      <c r="Y116" s="4">
        <f t="shared" ca="1" si="11"/>
        <v>46120</v>
      </c>
      <c r="Z116" s="4">
        <f ca="1">_xlfn.IFNA(Y116+(VLOOKUP(A116,'Date Calcs'!A:W,22,0)*7),TODAY())</f>
        <v>46120</v>
      </c>
      <c r="AA116" s="4">
        <f>_xlfn.IFNA(VLOOKUP(A116,'RTR v2'!$A:$AW,46,0),"")</f>
        <v>46122</v>
      </c>
    </row>
    <row r="117" spans="1:27" ht="23.25" hidden="1" x14ac:dyDescent="0.25">
      <c r="A117" s="12" t="str">
        <f>'Actual Dates'!A115</f>
        <v>26-016</v>
      </c>
      <c r="B117" s="13" t="str">
        <f>_xlfn.IFNA(VLOOKUP(A117,'Date Calcs'!A:B,2,),"")</f>
        <v>SNF</v>
      </c>
      <c r="C117" s="14">
        <f>VLOOKUP(A117,'Actual Dates'!A:AE,18,)</f>
        <v>1</v>
      </c>
      <c r="D117" s="15">
        <f t="shared" ca="1" si="8"/>
        <v>46111</v>
      </c>
      <c r="E117" s="15">
        <f t="shared" ca="1" si="9"/>
        <v>46115</v>
      </c>
      <c r="F117" s="14">
        <f ca="1">IFERROR(ROUND(IF(A117="","",IF(E117=0,D117-Date!$B$3,D117-E117)),0),"")</f>
        <v>-4</v>
      </c>
      <c r="G117" s="14" t="str">
        <f>_xlfn.IFNA(VLOOKUP(A117,'RTR v2'!A:AW,48,FALSE)," ")</f>
        <v/>
      </c>
      <c r="I117" s="16" t="str">
        <f t="shared" si="10"/>
        <v>Y</v>
      </c>
      <c r="J117" s="16" t="str">
        <f t="shared" si="12"/>
        <v xml:space="preserve">  </v>
      </c>
      <c r="L117" s="17"/>
      <c r="M117" t="str">
        <f t="shared" si="13"/>
        <v xml:space="preserve"> </v>
      </c>
      <c r="N117">
        <f t="shared" si="14"/>
        <v>1</v>
      </c>
      <c r="O117">
        <f>IF(P117&lt;1,0,IF(VLOOKUP($A117,'Actual Dates'!$A:$G,5,0)="Y",1,0))</f>
        <v>1</v>
      </c>
      <c r="P117">
        <f>IF(Q117&lt;1,0,IF(VLOOKUP($A117,'Actual Dates'!$A:$G,4,0)="Y",1,0))</f>
        <v>1</v>
      </c>
      <c r="Q117">
        <f>IF(R117&lt;1,0,IF(VLOOKUP($A117,'Actual Dates'!$A:$G,3,0)="Y",1,0))</f>
        <v>1</v>
      </c>
      <c r="R117">
        <f>IF(VLOOKUP($A117,'Actual Dates'!$A:$G,2,0)="Y",1,0)</f>
        <v>1</v>
      </c>
      <c r="S117" s="4">
        <f ca="1">_xlfn.IFNA(+VLOOKUP(A117,'Date Calcs'!A:AG,8,),TODAY())</f>
        <v>46092</v>
      </c>
      <c r="T117" s="4">
        <f ca="1">_xlfn.IFNA(VLOOKUP(A117,'Date Calcs'!A:AG,10,),TODAY())</f>
        <v>46111</v>
      </c>
      <c r="U117" s="4">
        <f ca="1">_xlfn.IFNA(+VLOOKUP(A117,'Date Calcs'!A:AG,12,),TODAY())</f>
        <v>46125</v>
      </c>
      <c r="V117" s="4">
        <f ca="1">_xlfn.IFNA(+VLOOKUP(A117,'Date Calcs'!A:AG,14,),TODAY())</f>
        <v>46139</v>
      </c>
      <c r="W117" s="4">
        <f ca="1">_xlfn.IFNA(+VLOOKUP(A117,'Date Calcs'!A:AG,16,),TODAY())</f>
        <v>46078</v>
      </c>
      <c r="X117" s="4">
        <f ca="1">_xlfn.IFNA(IF(C117=0,VLOOKUP(A117,'Date Calcs'!A:AG,8,),IF(C117=1,VLOOKUP(A117,'Date Calcs'!A:AG,10,),IF(C117=2,VLOOKUP(A117,'Date Calcs'!A:AG,12,),IF(C117=3,VLOOKUP(A117,'Date Calcs'!A:AG,14,),4)))),TODAY())</f>
        <v>46111</v>
      </c>
      <c r="Y117" s="4">
        <f t="shared" ca="1" si="11"/>
        <v>46111</v>
      </c>
      <c r="Z117" s="4">
        <f ca="1">_xlfn.IFNA(Y117+(VLOOKUP(A117,'Date Calcs'!A:W,22,0)*7),TODAY())</f>
        <v>46111</v>
      </c>
      <c r="AA117" s="4">
        <f>_xlfn.IFNA(VLOOKUP(A117,'RTR v2'!$A:$AW,46,0),"")</f>
        <v>46113</v>
      </c>
    </row>
    <row r="118" spans="1:27" ht="23.25" x14ac:dyDescent="0.25">
      <c r="A118" s="12" t="str">
        <f>'Actual Dates'!A116</f>
        <v>26-017</v>
      </c>
      <c r="B118" s="13" t="str">
        <f>_xlfn.IFNA(VLOOKUP(A118,'Date Calcs'!A:B,2,),"")</f>
        <v>SNF</v>
      </c>
      <c r="C118" s="14">
        <f>VLOOKUP(A118,'Actual Dates'!A:AE,18,)</f>
        <v>1</v>
      </c>
      <c r="D118" s="15">
        <f t="shared" ca="1" si="8"/>
        <v>46121</v>
      </c>
      <c r="E118" s="15">
        <f t="shared" ca="1" si="9"/>
        <v>46115</v>
      </c>
      <c r="F118" s="14">
        <f ca="1">IFERROR(ROUND(IF(A118="","",IF(E118=0,D118-Date!$B$3,D118-E118)),0),"")</f>
        <v>6</v>
      </c>
      <c r="G118" s="14" t="str">
        <f>_xlfn.IFNA(VLOOKUP(A118,'RTR v2'!A:AW,48,FALSE)," ")</f>
        <v/>
      </c>
      <c r="I118" s="16" t="str">
        <f t="shared" si="10"/>
        <v>N</v>
      </c>
      <c r="J118" s="16" t="str">
        <f t="shared" si="12"/>
        <v xml:space="preserve">  </v>
      </c>
      <c r="L118" s="17"/>
      <c r="M118" t="str">
        <f t="shared" si="13"/>
        <v xml:space="preserve"> </v>
      </c>
      <c r="N118">
        <f t="shared" si="14"/>
        <v>0</v>
      </c>
      <c r="O118">
        <f>IF(P118&lt;1,0,IF(VLOOKUP($A118,'Actual Dates'!$A:$G,5,0)="Y",1,0))</f>
        <v>0</v>
      </c>
      <c r="P118">
        <f>IF(Q118&lt;1,0,IF(VLOOKUP($A118,'Actual Dates'!$A:$G,4,0)="Y",1,0))</f>
        <v>0</v>
      </c>
      <c r="Q118">
        <f>IF(R118&lt;1,0,IF(VLOOKUP($A118,'Actual Dates'!$A:$G,3,0)="Y",1,0))</f>
        <v>0</v>
      </c>
      <c r="R118">
        <f>IF(VLOOKUP($A118,'Actual Dates'!$A:$G,2,0)="Y",1,0)</f>
        <v>1</v>
      </c>
      <c r="S118" s="4">
        <f ca="1">_xlfn.IFNA(+VLOOKUP(A118,'Date Calcs'!A:AG,8,),TODAY())</f>
        <v>46062</v>
      </c>
      <c r="T118" s="4">
        <f ca="1">_xlfn.IFNA(VLOOKUP(A118,'Date Calcs'!A:AG,10,),TODAY())</f>
        <v>46121</v>
      </c>
      <c r="U118" s="4">
        <f ca="1">_xlfn.IFNA(+VLOOKUP(A118,'Date Calcs'!A:AG,12,),TODAY())</f>
        <v>46135</v>
      </c>
      <c r="V118" s="4">
        <f ca="1">_xlfn.IFNA(+VLOOKUP(A118,'Date Calcs'!A:AG,14,),TODAY())</f>
        <v>46149</v>
      </c>
      <c r="W118" s="4">
        <f ca="1">_xlfn.IFNA(+VLOOKUP(A118,'Date Calcs'!A:AG,16,),TODAY())</f>
        <v>46048</v>
      </c>
      <c r="X118" s="4">
        <f ca="1">_xlfn.IFNA(IF(C118=0,VLOOKUP(A118,'Date Calcs'!A:AG,8,),IF(C118=1,VLOOKUP(A118,'Date Calcs'!A:AG,10,),IF(C118=2,VLOOKUP(A118,'Date Calcs'!A:AG,12,),IF(C118=3,VLOOKUP(A118,'Date Calcs'!A:AG,14,),4)))),TODAY())</f>
        <v>46121</v>
      </c>
      <c r="Y118" s="4">
        <f t="shared" ca="1" si="11"/>
        <v>46121</v>
      </c>
      <c r="Z118" s="4">
        <f ca="1">_xlfn.IFNA(Y118+(VLOOKUP(A118,'Date Calcs'!A:W,22,0)*7),TODAY())</f>
        <v>46121</v>
      </c>
      <c r="AA118" s="4">
        <f>_xlfn.IFNA(VLOOKUP(A118,'RTR v2'!$A:$AW,46,0),"")</f>
        <v>46123</v>
      </c>
    </row>
    <row r="119" spans="1:27" ht="23.25" x14ac:dyDescent="0.25">
      <c r="A119" s="12" t="str">
        <f>'Actual Dates'!A117</f>
        <v>26-018</v>
      </c>
      <c r="B119" s="13" t="str">
        <f>_xlfn.IFNA(VLOOKUP(A119,'Date Calcs'!A:B,2,),"")</f>
        <v>SNF</v>
      </c>
      <c r="C119" s="14">
        <f>VLOOKUP(A119,'Actual Dates'!A:AE,18,)</f>
        <v>1</v>
      </c>
      <c r="D119" s="15">
        <f t="shared" ca="1" si="8"/>
        <v>46121</v>
      </c>
      <c r="E119" s="15">
        <f t="shared" ca="1" si="9"/>
        <v>46115</v>
      </c>
      <c r="F119" s="14">
        <f ca="1">IFERROR(ROUND(IF(A119="","",IF(E119=0,D119-Date!$B$3,D119-E119)),0),"")</f>
        <v>6</v>
      </c>
      <c r="G119" s="14" t="str">
        <f>_xlfn.IFNA(VLOOKUP(A119,'RTR v2'!A:AW,48,FALSE)," ")</f>
        <v/>
      </c>
      <c r="I119" s="16" t="str">
        <f t="shared" si="10"/>
        <v>N</v>
      </c>
      <c r="J119" s="16" t="str">
        <f t="shared" si="12"/>
        <v xml:space="preserve">  </v>
      </c>
      <c r="L119" s="17"/>
      <c r="M119" t="str">
        <f t="shared" si="13"/>
        <v xml:space="preserve"> </v>
      </c>
      <c r="N119">
        <f t="shared" si="14"/>
        <v>0</v>
      </c>
      <c r="O119">
        <f>IF(P119&lt;1,0,IF(VLOOKUP($A119,'Actual Dates'!$A:$G,5,0)="Y",1,0))</f>
        <v>0</v>
      </c>
      <c r="P119">
        <f>IF(Q119&lt;1,0,IF(VLOOKUP($A119,'Actual Dates'!$A:$G,4,0)="Y",1,0))</f>
        <v>0</v>
      </c>
      <c r="Q119">
        <f>IF(R119&lt;1,0,IF(VLOOKUP($A119,'Actual Dates'!$A:$G,3,0)="Y",1,0))</f>
        <v>0</v>
      </c>
      <c r="R119">
        <f>IF(VLOOKUP($A119,'Actual Dates'!$A:$G,2,0)="Y",1,0)</f>
        <v>1</v>
      </c>
      <c r="S119" s="4">
        <f ca="1">_xlfn.IFNA(+VLOOKUP(A119,'Date Calcs'!A:AG,8,),TODAY())</f>
        <v>46062</v>
      </c>
      <c r="T119" s="4">
        <f ca="1">_xlfn.IFNA(VLOOKUP(A119,'Date Calcs'!A:AG,10,),TODAY())</f>
        <v>46121</v>
      </c>
      <c r="U119" s="4">
        <f ca="1">_xlfn.IFNA(+VLOOKUP(A119,'Date Calcs'!A:AG,12,),TODAY())</f>
        <v>46135</v>
      </c>
      <c r="V119" s="4">
        <f ca="1">_xlfn.IFNA(+VLOOKUP(A119,'Date Calcs'!A:AG,14,),TODAY())</f>
        <v>46149</v>
      </c>
      <c r="W119" s="4">
        <f ca="1">_xlfn.IFNA(+VLOOKUP(A119,'Date Calcs'!A:AG,16,),TODAY())</f>
        <v>46048</v>
      </c>
      <c r="X119" s="4">
        <f ca="1">_xlfn.IFNA(IF(C119=0,VLOOKUP(A119,'Date Calcs'!A:AG,8,),IF(C119=1,VLOOKUP(A119,'Date Calcs'!A:AG,10,),IF(C119=2,VLOOKUP(A119,'Date Calcs'!A:AG,12,),IF(C119=3,VLOOKUP(A119,'Date Calcs'!A:AG,14,),4)))),TODAY())</f>
        <v>46121</v>
      </c>
      <c r="Y119" s="4">
        <f t="shared" ca="1" si="11"/>
        <v>46121</v>
      </c>
      <c r="Z119" s="4">
        <f ca="1">_xlfn.IFNA(Y119+(VLOOKUP(A119,'Date Calcs'!A:W,22,0)*7),TODAY())</f>
        <v>46121</v>
      </c>
      <c r="AA119" s="4">
        <f>_xlfn.IFNA(VLOOKUP(A119,'RTR v2'!$A:$AW,46,0),"")</f>
        <v>46123</v>
      </c>
    </row>
    <row r="120" spans="1:27" ht="23.25" hidden="1" x14ac:dyDescent="0.25">
      <c r="A120" s="12" t="str">
        <f>'Actual Dates'!A118</f>
        <v>26-020</v>
      </c>
      <c r="B120" s="13" t="str">
        <f>_xlfn.IFNA(VLOOKUP(A120,'Date Calcs'!A:B,2,),"")</f>
        <v>US Sugar</v>
      </c>
      <c r="C120" s="14">
        <f>VLOOKUP(A120,'Actual Dates'!A:AE,18,)</f>
        <v>2</v>
      </c>
      <c r="D120" s="15">
        <f t="shared" ca="1" si="8"/>
        <v>46107</v>
      </c>
      <c r="E120" s="15">
        <f t="shared" ca="1" si="9"/>
        <v>46104</v>
      </c>
      <c r="F120" s="14">
        <f ca="1">IFERROR(ROUND(IF(A120="","",IF(E120=0,D120-Date!$B$3,D120-E120)),0),"")</f>
        <v>3</v>
      </c>
      <c r="G120" s="14" t="str">
        <f>_xlfn.IFNA(VLOOKUP(A120,'RTR v2'!A:AW,48,FALSE)," ")</f>
        <v/>
      </c>
      <c r="I120" s="16" t="str">
        <f t="shared" si="10"/>
        <v>Y</v>
      </c>
      <c r="J120" s="16" t="str">
        <f t="shared" si="12"/>
        <v>y</v>
      </c>
      <c r="L120" s="17"/>
      <c r="M120" t="str">
        <f t="shared" si="13"/>
        <v xml:space="preserve"> </v>
      </c>
      <c r="N120">
        <f t="shared" si="14"/>
        <v>1</v>
      </c>
      <c r="O120">
        <f>IF(P120&lt;1,0,IF(VLOOKUP($A120,'Actual Dates'!$A:$G,5,0)="Y",1,0))</f>
        <v>1</v>
      </c>
      <c r="P120">
        <f>IF(Q120&lt;1,0,IF(VLOOKUP($A120,'Actual Dates'!$A:$G,4,0)="Y",1,0))</f>
        <v>1</v>
      </c>
      <c r="Q120">
        <f>IF(R120&lt;1,0,IF(VLOOKUP($A120,'Actual Dates'!$A:$G,3,0)="Y",1,0))</f>
        <v>1</v>
      </c>
      <c r="R120">
        <f>IF(VLOOKUP($A120,'Actual Dates'!$A:$G,2,0)="Y",1,0)</f>
        <v>1</v>
      </c>
      <c r="S120" s="4">
        <f ca="1">_xlfn.IFNA(+VLOOKUP(A120,'Date Calcs'!A:AG,8,),TODAY())</f>
        <v>46087</v>
      </c>
      <c r="T120" s="4">
        <f ca="1">_xlfn.IFNA(VLOOKUP(A120,'Date Calcs'!A:AG,10,),TODAY())</f>
        <v>46097</v>
      </c>
      <c r="U120" s="4">
        <f ca="1">_xlfn.IFNA(+VLOOKUP(A120,'Date Calcs'!A:AG,12,),TODAY())</f>
        <v>46107</v>
      </c>
      <c r="V120" s="4">
        <f ca="1">_xlfn.IFNA(+VLOOKUP(A120,'Date Calcs'!A:AG,14,),TODAY())</f>
        <v>46121</v>
      </c>
      <c r="W120" s="4">
        <f ca="1">_xlfn.IFNA(+VLOOKUP(A120,'Date Calcs'!A:AG,16,),TODAY())</f>
        <v>46073</v>
      </c>
      <c r="X120" s="4">
        <f ca="1">_xlfn.IFNA(IF(C120=0,VLOOKUP(A120,'Date Calcs'!A:AG,8,),IF(C120=1,VLOOKUP(A120,'Date Calcs'!A:AG,10,),IF(C120=2,VLOOKUP(A120,'Date Calcs'!A:AG,12,),IF(C120=3,VLOOKUP(A120,'Date Calcs'!A:AG,14,),4)))),TODAY())</f>
        <v>46107</v>
      </c>
      <c r="Y120" s="4">
        <f t="shared" ca="1" si="11"/>
        <v>46107</v>
      </c>
      <c r="Z120" s="4">
        <f ca="1">_xlfn.IFNA(Y120+(VLOOKUP(A120,'Date Calcs'!A:W,22,0)*7),TODAY())</f>
        <v>46107</v>
      </c>
      <c r="AA120" s="4" t="str">
        <f>_xlfn.IFNA(VLOOKUP(A120,'RTR v2'!$A:$AW,46,0),"")</f>
        <v xml:space="preserve"> </v>
      </c>
    </row>
    <row r="121" spans="1:27" ht="23.25" hidden="1" x14ac:dyDescent="0.25">
      <c r="A121" s="12" t="str">
        <f>'Actual Dates'!A119</f>
        <v>26-021</v>
      </c>
      <c r="B121" s="13" t="str">
        <f>_xlfn.IFNA(VLOOKUP(A121,'Date Calcs'!A:B,2,),"")</f>
        <v>US Sugar</v>
      </c>
      <c r="C121" s="14">
        <f>VLOOKUP(A121,'Actual Dates'!A:AE,18,)</f>
        <v>2</v>
      </c>
      <c r="D121" s="15">
        <f t="shared" ca="1" si="8"/>
        <v>46107</v>
      </c>
      <c r="E121" s="15">
        <f t="shared" ca="1" si="9"/>
        <v>46104</v>
      </c>
      <c r="F121" s="14">
        <f ca="1">IFERROR(ROUND(IF(A121="","",IF(E121=0,D121-Date!$B$3,D121-E121)),0),"")</f>
        <v>3</v>
      </c>
      <c r="G121" s="14" t="str">
        <f>_xlfn.IFNA(VLOOKUP(A121,'RTR v2'!A:AW,48,FALSE)," ")</f>
        <v/>
      </c>
      <c r="I121" s="16" t="str">
        <f t="shared" si="10"/>
        <v>Y</v>
      </c>
      <c r="J121" s="16" t="str">
        <f t="shared" si="12"/>
        <v>y</v>
      </c>
      <c r="L121" s="17"/>
      <c r="M121" t="str">
        <f t="shared" si="13"/>
        <v xml:space="preserve"> </v>
      </c>
      <c r="N121">
        <f t="shared" si="14"/>
        <v>1</v>
      </c>
      <c r="O121">
        <f>IF(P121&lt;1,0,IF(VLOOKUP($A121,'Actual Dates'!$A:$G,5,0)="Y",1,0))</f>
        <v>1</v>
      </c>
      <c r="P121">
        <f>IF(Q121&lt;1,0,IF(VLOOKUP($A121,'Actual Dates'!$A:$G,4,0)="Y",1,0))</f>
        <v>1</v>
      </c>
      <c r="Q121">
        <f>IF(R121&lt;1,0,IF(VLOOKUP($A121,'Actual Dates'!$A:$G,3,0)="Y",1,0))</f>
        <v>1</v>
      </c>
      <c r="R121">
        <f>IF(VLOOKUP($A121,'Actual Dates'!$A:$G,2,0)="Y",1,0)</f>
        <v>1</v>
      </c>
      <c r="S121" s="4">
        <f ca="1">_xlfn.IFNA(+VLOOKUP(A121,'Date Calcs'!A:AG,8,),TODAY())</f>
        <v>46087</v>
      </c>
      <c r="T121" s="4">
        <f ca="1">_xlfn.IFNA(VLOOKUP(A121,'Date Calcs'!A:AG,10,),TODAY())</f>
        <v>46097</v>
      </c>
      <c r="U121" s="4">
        <f ca="1">_xlfn.IFNA(+VLOOKUP(A121,'Date Calcs'!A:AG,12,),TODAY())</f>
        <v>46107</v>
      </c>
      <c r="V121" s="4">
        <f ca="1">_xlfn.IFNA(+VLOOKUP(A121,'Date Calcs'!A:AG,14,),TODAY())</f>
        <v>46121</v>
      </c>
      <c r="W121" s="4">
        <f ca="1">_xlfn.IFNA(+VLOOKUP(A121,'Date Calcs'!A:AG,16,),TODAY())</f>
        <v>46073</v>
      </c>
      <c r="X121" s="4">
        <f ca="1">_xlfn.IFNA(IF(C121=0,VLOOKUP(A121,'Date Calcs'!A:AG,8,),IF(C121=1,VLOOKUP(A121,'Date Calcs'!A:AG,10,),IF(C121=2,VLOOKUP(A121,'Date Calcs'!A:AG,12,),IF(C121=3,VLOOKUP(A121,'Date Calcs'!A:AG,14,),4)))),TODAY())</f>
        <v>46107</v>
      </c>
      <c r="Y121" s="4">
        <f t="shared" ca="1" si="11"/>
        <v>46107</v>
      </c>
      <c r="Z121" s="4">
        <f ca="1">_xlfn.IFNA(Y121+(VLOOKUP(A121,'Date Calcs'!A:W,22,0)*7),TODAY())</f>
        <v>46107</v>
      </c>
      <c r="AA121" s="4" t="str">
        <f>_xlfn.IFNA(VLOOKUP(A121,'RTR v2'!$A:$AW,46,0),"")</f>
        <v xml:space="preserve"> </v>
      </c>
    </row>
    <row r="122" spans="1:27" ht="23.25" hidden="1" x14ac:dyDescent="0.25">
      <c r="A122" s="12" t="str">
        <f>'Actual Dates'!A120</f>
        <v>26-022</v>
      </c>
      <c r="B122" s="13" t="str">
        <f>_xlfn.IFNA(VLOOKUP(A122,'Date Calcs'!A:B,2,),"")</f>
        <v>Andritz</v>
      </c>
      <c r="C122" s="14">
        <f>VLOOKUP(A122,'Actual Dates'!A:AE,18,)</f>
        <v>2</v>
      </c>
      <c r="D122" s="15">
        <f t="shared" ca="1" si="8"/>
        <v>46121</v>
      </c>
      <c r="E122" s="15">
        <f t="shared" ca="1" si="9"/>
        <v>46107</v>
      </c>
      <c r="F122" s="14">
        <f ca="1">IFERROR(ROUND(IF(A122="","",IF(E122=0,D122-Date!$B$3,D122-E122)),0),"")</f>
        <v>14</v>
      </c>
      <c r="G122" s="14" t="str">
        <f>_xlfn.IFNA(VLOOKUP(A122,'RTR v2'!A:AW,48,FALSE)," ")</f>
        <v/>
      </c>
      <c r="I122" s="16" t="str">
        <f t="shared" si="10"/>
        <v>Y</v>
      </c>
      <c r="J122" s="16" t="str">
        <f t="shared" si="12"/>
        <v>y</v>
      </c>
      <c r="L122" s="17"/>
      <c r="M122" t="str">
        <f t="shared" si="13"/>
        <v xml:space="preserve"> </v>
      </c>
      <c r="N122">
        <f t="shared" si="14"/>
        <v>1</v>
      </c>
      <c r="O122">
        <f>IF(P122&lt;1,0,IF(VLOOKUP($A122,'Actual Dates'!$A:$G,5,0)="Y",1,0))</f>
        <v>1</v>
      </c>
      <c r="P122">
        <f>IF(Q122&lt;1,0,IF(VLOOKUP($A122,'Actual Dates'!$A:$G,4,0)="Y",1,0))</f>
        <v>1</v>
      </c>
      <c r="Q122">
        <f>IF(R122&lt;1,0,IF(VLOOKUP($A122,'Actual Dates'!$A:$G,3,0)="Y",1,0))</f>
        <v>1</v>
      </c>
      <c r="R122">
        <f>IF(VLOOKUP($A122,'Actual Dates'!$A:$G,2,0)="Y",1,0)</f>
        <v>1</v>
      </c>
      <c r="S122" s="4">
        <f ca="1">_xlfn.IFNA(+VLOOKUP(A122,'Date Calcs'!A:AG,8,),TODAY())</f>
        <v>46084</v>
      </c>
      <c r="T122" s="4">
        <f ca="1">_xlfn.IFNA(VLOOKUP(A122,'Date Calcs'!A:AG,10,),TODAY())</f>
        <v>46099</v>
      </c>
      <c r="U122" s="4">
        <f ca="1">_xlfn.IFNA(+VLOOKUP(A122,'Date Calcs'!A:AG,12,),TODAY())</f>
        <v>46121</v>
      </c>
      <c r="V122" s="4">
        <f ca="1">_xlfn.IFNA(+VLOOKUP(A122,'Date Calcs'!A:AG,14,),TODAY())</f>
        <v>46135</v>
      </c>
      <c r="W122" s="4">
        <f ca="1">_xlfn.IFNA(+VLOOKUP(A122,'Date Calcs'!A:AG,16,),TODAY())</f>
        <v>46077</v>
      </c>
      <c r="X122" s="4">
        <f ca="1">_xlfn.IFNA(IF(C122=0,VLOOKUP(A122,'Date Calcs'!A:AG,8,),IF(C122=1,VLOOKUP(A122,'Date Calcs'!A:AG,10,),IF(C122=2,VLOOKUP(A122,'Date Calcs'!A:AG,12,),IF(C122=3,VLOOKUP(A122,'Date Calcs'!A:AG,14,),4)))),TODAY())</f>
        <v>46121</v>
      </c>
      <c r="Y122" s="4">
        <f t="shared" ca="1" si="11"/>
        <v>46121</v>
      </c>
      <c r="Z122" s="4">
        <f ca="1">_xlfn.IFNA(Y122+(VLOOKUP(A122,'Date Calcs'!A:W,22,0)*7),TODAY())</f>
        <v>46121</v>
      </c>
      <c r="AA122" s="4">
        <f>_xlfn.IFNA(VLOOKUP(A122,'RTR v2'!$A:$AW,46,0),"")</f>
        <v>46101</v>
      </c>
    </row>
    <row r="123" spans="1:27" ht="23.25" x14ac:dyDescent="0.25">
      <c r="A123" s="12" t="str">
        <f>'Actual Dates'!A121</f>
        <v>26-024</v>
      </c>
      <c r="B123" s="13" t="str">
        <f>_xlfn.IFNA(VLOOKUP(A123,'Date Calcs'!A:B,2,),"")</f>
        <v>Polynt</v>
      </c>
      <c r="C123" s="14">
        <f>VLOOKUP(A123,'Actual Dates'!A:AE,18,)</f>
        <v>1</v>
      </c>
      <c r="D123" s="15">
        <f t="shared" ca="1" si="8"/>
        <v>46127</v>
      </c>
      <c r="E123" s="15">
        <f t="shared" ca="1" si="9"/>
        <v>46115</v>
      </c>
      <c r="F123" s="14">
        <f ca="1">IFERROR(ROUND(IF(A123="","",IF(E123=0,D123-Date!$B$3,D123-E123)),0),"")</f>
        <v>12</v>
      </c>
      <c r="G123" s="14" t="str">
        <f>_xlfn.IFNA(VLOOKUP(A123,'RTR v2'!A:AW,48,FALSE)," ")</f>
        <v/>
      </c>
      <c r="I123" s="16" t="str">
        <f t="shared" si="10"/>
        <v>N</v>
      </c>
      <c r="J123" s="16" t="str">
        <f t="shared" si="12"/>
        <v xml:space="preserve">  </v>
      </c>
      <c r="L123" s="17"/>
      <c r="M123" t="str">
        <f t="shared" si="13"/>
        <v xml:space="preserve"> </v>
      </c>
      <c r="N123">
        <f t="shared" si="14"/>
        <v>0</v>
      </c>
      <c r="O123">
        <f>IF(P123&lt;1,0,IF(VLOOKUP($A123,'Actual Dates'!$A:$G,5,0)="Y",1,0))</f>
        <v>0</v>
      </c>
      <c r="P123">
        <f>IF(Q123&lt;1,0,IF(VLOOKUP($A123,'Actual Dates'!$A:$G,4,0)="Y",1,0))</f>
        <v>0</v>
      </c>
      <c r="Q123">
        <f>IF(R123&lt;1,0,IF(VLOOKUP($A123,'Actual Dates'!$A:$G,3,0)="Y",1,0))</f>
        <v>0</v>
      </c>
      <c r="R123">
        <f>IF(VLOOKUP($A123,'Actual Dates'!$A:$G,2,0)="Y",1,0)</f>
        <v>1</v>
      </c>
      <c r="S123" s="4">
        <f ca="1">_xlfn.IFNA(+VLOOKUP(A123,'Date Calcs'!A:AG,8,),TODAY())</f>
        <v>46106</v>
      </c>
      <c r="T123" s="4">
        <f ca="1">_xlfn.IFNA(VLOOKUP(A123,'Date Calcs'!A:AG,10,),TODAY())</f>
        <v>46120</v>
      </c>
      <c r="U123" s="4">
        <f ca="1">_xlfn.IFNA(+VLOOKUP(A123,'Date Calcs'!A:AG,12,),TODAY())</f>
        <v>46134</v>
      </c>
      <c r="V123" s="4">
        <f ca="1">_xlfn.IFNA(+VLOOKUP(A123,'Date Calcs'!A:AG,14,),TODAY())</f>
        <v>46148</v>
      </c>
      <c r="W123" s="4">
        <f ca="1">_xlfn.IFNA(+VLOOKUP(A123,'Date Calcs'!A:AG,16,),TODAY())</f>
        <v>46092</v>
      </c>
      <c r="X123" s="4">
        <f ca="1">_xlfn.IFNA(IF(C123=0,VLOOKUP(A123,'Date Calcs'!A:AG,8,),IF(C123=1,VLOOKUP(A123,'Date Calcs'!A:AG,10,),IF(C123=2,VLOOKUP(A123,'Date Calcs'!A:AG,12,),IF(C123=3,VLOOKUP(A123,'Date Calcs'!A:AG,14,),4)))),TODAY())</f>
        <v>46120</v>
      </c>
      <c r="Y123" s="4">
        <f t="shared" ca="1" si="11"/>
        <v>46120</v>
      </c>
      <c r="Z123" s="4">
        <f ca="1">_xlfn.IFNA(Y123+(VLOOKUP(A123,'Date Calcs'!A:W,22,0)*7),TODAY())</f>
        <v>46127</v>
      </c>
      <c r="AA123" s="4">
        <f>_xlfn.IFNA(VLOOKUP(A123,'RTR v2'!$A:$AW,46,0),"")</f>
        <v>46129</v>
      </c>
    </row>
    <row r="124" spans="1:27" ht="23.25" hidden="1" x14ac:dyDescent="0.25">
      <c r="A124" s="12" t="str">
        <f>'Actual Dates'!A122</f>
        <v>26-025</v>
      </c>
      <c r="B124" s="13" t="str">
        <f>_xlfn.IFNA(VLOOKUP(A124,'Date Calcs'!A:B,2,),"")</f>
        <v>Blake &amp; Pendleton</v>
      </c>
      <c r="C124" s="14">
        <f>VLOOKUP(A124,'Actual Dates'!A:AE,18,)</f>
        <v>1</v>
      </c>
      <c r="D124" s="15">
        <f t="shared" ca="1" si="8"/>
        <v>46121</v>
      </c>
      <c r="E124" s="15">
        <f t="shared" ca="1" si="9"/>
        <v>46115</v>
      </c>
      <c r="F124" s="14">
        <f ca="1">IFERROR(ROUND(IF(A124="","",IF(E124=0,D124-Date!$B$3,D124-E124)),0),"")</f>
        <v>6</v>
      </c>
      <c r="G124" s="14" t="str">
        <f>_xlfn.IFNA(VLOOKUP(A124,'RTR v2'!A:AW,48,FALSE)," ")</f>
        <v/>
      </c>
      <c r="I124" s="16" t="str">
        <f t="shared" si="10"/>
        <v>N</v>
      </c>
      <c r="J124" s="16" t="str">
        <f t="shared" si="12"/>
        <v xml:space="preserve">  </v>
      </c>
      <c r="L124" s="17"/>
      <c r="M124" t="str">
        <f t="shared" si="13"/>
        <v xml:space="preserve"> </v>
      </c>
      <c r="N124">
        <f t="shared" si="14"/>
        <v>0</v>
      </c>
      <c r="O124">
        <f>IF(P124&lt;1,0,IF(VLOOKUP($A124,'Actual Dates'!$A:$G,5,0)="Y",1,0))</f>
        <v>0</v>
      </c>
      <c r="P124">
        <f>IF(Q124&lt;1,0,IF(VLOOKUP($A124,'Actual Dates'!$A:$G,4,0)="Y",1,0))</f>
        <v>0</v>
      </c>
      <c r="Q124">
        <f>IF(R124&lt;1,0,IF(VLOOKUP($A124,'Actual Dates'!$A:$G,3,0)="Y",1,0))</f>
        <v>0</v>
      </c>
      <c r="R124">
        <f>IF(VLOOKUP($A124,'Actual Dates'!$A:$G,2,0)="Y",1,0)</f>
        <v>1</v>
      </c>
      <c r="S124" s="4">
        <f ca="1">_xlfn.IFNA(+VLOOKUP(A124,'Date Calcs'!A:AG,8,),TODAY())</f>
        <v>46120</v>
      </c>
      <c r="T124" s="4">
        <f ca="1">_xlfn.IFNA(VLOOKUP(A124,'Date Calcs'!A:AG,10,),TODAY())</f>
        <v>46121</v>
      </c>
      <c r="U124" s="4">
        <f ca="1">_xlfn.IFNA(+VLOOKUP(A124,'Date Calcs'!A:AG,12,),TODAY())</f>
        <v>46135</v>
      </c>
      <c r="V124" s="4">
        <f ca="1">_xlfn.IFNA(+VLOOKUP(A124,'Date Calcs'!A:AG,14,),TODAY())</f>
        <v>46149</v>
      </c>
      <c r="W124" s="4">
        <f ca="1">_xlfn.IFNA(+VLOOKUP(A124,'Date Calcs'!A:AG,16,),TODAY())</f>
        <v>46106</v>
      </c>
      <c r="X124" s="4">
        <f ca="1">_xlfn.IFNA(IF(C124=0,VLOOKUP(A124,'Date Calcs'!A:AG,8,),IF(C124=1,VLOOKUP(A124,'Date Calcs'!A:AG,10,),IF(C124=2,VLOOKUP(A124,'Date Calcs'!A:AG,12,),IF(C124=3,VLOOKUP(A124,'Date Calcs'!A:AG,14,),4)))),TODAY())</f>
        <v>46121</v>
      </c>
      <c r="Y124" s="4">
        <f t="shared" ca="1" si="11"/>
        <v>46121</v>
      </c>
      <c r="Z124" s="4">
        <f ca="1">_xlfn.IFNA(Y124+(VLOOKUP(A124,'Date Calcs'!A:W,22,0)*7),TODAY())</f>
        <v>46121</v>
      </c>
      <c r="AA124" s="4">
        <f>_xlfn.IFNA(VLOOKUP(A124,'RTR v2'!$A:$AW,46,0),"")</f>
        <v>46112</v>
      </c>
    </row>
    <row r="125" spans="1:27" ht="23.25" hidden="1" x14ac:dyDescent="0.25">
      <c r="A125" s="12" t="str">
        <f>'Actual Dates'!A123</f>
        <v>26-026</v>
      </c>
      <c r="B125" s="13" t="str">
        <f>_xlfn.IFNA(VLOOKUP(A125,'Date Calcs'!A:B,2,),"")</f>
        <v>Andritz</v>
      </c>
      <c r="C125" s="14">
        <f>VLOOKUP(A125,'Actual Dates'!A:AE,18,)</f>
        <v>0</v>
      </c>
      <c r="D125" s="15">
        <f t="shared" ca="1" si="8"/>
        <v>46104</v>
      </c>
      <c r="E125" s="15">
        <f t="shared" ca="1" si="9"/>
        <v>46102</v>
      </c>
      <c r="F125" s="14">
        <f ca="1">IFERROR(ROUND(IF(A125="","",IF(E125=0,D125-Date!$B$3,D125-E125)),0),"")</f>
        <v>2</v>
      </c>
      <c r="G125" s="14">
        <f>_xlfn.IFNA(VLOOKUP(A125,'RTR v2'!A:AW,48,FALSE)," ")</f>
        <v>46118</v>
      </c>
      <c r="I125" s="16" t="str">
        <f t="shared" si="10"/>
        <v>N</v>
      </c>
      <c r="J125" s="16" t="str">
        <f t="shared" si="12"/>
        <v>y</v>
      </c>
      <c r="L125" s="17"/>
      <c r="M125" t="str">
        <f t="shared" si="13"/>
        <v xml:space="preserve"> </v>
      </c>
      <c r="N125">
        <f t="shared" si="14"/>
        <v>0</v>
      </c>
      <c r="O125">
        <f>IF(P125&lt;1,0,IF(VLOOKUP($A125,'Actual Dates'!$A:$G,5,0)="Y",1,0))</f>
        <v>0</v>
      </c>
      <c r="P125">
        <f>IF(Q125&lt;1,0,IF(VLOOKUP($A125,'Actual Dates'!$A:$G,4,0)="Y",1,0))</f>
        <v>0</v>
      </c>
      <c r="Q125">
        <f>IF(R125&lt;1,0,IF(VLOOKUP($A125,'Actual Dates'!$A:$G,3,0)="Y",1,0))</f>
        <v>0</v>
      </c>
      <c r="R125">
        <f>IF(VLOOKUP($A125,'Actual Dates'!$A:$G,2,0)="Y",1,0)</f>
        <v>0</v>
      </c>
      <c r="S125" s="4">
        <f ca="1">_xlfn.IFNA(+VLOOKUP(A125,'Date Calcs'!A:AG,8,),TODAY())</f>
        <v>46104</v>
      </c>
      <c r="T125" s="4">
        <f ca="1">_xlfn.IFNA(VLOOKUP(A125,'Date Calcs'!A:AG,10,),TODAY())</f>
        <v>46125</v>
      </c>
      <c r="U125" s="4">
        <f ca="1">_xlfn.IFNA(+VLOOKUP(A125,'Date Calcs'!A:AG,12,),TODAY())</f>
        <v>46139</v>
      </c>
      <c r="V125" s="4">
        <f ca="1">_xlfn.IFNA(+VLOOKUP(A125,'Date Calcs'!A:AG,14,),TODAY())</f>
        <v>46153</v>
      </c>
      <c r="W125" s="4">
        <f ca="1">_xlfn.IFNA(+VLOOKUP(A125,'Date Calcs'!A:AG,16,),TODAY())</f>
        <v>46111</v>
      </c>
      <c r="X125" s="4">
        <f ca="1">_xlfn.IFNA(IF(C125=0,VLOOKUP(A125,'Date Calcs'!A:AG,8,),IF(C125=1,VLOOKUP(A125,'Date Calcs'!A:AG,10,),IF(C125=2,VLOOKUP(A125,'Date Calcs'!A:AG,12,),IF(C125=3,VLOOKUP(A125,'Date Calcs'!A:AG,14,),4)))),TODAY())</f>
        <v>46104</v>
      </c>
      <c r="Y125" s="4">
        <f t="shared" ca="1" si="11"/>
        <v>46104</v>
      </c>
      <c r="Z125" s="4">
        <f ca="1">_xlfn.IFNA(Y125+(VLOOKUP(A125,'Date Calcs'!A:W,22,0)*7),TODAY())</f>
        <v>46104</v>
      </c>
      <c r="AA125" s="4" t="str">
        <f>_xlfn.IFNA(VLOOKUP(A125,'RTR v2'!$A:$AW,46,0),"")</f>
        <v xml:space="preserve"> </v>
      </c>
    </row>
    <row r="126" spans="1:27" ht="23.25" x14ac:dyDescent="0.25">
      <c r="A126" s="12" t="str">
        <f>'Actual Dates'!A124</f>
        <v>26-027</v>
      </c>
      <c r="B126" s="13" t="str">
        <f>_xlfn.IFNA(VLOOKUP(A126,'Date Calcs'!A:B,2,),"")</f>
        <v>Kemira</v>
      </c>
      <c r="C126" s="14">
        <f>VLOOKUP(A126,'Actual Dates'!A:AE,18,)</f>
        <v>0</v>
      </c>
      <c r="D126" s="15">
        <f t="shared" ca="1" si="8"/>
        <v>46125</v>
      </c>
      <c r="E126" s="15">
        <f t="shared" ca="1" si="9"/>
        <v>46115</v>
      </c>
      <c r="F126" s="14">
        <f ca="1">IFERROR(ROUND(IF(A126="","",IF(E126=0,D126-Date!$B$3,D126-E126)),0),"")</f>
        <v>10</v>
      </c>
      <c r="G126" s="14" t="str">
        <f>_xlfn.IFNA(VLOOKUP(A126,'RTR v2'!A:AW,48,FALSE)," ")</f>
        <v>n/a</v>
      </c>
      <c r="I126" s="16" t="str">
        <f t="shared" si="10"/>
        <v>N</v>
      </c>
      <c r="J126" s="16" t="str">
        <f t="shared" si="12"/>
        <v xml:space="preserve">  </v>
      </c>
      <c r="L126" s="17"/>
      <c r="M126" t="str">
        <f t="shared" si="13"/>
        <v xml:space="preserve"> </v>
      </c>
      <c r="N126">
        <f t="shared" si="14"/>
        <v>0</v>
      </c>
      <c r="O126">
        <f>IF(P126&lt;1,0,IF(VLOOKUP($A126,'Actual Dates'!$A:$G,5,0)="Y",1,0))</f>
        <v>0</v>
      </c>
      <c r="P126">
        <f>IF(Q126&lt;1,0,IF(VLOOKUP($A126,'Actual Dates'!$A:$G,4,0)="Y",1,0))</f>
        <v>0</v>
      </c>
      <c r="Q126">
        <f>IF(R126&lt;1,0,IF(VLOOKUP($A126,'Actual Dates'!$A:$G,3,0)="Y",1,0))</f>
        <v>0</v>
      </c>
      <c r="R126">
        <f>IF(VLOOKUP($A126,'Actual Dates'!$A:$G,2,0)="Y",1,0)</f>
        <v>0</v>
      </c>
      <c r="S126" s="4">
        <f ca="1">_xlfn.IFNA(+VLOOKUP(A126,'Date Calcs'!A:AG,8,),TODAY())</f>
        <v>46125</v>
      </c>
      <c r="T126" s="4">
        <f ca="1">_xlfn.IFNA(VLOOKUP(A126,'Date Calcs'!A:AG,10,),TODAY())</f>
        <v>46146</v>
      </c>
      <c r="U126" s="4">
        <f ca="1">_xlfn.IFNA(+VLOOKUP(A126,'Date Calcs'!A:AG,12,),TODAY())</f>
        <v>46160</v>
      </c>
      <c r="V126" s="4">
        <f ca="1">_xlfn.IFNA(+VLOOKUP(A126,'Date Calcs'!A:AG,14,),TODAY())</f>
        <v>46174</v>
      </c>
      <c r="W126" s="4">
        <f ca="1">_xlfn.IFNA(+VLOOKUP(A126,'Date Calcs'!A:AG,16,),TODAY())</f>
        <v>46111</v>
      </c>
      <c r="X126" s="4">
        <f ca="1">_xlfn.IFNA(IF(C126=0,VLOOKUP(A126,'Date Calcs'!A:AG,8,),IF(C126=1,VLOOKUP(A126,'Date Calcs'!A:AG,10,),IF(C126=2,VLOOKUP(A126,'Date Calcs'!A:AG,12,),IF(C126=3,VLOOKUP(A126,'Date Calcs'!A:AG,14,),4)))),TODAY())</f>
        <v>46125</v>
      </c>
      <c r="Y126" s="4">
        <f t="shared" ca="1" si="11"/>
        <v>46125</v>
      </c>
      <c r="Z126" s="4">
        <f ca="1">_xlfn.IFNA(Y126+(VLOOKUP(A126,'Date Calcs'!A:W,22,0)*7),TODAY())</f>
        <v>46125</v>
      </c>
      <c r="AA126" s="4" t="str">
        <f>_xlfn.IFNA(VLOOKUP(A126,'RTR v2'!$A:$AW,46,0),"")</f>
        <v xml:space="preserve"> </v>
      </c>
    </row>
    <row r="127" spans="1:27" ht="23.25" x14ac:dyDescent="0.25">
      <c r="A127" s="12" t="str">
        <f>'Actual Dates'!A125</f>
        <v>26-028</v>
      </c>
      <c r="B127" s="13" t="str">
        <f>_xlfn.IFNA(VLOOKUP(A127,'Date Calcs'!A:B,2,),"")</f>
        <v>Kemira</v>
      </c>
      <c r="C127" s="14">
        <f>VLOOKUP(A127,'Actual Dates'!A:AE,18,)</f>
        <v>0</v>
      </c>
      <c r="D127" s="15">
        <f t="shared" ca="1" si="8"/>
        <v>46125</v>
      </c>
      <c r="E127" s="15">
        <f t="shared" ca="1" si="9"/>
        <v>46115</v>
      </c>
      <c r="F127" s="14">
        <f ca="1">IFERROR(ROUND(IF(A127="","",IF(E127=0,D127-Date!$B$3,D127-E127)),0),"")</f>
        <v>10</v>
      </c>
      <c r="G127" s="14" t="str">
        <f>_xlfn.IFNA(VLOOKUP(A127,'RTR v2'!A:AW,48,FALSE)," ")</f>
        <v>n/a</v>
      </c>
      <c r="I127" s="16" t="str">
        <f t="shared" si="10"/>
        <v>N</v>
      </c>
      <c r="J127" s="16" t="str">
        <f t="shared" si="12"/>
        <v xml:space="preserve">  </v>
      </c>
      <c r="L127" s="17"/>
      <c r="M127" t="str">
        <f t="shared" si="13"/>
        <v xml:space="preserve"> </v>
      </c>
      <c r="N127">
        <f t="shared" si="14"/>
        <v>0</v>
      </c>
      <c r="O127">
        <f>IF(P127&lt;1,0,IF(VLOOKUP($A127,'Actual Dates'!$A:$G,5,0)="Y",1,0))</f>
        <v>0</v>
      </c>
      <c r="P127">
        <f>IF(Q127&lt;1,0,IF(VLOOKUP($A127,'Actual Dates'!$A:$G,4,0)="Y",1,0))</f>
        <v>0</v>
      </c>
      <c r="Q127">
        <f>IF(R127&lt;1,0,IF(VLOOKUP($A127,'Actual Dates'!$A:$G,3,0)="Y",1,0))</f>
        <v>0</v>
      </c>
      <c r="R127">
        <f>IF(VLOOKUP($A127,'Actual Dates'!$A:$G,2,0)="Y",1,0)</f>
        <v>0</v>
      </c>
      <c r="S127" s="4">
        <f ca="1">_xlfn.IFNA(+VLOOKUP(A127,'Date Calcs'!A:AG,8,),TODAY())</f>
        <v>46125</v>
      </c>
      <c r="T127" s="4">
        <f ca="1">_xlfn.IFNA(VLOOKUP(A127,'Date Calcs'!A:AG,10,),TODAY())</f>
        <v>46146</v>
      </c>
      <c r="U127" s="4">
        <f ca="1">_xlfn.IFNA(+VLOOKUP(A127,'Date Calcs'!A:AG,12,),TODAY())</f>
        <v>46160</v>
      </c>
      <c r="V127" s="4">
        <f ca="1">_xlfn.IFNA(+VLOOKUP(A127,'Date Calcs'!A:AG,14,),TODAY())</f>
        <v>46174</v>
      </c>
      <c r="W127" s="4">
        <f ca="1">_xlfn.IFNA(+VLOOKUP(A127,'Date Calcs'!A:AG,16,),TODAY())</f>
        <v>46111</v>
      </c>
      <c r="X127" s="4">
        <f ca="1">_xlfn.IFNA(IF(C127=0,VLOOKUP(A127,'Date Calcs'!A:AG,8,),IF(C127=1,VLOOKUP(A127,'Date Calcs'!A:AG,10,),IF(C127=2,VLOOKUP(A127,'Date Calcs'!A:AG,12,),IF(C127=3,VLOOKUP(A127,'Date Calcs'!A:AG,14,),4)))),TODAY())</f>
        <v>46125</v>
      </c>
      <c r="Y127" s="4">
        <f t="shared" ca="1" si="11"/>
        <v>46125</v>
      </c>
      <c r="Z127" s="4">
        <f ca="1">_xlfn.IFNA(Y127+(VLOOKUP(A127,'Date Calcs'!A:W,22,0)*7),TODAY())</f>
        <v>46125</v>
      </c>
      <c r="AA127" s="4" t="str">
        <f>_xlfn.IFNA(VLOOKUP(A127,'RTR v2'!$A:$AW,46,0),"")</f>
        <v xml:space="preserve"> </v>
      </c>
    </row>
    <row r="128" spans="1:27" ht="23.25" x14ac:dyDescent="0.25">
      <c r="A128" s="12" t="str">
        <f>'Actual Dates'!A126</f>
        <v>26-030</v>
      </c>
      <c r="B128" s="13" t="str">
        <f>_xlfn.IFNA(VLOOKUP(A128,'Date Calcs'!A:B,2,),"")</f>
        <v>Symrise</v>
      </c>
      <c r="C128" s="14">
        <f>VLOOKUP(A128,'Actual Dates'!A:AE,18,)</f>
        <v>1</v>
      </c>
      <c r="D128" s="15">
        <f t="shared" ca="1" si="8"/>
        <v>46120</v>
      </c>
      <c r="E128" s="15">
        <f t="shared" ca="1" si="9"/>
        <v>46115</v>
      </c>
      <c r="F128" s="14">
        <f ca="1">IFERROR(ROUND(IF(A128="","",IF(E128=0,D128-Date!$B$3,D128-E128)),0),"")</f>
        <v>5</v>
      </c>
      <c r="G128" s="14" t="str">
        <f>_xlfn.IFNA(VLOOKUP(A128,'RTR v2'!A:AW,48,FALSE)," ")</f>
        <v/>
      </c>
      <c r="I128" s="16" t="str">
        <f t="shared" si="10"/>
        <v>N</v>
      </c>
      <c r="J128" s="16" t="str">
        <f t="shared" si="12"/>
        <v xml:space="preserve">  </v>
      </c>
      <c r="L128" s="17"/>
      <c r="M128" t="str">
        <f t="shared" si="13"/>
        <v xml:space="preserve"> </v>
      </c>
      <c r="N128">
        <f t="shared" si="14"/>
        <v>0</v>
      </c>
      <c r="O128">
        <f>IF(P128&lt;1,0,IF(VLOOKUP($A128,'Actual Dates'!$A:$G,5,0)="Y",1,0))</f>
        <v>0</v>
      </c>
      <c r="P128">
        <f>IF(Q128&lt;1,0,IF(VLOOKUP($A128,'Actual Dates'!$A:$G,4,0)="Y",1,0))</f>
        <v>0</v>
      </c>
      <c r="Q128">
        <f>IF(R128&lt;1,0,IF(VLOOKUP($A128,'Actual Dates'!$A:$G,3,0)="Y",1,0))</f>
        <v>0</v>
      </c>
      <c r="R128">
        <f>IF(VLOOKUP($A128,'Actual Dates'!$A:$G,2,0)="Y",1,0)</f>
        <v>1</v>
      </c>
      <c r="S128" s="4">
        <f ca="1">_xlfn.IFNA(+VLOOKUP(A128,'Date Calcs'!A:AG,8,),TODAY())</f>
        <v>46121</v>
      </c>
      <c r="T128" s="4">
        <f ca="1">_xlfn.IFNA(VLOOKUP(A128,'Date Calcs'!A:AG,10,),TODAY())</f>
        <v>46120</v>
      </c>
      <c r="U128" s="4">
        <f ca="1">_xlfn.IFNA(+VLOOKUP(A128,'Date Calcs'!A:AG,12,),TODAY())</f>
        <v>46134</v>
      </c>
      <c r="V128" s="4">
        <f ca="1">_xlfn.IFNA(+VLOOKUP(A128,'Date Calcs'!A:AG,14,),TODAY())</f>
        <v>46148</v>
      </c>
      <c r="W128" s="4">
        <f ca="1">_xlfn.IFNA(+VLOOKUP(A128,'Date Calcs'!A:AG,16,),TODAY())</f>
        <v>46114</v>
      </c>
      <c r="X128" s="4">
        <f ca="1">_xlfn.IFNA(IF(C128=0,VLOOKUP(A128,'Date Calcs'!A:AG,8,),IF(C128=1,VLOOKUP(A128,'Date Calcs'!A:AG,10,),IF(C128=2,VLOOKUP(A128,'Date Calcs'!A:AG,12,),IF(C128=3,VLOOKUP(A128,'Date Calcs'!A:AG,14,),4)))),TODAY())</f>
        <v>46120</v>
      </c>
      <c r="Y128" s="4">
        <f t="shared" ca="1" si="11"/>
        <v>46120</v>
      </c>
      <c r="Z128" s="4">
        <f ca="1">_xlfn.IFNA(Y128+(VLOOKUP(A128,'Date Calcs'!A:W,22,0)*7),TODAY())</f>
        <v>46120</v>
      </c>
      <c r="AA128" s="4">
        <f>_xlfn.IFNA(VLOOKUP(A128,'RTR v2'!$A:$AW,46,0),"")</f>
        <v>46105</v>
      </c>
    </row>
    <row r="129" spans="1:27" ht="23.25" x14ac:dyDescent="0.25">
      <c r="A129" s="12" t="str">
        <f>'Actual Dates'!A127</f>
        <v>26-031</v>
      </c>
      <c r="B129" s="13" t="str">
        <f>_xlfn.IFNA(VLOOKUP(A129,'Date Calcs'!A:B,2,),"")</f>
        <v>Sysenqo</v>
      </c>
      <c r="C129" s="14">
        <f>VLOOKUP(A129,'Actual Dates'!A:AE,18,)</f>
        <v>0</v>
      </c>
      <c r="D129" s="15">
        <f t="shared" ca="1" si="8"/>
        <v>46132</v>
      </c>
      <c r="E129" s="15">
        <f t="shared" ca="1" si="9"/>
        <v>46115</v>
      </c>
      <c r="F129" s="14">
        <f ca="1">IFERROR(ROUND(IF(A129="","",IF(E129=0,D129-Date!$B$3,D129-E129)),0),"")</f>
        <v>17</v>
      </c>
      <c r="G129" s="14" t="str">
        <f>_xlfn.IFNA(VLOOKUP(A129,'RTR v2'!A:AW,48,FALSE)," ")</f>
        <v/>
      </c>
      <c r="I129" s="16" t="str">
        <f t="shared" si="10"/>
        <v>N</v>
      </c>
      <c r="J129" s="16" t="str">
        <f t="shared" si="12"/>
        <v xml:space="preserve">  </v>
      </c>
      <c r="L129" s="17"/>
      <c r="M129" t="str">
        <f t="shared" si="13"/>
        <v xml:space="preserve"> </v>
      </c>
      <c r="N129">
        <f t="shared" si="14"/>
        <v>0</v>
      </c>
      <c r="O129">
        <f>IF(P129&lt;1,0,IF(VLOOKUP($A129,'Actual Dates'!$A:$G,5,0)="Y",1,0))</f>
        <v>0</v>
      </c>
      <c r="P129">
        <f>IF(Q129&lt;1,0,IF(VLOOKUP($A129,'Actual Dates'!$A:$G,4,0)="Y",1,0))</f>
        <v>0</v>
      </c>
      <c r="Q129">
        <f>IF(R129&lt;1,0,IF(VLOOKUP($A129,'Actual Dates'!$A:$G,3,0)="Y",1,0))</f>
        <v>0</v>
      </c>
      <c r="R129">
        <f>IF(VLOOKUP($A129,'Actual Dates'!$A:$G,2,0)="Y",1,0)</f>
        <v>0</v>
      </c>
      <c r="S129" s="4">
        <f ca="1">_xlfn.IFNA(+VLOOKUP(A129,'Date Calcs'!A:AG,8,),TODAY())</f>
        <v>46132</v>
      </c>
      <c r="T129" s="4">
        <f ca="1">_xlfn.IFNA(VLOOKUP(A129,'Date Calcs'!A:AG,10,),TODAY())</f>
        <v>46153</v>
      </c>
      <c r="U129" s="4">
        <f ca="1">_xlfn.IFNA(+VLOOKUP(A129,'Date Calcs'!A:AG,12,),TODAY())</f>
        <v>46167</v>
      </c>
      <c r="V129" s="4">
        <f ca="1">_xlfn.IFNA(+VLOOKUP(A129,'Date Calcs'!A:AG,14,),TODAY())</f>
        <v>46181</v>
      </c>
      <c r="W129" s="4">
        <f ca="1">_xlfn.IFNA(+VLOOKUP(A129,'Date Calcs'!A:AG,16,),TODAY())</f>
        <v>46118</v>
      </c>
      <c r="X129" s="4">
        <f ca="1">_xlfn.IFNA(IF(C129=0,VLOOKUP(A129,'Date Calcs'!A:AG,8,),IF(C129=1,VLOOKUP(A129,'Date Calcs'!A:AG,10,),IF(C129=2,VLOOKUP(A129,'Date Calcs'!A:AG,12,),IF(C129=3,VLOOKUP(A129,'Date Calcs'!A:AG,14,),4)))),TODAY())</f>
        <v>46132</v>
      </c>
      <c r="Y129" s="4">
        <f t="shared" ca="1" si="11"/>
        <v>46132</v>
      </c>
      <c r="Z129" s="4">
        <f ca="1">_xlfn.IFNA(Y129+(VLOOKUP(A129,'Date Calcs'!A:W,22,0)*7),TODAY())</f>
        <v>46132</v>
      </c>
      <c r="AA129" s="4">
        <f>_xlfn.IFNA(VLOOKUP(A129,'RTR v2'!$A:$AW,46,0),"")</f>
        <v>46105</v>
      </c>
    </row>
    <row r="130" spans="1:27" ht="23.25" x14ac:dyDescent="0.25">
      <c r="A130" s="12" t="str">
        <f>'Actual Dates'!A128</f>
        <v>26-032</v>
      </c>
      <c r="B130" s="13" t="str">
        <f>_xlfn.IFNA(VLOOKUP(A130,'Date Calcs'!A:B,2,),"")</f>
        <v>Kimberly-Clark</v>
      </c>
      <c r="C130" s="14">
        <f>VLOOKUP(A130,'Actual Dates'!A:AE,18,)</f>
        <v>0</v>
      </c>
      <c r="D130" s="15">
        <f t="shared" ca="1" si="8"/>
        <v>46120</v>
      </c>
      <c r="E130" s="15">
        <f t="shared" ca="1" si="9"/>
        <v>46115</v>
      </c>
      <c r="F130" s="14">
        <f ca="1">IFERROR(ROUND(IF(A130="","",IF(E130=0,D130-Date!$B$3,D130-E130)),0),"")</f>
        <v>5</v>
      </c>
      <c r="G130" s="14" t="str">
        <f>_xlfn.IFNA(VLOOKUP(A130,'RTR v2'!A:AW,48,FALSE)," ")</f>
        <v/>
      </c>
      <c r="I130" s="16" t="str">
        <f t="shared" si="10"/>
        <v>N</v>
      </c>
      <c r="J130" s="16" t="str">
        <f t="shared" si="12"/>
        <v xml:space="preserve">  </v>
      </c>
      <c r="L130" s="17"/>
      <c r="M130" t="str">
        <f t="shared" si="13"/>
        <v xml:space="preserve"> </v>
      </c>
      <c r="N130">
        <f t="shared" si="14"/>
        <v>0</v>
      </c>
      <c r="O130">
        <f>IF(P130&lt;1,0,IF(VLOOKUP($A130,'Actual Dates'!$A:$G,5,0)="Y",1,0))</f>
        <v>0</v>
      </c>
      <c r="P130">
        <f>IF(Q130&lt;1,0,IF(VLOOKUP($A130,'Actual Dates'!$A:$G,4,0)="Y",1,0))</f>
        <v>0</v>
      </c>
      <c r="Q130">
        <f>IF(R130&lt;1,0,IF(VLOOKUP($A130,'Actual Dates'!$A:$G,3,0)="Y",1,0))</f>
        <v>0</v>
      </c>
      <c r="R130">
        <f>IF(VLOOKUP($A130,'Actual Dates'!$A:$G,2,0)="Y",1,0)</f>
        <v>0</v>
      </c>
      <c r="S130" s="4">
        <f ca="1">_xlfn.IFNA(+VLOOKUP(A130,'Date Calcs'!A:AG,8,),TODAY())</f>
        <v>46120</v>
      </c>
      <c r="T130" s="4">
        <f ca="1">_xlfn.IFNA(VLOOKUP(A130,'Date Calcs'!A:AG,10,),TODAY())</f>
        <v>46141</v>
      </c>
      <c r="U130" s="4">
        <f ca="1">_xlfn.IFNA(+VLOOKUP(A130,'Date Calcs'!A:AG,12,),TODAY())</f>
        <v>46155</v>
      </c>
      <c r="V130" s="4">
        <f ca="1">_xlfn.IFNA(+VLOOKUP(A130,'Date Calcs'!A:AG,14,),TODAY())</f>
        <v>46169</v>
      </c>
      <c r="W130" s="4">
        <f ca="1">_xlfn.IFNA(+VLOOKUP(A130,'Date Calcs'!A:AG,16,),TODAY())</f>
        <v>46113</v>
      </c>
      <c r="X130" s="4">
        <f ca="1">_xlfn.IFNA(IF(C130=0,VLOOKUP(A130,'Date Calcs'!A:AG,8,),IF(C130=1,VLOOKUP(A130,'Date Calcs'!A:AG,10,),IF(C130=2,VLOOKUP(A130,'Date Calcs'!A:AG,12,),IF(C130=3,VLOOKUP(A130,'Date Calcs'!A:AG,14,),4)))),TODAY())</f>
        <v>46120</v>
      </c>
      <c r="Y130" s="4">
        <f t="shared" ca="1" si="11"/>
        <v>46120</v>
      </c>
      <c r="Z130" s="4">
        <f ca="1">_xlfn.IFNA(Y130+(VLOOKUP(A130,'Date Calcs'!A:W,22,0)*7),TODAY())</f>
        <v>46120</v>
      </c>
      <c r="AA130" s="4">
        <f>_xlfn.IFNA(VLOOKUP(A130,'RTR v2'!$A:$AW,46,0),"")</f>
        <v>46105</v>
      </c>
    </row>
    <row r="131" spans="1:27" ht="23.25" x14ac:dyDescent="0.25">
      <c r="A131" s="12" t="str">
        <f>'Actual Dates'!A129</f>
        <v>26-033</v>
      </c>
      <c r="B131" s="13" t="str">
        <f>_xlfn.IFNA(VLOOKUP(A131,'Date Calcs'!A:B,2,),"")</f>
        <v>Kimberly-Clark</v>
      </c>
      <c r="C131" s="14">
        <f>VLOOKUP(A131,'Actual Dates'!A:AE,18,)</f>
        <v>0</v>
      </c>
      <c r="D131" s="15">
        <f t="shared" ca="1" si="8"/>
        <v>46120</v>
      </c>
      <c r="E131" s="15">
        <f t="shared" ca="1" si="9"/>
        <v>46115</v>
      </c>
      <c r="F131" s="14">
        <f ca="1">IFERROR(ROUND(IF(A131="","",IF(E131=0,D131-Date!$B$3,D131-E131)),0),"")</f>
        <v>5</v>
      </c>
      <c r="G131" s="14" t="str">
        <f>_xlfn.IFNA(VLOOKUP(A131,'RTR v2'!A:AW,48,FALSE)," ")</f>
        <v/>
      </c>
      <c r="I131" s="16" t="str">
        <f t="shared" si="10"/>
        <v>N</v>
      </c>
      <c r="J131" s="16" t="str">
        <f t="shared" si="12"/>
        <v xml:space="preserve">  </v>
      </c>
      <c r="L131" s="17"/>
      <c r="M131" t="str">
        <f t="shared" si="13"/>
        <v xml:space="preserve"> </v>
      </c>
      <c r="N131">
        <f t="shared" si="14"/>
        <v>0</v>
      </c>
      <c r="O131">
        <f>IF(P131&lt;1,0,IF(VLOOKUP($A131,'Actual Dates'!$A:$G,5,0)="Y",1,0))</f>
        <v>0</v>
      </c>
      <c r="P131">
        <f>IF(Q131&lt;1,0,IF(VLOOKUP($A131,'Actual Dates'!$A:$G,4,0)="Y",1,0))</f>
        <v>0</v>
      </c>
      <c r="Q131">
        <f>IF(R131&lt;1,0,IF(VLOOKUP($A131,'Actual Dates'!$A:$G,3,0)="Y",1,0))</f>
        <v>0</v>
      </c>
      <c r="R131">
        <f>IF(VLOOKUP($A131,'Actual Dates'!$A:$G,2,0)="Y",1,0)</f>
        <v>0</v>
      </c>
      <c r="S131" s="4">
        <f ca="1">_xlfn.IFNA(+VLOOKUP(A131,'Date Calcs'!A:AG,8,),TODAY())</f>
        <v>46120</v>
      </c>
      <c r="T131" s="4">
        <f ca="1">_xlfn.IFNA(VLOOKUP(A131,'Date Calcs'!A:AG,10,),TODAY())</f>
        <v>46141</v>
      </c>
      <c r="U131" s="4">
        <f ca="1">_xlfn.IFNA(+VLOOKUP(A131,'Date Calcs'!A:AG,12,),TODAY())</f>
        <v>46155</v>
      </c>
      <c r="V131" s="4">
        <f ca="1">_xlfn.IFNA(+VLOOKUP(A131,'Date Calcs'!A:AG,14,),TODAY())</f>
        <v>46169</v>
      </c>
      <c r="W131" s="4">
        <f ca="1">_xlfn.IFNA(+VLOOKUP(A131,'Date Calcs'!A:AG,16,),TODAY())</f>
        <v>46113</v>
      </c>
      <c r="X131" s="4">
        <f ca="1">_xlfn.IFNA(IF(C131=0,VLOOKUP(A131,'Date Calcs'!A:AG,8,),IF(C131=1,VLOOKUP(A131,'Date Calcs'!A:AG,10,),IF(C131=2,VLOOKUP(A131,'Date Calcs'!A:AG,12,),IF(C131=3,VLOOKUP(A131,'Date Calcs'!A:AG,14,),4)))),TODAY())</f>
        <v>46120</v>
      </c>
      <c r="Y131" s="4">
        <f t="shared" ca="1" si="11"/>
        <v>46120</v>
      </c>
      <c r="Z131" s="4">
        <f ca="1">_xlfn.IFNA(Y131+(VLOOKUP(A131,'Date Calcs'!A:W,22,0)*7),TODAY())</f>
        <v>46120</v>
      </c>
      <c r="AA131" s="4" t="str">
        <f>_xlfn.IFNA(VLOOKUP(A131,'RTR v2'!$A:$AW,46,0),"")</f>
        <v xml:space="preserve"> </v>
      </c>
    </row>
    <row r="132" spans="1:27" ht="23.25" hidden="1" x14ac:dyDescent="0.25">
      <c r="A132" s="12">
        <f>'Actual Dates'!A130</f>
        <v>0</v>
      </c>
      <c r="B132" s="13" t="str">
        <f>_xlfn.IFNA(VLOOKUP(A132,'Date Calcs'!A:B,2,),"")</f>
        <v/>
      </c>
      <c r="C132" s="14">
        <f>VLOOKUP(A132,'Actual Dates'!A:AE,18,)</f>
        <v>0</v>
      </c>
      <c r="D132" s="15">
        <f t="shared" ca="1" si="8"/>
        <v>46115</v>
      </c>
      <c r="E132" s="15">
        <f t="shared" ca="1" si="9"/>
        <v>46115</v>
      </c>
      <c r="F132" s="14">
        <f ca="1">IFERROR(ROUND(IF(A132="","",IF(E132=0,D132-Date!$B$3,D132-E132)),0),"")</f>
        <v>0</v>
      </c>
      <c r="G132" s="14" t="str">
        <f>_xlfn.IFNA(VLOOKUP(A132,'RTR v2'!A:AW,48,FALSE)," ")</f>
        <v/>
      </c>
      <c r="I132" s="16" t="str">
        <f t="shared" si="10"/>
        <v>N</v>
      </c>
      <c r="J132" s="16" t="str">
        <f t="shared" si="12"/>
        <v xml:space="preserve">  </v>
      </c>
      <c r="L132" s="17"/>
      <c r="M132" t="str">
        <f t="shared" si="13"/>
        <v xml:space="preserve"> </v>
      </c>
      <c r="N132">
        <f t="shared" si="14"/>
        <v>0</v>
      </c>
      <c r="O132">
        <f>IF(P132&lt;1,0,IF(VLOOKUP($A132,'Actual Dates'!$A:$G,5,0)="Y",1,0))</f>
        <v>0</v>
      </c>
      <c r="P132">
        <f>IF(Q132&lt;1,0,IF(VLOOKUP($A132,'Actual Dates'!$A:$G,4,0)="Y",1,0))</f>
        <v>0</v>
      </c>
      <c r="Q132">
        <f>IF(R132&lt;1,0,IF(VLOOKUP($A132,'Actual Dates'!$A:$G,3,0)="Y",1,0))</f>
        <v>0</v>
      </c>
      <c r="R132">
        <f>IF(VLOOKUP($A132,'Actual Dates'!$A:$G,2,0)="Y",1,0)</f>
        <v>0</v>
      </c>
      <c r="S132" s="4">
        <f ca="1">_xlfn.IFNA(+VLOOKUP(A132,'Date Calcs'!A:AG,8,),TODAY())</f>
        <v>46115</v>
      </c>
      <c r="T132" s="4">
        <f ca="1">_xlfn.IFNA(VLOOKUP(A132,'Date Calcs'!A:AG,10,),TODAY())</f>
        <v>46115</v>
      </c>
      <c r="U132" s="4">
        <f ca="1">_xlfn.IFNA(+VLOOKUP(A132,'Date Calcs'!A:AG,12,),TODAY())</f>
        <v>46115</v>
      </c>
      <c r="V132" s="4">
        <f ca="1">_xlfn.IFNA(+VLOOKUP(A132,'Date Calcs'!A:AG,14,),TODAY())</f>
        <v>46115</v>
      </c>
      <c r="W132" s="4">
        <f ca="1">_xlfn.IFNA(+VLOOKUP(A132,'Date Calcs'!A:AG,16,),TODAY())</f>
        <v>46115</v>
      </c>
      <c r="X132" s="4">
        <f ca="1">_xlfn.IFNA(IF(C132=0,VLOOKUP(A132,'Date Calcs'!A:AG,8,),IF(C132=1,VLOOKUP(A132,'Date Calcs'!A:AG,10,),IF(C132=2,VLOOKUP(A132,'Date Calcs'!A:AG,12,),IF(C132=3,VLOOKUP(A132,'Date Calcs'!A:AG,14,),4)))),TODAY())</f>
        <v>46115</v>
      </c>
      <c r="Y132" s="4">
        <f t="shared" ca="1" si="11"/>
        <v>46115</v>
      </c>
      <c r="Z132" s="4">
        <f ca="1">_xlfn.IFNA(Y132+(VLOOKUP(A132,'Date Calcs'!A:W,22,0)*7),TODAY())</f>
        <v>46115</v>
      </c>
      <c r="AA132" s="4">
        <f>_xlfn.IFNA(VLOOKUP(A132,'RTR v2'!$A:$AW,46,0),"")</f>
        <v>0</v>
      </c>
    </row>
    <row r="133" spans="1:27" ht="23.25" hidden="1" x14ac:dyDescent="0.25">
      <c r="A133" s="12">
        <f>'Actual Dates'!A131</f>
        <v>0</v>
      </c>
      <c r="B133" s="13" t="str">
        <f>_xlfn.IFNA(VLOOKUP(A133,'Date Calcs'!A:B,2,),"")</f>
        <v/>
      </c>
      <c r="C133" s="14">
        <f>VLOOKUP(A133,'Actual Dates'!A:AE,18,)</f>
        <v>0</v>
      </c>
      <c r="D133" s="15">
        <f t="shared" ca="1" si="8"/>
        <v>46115</v>
      </c>
      <c r="E133" s="15">
        <f t="shared" ca="1" si="9"/>
        <v>46115</v>
      </c>
      <c r="F133" s="14">
        <f ca="1">IFERROR(ROUND(IF(A133="","",IF(E133=0,D133-Date!$B$3,D133-E133)),0),"")</f>
        <v>0</v>
      </c>
      <c r="G133" s="14" t="str">
        <f>_xlfn.IFNA(VLOOKUP(A133,'RTR v2'!A:AW,48,FALSE)," ")</f>
        <v/>
      </c>
      <c r="I133" s="16" t="str">
        <f t="shared" si="10"/>
        <v>N</v>
      </c>
      <c r="J133" s="16" t="str">
        <f t="shared" si="12"/>
        <v xml:space="preserve">  </v>
      </c>
      <c r="L133" s="17"/>
      <c r="M133" t="str">
        <f t="shared" si="13"/>
        <v xml:space="preserve"> </v>
      </c>
      <c r="N133">
        <f t="shared" si="14"/>
        <v>0</v>
      </c>
      <c r="O133">
        <f>IF(P133&lt;1,0,IF(VLOOKUP($A133,'Actual Dates'!$A:$G,5,0)="Y",1,0))</f>
        <v>0</v>
      </c>
      <c r="P133">
        <f>IF(Q133&lt;1,0,IF(VLOOKUP($A133,'Actual Dates'!$A:$G,4,0)="Y",1,0))</f>
        <v>0</v>
      </c>
      <c r="Q133">
        <f>IF(R133&lt;1,0,IF(VLOOKUP($A133,'Actual Dates'!$A:$G,3,0)="Y",1,0))</f>
        <v>0</v>
      </c>
      <c r="R133">
        <f>IF(VLOOKUP($A133,'Actual Dates'!$A:$G,2,0)="Y",1,0)</f>
        <v>0</v>
      </c>
      <c r="S133" s="4">
        <f ca="1">_xlfn.IFNA(+VLOOKUP(A133,'Date Calcs'!A:AG,8,),TODAY())</f>
        <v>46115</v>
      </c>
      <c r="T133" s="4">
        <f ca="1">_xlfn.IFNA(VLOOKUP(A133,'Date Calcs'!A:AG,10,),TODAY())</f>
        <v>46115</v>
      </c>
      <c r="U133" s="4">
        <f ca="1">_xlfn.IFNA(+VLOOKUP(A133,'Date Calcs'!A:AG,12,),TODAY())</f>
        <v>46115</v>
      </c>
      <c r="V133" s="4">
        <f ca="1">_xlfn.IFNA(+VLOOKUP(A133,'Date Calcs'!A:AG,14,),TODAY())</f>
        <v>46115</v>
      </c>
      <c r="W133" s="4">
        <f ca="1">_xlfn.IFNA(+VLOOKUP(A133,'Date Calcs'!A:AG,16,),TODAY())</f>
        <v>46115</v>
      </c>
      <c r="X133" s="4">
        <f ca="1">_xlfn.IFNA(IF(C133=0,VLOOKUP(A133,'Date Calcs'!A:AG,8,),IF(C133=1,VLOOKUP(A133,'Date Calcs'!A:AG,10,),IF(C133=2,VLOOKUP(A133,'Date Calcs'!A:AG,12,),IF(C133=3,VLOOKUP(A133,'Date Calcs'!A:AG,14,),4)))),TODAY())</f>
        <v>46115</v>
      </c>
      <c r="Y133" s="4">
        <f t="shared" ca="1" si="11"/>
        <v>46115</v>
      </c>
      <c r="Z133" s="4">
        <f ca="1">_xlfn.IFNA(Y133+(VLOOKUP(A133,'Date Calcs'!A:W,22,0)*7),TODAY())</f>
        <v>46115</v>
      </c>
      <c r="AA133" s="4">
        <f>_xlfn.IFNA(VLOOKUP(A133,'RTR v2'!$A:$AW,46,0),"")</f>
        <v>0</v>
      </c>
    </row>
    <row r="134" spans="1:27" ht="23.25" hidden="1" x14ac:dyDescent="0.25">
      <c r="A134" s="12">
        <f>'Actual Dates'!A132</f>
        <v>0</v>
      </c>
      <c r="B134" s="13" t="str">
        <f>_xlfn.IFNA(VLOOKUP(A134,'Date Calcs'!A:B,2,),"")</f>
        <v/>
      </c>
      <c r="C134" s="14">
        <f>VLOOKUP(A134,'Actual Dates'!A:AE,18,)</f>
        <v>0</v>
      </c>
      <c r="D134" s="15">
        <f t="shared" ref="D134:D197" ca="1" si="15">Z134</f>
        <v>46115</v>
      </c>
      <c r="E134" s="15">
        <f t="shared" ref="E134:E197" ca="1" si="16">IF(VLOOKUP(A134,Dates,20,FALSE())="",TODAY(),VLOOKUP(A134,Dates,20,FALSE()))</f>
        <v>46115</v>
      </c>
      <c r="F134" s="14">
        <f ca="1">IFERROR(ROUND(IF(A134="","",IF(E134=0,D134-Date!$B$3,D134-E134)),0),"")</f>
        <v>0</v>
      </c>
      <c r="G134" s="14" t="str">
        <f>_xlfn.IFNA(VLOOKUP(A134,'RTR v2'!A:AW,48,FALSE)," ")</f>
        <v/>
      </c>
      <c r="I134" s="16" t="str">
        <f t="shared" ref="I134:I197" si="17">IF(VLOOKUP(A134,Dates,2,)="N","N",IF(VLOOKUP(A134,Dates,3,)="N","N",IF(VLOOKUP(A134,Dates,4,)="N","N",IF(VLOOKUP(A134,Dates,5,)="N","N","Y"))))</f>
        <v>N</v>
      </c>
      <c r="J134" s="16" t="str">
        <f t="shared" si="12"/>
        <v xml:space="preserve">  </v>
      </c>
      <c r="L134" s="17"/>
      <c r="M134" t="str">
        <f t="shared" si="13"/>
        <v xml:space="preserve"> </v>
      </c>
      <c r="N134">
        <f t="shared" si="14"/>
        <v>0</v>
      </c>
      <c r="O134">
        <f>IF(P134&lt;1,0,IF(VLOOKUP($A134,'Actual Dates'!$A:$G,5,0)="Y",1,0))</f>
        <v>0</v>
      </c>
      <c r="P134">
        <f>IF(Q134&lt;1,0,IF(VLOOKUP($A134,'Actual Dates'!$A:$G,4,0)="Y",1,0))</f>
        <v>0</v>
      </c>
      <c r="Q134">
        <f>IF(R134&lt;1,0,IF(VLOOKUP($A134,'Actual Dates'!$A:$G,3,0)="Y",1,0))</f>
        <v>0</v>
      </c>
      <c r="R134">
        <f>IF(VLOOKUP($A134,'Actual Dates'!$A:$G,2,0)="Y",1,0)</f>
        <v>0</v>
      </c>
      <c r="S134" s="4">
        <f ca="1">_xlfn.IFNA(+VLOOKUP(A134,'Date Calcs'!A:AG,8,),TODAY())</f>
        <v>46115</v>
      </c>
      <c r="T134" s="4">
        <f ca="1">_xlfn.IFNA(VLOOKUP(A134,'Date Calcs'!A:AG,10,),TODAY())</f>
        <v>46115</v>
      </c>
      <c r="U134" s="4">
        <f ca="1">_xlfn.IFNA(+VLOOKUP(A134,'Date Calcs'!A:AG,12,),TODAY())</f>
        <v>46115</v>
      </c>
      <c r="V134" s="4">
        <f ca="1">_xlfn.IFNA(+VLOOKUP(A134,'Date Calcs'!A:AG,14,),TODAY())</f>
        <v>46115</v>
      </c>
      <c r="W134" s="4">
        <f ca="1">_xlfn.IFNA(+VLOOKUP(A134,'Date Calcs'!A:AG,16,),TODAY())</f>
        <v>46115</v>
      </c>
      <c r="X134" s="4">
        <f ca="1">_xlfn.IFNA(IF(C134=0,VLOOKUP(A134,'Date Calcs'!A:AG,8,),IF(C134=1,VLOOKUP(A134,'Date Calcs'!A:AG,10,),IF(C134=2,VLOOKUP(A134,'Date Calcs'!A:AG,12,),IF(C134=3,VLOOKUP(A134,'Date Calcs'!A:AG,14,),4)))),TODAY())</f>
        <v>46115</v>
      </c>
      <c r="Y134" s="4">
        <f t="shared" ref="Y134:Y197" ca="1" si="18">_xlfn.IFNA(IF(X134=4,W134,X134),TODAY())</f>
        <v>46115</v>
      </c>
      <c r="Z134" s="4">
        <f ca="1">_xlfn.IFNA(Y134+(VLOOKUP(A134,'Date Calcs'!A:W,22,0)*7),TODAY())</f>
        <v>46115</v>
      </c>
      <c r="AA134" s="4">
        <f>_xlfn.IFNA(VLOOKUP(A134,'RTR v2'!$A:$AW,46,0),"")</f>
        <v>0</v>
      </c>
    </row>
    <row r="135" spans="1:27" ht="23.25" hidden="1" x14ac:dyDescent="0.25">
      <c r="A135" s="12">
        <f>'Actual Dates'!A133</f>
        <v>0</v>
      </c>
      <c r="B135" s="13" t="str">
        <f>_xlfn.IFNA(VLOOKUP(A135,'Date Calcs'!A:B,2,),"")</f>
        <v/>
      </c>
      <c r="C135" s="14">
        <f>VLOOKUP(A135,'Actual Dates'!A:AE,18,)</f>
        <v>0</v>
      </c>
      <c r="D135" s="15">
        <f t="shared" ca="1" si="15"/>
        <v>46115</v>
      </c>
      <c r="E135" s="15">
        <f t="shared" ca="1" si="16"/>
        <v>46115</v>
      </c>
      <c r="F135" s="14">
        <f ca="1">IFERROR(ROUND(IF(A135="","",IF(E135=0,D135-Date!$B$3,D135-E135)),0),"")</f>
        <v>0</v>
      </c>
      <c r="G135" s="14" t="str">
        <f>_xlfn.IFNA(VLOOKUP(A135,'RTR v2'!A:AW,48,FALSE)," ")</f>
        <v/>
      </c>
      <c r="I135" s="16" t="str">
        <f t="shared" si="17"/>
        <v>N</v>
      </c>
      <c r="J135" s="16" t="str">
        <f t="shared" ref="J135:J198" si="19">VLOOKUP(A135,Dates,7,)</f>
        <v xml:space="preserve">  </v>
      </c>
      <c r="L135" s="17"/>
      <c r="M135" t="str">
        <f t="shared" ref="M135:M198" si="20">IF(N135="Y",N135," ")</f>
        <v xml:space="preserve"> </v>
      </c>
      <c r="N135">
        <f t="shared" ref="N135:N198" si="21">IF(R135="Y",R135,IF(Q135="Y",Q135,IF(P135="Y",P135,O135)))</f>
        <v>0</v>
      </c>
      <c r="O135">
        <f>IF(P135&lt;1,0,IF(VLOOKUP($A135,'Actual Dates'!$A:$G,5,0)="Y",1,0))</f>
        <v>0</v>
      </c>
      <c r="P135">
        <f>IF(Q135&lt;1,0,IF(VLOOKUP($A135,'Actual Dates'!$A:$G,4,0)="Y",1,0))</f>
        <v>0</v>
      </c>
      <c r="Q135">
        <f>IF(R135&lt;1,0,IF(VLOOKUP($A135,'Actual Dates'!$A:$G,3,0)="Y",1,0))</f>
        <v>0</v>
      </c>
      <c r="R135">
        <f>IF(VLOOKUP($A135,'Actual Dates'!$A:$G,2,0)="Y",1,0)</f>
        <v>0</v>
      </c>
      <c r="S135" s="4">
        <f ca="1">_xlfn.IFNA(+VLOOKUP(A135,'Date Calcs'!A:AG,8,),TODAY())</f>
        <v>46115</v>
      </c>
      <c r="T135" s="4">
        <f ca="1">_xlfn.IFNA(VLOOKUP(A135,'Date Calcs'!A:AG,10,),TODAY())</f>
        <v>46115</v>
      </c>
      <c r="U135" s="4">
        <f ca="1">_xlfn.IFNA(+VLOOKUP(A135,'Date Calcs'!A:AG,12,),TODAY())</f>
        <v>46115</v>
      </c>
      <c r="V135" s="4">
        <f ca="1">_xlfn.IFNA(+VLOOKUP(A135,'Date Calcs'!A:AG,14,),TODAY())</f>
        <v>46115</v>
      </c>
      <c r="W135" s="4">
        <f ca="1">_xlfn.IFNA(+VLOOKUP(A135,'Date Calcs'!A:AG,16,),TODAY())</f>
        <v>46115</v>
      </c>
      <c r="X135" s="4">
        <f ca="1">_xlfn.IFNA(IF(C135=0,VLOOKUP(A135,'Date Calcs'!A:AG,8,),IF(C135=1,VLOOKUP(A135,'Date Calcs'!A:AG,10,),IF(C135=2,VLOOKUP(A135,'Date Calcs'!A:AG,12,),IF(C135=3,VLOOKUP(A135,'Date Calcs'!A:AG,14,),4)))),TODAY())</f>
        <v>46115</v>
      </c>
      <c r="Y135" s="4">
        <f t="shared" ca="1" si="18"/>
        <v>46115</v>
      </c>
      <c r="Z135" s="4">
        <f ca="1">_xlfn.IFNA(Y135+(VLOOKUP(A135,'Date Calcs'!A:W,22,0)*7),TODAY())</f>
        <v>46115</v>
      </c>
      <c r="AA135" s="4">
        <f>_xlfn.IFNA(VLOOKUP(A135,'RTR v2'!$A:$AW,46,0),"")</f>
        <v>0</v>
      </c>
    </row>
    <row r="136" spans="1:27" ht="23.25" hidden="1" x14ac:dyDescent="0.25">
      <c r="A136" s="12">
        <f>'Actual Dates'!A134</f>
        <v>0</v>
      </c>
      <c r="B136" s="13" t="str">
        <f>_xlfn.IFNA(VLOOKUP(A136,'Date Calcs'!A:B,2,),"")</f>
        <v/>
      </c>
      <c r="C136" s="14">
        <f>VLOOKUP(A136,'Actual Dates'!A:AE,18,)</f>
        <v>0</v>
      </c>
      <c r="D136" s="15">
        <f t="shared" ca="1" si="15"/>
        <v>46115</v>
      </c>
      <c r="E136" s="15">
        <f t="shared" ca="1" si="16"/>
        <v>46115</v>
      </c>
      <c r="F136" s="14">
        <f ca="1">IFERROR(ROUND(IF(A136="","",IF(E136=0,D136-Date!$B$3,D136-E136)),0),"")</f>
        <v>0</v>
      </c>
      <c r="G136" s="14" t="str">
        <f>_xlfn.IFNA(VLOOKUP(A136,'RTR v2'!A:AW,48,FALSE)," ")</f>
        <v/>
      </c>
      <c r="I136" s="16" t="str">
        <f t="shared" si="17"/>
        <v>N</v>
      </c>
      <c r="J136" s="16" t="str">
        <f t="shared" si="19"/>
        <v xml:space="preserve">  </v>
      </c>
      <c r="L136" s="17"/>
      <c r="M136" t="str">
        <f t="shared" si="20"/>
        <v xml:space="preserve"> </v>
      </c>
      <c r="N136">
        <f t="shared" si="21"/>
        <v>0</v>
      </c>
      <c r="O136">
        <f>IF(P136&lt;1,0,IF(VLOOKUP($A136,'Actual Dates'!$A:$G,5,0)="Y",1,0))</f>
        <v>0</v>
      </c>
      <c r="P136">
        <f>IF(Q136&lt;1,0,IF(VLOOKUP($A136,'Actual Dates'!$A:$G,4,0)="Y",1,0))</f>
        <v>0</v>
      </c>
      <c r="Q136">
        <f>IF(R136&lt;1,0,IF(VLOOKUP($A136,'Actual Dates'!$A:$G,3,0)="Y",1,0))</f>
        <v>0</v>
      </c>
      <c r="R136">
        <f>IF(VLOOKUP($A136,'Actual Dates'!$A:$G,2,0)="Y",1,0)</f>
        <v>0</v>
      </c>
      <c r="S136" s="4">
        <f ca="1">_xlfn.IFNA(+VLOOKUP(A136,'Date Calcs'!A:AG,8,),TODAY())</f>
        <v>46115</v>
      </c>
      <c r="T136" s="4">
        <f ca="1">_xlfn.IFNA(VLOOKUP(A136,'Date Calcs'!A:AG,10,),TODAY())</f>
        <v>46115</v>
      </c>
      <c r="U136" s="4">
        <f ca="1">_xlfn.IFNA(+VLOOKUP(A136,'Date Calcs'!A:AG,12,),TODAY())</f>
        <v>46115</v>
      </c>
      <c r="V136" s="4">
        <f ca="1">_xlfn.IFNA(+VLOOKUP(A136,'Date Calcs'!A:AG,14,),TODAY())</f>
        <v>46115</v>
      </c>
      <c r="W136" s="4">
        <f ca="1">_xlfn.IFNA(+VLOOKUP(A136,'Date Calcs'!A:AG,16,),TODAY())</f>
        <v>46115</v>
      </c>
      <c r="X136" s="4">
        <f ca="1">_xlfn.IFNA(IF(C136=0,VLOOKUP(A136,'Date Calcs'!A:AG,8,),IF(C136=1,VLOOKUP(A136,'Date Calcs'!A:AG,10,),IF(C136=2,VLOOKUP(A136,'Date Calcs'!A:AG,12,),IF(C136=3,VLOOKUP(A136,'Date Calcs'!A:AG,14,),4)))),TODAY())</f>
        <v>46115</v>
      </c>
      <c r="Y136" s="4">
        <f t="shared" ca="1" si="18"/>
        <v>46115</v>
      </c>
      <c r="Z136" s="4">
        <f ca="1">_xlfn.IFNA(Y136+(VLOOKUP(A136,'Date Calcs'!A:W,22,0)*7),TODAY())</f>
        <v>46115</v>
      </c>
      <c r="AA136" s="4">
        <f>_xlfn.IFNA(VLOOKUP(A136,'RTR v2'!$A:$AW,46,0),"")</f>
        <v>0</v>
      </c>
    </row>
    <row r="137" spans="1:27" ht="23.25" hidden="1" x14ac:dyDescent="0.25">
      <c r="A137" s="12">
        <f>'Actual Dates'!A135</f>
        <v>0</v>
      </c>
      <c r="B137" s="13" t="str">
        <f>_xlfn.IFNA(VLOOKUP(A137,'Date Calcs'!A:B,2,),"")</f>
        <v/>
      </c>
      <c r="C137" s="14">
        <f>VLOOKUP(A137,'Actual Dates'!A:AE,18,)</f>
        <v>0</v>
      </c>
      <c r="D137" s="15">
        <f t="shared" ca="1" si="15"/>
        <v>46115</v>
      </c>
      <c r="E137" s="15">
        <f t="shared" ca="1" si="16"/>
        <v>46115</v>
      </c>
      <c r="F137" s="14">
        <f ca="1">IFERROR(ROUND(IF(A137="","",IF(E137=0,D137-Date!$B$3,D137-E137)),0),"")</f>
        <v>0</v>
      </c>
      <c r="G137" s="14" t="str">
        <f>_xlfn.IFNA(VLOOKUP(A137,'RTR v2'!A:AW,48,FALSE)," ")</f>
        <v/>
      </c>
      <c r="I137" s="16" t="str">
        <f t="shared" si="17"/>
        <v>N</v>
      </c>
      <c r="J137" s="16" t="str">
        <f t="shared" si="19"/>
        <v xml:space="preserve">  </v>
      </c>
      <c r="L137" s="17"/>
      <c r="M137" t="str">
        <f t="shared" si="20"/>
        <v xml:space="preserve"> </v>
      </c>
      <c r="N137">
        <f t="shared" si="21"/>
        <v>0</v>
      </c>
      <c r="O137">
        <f>IF(P137&lt;1,0,IF(VLOOKUP($A137,'Actual Dates'!$A:$G,5,0)="Y",1,0))</f>
        <v>0</v>
      </c>
      <c r="P137">
        <f>IF(Q137&lt;1,0,IF(VLOOKUP($A137,'Actual Dates'!$A:$G,4,0)="Y",1,0))</f>
        <v>0</v>
      </c>
      <c r="Q137">
        <f>IF(R137&lt;1,0,IF(VLOOKUP($A137,'Actual Dates'!$A:$G,3,0)="Y",1,0))</f>
        <v>0</v>
      </c>
      <c r="R137">
        <f>IF(VLOOKUP($A137,'Actual Dates'!$A:$G,2,0)="Y",1,0)</f>
        <v>0</v>
      </c>
      <c r="S137" s="4">
        <f ca="1">_xlfn.IFNA(+VLOOKUP(A137,'Date Calcs'!A:AG,8,),TODAY())</f>
        <v>46115</v>
      </c>
      <c r="T137" s="4">
        <f ca="1">_xlfn.IFNA(VLOOKUP(A137,'Date Calcs'!A:AG,10,),TODAY())</f>
        <v>46115</v>
      </c>
      <c r="U137" s="4">
        <f ca="1">_xlfn.IFNA(+VLOOKUP(A137,'Date Calcs'!A:AG,12,),TODAY())</f>
        <v>46115</v>
      </c>
      <c r="V137" s="4">
        <f ca="1">_xlfn.IFNA(+VLOOKUP(A137,'Date Calcs'!A:AG,14,),TODAY())</f>
        <v>46115</v>
      </c>
      <c r="W137" s="4">
        <f ca="1">_xlfn.IFNA(+VLOOKUP(A137,'Date Calcs'!A:AG,16,),TODAY())</f>
        <v>46115</v>
      </c>
      <c r="X137" s="4">
        <f ca="1">_xlfn.IFNA(IF(C137=0,VLOOKUP(A137,'Date Calcs'!A:AG,8,),IF(C137=1,VLOOKUP(A137,'Date Calcs'!A:AG,10,),IF(C137=2,VLOOKUP(A137,'Date Calcs'!A:AG,12,),IF(C137=3,VLOOKUP(A137,'Date Calcs'!A:AG,14,),4)))),TODAY())</f>
        <v>46115</v>
      </c>
      <c r="Y137" s="4">
        <f t="shared" ca="1" si="18"/>
        <v>46115</v>
      </c>
      <c r="Z137" s="4">
        <f ca="1">_xlfn.IFNA(Y137+(VLOOKUP(A137,'Date Calcs'!A:W,22,0)*7),TODAY())</f>
        <v>46115</v>
      </c>
      <c r="AA137" s="4">
        <f>_xlfn.IFNA(VLOOKUP(A137,'RTR v2'!$A:$AW,46,0),"")</f>
        <v>0</v>
      </c>
    </row>
    <row r="138" spans="1:27" ht="23.25" hidden="1" x14ac:dyDescent="0.25">
      <c r="A138" s="12">
        <f>'Actual Dates'!A136</f>
        <v>0</v>
      </c>
      <c r="B138" s="13" t="str">
        <f>_xlfn.IFNA(VLOOKUP(A138,'Date Calcs'!A:B,2,),"")</f>
        <v/>
      </c>
      <c r="C138" s="14">
        <f>VLOOKUP(A138,'Actual Dates'!A:AE,18,)</f>
        <v>0</v>
      </c>
      <c r="D138" s="15">
        <f t="shared" ca="1" si="15"/>
        <v>46115</v>
      </c>
      <c r="E138" s="15">
        <f t="shared" ca="1" si="16"/>
        <v>46115</v>
      </c>
      <c r="F138" s="14">
        <f ca="1">IFERROR(ROUND(IF(A138="","",IF(E138=0,D138-Date!$B$3,D138-E138)),0),"")</f>
        <v>0</v>
      </c>
      <c r="G138" s="14" t="str">
        <f>_xlfn.IFNA(VLOOKUP(A138,'RTR v2'!A:AW,48,FALSE)," ")</f>
        <v/>
      </c>
      <c r="I138" s="16" t="str">
        <f t="shared" si="17"/>
        <v>N</v>
      </c>
      <c r="J138" s="16" t="str">
        <f t="shared" si="19"/>
        <v xml:space="preserve">  </v>
      </c>
      <c r="L138" s="17"/>
      <c r="M138" t="str">
        <f t="shared" si="20"/>
        <v xml:space="preserve"> </v>
      </c>
      <c r="N138">
        <f t="shared" si="21"/>
        <v>0</v>
      </c>
      <c r="O138">
        <f>IF(P138&lt;1,0,IF(VLOOKUP($A138,'Actual Dates'!$A:$G,5,0)="Y",1,0))</f>
        <v>0</v>
      </c>
      <c r="P138">
        <f>IF(Q138&lt;1,0,IF(VLOOKUP($A138,'Actual Dates'!$A:$G,4,0)="Y",1,0))</f>
        <v>0</v>
      </c>
      <c r="Q138">
        <f>IF(R138&lt;1,0,IF(VLOOKUP($A138,'Actual Dates'!$A:$G,3,0)="Y",1,0))</f>
        <v>0</v>
      </c>
      <c r="R138">
        <f>IF(VLOOKUP($A138,'Actual Dates'!$A:$G,2,0)="Y",1,0)</f>
        <v>0</v>
      </c>
      <c r="S138" s="4">
        <f ca="1">_xlfn.IFNA(+VLOOKUP(A138,'Date Calcs'!A:AG,8,),TODAY())</f>
        <v>46115</v>
      </c>
      <c r="T138" s="4">
        <f ca="1">_xlfn.IFNA(VLOOKUP(A138,'Date Calcs'!A:AG,10,),TODAY())</f>
        <v>46115</v>
      </c>
      <c r="U138" s="4">
        <f ca="1">_xlfn.IFNA(+VLOOKUP(A138,'Date Calcs'!A:AG,12,),TODAY())</f>
        <v>46115</v>
      </c>
      <c r="V138" s="4">
        <f ca="1">_xlfn.IFNA(+VLOOKUP(A138,'Date Calcs'!A:AG,14,),TODAY())</f>
        <v>46115</v>
      </c>
      <c r="W138" s="4">
        <f ca="1">_xlfn.IFNA(+VLOOKUP(A138,'Date Calcs'!A:AG,16,),TODAY())</f>
        <v>46115</v>
      </c>
      <c r="X138" s="4">
        <f ca="1">_xlfn.IFNA(IF(C138=0,VLOOKUP(A138,'Date Calcs'!A:AG,8,),IF(C138=1,VLOOKUP(A138,'Date Calcs'!A:AG,10,),IF(C138=2,VLOOKUP(A138,'Date Calcs'!A:AG,12,),IF(C138=3,VLOOKUP(A138,'Date Calcs'!A:AG,14,),4)))),TODAY())</f>
        <v>46115</v>
      </c>
      <c r="Y138" s="4">
        <f t="shared" ca="1" si="18"/>
        <v>46115</v>
      </c>
      <c r="Z138" s="4">
        <f ca="1">_xlfn.IFNA(Y138+(VLOOKUP(A138,'Date Calcs'!A:W,22,0)*7),TODAY())</f>
        <v>46115</v>
      </c>
      <c r="AA138" s="4">
        <f>_xlfn.IFNA(VLOOKUP(A138,'RTR v2'!$A:$AW,46,0),"")</f>
        <v>0</v>
      </c>
    </row>
    <row r="139" spans="1:27" ht="23.25" hidden="1" x14ac:dyDescent="0.25">
      <c r="A139" s="12">
        <f>'Actual Dates'!A137</f>
        <v>0</v>
      </c>
      <c r="B139" s="13" t="str">
        <f>_xlfn.IFNA(VLOOKUP(A139,'Date Calcs'!A:B,2,),"")</f>
        <v/>
      </c>
      <c r="C139" s="14">
        <f>VLOOKUP(A139,'Actual Dates'!A:AE,18,)</f>
        <v>0</v>
      </c>
      <c r="D139" s="15">
        <f t="shared" ca="1" si="15"/>
        <v>46115</v>
      </c>
      <c r="E139" s="15">
        <f t="shared" ca="1" si="16"/>
        <v>46115</v>
      </c>
      <c r="F139" s="14">
        <f ca="1">IFERROR(ROUND(IF(A139="","",IF(E139=0,D139-Date!$B$3,D139-E139)),0),"")</f>
        <v>0</v>
      </c>
      <c r="G139" s="14" t="str">
        <f>_xlfn.IFNA(VLOOKUP(A139,'RTR v2'!A:AW,48,FALSE)," ")</f>
        <v/>
      </c>
      <c r="I139" s="16" t="str">
        <f t="shared" si="17"/>
        <v>N</v>
      </c>
      <c r="J139" s="16" t="str">
        <f t="shared" si="19"/>
        <v xml:space="preserve">  </v>
      </c>
      <c r="L139" s="17"/>
      <c r="M139" t="str">
        <f t="shared" si="20"/>
        <v xml:space="preserve"> </v>
      </c>
      <c r="N139">
        <f t="shared" si="21"/>
        <v>0</v>
      </c>
      <c r="O139">
        <f>IF(P139&lt;1,0,IF(VLOOKUP($A139,'Actual Dates'!$A:$G,5,0)="Y",1,0))</f>
        <v>0</v>
      </c>
      <c r="P139">
        <f>IF(Q139&lt;1,0,IF(VLOOKUP($A139,'Actual Dates'!$A:$G,4,0)="Y",1,0))</f>
        <v>0</v>
      </c>
      <c r="Q139">
        <f>IF(R139&lt;1,0,IF(VLOOKUP($A139,'Actual Dates'!$A:$G,3,0)="Y",1,0))</f>
        <v>0</v>
      </c>
      <c r="R139">
        <f>IF(VLOOKUP($A139,'Actual Dates'!$A:$G,2,0)="Y",1,0)</f>
        <v>0</v>
      </c>
      <c r="S139" s="4">
        <f ca="1">_xlfn.IFNA(+VLOOKUP(A139,'Date Calcs'!A:AG,8,),TODAY())</f>
        <v>46115</v>
      </c>
      <c r="T139" s="4">
        <f ca="1">_xlfn.IFNA(VLOOKUP(A139,'Date Calcs'!A:AG,10,),TODAY())</f>
        <v>46115</v>
      </c>
      <c r="U139" s="4">
        <f ca="1">_xlfn.IFNA(+VLOOKUP(A139,'Date Calcs'!A:AG,12,),TODAY())</f>
        <v>46115</v>
      </c>
      <c r="V139" s="4">
        <f ca="1">_xlfn.IFNA(+VLOOKUP(A139,'Date Calcs'!A:AG,14,),TODAY())</f>
        <v>46115</v>
      </c>
      <c r="W139" s="4">
        <f ca="1">_xlfn.IFNA(+VLOOKUP(A139,'Date Calcs'!A:AG,16,),TODAY())</f>
        <v>46115</v>
      </c>
      <c r="X139" s="4">
        <f ca="1">_xlfn.IFNA(IF(C139=0,VLOOKUP(A139,'Date Calcs'!A:AG,8,),IF(C139=1,VLOOKUP(A139,'Date Calcs'!A:AG,10,),IF(C139=2,VLOOKUP(A139,'Date Calcs'!A:AG,12,),IF(C139=3,VLOOKUP(A139,'Date Calcs'!A:AG,14,),4)))),TODAY())</f>
        <v>46115</v>
      </c>
      <c r="Y139" s="4">
        <f t="shared" ca="1" si="18"/>
        <v>46115</v>
      </c>
      <c r="Z139" s="4">
        <f ca="1">_xlfn.IFNA(Y139+(VLOOKUP(A139,'Date Calcs'!A:W,22,0)*7),TODAY())</f>
        <v>46115</v>
      </c>
      <c r="AA139" s="4">
        <f>_xlfn.IFNA(VLOOKUP(A139,'RTR v2'!$A:$AW,46,0),"")</f>
        <v>0</v>
      </c>
    </row>
    <row r="140" spans="1:27" ht="23.25" hidden="1" x14ac:dyDescent="0.25">
      <c r="A140" s="12">
        <f>'Actual Dates'!A138</f>
        <v>0</v>
      </c>
      <c r="B140" s="13" t="str">
        <f>_xlfn.IFNA(VLOOKUP(A140,'Date Calcs'!A:B,2,),"")</f>
        <v/>
      </c>
      <c r="C140" s="14">
        <f>VLOOKUP(A140,'Actual Dates'!A:AE,18,)</f>
        <v>0</v>
      </c>
      <c r="D140" s="15">
        <f t="shared" ca="1" si="15"/>
        <v>46115</v>
      </c>
      <c r="E140" s="15">
        <f t="shared" ca="1" si="16"/>
        <v>46115</v>
      </c>
      <c r="F140" s="14">
        <f ca="1">IFERROR(ROUND(IF(A140="","",IF(E140=0,D140-Date!$B$3,D140-E140)),0),"")</f>
        <v>0</v>
      </c>
      <c r="G140" s="14" t="str">
        <f>_xlfn.IFNA(VLOOKUP(A140,'RTR v2'!A:AW,48,FALSE)," ")</f>
        <v/>
      </c>
      <c r="I140" s="16" t="str">
        <f t="shared" si="17"/>
        <v>N</v>
      </c>
      <c r="J140" s="16" t="str">
        <f t="shared" si="19"/>
        <v xml:space="preserve">  </v>
      </c>
      <c r="L140" s="17"/>
      <c r="M140" t="str">
        <f t="shared" si="20"/>
        <v xml:space="preserve"> </v>
      </c>
      <c r="N140">
        <f t="shared" si="21"/>
        <v>0</v>
      </c>
      <c r="O140">
        <f>IF(P140&lt;1,0,IF(VLOOKUP($A140,'Actual Dates'!$A:$G,5,0)="Y",1,0))</f>
        <v>0</v>
      </c>
      <c r="P140">
        <f>IF(Q140&lt;1,0,IF(VLOOKUP($A140,'Actual Dates'!$A:$G,4,0)="Y",1,0))</f>
        <v>0</v>
      </c>
      <c r="Q140">
        <f>IF(R140&lt;1,0,IF(VLOOKUP($A140,'Actual Dates'!$A:$G,3,0)="Y",1,0))</f>
        <v>0</v>
      </c>
      <c r="R140">
        <f>IF(VLOOKUP($A140,'Actual Dates'!$A:$G,2,0)="Y",1,0)</f>
        <v>0</v>
      </c>
      <c r="S140" s="4">
        <f ca="1">_xlfn.IFNA(+VLOOKUP(A140,'Date Calcs'!A:AG,8,),TODAY())</f>
        <v>46115</v>
      </c>
      <c r="T140" s="4">
        <f ca="1">_xlfn.IFNA(VLOOKUP(A140,'Date Calcs'!A:AG,10,),TODAY())</f>
        <v>46115</v>
      </c>
      <c r="U140" s="4">
        <f ca="1">_xlfn.IFNA(+VLOOKUP(A140,'Date Calcs'!A:AG,12,),TODAY())</f>
        <v>46115</v>
      </c>
      <c r="V140" s="4">
        <f ca="1">_xlfn.IFNA(+VLOOKUP(A140,'Date Calcs'!A:AG,14,),TODAY())</f>
        <v>46115</v>
      </c>
      <c r="W140" s="4">
        <f ca="1">_xlfn.IFNA(+VLOOKUP(A140,'Date Calcs'!A:AG,16,),TODAY())</f>
        <v>46115</v>
      </c>
      <c r="X140" s="4">
        <f ca="1">_xlfn.IFNA(IF(C140=0,VLOOKUP(A140,'Date Calcs'!A:AG,8,),IF(C140=1,VLOOKUP(A140,'Date Calcs'!A:AG,10,),IF(C140=2,VLOOKUP(A140,'Date Calcs'!A:AG,12,),IF(C140=3,VLOOKUP(A140,'Date Calcs'!A:AG,14,),4)))),TODAY())</f>
        <v>46115</v>
      </c>
      <c r="Y140" s="4">
        <f t="shared" ca="1" si="18"/>
        <v>46115</v>
      </c>
      <c r="Z140" s="4">
        <f ca="1">_xlfn.IFNA(Y140+(VLOOKUP(A140,'Date Calcs'!A:W,22,0)*7),TODAY())</f>
        <v>46115</v>
      </c>
      <c r="AA140" s="4">
        <f>_xlfn.IFNA(VLOOKUP(A140,'RTR v2'!$A:$AW,46,0),"")</f>
        <v>0</v>
      </c>
    </row>
    <row r="141" spans="1:27" ht="23.25" hidden="1" x14ac:dyDescent="0.25">
      <c r="A141" s="12">
        <f>'Actual Dates'!A139</f>
        <v>0</v>
      </c>
      <c r="B141" s="13" t="str">
        <f>_xlfn.IFNA(VLOOKUP(A141,'Date Calcs'!A:B,2,),"")</f>
        <v/>
      </c>
      <c r="C141" s="14">
        <f>VLOOKUP(A141,'Actual Dates'!A:AE,18,)</f>
        <v>0</v>
      </c>
      <c r="D141" s="15">
        <f t="shared" ca="1" si="15"/>
        <v>46115</v>
      </c>
      <c r="E141" s="15">
        <f t="shared" ca="1" si="16"/>
        <v>46115</v>
      </c>
      <c r="F141" s="14">
        <f ca="1">IFERROR(ROUND(IF(A141="","",IF(E141=0,D141-Date!$B$3,D141-E141)),0),"")</f>
        <v>0</v>
      </c>
      <c r="G141" s="14" t="str">
        <f>_xlfn.IFNA(VLOOKUP(A141,'RTR v2'!A:AW,48,FALSE)," ")</f>
        <v/>
      </c>
      <c r="I141" s="16" t="str">
        <f t="shared" si="17"/>
        <v>N</v>
      </c>
      <c r="J141" s="16" t="str">
        <f t="shared" si="19"/>
        <v xml:space="preserve">  </v>
      </c>
      <c r="L141" s="17"/>
      <c r="M141" t="str">
        <f t="shared" si="20"/>
        <v xml:space="preserve"> </v>
      </c>
      <c r="N141">
        <f t="shared" si="21"/>
        <v>0</v>
      </c>
      <c r="O141">
        <f>IF(P141&lt;1,0,IF(VLOOKUP($A141,'Actual Dates'!$A:$G,5,0)="Y",1,0))</f>
        <v>0</v>
      </c>
      <c r="P141">
        <f>IF(Q141&lt;1,0,IF(VLOOKUP($A141,'Actual Dates'!$A:$G,4,0)="Y",1,0))</f>
        <v>0</v>
      </c>
      <c r="Q141">
        <f>IF(R141&lt;1,0,IF(VLOOKUP($A141,'Actual Dates'!$A:$G,3,0)="Y",1,0))</f>
        <v>0</v>
      </c>
      <c r="R141">
        <f>IF(VLOOKUP($A141,'Actual Dates'!$A:$G,2,0)="Y",1,0)</f>
        <v>0</v>
      </c>
      <c r="S141" s="4">
        <f ca="1">_xlfn.IFNA(+VLOOKUP(A141,'Date Calcs'!A:AG,8,),TODAY())</f>
        <v>46115</v>
      </c>
      <c r="T141" s="4">
        <f ca="1">_xlfn.IFNA(VLOOKUP(A141,'Date Calcs'!A:AG,10,),TODAY())</f>
        <v>46115</v>
      </c>
      <c r="U141" s="4">
        <f ca="1">_xlfn.IFNA(+VLOOKUP(A141,'Date Calcs'!A:AG,12,),TODAY())</f>
        <v>46115</v>
      </c>
      <c r="V141" s="4">
        <f ca="1">_xlfn.IFNA(+VLOOKUP(A141,'Date Calcs'!A:AG,14,),TODAY())</f>
        <v>46115</v>
      </c>
      <c r="W141" s="4">
        <f ca="1">_xlfn.IFNA(+VLOOKUP(A141,'Date Calcs'!A:AG,16,),TODAY())</f>
        <v>46115</v>
      </c>
      <c r="X141" s="4">
        <f ca="1">_xlfn.IFNA(IF(C141=0,VLOOKUP(A141,'Date Calcs'!A:AG,8,),IF(C141=1,VLOOKUP(A141,'Date Calcs'!A:AG,10,),IF(C141=2,VLOOKUP(A141,'Date Calcs'!A:AG,12,),IF(C141=3,VLOOKUP(A141,'Date Calcs'!A:AG,14,),4)))),TODAY())</f>
        <v>46115</v>
      </c>
      <c r="Y141" s="4">
        <f t="shared" ca="1" si="18"/>
        <v>46115</v>
      </c>
      <c r="Z141" s="4">
        <f ca="1">_xlfn.IFNA(Y141+(VLOOKUP(A141,'Date Calcs'!A:W,22,0)*7),TODAY())</f>
        <v>46115</v>
      </c>
      <c r="AA141" s="4">
        <f>_xlfn.IFNA(VLOOKUP(A141,'RTR v2'!$A:$AW,46,0),"")</f>
        <v>0</v>
      </c>
    </row>
    <row r="142" spans="1:27" ht="23.25" hidden="1" x14ac:dyDescent="0.25">
      <c r="A142" s="12">
        <f>'Actual Dates'!A140</f>
        <v>0</v>
      </c>
      <c r="B142" s="13" t="str">
        <f>_xlfn.IFNA(VLOOKUP(A142,'Date Calcs'!A:B,2,),"")</f>
        <v/>
      </c>
      <c r="C142" s="14">
        <f>VLOOKUP(A142,'Actual Dates'!A:AE,18,)</f>
        <v>0</v>
      </c>
      <c r="D142" s="15">
        <f t="shared" ca="1" si="15"/>
        <v>46115</v>
      </c>
      <c r="E142" s="15">
        <f t="shared" ca="1" si="16"/>
        <v>46115</v>
      </c>
      <c r="F142" s="14">
        <f ca="1">IFERROR(ROUND(IF(A142="","",IF(E142=0,D142-Date!$B$3,D142-E142)),0),"")</f>
        <v>0</v>
      </c>
      <c r="G142" s="14" t="str">
        <f>_xlfn.IFNA(VLOOKUP(A142,'RTR v2'!A:AW,48,FALSE)," ")</f>
        <v/>
      </c>
      <c r="I142" s="16" t="str">
        <f t="shared" si="17"/>
        <v>N</v>
      </c>
      <c r="J142" s="16" t="str">
        <f t="shared" si="19"/>
        <v xml:space="preserve">  </v>
      </c>
      <c r="L142" s="17"/>
      <c r="M142" t="str">
        <f t="shared" si="20"/>
        <v xml:space="preserve"> </v>
      </c>
      <c r="N142">
        <f t="shared" si="21"/>
        <v>0</v>
      </c>
      <c r="O142">
        <f>IF(P142&lt;1,0,IF(VLOOKUP($A142,'Actual Dates'!$A:$G,5,0)="Y",1,0))</f>
        <v>0</v>
      </c>
      <c r="P142">
        <f>IF(Q142&lt;1,0,IF(VLOOKUP($A142,'Actual Dates'!$A:$G,4,0)="Y",1,0))</f>
        <v>0</v>
      </c>
      <c r="Q142">
        <f>IF(R142&lt;1,0,IF(VLOOKUP($A142,'Actual Dates'!$A:$G,3,0)="Y",1,0))</f>
        <v>0</v>
      </c>
      <c r="R142">
        <f>IF(VLOOKUP($A142,'Actual Dates'!$A:$G,2,0)="Y",1,0)</f>
        <v>0</v>
      </c>
      <c r="S142" s="4">
        <f ca="1">_xlfn.IFNA(+VLOOKUP(A142,'Date Calcs'!A:AG,8,),TODAY())</f>
        <v>46115</v>
      </c>
      <c r="T142" s="4">
        <f ca="1">_xlfn.IFNA(VLOOKUP(A142,'Date Calcs'!A:AG,10,),TODAY())</f>
        <v>46115</v>
      </c>
      <c r="U142" s="4">
        <f ca="1">_xlfn.IFNA(+VLOOKUP(A142,'Date Calcs'!A:AG,12,),TODAY())</f>
        <v>46115</v>
      </c>
      <c r="V142" s="4">
        <f ca="1">_xlfn.IFNA(+VLOOKUP(A142,'Date Calcs'!A:AG,14,),TODAY())</f>
        <v>46115</v>
      </c>
      <c r="W142" s="4">
        <f ca="1">_xlfn.IFNA(+VLOOKUP(A142,'Date Calcs'!A:AG,16,),TODAY())</f>
        <v>46115</v>
      </c>
      <c r="X142" s="4">
        <f ca="1">_xlfn.IFNA(IF(C142=0,VLOOKUP(A142,'Date Calcs'!A:AG,8,),IF(C142=1,VLOOKUP(A142,'Date Calcs'!A:AG,10,),IF(C142=2,VLOOKUP(A142,'Date Calcs'!A:AG,12,),IF(C142=3,VLOOKUP(A142,'Date Calcs'!A:AG,14,),4)))),TODAY())</f>
        <v>46115</v>
      </c>
      <c r="Y142" s="4">
        <f t="shared" ca="1" si="18"/>
        <v>46115</v>
      </c>
      <c r="Z142" s="4">
        <f ca="1">_xlfn.IFNA(Y142+(VLOOKUP(A142,'Date Calcs'!A:W,22,0)*7),TODAY())</f>
        <v>46115</v>
      </c>
      <c r="AA142" s="4">
        <f>_xlfn.IFNA(VLOOKUP(A142,'RTR v2'!$A:$AW,46,0),"")</f>
        <v>0</v>
      </c>
    </row>
    <row r="143" spans="1:27" ht="23.25" hidden="1" x14ac:dyDescent="0.25">
      <c r="A143" s="12">
        <f>'Actual Dates'!A141</f>
        <v>0</v>
      </c>
      <c r="B143" s="13" t="str">
        <f>_xlfn.IFNA(VLOOKUP(A143,'Date Calcs'!A:B,2,),"")</f>
        <v/>
      </c>
      <c r="C143" s="14">
        <f>VLOOKUP(A143,'Actual Dates'!A:AE,18,)</f>
        <v>0</v>
      </c>
      <c r="D143" s="15">
        <f t="shared" ca="1" si="15"/>
        <v>46115</v>
      </c>
      <c r="E143" s="15">
        <f t="shared" ca="1" si="16"/>
        <v>46115</v>
      </c>
      <c r="F143" s="14">
        <f ca="1">IFERROR(ROUND(IF(A143="","",IF(E143=0,D143-Date!$B$3,D143-E143)),0),"")</f>
        <v>0</v>
      </c>
      <c r="G143" s="14" t="str">
        <f>_xlfn.IFNA(VLOOKUP(A143,'RTR v2'!A:AW,48,FALSE)," ")</f>
        <v/>
      </c>
      <c r="I143" s="16" t="str">
        <f t="shared" si="17"/>
        <v>N</v>
      </c>
      <c r="J143" s="16" t="str">
        <f t="shared" si="19"/>
        <v xml:space="preserve">  </v>
      </c>
      <c r="L143" s="17"/>
      <c r="M143" t="str">
        <f t="shared" si="20"/>
        <v xml:space="preserve"> </v>
      </c>
      <c r="N143">
        <f t="shared" si="21"/>
        <v>0</v>
      </c>
      <c r="O143">
        <f>IF(P143&lt;1,0,IF(VLOOKUP($A143,'Actual Dates'!$A:$G,5,0)="Y",1,0))</f>
        <v>0</v>
      </c>
      <c r="P143">
        <f>IF(Q143&lt;1,0,IF(VLOOKUP($A143,'Actual Dates'!$A:$G,4,0)="Y",1,0))</f>
        <v>0</v>
      </c>
      <c r="Q143">
        <f>IF(R143&lt;1,0,IF(VLOOKUP($A143,'Actual Dates'!$A:$G,3,0)="Y",1,0))</f>
        <v>0</v>
      </c>
      <c r="R143">
        <f>IF(VLOOKUP($A143,'Actual Dates'!$A:$G,2,0)="Y",1,0)</f>
        <v>0</v>
      </c>
      <c r="S143" s="4">
        <f ca="1">_xlfn.IFNA(+VLOOKUP(A143,'Date Calcs'!A:AG,8,),TODAY())</f>
        <v>46115</v>
      </c>
      <c r="T143" s="4">
        <f ca="1">_xlfn.IFNA(VLOOKUP(A143,'Date Calcs'!A:AG,10,),TODAY())</f>
        <v>46115</v>
      </c>
      <c r="U143" s="4">
        <f ca="1">_xlfn.IFNA(+VLOOKUP(A143,'Date Calcs'!A:AG,12,),TODAY())</f>
        <v>46115</v>
      </c>
      <c r="V143" s="4">
        <f ca="1">_xlfn.IFNA(+VLOOKUP(A143,'Date Calcs'!A:AG,14,),TODAY())</f>
        <v>46115</v>
      </c>
      <c r="W143" s="4">
        <f ca="1">_xlfn.IFNA(+VLOOKUP(A143,'Date Calcs'!A:AG,16,),TODAY())</f>
        <v>46115</v>
      </c>
      <c r="X143" s="4">
        <f ca="1">_xlfn.IFNA(IF(C143=0,VLOOKUP(A143,'Date Calcs'!A:AG,8,),IF(C143=1,VLOOKUP(A143,'Date Calcs'!A:AG,10,),IF(C143=2,VLOOKUP(A143,'Date Calcs'!A:AG,12,),IF(C143=3,VLOOKUP(A143,'Date Calcs'!A:AG,14,),4)))),TODAY())</f>
        <v>46115</v>
      </c>
      <c r="Y143" s="4">
        <f t="shared" ca="1" si="18"/>
        <v>46115</v>
      </c>
      <c r="Z143" s="4">
        <f ca="1">_xlfn.IFNA(Y143+(VLOOKUP(A143,'Date Calcs'!A:W,22,0)*7),TODAY())</f>
        <v>46115</v>
      </c>
      <c r="AA143" s="4">
        <f>_xlfn.IFNA(VLOOKUP(A143,'RTR v2'!$A:$AW,46,0),"")</f>
        <v>0</v>
      </c>
    </row>
    <row r="144" spans="1:27" ht="23.25" hidden="1" x14ac:dyDescent="0.25">
      <c r="A144" s="12">
        <f>'Actual Dates'!A142</f>
        <v>0</v>
      </c>
      <c r="B144" s="13" t="str">
        <f>_xlfn.IFNA(VLOOKUP(A144,'Date Calcs'!A:B,2,),"")</f>
        <v/>
      </c>
      <c r="C144" s="14">
        <f>VLOOKUP(A144,'Actual Dates'!A:AE,18,)</f>
        <v>0</v>
      </c>
      <c r="D144" s="15">
        <f t="shared" ca="1" si="15"/>
        <v>46115</v>
      </c>
      <c r="E144" s="15">
        <f t="shared" ca="1" si="16"/>
        <v>46115</v>
      </c>
      <c r="F144" s="14">
        <f ca="1">IFERROR(ROUND(IF(A144="","",IF(E144=0,D144-Date!$B$3,D144-E144)),0),"")</f>
        <v>0</v>
      </c>
      <c r="G144" s="14" t="str">
        <f>_xlfn.IFNA(VLOOKUP(A144,'RTR v2'!A:AW,48,FALSE)," ")</f>
        <v/>
      </c>
      <c r="I144" s="16" t="str">
        <f t="shared" si="17"/>
        <v>N</v>
      </c>
      <c r="J144" s="16" t="str">
        <f t="shared" si="19"/>
        <v xml:space="preserve">  </v>
      </c>
      <c r="L144" s="17"/>
      <c r="M144" t="str">
        <f t="shared" si="20"/>
        <v xml:space="preserve"> </v>
      </c>
      <c r="N144">
        <f t="shared" si="21"/>
        <v>0</v>
      </c>
      <c r="O144">
        <f>IF(P144&lt;1,0,IF(VLOOKUP($A144,'Actual Dates'!$A:$G,5,0)="Y",1,0))</f>
        <v>0</v>
      </c>
      <c r="P144">
        <f>IF(Q144&lt;1,0,IF(VLOOKUP($A144,'Actual Dates'!$A:$G,4,0)="Y",1,0))</f>
        <v>0</v>
      </c>
      <c r="Q144">
        <f>IF(R144&lt;1,0,IF(VLOOKUP($A144,'Actual Dates'!$A:$G,3,0)="Y",1,0))</f>
        <v>0</v>
      </c>
      <c r="R144">
        <f>IF(VLOOKUP($A144,'Actual Dates'!$A:$G,2,0)="Y",1,0)</f>
        <v>0</v>
      </c>
      <c r="S144" s="4">
        <f ca="1">_xlfn.IFNA(+VLOOKUP(A144,'Date Calcs'!A:AG,8,),TODAY())</f>
        <v>46115</v>
      </c>
      <c r="T144" s="4">
        <f ca="1">_xlfn.IFNA(VLOOKUP(A144,'Date Calcs'!A:AG,10,),TODAY())</f>
        <v>46115</v>
      </c>
      <c r="U144" s="4">
        <f ca="1">_xlfn.IFNA(+VLOOKUP(A144,'Date Calcs'!A:AG,12,),TODAY())</f>
        <v>46115</v>
      </c>
      <c r="V144" s="4">
        <f ca="1">_xlfn.IFNA(+VLOOKUP(A144,'Date Calcs'!A:AG,14,),TODAY())</f>
        <v>46115</v>
      </c>
      <c r="W144" s="4">
        <f ca="1">_xlfn.IFNA(+VLOOKUP(A144,'Date Calcs'!A:AG,16,),TODAY())</f>
        <v>46115</v>
      </c>
      <c r="X144" s="4">
        <f ca="1">_xlfn.IFNA(IF(C144=0,VLOOKUP(A144,'Date Calcs'!A:AG,8,),IF(C144=1,VLOOKUP(A144,'Date Calcs'!A:AG,10,),IF(C144=2,VLOOKUP(A144,'Date Calcs'!A:AG,12,),IF(C144=3,VLOOKUP(A144,'Date Calcs'!A:AG,14,),4)))),TODAY())</f>
        <v>46115</v>
      </c>
      <c r="Y144" s="4">
        <f t="shared" ca="1" si="18"/>
        <v>46115</v>
      </c>
      <c r="Z144" s="4">
        <f ca="1">_xlfn.IFNA(Y144+(VLOOKUP(A144,'Date Calcs'!A:W,22,0)*7),TODAY())</f>
        <v>46115</v>
      </c>
      <c r="AA144" s="4">
        <f>_xlfn.IFNA(VLOOKUP(A144,'RTR v2'!$A:$AW,46,0),"")</f>
        <v>0</v>
      </c>
    </row>
    <row r="145" spans="1:27" ht="23.25" hidden="1" x14ac:dyDescent="0.25">
      <c r="A145" s="12">
        <f>'Actual Dates'!A143</f>
        <v>0</v>
      </c>
      <c r="B145" s="13" t="str">
        <f>_xlfn.IFNA(VLOOKUP(A145,'Date Calcs'!A:B,2,),"")</f>
        <v/>
      </c>
      <c r="C145" s="14">
        <f>VLOOKUP(A145,'Actual Dates'!A:AE,18,)</f>
        <v>0</v>
      </c>
      <c r="D145" s="15">
        <f t="shared" ca="1" si="15"/>
        <v>46115</v>
      </c>
      <c r="E145" s="15">
        <f t="shared" ca="1" si="16"/>
        <v>46115</v>
      </c>
      <c r="F145" s="14">
        <f ca="1">IFERROR(ROUND(IF(A145="","",IF(E145=0,D145-Date!$B$3,D145-E145)),0),"")</f>
        <v>0</v>
      </c>
      <c r="G145" s="14" t="str">
        <f>_xlfn.IFNA(VLOOKUP(A145,'RTR v2'!A:AW,48,FALSE)," ")</f>
        <v/>
      </c>
      <c r="I145" s="16" t="str">
        <f t="shared" si="17"/>
        <v>N</v>
      </c>
      <c r="J145" s="16" t="str">
        <f t="shared" si="19"/>
        <v xml:space="preserve">  </v>
      </c>
      <c r="L145" s="17"/>
      <c r="M145" t="str">
        <f t="shared" si="20"/>
        <v xml:space="preserve"> </v>
      </c>
      <c r="N145">
        <f t="shared" si="21"/>
        <v>0</v>
      </c>
      <c r="O145">
        <f>IF(P145&lt;1,0,IF(VLOOKUP($A145,'Actual Dates'!$A:$G,5,0)="Y",1,0))</f>
        <v>0</v>
      </c>
      <c r="P145">
        <f>IF(Q145&lt;1,0,IF(VLOOKUP($A145,'Actual Dates'!$A:$G,4,0)="Y",1,0))</f>
        <v>0</v>
      </c>
      <c r="Q145">
        <f>IF(R145&lt;1,0,IF(VLOOKUP($A145,'Actual Dates'!$A:$G,3,0)="Y",1,0))</f>
        <v>0</v>
      </c>
      <c r="R145">
        <f>IF(VLOOKUP($A145,'Actual Dates'!$A:$G,2,0)="Y",1,0)</f>
        <v>0</v>
      </c>
      <c r="S145" s="4">
        <f ca="1">_xlfn.IFNA(+VLOOKUP(A145,'Date Calcs'!A:AG,8,),TODAY())</f>
        <v>46115</v>
      </c>
      <c r="T145" s="4">
        <f ca="1">_xlfn.IFNA(VLOOKUP(A145,'Date Calcs'!A:AG,10,),TODAY())</f>
        <v>46115</v>
      </c>
      <c r="U145" s="4">
        <f ca="1">_xlfn.IFNA(+VLOOKUP(A145,'Date Calcs'!A:AG,12,),TODAY())</f>
        <v>46115</v>
      </c>
      <c r="V145" s="4">
        <f ca="1">_xlfn.IFNA(+VLOOKUP(A145,'Date Calcs'!A:AG,14,),TODAY())</f>
        <v>46115</v>
      </c>
      <c r="W145" s="4">
        <f ca="1">_xlfn.IFNA(+VLOOKUP(A145,'Date Calcs'!A:AG,16,),TODAY())</f>
        <v>46115</v>
      </c>
      <c r="X145" s="4">
        <f ca="1">_xlfn.IFNA(IF(C145=0,VLOOKUP(A145,'Date Calcs'!A:AG,8,),IF(C145=1,VLOOKUP(A145,'Date Calcs'!A:AG,10,),IF(C145=2,VLOOKUP(A145,'Date Calcs'!A:AG,12,),IF(C145=3,VLOOKUP(A145,'Date Calcs'!A:AG,14,),4)))),TODAY())</f>
        <v>46115</v>
      </c>
      <c r="Y145" s="4">
        <f t="shared" ca="1" si="18"/>
        <v>46115</v>
      </c>
      <c r="Z145" s="4">
        <f ca="1">_xlfn.IFNA(Y145+(VLOOKUP(A145,'Date Calcs'!A:W,22,0)*7),TODAY())</f>
        <v>46115</v>
      </c>
      <c r="AA145" s="4">
        <f>_xlfn.IFNA(VLOOKUP(A145,'RTR v2'!$A:$AW,46,0),"")</f>
        <v>0</v>
      </c>
    </row>
    <row r="146" spans="1:27" ht="23.25" hidden="1" x14ac:dyDescent="0.25">
      <c r="A146" s="12">
        <f>'Actual Dates'!A144</f>
        <v>0</v>
      </c>
      <c r="B146" s="13" t="str">
        <f>_xlfn.IFNA(VLOOKUP(A146,'Date Calcs'!A:B,2,),"")</f>
        <v/>
      </c>
      <c r="C146" s="14">
        <f>VLOOKUP(A146,'Actual Dates'!A:AE,18,)</f>
        <v>0</v>
      </c>
      <c r="D146" s="15">
        <f t="shared" ca="1" si="15"/>
        <v>46115</v>
      </c>
      <c r="E146" s="15">
        <f t="shared" ca="1" si="16"/>
        <v>46115</v>
      </c>
      <c r="F146" s="14">
        <f ca="1">IFERROR(ROUND(IF(A146="","",IF(E146=0,D146-Date!$B$3,D146-E146)),0),"")</f>
        <v>0</v>
      </c>
      <c r="G146" s="14" t="str">
        <f>_xlfn.IFNA(VLOOKUP(A146,'RTR v2'!A:AW,48,FALSE)," ")</f>
        <v/>
      </c>
      <c r="I146" s="16" t="str">
        <f t="shared" si="17"/>
        <v>N</v>
      </c>
      <c r="J146" s="16" t="str">
        <f t="shared" si="19"/>
        <v xml:space="preserve">  </v>
      </c>
      <c r="L146" s="17"/>
      <c r="M146" t="str">
        <f t="shared" si="20"/>
        <v xml:space="preserve"> </v>
      </c>
      <c r="N146">
        <f t="shared" si="21"/>
        <v>0</v>
      </c>
      <c r="O146">
        <f>IF(P146&lt;1,0,IF(VLOOKUP($A146,'Actual Dates'!$A:$G,5,0)="Y",1,0))</f>
        <v>0</v>
      </c>
      <c r="P146">
        <f>IF(Q146&lt;1,0,IF(VLOOKUP($A146,'Actual Dates'!$A:$G,4,0)="Y",1,0))</f>
        <v>0</v>
      </c>
      <c r="Q146">
        <f>IF(R146&lt;1,0,IF(VLOOKUP($A146,'Actual Dates'!$A:$G,3,0)="Y",1,0))</f>
        <v>0</v>
      </c>
      <c r="R146">
        <f>IF(VLOOKUP($A146,'Actual Dates'!$A:$G,2,0)="Y",1,0)</f>
        <v>0</v>
      </c>
      <c r="S146" s="4">
        <f ca="1">_xlfn.IFNA(+VLOOKUP(A146,'Date Calcs'!A:AG,8,),TODAY())</f>
        <v>46115</v>
      </c>
      <c r="T146" s="4">
        <f ca="1">_xlfn.IFNA(VLOOKUP(A146,'Date Calcs'!A:AG,10,),TODAY())</f>
        <v>46115</v>
      </c>
      <c r="U146" s="4">
        <f ca="1">_xlfn.IFNA(+VLOOKUP(A146,'Date Calcs'!A:AG,12,),TODAY())</f>
        <v>46115</v>
      </c>
      <c r="V146" s="4">
        <f ca="1">_xlfn.IFNA(+VLOOKUP(A146,'Date Calcs'!A:AG,14,),TODAY())</f>
        <v>46115</v>
      </c>
      <c r="W146" s="4">
        <f ca="1">_xlfn.IFNA(+VLOOKUP(A146,'Date Calcs'!A:AG,16,),TODAY())</f>
        <v>46115</v>
      </c>
      <c r="X146" s="4">
        <f ca="1">_xlfn.IFNA(IF(C146=0,VLOOKUP(A146,'Date Calcs'!A:AG,8,),IF(C146=1,VLOOKUP(A146,'Date Calcs'!A:AG,10,),IF(C146=2,VLOOKUP(A146,'Date Calcs'!A:AG,12,),IF(C146=3,VLOOKUP(A146,'Date Calcs'!A:AG,14,),4)))),TODAY())</f>
        <v>46115</v>
      </c>
      <c r="Y146" s="4">
        <f t="shared" ca="1" si="18"/>
        <v>46115</v>
      </c>
      <c r="Z146" s="4">
        <f ca="1">_xlfn.IFNA(Y146+(VLOOKUP(A146,'Date Calcs'!A:W,22,0)*7),TODAY())</f>
        <v>46115</v>
      </c>
      <c r="AA146" s="4">
        <f>_xlfn.IFNA(VLOOKUP(A146,'RTR v2'!$A:$AW,46,0),"")</f>
        <v>0</v>
      </c>
    </row>
    <row r="147" spans="1:27" ht="23.25" hidden="1" x14ac:dyDescent="0.25">
      <c r="A147" s="12">
        <f>'Actual Dates'!A145</f>
        <v>0</v>
      </c>
      <c r="B147" s="13" t="str">
        <f>_xlfn.IFNA(VLOOKUP(A147,'Date Calcs'!A:B,2,),"")</f>
        <v/>
      </c>
      <c r="C147" s="14">
        <f>VLOOKUP(A147,'Actual Dates'!A:AE,18,)</f>
        <v>0</v>
      </c>
      <c r="D147" s="15">
        <f t="shared" ca="1" si="15"/>
        <v>46115</v>
      </c>
      <c r="E147" s="15">
        <f t="shared" ca="1" si="16"/>
        <v>46115</v>
      </c>
      <c r="F147" s="14">
        <f ca="1">IFERROR(ROUND(IF(A147="","",IF(E147=0,D147-Date!$B$3,D147-E147)),0),"")</f>
        <v>0</v>
      </c>
      <c r="G147" s="14" t="str">
        <f>_xlfn.IFNA(VLOOKUP(A147,'RTR v2'!A:AW,48,FALSE)," ")</f>
        <v/>
      </c>
      <c r="I147" s="16" t="str">
        <f t="shared" si="17"/>
        <v>N</v>
      </c>
      <c r="J147" s="16" t="str">
        <f t="shared" si="19"/>
        <v xml:space="preserve">  </v>
      </c>
      <c r="L147" s="17"/>
      <c r="M147" t="str">
        <f t="shared" si="20"/>
        <v xml:space="preserve"> </v>
      </c>
      <c r="N147">
        <f t="shared" si="21"/>
        <v>0</v>
      </c>
      <c r="O147">
        <f>IF(P147&lt;1,0,IF(VLOOKUP($A147,'Actual Dates'!$A:$G,5,0)="Y",1,0))</f>
        <v>0</v>
      </c>
      <c r="P147">
        <f>IF(Q147&lt;1,0,IF(VLOOKUP($A147,'Actual Dates'!$A:$G,4,0)="Y",1,0))</f>
        <v>0</v>
      </c>
      <c r="Q147">
        <f>IF(R147&lt;1,0,IF(VLOOKUP($A147,'Actual Dates'!$A:$G,3,0)="Y",1,0))</f>
        <v>0</v>
      </c>
      <c r="R147">
        <f>IF(VLOOKUP($A147,'Actual Dates'!$A:$G,2,0)="Y",1,0)</f>
        <v>0</v>
      </c>
      <c r="S147" s="4">
        <f ca="1">_xlfn.IFNA(+VLOOKUP(A147,'Date Calcs'!A:AG,8,),TODAY())</f>
        <v>46115</v>
      </c>
      <c r="T147" s="4">
        <f ca="1">_xlfn.IFNA(VLOOKUP(A147,'Date Calcs'!A:AG,10,),TODAY())</f>
        <v>46115</v>
      </c>
      <c r="U147" s="4">
        <f ca="1">_xlfn.IFNA(+VLOOKUP(A147,'Date Calcs'!A:AG,12,),TODAY())</f>
        <v>46115</v>
      </c>
      <c r="V147" s="4">
        <f ca="1">_xlfn.IFNA(+VLOOKUP(A147,'Date Calcs'!A:AG,14,),TODAY())</f>
        <v>46115</v>
      </c>
      <c r="W147" s="4">
        <f ca="1">_xlfn.IFNA(+VLOOKUP(A147,'Date Calcs'!A:AG,16,),TODAY())</f>
        <v>46115</v>
      </c>
      <c r="X147" s="4">
        <f ca="1">_xlfn.IFNA(IF(C147=0,VLOOKUP(A147,'Date Calcs'!A:AG,8,),IF(C147=1,VLOOKUP(A147,'Date Calcs'!A:AG,10,),IF(C147=2,VLOOKUP(A147,'Date Calcs'!A:AG,12,),IF(C147=3,VLOOKUP(A147,'Date Calcs'!A:AG,14,),4)))),TODAY())</f>
        <v>46115</v>
      </c>
      <c r="Y147" s="4">
        <f t="shared" ca="1" si="18"/>
        <v>46115</v>
      </c>
      <c r="Z147" s="4">
        <f ca="1">_xlfn.IFNA(Y147+(VLOOKUP(A147,'Date Calcs'!A:W,22,0)*7),TODAY())</f>
        <v>46115</v>
      </c>
      <c r="AA147" s="4">
        <f>_xlfn.IFNA(VLOOKUP(A147,'RTR v2'!$A:$AW,46,0),"")</f>
        <v>0</v>
      </c>
    </row>
    <row r="148" spans="1:27" ht="23.25" hidden="1" x14ac:dyDescent="0.25">
      <c r="A148" s="12">
        <f>'Actual Dates'!A146</f>
        <v>0</v>
      </c>
      <c r="B148" s="13" t="str">
        <f>_xlfn.IFNA(VLOOKUP(A148,'Date Calcs'!A:B,2,),"")</f>
        <v/>
      </c>
      <c r="C148" s="14">
        <f>VLOOKUP(A148,'Actual Dates'!A:AE,18,)</f>
        <v>0</v>
      </c>
      <c r="D148" s="15">
        <f t="shared" ca="1" si="15"/>
        <v>46115</v>
      </c>
      <c r="E148" s="15">
        <f t="shared" ca="1" si="16"/>
        <v>46115</v>
      </c>
      <c r="F148" s="14">
        <f ca="1">IFERROR(ROUND(IF(A148="","",IF(E148=0,D148-Date!$B$3,D148-E148)),0),"")</f>
        <v>0</v>
      </c>
      <c r="G148" s="14" t="str">
        <f>_xlfn.IFNA(VLOOKUP(A148,'RTR v2'!A:AW,48,FALSE)," ")</f>
        <v/>
      </c>
      <c r="I148" s="16" t="str">
        <f t="shared" si="17"/>
        <v>N</v>
      </c>
      <c r="J148" s="16" t="str">
        <f t="shared" si="19"/>
        <v xml:space="preserve">  </v>
      </c>
      <c r="L148" s="17"/>
      <c r="M148" t="str">
        <f t="shared" si="20"/>
        <v xml:space="preserve"> </v>
      </c>
      <c r="N148">
        <f t="shared" si="21"/>
        <v>0</v>
      </c>
      <c r="O148">
        <f>IF(P148&lt;1,0,IF(VLOOKUP($A148,'Actual Dates'!$A:$G,5,0)="Y",1,0))</f>
        <v>0</v>
      </c>
      <c r="P148">
        <f>IF(Q148&lt;1,0,IF(VLOOKUP($A148,'Actual Dates'!$A:$G,4,0)="Y",1,0))</f>
        <v>0</v>
      </c>
      <c r="Q148">
        <f>IF(R148&lt;1,0,IF(VLOOKUP($A148,'Actual Dates'!$A:$G,3,0)="Y",1,0))</f>
        <v>0</v>
      </c>
      <c r="R148">
        <f>IF(VLOOKUP($A148,'Actual Dates'!$A:$G,2,0)="Y",1,0)</f>
        <v>0</v>
      </c>
      <c r="S148" s="4">
        <f ca="1">_xlfn.IFNA(+VLOOKUP(A148,'Date Calcs'!A:AG,8,),TODAY())</f>
        <v>46115</v>
      </c>
      <c r="T148" s="4">
        <f ca="1">_xlfn.IFNA(VLOOKUP(A148,'Date Calcs'!A:AG,10,),TODAY())</f>
        <v>46115</v>
      </c>
      <c r="U148" s="4">
        <f ca="1">_xlfn.IFNA(+VLOOKUP(A148,'Date Calcs'!A:AG,12,),TODAY())</f>
        <v>46115</v>
      </c>
      <c r="V148" s="4">
        <f ca="1">_xlfn.IFNA(+VLOOKUP(A148,'Date Calcs'!A:AG,14,),TODAY())</f>
        <v>46115</v>
      </c>
      <c r="W148" s="4">
        <f ca="1">_xlfn.IFNA(+VLOOKUP(A148,'Date Calcs'!A:AG,16,),TODAY())</f>
        <v>46115</v>
      </c>
      <c r="X148" s="4">
        <f ca="1">_xlfn.IFNA(IF(C148=0,VLOOKUP(A148,'Date Calcs'!A:AG,8,),IF(C148=1,VLOOKUP(A148,'Date Calcs'!A:AG,10,),IF(C148=2,VLOOKUP(A148,'Date Calcs'!A:AG,12,),IF(C148=3,VLOOKUP(A148,'Date Calcs'!A:AG,14,),4)))),TODAY())</f>
        <v>46115</v>
      </c>
      <c r="Y148" s="4">
        <f t="shared" ca="1" si="18"/>
        <v>46115</v>
      </c>
      <c r="Z148" s="4">
        <f ca="1">_xlfn.IFNA(Y148+(VLOOKUP(A148,'Date Calcs'!A:W,22,0)*7),TODAY())</f>
        <v>46115</v>
      </c>
      <c r="AA148" s="4">
        <f>_xlfn.IFNA(VLOOKUP(A148,'RTR v2'!$A:$AW,46,0),"")</f>
        <v>0</v>
      </c>
    </row>
    <row r="149" spans="1:27" ht="23.25" hidden="1" x14ac:dyDescent="0.25">
      <c r="A149" s="12">
        <f>'Actual Dates'!A147</f>
        <v>0</v>
      </c>
      <c r="B149" s="13" t="str">
        <f>_xlfn.IFNA(VLOOKUP(A149,'Date Calcs'!A:B,2,),"")</f>
        <v/>
      </c>
      <c r="C149" s="14">
        <f>VLOOKUP(A149,'Actual Dates'!A:AE,18,)</f>
        <v>0</v>
      </c>
      <c r="D149" s="15">
        <f t="shared" ca="1" si="15"/>
        <v>46115</v>
      </c>
      <c r="E149" s="15">
        <f t="shared" ca="1" si="16"/>
        <v>46115</v>
      </c>
      <c r="F149" s="14">
        <f ca="1">IFERROR(ROUND(IF(A149="","",IF(E149=0,D149-Date!$B$3,D149-E149)),0),"")</f>
        <v>0</v>
      </c>
      <c r="G149" s="14" t="str">
        <f>_xlfn.IFNA(VLOOKUP(A149,'RTR v2'!A:AW,48,FALSE)," ")</f>
        <v/>
      </c>
      <c r="I149" s="16" t="str">
        <f t="shared" si="17"/>
        <v>N</v>
      </c>
      <c r="J149" s="16" t="str">
        <f t="shared" si="19"/>
        <v xml:space="preserve">  </v>
      </c>
      <c r="L149" s="17"/>
      <c r="M149" t="str">
        <f t="shared" si="20"/>
        <v xml:space="preserve"> </v>
      </c>
      <c r="N149">
        <f t="shared" si="21"/>
        <v>0</v>
      </c>
      <c r="O149">
        <f>IF(P149&lt;1,0,IF(VLOOKUP($A149,'Actual Dates'!$A:$G,5,0)="Y",1,0))</f>
        <v>0</v>
      </c>
      <c r="P149">
        <f>IF(Q149&lt;1,0,IF(VLOOKUP($A149,'Actual Dates'!$A:$G,4,0)="Y",1,0))</f>
        <v>0</v>
      </c>
      <c r="Q149">
        <f>IF(R149&lt;1,0,IF(VLOOKUP($A149,'Actual Dates'!$A:$G,3,0)="Y",1,0))</f>
        <v>0</v>
      </c>
      <c r="R149">
        <f>IF(VLOOKUP($A149,'Actual Dates'!$A:$G,2,0)="Y",1,0)</f>
        <v>0</v>
      </c>
      <c r="S149" s="4">
        <f ca="1">_xlfn.IFNA(+VLOOKUP(A149,'Date Calcs'!A:AG,8,),TODAY())</f>
        <v>46115</v>
      </c>
      <c r="T149" s="4">
        <f ca="1">_xlfn.IFNA(VLOOKUP(A149,'Date Calcs'!A:AG,10,),TODAY())</f>
        <v>46115</v>
      </c>
      <c r="U149" s="4">
        <f ca="1">_xlfn.IFNA(+VLOOKUP(A149,'Date Calcs'!A:AG,12,),TODAY())</f>
        <v>46115</v>
      </c>
      <c r="V149" s="4">
        <f ca="1">_xlfn.IFNA(+VLOOKUP(A149,'Date Calcs'!A:AG,14,),TODAY())</f>
        <v>46115</v>
      </c>
      <c r="W149" s="4">
        <f ca="1">_xlfn.IFNA(+VLOOKUP(A149,'Date Calcs'!A:AG,16,),TODAY())</f>
        <v>46115</v>
      </c>
      <c r="X149" s="4">
        <f ca="1">_xlfn.IFNA(IF(C149=0,VLOOKUP(A149,'Date Calcs'!A:AG,8,),IF(C149=1,VLOOKUP(A149,'Date Calcs'!A:AG,10,),IF(C149=2,VLOOKUP(A149,'Date Calcs'!A:AG,12,),IF(C149=3,VLOOKUP(A149,'Date Calcs'!A:AG,14,),4)))),TODAY())</f>
        <v>46115</v>
      </c>
      <c r="Y149" s="4">
        <f t="shared" ca="1" si="18"/>
        <v>46115</v>
      </c>
      <c r="Z149" s="4">
        <f ca="1">_xlfn.IFNA(Y149+(VLOOKUP(A149,'Date Calcs'!A:W,22,0)*7),TODAY())</f>
        <v>46115</v>
      </c>
      <c r="AA149" s="4">
        <f>_xlfn.IFNA(VLOOKUP(A149,'RTR v2'!$A:$AW,46,0),"")</f>
        <v>0</v>
      </c>
    </row>
    <row r="150" spans="1:27" ht="23.25" hidden="1" x14ac:dyDescent="0.25">
      <c r="A150" s="12">
        <f>'Actual Dates'!A148</f>
        <v>0</v>
      </c>
      <c r="B150" s="13" t="str">
        <f>_xlfn.IFNA(VLOOKUP(A150,'Date Calcs'!A:B,2,),"")</f>
        <v/>
      </c>
      <c r="C150" s="14">
        <f>VLOOKUP(A150,'Actual Dates'!A:AE,18,)</f>
        <v>0</v>
      </c>
      <c r="D150" s="15">
        <f t="shared" ca="1" si="15"/>
        <v>46115</v>
      </c>
      <c r="E150" s="15">
        <f t="shared" ca="1" si="16"/>
        <v>46115</v>
      </c>
      <c r="F150" s="14">
        <f ca="1">IFERROR(ROUND(IF(A150="","",IF(E150=0,D150-Date!$B$3,D150-E150)),0),"")</f>
        <v>0</v>
      </c>
      <c r="G150" s="14" t="str">
        <f>_xlfn.IFNA(VLOOKUP(A150,'RTR v2'!A:AW,48,FALSE)," ")</f>
        <v/>
      </c>
      <c r="I150" s="16" t="str">
        <f t="shared" si="17"/>
        <v>N</v>
      </c>
      <c r="J150" s="16" t="str">
        <f t="shared" si="19"/>
        <v xml:space="preserve">  </v>
      </c>
      <c r="L150" s="17"/>
      <c r="M150" t="str">
        <f t="shared" si="20"/>
        <v xml:space="preserve"> </v>
      </c>
      <c r="N150">
        <f t="shared" si="21"/>
        <v>0</v>
      </c>
      <c r="O150">
        <f>IF(P150&lt;1,0,IF(VLOOKUP($A150,'Actual Dates'!$A:$G,5,0)="Y",1,0))</f>
        <v>0</v>
      </c>
      <c r="P150">
        <f>IF(Q150&lt;1,0,IF(VLOOKUP($A150,'Actual Dates'!$A:$G,4,0)="Y",1,0))</f>
        <v>0</v>
      </c>
      <c r="Q150">
        <f>IF(R150&lt;1,0,IF(VLOOKUP($A150,'Actual Dates'!$A:$G,3,0)="Y",1,0))</f>
        <v>0</v>
      </c>
      <c r="R150">
        <f>IF(VLOOKUP($A150,'Actual Dates'!$A:$G,2,0)="Y",1,0)</f>
        <v>0</v>
      </c>
      <c r="S150" s="4">
        <f ca="1">_xlfn.IFNA(+VLOOKUP(A150,'Date Calcs'!A:AG,8,),TODAY())</f>
        <v>46115</v>
      </c>
      <c r="T150" s="4">
        <f ca="1">_xlfn.IFNA(VLOOKUP(A150,'Date Calcs'!A:AG,10,),TODAY())</f>
        <v>46115</v>
      </c>
      <c r="U150" s="4">
        <f ca="1">_xlfn.IFNA(+VLOOKUP(A150,'Date Calcs'!A:AG,12,),TODAY())</f>
        <v>46115</v>
      </c>
      <c r="V150" s="4">
        <f ca="1">_xlfn.IFNA(+VLOOKUP(A150,'Date Calcs'!A:AG,14,),TODAY())</f>
        <v>46115</v>
      </c>
      <c r="W150" s="4">
        <f ca="1">_xlfn.IFNA(+VLOOKUP(A150,'Date Calcs'!A:AG,16,),TODAY())</f>
        <v>46115</v>
      </c>
      <c r="X150" s="4">
        <f ca="1">_xlfn.IFNA(IF(C150=0,VLOOKUP(A150,'Date Calcs'!A:AG,8,),IF(C150=1,VLOOKUP(A150,'Date Calcs'!A:AG,10,),IF(C150=2,VLOOKUP(A150,'Date Calcs'!A:AG,12,),IF(C150=3,VLOOKUP(A150,'Date Calcs'!A:AG,14,),4)))),TODAY())</f>
        <v>46115</v>
      </c>
      <c r="Y150" s="4">
        <f t="shared" ca="1" si="18"/>
        <v>46115</v>
      </c>
      <c r="Z150" s="4">
        <f ca="1">_xlfn.IFNA(Y150+(VLOOKUP(A150,'Date Calcs'!A:W,22,0)*7),TODAY())</f>
        <v>46115</v>
      </c>
      <c r="AA150" s="4">
        <f>_xlfn.IFNA(VLOOKUP(A150,'RTR v2'!$A:$AW,46,0),"")</f>
        <v>0</v>
      </c>
    </row>
    <row r="151" spans="1:27" ht="23.25" hidden="1" x14ac:dyDescent="0.25">
      <c r="A151" s="12">
        <f>'Actual Dates'!A149</f>
        <v>0</v>
      </c>
      <c r="B151" s="13" t="str">
        <f>_xlfn.IFNA(VLOOKUP(A151,'Date Calcs'!A:B,2,),"")</f>
        <v/>
      </c>
      <c r="C151" s="14">
        <f>VLOOKUP(A151,'Actual Dates'!A:AE,18,)</f>
        <v>0</v>
      </c>
      <c r="D151" s="15">
        <f t="shared" ca="1" si="15"/>
        <v>46115</v>
      </c>
      <c r="E151" s="15">
        <f t="shared" ca="1" si="16"/>
        <v>46115</v>
      </c>
      <c r="F151" s="14">
        <f ca="1">IFERROR(ROUND(IF(A151="","",IF(E151=0,D151-Date!$B$3,D151-E151)),0),"")</f>
        <v>0</v>
      </c>
      <c r="G151" s="14" t="str">
        <f>_xlfn.IFNA(VLOOKUP(A151,'RTR v2'!A:AW,48,FALSE)," ")</f>
        <v/>
      </c>
      <c r="I151" s="16" t="str">
        <f t="shared" si="17"/>
        <v>N</v>
      </c>
      <c r="J151" s="16" t="str">
        <f t="shared" si="19"/>
        <v xml:space="preserve">  </v>
      </c>
      <c r="L151" s="17"/>
      <c r="M151" t="str">
        <f t="shared" si="20"/>
        <v xml:space="preserve"> </v>
      </c>
      <c r="N151">
        <f t="shared" si="21"/>
        <v>0</v>
      </c>
      <c r="O151">
        <f>IF(P151&lt;1,0,IF(VLOOKUP($A151,'Actual Dates'!$A:$G,5,0)="Y",1,0))</f>
        <v>0</v>
      </c>
      <c r="P151">
        <f>IF(Q151&lt;1,0,IF(VLOOKUP($A151,'Actual Dates'!$A:$G,4,0)="Y",1,0))</f>
        <v>0</v>
      </c>
      <c r="Q151">
        <f>IF(R151&lt;1,0,IF(VLOOKUP($A151,'Actual Dates'!$A:$G,3,0)="Y",1,0))</f>
        <v>0</v>
      </c>
      <c r="R151">
        <f>IF(VLOOKUP($A151,'Actual Dates'!$A:$G,2,0)="Y",1,0)</f>
        <v>0</v>
      </c>
      <c r="S151" s="4">
        <f ca="1">_xlfn.IFNA(+VLOOKUP(A151,'Date Calcs'!A:AG,8,),TODAY())</f>
        <v>46115</v>
      </c>
      <c r="T151" s="4">
        <f ca="1">_xlfn.IFNA(VLOOKUP(A151,'Date Calcs'!A:AG,10,),TODAY())</f>
        <v>46115</v>
      </c>
      <c r="U151" s="4">
        <f ca="1">_xlfn.IFNA(+VLOOKUP(A151,'Date Calcs'!A:AG,12,),TODAY())</f>
        <v>46115</v>
      </c>
      <c r="V151" s="4">
        <f ca="1">_xlfn.IFNA(+VLOOKUP(A151,'Date Calcs'!A:AG,14,),TODAY())</f>
        <v>46115</v>
      </c>
      <c r="W151" s="4">
        <f ca="1">_xlfn.IFNA(+VLOOKUP(A151,'Date Calcs'!A:AG,16,),TODAY())</f>
        <v>46115</v>
      </c>
      <c r="X151" s="4">
        <f ca="1">_xlfn.IFNA(IF(C151=0,VLOOKUP(A151,'Date Calcs'!A:AG,8,),IF(C151=1,VLOOKUP(A151,'Date Calcs'!A:AG,10,),IF(C151=2,VLOOKUP(A151,'Date Calcs'!A:AG,12,),IF(C151=3,VLOOKUP(A151,'Date Calcs'!A:AG,14,),4)))),TODAY())</f>
        <v>46115</v>
      </c>
      <c r="Y151" s="4">
        <f t="shared" ca="1" si="18"/>
        <v>46115</v>
      </c>
      <c r="Z151" s="4">
        <f ca="1">_xlfn.IFNA(Y151+(VLOOKUP(A151,'Date Calcs'!A:W,22,0)*7),TODAY())</f>
        <v>46115</v>
      </c>
      <c r="AA151" s="4">
        <f>_xlfn.IFNA(VLOOKUP(A151,'RTR v2'!$A:$AW,46,0),"")</f>
        <v>0</v>
      </c>
    </row>
    <row r="152" spans="1:27" ht="23.25" hidden="1" x14ac:dyDescent="0.25">
      <c r="A152" s="12">
        <f>'Actual Dates'!A150</f>
        <v>0</v>
      </c>
      <c r="B152" s="13" t="str">
        <f>_xlfn.IFNA(VLOOKUP(A152,'Date Calcs'!A:B,2,),"")</f>
        <v/>
      </c>
      <c r="C152" s="14">
        <f>VLOOKUP(A152,'Actual Dates'!A:AE,18,)</f>
        <v>0</v>
      </c>
      <c r="D152" s="15">
        <f t="shared" ca="1" si="15"/>
        <v>46115</v>
      </c>
      <c r="E152" s="15">
        <f t="shared" ca="1" si="16"/>
        <v>46115</v>
      </c>
      <c r="F152" s="14">
        <f ca="1">IFERROR(ROUND(IF(A152="","",IF(E152=0,D152-Date!$B$3,D152-E152)),0),"")</f>
        <v>0</v>
      </c>
      <c r="G152" s="14" t="str">
        <f>_xlfn.IFNA(VLOOKUP(A152,'RTR v2'!A:AW,48,FALSE)," ")</f>
        <v/>
      </c>
      <c r="I152" s="16" t="str">
        <f t="shared" si="17"/>
        <v>N</v>
      </c>
      <c r="J152" s="16" t="str">
        <f t="shared" si="19"/>
        <v xml:space="preserve">  </v>
      </c>
      <c r="L152" s="17"/>
      <c r="M152" t="str">
        <f t="shared" si="20"/>
        <v xml:space="preserve"> </v>
      </c>
      <c r="N152">
        <f t="shared" si="21"/>
        <v>0</v>
      </c>
      <c r="O152">
        <f>IF(P152&lt;1,0,IF(VLOOKUP($A152,'Actual Dates'!$A:$G,5,0)="Y",1,0))</f>
        <v>0</v>
      </c>
      <c r="P152">
        <f>IF(Q152&lt;1,0,IF(VLOOKUP($A152,'Actual Dates'!$A:$G,4,0)="Y",1,0))</f>
        <v>0</v>
      </c>
      <c r="Q152">
        <f>IF(R152&lt;1,0,IF(VLOOKUP($A152,'Actual Dates'!$A:$G,3,0)="Y",1,0))</f>
        <v>0</v>
      </c>
      <c r="R152">
        <f>IF(VLOOKUP($A152,'Actual Dates'!$A:$G,2,0)="Y",1,0)</f>
        <v>0</v>
      </c>
      <c r="S152" s="4">
        <f ca="1">_xlfn.IFNA(+VLOOKUP(A152,'Date Calcs'!A:AG,8,),TODAY())</f>
        <v>46115</v>
      </c>
      <c r="T152" s="4">
        <f ca="1">_xlfn.IFNA(VLOOKUP(A152,'Date Calcs'!A:AG,10,),TODAY())</f>
        <v>46115</v>
      </c>
      <c r="U152" s="4">
        <f ca="1">_xlfn.IFNA(+VLOOKUP(A152,'Date Calcs'!A:AG,12,),TODAY())</f>
        <v>46115</v>
      </c>
      <c r="V152" s="4">
        <f ca="1">_xlfn.IFNA(+VLOOKUP(A152,'Date Calcs'!A:AG,14,),TODAY())</f>
        <v>46115</v>
      </c>
      <c r="W152" s="4">
        <f ca="1">_xlfn.IFNA(+VLOOKUP(A152,'Date Calcs'!A:AG,16,),TODAY())</f>
        <v>46115</v>
      </c>
      <c r="X152" s="4">
        <f ca="1">_xlfn.IFNA(IF(C152=0,VLOOKUP(A152,'Date Calcs'!A:AG,8,),IF(C152=1,VLOOKUP(A152,'Date Calcs'!A:AG,10,),IF(C152=2,VLOOKUP(A152,'Date Calcs'!A:AG,12,),IF(C152=3,VLOOKUP(A152,'Date Calcs'!A:AG,14,),4)))),TODAY())</f>
        <v>46115</v>
      </c>
      <c r="Y152" s="4">
        <f t="shared" ca="1" si="18"/>
        <v>46115</v>
      </c>
      <c r="Z152" s="4">
        <f ca="1">_xlfn.IFNA(Y152+(VLOOKUP(A152,'Date Calcs'!A:W,22,0)*7),TODAY())</f>
        <v>46115</v>
      </c>
      <c r="AA152" s="4">
        <f>_xlfn.IFNA(VLOOKUP(A152,'RTR v2'!$A:$AW,46,0),"")</f>
        <v>0</v>
      </c>
    </row>
    <row r="153" spans="1:27" ht="23.25" hidden="1" x14ac:dyDescent="0.25">
      <c r="A153" s="12">
        <f>'Actual Dates'!A151</f>
        <v>0</v>
      </c>
      <c r="B153" s="13" t="str">
        <f>_xlfn.IFNA(VLOOKUP(A153,'Date Calcs'!A:B,2,),"")</f>
        <v/>
      </c>
      <c r="C153" s="14">
        <f>VLOOKUP(A153,'Actual Dates'!A:AE,18,)</f>
        <v>0</v>
      </c>
      <c r="D153" s="15">
        <f t="shared" ca="1" si="15"/>
        <v>46115</v>
      </c>
      <c r="E153" s="15">
        <f t="shared" ca="1" si="16"/>
        <v>46115</v>
      </c>
      <c r="F153" s="14">
        <f ca="1">IFERROR(ROUND(IF(A153="","",IF(E153=0,D153-Date!$B$3,D153-E153)),0),"")</f>
        <v>0</v>
      </c>
      <c r="G153" s="14" t="str">
        <f>_xlfn.IFNA(VLOOKUP(A153,'RTR v2'!A:AW,48,FALSE)," ")</f>
        <v/>
      </c>
      <c r="I153" s="16" t="str">
        <f t="shared" si="17"/>
        <v>N</v>
      </c>
      <c r="J153" s="16" t="str">
        <f t="shared" si="19"/>
        <v xml:space="preserve">  </v>
      </c>
      <c r="L153" s="17"/>
      <c r="M153" t="str">
        <f t="shared" si="20"/>
        <v xml:space="preserve"> </v>
      </c>
      <c r="N153">
        <f t="shared" si="21"/>
        <v>0</v>
      </c>
      <c r="O153">
        <f>IF(P153&lt;1,0,IF(VLOOKUP($A153,'Actual Dates'!$A:$G,5,0)="Y",1,0))</f>
        <v>0</v>
      </c>
      <c r="P153">
        <f>IF(Q153&lt;1,0,IF(VLOOKUP($A153,'Actual Dates'!$A:$G,4,0)="Y",1,0))</f>
        <v>0</v>
      </c>
      <c r="Q153">
        <f>IF(R153&lt;1,0,IF(VLOOKUP($A153,'Actual Dates'!$A:$G,3,0)="Y",1,0))</f>
        <v>0</v>
      </c>
      <c r="R153">
        <f>IF(VLOOKUP($A153,'Actual Dates'!$A:$G,2,0)="Y",1,0)</f>
        <v>0</v>
      </c>
      <c r="S153" s="4">
        <f ca="1">_xlfn.IFNA(+VLOOKUP(A153,'Date Calcs'!A:AG,8,),TODAY())</f>
        <v>46115</v>
      </c>
      <c r="T153" s="4">
        <f ca="1">_xlfn.IFNA(VLOOKUP(A153,'Date Calcs'!A:AG,10,),TODAY())</f>
        <v>46115</v>
      </c>
      <c r="U153" s="4">
        <f ca="1">_xlfn.IFNA(+VLOOKUP(A153,'Date Calcs'!A:AG,12,),TODAY())</f>
        <v>46115</v>
      </c>
      <c r="V153" s="4">
        <f ca="1">_xlfn.IFNA(+VLOOKUP(A153,'Date Calcs'!A:AG,14,),TODAY())</f>
        <v>46115</v>
      </c>
      <c r="W153" s="4">
        <f ca="1">_xlfn.IFNA(+VLOOKUP(A153,'Date Calcs'!A:AG,16,),TODAY())</f>
        <v>46115</v>
      </c>
      <c r="X153" s="4">
        <f ca="1">_xlfn.IFNA(IF(C153=0,VLOOKUP(A153,'Date Calcs'!A:AG,8,),IF(C153=1,VLOOKUP(A153,'Date Calcs'!A:AG,10,),IF(C153=2,VLOOKUP(A153,'Date Calcs'!A:AG,12,),IF(C153=3,VLOOKUP(A153,'Date Calcs'!A:AG,14,),4)))),TODAY())</f>
        <v>46115</v>
      </c>
      <c r="Y153" s="4">
        <f t="shared" ca="1" si="18"/>
        <v>46115</v>
      </c>
      <c r="Z153" s="4">
        <f ca="1">_xlfn.IFNA(Y153+(VLOOKUP(A153,'Date Calcs'!A:W,22,0)*7),TODAY())</f>
        <v>46115</v>
      </c>
      <c r="AA153" s="4">
        <f>_xlfn.IFNA(VLOOKUP(A153,'RTR v2'!$A:$AW,46,0),"")</f>
        <v>0</v>
      </c>
    </row>
    <row r="154" spans="1:27" ht="23.25" hidden="1" x14ac:dyDescent="0.25">
      <c r="A154" s="12">
        <f>'Actual Dates'!A152</f>
        <v>0</v>
      </c>
      <c r="B154" s="13" t="str">
        <f>_xlfn.IFNA(VLOOKUP(A154,'Date Calcs'!A:B,2,),"")</f>
        <v/>
      </c>
      <c r="C154" s="14">
        <f>VLOOKUP(A154,'Actual Dates'!A:AE,18,)</f>
        <v>0</v>
      </c>
      <c r="D154" s="15">
        <f t="shared" ca="1" si="15"/>
        <v>46115</v>
      </c>
      <c r="E154" s="15">
        <f t="shared" ca="1" si="16"/>
        <v>46115</v>
      </c>
      <c r="F154" s="14">
        <f ca="1">IFERROR(ROUND(IF(A154="","",IF(E154=0,D154-Date!$B$3,D154-E154)),0),"")</f>
        <v>0</v>
      </c>
      <c r="G154" s="14" t="str">
        <f>_xlfn.IFNA(VLOOKUP(A154,'RTR v2'!A:AW,48,FALSE)," ")</f>
        <v/>
      </c>
      <c r="I154" s="16" t="str">
        <f t="shared" si="17"/>
        <v>N</v>
      </c>
      <c r="J154" s="16" t="str">
        <f t="shared" si="19"/>
        <v xml:space="preserve">  </v>
      </c>
      <c r="L154" s="17"/>
      <c r="M154" t="str">
        <f t="shared" si="20"/>
        <v xml:space="preserve"> </v>
      </c>
      <c r="N154">
        <f t="shared" si="21"/>
        <v>0</v>
      </c>
      <c r="O154">
        <f>IF(P154&lt;1,0,IF(VLOOKUP($A154,'Actual Dates'!$A:$G,5,0)="Y",1,0))</f>
        <v>0</v>
      </c>
      <c r="P154">
        <f>IF(Q154&lt;1,0,IF(VLOOKUP($A154,'Actual Dates'!$A:$G,4,0)="Y",1,0))</f>
        <v>0</v>
      </c>
      <c r="Q154">
        <f>IF(R154&lt;1,0,IF(VLOOKUP($A154,'Actual Dates'!$A:$G,3,0)="Y",1,0))</f>
        <v>0</v>
      </c>
      <c r="R154">
        <f>IF(VLOOKUP($A154,'Actual Dates'!$A:$G,2,0)="Y",1,0)</f>
        <v>0</v>
      </c>
      <c r="S154" s="4">
        <f ca="1">_xlfn.IFNA(+VLOOKUP(A154,'Date Calcs'!A:AG,8,),TODAY())</f>
        <v>46115</v>
      </c>
      <c r="T154" s="4">
        <f ca="1">_xlfn.IFNA(VLOOKUP(A154,'Date Calcs'!A:AG,10,),TODAY())</f>
        <v>46115</v>
      </c>
      <c r="U154" s="4">
        <f ca="1">_xlfn.IFNA(+VLOOKUP(A154,'Date Calcs'!A:AG,12,),TODAY())</f>
        <v>46115</v>
      </c>
      <c r="V154" s="4">
        <f ca="1">_xlfn.IFNA(+VLOOKUP(A154,'Date Calcs'!A:AG,14,),TODAY())</f>
        <v>46115</v>
      </c>
      <c r="W154" s="4">
        <f ca="1">_xlfn.IFNA(+VLOOKUP(A154,'Date Calcs'!A:AG,16,),TODAY())</f>
        <v>46115</v>
      </c>
      <c r="X154" s="4">
        <f ca="1">_xlfn.IFNA(IF(C154=0,VLOOKUP(A154,'Date Calcs'!A:AG,8,),IF(C154=1,VLOOKUP(A154,'Date Calcs'!A:AG,10,),IF(C154=2,VLOOKUP(A154,'Date Calcs'!A:AG,12,),IF(C154=3,VLOOKUP(A154,'Date Calcs'!A:AG,14,),4)))),TODAY())</f>
        <v>46115</v>
      </c>
      <c r="Y154" s="4">
        <f t="shared" ca="1" si="18"/>
        <v>46115</v>
      </c>
      <c r="Z154" s="4">
        <f ca="1">_xlfn.IFNA(Y154+(VLOOKUP(A154,'Date Calcs'!A:W,22,0)*7),TODAY())</f>
        <v>46115</v>
      </c>
      <c r="AA154" s="4">
        <f>_xlfn.IFNA(VLOOKUP(A154,'RTR v2'!$A:$AW,46,0),"")</f>
        <v>0</v>
      </c>
    </row>
    <row r="155" spans="1:27" ht="23.25" hidden="1" x14ac:dyDescent="0.25">
      <c r="A155" s="12">
        <f>'Actual Dates'!A153</f>
        <v>0</v>
      </c>
      <c r="B155" s="13" t="str">
        <f>_xlfn.IFNA(VLOOKUP(A155,'Date Calcs'!A:B,2,),"")</f>
        <v/>
      </c>
      <c r="C155" s="14">
        <f>VLOOKUP(A155,'Actual Dates'!A:AE,18,)</f>
        <v>0</v>
      </c>
      <c r="D155" s="15">
        <f t="shared" ca="1" si="15"/>
        <v>46115</v>
      </c>
      <c r="E155" s="15">
        <f t="shared" ca="1" si="16"/>
        <v>46115</v>
      </c>
      <c r="F155" s="14">
        <f ca="1">IFERROR(ROUND(IF(A155="","",IF(E155=0,D155-Date!$B$3,D155-E155)),0),"")</f>
        <v>0</v>
      </c>
      <c r="G155" s="14" t="str">
        <f>_xlfn.IFNA(VLOOKUP(A155,'RTR v2'!A:AW,48,FALSE)," ")</f>
        <v/>
      </c>
      <c r="I155" s="16" t="str">
        <f t="shared" si="17"/>
        <v>N</v>
      </c>
      <c r="J155" s="16" t="str">
        <f t="shared" si="19"/>
        <v xml:space="preserve">  </v>
      </c>
      <c r="L155" s="17"/>
      <c r="M155" t="str">
        <f t="shared" si="20"/>
        <v xml:space="preserve"> </v>
      </c>
      <c r="N155">
        <f t="shared" si="21"/>
        <v>0</v>
      </c>
      <c r="O155">
        <f>IF(P155&lt;1,0,IF(VLOOKUP($A155,'Actual Dates'!$A:$G,5,0)="Y",1,0))</f>
        <v>0</v>
      </c>
      <c r="P155">
        <f>IF(Q155&lt;1,0,IF(VLOOKUP($A155,'Actual Dates'!$A:$G,4,0)="Y",1,0))</f>
        <v>0</v>
      </c>
      <c r="Q155">
        <f>IF(R155&lt;1,0,IF(VLOOKUP($A155,'Actual Dates'!$A:$G,3,0)="Y",1,0))</f>
        <v>0</v>
      </c>
      <c r="R155">
        <f>IF(VLOOKUP($A155,'Actual Dates'!$A:$G,2,0)="Y",1,0)</f>
        <v>0</v>
      </c>
      <c r="S155" s="4">
        <f ca="1">_xlfn.IFNA(+VLOOKUP(A155,'Date Calcs'!A:AG,8,),TODAY())</f>
        <v>46115</v>
      </c>
      <c r="T155" s="4">
        <f ca="1">_xlfn.IFNA(VLOOKUP(A155,'Date Calcs'!A:AG,10,),TODAY())</f>
        <v>46115</v>
      </c>
      <c r="U155" s="4">
        <f ca="1">_xlfn.IFNA(+VLOOKUP(A155,'Date Calcs'!A:AG,12,),TODAY())</f>
        <v>46115</v>
      </c>
      <c r="V155" s="4">
        <f ca="1">_xlfn.IFNA(+VLOOKUP(A155,'Date Calcs'!A:AG,14,),TODAY())</f>
        <v>46115</v>
      </c>
      <c r="W155" s="4">
        <f ca="1">_xlfn.IFNA(+VLOOKUP(A155,'Date Calcs'!A:AG,16,),TODAY())</f>
        <v>46115</v>
      </c>
      <c r="X155" s="4">
        <f ca="1">_xlfn.IFNA(IF(C155=0,VLOOKUP(A155,'Date Calcs'!A:AG,8,),IF(C155=1,VLOOKUP(A155,'Date Calcs'!A:AG,10,),IF(C155=2,VLOOKUP(A155,'Date Calcs'!A:AG,12,),IF(C155=3,VLOOKUP(A155,'Date Calcs'!A:AG,14,),4)))),TODAY())</f>
        <v>46115</v>
      </c>
      <c r="Y155" s="4">
        <f t="shared" ca="1" si="18"/>
        <v>46115</v>
      </c>
      <c r="Z155" s="4">
        <f ca="1">_xlfn.IFNA(Y155+(VLOOKUP(A155,'Date Calcs'!A:W,22,0)*7),TODAY())</f>
        <v>46115</v>
      </c>
      <c r="AA155" s="4">
        <f>_xlfn.IFNA(VLOOKUP(A155,'RTR v2'!$A:$AW,46,0),"")</f>
        <v>0</v>
      </c>
    </row>
    <row r="156" spans="1:27" ht="23.25" hidden="1" x14ac:dyDescent="0.25">
      <c r="A156" s="12">
        <f>'Actual Dates'!A154</f>
        <v>0</v>
      </c>
      <c r="B156" s="13" t="str">
        <f>_xlfn.IFNA(VLOOKUP(A156,'Date Calcs'!A:B,2,),"")</f>
        <v/>
      </c>
      <c r="C156" s="14">
        <f>VLOOKUP(A156,'Actual Dates'!A:AE,18,)</f>
        <v>0</v>
      </c>
      <c r="D156" s="15">
        <f t="shared" ca="1" si="15"/>
        <v>46115</v>
      </c>
      <c r="E156" s="15">
        <f t="shared" ca="1" si="16"/>
        <v>46115</v>
      </c>
      <c r="F156" s="14">
        <f ca="1">IFERROR(ROUND(IF(A156="","",IF(E156=0,D156-Date!$B$3,D156-E156)),0),"")</f>
        <v>0</v>
      </c>
      <c r="G156" s="14" t="str">
        <f>_xlfn.IFNA(VLOOKUP(A156,'RTR v2'!A:AW,48,FALSE)," ")</f>
        <v/>
      </c>
      <c r="I156" s="16" t="str">
        <f t="shared" si="17"/>
        <v>N</v>
      </c>
      <c r="J156" s="16" t="str">
        <f t="shared" si="19"/>
        <v xml:space="preserve">  </v>
      </c>
      <c r="L156" s="17"/>
      <c r="M156" t="str">
        <f t="shared" si="20"/>
        <v xml:space="preserve"> </v>
      </c>
      <c r="N156">
        <f t="shared" si="21"/>
        <v>0</v>
      </c>
      <c r="O156">
        <f>IF(P156&lt;1,0,IF(VLOOKUP($A156,'Actual Dates'!$A:$G,5,0)="Y",1,0))</f>
        <v>0</v>
      </c>
      <c r="P156">
        <f>IF(Q156&lt;1,0,IF(VLOOKUP($A156,'Actual Dates'!$A:$G,4,0)="Y",1,0))</f>
        <v>0</v>
      </c>
      <c r="Q156">
        <f>IF(R156&lt;1,0,IF(VLOOKUP($A156,'Actual Dates'!$A:$G,3,0)="Y",1,0))</f>
        <v>0</v>
      </c>
      <c r="R156">
        <f>IF(VLOOKUP($A156,'Actual Dates'!$A:$G,2,0)="Y",1,0)</f>
        <v>0</v>
      </c>
      <c r="S156" s="4">
        <f ca="1">_xlfn.IFNA(+VLOOKUP(A156,'Date Calcs'!A:AG,8,),TODAY())</f>
        <v>46115</v>
      </c>
      <c r="T156" s="4">
        <f ca="1">_xlfn.IFNA(VLOOKUP(A156,'Date Calcs'!A:AG,10,),TODAY())</f>
        <v>46115</v>
      </c>
      <c r="U156" s="4">
        <f ca="1">_xlfn.IFNA(+VLOOKUP(A156,'Date Calcs'!A:AG,12,),TODAY())</f>
        <v>46115</v>
      </c>
      <c r="V156" s="4">
        <f ca="1">_xlfn.IFNA(+VLOOKUP(A156,'Date Calcs'!A:AG,14,),TODAY())</f>
        <v>46115</v>
      </c>
      <c r="W156" s="4">
        <f ca="1">_xlfn.IFNA(+VLOOKUP(A156,'Date Calcs'!A:AG,16,),TODAY())</f>
        <v>46115</v>
      </c>
      <c r="X156" s="4">
        <f ca="1">_xlfn.IFNA(IF(C156=0,VLOOKUP(A156,'Date Calcs'!A:AG,8,),IF(C156=1,VLOOKUP(A156,'Date Calcs'!A:AG,10,),IF(C156=2,VLOOKUP(A156,'Date Calcs'!A:AG,12,),IF(C156=3,VLOOKUP(A156,'Date Calcs'!A:AG,14,),4)))),TODAY())</f>
        <v>46115</v>
      </c>
      <c r="Y156" s="4">
        <f t="shared" ca="1" si="18"/>
        <v>46115</v>
      </c>
      <c r="Z156" s="4">
        <f ca="1">_xlfn.IFNA(Y156+(VLOOKUP(A156,'Date Calcs'!A:W,22,0)*7),TODAY())</f>
        <v>46115</v>
      </c>
      <c r="AA156" s="4">
        <f>_xlfn.IFNA(VLOOKUP(A156,'RTR v2'!$A:$AW,46,0),"")</f>
        <v>0</v>
      </c>
    </row>
    <row r="157" spans="1:27" ht="23.25" hidden="1" x14ac:dyDescent="0.25">
      <c r="A157" s="12">
        <f>'Actual Dates'!A155</f>
        <v>0</v>
      </c>
      <c r="B157" s="13" t="str">
        <f>_xlfn.IFNA(VLOOKUP(A157,'Date Calcs'!A:B,2,),"")</f>
        <v/>
      </c>
      <c r="C157" s="14">
        <f>VLOOKUP(A157,'Actual Dates'!A:AE,18,)</f>
        <v>0</v>
      </c>
      <c r="D157" s="15">
        <f t="shared" ca="1" si="15"/>
        <v>46115</v>
      </c>
      <c r="E157" s="15">
        <f t="shared" ca="1" si="16"/>
        <v>46115</v>
      </c>
      <c r="F157" s="14">
        <f ca="1">IFERROR(ROUND(IF(A157="","",IF(E157=0,D157-Date!$B$3,D157-E157)),0),"")</f>
        <v>0</v>
      </c>
      <c r="G157" s="14" t="str">
        <f>_xlfn.IFNA(VLOOKUP(A157,'RTR v2'!A:AW,48,FALSE)," ")</f>
        <v/>
      </c>
      <c r="I157" s="16" t="str">
        <f t="shared" si="17"/>
        <v>N</v>
      </c>
      <c r="J157" s="16" t="str">
        <f t="shared" si="19"/>
        <v xml:space="preserve">  </v>
      </c>
      <c r="L157" s="17"/>
      <c r="M157" t="str">
        <f t="shared" si="20"/>
        <v xml:space="preserve"> </v>
      </c>
      <c r="N157">
        <f t="shared" si="21"/>
        <v>0</v>
      </c>
      <c r="O157">
        <f>IF(P157&lt;1,0,IF(VLOOKUP($A157,'Actual Dates'!$A:$G,5,0)="Y",1,0))</f>
        <v>0</v>
      </c>
      <c r="P157">
        <f>IF(Q157&lt;1,0,IF(VLOOKUP($A157,'Actual Dates'!$A:$G,4,0)="Y",1,0))</f>
        <v>0</v>
      </c>
      <c r="Q157">
        <f>IF(R157&lt;1,0,IF(VLOOKUP($A157,'Actual Dates'!$A:$G,3,0)="Y",1,0))</f>
        <v>0</v>
      </c>
      <c r="R157">
        <f>IF(VLOOKUP($A157,'Actual Dates'!$A:$G,2,0)="Y",1,0)</f>
        <v>0</v>
      </c>
      <c r="S157" s="4">
        <f ca="1">_xlfn.IFNA(+VLOOKUP(A157,'Date Calcs'!A:AG,8,),TODAY())</f>
        <v>46115</v>
      </c>
      <c r="T157" s="4">
        <f ca="1">_xlfn.IFNA(VLOOKUP(A157,'Date Calcs'!A:AG,10,),TODAY())</f>
        <v>46115</v>
      </c>
      <c r="U157" s="4">
        <f ca="1">_xlfn.IFNA(+VLOOKUP(A157,'Date Calcs'!A:AG,12,),TODAY())</f>
        <v>46115</v>
      </c>
      <c r="V157" s="4">
        <f ca="1">_xlfn.IFNA(+VLOOKUP(A157,'Date Calcs'!A:AG,14,),TODAY())</f>
        <v>46115</v>
      </c>
      <c r="W157" s="4">
        <f ca="1">_xlfn.IFNA(+VLOOKUP(A157,'Date Calcs'!A:AG,16,),TODAY())</f>
        <v>46115</v>
      </c>
      <c r="X157" s="4">
        <f ca="1">_xlfn.IFNA(IF(C157=0,VLOOKUP(A157,'Date Calcs'!A:AG,8,),IF(C157=1,VLOOKUP(A157,'Date Calcs'!A:AG,10,),IF(C157=2,VLOOKUP(A157,'Date Calcs'!A:AG,12,),IF(C157=3,VLOOKUP(A157,'Date Calcs'!A:AG,14,),4)))),TODAY())</f>
        <v>46115</v>
      </c>
      <c r="Y157" s="4">
        <f t="shared" ca="1" si="18"/>
        <v>46115</v>
      </c>
      <c r="Z157" s="4">
        <f ca="1">_xlfn.IFNA(Y157+(VLOOKUP(A157,'Date Calcs'!A:W,22,0)*7),TODAY())</f>
        <v>46115</v>
      </c>
      <c r="AA157" s="4">
        <f>_xlfn.IFNA(VLOOKUP(A157,'RTR v2'!$A:$AW,46,0),"")</f>
        <v>0</v>
      </c>
    </row>
    <row r="158" spans="1:27" ht="23.25" hidden="1" x14ac:dyDescent="0.25">
      <c r="A158" s="12">
        <f>'Actual Dates'!A156</f>
        <v>0</v>
      </c>
      <c r="B158" s="13" t="str">
        <f>_xlfn.IFNA(VLOOKUP(A158,'Date Calcs'!A:B,2,),"")</f>
        <v/>
      </c>
      <c r="C158" s="14">
        <f>VLOOKUP(A158,'Actual Dates'!A:AE,18,)</f>
        <v>0</v>
      </c>
      <c r="D158" s="15">
        <f t="shared" ca="1" si="15"/>
        <v>46115</v>
      </c>
      <c r="E158" s="15">
        <f t="shared" ca="1" si="16"/>
        <v>46115</v>
      </c>
      <c r="F158" s="14">
        <f ca="1">IFERROR(ROUND(IF(A158="","",IF(E158=0,D158-Date!$B$3,D158-E158)),0),"")</f>
        <v>0</v>
      </c>
      <c r="G158" s="14" t="str">
        <f>_xlfn.IFNA(VLOOKUP(A158,'RTR v2'!A:AW,48,FALSE)," ")</f>
        <v/>
      </c>
      <c r="I158" s="16" t="str">
        <f t="shared" si="17"/>
        <v>N</v>
      </c>
      <c r="J158" s="16" t="str">
        <f t="shared" si="19"/>
        <v xml:space="preserve">  </v>
      </c>
      <c r="L158" s="17"/>
      <c r="M158" t="str">
        <f t="shared" si="20"/>
        <v xml:space="preserve"> </v>
      </c>
      <c r="N158">
        <f t="shared" si="21"/>
        <v>0</v>
      </c>
      <c r="O158">
        <f>IF(P158&lt;1,0,IF(VLOOKUP($A158,'Actual Dates'!$A:$G,5,0)="Y",1,0))</f>
        <v>0</v>
      </c>
      <c r="P158">
        <f>IF(Q158&lt;1,0,IF(VLOOKUP($A158,'Actual Dates'!$A:$G,4,0)="Y",1,0))</f>
        <v>0</v>
      </c>
      <c r="Q158">
        <f>IF(R158&lt;1,0,IF(VLOOKUP($A158,'Actual Dates'!$A:$G,3,0)="Y",1,0))</f>
        <v>0</v>
      </c>
      <c r="R158">
        <f>IF(VLOOKUP($A158,'Actual Dates'!$A:$G,2,0)="Y",1,0)</f>
        <v>0</v>
      </c>
      <c r="S158" s="4">
        <f ca="1">_xlfn.IFNA(+VLOOKUP(A158,'Date Calcs'!A:AG,8,),TODAY())</f>
        <v>46115</v>
      </c>
      <c r="T158" s="4">
        <f ca="1">_xlfn.IFNA(VLOOKUP(A158,'Date Calcs'!A:AG,10,),TODAY())</f>
        <v>46115</v>
      </c>
      <c r="U158" s="4">
        <f ca="1">_xlfn.IFNA(+VLOOKUP(A158,'Date Calcs'!A:AG,12,),TODAY())</f>
        <v>46115</v>
      </c>
      <c r="V158" s="4">
        <f ca="1">_xlfn.IFNA(+VLOOKUP(A158,'Date Calcs'!A:AG,14,),TODAY())</f>
        <v>46115</v>
      </c>
      <c r="W158" s="4">
        <f ca="1">_xlfn.IFNA(+VLOOKUP(A158,'Date Calcs'!A:AG,16,),TODAY())</f>
        <v>46115</v>
      </c>
      <c r="X158" s="4">
        <f ca="1">_xlfn.IFNA(IF(C158=0,VLOOKUP(A158,'Date Calcs'!A:AG,8,),IF(C158=1,VLOOKUP(A158,'Date Calcs'!A:AG,10,),IF(C158=2,VLOOKUP(A158,'Date Calcs'!A:AG,12,),IF(C158=3,VLOOKUP(A158,'Date Calcs'!A:AG,14,),4)))),TODAY())</f>
        <v>46115</v>
      </c>
      <c r="Y158" s="4">
        <f t="shared" ca="1" si="18"/>
        <v>46115</v>
      </c>
      <c r="Z158" s="4">
        <f ca="1">_xlfn.IFNA(Y158+(VLOOKUP(A158,'Date Calcs'!A:W,22,0)*7),TODAY())</f>
        <v>46115</v>
      </c>
      <c r="AA158" s="4">
        <f>_xlfn.IFNA(VLOOKUP(A158,'RTR v2'!$A:$AW,46,0),"")</f>
        <v>0</v>
      </c>
    </row>
    <row r="159" spans="1:27" ht="23.25" hidden="1" x14ac:dyDescent="0.25">
      <c r="A159" s="12">
        <f>'Actual Dates'!A157</f>
        <v>0</v>
      </c>
      <c r="B159" s="13" t="str">
        <f>_xlfn.IFNA(VLOOKUP(A159,'Date Calcs'!A:B,2,),"")</f>
        <v/>
      </c>
      <c r="C159" s="14">
        <f>VLOOKUP(A159,'Actual Dates'!A:AE,18,)</f>
        <v>0</v>
      </c>
      <c r="D159" s="15">
        <f t="shared" ca="1" si="15"/>
        <v>46115</v>
      </c>
      <c r="E159" s="15">
        <f t="shared" ca="1" si="16"/>
        <v>46115</v>
      </c>
      <c r="F159" s="14">
        <f ca="1">IFERROR(ROUND(IF(A159="","",IF(E159=0,D159-Date!$B$3,D159-E159)),0),"")</f>
        <v>0</v>
      </c>
      <c r="G159" s="14" t="str">
        <f>_xlfn.IFNA(VLOOKUP(A159,'RTR v2'!A:AW,48,FALSE)," ")</f>
        <v/>
      </c>
      <c r="I159" s="16" t="str">
        <f t="shared" si="17"/>
        <v>N</v>
      </c>
      <c r="J159" s="16" t="str">
        <f t="shared" si="19"/>
        <v xml:space="preserve">  </v>
      </c>
      <c r="L159" s="17"/>
      <c r="M159" t="str">
        <f t="shared" si="20"/>
        <v xml:space="preserve"> </v>
      </c>
      <c r="N159">
        <f t="shared" si="21"/>
        <v>0</v>
      </c>
      <c r="O159">
        <f>IF(P159&lt;1,0,IF(VLOOKUP($A159,'Actual Dates'!$A:$G,5,0)="Y",1,0))</f>
        <v>0</v>
      </c>
      <c r="P159">
        <f>IF(Q159&lt;1,0,IF(VLOOKUP($A159,'Actual Dates'!$A:$G,4,0)="Y",1,0))</f>
        <v>0</v>
      </c>
      <c r="Q159">
        <f>IF(R159&lt;1,0,IF(VLOOKUP($A159,'Actual Dates'!$A:$G,3,0)="Y",1,0))</f>
        <v>0</v>
      </c>
      <c r="R159">
        <f>IF(VLOOKUP($A159,'Actual Dates'!$A:$G,2,0)="Y",1,0)</f>
        <v>0</v>
      </c>
      <c r="S159" s="4">
        <f ca="1">_xlfn.IFNA(+VLOOKUP(A159,'Date Calcs'!A:AG,8,),TODAY())</f>
        <v>46115</v>
      </c>
      <c r="T159" s="4">
        <f ca="1">_xlfn.IFNA(VLOOKUP(A159,'Date Calcs'!A:AG,10,),TODAY())</f>
        <v>46115</v>
      </c>
      <c r="U159" s="4">
        <f ca="1">_xlfn.IFNA(+VLOOKUP(A159,'Date Calcs'!A:AG,12,),TODAY())</f>
        <v>46115</v>
      </c>
      <c r="V159" s="4">
        <f ca="1">_xlfn.IFNA(+VLOOKUP(A159,'Date Calcs'!A:AG,14,),TODAY())</f>
        <v>46115</v>
      </c>
      <c r="W159" s="4">
        <f ca="1">_xlfn.IFNA(+VLOOKUP(A159,'Date Calcs'!A:AG,16,),TODAY())</f>
        <v>46115</v>
      </c>
      <c r="X159" s="4">
        <f ca="1">_xlfn.IFNA(IF(C159=0,VLOOKUP(A159,'Date Calcs'!A:AG,8,),IF(C159=1,VLOOKUP(A159,'Date Calcs'!A:AG,10,),IF(C159=2,VLOOKUP(A159,'Date Calcs'!A:AG,12,),IF(C159=3,VLOOKUP(A159,'Date Calcs'!A:AG,14,),4)))),TODAY())</f>
        <v>46115</v>
      </c>
      <c r="Y159" s="4">
        <f t="shared" ca="1" si="18"/>
        <v>46115</v>
      </c>
      <c r="Z159" s="4">
        <f ca="1">_xlfn.IFNA(Y159+(VLOOKUP(A159,'Date Calcs'!A:W,22,0)*7),TODAY())</f>
        <v>46115</v>
      </c>
      <c r="AA159" s="4">
        <f>_xlfn.IFNA(VLOOKUP(A159,'RTR v2'!$A:$AW,46,0),"")</f>
        <v>0</v>
      </c>
    </row>
    <row r="160" spans="1:27" ht="23.25" hidden="1" x14ac:dyDescent="0.25">
      <c r="A160" s="12">
        <f>'Actual Dates'!A158</f>
        <v>0</v>
      </c>
      <c r="B160" s="13" t="str">
        <f>_xlfn.IFNA(VLOOKUP(A160,'Date Calcs'!A:B,2,),"")</f>
        <v/>
      </c>
      <c r="C160" s="14">
        <f>VLOOKUP(A160,'Actual Dates'!A:AE,18,)</f>
        <v>0</v>
      </c>
      <c r="D160" s="15">
        <f t="shared" ca="1" si="15"/>
        <v>46115</v>
      </c>
      <c r="E160" s="15">
        <f t="shared" ca="1" si="16"/>
        <v>46115</v>
      </c>
      <c r="F160" s="14">
        <f ca="1">IFERROR(ROUND(IF(A160="","",IF(E160=0,D160-Date!$B$3,D160-E160)),0),"")</f>
        <v>0</v>
      </c>
      <c r="G160" s="14" t="str">
        <f>_xlfn.IFNA(VLOOKUP(A160,'RTR v2'!A:AW,48,FALSE)," ")</f>
        <v/>
      </c>
      <c r="I160" s="16" t="str">
        <f t="shared" si="17"/>
        <v>N</v>
      </c>
      <c r="J160" s="16" t="str">
        <f t="shared" si="19"/>
        <v xml:space="preserve">  </v>
      </c>
      <c r="L160" s="17"/>
      <c r="M160" t="str">
        <f t="shared" si="20"/>
        <v xml:space="preserve"> </v>
      </c>
      <c r="N160">
        <f t="shared" si="21"/>
        <v>0</v>
      </c>
      <c r="O160">
        <f>IF(P160&lt;1,0,IF(VLOOKUP($A160,'Actual Dates'!$A:$G,5,0)="Y",1,0))</f>
        <v>0</v>
      </c>
      <c r="P160">
        <f>IF(Q160&lt;1,0,IF(VLOOKUP($A160,'Actual Dates'!$A:$G,4,0)="Y",1,0))</f>
        <v>0</v>
      </c>
      <c r="Q160">
        <f>IF(R160&lt;1,0,IF(VLOOKUP($A160,'Actual Dates'!$A:$G,3,0)="Y",1,0))</f>
        <v>0</v>
      </c>
      <c r="R160">
        <f>IF(VLOOKUP($A160,'Actual Dates'!$A:$G,2,0)="Y",1,0)</f>
        <v>0</v>
      </c>
      <c r="S160" s="4">
        <f ca="1">_xlfn.IFNA(+VLOOKUP(A160,'Date Calcs'!A:AG,8,),TODAY())</f>
        <v>46115</v>
      </c>
      <c r="T160" s="4">
        <f ca="1">_xlfn.IFNA(VLOOKUP(A160,'Date Calcs'!A:AG,10,),TODAY())</f>
        <v>46115</v>
      </c>
      <c r="U160" s="4">
        <f ca="1">_xlfn.IFNA(+VLOOKUP(A160,'Date Calcs'!A:AG,12,),TODAY())</f>
        <v>46115</v>
      </c>
      <c r="V160" s="4">
        <f ca="1">_xlfn.IFNA(+VLOOKUP(A160,'Date Calcs'!A:AG,14,),TODAY())</f>
        <v>46115</v>
      </c>
      <c r="W160" s="4">
        <f ca="1">_xlfn.IFNA(+VLOOKUP(A160,'Date Calcs'!A:AG,16,),TODAY())</f>
        <v>46115</v>
      </c>
      <c r="X160" s="4">
        <f ca="1">_xlfn.IFNA(IF(C160=0,VLOOKUP(A160,'Date Calcs'!A:AG,8,),IF(C160=1,VLOOKUP(A160,'Date Calcs'!A:AG,10,),IF(C160=2,VLOOKUP(A160,'Date Calcs'!A:AG,12,),IF(C160=3,VLOOKUP(A160,'Date Calcs'!A:AG,14,),4)))),TODAY())</f>
        <v>46115</v>
      </c>
      <c r="Y160" s="4">
        <f t="shared" ca="1" si="18"/>
        <v>46115</v>
      </c>
      <c r="Z160" s="4">
        <f ca="1">_xlfn.IFNA(Y160+(VLOOKUP(A160,'Date Calcs'!A:W,22,0)*7),TODAY())</f>
        <v>46115</v>
      </c>
      <c r="AA160" s="4">
        <f>_xlfn.IFNA(VLOOKUP(A160,'RTR v2'!$A:$AW,46,0),"")</f>
        <v>0</v>
      </c>
    </row>
    <row r="161" spans="1:27" ht="23.25" hidden="1" x14ac:dyDescent="0.25">
      <c r="A161" s="12">
        <f>'Actual Dates'!A159</f>
        <v>0</v>
      </c>
      <c r="B161" s="13" t="str">
        <f>_xlfn.IFNA(VLOOKUP(A161,'Date Calcs'!A:B,2,),"")</f>
        <v/>
      </c>
      <c r="C161" s="14">
        <f>VLOOKUP(A161,'Actual Dates'!A:AE,18,)</f>
        <v>0</v>
      </c>
      <c r="D161" s="15">
        <f t="shared" ca="1" si="15"/>
        <v>46115</v>
      </c>
      <c r="E161" s="15">
        <f t="shared" ca="1" si="16"/>
        <v>46115</v>
      </c>
      <c r="F161" s="14">
        <f ca="1">IFERROR(ROUND(IF(A161="","",IF(E161=0,D161-Date!$B$3,D161-E161)),0),"")</f>
        <v>0</v>
      </c>
      <c r="G161" s="14" t="str">
        <f>_xlfn.IFNA(VLOOKUP(A161,'RTR v2'!A:AW,48,FALSE)," ")</f>
        <v/>
      </c>
      <c r="I161" s="16" t="str">
        <f t="shared" si="17"/>
        <v>N</v>
      </c>
      <c r="J161" s="16" t="str">
        <f t="shared" si="19"/>
        <v xml:space="preserve">  </v>
      </c>
      <c r="L161" s="17"/>
      <c r="M161" t="str">
        <f t="shared" si="20"/>
        <v xml:space="preserve"> </v>
      </c>
      <c r="N161">
        <f t="shared" si="21"/>
        <v>0</v>
      </c>
      <c r="O161">
        <f>IF(P161&lt;1,0,IF(VLOOKUP($A161,'Actual Dates'!$A:$G,5,0)="Y",1,0))</f>
        <v>0</v>
      </c>
      <c r="P161">
        <f>IF(Q161&lt;1,0,IF(VLOOKUP($A161,'Actual Dates'!$A:$G,4,0)="Y",1,0))</f>
        <v>0</v>
      </c>
      <c r="Q161">
        <f>IF(R161&lt;1,0,IF(VLOOKUP($A161,'Actual Dates'!$A:$G,3,0)="Y",1,0))</f>
        <v>0</v>
      </c>
      <c r="R161">
        <f>IF(VLOOKUP($A161,'Actual Dates'!$A:$G,2,0)="Y",1,0)</f>
        <v>0</v>
      </c>
      <c r="S161" s="4">
        <f ca="1">_xlfn.IFNA(+VLOOKUP(A161,'Date Calcs'!A:AG,8,),TODAY())</f>
        <v>46115</v>
      </c>
      <c r="T161" s="4">
        <f ca="1">_xlfn.IFNA(VLOOKUP(A161,'Date Calcs'!A:AG,10,),TODAY())</f>
        <v>46115</v>
      </c>
      <c r="U161" s="4">
        <f ca="1">_xlfn.IFNA(+VLOOKUP(A161,'Date Calcs'!A:AG,12,),TODAY())</f>
        <v>46115</v>
      </c>
      <c r="V161" s="4">
        <f ca="1">_xlfn.IFNA(+VLOOKUP(A161,'Date Calcs'!A:AG,14,),TODAY())</f>
        <v>46115</v>
      </c>
      <c r="W161" s="4">
        <f ca="1">_xlfn.IFNA(+VLOOKUP(A161,'Date Calcs'!A:AG,16,),TODAY())</f>
        <v>46115</v>
      </c>
      <c r="X161" s="4">
        <f ca="1">_xlfn.IFNA(IF(C161=0,VLOOKUP(A161,'Date Calcs'!A:AG,8,),IF(C161=1,VLOOKUP(A161,'Date Calcs'!A:AG,10,),IF(C161=2,VLOOKUP(A161,'Date Calcs'!A:AG,12,),IF(C161=3,VLOOKUP(A161,'Date Calcs'!A:AG,14,),4)))),TODAY())</f>
        <v>46115</v>
      </c>
      <c r="Y161" s="4">
        <f t="shared" ca="1" si="18"/>
        <v>46115</v>
      </c>
      <c r="Z161" s="4">
        <f ca="1">_xlfn.IFNA(Y161+(VLOOKUP(A161,'Date Calcs'!A:W,22,0)*7),TODAY())</f>
        <v>46115</v>
      </c>
      <c r="AA161" s="4">
        <f>_xlfn.IFNA(VLOOKUP(A161,'RTR v2'!$A:$AW,46,0),"")</f>
        <v>0</v>
      </c>
    </row>
    <row r="162" spans="1:27" ht="23.25" hidden="1" x14ac:dyDescent="0.25">
      <c r="A162" s="12">
        <f>'Actual Dates'!A160</f>
        <v>0</v>
      </c>
      <c r="B162" s="13" t="str">
        <f>_xlfn.IFNA(VLOOKUP(A162,'Date Calcs'!A:B,2,),"")</f>
        <v/>
      </c>
      <c r="C162" s="14">
        <f>VLOOKUP(A162,'Actual Dates'!A:AE,18,)</f>
        <v>0</v>
      </c>
      <c r="D162" s="15">
        <f t="shared" ca="1" si="15"/>
        <v>46115</v>
      </c>
      <c r="E162" s="15">
        <f t="shared" ca="1" si="16"/>
        <v>46115</v>
      </c>
      <c r="F162" s="14">
        <f ca="1">IFERROR(ROUND(IF(A162="","",IF(E162=0,D162-Date!$B$3,D162-E162)),0),"")</f>
        <v>0</v>
      </c>
      <c r="G162" s="14" t="str">
        <f>_xlfn.IFNA(VLOOKUP(A162,'RTR v2'!A:AW,48,FALSE)," ")</f>
        <v/>
      </c>
      <c r="I162" s="16" t="str">
        <f t="shared" si="17"/>
        <v>N</v>
      </c>
      <c r="J162" s="16" t="str">
        <f t="shared" si="19"/>
        <v xml:space="preserve">  </v>
      </c>
      <c r="L162" s="17"/>
      <c r="M162" t="str">
        <f t="shared" si="20"/>
        <v xml:space="preserve"> </v>
      </c>
      <c r="N162">
        <f t="shared" si="21"/>
        <v>0</v>
      </c>
      <c r="O162">
        <f>IF(P162&lt;1,0,IF(VLOOKUP($A162,'Actual Dates'!$A:$G,5,0)="Y",1,0))</f>
        <v>0</v>
      </c>
      <c r="P162">
        <f>IF(Q162&lt;1,0,IF(VLOOKUP($A162,'Actual Dates'!$A:$G,4,0)="Y",1,0))</f>
        <v>0</v>
      </c>
      <c r="Q162">
        <f>IF(R162&lt;1,0,IF(VLOOKUP($A162,'Actual Dates'!$A:$G,3,0)="Y",1,0))</f>
        <v>0</v>
      </c>
      <c r="R162">
        <f>IF(VLOOKUP($A162,'Actual Dates'!$A:$G,2,0)="Y",1,0)</f>
        <v>0</v>
      </c>
      <c r="S162" s="4">
        <f ca="1">_xlfn.IFNA(+VLOOKUP(A162,'Date Calcs'!A:AG,8,),TODAY())</f>
        <v>46115</v>
      </c>
      <c r="T162" s="4">
        <f ca="1">_xlfn.IFNA(VLOOKUP(A162,'Date Calcs'!A:AG,10,),TODAY())</f>
        <v>46115</v>
      </c>
      <c r="U162" s="4">
        <f ca="1">_xlfn.IFNA(+VLOOKUP(A162,'Date Calcs'!A:AG,12,),TODAY())</f>
        <v>46115</v>
      </c>
      <c r="V162" s="4">
        <f ca="1">_xlfn.IFNA(+VLOOKUP(A162,'Date Calcs'!A:AG,14,),TODAY())</f>
        <v>46115</v>
      </c>
      <c r="W162" s="4">
        <f ca="1">_xlfn.IFNA(+VLOOKUP(A162,'Date Calcs'!A:AG,16,),TODAY())</f>
        <v>46115</v>
      </c>
      <c r="X162" s="4">
        <f ca="1">_xlfn.IFNA(IF(C162=0,VLOOKUP(A162,'Date Calcs'!A:AG,8,),IF(C162=1,VLOOKUP(A162,'Date Calcs'!A:AG,10,),IF(C162=2,VLOOKUP(A162,'Date Calcs'!A:AG,12,),IF(C162=3,VLOOKUP(A162,'Date Calcs'!A:AG,14,),4)))),TODAY())</f>
        <v>46115</v>
      </c>
      <c r="Y162" s="4">
        <f t="shared" ca="1" si="18"/>
        <v>46115</v>
      </c>
      <c r="Z162" s="4">
        <f ca="1">_xlfn.IFNA(Y162+(VLOOKUP(A162,'Date Calcs'!A:W,22,0)*7),TODAY())</f>
        <v>46115</v>
      </c>
      <c r="AA162" s="4">
        <f>_xlfn.IFNA(VLOOKUP(A162,'RTR v2'!$A:$AW,46,0),"")</f>
        <v>0</v>
      </c>
    </row>
    <row r="163" spans="1:27" ht="23.25" hidden="1" x14ac:dyDescent="0.25">
      <c r="A163" s="12">
        <f>'Actual Dates'!A161</f>
        <v>0</v>
      </c>
      <c r="B163" s="13" t="str">
        <f>_xlfn.IFNA(VLOOKUP(A163,'Date Calcs'!A:B,2,),"")</f>
        <v/>
      </c>
      <c r="C163" s="14">
        <f>VLOOKUP(A163,'Actual Dates'!A:AE,18,)</f>
        <v>0</v>
      </c>
      <c r="D163" s="15">
        <f t="shared" ca="1" si="15"/>
        <v>46115</v>
      </c>
      <c r="E163" s="15">
        <f t="shared" ca="1" si="16"/>
        <v>46115</v>
      </c>
      <c r="F163" s="14">
        <f ca="1">IFERROR(ROUND(IF(A163="","",IF(E163=0,D163-Date!$B$3,D163-E163)),0),"")</f>
        <v>0</v>
      </c>
      <c r="G163" s="14" t="str">
        <f>_xlfn.IFNA(VLOOKUP(A163,'RTR v2'!A:AW,48,FALSE)," ")</f>
        <v/>
      </c>
      <c r="I163" s="16" t="str">
        <f t="shared" si="17"/>
        <v>N</v>
      </c>
      <c r="J163" s="16" t="str">
        <f t="shared" si="19"/>
        <v xml:space="preserve">  </v>
      </c>
      <c r="L163" s="17"/>
      <c r="M163" t="str">
        <f t="shared" si="20"/>
        <v xml:space="preserve"> </v>
      </c>
      <c r="N163">
        <f t="shared" si="21"/>
        <v>0</v>
      </c>
      <c r="O163">
        <f>IF(P163&lt;1,0,IF(VLOOKUP($A163,'Actual Dates'!$A:$G,5,0)="Y",1,0))</f>
        <v>0</v>
      </c>
      <c r="P163">
        <f>IF(Q163&lt;1,0,IF(VLOOKUP($A163,'Actual Dates'!$A:$G,4,0)="Y",1,0))</f>
        <v>0</v>
      </c>
      <c r="Q163">
        <f>IF(R163&lt;1,0,IF(VLOOKUP($A163,'Actual Dates'!$A:$G,3,0)="Y",1,0))</f>
        <v>0</v>
      </c>
      <c r="R163">
        <f>IF(VLOOKUP($A163,'Actual Dates'!$A:$G,2,0)="Y",1,0)</f>
        <v>0</v>
      </c>
      <c r="S163" s="4">
        <f ca="1">_xlfn.IFNA(+VLOOKUP(A163,'Date Calcs'!A:AG,8,),TODAY())</f>
        <v>46115</v>
      </c>
      <c r="T163" s="4">
        <f ca="1">_xlfn.IFNA(VLOOKUP(A163,'Date Calcs'!A:AG,10,),TODAY())</f>
        <v>46115</v>
      </c>
      <c r="U163" s="4">
        <f ca="1">_xlfn.IFNA(+VLOOKUP(A163,'Date Calcs'!A:AG,12,),TODAY())</f>
        <v>46115</v>
      </c>
      <c r="V163" s="4">
        <f ca="1">_xlfn.IFNA(+VLOOKUP(A163,'Date Calcs'!A:AG,14,),TODAY())</f>
        <v>46115</v>
      </c>
      <c r="W163" s="4">
        <f ca="1">_xlfn.IFNA(+VLOOKUP(A163,'Date Calcs'!A:AG,16,),TODAY())</f>
        <v>46115</v>
      </c>
      <c r="X163" s="4">
        <f ca="1">_xlfn.IFNA(IF(C163=0,VLOOKUP(A163,'Date Calcs'!A:AG,8,),IF(C163=1,VLOOKUP(A163,'Date Calcs'!A:AG,10,),IF(C163=2,VLOOKUP(A163,'Date Calcs'!A:AG,12,),IF(C163=3,VLOOKUP(A163,'Date Calcs'!A:AG,14,),4)))),TODAY())</f>
        <v>46115</v>
      </c>
      <c r="Y163" s="4">
        <f t="shared" ca="1" si="18"/>
        <v>46115</v>
      </c>
      <c r="Z163" s="4">
        <f ca="1">_xlfn.IFNA(Y163+(VLOOKUP(A163,'Date Calcs'!A:W,22,0)*7),TODAY())</f>
        <v>46115</v>
      </c>
      <c r="AA163" s="4">
        <f>_xlfn.IFNA(VLOOKUP(A163,'RTR v2'!$A:$AW,46,0),"")</f>
        <v>0</v>
      </c>
    </row>
    <row r="164" spans="1:27" ht="23.25" hidden="1" x14ac:dyDescent="0.25">
      <c r="A164" s="12">
        <f>'Actual Dates'!A162</f>
        <v>0</v>
      </c>
      <c r="B164" s="13" t="str">
        <f>_xlfn.IFNA(VLOOKUP(A164,'Date Calcs'!A:B,2,),"")</f>
        <v/>
      </c>
      <c r="C164" s="14">
        <f>VLOOKUP(A164,'Actual Dates'!A:AE,18,)</f>
        <v>0</v>
      </c>
      <c r="D164" s="15">
        <f t="shared" ca="1" si="15"/>
        <v>46115</v>
      </c>
      <c r="E164" s="15">
        <f t="shared" ca="1" si="16"/>
        <v>46115</v>
      </c>
      <c r="F164" s="14">
        <f ca="1">IFERROR(ROUND(IF(A164="","",IF(E164=0,D164-Date!$B$3,D164-E164)),0),"")</f>
        <v>0</v>
      </c>
      <c r="G164" s="14" t="str">
        <f>_xlfn.IFNA(VLOOKUP(A164,'RTR v2'!A:AW,48,FALSE)," ")</f>
        <v/>
      </c>
      <c r="I164" s="16" t="str">
        <f t="shared" si="17"/>
        <v>N</v>
      </c>
      <c r="J164" s="16" t="str">
        <f t="shared" si="19"/>
        <v xml:space="preserve">  </v>
      </c>
      <c r="L164" s="17"/>
      <c r="M164" t="str">
        <f t="shared" si="20"/>
        <v xml:space="preserve"> </v>
      </c>
      <c r="N164">
        <f t="shared" si="21"/>
        <v>0</v>
      </c>
      <c r="O164">
        <f>IF(P164&lt;1,0,IF(VLOOKUP($A164,'Actual Dates'!$A:$G,5,0)="Y",1,0))</f>
        <v>0</v>
      </c>
      <c r="P164">
        <f>IF(Q164&lt;1,0,IF(VLOOKUP($A164,'Actual Dates'!$A:$G,4,0)="Y",1,0))</f>
        <v>0</v>
      </c>
      <c r="Q164">
        <f>IF(R164&lt;1,0,IF(VLOOKUP($A164,'Actual Dates'!$A:$G,3,0)="Y",1,0))</f>
        <v>0</v>
      </c>
      <c r="R164">
        <f>IF(VLOOKUP($A164,'Actual Dates'!$A:$G,2,0)="Y",1,0)</f>
        <v>0</v>
      </c>
      <c r="S164" s="4">
        <f ca="1">_xlfn.IFNA(+VLOOKUP(A164,'Date Calcs'!A:AG,8,),TODAY())</f>
        <v>46115</v>
      </c>
      <c r="T164" s="4">
        <f ca="1">_xlfn.IFNA(VLOOKUP(A164,'Date Calcs'!A:AG,10,),TODAY())</f>
        <v>46115</v>
      </c>
      <c r="U164" s="4">
        <f ca="1">_xlfn.IFNA(+VLOOKUP(A164,'Date Calcs'!A:AG,12,),TODAY())</f>
        <v>46115</v>
      </c>
      <c r="V164" s="4">
        <f ca="1">_xlfn.IFNA(+VLOOKUP(A164,'Date Calcs'!A:AG,14,),TODAY())</f>
        <v>46115</v>
      </c>
      <c r="W164" s="4">
        <f ca="1">_xlfn.IFNA(+VLOOKUP(A164,'Date Calcs'!A:AG,16,),TODAY())</f>
        <v>46115</v>
      </c>
      <c r="X164" s="4">
        <f ca="1">_xlfn.IFNA(IF(C164=0,VLOOKUP(A164,'Date Calcs'!A:AG,8,),IF(C164=1,VLOOKUP(A164,'Date Calcs'!A:AG,10,),IF(C164=2,VLOOKUP(A164,'Date Calcs'!A:AG,12,),IF(C164=3,VLOOKUP(A164,'Date Calcs'!A:AG,14,),4)))),TODAY())</f>
        <v>46115</v>
      </c>
      <c r="Y164" s="4">
        <f t="shared" ca="1" si="18"/>
        <v>46115</v>
      </c>
      <c r="Z164" s="4">
        <f ca="1">_xlfn.IFNA(Y164+(VLOOKUP(A164,'Date Calcs'!A:W,22,0)*7),TODAY())</f>
        <v>46115</v>
      </c>
      <c r="AA164" s="4">
        <f>_xlfn.IFNA(VLOOKUP(A164,'RTR v2'!$A:$AW,46,0),"")</f>
        <v>0</v>
      </c>
    </row>
    <row r="165" spans="1:27" ht="23.25" hidden="1" x14ac:dyDescent="0.25">
      <c r="A165" s="12">
        <f>'Actual Dates'!A163</f>
        <v>0</v>
      </c>
      <c r="B165" s="13" t="str">
        <f>_xlfn.IFNA(VLOOKUP(A165,'Date Calcs'!A:B,2,),"")</f>
        <v/>
      </c>
      <c r="C165" s="14">
        <f>VLOOKUP(A165,'Actual Dates'!A:AE,18,)</f>
        <v>0</v>
      </c>
      <c r="D165" s="15">
        <f t="shared" ca="1" si="15"/>
        <v>46115</v>
      </c>
      <c r="E165" s="15">
        <f t="shared" ca="1" si="16"/>
        <v>46115</v>
      </c>
      <c r="F165" s="14">
        <f ca="1">IFERROR(ROUND(IF(A165="","",IF(E165=0,D165-Date!$B$3,D165-E165)),0),"")</f>
        <v>0</v>
      </c>
      <c r="G165" s="14" t="str">
        <f>_xlfn.IFNA(VLOOKUP(A165,'RTR v2'!A:AW,48,FALSE)," ")</f>
        <v/>
      </c>
      <c r="I165" s="16" t="str">
        <f t="shared" si="17"/>
        <v>N</v>
      </c>
      <c r="J165" s="16" t="str">
        <f t="shared" si="19"/>
        <v xml:space="preserve">  </v>
      </c>
      <c r="L165" s="17"/>
      <c r="M165" t="str">
        <f t="shared" si="20"/>
        <v xml:space="preserve"> </v>
      </c>
      <c r="N165">
        <f t="shared" si="21"/>
        <v>0</v>
      </c>
      <c r="O165">
        <f>IF(P165&lt;1,0,IF(VLOOKUP($A165,'Actual Dates'!$A:$G,5,0)="Y",1,0))</f>
        <v>0</v>
      </c>
      <c r="P165">
        <f>IF(Q165&lt;1,0,IF(VLOOKUP($A165,'Actual Dates'!$A:$G,4,0)="Y",1,0))</f>
        <v>0</v>
      </c>
      <c r="Q165">
        <f>IF(R165&lt;1,0,IF(VLOOKUP($A165,'Actual Dates'!$A:$G,3,0)="Y",1,0))</f>
        <v>0</v>
      </c>
      <c r="R165">
        <f>IF(VLOOKUP($A165,'Actual Dates'!$A:$G,2,0)="Y",1,0)</f>
        <v>0</v>
      </c>
      <c r="S165" s="4">
        <f ca="1">_xlfn.IFNA(+VLOOKUP(A165,'Date Calcs'!A:AG,8,),TODAY())</f>
        <v>46115</v>
      </c>
      <c r="T165" s="4">
        <f ca="1">_xlfn.IFNA(VLOOKUP(A165,'Date Calcs'!A:AG,10,),TODAY())</f>
        <v>46115</v>
      </c>
      <c r="U165" s="4">
        <f ca="1">_xlfn.IFNA(+VLOOKUP(A165,'Date Calcs'!A:AG,12,),TODAY())</f>
        <v>46115</v>
      </c>
      <c r="V165" s="4">
        <f ca="1">_xlfn.IFNA(+VLOOKUP(A165,'Date Calcs'!A:AG,14,),TODAY())</f>
        <v>46115</v>
      </c>
      <c r="W165" s="4">
        <f ca="1">_xlfn.IFNA(+VLOOKUP(A165,'Date Calcs'!A:AG,16,),TODAY())</f>
        <v>46115</v>
      </c>
      <c r="X165" s="4">
        <f ca="1">_xlfn.IFNA(IF(C165=0,VLOOKUP(A165,'Date Calcs'!A:AG,8,),IF(C165=1,VLOOKUP(A165,'Date Calcs'!A:AG,10,),IF(C165=2,VLOOKUP(A165,'Date Calcs'!A:AG,12,),IF(C165=3,VLOOKUP(A165,'Date Calcs'!A:AG,14,),4)))),TODAY())</f>
        <v>46115</v>
      </c>
      <c r="Y165" s="4">
        <f t="shared" ca="1" si="18"/>
        <v>46115</v>
      </c>
      <c r="Z165" s="4">
        <f ca="1">_xlfn.IFNA(Y165+(VLOOKUP(A165,'Date Calcs'!A:W,22,0)*7),TODAY())</f>
        <v>46115</v>
      </c>
      <c r="AA165" s="4">
        <f>_xlfn.IFNA(VLOOKUP(A165,'RTR v2'!$A:$AW,46,0),"")</f>
        <v>0</v>
      </c>
    </row>
    <row r="166" spans="1:27" ht="23.25" hidden="1" x14ac:dyDescent="0.25">
      <c r="A166" s="12">
        <f>'Actual Dates'!A164</f>
        <v>0</v>
      </c>
      <c r="B166" s="13" t="str">
        <f>_xlfn.IFNA(VLOOKUP(A166,'Date Calcs'!A:B,2,),"")</f>
        <v/>
      </c>
      <c r="C166" s="14">
        <f>VLOOKUP(A166,'Actual Dates'!A:AE,18,)</f>
        <v>0</v>
      </c>
      <c r="D166" s="15">
        <f t="shared" ca="1" si="15"/>
        <v>46115</v>
      </c>
      <c r="E166" s="15">
        <f t="shared" ca="1" si="16"/>
        <v>46115</v>
      </c>
      <c r="F166" s="14">
        <f ca="1">IFERROR(ROUND(IF(A166="","",IF(E166=0,D166-Date!$B$3,D166-E166)),0),"")</f>
        <v>0</v>
      </c>
      <c r="G166" s="14" t="str">
        <f>_xlfn.IFNA(VLOOKUP(A166,'RTR v2'!A:AW,48,FALSE)," ")</f>
        <v/>
      </c>
      <c r="I166" s="16" t="str">
        <f t="shared" si="17"/>
        <v>N</v>
      </c>
      <c r="J166" s="16" t="str">
        <f t="shared" si="19"/>
        <v xml:space="preserve">  </v>
      </c>
      <c r="L166" s="17"/>
      <c r="M166" t="str">
        <f t="shared" si="20"/>
        <v xml:space="preserve"> </v>
      </c>
      <c r="N166">
        <f t="shared" si="21"/>
        <v>0</v>
      </c>
      <c r="O166">
        <f>IF(P166&lt;1,0,IF(VLOOKUP($A166,'Actual Dates'!$A:$G,5,0)="Y",1,0))</f>
        <v>0</v>
      </c>
      <c r="P166">
        <f>IF(Q166&lt;1,0,IF(VLOOKUP($A166,'Actual Dates'!$A:$G,4,0)="Y",1,0))</f>
        <v>0</v>
      </c>
      <c r="Q166">
        <f>IF(R166&lt;1,0,IF(VLOOKUP($A166,'Actual Dates'!$A:$G,3,0)="Y",1,0))</f>
        <v>0</v>
      </c>
      <c r="R166">
        <f>IF(VLOOKUP($A166,'Actual Dates'!$A:$G,2,0)="Y",1,0)</f>
        <v>0</v>
      </c>
      <c r="S166" s="4">
        <f ca="1">_xlfn.IFNA(+VLOOKUP(A166,'Date Calcs'!A:AG,8,),TODAY())</f>
        <v>46115</v>
      </c>
      <c r="T166" s="4">
        <f ca="1">_xlfn.IFNA(VLOOKUP(A166,'Date Calcs'!A:AG,10,),TODAY())</f>
        <v>46115</v>
      </c>
      <c r="U166" s="4">
        <f ca="1">_xlfn.IFNA(+VLOOKUP(A166,'Date Calcs'!A:AG,12,),TODAY())</f>
        <v>46115</v>
      </c>
      <c r="V166" s="4">
        <f ca="1">_xlfn.IFNA(+VLOOKUP(A166,'Date Calcs'!A:AG,14,),TODAY())</f>
        <v>46115</v>
      </c>
      <c r="W166" s="4">
        <f ca="1">_xlfn.IFNA(+VLOOKUP(A166,'Date Calcs'!A:AG,16,),TODAY())</f>
        <v>46115</v>
      </c>
      <c r="X166" s="4">
        <f ca="1">_xlfn.IFNA(IF(C166=0,VLOOKUP(A166,'Date Calcs'!A:AG,8,),IF(C166=1,VLOOKUP(A166,'Date Calcs'!A:AG,10,),IF(C166=2,VLOOKUP(A166,'Date Calcs'!A:AG,12,),IF(C166=3,VLOOKUP(A166,'Date Calcs'!A:AG,14,),4)))),TODAY())</f>
        <v>46115</v>
      </c>
      <c r="Y166" s="4">
        <f t="shared" ca="1" si="18"/>
        <v>46115</v>
      </c>
      <c r="Z166" s="4">
        <f ca="1">_xlfn.IFNA(Y166+(VLOOKUP(A166,'Date Calcs'!A:W,22,0)*7),TODAY())</f>
        <v>46115</v>
      </c>
      <c r="AA166" s="4">
        <f>_xlfn.IFNA(VLOOKUP(A166,'RTR v2'!$A:$AW,46,0),"")</f>
        <v>0</v>
      </c>
    </row>
    <row r="167" spans="1:27" ht="23.25" hidden="1" x14ac:dyDescent="0.25">
      <c r="A167" s="12">
        <f>'Actual Dates'!A165</f>
        <v>0</v>
      </c>
      <c r="B167" s="13" t="str">
        <f>_xlfn.IFNA(VLOOKUP(A167,'Date Calcs'!A:B,2,),"")</f>
        <v/>
      </c>
      <c r="C167" s="14">
        <f>VLOOKUP(A167,'Actual Dates'!A:AE,18,)</f>
        <v>0</v>
      </c>
      <c r="D167" s="15">
        <f t="shared" ca="1" si="15"/>
        <v>46115</v>
      </c>
      <c r="E167" s="15">
        <f t="shared" ca="1" si="16"/>
        <v>46115</v>
      </c>
      <c r="F167" s="14">
        <f ca="1">IFERROR(ROUND(IF(A167="","",IF(E167=0,D167-Date!$B$3,D167-E167)),0),"")</f>
        <v>0</v>
      </c>
      <c r="G167" s="14" t="str">
        <f>_xlfn.IFNA(VLOOKUP(A167,'RTR v2'!A:AW,48,FALSE)," ")</f>
        <v/>
      </c>
      <c r="I167" s="16" t="str">
        <f t="shared" si="17"/>
        <v>N</v>
      </c>
      <c r="J167" s="16" t="str">
        <f t="shared" si="19"/>
        <v xml:space="preserve">  </v>
      </c>
      <c r="L167" s="17"/>
      <c r="M167" t="str">
        <f t="shared" si="20"/>
        <v xml:space="preserve"> </v>
      </c>
      <c r="N167">
        <f t="shared" si="21"/>
        <v>0</v>
      </c>
      <c r="O167">
        <f>IF(P167&lt;1,0,IF(VLOOKUP($A167,'Actual Dates'!$A:$G,5,0)="Y",1,0))</f>
        <v>0</v>
      </c>
      <c r="P167">
        <f>IF(Q167&lt;1,0,IF(VLOOKUP($A167,'Actual Dates'!$A:$G,4,0)="Y",1,0))</f>
        <v>0</v>
      </c>
      <c r="Q167">
        <f>IF(R167&lt;1,0,IF(VLOOKUP($A167,'Actual Dates'!$A:$G,3,0)="Y",1,0))</f>
        <v>0</v>
      </c>
      <c r="R167">
        <f>IF(VLOOKUP($A167,'Actual Dates'!$A:$G,2,0)="Y",1,0)</f>
        <v>0</v>
      </c>
      <c r="S167" s="4">
        <f ca="1">_xlfn.IFNA(+VLOOKUP(A167,'Date Calcs'!A:AG,8,),TODAY())</f>
        <v>46115</v>
      </c>
      <c r="T167" s="4">
        <f ca="1">_xlfn.IFNA(VLOOKUP(A167,'Date Calcs'!A:AG,10,),TODAY())</f>
        <v>46115</v>
      </c>
      <c r="U167" s="4">
        <f ca="1">_xlfn.IFNA(+VLOOKUP(A167,'Date Calcs'!A:AG,12,),TODAY())</f>
        <v>46115</v>
      </c>
      <c r="V167" s="4">
        <f ca="1">_xlfn.IFNA(+VLOOKUP(A167,'Date Calcs'!A:AG,14,),TODAY())</f>
        <v>46115</v>
      </c>
      <c r="W167" s="4">
        <f ca="1">_xlfn.IFNA(+VLOOKUP(A167,'Date Calcs'!A:AG,16,),TODAY())</f>
        <v>46115</v>
      </c>
      <c r="X167" s="4">
        <f ca="1">_xlfn.IFNA(IF(C167=0,VLOOKUP(A167,'Date Calcs'!A:AG,8,),IF(C167=1,VLOOKUP(A167,'Date Calcs'!A:AG,10,),IF(C167=2,VLOOKUP(A167,'Date Calcs'!A:AG,12,),IF(C167=3,VLOOKUP(A167,'Date Calcs'!A:AG,14,),4)))),TODAY())</f>
        <v>46115</v>
      </c>
      <c r="Y167" s="4">
        <f t="shared" ca="1" si="18"/>
        <v>46115</v>
      </c>
      <c r="Z167" s="4">
        <f ca="1">_xlfn.IFNA(Y167+(VLOOKUP(A167,'Date Calcs'!A:W,22,0)*7),TODAY())</f>
        <v>46115</v>
      </c>
      <c r="AA167" s="4">
        <f>_xlfn.IFNA(VLOOKUP(A167,'RTR v2'!$A:$AW,46,0),"")</f>
        <v>0</v>
      </c>
    </row>
    <row r="168" spans="1:27" ht="23.25" hidden="1" x14ac:dyDescent="0.25">
      <c r="A168" s="12">
        <f>'Actual Dates'!A166</f>
        <v>0</v>
      </c>
      <c r="B168" s="13" t="str">
        <f>_xlfn.IFNA(VLOOKUP(A168,'Date Calcs'!A:B,2,),"")</f>
        <v/>
      </c>
      <c r="C168" s="14">
        <f>VLOOKUP(A168,'Actual Dates'!A:AE,18,)</f>
        <v>0</v>
      </c>
      <c r="D168" s="15">
        <f t="shared" ca="1" si="15"/>
        <v>46115</v>
      </c>
      <c r="E168" s="15">
        <f t="shared" ca="1" si="16"/>
        <v>46115</v>
      </c>
      <c r="F168" s="14">
        <f ca="1">IFERROR(ROUND(IF(A168="","",IF(E168=0,D168-Date!$B$3,D168-E168)),0),"")</f>
        <v>0</v>
      </c>
      <c r="G168" s="14" t="str">
        <f>_xlfn.IFNA(VLOOKUP(A168,'RTR v2'!A:AW,48,FALSE)," ")</f>
        <v/>
      </c>
      <c r="I168" s="16" t="str">
        <f t="shared" si="17"/>
        <v>N</v>
      </c>
      <c r="J168" s="16" t="str">
        <f t="shared" si="19"/>
        <v xml:space="preserve">  </v>
      </c>
      <c r="L168" s="17"/>
      <c r="M168" t="str">
        <f t="shared" si="20"/>
        <v xml:space="preserve"> </v>
      </c>
      <c r="N168">
        <f t="shared" si="21"/>
        <v>0</v>
      </c>
      <c r="O168">
        <f>IF(P168&lt;1,0,IF(VLOOKUP($A168,'Actual Dates'!$A:$G,5,0)="Y",1,0))</f>
        <v>0</v>
      </c>
      <c r="P168">
        <f>IF(Q168&lt;1,0,IF(VLOOKUP($A168,'Actual Dates'!$A:$G,4,0)="Y",1,0))</f>
        <v>0</v>
      </c>
      <c r="Q168">
        <f>IF(R168&lt;1,0,IF(VLOOKUP($A168,'Actual Dates'!$A:$G,3,0)="Y",1,0))</f>
        <v>0</v>
      </c>
      <c r="R168">
        <f>IF(VLOOKUP($A168,'Actual Dates'!$A:$G,2,0)="Y",1,0)</f>
        <v>0</v>
      </c>
      <c r="S168" s="4">
        <f ca="1">_xlfn.IFNA(+VLOOKUP(A168,'Date Calcs'!A:AG,8,),TODAY())</f>
        <v>46115</v>
      </c>
      <c r="T168" s="4">
        <f ca="1">_xlfn.IFNA(VLOOKUP(A168,'Date Calcs'!A:AG,10,),TODAY())</f>
        <v>46115</v>
      </c>
      <c r="U168" s="4">
        <f ca="1">_xlfn.IFNA(+VLOOKUP(A168,'Date Calcs'!A:AG,12,),TODAY())</f>
        <v>46115</v>
      </c>
      <c r="V168" s="4">
        <f ca="1">_xlfn.IFNA(+VLOOKUP(A168,'Date Calcs'!A:AG,14,),TODAY())</f>
        <v>46115</v>
      </c>
      <c r="W168" s="4">
        <f ca="1">_xlfn.IFNA(+VLOOKUP(A168,'Date Calcs'!A:AG,16,),TODAY())</f>
        <v>46115</v>
      </c>
      <c r="X168" s="4">
        <f ca="1">_xlfn.IFNA(IF(C168=0,VLOOKUP(A168,'Date Calcs'!A:AG,8,),IF(C168=1,VLOOKUP(A168,'Date Calcs'!A:AG,10,),IF(C168=2,VLOOKUP(A168,'Date Calcs'!A:AG,12,),IF(C168=3,VLOOKUP(A168,'Date Calcs'!A:AG,14,),4)))),TODAY())</f>
        <v>46115</v>
      </c>
      <c r="Y168" s="4">
        <f t="shared" ca="1" si="18"/>
        <v>46115</v>
      </c>
      <c r="Z168" s="4">
        <f ca="1">_xlfn.IFNA(Y168+(VLOOKUP(A168,'Date Calcs'!A:W,22,0)*7),TODAY())</f>
        <v>46115</v>
      </c>
      <c r="AA168" s="4">
        <f>_xlfn.IFNA(VLOOKUP(A168,'RTR v2'!$A:$AW,46,0),"")</f>
        <v>0</v>
      </c>
    </row>
    <row r="169" spans="1:27" ht="23.25" hidden="1" x14ac:dyDescent="0.25">
      <c r="A169" s="12">
        <f>'Actual Dates'!A167</f>
        <v>0</v>
      </c>
      <c r="B169" s="13" t="str">
        <f>_xlfn.IFNA(VLOOKUP(A169,'Date Calcs'!A:B,2,),"")</f>
        <v/>
      </c>
      <c r="C169" s="14">
        <f>VLOOKUP(A169,'Actual Dates'!A:AE,18,)</f>
        <v>0</v>
      </c>
      <c r="D169" s="15">
        <f t="shared" ca="1" si="15"/>
        <v>46115</v>
      </c>
      <c r="E169" s="15">
        <f t="shared" ca="1" si="16"/>
        <v>46115</v>
      </c>
      <c r="F169" s="14">
        <f ca="1">IFERROR(ROUND(IF(A169="","",IF(E169=0,D169-Date!$B$3,D169-E169)),0),"")</f>
        <v>0</v>
      </c>
      <c r="G169" s="14" t="str">
        <f>_xlfn.IFNA(VLOOKUP(A169,'RTR v2'!A:AW,48,FALSE)," ")</f>
        <v/>
      </c>
      <c r="I169" s="16" t="str">
        <f t="shared" si="17"/>
        <v>N</v>
      </c>
      <c r="J169" s="16" t="str">
        <f t="shared" si="19"/>
        <v xml:space="preserve">  </v>
      </c>
      <c r="L169" s="17"/>
      <c r="M169" t="str">
        <f t="shared" si="20"/>
        <v xml:space="preserve"> </v>
      </c>
      <c r="N169">
        <f t="shared" si="21"/>
        <v>0</v>
      </c>
      <c r="O169">
        <f>IF(P169&lt;1,0,IF(VLOOKUP($A169,'Actual Dates'!$A:$G,5,0)="Y",1,0))</f>
        <v>0</v>
      </c>
      <c r="P169">
        <f>IF(Q169&lt;1,0,IF(VLOOKUP($A169,'Actual Dates'!$A:$G,4,0)="Y",1,0))</f>
        <v>0</v>
      </c>
      <c r="Q169">
        <f>IF(R169&lt;1,0,IF(VLOOKUP($A169,'Actual Dates'!$A:$G,3,0)="Y",1,0))</f>
        <v>0</v>
      </c>
      <c r="R169">
        <f>IF(VLOOKUP($A169,'Actual Dates'!$A:$G,2,0)="Y",1,0)</f>
        <v>0</v>
      </c>
      <c r="S169" s="4">
        <f ca="1">_xlfn.IFNA(+VLOOKUP(A169,'Date Calcs'!A:AG,8,),TODAY())</f>
        <v>46115</v>
      </c>
      <c r="T169" s="4">
        <f ca="1">_xlfn.IFNA(VLOOKUP(A169,'Date Calcs'!A:AG,10,),TODAY())</f>
        <v>46115</v>
      </c>
      <c r="U169" s="4">
        <f ca="1">_xlfn.IFNA(+VLOOKUP(A169,'Date Calcs'!A:AG,12,),TODAY())</f>
        <v>46115</v>
      </c>
      <c r="V169" s="4">
        <f ca="1">_xlfn.IFNA(+VLOOKUP(A169,'Date Calcs'!A:AG,14,),TODAY())</f>
        <v>46115</v>
      </c>
      <c r="W169" s="4">
        <f ca="1">_xlfn.IFNA(+VLOOKUP(A169,'Date Calcs'!A:AG,16,),TODAY())</f>
        <v>46115</v>
      </c>
      <c r="X169" s="4">
        <f ca="1">_xlfn.IFNA(IF(C169=0,VLOOKUP(A169,'Date Calcs'!A:AG,8,),IF(C169=1,VLOOKUP(A169,'Date Calcs'!A:AG,10,),IF(C169=2,VLOOKUP(A169,'Date Calcs'!A:AG,12,),IF(C169=3,VLOOKUP(A169,'Date Calcs'!A:AG,14,),4)))),TODAY())</f>
        <v>46115</v>
      </c>
      <c r="Y169" s="4">
        <f t="shared" ca="1" si="18"/>
        <v>46115</v>
      </c>
      <c r="Z169" s="4">
        <f ca="1">_xlfn.IFNA(Y169+(VLOOKUP(A169,'Date Calcs'!A:W,22,0)*7),TODAY())</f>
        <v>46115</v>
      </c>
      <c r="AA169" s="4">
        <f>_xlfn.IFNA(VLOOKUP(A169,'RTR v2'!$A:$AW,46,0),"")</f>
        <v>0</v>
      </c>
    </row>
    <row r="170" spans="1:27" ht="23.25" hidden="1" x14ac:dyDescent="0.25">
      <c r="A170" s="12">
        <f>'Actual Dates'!A168</f>
        <v>0</v>
      </c>
      <c r="B170" s="13" t="str">
        <f>_xlfn.IFNA(VLOOKUP(A170,'Date Calcs'!A:B,2,),"")</f>
        <v/>
      </c>
      <c r="C170" s="14">
        <f>VLOOKUP(A170,'Actual Dates'!A:AE,18,)</f>
        <v>0</v>
      </c>
      <c r="D170" s="15">
        <f t="shared" ca="1" si="15"/>
        <v>46115</v>
      </c>
      <c r="E170" s="15">
        <f t="shared" ca="1" si="16"/>
        <v>46115</v>
      </c>
      <c r="F170" s="14">
        <f ca="1">IFERROR(ROUND(IF(A170="","",IF(E170=0,D170-Date!$B$3,D170-E170)),0),"")</f>
        <v>0</v>
      </c>
      <c r="G170" s="14" t="str">
        <f>_xlfn.IFNA(VLOOKUP(A170,'RTR v2'!A:AW,48,FALSE)," ")</f>
        <v/>
      </c>
      <c r="I170" s="16" t="str">
        <f t="shared" si="17"/>
        <v>N</v>
      </c>
      <c r="J170" s="16" t="str">
        <f t="shared" si="19"/>
        <v xml:space="preserve">  </v>
      </c>
      <c r="L170" s="17"/>
      <c r="M170" t="str">
        <f t="shared" si="20"/>
        <v xml:space="preserve"> </v>
      </c>
      <c r="N170">
        <f t="shared" si="21"/>
        <v>0</v>
      </c>
      <c r="O170">
        <f>IF(P170&lt;1,0,IF(VLOOKUP($A170,'Actual Dates'!$A:$G,5,0)="Y",1,0))</f>
        <v>0</v>
      </c>
      <c r="P170">
        <f>IF(Q170&lt;1,0,IF(VLOOKUP($A170,'Actual Dates'!$A:$G,4,0)="Y",1,0))</f>
        <v>0</v>
      </c>
      <c r="Q170">
        <f>IF(R170&lt;1,0,IF(VLOOKUP($A170,'Actual Dates'!$A:$G,3,0)="Y",1,0))</f>
        <v>0</v>
      </c>
      <c r="R170">
        <f>IF(VLOOKUP($A170,'Actual Dates'!$A:$G,2,0)="Y",1,0)</f>
        <v>0</v>
      </c>
      <c r="S170" s="4">
        <f ca="1">_xlfn.IFNA(+VLOOKUP(A170,'Date Calcs'!A:AG,8,),TODAY())</f>
        <v>46115</v>
      </c>
      <c r="T170" s="4">
        <f ca="1">_xlfn.IFNA(VLOOKUP(A170,'Date Calcs'!A:AG,10,),TODAY())</f>
        <v>46115</v>
      </c>
      <c r="U170" s="4">
        <f ca="1">_xlfn.IFNA(+VLOOKUP(A170,'Date Calcs'!A:AG,12,),TODAY())</f>
        <v>46115</v>
      </c>
      <c r="V170" s="4">
        <f ca="1">_xlfn.IFNA(+VLOOKUP(A170,'Date Calcs'!A:AG,14,),TODAY())</f>
        <v>46115</v>
      </c>
      <c r="W170" s="4">
        <f ca="1">_xlfn.IFNA(+VLOOKUP(A170,'Date Calcs'!A:AG,16,),TODAY())</f>
        <v>46115</v>
      </c>
      <c r="X170" s="4">
        <f ca="1">_xlfn.IFNA(IF(C170=0,VLOOKUP(A170,'Date Calcs'!A:AG,8,),IF(C170=1,VLOOKUP(A170,'Date Calcs'!A:AG,10,),IF(C170=2,VLOOKUP(A170,'Date Calcs'!A:AG,12,),IF(C170=3,VLOOKUP(A170,'Date Calcs'!A:AG,14,),4)))),TODAY())</f>
        <v>46115</v>
      </c>
      <c r="Y170" s="4">
        <f t="shared" ca="1" si="18"/>
        <v>46115</v>
      </c>
      <c r="Z170" s="4">
        <f ca="1">_xlfn.IFNA(Y170+(VLOOKUP(A170,'Date Calcs'!A:W,22,0)*7),TODAY())</f>
        <v>46115</v>
      </c>
      <c r="AA170" s="4">
        <f>_xlfn.IFNA(VLOOKUP(A170,'RTR v2'!$A:$AW,46,0),"")</f>
        <v>0</v>
      </c>
    </row>
    <row r="171" spans="1:27" ht="23.25" hidden="1" x14ac:dyDescent="0.25">
      <c r="A171" s="12">
        <f>'Actual Dates'!A169</f>
        <v>0</v>
      </c>
      <c r="B171" s="13" t="str">
        <f>_xlfn.IFNA(VLOOKUP(A171,'Date Calcs'!A:B,2,),"")</f>
        <v/>
      </c>
      <c r="C171" s="14">
        <f>VLOOKUP(A171,'Actual Dates'!A:AE,18,)</f>
        <v>0</v>
      </c>
      <c r="D171" s="15">
        <f t="shared" ca="1" si="15"/>
        <v>46115</v>
      </c>
      <c r="E171" s="15">
        <f t="shared" ca="1" si="16"/>
        <v>46115</v>
      </c>
      <c r="F171" s="14">
        <f ca="1">IFERROR(ROUND(IF(A171="","",IF(E171=0,D171-Date!$B$3,D171-E171)),0),"")</f>
        <v>0</v>
      </c>
      <c r="G171" s="14" t="str">
        <f>_xlfn.IFNA(VLOOKUP(A171,'RTR v2'!A:AW,48,FALSE)," ")</f>
        <v/>
      </c>
      <c r="I171" s="16" t="str">
        <f t="shared" si="17"/>
        <v>N</v>
      </c>
      <c r="J171" s="16" t="str">
        <f t="shared" si="19"/>
        <v xml:space="preserve">  </v>
      </c>
      <c r="L171" s="17"/>
      <c r="M171" t="str">
        <f t="shared" si="20"/>
        <v xml:space="preserve"> </v>
      </c>
      <c r="N171">
        <f t="shared" si="21"/>
        <v>0</v>
      </c>
      <c r="O171">
        <f>IF(P171&lt;1,0,IF(VLOOKUP($A171,'Actual Dates'!$A:$G,5,0)="Y",1,0))</f>
        <v>0</v>
      </c>
      <c r="P171">
        <f>IF(Q171&lt;1,0,IF(VLOOKUP($A171,'Actual Dates'!$A:$G,4,0)="Y",1,0))</f>
        <v>0</v>
      </c>
      <c r="Q171">
        <f>IF(R171&lt;1,0,IF(VLOOKUP($A171,'Actual Dates'!$A:$G,3,0)="Y",1,0))</f>
        <v>0</v>
      </c>
      <c r="R171">
        <f>IF(VLOOKUP($A171,'Actual Dates'!$A:$G,2,0)="Y",1,0)</f>
        <v>0</v>
      </c>
      <c r="S171" s="4">
        <f ca="1">_xlfn.IFNA(+VLOOKUP(A171,'Date Calcs'!A:AG,8,),TODAY())</f>
        <v>46115</v>
      </c>
      <c r="T171" s="4">
        <f ca="1">_xlfn.IFNA(VLOOKUP(A171,'Date Calcs'!A:AG,10,),TODAY())</f>
        <v>46115</v>
      </c>
      <c r="U171" s="4">
        <f ca="1">_xlfn.IFNA(+VLOOKUP(A171,'Date Calcs'!A:AG,12,),TODAY())</f>
        <v>46115</v>
      </c>
      <c r="V171" s="4">
        <f ca="1">_xlfn.IFNA(+VLOOKUP(A171,'Date Calcs'!A:AG,14,),TODAY())</f>
        <v>46115</v>
      </c>
      <c r="W171" s="4">
        <f ca="1">_xlfn.IFNA(+VLOOKUP(A171,'Date Calcs'!A:AG,16,),TODAY())</f>
        <v>46115</v>
      </c>
      <c r="X171" s="4">
        <f ca="1">_xlfn.IFNA(IF(C171=0,VLOOKUP(A171,'Date Calcs'!A:AG,8,),IF(C171=1,VLOOKUP(A171,'Date Calcs'!A:AG,10,),IF(C171=2,VLOOKUP(A171,'Date Calcs'!A:AG,12,),IF(C171=3,VLOOKUP(A171,'Date Calcs'!A:AG,14,),4)))),TODAY())</f>
        <v>46115</v>
      </c>
      <c r="Y171" s="4">
        <f t="shared" ca="1" si="18"/>
        <v>46115</v>
      </c>
      <c r="Z171" s="4">
        <f ca="1">_xlfn.IFNA(Y171+(VLOOKUP(A171,'Date Calcs'!A:W,22,0)*7),TODAY())</f>
        <v>46115</v>
      </c>
      <c r="AA171" s="4">
        <f>_xlfn.IFNA(VLOOKUP(A171,'RTR v2'!$A:$AW,46,0),"")</f>
        <v>0</v>
      </c>
    </row>
    <row r="172" spans="1:27" ht="23.25" hidden="1" x14ac:dyDescent="0.25">
      <c r="A172" s="12">
        <f>'Actual Dates'!A170</f>
        <v>0</v>
      </c>
      <c r="B172" s="13" t="str">
        <f>_xlfn.IFNA(VLOOKUP(A172,'Date Calcs'!A:B,2,),"")</f>
        <v/>
      </c>
      <c r="C172" s="14">
        <f>VLOOKUP(A172,'Actual Dates'!A:AE,18,)</f>
        <v>0</v>
      </c>
      <c r="D172" s="15">
        <f t="shared" ca="1" si="15"/>
        <v>46115</v>
      </c>
      <c r="E172" s="15">
        <f t="shared" ca="1" si="16"/>
        <v>46115</v>
      </c>
      <c r="F172" s="14">
        <f ca="1">IFERROR(ROUND(IF(A172="","",IF(E172=0,D172-Date!$B$3,D172-E172)),0),"")</f>
        <v>0</v>
      </c>
      <c r="G172" s="14" t="str">
        <f>_xlfn.IFNA(VLOOKUP(A172,'RTR v2'!A:AW,48,FALSE)," ")</f>
        <v/>
      </c>
      <c r="I172" s="16" t="str">
        <f t="shared" si="17"/>
        <v>N</v>
      </c>
      <c r="J172" s="16" t="str">
        <f t="shared" si="19"/>
        <v xml:space="preserve">  </v>
      </c>
      <c r="L172" s="17"/>
      <c r="M172" t="str">
        <f t="shared" si="20"/>
        <v xml:space="preserve"> </v>
      </c>
      <c r="N172">
        <f t="shared" si="21"/>
        <v>0</v>
      </c>
      <c r="O172">
        <f>IF(P172&lt;1,0,IF(VLOOKUP($A172,'Actual Dates'!$A:$G,5,0)="Y",1,0))</f>
        <v>0</v>
      </c>
      <c r="P172">
        <f>IF(Q172&lt;1,0,IF(VLOOKUP($A172,'Actual Dates'!$A:$G,4,0)="Y",1,0))</f>
        <v>0</v>
      </c>
      <c r="Q172">
        <f>IF(R172&lt;1,0,IF(VLOOKUP($A172,'Actual Dates'!$A:$G,3,0)="Y",1,0))</f>
        <v>0</v>
      </c>
      <c r="R172">
        <f>IF(VLOOKUP($A172,'Actual Dates'!$A:$G,2,0)="Y",1,0)</f>
        <v>0</v>
      </c>
      <c r="S172" s="4">
        <f ca="1">_xlfn.IFNA(+VLOOKUP(A172,'Date Calcs'!A:AG,8,),TODAY())</f>
        <v>46115</v>
      </c>
      <c r="T172" s="4">
        <f ca="1">_xlfn.IFNA(VLOOKUP(A172,'Date Calcs'!A:AG,10,),TODAY())</f>
        <v>46115</v>
      </c>
      <c r="U172" s="4">
        <f ca="1">_xlfn.IFNA(+VLOOKUP(A172,'Date Calcs'!A:AG,12,),TODAY())</f>
        <v>46115</v>
      </c>
      <c r="V172" s="4">
        <f ca="1">_xlfn.IFNA(+VLOOKUP(A172,'Date Calcs'!A:AG,14,),TODAY())</f>
        <v>46115</v>
      </c>
      <c r="W172" s="4">
        <f ca="1">_xlfn.IFNA(+VLOOKUP(A172,'Date Calcs'!A:AG,16,),TODAY())</f>
        <v>46115</v>
      </c>
      <c r="X172" s="4">
        <f ca="1">_xlfn.IFNA(IF(C172=0,VLOOKUP(A172,'Date Calcs'!A:AG,8,),IF(C172=1,VLOOKUP(A172,'Date Calcs'!A:AG,10,),IF(C172=2,VLOOKUP(A172,'Date Calcs'!A:AG,12,),IF(C172=3,VLOOKUP(A172,'Date Calcs'!A:AG,14,),4)))),TODAY())</f>
        <v>46115</v>
      </c>
      <c r="Y172" s="4">
        <f t="shared" ca="1" si="18"/>
        <v>46115</v>
      </c>
      <c r="Z172" s="4">
        <f ca="1">_xlfn.IFNA(Y172+(VLOOKUP(A172,'Date Calcs'!A:W,22,0)*7),TODAY())</f>
        <v>46115</v>
      </c>
      <c r="AA172" s="4">
        <f>_xlfn.IFNA(VLOOKUP(A172,'RTR v2'!$A:$AW,46,0),"")</f>
        <v>0</v>
      </c>
    </row>
    <row r="173" spans="1:27" ht="23.25" hidden="1" x14ac:dyDescent="0.25">
      <c r="A173" s="12">
        <f>'Actual Dates'!A171</f>
        <v>0</v>
      </c>
      <c r="B173" s="13" t="str">
        <f>_xlfn.IFNA(VLOOKUP(A173,'Date Calcs'!A:B,2,),"")</f>
        <v/>
      </c>
      <c r="C173" s="14">
        <f>VLOOKUP(A173,'Actual Dates'!A:AE,18,)</f>
        <v>0</v>
      </c>
      <c r="D173" s="15">
        <f t="shared" ca="1" si="15"/>
        <v>46115</v>
      </c>
      <c r="E173" s="15">
        <f t="shared" ca="1" si="16"/>
        <v>46115</v>
      </c>
      <c r="F173" s="14">
        <f ca="1">IFERROR(ROUND(IF(A173="","",IF(E173=0,D173-Date!$B$3,D173-E173)),0),"")</f>
        <v>0</v>
      </c>
      <c r="G173" s="14" t="str">
        <f>_xlfn.IFNA(VLOOKUP(A173,'RTR v2'!A:AW,48,FALSE)," ")</f>
        <v/>
      </c>
      <c r="I173" s="16" t="str">
        <f t="shared" si="17"/>
        <v>N</v>
      </c>
      <c r="J173" s="16" t="str">
        <f t="shared" si="19"/>
        <v xml:space="preserve">  </v>
      </c>
      <c r="L173" s="17"/>
      <c r="M173" t="str">
        <f t="shared" si="20"/>
        <v xml:space="preserve"> </v>
      </c>
      <c r="N173">
        <f t="shared" si="21"/>
        <v>0</v>
      </c>
      <c r="O173">
        <f>IF(P173&lt;1,0,IF(VLOOKUP($A173,'Actual Dates'!$A:$G,5,0)="Y",1,0))</f>
        <v>0</v>
      </c>
      <c r="P173">
        <f>IF(Q173&lt;1,0,IF(VLOOKUP($A173,'Actual Dates'!$A:$G,4,0)="Y",1,0))</f>
        <v>0</v>
      </c>
      <c r="Q173">
        <f>IF(R173&lt;1,0,IF(VLOOKUP($A173,'Actual Dates'!$A:$G,3,0)="Y",1,0))</f>
        <v>0</v>
      </c>
      <c r="R173">
        <f>IF(VLOOKUP($A173,'Actual Dates'!$A:$G,2,0)="Y",1,0)</f>
        <v>0</v>
      </c>
      <c r="S173" s="4">
        <f ca="1">_xlfn.IFNA(+VLOOKUP(A173,'Date Calcs'!A:AG,8,),TODAY())</f>
        <v>46115</v>
      </c>
      <c r="T173" s="4">
        <f ca="1">_xlfn.IFNA(VLOOKUP(A173,'Date Calcs'!A:AG,10,),TODAY())</f>
        <v>46115</v>
      </c>
      <c r="U173" s="4">
        <f ca="1">_xlfn.IFNA(+VLOOKUP(A173,'Date Calcs'!A:AG,12,),TODAY())</f>
        <v>46115</v>
      </c>
      <c r="V173" s="4">
        <f ca="1">_xlfn.IFNA(+VLOOKUP(A173,'Date Calcs'!A:AG,14,),TODAY())</f>
        <v>46115</v>
      </c>
      <c r="W173" s="4">
        <f ca="1">_xlfn.IFNA(+VLOOKUP(A173,'Date Calcs'!A:AG,16,),TODAY())</f>
        <v>46115</v>
      </c>
      <c r="X173" s="4">
        <f ca="1">_xlfn.IFNA(IF(C173=0,VLOOKUP(A173,'Date Calcs'!A:AG,8,),IF(C173=1,VLOOKUP(A173,'Date Calcs'!A:AG,10,),IF(C173=2,VLOOKUP(A173,'Date Calcs'!A:AG,12,),IF(C173=3,VLOOKUP(A173,'Date Calcs'!A:AG,14,),4)))),TODAY())</f>
        <v>46115</v>
      </c>
      <c r="Y173" s="4">
        <f t="shared" ca="1" si="18"/>
        <v>46115</v>
      </c>
      <c r="Z173" s="4">
        <f ca="1">_xlfn.IFNA(Y173+(VLOOKUP(A173,'Date Calcs'!A:W,22,0)*7),TODAY())</f>
        <v>46115</v>
      </c>
      <c r="AA173" s="4">
        <f>_xlfn.IFNA(VLOOKUP(A173,'RTR v2'!$A:$AW,46,0),"")</f>
        <v>0</v>
      </c>
    </row>
    <row r="174" spans="1:27" ht="23.25" hidden="1" x14ac:dyDescent="0.25">
      <c r="A174" s="12">
        <f>'Actual Dates'!A172</f>
        <v>0</v>
      </c>
      <c r="B174" s="13" t="str">
        <f>_xlfn.IFNA(VLOOKUP(A174,'Date Calcs'!A:B,2,),"")</f>
        <v/>
      </c>
      <c r="C174" s="14">
        <f>VLOOKUP(A174,'Actual Dates'!A:AE,18,)</f>
        <v>0</v>
      </c>
      <c r="D174" s="15">
        <f t="shared" ca="1" si="15"/>
        <v>46115</v>
      </c>
      <c r="E174" s="15">
        <f t="shared" ca="1" si="16"/>
        <v>46115</v>
      </c>
      <c r="F174" s="14">
        <f ca="1">IFERROR(ROUND(IF(A174="","",IF(E174=0,D174-Date!$B$3,D174-E174)),0),"")</f>
        <v>0</v>
      </c>
      <c r="G174" s="14" t="str">
        <f>_xlfn.IFNA(VLOOKUP(A174,'RTR v2'!A:AW,48,FALSE)," ")</f>
        <v/>
      </c>
      <c r="I174" s="16" t="str">
        <f t="shared" si="17"/>
        <v>N</v>
      </c>
      <c r="J174" s="16" t="str">
        <f t="shared" si="19"/>
        <v xml:space="preserve">  </v>
      </c>
      <c r="L174" s="17"/>
      <c r="M174" t="str">
        <f t="shared" si="20"/>
        <v xml:space="preserve"> </v>
      </c>
      <c r="N174">
        <f t="shared" si="21"/>
        <v>0</v>
      </c>
      <c r="O174">
        <f>IF(P174&lt;1,0,IF(VLOOKUP($A174,'Actual Dates'!$A:$G,5,0)="Y",1,0))</f>
        <v>0</v>
      </c>
      <c r="P174">
        <f>IF(Q174&lt;1,0,IF(VLOOKUP($A174,'Actual Dates'!$A:$G,4,0)="Y",1,0))</f>
        <v>0</v>
      </c>
      <c r="Q174">
        <f>IF(R174&lt;1,0,IF(VLOOKUP($A174,'Actual Dates'!$A:$G,3,0)="Y",1,0))</f>
        <v>0</v>
      </c>
      <c r="R174">
        <f>IF(VLOOKUP($A174,'Actual Dates'!$A:$G,2,0)="Y",1,0)</f>
        <v>0</v>
      </c>
      <c r="S174" s="4">
        <f ca="1">_xlfn.IFNA(+VLOOKUP(A174,'Date Calcs'!A:AG,8,),TODAY())</f>
        <v>46115</v>
      </c>
      <c r="T174" s="4">
        <f ca="1">_xlfn.IFNA(VLOOKUP(A174,'Date Calcs'!A:AG,10,),TODAY())</f>
        <v>46115</v>
      </c>
      <c r="U174" s="4">
        <f ca="1">_xlfn.IFNA(+VLOOKUP(A174,'Date Calcs'!A:AG,12,),TODAY())</f>
        <v>46115</v>
      </c>
      <c r="V174" s="4">
        <f ca="1">_xlfn.IFNA(+VLOOKUP(A174,'Date Calcs'!A:AG,14,),TODAY())</f>
        <v>46115</v>
      </c>
      <c r="W174" s="4">
        <f ca="1">_xlfn.IFNA(+VLOOKUP(A174,'Date Calcs'!A:AG,16,),TODAY())</f>
        <v>46115</v>
      </c>
      <c r="X174" s="4">
        <f ca="1">_xlfn.IFNA(IF(C174=0,VLOOKUP(A174,'Date Calcs'!A:AG,8,),IF(C174=1,VLOOKUP(A174,'Date Calcs'!A:AG,10,),IF(C174=2,VLOOKUP(A174,'Date Calcs'!A:AG,12,),IF(C174=3,VLOOKUP(A174,'Date Calcs'!A:AG,14,),4)))),TODAY())</f>
        <v>46115</v>
      </c>
      <c r="Y174" s="4">
        <f t="shared" ca="1" si="18"/>
        <v>46115</v>
      </c>
      <c r="Z174" s="4">
        <f ca="1">_xlfn.IFNA(Y174+(VLOOKUP(A174,'Date Calcs'!A:W,22,0)*7),TODAY())</f>
        <v>46115</v>
      </c>
      <c r="AA174" s="4">
        <f>_xlfn.IFNA(VLOOKUP(A174,'RTR v2'!$A:$AW,46,0),"")</f>
        <v>0</v>
      </c>
    </row>
    <row r="175" spans="1:27" ht="23.25" hidden="1" x14ac:dyDescent="0.25">
      <c r="A175" s="12">
        <f>'Actual Dates'!A173</f>
        <v>0</v>
      </c>
      <c r="B175" s="13" t="str">
        <f>_xlfn.IFNA(VLOOKUP(A175,'Date Calcs'!A:B,2,),"")</f>
        <v/>
      </c>
      <c r="C175" s="14">
        <f>VLOOKUP(A175,'Actual Dates'!A:AE,18,)</f>
        <v>0</v>
      </c>
      <c r="D175" s="15">
        <f t="shared" ca="1" si="15"/>
        <v>46115</v>
      </c>
      <c r="E175" s="15">
        <f t="shared" ca="1" si="16"/>
        <v>46115</v>
      </c>
      <c r="F175" s="14">
        <f ca="1">IFERROR(ROUND(IF(A175="","",IF(E175=0,D175-Date!$B$3,D175-E175)),0),"")</f>
        <v>0</v>
      </c>
      <c r="G175" s="14" t="str">
        <f>_xlfn.IFNA(VLOOKUP(A175,'RTR v2'!A:AW,48,FALSE)," ")</f>
        <v/>
      </c>
      <c r="I175" s="16" t="str">
        <f t="shared" si="17"/>
        <v>N</v>
      </c>
      <c r="J175" s="16" t="str">
        <f t="shared" si="19"/>
        <v xml:space="preserve">  </v>
      </c>
      <c r="L175" s="17"/>
      <c r="M175" t="str">
        <f t="shared" si="20"/>
        <v xml:space="preserve"> </v>
      </c>
      <c r="N175">
        <f t="shared" si="21"/>
        <v>0</v>
      </c>
      <c r="O175">
        <f>IF(P175&lt;1,0,IF(VLOOKUP($A175,'Actual Dates'!$A:$G,5,0)="Y",1,0))</f>
        <v>0</v>
      </c>
      <c r="P175">
        <f>IF(Q175&lt;1,0,IF(VLOOKUP($A175,'Actual Dates'!$A:$G,4,0)="Y",1,0))</f>
        <v>0</v>
      </c>
      <c r="Q175">
        <f>IF(R175&lt;1,0,IF(VLOOKUP($A175,'Actual Dates'!$A:$G,3,0)="Y",1,0))</f>
        <v>0</v>
      </c>
      <c r="R175">
        <f>IF(VLOOKUP($A175,'Actual Dates'!$A:$G,2,0)="Y",1,0)</f>
        <v>0</v>
      </c>
      <c r="S175" s="4">
        <f ca="1">_xlfn.IFNA(+VLOOKUP(A175,'Date Calcs'!A:AG,8,),TODAY())</f>
        <v>46115</v>
      </c>
      <c r="T175" s="4">
        <f ca="1">_xlfn.IFNA(VLOOKUP(A175,'Date Calcs'!A:AG,10,),TODAY())</f>
        <v>46115</v>
      </c>
      <c r="U175" s="4">
        <f ca="1">_xlfn.IFNA(+VLOOKUP(A175,'Date Calcs'!A:AG,12,),TODAY())</f>
        <v>46115</v>
      </c>
      <c r="V175" s="4">
        <f ca="1">_xlfn.IFNA(+VLOOKUP(A175,'Date Calcs'!A:AG,14,),TODAY())</f>
        <v>46115</v>
      </c>
      <c r="W175" s="4">
        <f ca="1">_xlfn.IFNA(+VLOOKUP(A175,'Date Calcs'!A:AG,16,),TODAY())</f>
        <v>46115</v>
      </c>
      <c r="X175" s="4">
        <f ca="1">_xlfn.IFNA(IF(C175=0,VLOOKUP(A175,'Date Calcs'!A:AG,8,),IF(C175=1,VLOOKUP(A175,'Date Calcs'!A:AG,10,),IF(C175=2,VLOOKUP(A175,'Date Calcs'!A:AG,12,),IF(C175=3,VLOOKUP(A175,'Date Calcs'!A:AG,14,),4)))),TODAY())</f>
        <v>46115</v>
      </c>
      <c r="Y175" s="4">
        <f t="shared" ca="1" si="18"/>
        <v>46115</v>
      </c>
      <c r="Z175" s="4">
        <f ca="1">_xlfn.IFNA(Y175+(VLOOKUP(A175,'Date Calcs'!A:W,22,0)*7),TODAY())</f>
        <v>46115</v>
      </c>
      <c r="AA175" s="4">
        <f>_xlfn.IFNA(VLOOKUP(A175,'RTR v2'!$A:$AW,46,0),"")</f>
        <v>0</v>
      </c>
    </row>
    <row r="176" spans="1:27" ht="23.25" hidden="1" x14ac:dyDescent="0.25">
      <c r="A176" s="12">
        <f>'Actual Dates'!A174</f>
        <v>0</v>
      </c>
      <c r="B176" s="13" t="str">
        <f>_xlfn.IFNA(VLOOKUP(A176,'Date Calcs'!A:B,2,),"")</f>
        <v/>
      </c>
      <c r="C176" s="14">
        <f>VLOOKUP(A176,'Actual Dates'!A:AE,18,)</f>
        <v>0</v>
      </c>
      <c r="D176" s="15">
        <f t="shared" ca="1" si="15"/>
        <v>46115</v>
      </c>
      <c r="E176" s="15">
        <f t="shared" ca="1" si="16"/>
        <v>46115</v>
      </c>
      <c r="F176" s="14">
        <f ca="1">IFERROR(ROUND(IF(A176="","",IF(E176=0,D176-Date!$B$3,D176-E176)),0),"")</f>
        <v>0</v>
      </c>
      <c r="G176" s="14" t="str">
        <f>_xlfn.IFNA(VLOOKUP(A176,'RTR v2'!A:AW,48,FALSE)," ")</f>
        <v/>
      </c>
      <c r="I176" s="16" t="str">
        <f t="shared" si="17"/>
        <v>N</v>
      </c>
      <c r="J176" s="16" t="str">
        <f t="shared" si="19"/>
        <v xml:space="preserve">  </v>
      </c>
      <c r="L176" s="17"/>
      <c r="M176" t="str">
        <f t="shared" si="20"/>
        <v xml:space="preserve"> </v>
      </c>
      <c r="N176">
        <f t="shared" si="21"/>
        <v>0</v>
      </c>
      <c r="O176">
        <f>IF(P176&lt;1,0,IF(VLOOKUP($A176,'Actual Dates'!$A:$G,5,0)="Y",1,0))</f>
        <v>0</v>
      </c>
      <c r="P176">
        <f>IF(Q176&lt;1,0,IF(VLOOKUP($A176,'Actual Dates'!$A:$G,4,0)="Y",1,0))</f>
        <v>0</v>
      </c>
      <c r="Q176">
        <f>IF(R176&lt;1,0,IF(VLOOKUP($A176,'Actual Dates'!$A:$G,3,0)="Y",1,0))</f>
        <v>0</v>
      </c>
      <c r="R176">
        <f>IF(VLOOKUP($A176,'Actual Dates'!$A:$G,2,0)="Y",1,0)</f>
        <v>0</v>
      </c>
      <c r="S176" s="4">
        <f ca="1">_xlfn.IFNA(+VLOOKUP(A176,'Date Calcs'!A:AG,8,),TODAY())</f>
        <v>46115</v>
      </c>
      <c r="T176" s="4">
        <f ca="1">_xlfn.IFNA(VLOOKUP(A176,'Date Calcs'!A:AG,10,),TODAY())</f>
        <v>46115</v>
      </c>
      <c r="U176" s="4">
        <f ca="1">_xlfn.IFNA(+VLOOKUP(A176,'Date Calcs'!A:AG,12,),TODAY())</f>
        <v>46115</v>
      </c>
      <c r="V176" s="4">
        <f ca="1">_xlfn.IFNA(+VLOOKUP(A176,'Date Calcs'!A:AG,14,),TODAY())</f>
        <v>46115</v>
      </c>
      <c r="W176" s="4">
        <f ca="1">_xlfn.IFNA(+VLOOKUP(A176,'Date Calcs'!A:AG,16,),TODAY())</f>
        <v>46115</v>
      </c>
      <c r="X176" s="4">
        <f ca="1">_xlfn.IFNA(IF(C176=0,VLOOKUP(A176,'Date Calcs'!A:AG,8,),IF(C176=1,VLOOKUP(A176,'Date Calcs'!A:AG,10,),IF(C176=2,VLOOKUP(A176,'Date Calcs'!A:AG,12,),IF(C176=3,VLOOKUP(A176,'Date Calcs'!A:AG,14,),4)))),TODAY())</f>
        <v>46115</v>
      </c>
      <c r="Y176" s="4">
        <f t="shared" ca="1" si="18"/>
        <v>46115</v>
      </c>
      <c r="Z176" s="4">
        <f ca="1">_xlfn.IFNA(Y176+(VLOOKUP(A176,'Date Calcs'!A:W,22,0)*7),TODAY())</f>
        <v>46115</v>
      </c>
      <c r="AA176" s="4">
        <f>_xlfn.IFNA(VLOOKUP(A176,'RTR v2'!$A:$AW,46,0),"")</f>
        <v>0</v>
      </c>
    </row>
    <row r="177" spans="1:27" ht="23.25" hidden="1" x14ac:dyDescent="0.25">
      <c r="A177" s="12">
        <f>'Actual Dates'!A175</f>
        <v>0</v>
      </c>
      <c r="B177" s="13" t="str">
        <f>_xlfn.IFNA(VLOOKUP(A177,'Date Calcs'!A:B,2,),"")</f>
        <v/>
      </c>
      <c r="C177" s="14">
        <f>VLOOKUP(A177,'Actual Dates'!A:AE,18,)</f>
        <v>0</v>
      </c>
      <c r="D177" s="15">
        <f t="shared" ca="1" si="15"/>
        <v>46115</v>
      </c>
      <c r="E177" s="15">
        <f t="shared" ca="1" si="16"/>
        <v>46115</v>
      </c>
      <c r="F177" s="14">
        <f ca="1">IFERROR(ROUND(IF(A177="","",IF(E177=0,D177-Date!$B$3,D177-E177)),0),"")</f>
        <v>0</v>
      </c>
      <c r="G177" s="14" t="str">
        <f>_xlfn.IFNA(VLOOKUP(A177,'RTR v2'!A:AW,48,FALSE)," ")</f>
        <v/>
      </c>
      <c r="I177" s="16" t="str">
        <f t="shared" si="17"/>
        <v>N</v>
      </c>
      <c r="J177" s="16" t="str">
        <f t="shared" si="19"/>
        <v xml:space="preserve">  </v>
      </c>
      <c r="L177" s="17"/>
      <c r="M177" t="str">
        <f t="shared" si="20"/>
        <v xml:space="preserve"> </v>
      </c>
      <c r="N177">
        <f t="shared" si="21"/>
        <v>0</v>
      </c>
      <c r="O177">
        <f>IF(P177&lt;1,0,IF(VLOOKUP($A177,'Actual Dates'!$A:$G,5,0)="Y",1,0))</f>
        <v>0</v>
      </c>
      <c r="P177">
        <f>IF(Q177&lt;1,0,IF(VLOOKUP($A177,'Actual Dates'!$A:$G,4,0)="Y",1,0))</f>
        <v>0</v>
      </c>
      <c r="Q177">
        <f>IF(R177&lt;1,0,IF(VLOOKUP($A177,'Actual Dates'!$A:$G,3,0)="Y",1,0))</f>
        <v>0</v>
      </c>
      <c r="R177">
        <f>IF(VLOOKUP($A177,'Actual Dates'!$A:$G,2,0)="Y",1,0)</f>
        <v>0</v>
      </c>
      <c r="S177" s="4">
        <f ca="1">_xlfn.IFNA(+VLOOKUP(A177,'Date Calcs'!A:AG,8,),TODAY())</f>
        <v>46115</v>
      </c>
      <c r="T177" s="4">
        <f ca="1">_xlfn.IFNA(VLOOKUP(A177,'Date Calcs'!A:AG,10,),TODAY())</f>
        <v>46115</v>
      </c>
      <c r="U177" s="4">
        <f ca="1">_xlfn.IFNA(+VLOOKUP(A177,'Date Calcs'!A:AG,12,),TODAY())</f>
        <v>46115</v>
      </c>
      <c r="V177" s="4">
        <f ca="1">_xlfn.IFNA(+VLOOKUP(A177,'Date Calcs'!A:AG,14,),TODAY())</f>
        <v>46115</v>
      </c>
      <c r="W177" s="4">
        <f ca="1">_xlfn.IFNA(+VLOOKUP(A177,'Date Calcs'!A:AG,16,),TODAY())</f>
        <v>46115</v>
      </c>
      <c r="X177" s="4">
        <f ca="1">_xlfn.IFNA(IF(C177=0,VLOOKUP(A177,'Date Calcs'!A:AG,8,),IF(C177=1,VLOOKUP(A177,'Date Calcs'!A:AG,10,),IF(C177=2,VLOOKUP(A177,'Date Calcs'!A:AG,12,),IF(C177=3,VLOOKUP(A177,'Date Calcs'!A:AG,14,),4)))),TODAY())</f>
        <v>46115</v>
      </c>
      <c r="Y177" s="4">
        <f t="shared" ca="1" si="18"/>
        <v>46115</v>
      </c>
      <c r="Z177" s="4">
        <f ca="1">_xlfn.IFNA(Y177+(VLOOKUP(A177,'Date Calcs'!A:W,22,0)*7),TODAY())</f>
        <v>46115</v>
      </c>
      <c r="AA177" s="4">
        <f>_xlfn.IFNA(VLOOKUP(A177,'RTR v2'!$A:$AW,46,0),"")</f>
        <v>0</v>
      </c>
    </row>
    <row r="178" spans="1:27" ht="23.25" hidden="1" x14ac:dyDescent="0.25">
      <c r="A178" s="12">
        <f>'Actual Dates'!A176</f>
        <v>0</v>
      </c>
      <c r="B178" s="13" t="str">
        <f>_xlfn.IFNA(VLOOKUP(A178,'Date Calcs'!A:B,2,),"")</f>
        <v/>
      </c>
      <c r="C178" s="14">
        <f>VLOOKUP(A178,'Actual Dates'!A:AE,18,)</f>
        <v>0</v>
      </c>
      <c r="D178" s="15">
        <f t="shared" ca="1" si="15"/>
        <v>46115</v>
      </c>
      <c r="E178" s="15">
        <f t="shared" ca="1" si="16"/>
        <v>46115</v>
      </c>
      <c r="F178" s="14">
        <f ca="1">IFERROR(ROUND(IF(A178="","",IF(E178=0,D178-Date!$B$3,D178-E178)),0),"")</f>
        <v>0</v>
      </c>
      <c r="G178" s="14" t="str">
        <f>_xlfn.IFNA(VLOOKUP(A178,'RTR v2'!A:AW,48,FALSE)," ")</f>
        <v/>
      </c>
      <c r="I178" s="16" t="str">
        <f t="shared" si="17"/>
        <v>N</v>
      </c>
      <c r="J178" s="16" t="str">
        <f t="shared" si="19"/>
        <v xml:space="preserve">  </v>
      </c>
      <c r="L178" s="17"/>
      <c r="M178" t="str">
        <f t="shared" si="20"/>
        <v xml:space="preserve"> </v>
      </c>
      <c r="N178">
        <f t="shared" si="21"/>
        <v>0</v>
      </c>
      <c r="O178">
        <f>IF(P178&lt;1,0,IF(VLOOKUP($A178,'Actual Dates'!$A:$G,5,0)="Y",1,0))</f>
        <v>0</v>
      </c>
      <c r="P178">
        <f>IF(Q178&lt;1,0,IF(VLOOKUP($A178,'Actual Dates'!$A:$G,4,0)="Y",1,0))</f>
        <v>0</v>
      </c>
      <c r="Q178">
        <f>IF(R178&lt;1,0,IF(VLOOKUP($A178,'Actual Dates'!$A:$G,3,0)="Y",1,0))</f>
        <v>0</v>
      </c>
      <c r="R178">
        <f>IF(VLOOKUP($A178,'Actual Dates'!$A:$G,2,0)="Y",1,0)</f>
        <v>0</v>
      </c>
      <c r="S178" s="4">
        <f ca="1">_xlfn.IFNA(+VLOOKUP(A178,'Date Calcs'!A:AG,8,),TODAY())</f>
        <v>46115</v>
      </c>
      <c r="T178" s="4">
        <f ca="1">_xlfn.IFNA(VLOOKUP(A178,'Date Calcs'!A:AG,10,),TODAY())</f>
        <v>46115</v>
      </c>
      <c r="U178" s="4">
        <f ca="1">_xlfn.IFNA(+VLOOKUP(A178,'Date Calcs'!A:AG,12,),TODAY())</f>
        <v>46115</v>
      </c>
      <c r="V178" s="4">
        <f ca="1">_xlfn.IFNA(+VLOOKUP(A178,'Date Calcs'!A:AG,14,),TODAY())</f>
        <v>46115</v>
      </c>
      <c r="W178" s="4">
        <f ca="1">_xlfn.IFNA(+VLOOKUP(A178,'Date Calcs'!A:AG,16,),TODAY())</f>
        <v>46115</v>
      </c>
      <c r="X178" s="4">
        <f ca="1">_xlfn.IFNA(IF(C178=0,VLOOKUP(A178,'Date Calcs'!A:AG,8,),IF(C178=1,VLOOKUP(A178,'Date Calcs'!A:AG,10,),IF(C178=2,VLOOKUP(A178,'Date Calcs'!A:AG,12,),IF(C178=3,VLOOKUP(A178,'Date Calcs'!A:AG,14,),4)))),TODAY())</f>
        <v>46115</v>
      </c>
      <c r="Y178" s="4">
        <f t="shared" ca="1" si="18"/>
        <v>46115</v>
      </c>
      <c r="Z178" s="4">
        <f ca="1">_xlfn.IFNA(Y178+(VLOOKUP(A178,'Date Calcs'!A:W,22,0)*7),TODAY())</f>
        <v>46115</v>
      </c>
      <c r="AA178" s="4">
        <f>_xlfn.IFNA(VLOOKUP(A178,'RTR v2'!$A:$AW,46,0),"")</f>
        <v>0</v>
      </c>
    </row>
    <row r="179" spans="1:27" ht="23.25" hidden="1" x14ac:dyDescent="0.25">
      <c r="A179" s="12">
        <f>'Actual Dates'!A177</f>
        <v>0</v>
      </c>
      <c r="B179" s="13" t="str">
        <f>_xlfn.IFNA(VLOOKUP(A179,'Date Calcs'!A:B,2,),"")</f>
        <v/>
      </c>
      <c r="C179" s="14">
        <f>VLOOKUP(A179,'Actual Dates'!A:AE,18,)</f>
        <v>0</v>
      </c>
      <c r="D179" s="15">
        <f t="shared" ca="1" si="15"/>
        <v>46115</v>
      </c>
      <c r="E179" s="15">
        <f t="shared" ca="1" si="16"/>
        <v>46115</v>
      </c>
      <c r="F179" s="14">
        <f ca="1">IFERROR(ROUND(IF(A179="","",IF(E179=0,D179-Date!$B$3,D179-E179)),0),"")</f>
        <v>0</v>
      </c>
      <c r="G179" s="14" t="str">
        <f>_xlfn.IFNA(VLOOKUP(A179,'RTR v2'!A:AW,48,FALSE)," ")</f>
        <v/>
      </c>
      <c r="I179" s="16" t="str">
        <f t="shared" si="17"/>
        <v>N</v>
      </c>
      <c r="J179" s="16" t="str">
        <f t="shared" si="19"/>
        <v xml:space="preserve">  </v>
      </c>
      <c r="L179" s="17"/>
      <c r="M179" t="str">
        <f t="shared" si="20"/>
        <v xml:space="preserve"> </v>
      </c>
      <c r="N179">
        <f t="shared" si="21"/>
        <v>0</v>
      </c>
      <c r="O179">
        <f>IF(P179&lt;1,0,IF(VLOOKUP($A179,'Actual Dates'!$A:$G,5,0)="Y",1,0))</f>
        <v>0</v>
      </c>
      <c r="P179">
        <f>IF(Q179&lt;1,0,IF(VLOOKUP($A179,'Actual Dates'!$A:$G,4,0)="Y",1,0))</f>
        <v>0</v>
      </c>
      <c r="Q179">
        <f>IF(R179&lt;1,0,IF(VLOOKUP($A179,'Actual Dates'!$A:$G,3,0)="Y",1,0))</f>
        <v>0</v>
      </c>
      <c r="R179">
        <f>IF(VLOOKUP($A179,'Actual Dates'!$A:$G,2,0)="Y",1,0)</f>
        <v>0</v>
      </c>
      <c r="S179" s="4">
        <f ca="1">_xlfn.IFNA(+VLOOKUP(A179,'Date Calcs'!A:AG,8,),TODAY())</f>
        <v>46115</v>
      </c>
      <c r="T179" s="4">
        <f ca="1">_xlfn.IFNA(VLOOKUP(A179,'Date Calcs'!A:AG,10,),TODAY())</f>
        <v>46115</v>
      </c>
      <c r="U179" s="4">
        <f ca="1">_xlfn.IFNA(+VLOOKUP(A179,'Date Calcs'!A:AG,12,),TODAY())</f>
        <v>46115</v>
      </c>
      <c r="V179" s="4">
        <f ca="1">_xlfn.IFNA(+VLOOKUP(A179,'Date Calcs'!A:AG,14,),TODAY())</f>
        <v>46115</v>
      </c>
      <c r="W179" s="4">
        <f ca="1">_xlfn.IFNA(+VLOOKUP(A179,'Date Calcs'!A:AG,16,),TODAY())</f>
        <v>46115</v>
      </c>
      <c r="X179" s="4">
        <f ca="1">_xlfn.IFNA(IF(C179=0,VLOOKUP(A179,'Date Calcs'!A:AG,8,),IF(C179=1,VLOOKUP(A179,'Date Calcs'!A:AG,10,),IF(C179=2,VLOOKUP(A179,'Date Calcs'!A:AG,12,),IF(C179=3,VLOOKUP(A179,'Date Calcs'!A:AG,14,),4)))),TODAY())</f>
        <v>46115</v>
      </c>
      <c r="Y179" s="4">
        <f t="shared" ca="1" si="18"/>
        <v>46115</v>
      </c>
      <c r="Z179" s="4">
        <f ca="1">_xlfn.IFNA(Y179+(VLOOKUP(A179,'Date Calcs'!A:W,22,0)*7),TODAY())</f>
        <v>46115</v>
      </c>
      <c r="AA179" s="4">
        <f>_xlfn.IFNA(VLOOKUP(A179,'RTR v2'!$A:$AW,46,0),"")</f>
        <v>0</v>
      </c>
    </row>
    <row r="180" spans="1:27" ht="23.25" hidden="1" x14ac:dyDescent="0.25">
      <c r="A180" s="12">
        <f>'Actual Dates'!A178</f>
        <v>0</v>
      </c>
      <c r="B180" s="13" t="str">
        <f>_xlfn.IFNA(VLOOKUP(A180,'Date Calcs'!A:B,2,),"")</f>
        <v/>
      </c>
      <c r="C180" s="14">
        <f>VLOOKUP(A180,'Actual Dates'!A:AE,18,)</f>
        <v>0</v>
      </c>
      <c r="D180" s="15">
        <f t="shared" ca="1" si="15"/>
        <v>46115</v>
      </c>
      <c r="E180" s="15">
        <f t="shared" ca="1" si="16"/>
        <v>46115</v>
      </c>
      <c r="F180" s="14">
        <f ca="1">IFERROR(ROUND(IF(A180="","",IF(E180=0,D180-Date!$B$3,D180-E180)),0),"")</f>
        <v>0</v>
      </c>
      <c r="G180" s="14" t="str">
        <f>_xlfn.IFNA(VLOOKUP(A180,'RTR v2'!A:AW,48,FALSE)," ")</f>
        <v/>
      </c>
      <c r="I180" s="16" t="str">
        <f t="shared" si="17"/>
        <v>N</v>
      </c>
      <c r="J180" s="16" t="str">
        <f t="shared" si="19"/>
        <v xml:space="preserve">  </v>
      </c>
      <c r="L180" s="17"/>
      <c r="M180" t="str">
        <f t="shared" si="20"/>
        <v xml:space="preserve"> </v>
      </c>
      <c r="N180">
        <f t="shared" si="21"/>
        <v>0</v>
      </c>
      <c r="O180">
        <f>IF(P180&lt;1,0,IF(VLOOKUP($A180,'Actual Dates'!$A:$G,5,0)="Y",1,0))</f>
        <v>0</v>
      </c>
      <c r="P180">
        <f>IF(Q180&lt;1,0,IF(VLOOKUP($A180,'Actual Dates'!$A:$G,4,0)="Y",1,0))</f>
        <v>0</v>
      </c>
      <c r="Q180">
        <f>IF(R180&lt;1,0,IF(VLOOKUP($A180,'Actual Dates'!$A:$G,3,0)="Y",1,0))</f>
        <v>0</v>
      </c>
      <c r="R180">
        <f>IF(VLOOKUP($A180,'Actual Dates'!$A:$G,2,0)="Y",1,0)</f>
        <v>0</v>
      </c>
      <c r="S180" s="4">
        <f ca="1">_xlfn.IFNA(+VLOOKUP(A180,'Date Calcs'!A:AG,8,),TODAY())</f>
        <v>46115</v>
      </c>
      <c r="T180" s="4">
        <f ca="1">_xlfn.IFNA(VLOOKUP(A180,'Date Calcs'!A:AG,10,),TODAY())</f>
        <v>46115</v>
      </c>
      <c r="U180" s="4">
        <f ca="1">_xlfn.IFNA(+VLOOKUP(A180,'Date Calcs'!A:AG,12,),TODAY())</f>
        <v>46115</v>
      </c>
      <c r="V180" s="4">
        <f ca="1">_xlfn.IFNA(+VLOOKUP(A180,'Date Calcs'!A:AG,14,),TODAY())</f>
        <v>46115</v>
      </c>
      <c r="W180" s="4">
        <f ca="1">_xlfn.IFNA(+VLOOKUP(A180,'Date Calcs'!A:AG,16,),TODAY())</f>
        <v>46115</v>
      </c>
      <c r="X180" s="4">
        <f ca="1">_xlfn.IFNA(IF(C180=0,VLOOKUP(A180,'Date Calcs'!A:AG,8,),IF(C180=1,VLOOKUP(A180,'Date Calcs'!A:AG,10,),IF(C180=2,VLOOKUP(A180,'Date Calcs'!A:AG,12,),IF(C180=3,VLOOKUP(A180,'Date Calcs'!A:AG,14,),4)))),TODAY())</f>
        <v>46115</v>
      </c>
      <c r="Y180" s="4">
        <f t="shared" ca="1" si="18"/>
        <v>46115</v>
      </c>
      <c r="Z180" s="4">
        <f ca="1">_xlfn.IFNA(Y180+(VLOOKUP(A180,'Date Calcs'!A:W,22,0)*7),TODAY())</f>
        <v>46115</v>
      </c>
      <c r="AA180" s="4">
        <f>_xlfn.IFNA(VLOOKUP(A180,'RTR v2'!$A:$AW,46,0),"")</f>
        <v>0</v>
      </c>
    </row>
    <row r="181" spans="1:27" ht="23.25" hidden="1" x14ac:dyDescent="0.25">
      <c r="A181" s="12">
        <f>'Actual Dates'!A179</f>
        <v>0</v>
      </c>
      <c r="B181" s="13" t="str">
        <f>_xlfn.IFNA(VLOOKUP(A181,'Date Calcs'!A:B,2,),"")</f>
        <v/>
      </c>
      <c r="C181" s="14">
        <f>VLOOKUP(A181,'Actual Dates'!A:AE,18,)</f>
        <v>0</v>
      </c>
      <c r="D181" s="15">
        <f t="shared" ca="1" si="15"/>
        <v>46115</v>
      </c>
      <c r="E181" s="15">
        <f t="shared" ca="1" si="16"/>
        <v>46115</v>
      </c>
      <c r="F181" s="14">
        <f ca="1">IFERROR(ROUND(IF(A181="","",IF(E181=0,D181-Date!$B$3,D181-E181)),0),"")</f>
        <v>0</v>
      </c>
      <c r="G181" s="14" t="str">
        <f>_xlfn.IFNA(VLOOKUP(A181,'RTR v2'!A:AW,48,FALSE)," ")</f>
        <v/>
      </c>
      <c r="I181" s="16" t="str">
        <f t="shared" si="17"/>
        <v>N</v>
      </c>
      <c r="J181" s="16" t="str">
        <f t="shared" si="19"/>
        <v xml:space="preserve">  </v>
      </c>
      <c r="L181" s="17"/>
      <c r="M181" t="str">
        <f t="shared" si="20"/>
        <v xml:space="preserve"> </v>
      </c>
      <c r="N181">
        <f t="shared" si="21"/>
        <v>0</v>
      </c>
      <c r="O181">
        <f>IF(P181&lt;1,0,IF(VLOOKUP($A181,'Actual Dates'!$A:$G,5,0)="Y",1,0))</f>
        <v>0</v>
      </c>
      <c r="P181">
        <f>IF(Q181&lt;1,0,IF(VLOOKUP($A181,'Actual Dates'!$A:$G,4,0)="Y",1,0))</f>
        <v>0</v>
      </c>
      <c r="Q181">
        <f>IF(R181&lt;1,0,IF(VLOOKUP($A181,'Actual Dates'!$A:$G,3,0)="Y",1,0))</f>
        <v>0</v>
      </c>
      <c r="R181">
        <f>IF(VLOOKUP($A181,'Actual Dates'!$A:$G,2,0)="Y",1,0)</f>
        <v>0</v>
      </c>
      <c r="S181" s="4">
        <f ca="1">_xlfn.IFNA(+VLOOKUP(A181,'Date Calcs'!A:AG,8,),TODAY())</f>
        <v>46115</v>
      </c>
      <c r="T181" s="4">
        <f ca="1">_xlfn.IFNA(VLOOKUP(A181,'Date Calcs'!A:AG,10,),TODAY())</f>
        <v>46115</v>
      </c>
      <c r="U181" s="4">
        <f ca="1">_xlfn.IFNA(+VLOOKUP(A181,'Date Calcs'!A:AG,12,),TODAY())</f>
        <v>46115</v>
      </c>
      <c r="V181" s="4">
        <f ca="1">_xlfn.IFNA(+VLOOKUP(A181,'Date Calcs'!A:AG,14,),TODAY())</f>
        <v>46115</v>
      </c>
      <c r="W181" s="4">
        <f ca="1">_xlfn.IFNA(+VLOOKUP(A181,'Date Calcs'!A:AG,16,),TODAY())</f>
        <v>46115</v>
      </c>
      <c r="X181" s="4">
        <f ca="1">_xlfn.IFNA(IF(C181=0,VLOOKUP(A181,'Date Calcs'!A:AG,8,),IF(C181=1,VLOOKUP(A181,'Date Calcs'!A:AG,10,),IF(C181=2,VLOOKUP(A181,'Date Calcs'!A:AG,12,),IF(C181=3,VLOOKUP(A181,'Date Calcs'!A:AG,14,),4)))),TODAY())</f>
        <v>46115</v>
      </c>
      <c r="Y181" s="4">
        <f t="shared" ca="1" si="18"/>
        <v>46115</v>
      </c>
      <c r="Z181" s="4">
        <f ca="1">_xlfn.IFNA(Y181+(VLOOKUP(A181,'Date Calcs'!A:W,22,0)*7),TODAY())</f>
        <v>46115</v>
      </c>
      <c r="AA181" s="4">
        <f>_xlfn.IFNA(VLOOKUP(A181,'RTR v2'!$A:$AW,46,0),"")</f>
        <v>0</v>
      </c>
    </row>
    <row r="182" spans="1:27" ht="23.25" hidden="1" x14ac:dyDescent="0.25">
      <c r="A182" s="12">
        <f>'Actual Dates'!A180</f>
        <v>0</v>
      </c>
      <c r="B182" s="13" t="str">
        <f>_xlfn.IFNA(VLOOKUP(A182,'Date Calcs'!A:B,2,),"")</f>
        <v/>
      </c>
      <c r="C182" s="14">
        <f>VLOOKUP(A182,'Actual Dates'!A:AE,18,)</f>
        <v>0</v>
      </c>
      <c r="D182" s="15">
        <f t="shared" ca="1" si="15"/>
        <v>46115</v>
      </c>
      <c r="E182" s="15">
        <f t="shared" ca="1" si="16"/>
        <v>46115</v>
      </c>
      <c r="F182" s="14">
        <f ca="1">IFERROR(ROUND(IF(A182="","",IF(E182=0,D182-Date!$B$3,D182-E182)),0),"")</f>
        <v>0</v>
      </c>
      <c r="G182" s="14" t="str">
        <f>_xlfn.IFNA(VLOOKUP(A182,'RTR v2'!A:AW,48,FALSE)," ")</f>
        <v/>
      </c>
      <c r="I182" s="16" t="str">
        <f t="shared" si="17"/>
        <v>N</v>
      </c>
      <c r="J182" s="16" t="str">
        <f t="shared" si="19"/>
        <v xml:space="preserve">  </v>
      </c>
      <c r="L182" s="17"/>
      <c r="M182" t="str">
        <f t="shared" si="20"/>
        <v xml:space="preserve"> </v>
      </c>
      <c r="N182">
        <f t="shared" si="21"/>
        <v>0</v>
      </c>
      <c r="O182">
        <f>IF(P182&lt;1,0,IF(VLOOKUP($A182,'Actual Dates'!$A:$G,5,0)="Y",1,0))</f>
        <v>0</v>
      </c>
      <c r="P182">
        <f>IF(Q182&lt;1,0,IF(VLOOKUP($A182,'Actual Dates'!$A:$G,4,0)="Y",1,0))</f>
        <v>0</v>
      </c>
      <c r="Q182">
        <f>IF(R182&lt;1,0,IF(VLOOKUP($A182,'Actual Dates'!$A:$G,3,0)="Y",1,0))</f>
        <v>0</v>
      </c>
      <c r="R182">
        <f>IF(VLOOKUP($A182,'Actual Dates'!$A:$G,2,0)="Y",1,0)</f>
        <v>0</v>
      </c>
      <c r="S182" s="4">
        <f ca="1">_xlfn.IFNA(+VLOOKUP(A182,'Date Calcs'!A:AG,8,),TODAY())</f>
        <v>46115</v>
      </c>
      <c r="T182" s="4">
        <f ca="1">_xlfn.IFNA(VLOOKUP(A182,'Date Calcs'!A:AG,10,),TODAY())</f>
        <v>46115</v>
      </c>
      <c r="U182" s="4">
        <f ca="1">_xlfn.IFNA(+VLOOKUP(A182,'Date Calcs'!A:AG,12,),TODAY())</f>
        <v>46115</v>
      </c>
      <c r="V182" s="4">
        <f ca="1">_xlfn.IFNA(+VLOOKUP(A182,'Date Calcs'!A:AG,14,),TODAY())</f>
        <v>46115</v>
      </c>
      <c r="W182" s="4">
        <f ca="1">_xlfn.IFNA(+VLOOKUP(A182,'Date Calcs'!A:AG,16,),TODAY())</f>
        <v>46115</v>
      </c>
      <c r="X182" s="4">
        <f ca="1">_xlfn.IFNA(IF(C182=0,VLOOKUP(A182,'Date Calcs'!A:AG,8,),IF(C182=1,VLOOKUP(A182,'Date Calcs'!A:AG,10,),IF(C182=2,VLOOKUP(A182,'Date Calcs'!A:AG,12,),IF(C182=3,VLOOKUP(A182,'Date Calcs'!A:AG,14,),4)))),TODAY())</f>
        <v>46115</v>
      </c>
      <c r="Y182" s="4">
        <f t="shared" ca="1" si="18"/>
        <v>46115</v>
      </c>
      <c r="Z182" s="4">
        <f ca="1">_xlfn.IFNA(Y182+(VLOOKUP(A182,'Date Calcs'!A:W,22,0)*7),TODAY())</f>
        <v>46115</v>
      </c>
      <c r="AA182" s="4">
        <f>_xlfn.IFNA(VLOOKUP(A182,'RTR v2'!$A:$AW,46,0),"")</f>
        <v>0</v>
      </c>
    </row>
    <row r="183" spans="1:27" ht="23.25" hidden="1" x14ac:dyDescent="0.25">
      <c r="A183" s="12">
        <f>'Actual Dates'!A181</f>
        <v>0</v>
      </c>
      <c r="B183" s="13" t="str">
        <f>_xlfn.IFNA(VLOOKUP(A183,'Date Calcs'!A:B,2,),"")</f>
        <v/>
      </c>
      <c r="C183" s="14">
        <f>VLOOKUP(A183,'Actual Dates'!A:AE,18,)</f>
        <v>0</v>
      </c>
      <c r="D183" s="15">
        <f t="shared" ca="1" si="15"/>
        <v>46115</v>
      </c>
      <c r="E183" s="15">
        <f t="shared" ca="1" si="16"/>
        <v>46115</v>
      </c>
      <c r="F183" s="14">
        <f ca="1">IFERROR(ROUND(IF(A183="","",IF(E183=0,D183-Date!$B$3,D183-E183)),0),"")</f>
        <v>0</v>
      </c>
      <c r="G183" s="14" t="str">
        <f>_xlfn.IFNA(VLOOKUP(A183,'RTR v2'!A:AW,48,FALSE)," ")</f>
        <v/>
      </c>
      <c r="I183" s="16" t="str">
        <f t="shared" si="17"/>
        <v>N</v>
      </c>
      <c r="J183" s="16" t="str">
        <f t="shared" si="19"/>
        <v xml:space="preserve">  </v>
      </c>
      <c r="L183" s="17"/>
      <c r="M183" t="str">
        <f t="shared" si="20"/>
        <v xml:space="preserve"> </v>
      </c>
      <c r="N183">
        <f t="shared" si="21"/>
        <v>0</v>
      </c>
      <c r="O183">
        <f>IF(P183&lt;1,0,IF(VLOOKUP($A183,'Actual Dates'!$A:$G,5,0)="Y",1,0))</f>
        <v>0</v>
      </c>
      <c r="P183">
        <f>IF(Q183&lt;1,0,IF(VLOOKUP($A183,'Actual Dates'!$A:$G,4,0)="Y",1,0))</f>
        <v>0</v>
      </c>
      <c r="Q183">
        <f>IF(R183&lt;1,0,IF(VLOOKUP($A183,'Actual Dates'!$A:$G,3,0)="Y",1,0))</f>
        <v>0</v>
      </c>
      <c r="R183">
        <f>IF(VLOOKUP($A183,'Actual Dates'!$A:$G,2,0)="Y",1,0)</f>
        <v>0</v>
      </c>
      <c r="S183" s="4">
        <f ca="1">_xlfn.IFNA(+VLOOKUP(A183,'Date Calcs'!A:AG,8,),TODAY())</f>
        <v>46115</v>
      </c>
      <c r="T183" s="4">
        <f ca="1">_xlfn.IFNA(VLOOKUP(A183,'Date Calcs'!A:AG,10,),TODAY())</f>
        <v>46115</v>
      </c>
      <c r="U183" s="4">
        <f ca="1">_xlfn.IFNA(+VLOOKUP(A183,'Date Calcs'!A:AG,12,),TODAY())</f>
        <v>46115</v>
      </c>
      <c r="V183" s="4">
        <f ca="1">_xlfn.IFNA(+VLOOKUP(A183,'Date Calcs'!A:AG,14,),TODAY())</f>
        <v>46115</v>
      </c>
      <c r="W183" s="4">
        <f ca="1">_xlfn.IFNA(+VLOOKUP(A183,'Date Calcs'!A:AG,16,),TODAY())</f>
        <v>46115</v>
      </c>
      <c r="X183" s="4">
        <f ca="1">_xlfn.IFNA(IF(C183=0,VLOOKUP(A183,'Date Calcs'!A:AG,8,),IF(C183=1,VLOOKUP(A183,'Date Calcs'!A:AG,10,),IF(C183=2,VLOOKUP(A183,'Date Calcs'!A:AG,12,),IF(C183=3,VLOOKUP(A183,'Date Calcs'!A:AG,14,),4)))),TODAY())</f>
        <v>46115</v>
      </c>
      <c r="Y183" s="4">
        <f t="shared" ca="1" si="18"/>
        <v>46115</v>
      </c>
      <c r="Z183" s="4">
        <f ca="1">_xlfn.IFNA(Y183+(VLOOKUP(A183,'Date Calcs'!A:W,22,0)*7),TODAY())</f>
        <v>46115</v>
      </c>
      <c r="AA183" s="4">
        <f>_xlfn.IFNA(VLOOKUP(A183,'RTR v2'!$A:$AW,46,0),"")</f>
        <v>0</v>
      </c>
    </row>
    <row r="184" spans="1:27" ht="23.25" hidden="1" x14ac:dyDescent="0.25">
      <c r="A184" s="12">
        <f>'Actual Dates'!A182</f>
        <v>0</v>
      </c>
      <c r="B184" s="13" t="str">
        <f>_xlfn.IFNA(VLOOKUP(A184,'Date Calcs'!A:B,2,),"")</f>
        <v/>
      </c>
      <c r="C184" s="14">
        <f>VLOOKUP(A184,'Actual Dates'!A:AE,18,)</f>
        <v>0</v>
      </c>
      <c r="D184" s="15">
        <f t="shared" ca="1" si="15"/>
        <v>46115</v>
      </c>
      <c r="E184" s="15">
        <f t="shared" ca="1" si="16"/>
        <v>46115</v>
      </c>
      <c r="F184" s="14">
        <f ca="1">IFERROR(ROUND(IF(A184="","",IF(E184=0,D184-Date!$B$3,D184-E184)),0),"")</f>
        <v>0</v>
      </c>
      <c r="G184" s="14" t="str">
        <f>_xlfn.IFNA(VLOOKUP(A184,'RTR v2'!A:AW,48,FALSE)," ")</f>
        <v/>
      </c>
      <c r="I184" s="16" t="str">
        <f t="shared" si="17"/>
        <v>N</v>
      </c>
      <c r="J184" s="16" t="str">
        <f t="shared" si="19"/>
        <v xml:space="preserve">  </v>
      </c>
      <c r="L184" s="17"/>
      <c r="M184" t="str">
        <f t="shared" si="20"/>
        <v xml:space="preserve"> </v>
      </c>
      <c r="N184">
        <f t="shared" si="21"/>
        <v>0</v>
      </c>
      <c r="O184">
        <f>IF(P184&lt;1,0,IF(VLOOKUP($A184,'Actual Dates'!$A:$G,5,0)="Y",1,0))</f>
        <v>0</v>
      </c>
      <c r="P184">
        <f>IF(Q184&lt;1,0,IF(VLOOKUP($A184,'Actual Dates'!$A:$G,4,0)="Y",1,0))</f>
        <v>0</v>
      </c>
      <c r="Q184">
        <f>IF(R184&lt;1,0,IF(VLOOKUP($A184,'Actual Dates'!$A:$G,3,0)="Y",1,0))</f>
        <v>0</v>
      </c>
      <c r="R184">
        <f>IF(VLOOKUP($A184,'Actual Dates'!$A:$G,2,0)="Y",1,0)</f>
        <v>0</v>
      </c>
      <c r="S184" s="4">
        <f ca="1">_xlfn.IFNA(+VLOOKUP(A184,'Date Calcs'!A:AG,8,),TODAY())</f>
        <v>46115</v>
      </c>
      <c r="T184" s="4">
        <f ca="1">_xlfn.IFNA(VLOOKUP(A184,'Date Calcs'!A:AG,10,),TODAY())</f>
        <v>46115</v>
      </c>
      <c r="U184" s="4">
        <f ca="1">_xlfn.IFNA(+VLOOKUP(A184,'Date Calcs'!A:AG,12,),TODAY())</f>
        <v>46115</v>
      </c>
      <c r="V184" s="4">
        <f ca="1">_xlfn.IFNA(+VLOOKUP(A184,'Date Calcs'!A:AG,14,),TODAY())</f>
        <v>46115</v>
      </c>
      <c r="W184" s="4">
        <f ca="1">_xlfn.IFNA(+VLOOKUP(A184,'Date Calcs'!A:AG,16,),TODAY())</f>
        <v>46115</v>
      </c>
      <c r="X184" s="4">
        <f ca="1">_xlfn.IFNA(IF(C184=0,VLOOKUP(A184,'Date Calcs'!A:AG,8,),IF(C184=1,VLOOKUP(A184,'Date Calcs'!A:AG,10,),IF(C184=2,VLOOKUP(A184,'Date Calcs'!A:AG,12,),IF(C184=3,VLOOKUP(A184,'Date Calcs'!A:AG,14,),4)))),TODAY())</f>
        <v>46115</v>
      </c>
      <c r="Y184" s="4">
        <f t="shared" ca="1" si="18"/>
        <v>46115</v>
      </c>
      <c r="Z184" s="4">
        <f ca="1">_xlfn.IFNA(Y184+(VLOOKUP(A184,'Date Calcs'!A:W,22,0)*7),TODAY())</f>
        <v>46115</v>
      </c>
      <c r="AA184" s="4">
        <f>_xlfn.IFNA(VLOOKUP(A184,'RTR v2'!$A:$AW,46,0),"")</f>
        <v>0</v>
      </c>
    </row>
    <row r="185" spans="1:27" ht="23.25" hidden="1" x14ac:dyDescent="0.25">
      <c r="A185" s="12">
        <f>'Actual Dates'!A183</f>
        <v>0</v>
      </c>
      <c r="B185" s="13" t="str">
        <f>_xlfn.IFNA(VLOOKUP(A185,'Date Calcs'!A:B,2,),"")</f>
        <v/>
      </c>
      <c r="C185" s="14">
        <f>VLOOKUP(A185,'Actual Dates'!A:AE,18,)</f>
        <v>0</v>
      </c>
      <c r="D185" s="15">
        <f t="shared" ca="1" si="15"/>
        <v>46115</v>
      </c>
      <c r="E185" s="15">
        <f t="shared" ca="1" si="16"/>
        <v>46115</v>
      </c>
      <c r="F185" s="14">
        <f ca="1">IFERROR(ROUND(IF(A185="","",IF(E185=0,D185-Date!$B$3,D185-E185)),0),"")</f>
        <v>0</v>
      </c>
      <c r="G185" s="14" t="str">
        <f>_xlfn.IFNA(VLOOKUP(A185,'RTR v2'!A:AW,48,FALSE)," ")</f>
        <v/>
      </c>
      <c r="I185" s="16" t="str">
        <f t="shared" si="17"/>
        <v>N</v>
      </c>
      <c r="J185" s="16" t="str">
        <f t="shared" si="19"/>
        <v xml:space="preserve">  </v>
      </c>
      <c r="L185" s="17"/>
      <c r="M185" t="str">
        <f t="shared" si="20"/>
        <v xml:space="preserve"> </v>
      </c>
      <c r="N185">
        <f t="shared" si="21"/>
        <v>0</v>
      </c>
      <c r="O185">
        <f>IF(P185&lt;1,0,IF(VLOOKUP($A185,'Actual Dates'!$A:$G,5,0)="Y",1,0))</f>
        <v>0</v>
      </c>
      <c r="P185">
        <f>IF(Q185&lt;1,0,IF(VLOOKUP($A185,'Actual Dates'!$A:$G,4,0)="Y",1,0))</f>
        <v>0</v>
      </c>
      <c r="Q185">
        <f>IF(R185&lt;1,0,IF(VLOOKUP($A185,'Actual Dates'!$A:$G,3,0)="Y",1,0))</f>
        <v>0</v>
      </c>
      <c r="R185">
        <f>IF(VLOOKUP($A185,'Actual Dates'!$A:$G,2,0)="Y",1,0)</f>
        <v>0</v>
      </c>
      <c r="S185" s="4">
        <f ca="1">_xlfn.IFNA(+VLOOKUP(A185,'Date Calcs'!A:AG,8,),TODAY())</f>
        <v>46115</v>
      </c>
      <c r="T185" s="4">
        <f ca="1">_xlfn.IFNA(VLOOKUP(A185,'Date Calcs'!A:AG,10,),TODAY())</f>
        <v>46115</v>
      </c>
      <c r="U185" s="4">
        <f ca="1">_xlfn.IFNA(+VLOOKUP(A185,'Date Calcs'!A:AG,12,),TODAY())</f>
        <v>46115</v>
      </c>
      <c r="V185" s="4">
        <f ca="1">_xlfn.IFNA(+VLOOKUP(A185,'Date Calcs'!A:AG,14,),TODAY())</f>
        <v>46115</v>
      </c>
      <c r="W185" s="4">
        <f ca="1">_xlfn.IFNA(+VLOOKUP(A185,'Date Calcs'!A:AG,16,),TODAY())</f>
        <v>46115</v>
      </c>
      <c r="X185" s="4">
        <f ca="1">_xlfn.IFNA(IF(C185=0,VLOOKUP(A185,'Date Calcs'!A:AG,8,),IF(C185=1,VLOOKUP(A185,'Date Calcs'!A:AG,10,),IF(C185=2,VLOOKUP(A185,'Date Calcs'!A:AG,12,),IF(C185=3,VLOOKUP(A185,'Date Calcs'!A:AG,14,),4)))),TODAY())</f>
        <v>46115</v>
      </c>
      <c r="Y185" s="4">
        <f t="shared" ca="1" si="18"/>
        <v>46115</v>
      </c>
      <c r="Z185" s="4">
        <f ca="1">_xlfn.IFNA(Y185+(VLOOKUP(A185,'Date Calcs'!A:W,22,0)*7),TODAY())</f>
        <v>46115</v>
      </c>
      <c r="AA185" s="4">
        <f>_xlfn.IFNA(VLOOKUP(A185,'RTR v2'!$A:$AW,46,0),"")</f>
        <v>0</v>
      </c>
    </row>
    <row r="186" spans="1:27" ht="23.25" hidden="1" x14ac:dyDescent="0.25">
      <c r="A186" s="12">
        <f>'Actual Dates'!A184</f>
        <v>0</v>
      </c>
      <c r="B186" s="13" t="str">
        <f>_xlfn.IFNA(VLOOKUP(A186,'Date Calcs'!A:B,2,),"")</f>
        <v/>
      </c>
      <c r="C186" s="14">
        <f>VLOOKUP(A186,'Actual Dates'!A:AE,18,)</f>
        <v>0</v>
      </c>
      <c r="D186" s="15">
        <f t="shared" ca="1" si="15"/>
        <v>46115</v>
      </c>
      <c r="E186" s="15">
        <f t="shared" ca="1" si="16"/>
        <v>46115</v>
      </c>
      <c r="F186" s="14">
        <f ca="1">IFERROR(ROUND(IF(A186="","",IF(E186=0,D186-Date!$B$3,D186-E186)),0),"")</f>
        <v>0</v>
      </c>
      <c r="G186" s="14" t="str">
        <f>_xlfn.IFNA(VLOOKUP(A186,'RTR v2'!A:AW,48,FALSE)," ")</f>
        <v/>
      </c>
      <c r="I186" s="16" t="str">
        <f t="shared" si="17"/>
        <v>N</v>
      </c>
      <c r="J186" s="16" t="str">
        <f t="shared" si="19"/>
        <v xml:space="preserve">  </v>
      </c>
      <c r="L186" s="17"/>
      <c r="M186" t="str">
        <f t="shared" si="20"/>
        <v xml:space="preserve"> </v>
      </c>
      <c r="N186">
        <f t="shared" si="21"/>
        <v>0</v>
      </c>
      <c r="O186">
        <f>IF(P186&lt;1,0,IF(VLOOKUP($A186,'Actual Dates'!$A:$G,5,0)="Y",1,0))</f>
        <v>0</v>
      </c>
      <c r="P186">
        <f>IF(Q186&lt;1,0,IF(VLOOKUP($A186,'Actual Dates'!$A:$G,4,0)="Y",1,0))</f>
        <v>0</v>
      </c>
      <c r="Q186">
        <f>IF(R186&lt;1,0,IF(VLOOKUP($A186,'Actual Dates'!$A:$G,3,0)="Y",1,0))</f>
        <v>0</v>
      </c>
      <c r="R186">
        <f>IF(VLOOKUP($A186,'Actual Dates'!$A:$G,2,0)="Y",1,0)</f>
        <v>0</v>
      </c>
      <c r="S186" s="4">
        <f ca="1">_xlfn.IFNA(+VLOOKUP(A186,'Date Calcs'!A:AG,8,),TODAY())</f>
        <v>46115</v>
      </c>
      <c r="T186" s="4">
        <f ca="1">_xlfn.IFNA(VLOOKUP(A186,'Date Calcs'!A:AG,10,),TODAY())</f>
        <v>46115</v>
      </c>
      <c r="U186" s="4">
        <f ca="1">_xlfn.IFNA(+VLOOKUP(A186,'Date Calcs'!A:AG,12,),TODAY())</f>
        <v>46115</v>
      </c>
      <c r="V186" s="4">
        <f ca="1">_xlfn.IFNA(+VLOOKUP(A186,'Date Calcs'!A:AG,14,),TODAY())</f>
        <v>46115</v>
      </c>
      <c r="W186" s="4">
        <f ca="1">_xlfn.IFNA(+VLOOKUP(A186,'Date Calcs'!A:AG,16,),TODAY())</f>
        <v>46115</v>
      </c>
      <c r="X186" s="4">
        <f ca="1">_xlfn.IFNA(IF(C186=0,VLOOKUP(A186,'Date Calcs'!A:AG,8,),IF(C186=1,VLOOKUP(A186,'Date Calcs'!A:AG,10,),IF(C186=2,VLOOKUP(A186,'Date Calcs'!A:AG,12,),IF(C186=3,VLOOKUP(A186,'Date Calcs'!A:AG,14,),4)))),TODAY())</f>
        <v>46115</v>
      </c>
      <c r="Y186" s="4">
        <f t="shared" ca="1" si="18"/>
        <v>46115</v>
      </c>
      <c r="Z186" s="4">
        <f ca="1">_xlfn.IFNA(Y186+(VLOOKUP(A186,'Date Calcs'!A:W,22,0)*7),TODAY())</f>
        <v>46115</v>
      </c>
      <c r="AA186" s="4">
        <f>_xlfn.IFNA(VLOOKUP(A186,'RTR v2'!$A:$AW,46,0),"")</f>
        <v>0</v>
      </c>
    </row>
    <row r="187" spans="1:27" ht="23.25" hidden="1" x14ac:dyDescent="0.25">
      <c r="A187" s="12">
        <f>'Actual Dates'!A185</f>
        <v>0</v>
      </c>
      <c r="B187" s="13" t="str">
        <f>_xlfn.IFNA(VLOOKUP(A187,'Date Calcs'!A:B,2,),"")</f>
        <v/>
      </c>
      <c r="C187" s="14">
        <f>VLOOKUP(A187,'Actual Dates'!A:AE,18,)</f>
        <v>0</v>
      </c>
      <c r="D187" s="15">
        <f t="shared" ca="1" si="15"/>
        <v>46115</v>
      </c>
      <c r="E187" s="15">
        <f t="shared" ca="1" si="16"/>
        <v>46115</v>
      </c>
      <c r="F187" s="14">
        <f ca="1">IFERROR(ROUND(IF(A187="","",IF(E187=0,D187-Date!$B$3,D187-E187)),0),"")</f>
        <v>0</v>
      </c>
      <c r="G187" s="14" t="str">
        <f>_xlfn.IFNA(VLOOKUP(A187,'RTR v2'!A:AW,48,FALSE)," ")</f>
        <v/>
      </c>
      <c r="I187" s="16" t="str">
        <f t="shared" si="17"/>
        <v>N</v>
      </c>
      <c r="J187" s="16" t="str">
        <f t="shared" si="19"/>
        <v xml:space="preserve">  </v>
      </c>
      <c r="L187" s="17"/>
      <c r="M187" t="str">
        <f t="shared" si="20"/>
        <v xml:space="preserve"> </v>
      </c>
      <c r="N187">
        <f t="shared" si="21"/>
        <v>0</v>
      </c>
      <c r="O187">
        <f>IF(P187&lt;1,0,IF(VLOOKUP($A187,'Actual Dates'!$A:$G,5,0)="Y",1,0))</f>
        <v>0</v>
      </c>
      <c r="P187">
        <f>IF(Q187&lt;1,0,IF(VLOOKUP($A187,'Actual Dates'!$A:$G,4,0)="Y",1,0))</f>
        <v>0</v>
      </c>
      <c r="Q187">
        <f>IF(R187&lt;1,0,IF(VLOOKUP($A187,'Actual Dates'!$A:$G,3,0)="Y",1,0))</f>
        <v>0</v>
      </c>
      <c r="R187">
        <f>IF(VLOOKUP($A187,'Actual Dates'!$A:$G,2,0)="Y",1,0)</f>
        <v>0</v>
      </c>
      <c r="S187" s="4">
        <f ca="1">_xlfn.IFNA(+VLOOKUP(A187,'Date Calcs'!A:AG,8,),TODAY())</f>
        <v>46115</v>
      </c>
      <c r="T187" s="4">
        <f ca="1">_xlfn.IFNA(VLOOKUP(A187,'Date Calcs'!A:AG,10,),TODAY())</f>
        <v>46115</v>
      </c>
      <c r="U187" s="4">
        <f ca="1">_xlfn.IFNA(+VLOOKUP(A187,'Date Calcs'!A:AG,12,),TODAY())</f>
        <v>46115</v>
      </c>
      <c r="V187" s="4">
        <f ca="1">_xlfn.IFNA(+VLOOKUP(A187,'Date Calcs'!A:AG,14,),TODAY())</f>
        <v>46115</v>
      </c>
      <c r="W187" s="4">
        <f ca="1">_xlfn.IFNA(+VLOOKUP(A187,'Date Calcs'!A:AG,16,),TODAY())</f>
        <v>46115</v>
      </c>
      <c r="X187" s="4">
        <f ca="1">_xlfn.IFNA(IF(C187=0,VLOOKUP(A187,'Date Calcs'!A:AG,8,),IF(C187=1,VLOOKUP(A187,'Date Calcs'!A:AG,10,),IF(C187=2,VLOOKUP(A187,'Date Calcs'!A:AG,12,),IF(C187=3,VLOOKUP(A187,'Date Calcs'!A:AG,14,),4)))),TODAY())</f>
        <v>46115</v>
      </c>
      <c r="Y187" s="4">
        <f t="shared" ca="1" si="18"/>
        <v>46115</v>
      </c>
      <c r="Z187" s="4">
        <f ca="1">_xlfn.IFNA(Y187+(VLOOKUP(A187,'Date Calcs'!A:W,22,0)*7),TODAY())</f>
        <v>46115</v>
      </c>
      <c r="AA187" s="4">
        <f>_xlfn.IFNA(VLOOKUP(A187,'RTR v2'!$A:$AW,46,0),"")</f>
        <v>0</v>
      </c>
    </row>
    <row r="188" spans="1:27" ht="23.25" hidden="1" x14ac:dyDescent="0.25">
      <c r="A188" s="12">
        <f>'Actual Dates'!A186</f>
        <v>0</v>
      </c>
      <c r="B188" s="13" t="str">
        <f>_xlfn.IFNA(VLOOKUP(A188,'Date Calcs'!A:B,2,),"")</f>
        <v/>
      </c>
      <c r="C188" s="14">
        <f>VLOOKUP(A188,'Actual Dates'!A:AE,18,)</f>
        <v>0</v>
      </c>
      <c r="D188" s="15">
        <f t="shared" ca="1" si="15"/>
        <v>46115</v>
      </c>
      <c r="E188" s="15">
        <f t="shared" ca="1" si="16"/>
        <v>46115</v>
      </c>
      <c r="F188" s="14">
        <f ca="1">IFERROR(ROUND(IF(A188="","",IF(E188=0,D188-Date!$B$3,D188-E188)),0),"")</f>
        <v>0</v>
      </c>
      <c r="G188" s="14" t="str">
        <f>_xlfn.IFNA(VLOOKUP(A188,'RTR v2'!A:AW,48,FALSE)," ")</f>
        <v/>
      </c>
      <c r="I188" s="16" t="str">
        <f t="shared" si="17"/>
        <v>N</v>
      </c>
      <c r="J188" s="16" t="str">
        <f t="shared" si="19"/>
        <v xml:space="preserve">  </v>
      </c>
      <c r="L188" s="17"/>
      <c r="M188" t="str">
        <f t="shared" si="20"/>
        <v xml:space="preserve"> </v>
      </c>
      <c r="N188">
        <f t="shared" si="21"/>
        <v>0</v>
      </c>
      <c r="O188">
        <f>IF(P188&lt;1,0,IF(VLOOKUP($A188,'Actual Dates'!$A:$G,5,0)="Y",1,0))</f>
        <v>0</v>
      </c>
      <c r="P188">
        <f>IF(Q188&lt;1,0,IF(VLOOKUP($A188,'Actual Dates'!$A:$G,4,0)="Y",1,0))</f>
        <v>0</v>
      </c>
      <c r="Q188">
        <f>IF(R188&lt;1,0,IF(VLOOKUP($A188,'Actual Dates'!$A:$G,3,0)="Y",1,0))</f>
        <v>0</v>
      </c>
      <c r="R188">
        <f>IF(VLOOKUP($A188,'Actual Dates'!$A:$G,2,0)="Y",1,0)</f>
        <v>0</v>
      </c>
      <c r="S188" s="4">
        <f ca="1">_xlfn.IFNA(+VLOOKUP(A188,'Date Calcs'!A:AG,8,),TODAY())</f>
        <v>46115</v>
      </c>
      <c r="T188" s="4">
        <f ca="1">_xlfn.IFNA(VLOOKUP(A188,'Date Calcs'!A:AG,10,),TODAY())</f>
        <v>46115</v>
      </c>
      <c r="U188" s="4">
        <f ca="1">_xlfn.IFNA(+VLOOKUP(A188,'Date Calcs'!A:AG,12,),TODAY())</f>
        <v>46115</v>
      </c>
      <c r="V188" s="4">
        <f ca="1">_xlfn.IFNA(+VLOOKUP(A188,'Date Calcs'!A:AG,14,),TODAY())</f>
        <v>46115</v>
      </c>
      <c r="W188" s="4">
        <f ca="1">_xlfn.IFNA(+VLOOKUP(A188,'Date Calcs'!A:AG,16,),TODAY())</f>
        <v>46115</v>
      </c>
      <c r="X188" s="4">
        <f ca="1">_xlfn.IFNA(IF(C188=0,VLOOKUP(A188,'Date Calcs'!A:AG,8,),IF(C188=1,VLOOKUP(A188,'Date Calcs'!A:AG,10,),IF(C188=2,VLOOKUP(A188,'Date Calcs'!A:AG,12,),IF(C188=3,VLOOKUP(A188,'Date Calcs'!A:AG,14,),4)))),TODAY())</f>
        <v>46115</v>
      </c>
      <c r="Y188" s="4">
        <f t="shared" ca="1" si="18"/>
        <v>46115</v>
      </c>
      <c r="Z188" s="4">
        <f ca="1">_xlfn.IFNA(Y188+(VLOOKUP(A188,'Date Calcs'!A:W,22,0)*7),TODAY())</f>
        <v>46115</v>
      </c>
      <c r="AA188" s="4">
        <f>_xlfn.IFNA(VLOOKUP(A188,'RTR v2'!$A:$AW,46,0),"")</f>
        <v>0</v>
      </c>
    </row>
    <row r="189" spans="1:27" ht="23.25" hidden="1" x14ac:dyDescent="0.25">
      <c r="A189" s="12">
        <f>'Actual Dates'!A187</f>
        <v>0</v>
      </c>
      <c r="B189" s="13" t="str">
        <f>_xlfn.IFNA(VLOOKUP(A189,'Date Calcs'!A:B,2,),"")</f>
        <v/>
      </c>
      <c r="C189" s="14">
        <f>VLOOKUP(A189,'Actual Dates'!A:AE,18,)</f>
        <v>0</v>
      </c>
      <c r="D189" s="15">
        <f t="shared" ca="1" si="15"/>
        <v>46115</v>
      </c>
      <c r="E189" s="15">
        <f t="shared" ca="1" si="16"/>
        <v>46115</v>
      </c>
      <c r="F189" s="14">
        <f ca="1">IFERROR(ROUND(IF(A189="","",IF(E189=0,D189-Date!$B$3,D189-E189)),0),"")</f>
        <v>0</v>
      </c>
      <c r="G189" s="14" t="str">
        <f>_xlfn.IFNA(VLOOKUP(A189,'RTR v2'!A:AW,48,FALSE)," ")</f>
        <v/>
      </c>
      <c r="I189" s="16" t="str">
        <f t="shared" si="17"/>
        <v>N</v>
      </c>
      <c r="J189" s="16" t="str">
        <f t="shared" si="19"/>
        <v xml:space="preserve">  </v>
      </c>
      <c r="L189" s="17"/>
      <c r="M189" t="str">
        <f t="shared" si="20"/>
        <v xml:space="preserve"> </v>
      </c>
      <c r="N189">
        <f t="shared" si="21"/>
        <v>0</v>
      </c>
      <c r="O189">
        <f>IF(P189&lt;1,0,IF(VLOOKUP($A189,'Actual Dates'!$A:$G,5,0)="Y",1,0))</f>
        <v>0</v>
      </c>
      <c r="P189">
        <f>IF(Q189&lt;1,0,IF(VLOOKUP($A189,'Actual Dates'!$A:$G,4,0)="Y",1,0))</f>
        <v>0</v>
      </c>
      <c r="Q189">
        <f>IF(R189&lt;1,0,IF(VLOOKUP($A189,'Actual Dates'!$A:$G,3,0)="Y",1,0))</f>
        <v>0</v>
      </c>
      <c r="R189">
        <f>IF(VLOOKUP($A189,'Actual Dates'!$A:$G,2,0)="Y",1,0)</f>
        <v>0</v>
      </c>
      <c r="S189" s="4">
        <f ca="1">_xlfn.IFNA(+VLOOKUP(A189,'Date Calcs'!A:AG,8,),TODAY())</f>
        <v>46115</v>
      </c>
      <c r="T189" s="4">
        <f ca="1">_xlfn.IFNA(VLOOKUP(A189,'Date Calcs'!A:AG,10,),TODAY())</f>
        <v>46115</v>
      </c>
      <c r="U189" s="4">
        <f ca="1">_xlfn.IFNA(+VLOOKUP(A189,'Date Calcs'!A:AG,12,),TODAY())</f>
        <v>46115</v>
      </c>
      <c r="V189" s="4">
        <f ca="1">_xlfn.IFNA(+VLOOKUP(A189,'Date Calcs'!A:AG,14,),TODAY())</f>
        <v>46115</v>
      </c>
      <c r="W189" s="4">
        <f ca="1">_xlfn.IFNA(+VLOOKUP(A189,'Date Calcs'!A:AG,16,),TODAY())</f>
        <v>46115</v>
      </c>
      <c r="X189" s="4">
        <f ca="1">_xlfn.IFNA(IF(C189=0,VLOOKUP(A189,'Date Calcs'!A:AG,8,),IF(C189=1,VLOOKUP(A189,'Date Calcs'!A:AG,10,),IF(C189=2,VLOOKUP(A189,'Date Calcs'!A:AG,12,),IF(C189=3,VLOOKUP(A189,'Date Calcs'!A:AG,14,),4)))),TODAY())</f>
        <v>46115</v>
      </c>
      <c r="Y189" s="4">
        <f t="shared" ca="1" si="18"/>
        <v>46115</v>
      </c>
      <c r="Z189" s="4">
        <f ca="1">_xlfn.IFNA(Y189+(VLOOKUP(A189,'Date Calcs'!A:W,22,0)*7),TODAY())</f>
        <v>46115</v>
      </c>
      <c r="AA189" s="4">
        <f>_xlfn.IFNA(VLOOKUP(A189,'RTR v2'!$A:$AW,46,0),"")</f>
        <v>0</v>
      </c>
    </row>
    <row r="190" spans="1:27" ht="23.25" hidden="1" x14ac:dyDescent="0.25">
      <c r="A190" s="12">
        <f>'Actual Dates'!A188</f>
        <v>0</v>
      </c>
      <c r="B190" s="13" t="str">
        <f>_xlfn.IFNA(VLOOKUP(A190,'Date Calcs'!A:B,2,),"")</f>
        <v/>
      </c>
      <c r="C190" s="14">
        <f>VLOOKUP(A190,'Actual Dates'!A:AE,18,)</f>
        <v>0</v>
      </c>
      <c r="D190" s="15">
        <f t="shared" ca="1" si="15"/>
        <v>46115</v>
      </c>
      <c r="E190" s="15">
        <f t="shared" ca="1" si="16"/>
        <v>46115</v>
      </c>
      <c r="F190" s="14">
        <f ca="1">IFERROR(ROUND(IF(A190="","",IF(E190=0,D190-Date!$B$3,D190-E190)),0),"")</f>
        <v>0</v>
      </c>
      <c r="G190" s="14" t="str">
        <f>_xlfn.IFNA(VLOOKUP(A190,'RTR v2'!A:AW,48,FALSE)," ")</f>
        <v/>
      </c>
      <c r="I190" s="16" t="str">
        <f t="shared" si="17"/>
        <v>N</v>
      </c>
      <c r="J190" s="16" t="str">
        <f t="shared" si="19"/>
        <v xml:space="preserve">  </v>
      </c>
      <c r="L190" s="17"/>
      <c r="M190" t="str">
        <f t="shared" si="20"/>
        <v xml:space="preserve"> </v>
      </c>
      <c r="N190">
        <f t="shared" si="21"/>
        <v>0</v>
      </c>
      <c r="O190">
        <f>IF(P190&lt;1,0,IF(VLOOKUP($A190,'Actual Dates'!$A:$G,5,0)="Y",1,0))</f>
        <v>0</v>
      </c>
      <c r="P190">
        <f>IF(Q190&lt;1,0,IF(VLOOKUP($A190,'Actual Dates'!$A:$G,4,0)="Y",1,0))</f>
        <v>0</v>
      </c>
      <c r="Q190">
        <f>IF(R190&lt;1,0,IF(VLOOKUP($A190,'Actual Dates'!$A:$G,3,0)="Y",1,0))</f>
        <v>0</v>
      </c>
      <c r="R190">
        <f>IF(VLOOKUP($A190,'Actual Dates'!$A:$G,2,0)="Y",1,0)</f>
        <v>0</v>
      </c>
      <c r="S190" s="4">
        <f ca="1">_xlfn.IFNA(+VLOOKUP(A190,'Date Calcs'!A:AG,8,),TODAY())</f>
        <v>46115</v>
      </c>
      <c r="T190" s="4">
        <f ca="1">_xlfn.IFNA(VLOOKUP(A190,'Date Calcs'!A:AG,10,),TODAY())</f>
        <v>46115</v>
      </c>
      <c r="U190" s="4">
        <f ca="1">_xlfn.IFNA(+VLOOKUP(A190,'Date Calcs'!A:AG,12,),TODAY())</f>
        <v>46115</v>
      </c>
      <c r="V190" s="4">
        <f ca="1">_xlfn.IFNA(+VLOOKUP(A190,'Date Calcs'!A:AG,14,),TODAY())</f>
        <v>46115</v>
      </c>
      <c r="W190" s="4">
        <f ca="1">_xlfn.IFNA(+VLOOKUP(A190,'Date Calcs'!A:AG,16,),TODAY())</f>
        <v>46115</v>
      </c>
      <c r="X190" s="4">
        <f ca="1">_xlfn.IFNA(IF(C190=0,VLOOKUP(A190,'Date Calcs'!A:AG,8,),IF(C190=1,VLOOKUP(A190,'Date Calcs'!A:AG,10,),IF(C190=2,VLOOKUP(A190,'Date Calcs'!A:AG,12,),IF(C190=3,VLOOKUP(A190,'Date Calcs'!A:AG,14,),4)))),TODAY())</f>
        <v>46115</v>
      </c>
      <c r="Y190" s="4">
        <f t="shared" ca="1" si="18"/>
        <v>46115</v>
      </c>
      <c r="Z190" s="4">
        <f ca="1">_xlfn.IFNA(Y190+(VLOOKUP(A190,'Date Calcs'!A:W,22,0)*7),TODAY())</f>
        <v>46115</v>
      </c>
      <c r="AA190" s="4">
        <f>_xlfn.IFNA(VLOOKUP(A190,'RTR v2'!$A:$AW,46,0),"")</f>
        <v>0</v>
      </c>
    </row>
    <row r="191" spans="1:27" ht="23.25" hidden="1" x14ac:dyDescent="0.25">
      <c r="A191" s="12">
        <f>'Actual Dates'!A189</f>
        <v>0</v>
      </c>
      <c r="B191" s="13" t="str">
        <f>_xlfn.IFNA(VLOOKUP(A191,'Date Calcs'!A:B,2,),"")</f>
        <v/>
      </c>
      <c r="C191" s="14">
        <f>VLOOKUP(A191,'Actual Dates'!A:AE,18,)</f>
        <v>0</v>
      </c>
      <c r="D191" s="15">
        <f t="shared" ca="1" si="15"/>
        <v>46115</v>
      </c>
      <c r="E191" s="15">
        <f t="shared" ca="1" si="16"/>
        <v>46115</v>
      </c>
      <c r="F191" s="14">
        <f ca="1">IFERROR(ROUND(IF(A191="","",IF(E191=0,D191-Date!$B$3,D191-E191)),0),"")</f>
        <v>0</v>
      </c>
      <c r="G191" s="14" t="str">
        <f>_xlfn.IFNA(VLOOKUP(A191,'RTR v2'!A:AW,48,FALSE)," ")</f>
        <v/>
      </c>
      <c r="I191" s="16" t="str">
        <f t="shared" si="17"/>
        <v>N</v>
      </c>
      <c r="J191" s="16" t="str">
        <f t="shared" si="19"/>
        <v xml:space="preserve">  </v>
      </c>
      <c r="L191" s="17"/>
      <c r="M191" t="str">
        <f t="shared" si="20"/>
        <v xml:space="preserve"> </v>
      </c>
      <c r="N191">
        <f t="shared" si="21"/>
        <v>0</v>
      </c>
      <c r="O191">
        <f>IF(P191&lt;1,0,IF(VLOOKUP($A191,'Actual Dates'!$A:$G,5,0)="Y",1,0))</f>
        <v>0</v>
      </c>
      <c r="P191">
        <f>IF(Q191&lt;1,0,IF(VLOOKUP($A191,'Actual Dates'!$A:$G,4,0)="Y",1,0))</f>
        <v>0</v>
      </c>
      <c r="Q191">
        <f>IF(R191&lt;1,0,IF(VLOOKUP($A191,'Actual Dates'!$A:$G,3,0)="Y",1,0))</f>
        <v>0</v>
      </c>
      <c r="R191">
        <f>IF(VLOOKUP($A191,'Actual Dates'!$A:$G,2,0)="Y",1,0)</f>
        <v>0</v>
      </c>
      <c r="S191" s="4">
        <f ca="1">_xlfn.IFNA(+VLOOKUP(A191,'Date Calcs'!A:AG,8,),TODAY())</f>
        <v>46115</v>
      </c>
      <c r="T191" s="4">
        <f ca="1">_xlfn.IFNA(VLOOKUP(A191,'Date Calcs'!A:AG,10,),TODAY())</f>
        <v>46115</v>
      </c>
      <c r="U191" s="4">
        <f ca="1">_xlfn.IFNA(+VLOOKUP(A191,'Date Calcs'!A:AG,12,),TODAY())</f>
        <v>46115</v>
      </c>
      <c r="V191" s="4">
        <f ca="1">_xlfn.IFNA(+VLOOKUP(A191,'Date Calcs'!A:AG,14,),TODAY())</f>
        <v>46115</v>
      </c>
      <c r="W191" s="4">
        <f ca="1">_xlfn.IFNA(+VLOOKUP(A191,'Date Calcs'!A:AG,16,),TODAY())</f>
        <v>46115</v>
      </c>
      <c r="X191" s="4">
        <f ca="1">_xlfn.IFNA(IF(C191=0,VLOOKUP(A191,'Date Calcs'!A:AG,8,),IF(C191=1,VLOOKUP(A191,'Date Calcs'!A:AG,10,),IF(C191=2,VLOOKUP(A191,'Date Calcs'!A:AG,12,),IF(C191=3,VLOOKUP(A191,'Date Calcs'!A:AG,14,),4)))),TODAY())</f>
        <v>46115</v>
      </c>
      <c r="Y191" s="4">
        <f t="shared" ca="1" si="18"/>
        <v>46115</v>
      </c>
      <c r="Z191" s="4">
        <f ca="1">_xlfn.IFNA(Y191+(VLOOKUP(A191,'Date Calcs'!A:W,22,0)*7),TODAY())</f>
        <v>46115</v>
      </c>
      <c r="AA191" s="4">
        <f>_xlfn.IFNA(VLOOKUP(A191,'RTR v2'!$A:$AW,46,0),"")</f>
        <v>0</v>
      </c>
    </row>
    <row r="192" spans="1:27" ht="23.25" hidden="1" x14ac:dyDescent="0.25">
      <c r="A192" s="12">
        <f>'Actual Dates'!A190</f>
        <v>0</v>
      </c>
      <c r="B192" s="13" t="str">
        <f>_xlfn.IFNA(VLOOKUP(A192,'Date Calcs'!A:B,2,),"")</f>
        <v/>
      </c>
      <c r="C192" s="14">
        <f>VLOOKUP(A192,'Actual Dates'!A:AE,18,)</f>
        <v>0</v>
      </c>
      <c r="D192" s="15">
        <f t="shared" ca="1" si="15"/>
        <v>46115</v>
      </c>
      <c r="E192" s="15">
        <f t="shared" ca="1" si="16"/>
        <v>46115</v>
      </c>
      <c r="F192" s="14">
        <f ca="1">IFERROR(ROUND(IF(A192="","",IF(E192=0,D192-Date!$B$3,D192-E192)),0),"")</f>
        <v>0</v>
      </c>
      <c r="G192" s="14" t="str">
        <f>_xlfn.IFNA(VLOOKUP(A192,'RTR v2'!A:AW,48,FALSE)," ")</f>
        <v/>
      </c>
      <c r="I192" s="16" t="str">
        <f t="shared" si="17"/>
        <v>N</v>
      </c>
      <c r="J192" s="16" t="str">
        <f t="shared" si="19"/>
        <v xml:space="preserve">  </v>
      </c>
      <c r="L192" s="17"/>
      <c r="M192" t="str">
        <f t="shared" si="20"/>
        <v xml:space="preserve"> </v>
      </c>
      <c r="N192">
        <f t="shared" si="21"/>
        <v>0</v>
      </c>
      <c r="O192">
        <f>IF(P192&lt;1,0,IF(VLOOKUP($A192,'Actual Dates'!$A:$G,5,0)="Y",1,0))</f>
        <v>0</v>
      </c>
      <c r="P192">
        <f>IF(Q192&lt;1,0,IF(VLOOKUP($A192,'Actual Dates'!$A:$G,4,0)="Y",1,0))</f>
        <v>0</v>
      </c>
      <c r="Q192">
        <f>IF(R192&lt;1,0,IF(VLOOKUP($A192,'Actual Dates'!$A:$G,3,0)="Y",1,0))</f>
        <v>0</v>
      </c>
      <c r="R192">
        <f>IF(VLOOKUP($A192,'Actual Dates'!$A:$G,2,0)="Y",1,0)</f>
        <v>0</v>
      </c>
      <c r="S192" s="4">
        <f ca="1">_xlfn.IFNA(+VLOOKUP(A192,'Date Calcs'!A:AG,8,),TODAY())</f>
        <v>46115</v>
      </c>
      <c r="T192" s="4">
        <f ca="1">_xlfn.IFNA(VLOOKUP(A192,'Date Calcs'!A:AG,10,),TODAY())</f>
        <v>46115</v>
      </c>
      <c r="U192" s="4">
        <f ca="1">_xlfn.IFNA(+VLOOKUP(A192,'Date Calcs'!A:AG,12,),TODAY())</f>
        <v>46115</v>
      </c>
      <c r="V192" s="4">
        <f ca="1">_xlfn.IFNA(+VLOOKUP(A192,'Date Calcs'!A:AG,14,),TODAY())</f>
        <v>46115</v>
      </c>
      <c r="W192" s="4">
        <f ca="1">_xlfn.IFNA(+VLOOKUP(A192,'Date Calcs'!A:AG,16,),TODAY())</f>
        <v>46115</v>
      </c>
      <c r="X192" s="4">
        <f ca="1">_xlfn.IFNA(IF(C192=0,VLOOKUP(A192,'Date Calcs'!A:AG,8,),IF(C192=1,VLOOKUP(A192,'Date Calcs'!A:AG,10,),IF(C192=2,VLOOKUP(A192,'Date Calcs'!A:AG,12,),IF(C192=3,VLOOKUP(A192,'Date Calcs'!A:AG,14,),4)))),TODAY())</f>
        <v>46115</v>
      </c>
      <c r="Y192" s="4">
        <f t="shared" ca="1" si="18"/>
        <v>46115</v>
      </c>
      <c r="Z192" s="4">
        <f ca="1">_xlfn.IFNA(Y192+(VLOOKUP(A192,'Date Calcs'!A:W,22,0)*7),TODAY())</f>
        <v>46115</v>
      </c>
      <c r="AA192" s="4">
        <f>_xlfn.IFNA(VLOOKUP(A192,'RTR v2'!$A:$AW,46,0),"")</f>
        <v>0</v>
      </c>
    </row>
    <row r="193" spans="1:27" ht="23.25" hidden="1" x14ac:dyDescent="0.25">
      <c r="A193" s="12">
        <f>'Actual Dates'!A191</f>
        <v>0</v>
      </c>
      <c r="B193" s="13" t="str">
        <f>_xlfn.IFNA(VLOOKUP(A193,'Date Calcs'!A:B,2,),"")</f>
        <v/>
      </c>
      <c r="C193" s="14">
        <f>VLOOKUP(A193,'Actual Dates'!A:AE,18,)</f>
        <v>0</v>
      </c>
      <c r="D193" s="15">
        <f t="shared" ca="1" si="15"/>
        <v>46115</v>
      </c>
      <c r="E193" s="15">
        <f t="shared" ca="1" si="16"/>
        <v>46115</v>
      </c>
      <c r="F193" s="14">
        <f ca="1">IFERROR(ROUND(IF(A193="","",IF(E193=0,D193-Date!$B$3,D193-E193)),0),"")</f>
        <v>0</v>
      </c>
      <c r="G193" s="14" t="str">
        <f>_xlfn.IFNA(VLOOKUP(A193,'RTR v2'!A:AW,48,FALSE)," ")</f>
        <v/>
      </c>
      <c r="I193" s="16" t="str">
        <f t="shared" si="17"/>
        <v>N</v>
      </c>
      <c r="J193" s="16" t="str">
        <f t="shared" si="19"/>
        <v xml:space="preserve">  </v>
      </c>
      <c r="L193" s="17"/>
      <c r="M193" t="str">
        <f t="shared" si="20"/>
        <v xml:space="preserve"> </v>
      </c>
      <c r="N193">
        <f t="shared" si="21"/>
        <v>0</v>
      </c>
      <c r="O193">
        <f>IF(P193&lt;1,0,IF(VLOOKUP($A193,'Actual Dates'!$A:$G,5,0)="Y",1,0))</f>
        <v>0</v>
      </c>
      <c r="P193">
        <f>IF(Q193&lt;1,0,IF(VLOOKUP($A193,'Actual Dates'!$A:$G,4,0)="Y",1,0))</f>
        <v>0</v>
      </c>
      <c r="Q193">
        <f>IF(R193&lt;1,0,IF(VLOOKUP($A193,'Actual Dates'!$A:$G,3,0)="Y",1,0))</f>
        <v>0</v>
      </c>
      <c r="R193">
        <f>IF(VLOOKUP($A193,'Actual Dates'!$A:$G,2,0)="Y",1,0)</f>
        <v>0</v>
      </c>
      <c r="S193" s="4">
        <f ca="1">_xlfn.IFNA(+VLOOKUP(A193,'Date Calcs'!A:AG,8,),TODAY())</f>
        <v>46115</v>
      </c>
      <c r="T193" s="4">
        <f ca="1">_xlfn.IFNA(VLOOKUP(A193,'Date Calcs'!A:AG,10,),TODAY())</f>
        <v>46115</v>
      </c>
      <c r="U193" s="4">
        <f ca="1">_xlfn.IFNA(+VLOOKUP(A193,'Date Calcs'!A:AG,12,),TODAY())</f>
        <v>46115</v>
      </c>
      <c r="V193" s="4">
        <f ca="1">_xlfn.IFNA(+VLOOKUP(A193,'Date Calcs'!A:AG,14,),TODAY())</f>
        <v>46115</v>
      </c>
      <c r="W193" s="4">
        <f ca="1">_xlfn.IFNA(+VLOOKUP(A193,'Date Calcs'!A:AG,16,),TODAY())</f>
        <v>46115</v>
      </c>
      <c r="X193" s="4">
        <f ca="1">_xlfn.IFNA(IF(C193=0,VLOOKUP(A193,'Date Calcs'!A:AG,8,),IF(C193=1,VLOOKUP(A193,'Date Calcs'!A:AG,10,),IF(C193=2,VLOOKUP(A193,'Date Calcs'!A:AG,12,),IF(C193=3,VLOOKUP(A193,'Date Calcs'!A:AG,14,),4)))),TODAY())</f>
        <v>46115</v>
      </c>
      <c r="Y193" s="4">
        <f t="shared" ca="1" si="18"/>
        <v>46115</v>
      </c>
      <c r="Z193" s="4">
        <f ca="1">_xlfn.IFNA(Y193+(VLOOKUP(A193,'Date Calcs'!A:W,22,0)*7),TODAY())</f>
        <v>46115</v>
      </c>
      <c r="AA193" s="4">
        <f>_xlfn.IFNA(VLOOKUP(A193,'RTR v2'!$A:$AW,46,0),"")</f>
        <v>0</v>
      </c>
    </row>
    <row r="194" spans="1:27" ht="23.25" hidden="1" x14ac:dyDescent="0.25">
      <c r="A194" s="12">
        <f>'Actual Dates'!A192</f>
        <v>0</v>
      </c>
      <c r="B194" s="13" t="str">
        <f>_xlfn.IFNA(VLOOKUP(A194,'Date Calcs'!A:B,2,),"")</f>
        <v/>
      </c>
      <c r="C194" s="14">
        <f>VLOOKUP(A194,'Actual Dates'!A:AE,18,)</f>
        <v>0</v>
      </c>
      <c r="D194" s="15">
        <f t="shared" ca="1" si="15"/>
        <v>46115</v>
      </c>
      <c r="E194" s="15">
        <f t="shared" ca="1" si="16"/>
        <v>46115</v>
      </c>
      <c r="F194" s="14">
        <f ca="1">IFERROR(ROUND(IF(A194="","",IF(E194=0,D194-Date!$B$3,D194-E194)),0),"")</f>
        <v>0</v>
      </c>
      <c r="G194" s="14" t="str">
        <f>_xlfn.IFNA(VLOOKUP(A194,'RTR v2'!A:AW,48,FALSE)," ")</f>
        <v/>
      </c>
      <c r="I194" s="16" t="str">
        <f t="shared" si="17"/>
        <v>N</v>
      </c>
      <c r="J194" s="16" t="str">
        <f t="shared" si="19"/>
        <v xml:space="preserve">  </v>
      </c>
      <c r="L194" s="17"/>
      <c r="M194" t="str">
        <f t="shared" si="20"/>
        <v xml:space="preserve"> </v>
      </c>
      <c r="N194">
        <f t="shared" si="21"/>
        <v>0</v>
      </c>
      <c r="O194">
        <f>IF(P194&lt;1,0,IF(VLOOKUP($A194,'Actual Dates'!$A:$G,5,0)="Y",1,0))</f>
        <v>0</v>
      </c>
      <c r="P194">
        <f>IF(Q194&lt;1,0,IF(VLOOKUP($A194,'Actual Dates'!$A:$G,4,0)="Y",1,0))</f>
        <v>0</v>
      </c>
      <c r="Q194">
        <f>IF(R194&lt;1,0,IF(VLOOKUP($A194,'Actual Dates'!$A:$G,3,0)="Y",1,0))</f>
        <v>0</v>
      </c>
      <c r="R194">
        <f>IF(VLOOKUP($A194,'Actual Dates'!$A:$G,2,0)="Y",1,0)</f>
        <v>0</v>
      </c>
      <c r="S194" s="4">
        <f ca="1">_xlfn.IFNA(+VLOOKUP(A194,'Date Calcs'!A:AG,8,),TODAY())</f>
        <v>46115</v>
      </c>
      <c r="T194" s="4">
        <f ca="1">_xlfn.IFNA(VLOOKUP(A194,'Date Calcs'!A:AG,10,),TODAY())</f>
        <v>46115</v>
      </c>
      <c r="U194" s="4">
        <f ca="1">_xlfn.IFNA(+VLOOKUP(A194,'Date Calcs'!A:AG,12,),TODAY())</f>
        <v>46115</v>
      </c>
      <c r="V194" s="4">
        <f ca="1">_xlfn.IFNA(+VLOOKUP(A194,'Date Calcs'!A:AG,14,),TODAY())</f>
        <v>46115</v>
      </c>
      <c r="W194" s="4">
        <f ca="1">_xlfn.IFNA(+VLOOKUP(A194,'Date Calcs'!A:AG,16,),TODAY())</f>
        <v>46115</v>
      </c>
      <c r="X194" s="4">
        <f ca="1">_xlfn.IFNA(IF(C194=0,VLOOKUP(A194,'Date Calcs'!A:AG,8,),IF(C194=1,VLOOKUP(A194,'Date Calcs'!A:AG,10,),IF(C194=2,VLOOKUP(A194,'Date Calcs'!A:AG,12,),IF(C194=3,VLOOKUP(A194,'Date Calcs'!A:AG,14,),4)))),TODAY())</f>
        <v>46115</v>
      </c>
      <c r="Y194" s="4">
        <f t="shared" ca="1" si="18"/>
        <v>46115</v>
      </c>
      <c r="Z194" s="4">
        <f ca="1">_xlfn.IFNA(Y194+(VLOOKUP(A194,'Date Calcs'!A:W,22,0)*7),TODAY())</f>
        <v>46115</v>
      </c>
      <c r="AA194" s="4">
        <f>_xlfn.IFNA(VLOOKUP(A194,'RTR v2'!$A:$AW,46,0),"")</f>
        <v>0</v>
      </c>
    </row>
    <row r="195" spans="1:27" ht="23.25" hidden="1" x14ac:dyDescent="0.25">
      <c r="A195" s="12">
        <f>'Actual Dates'!A193</f>
        <v>0</v>
      </c>
      <c r="B195" s="13" t="str">
        <f>_xlfn.IFNA(VLOOKUP(A195,'Date Calcs'!A:B,2,),"")</f>
        <v/>
      </c>
      <c r="C195" s="14">
        <f>VLOOKUP(A195,'Actual Dates'!A:AE,18,)</f>
        <v>0</v>
      </c>
      <c r="D195" s="15">
        <f t="shared" ca="1" si="15"/>
        <v>46115</v>
      </c>
      <c r="E195" s="15">
        <f t="shared" ca="1" si="16"/>
        <v>46115</v>
      </c>
      <c r="F195" s="14">
        <f ca="1">IFERROR(ROUND(IF(A195="","",IF(E195=0,D195-Date!$B$3,D195-E195)),0),"")</f>
        <v>0</v>
      </c>
      <c r="G195" s="14" t="str">
        <f>_xlfn.IFNA(VLOOKUP(A195,'RTR v2'!A:AW,48,FALSE)," ")</f>
        <v/>
      </c>
      <c r="I195" s="16" t="str">
        <f t="shared" si="17"/>
        <v>N</v>
      </c>
      <c r="J195" s="16" t="str">
        <f t="shared" si="19"/>
        <v xml:space="preserve">  </v>
      </c>
      <c r="L195" s="17"/>
      <c r="M195" t="str">
        <f t="shared" si="20"/>
        <v xml:space="preserve"> </v>
      </c>
      <c r="N195">
        <f t="shared" si="21"/>
        <v>0</v>
      </c>
      <c r="O195">
        <f>IF(P195&lt;1,0,IF(VLOOKUP($A195,'Actual Dates'!$A:$G,5,0)="Y",1,0))</f>
        <v>0</v>
      </c>
      <c r="P195">
        <f>IF(Q195&lt;1,0,IF(VLOOKUP($A195,'Actual Dates'!$A:$G,4,0)="Y",1,0))</f>
        <v>0</v>
      </c>
      <c r="Q195">
        <f>IF(R195&lt;1,0,IF(VLOOKUP($A195,'Actual Dates'!$A:$G,3,0)="Y",1,0))</f>
        <v>0</v>
      </c>
      <c r="R195">
        <f>IF(VLOOKUP($A195,'Actual Dates'!$A:$G,2,0)="Y",1,0)</f>
        <v>0</v>
      </c>
      <c r="S195" s="4">
        <f ca="1">_xlfn.IFNA(+VLOOKUP(A195,'Date Calcs'!A:AG,8,),TODAY())</f>
        <v>46115</v>
      </c>
      <c r="T195" s="4">
        <f ca="1">_xlfn.IFNA(VLOOKUP(A195,'Date Calcs'!A:AG,10,),TODAY())</f>
        <v>46115</v>
      </c>
      <c r="U195" s="4">
        <f ca="1">_xlfn.IFNA(+VLOOKUP(A195,'Date Calcs'!A:AG,12,),TODAY())</f>
        <v>46115</v>
      </c>
      <c r="V195" s="4">
        <f ca="1">_xlfn.IFNA(+VLOOKUP(A195,'Date Calcs'!A:AG,14,),TODAY())</f>
        <v>46115</v>
      </c>
      <c r="W195" s="4">
        <f ca="1">_xlfn.IFNA(+VLOOKUP(A195,'Date Calcs'!A:AG,16,),TODAY())</f>
        <v>46115</v>
      </c>
      <c r="X195" s="4">
        <f ca="1">_xlfn.IFNA(IF(C195=0,VLOOKUP(A195,'Date Calcs'!A:AG,8,),IF(C195=1,VLOOKUP(A195,'Date Calcs'!A:AG,10,),IF(C195=2,VLOOKUP(A195,'Date Calcs'!A:AG,12,),IF(C195=3,VLOOKUP(A195,'Date Calcs'!A:AG,14,),4)))),TODAY())</f>
        <v>46115</v>
      </c>
      <c r="Y195" s="4">
        <f t="shared" ca="1" si="18"/>
        <v>46115</v>
      </c>
      <c r="Z195" s="4">
        <f ca="1">_xlfn.IFNA(Y195+(VLOOKUP(A195,'Date Calcs'!A:W,22,0)*7),TODAY())</f>
        <v>46115</v>
      </c>
      <c r="AA195" s="4">
        <f>_xlfn.IFNA(VLOOKUP(A195,'RTR v2'!$A:$AW,46,0),"")</f>
        <v>0</v>
      </c>
    </row>
    <row r="196" spans="1:27" ht="23.25" hidden="1" x14ac:dyDescent="0.25">
      <c r="A196" s="12">
        <f>'Actual Dates'!A194</f>
        <v>0</v>
      </c>
      <c r="B196" s="13" t="str">
        <f>_xlfn.IFNA(VLOOKUP(A196,'Date Calcs'!A:B,2,),"")</f>
        <v/>
      </c>
      <c r="C196" s="14">
        <f>VLOOKUP(A196,'Actual Dates'!A:AE,18,)</f>
        <v>0</v>
      </c>
      <c r="D196" s="15">
        <f t="shared" ca="1" si="15"/>
        <v>46115</v>
      </c>
      <c r="E196" s="15">
        <f t="shared" ca="1" si="16"/>
        <v>46115</v>
      </c>
      <c r="F196" s="14">
        <f ca="1">IFERROR(ROUND(IF(A196="","",IF(E196=0,D196-Date!$B$3,D196-E196)),0),"")</f>
        <v>0</v>
      </c>
      <c r="G196" s="14" t="str">
        <f>_xlfn.IFNA(VLOOKUP(A196,'RTR v2'!A:AW,48,FALSE)," ")</f>
        <v/>
      </c>
      <c r="I196" s="16" t="str">
        <f t="shared" si="17"/>
        <v>N</v>
      </c>
      <c r="J196" s="16" t="str">
        <f t="shared" si="19"/>
        <v xml:space="preserve">  </v>
      </c>
      <c r="L196" s="17"/>
      <c r="M196" t="str">
        <f t="shared" si="20"/>
        <v xml:space="preserve"> </v>
      </c>
      <c r="N196">
        <f t="shared" si="21"/>
        <v>0</v>
      </c>
      <c r="O196">
        <f>IF(P196&lt;1,0,IF(VLOOKUP($A196,'Actual Dates'!$A:$G,5,0)="Y",1,0))</f>
        <v>0</v>
      </c>
      <c r="P196">
        <f>IF(Q196&lt;1,0,IF(VLOOKUP($A196,'Actual Dates'!$A:$G,4,0)="Y",1,0))</f>
        <v>0</v>
      </c>
      <c r="Q196">
        <f>IF(R196&lt;1,0,IF(VLOOKUP($A196,'Actual Dates'!$A:$G,3,0)="Y",1,0))</f>
        <v>0</v>
      </c>
      <c r="R196">
        <f>IF(VLOOKUP($A196,'Actual Dates'!$A:$G,2,0)="Y",1,0)</f>
        <v>0</v>
      </c>
      <c r="S196" s="4">
        <f ca="1">_xlfn.IFNA(+VLOOKUP(A196,'Date Calcs'!A:AG,8,),TODAY())</f>
        <v>46115</v>
      </c>
      <c r="T196" s="4">
        <f ca="1">_xlfn.IFNA(VLOOKUP(A196,'Date Calcs'!A:AG,10,),TODAY())</f>
        <v>46115</v>
      </c>
      <c r="U196" s="4">
        <f ca="1">_xlfn.IFNA(+VLOOKUP(A196,'Date Calcs'!A:AG,12,),TODAY())</f>
        <v>46115</v>
      </c>
      <c r="V196" s="4">
        <f ca="1">_xlfn.IFNA(+VLOOKUP(A196,'Date Calcs'!A:AG,14,),TODAY())</f>
        <v>46115</v>
      </c>
      <c r="W196" s="4">
        <f ca="1">_xlfn.IFNA(+VLOOKUP(A196,'Date Calcs'!A:AG,16,),TODAY())</f>
        <v>46115</v>
      </c>
      <c r="X196" s="4">
        <f ca="1">_xlfn.IFNA(IF(C196=0,VLOOKUP(A196,'Date Calcs'!A:AG,8,),IF(C196=1,VLOOKUP(A196,'Date Calcs'!A:AG,10,),IF(C196=2,VLOOKUP(A196,'Date Calcs'!A:AG,12,),IF(C196=3,VLOOKUP(A196,'Date Calcs'!A:AG,14,),4)))),TODAY())</f>
        <v>46115</v>
      </c>
      <c r="Y196" s="4">
        <f t="shared" ca="1" si="18"/>
        <v>46115</v>
      </c>
      <c r="Z196" s="4">
        <f ca="1">_xlfn.IFNA(Y196+(VLOOKUP(A196,'Date Calcs'!A:W,22,0)*7),TODAY())</f>
        <v>46115</v>
      </c>
      <c r="AA196" s="4">
        <f>_xlfn.IFNA(VLOOKUP(A196,'RTR v2'!$A:$AW,46,0),"")</f>
        <v>0</v>
      </c>
    </row>
    <row r="197" spans="1:27" ht="23.25" hidden="1" x14ac:dyDescent="0.25">
      <c r="A197" s="12">
        <f>'Actual Dates'!A195</f>
        <v>0</v>
      </c>
      <c r="B197" s="13" t="str">
        <f>_xlfn.IFNA(VLOOKUP(A197,'Date Calcs'!A:B,2,),"")</f>
        <v/>
      </c>
      <c r="C197" s="14">
        <f>VLOOKUP(A197,'Actual Dates'!A:AE,18,)</f>
        <v>0</v>
      </c>
      <c r="D197" s="15">
        <f t="shared" ca="1" si="15"/>
        <v>46115</v>
      </c>
      <c r="E197" s="15">
        <f t="shared" ca="1" si="16"/>
        <v>46115</v>
      </c>
      <c r="F197" s="14">
        <f ca="1">IFERROR(ROUND(IF(A197="","",IF(E197=0,D197-Date!$B$3,D197-E197)),0),"")</f>
        <v>0</v>
      </c>
      <c r="G197" s="14" t="str">
        <f>_xlfn.IFNA(VLOOKUP(A197,'RTR v2'!A:AW,48,FALSE)," ")</f>
        <v/>
      </c>
      <c r="I197" s="16" t="str">
        <f t="shared" si="17"/>
        <v>N</v>
      </c>
      <c r="J197" s="16" t="str">
        <f t="shared" si="19"/>
        <v xml:space="preserve">  </v>
      </c>
      <c r="L197" s="17"/>
      <c r="M197" t="str">
        <f t="shared" si="20"/>
        <v xml:space="preserve"> </v>
      </c>
      <c r="N197">
        <f t="shared" si="21"/>
        <v>0</v>
      </c>
      <c r="O197">
        <f>IF(P197&lt;1,0,IF(VLOOKUP($A197,'Actual Dates'!$A:$G,5,0)="Y",1,0))</f>
        <v>0</v>
      </c>
      <c r="P197">
        <f>IF(Q197&lt;1,0,IF(VLOOKUP($A197,'Actual Dates'!$A:$G,4,0)="Y",1,0))</f>
        <v>0</v>
      </c>
      <c r="Q197">
        <f>IF(R197&lt;1,0,IF(VLOOKUP($A197,'Actual Dates'!$A:$G,3,0)="Y",1,0))</f>
        <v>0</v>
      </c>
      <c r="R197">
        <f>IF(VLOOKUP($A197,'Actual Dates'!$A:$G,2,0)="Y",1,0)</f>
        <v>0</v>
      </c>
      <c r="S197" s="4">
        <f ca="1">_xlfn.IFNA(+VLOOKUP(A197,'Date Calcs'!A:AG,8,),TODAY())</f>
        <v>46115</v>
      </c>
      <c r="T197" s="4">
        <f ca="1">_xlfn.IFNA(VLOOKUP(A197,'Date Calcs'!A:AG,10,),TODAY())</f>
        <v>46115</v>
      </c>
      <c r="U197" s="4">
        <f ca="1">_xlfn.IFNA(+VLOOKUP(A197,'Date Calcs'!A:AG,12,),TODAY())</f>
        <v>46115</v>
      </c>
      <c r="V197" s="4">
        <f ca="1">_xlfn.IFNA(+VLOOKUP(A197,'Date Calcs'!A:AG,14,),TODAY())</f>
        <v>46115</v>
      </c>
      <c r="W197" s="4">
        <f ca="1">_xlfn.IFNA(+VLOOKUP(A197,'Date Calcs'!A:AG,16,),TODAY())</f>
        <v>46115</v>
      </c>
      <c r="X197" s="4">
        <f ca="1">_xlfn.IFNA(IF(C197=0,VLOOKUP(A197,'Date Calcs'!A:AG,8,),IF(C197=1,VLOOKUP(A197,'Date Calcs'!A:AG,10,),IF(C197=2,VLOOKUP(A197,'Date Calcs'!A:AG,12,),IF(C197=3,VLOOKUP(A197,'Date Calcs'!A:AG,14,),4)))),TODAY())</f>
        <v>46115</v>
      </c>
      <c r="Y197" s="4">
        <f t="shared" ca="1" si="18"/>
        <v>46115</v>
      </c>
      <c r="Z197" s="4">
        <f ca="1">_xlfn.IFNA(Y197+(VLOOKUP(A197,'Date Calcs'!A:W,22,0)*7),TODAY())</f>
        <v>46115</v>
      </c>
      <c r="AA197" s="4">
        <f>_xlfn.IFNA(VLOOKUP(A197,'RTR v2'!$A:$AW,46,0),"")</f>
        <v>0</v>
      </c>
    </row>
    <row r="198" spans="1:27" ht="23.25" hidden="1" x14ac:dyDescent="0.25">
      <c r="A198" s="12">
        <f>'Actual Dates'!A196</f>
        <v>0</v>
      </c>
      <c r="B198" s="13" t="str">
        <f>_xlfn.IFNA(VLOOKUP(A198,'Date Calcs'!A:B,2,),"")</f>
        <v/>
      </c>
      <c r="C198" s="14">
        <f>VLOOKUP(A198,'Actual Dates'!A:AE,18,)</f>
        <v>0</v>
      </c>
      <c r="D198" s="15">
        <f t="shared" ref="D198:D261" ca="1" si="22">Z198</f>
        <v>46115</v>
      </c>
      <c r="E198" s="15">
        <f t="shared" ref="E198:E261" ca="1" si="23">IF(VLOOKUP(A198,Dates,20,FALSE())="",TODAY(),VLOOKUP(A198,Dates,20,FALSE()))</f>
        <v>46115</v>
      </c>
      <c r="F198" s="14">
        <f ca="1">IFERROR(ROUND(IF(A198="","",IF(E198=0,D198-Date!$B$3,D198-E198)),0),"")</f>
        <v>0</v>
      </c>
      <c r="G198" s="14" t="str">
        <f>_xlfn.IFNA(VLOOKUP(A198,'RTR v2'!A:AW,48,FALSE)," ")</f>
        <v/>
      </c>
      <c r="I198" s="16" t="str">
        <f t="shared" ref="I198:I261" si="24">IF(VLOOKUP(A198,Dates,2,)="N","N",IF(VLOOKUP(A198,Dates,3,)="N","N",IF(VLOOKUP(A198,Dates,4,)="N","N",IF(VLOOKUP(A198,Dates,5,)="N","N","Y"))))</f>
        <v>N</v>
      </c>
      <c r="J198" s="16" t="str">
        <f t="shared" si="19"/>
        <v xml:space="preserve">  </v>
      </c>
      <c r="L198" s="17"/>
      <c r="M198" t="str">
        <f t="shared" si="20"/>
        <v xml:space="preserve"> </v>
      </c>
      <c r="N198">
        <f t="shared" si="21"/>
        <v>0</v>
      </c>
      <c r="O198">
        <f>IF(P198&lt;1,0,IF(VLOOKUP($A198,'Actual Dates'!$A:$G,5,0)="Y",1,0))</f>
        <v>0</v>
      </c>
      <c r="P198">
        <f>IF(Q198&lt;1,0,IF(VLOOKUP($A198,'Actual Dates'!$A:$G,4,0)="Y",1,0))</f>
        <v>0</v>
      </c>
      <c r="Q198">
        <f>IF(R198&lt;1,0,IF(VLOOKUP($A198,'Actual Dates'!$A:$G,3,0)="Y",1,0))</f>
        <v>0</v>
      </c>
      <c r="R198">
        <f>IF(VLOOKUP($A198,'Actual Dates'!$A:$G,2,0)="Y",1,0)</f>
        <v>0</v>
      </c>
      <c r="S198" s="4">
        <f ca="1">_xlfn.IFNA(+VLOOKUP(A198,'Date Calcs'!A:AG,8,),TODAY())</f>
        <v>46115</v>
      </c>
      <c r="T198" s="4">
        <f ca="1">_xlfn.IFNA(VLOOKUP(A198,'Date Calcs'!A:AG,10,),TODAY())</f>
        <v>46115</v>
      </c>
      <c r="U198" s="4">
        <f ca="1">_xlfn.IFNA(+VLOOKUP(A198,'Date Calcs'!A:AG,12,),TODAY())</f>
        <v>46115</v>
      </c>
      <c r="V198" s="4">
        <f ca="1">_xlfn.IFNA(+VLOOKUP(A198,'Date Calcs'!A:AG,14,),TODAY())</f>
        <v>46115</v>
      </c>
      <c r="W198" s="4">
        <f ca="1">_xlfn.IFNA(+VLOOKUP(A198,'Date Calcs'!A:AG,16,),TODAY())</f>
        <v>46115</v>
      </c>
      <c r="X198" s="4">
        <f ca="1">_xlfn.IFNA(IF(C198=0,VLOOKUP(A198,'Date Calcs'!A:AG,8,),IF(C198=1,VLOOKUP(A198,'Date Calcs'!A:AG,10,),IF(C198=2,VLOOKUP(A198,'Date Calcs'!A:AG,12,),IF(C198=3,VLOOKUP(A198,'Date Calcs'!A:AG,14,),4)))),TODAY())</f>
        <v>46115</v>
      </c>
      <c r="Y198" s="4">
        <f t="shared" ref="Y198:Y261" ca="1" si="25">_xlfn.IFNA(IF(X198=4,W198,X198),TODAY())</f>
        <v>46115</v>
      </c>
      <c r="Z198" s="4">
        <f ca="1">_xlfn.IFNA(Y198+(VLOOKUP(A198,'Date Calcs'!A:W,22,0)*7),TODAY())</f>
        <v>46115</v>
      </c>
      <c r="AA198" s="4">
        <f>_xlfn.IFNA(VLOOKUP(A198,'RTR v2'!$A:$AW,46,0),"")</f>
        <v>0</v>
      </c>
    </row>
    <row r="199" spans="1:27" ht="23.25" hidden="1" x14ac:dyDescent="0.25">
      <c r="A199" s="12">
        <f>'Actual Dates'!A197</f>
        <v>0</v>
      </c>
      <c r="B199" s="13" t="str">
        <f>_xlfn.IFNA(VLOOKUP(A199,'Date Calcs'!A:B,2,),"")</f>
        <v/>
      </c>
      <c r="C199" s="14">
        <f>VLOOKUP(A199,'Actual Dates'!A:AE,18,)</f>
        <v>0</v>
      </c>
      <c r="D199" s="15">
        <f t="shared" ca="1" si="22"/>
        <v>46115</v>
      </c>
      <c r="E199" s="15">
        <f t="shared" ca="1" si="23"/>
        <v>46115</v>
      </c>
      <c r="F199" s="14">
        <f ca="1">IFERROR(ROUND(IF(A199="","",IF(E199=0,D199-Date!$B$3,D199-E199)),0),"")</f>
        <v>0</v>
      </c>
      <c r="G199" s="14" t="str">
        <f>_xlfn.IFNA(VLOOKUP(A199,'RTR v2'!A:AW,48,FALSE)," ")</f>
        <v/>
      </c>
      <c r="I199" s="16" t="str">
        <f t="shared" si="24"/>
        <v>N</v>
      </c>
      <c r="J199" s="16" t="str">
        <f t="shared" ref="J199:J262" si="26">VLOOKUP(A199,Dates,7,)</f>
        <v xml:space="preserve">  </v>
      </c>
      <c r="L199" s="17"/>
      <c r="M199" t="str">
        <f t="shared" ref="M199:M262" si="27">IF(N199="Y",N199," ")</f>
        <v xml:space="preserve"> </v>
      </c>
      <c r="N199">
        <f t="shared" ref="N199:N262" si="28">IF(R199="Y",R199,IF(Q199="Y",Q199,IF(P199="Y",P199,O199)))</f>
        <v>0</v>
      </c>
      <c r="O199">
        <f>IF(P199&lt;1,0,IF(VLOOKUP($A199,'Actual Dates'!$A:$G,5,0)="Y",1,0))</f>
        <v>0</v>
      </c>
      <c r="P199">
        <f>IF(Q199&lt;1,0,IF(VLOOKUP($A199,'Actual Dates'!$A:$G,4,0)="Y",1,0))</f>
        <v>0</v>
      </c>
      <c r="Q199">
        <f>IF(R199&lt;1,0,IF(VLOOKUP($A199,'Actual Dates'!$A:$G,3,0)="Y",1,0))</f>
        <v>0</v>
      </c>
      <c r="R199">
        <f>IF(VLOOKUP($A199,'Actual Dates'!$A:$G,2,0)="Y",1,0)</f>
        <v>0</v>
      </c>
      <c r="S199" s="4">
        <f ca="1">_xlfn.IFNA(+VLOOKUP(A199,'Date Calcs'!A:AG,8,),TODAY())</f>
        <v>46115</v>
      </c>
      <c r="T199" s="4">
        <f ca="1">_xlfn.IFNA(VLOOKUP(A199,'Date Calcs'!A:AG,10,),TODAY())</f>
        <v>46115</v>
      </c>
      <c r="U199" s="4">
        <f ca="1">_xlfn.IFNA(+VLOOKUP(A199,'Date Calcs'!A:AG,12,),TODAY())</f>
        <v>46115</v>
      </c>
      <c r="V199" s="4">
        <f ca="1">_xlfn.IFNA(+VLOOKUP(A199,'Date Calcs'!A:AG,14,),TODAY())</f>
        <v>46115</v>
      </c>
      <c r="W199" s="4">
        <f ca="1">_xlfn.IFNA(+VLOOKUP(A199,'Date Calcs'!A:AG,16,),TODAY())</f>
        <v>46115</v>
      </c>
      <c r="X199" s="4">
        <f ca="1">_xlfn.IFNA(IF(C199=0,VLOOKUP(A199,'Date Calcs'!A:AG,8,),IF(C199=1,VLOOKUP(A199,'Date Calcs'!A:AG,10,),IF(C199=2,VLOOKUP(A199,'Date Calcs'!A:AG,12,),IF(C199=3,VLOOKUP(A199,'Date Calcs'!A:AG,14,),4)))),TODAY())</f>
        <v>46115</v>
      </c>
      <c r="Y199" s="4">
        <f t="shared" ca="1" si="25"/>
        <v>46115</v>
      </c>
      <c r="Z199" s="4">
        <f ca="1">_xlfn.IFNA(Y199+(VLOOKUP(A199,'Date Calcs'!A:W,22,0)*7),TODAY())</f>
        <v>46115</v>
      </c>
      <c r="AA199" s="4">
        <f>_xlfn.IFNA(VLOOKUP(A199,'RTR v2'!$A:$AW,46,0),"")</f>
        <v>0</v>
      </c>
    </row>
    <row r="200" spans="1:27" ht="23.25" hidden="1" x14ac:dyDescent="0.25">
      <c r="A200" s="12">
        <f>'Actual Dates'!A198</f>
        <v>0</v>
      </c>
      <c r="B200" s="13" t="str">
        <f>_xlfn.IFNA(VLOOKUP(A200,'Date Calcs'!A:B,2,),"")</f>
        <v/>
      </c>
      <c r="C200" s="14">
        <f>VLOOKUP(A200,'Actual Dates'!A:AE,18,)</f>
        <v>0</v>
      </c>
      <c r="D200" s="15">
        <f t="shared" ca="1" si="22"/>
        <v>46115</v>
      </c>
      <c r="E200" s="15">
        <f t="shared" ca="1" si="23"/>
        <v>46115</v>
      </c>
      <c r="F200" s="14">
        <f ca="1">IFERROR(ROUND(IF(A200="","",IF(E200=0,D200-Date!$B$3,D200-E200)),0),"")</f>
        <v>0</v>
      </c>
      <c r="G200" s="14" t="str">
        <f>_xlfn.IFNA(VLOOKUP(A200,'RTR v2'!A:AW,48,FALSE)," ")</f>
        <v/>
      </c>
      <c r="I200" s="16" t="str">
        <f t="shared" si="24"/>
        <v>N</v>
      </c>
      <c r="J200" s="16" t="str">
        <f t="shared" si="26"/>
        <v xml:space="preserve">  </v>
      </c>
      <c r="L200" s="17"/>
      <c r="M200" t="str">
        <f t="shared" si="27"/>
        <v xml:space="preserve"> </v>
      </c>
      <c r="N200">
        <f t="shared" si="28"/>
        <v>0</v>
      </c>
      <c r="O200">
        <f>IF(P200&lt;1,0,IF(VLOOKUP($A200,'Actual Dates'!$A:$G,5,0)="Y",1,0))</f>
        <v>0</v>
      </c>
      <c r="P200">
        <f>IF(Q200&lt;1,0,IF(VLOOKUP($A200,'Actual Dates'!$A:$G,4,0)="Y",1,0))</f>
        <v>0</v>
      </c>
      <c r="Q200">
        <f>IF(R200&lt;1,0,IF(VLOOKUP($A200,'Actual Dates'!$A:$G,3,0)="Y",1,0))</f>
        <v>0</v>
      </c>
      <c r="R200">
        <f>IF(VLOOKUP($A200,'Actual Dates'!$A:$G,2,0)="Y",1,0)</f>
        <v>0</v>
      </c>
      <c r="S200" s="4">
        <f ca="1">_xlfn.IFNA(+VLOOKUP(A200,'Date Calcs'!A:AG,8,),TODAY())</f>
        <v>46115</v>
      </c>
      <c r="T200" s="4">
        <f ca="1">_xlfn.IFNA(VLOOKUP(A200,'Date Calcs'!A:AG,10,),TODAY())</f>
        <v>46115</v>
      </c>
      <c r="U200" s="4">
        <f ca="1">_xlfn.IFNA(+VLOOKUP(A200,'Date Calcs'!A:AG,12,),TODAY())</f>
        <v>46115</v>
      </c>
      <c r="V200" s="4">
        <f ca="1">_xlfn.IFNA(+VLOOKUP(A200,'Date Calcs'!A:AG,14,),TODAY())</f>
        <v>46115</v>
      </c>
      <c r="W200" s="4">
        <f ca="1">_xlfn.IFNA(+VLOOKUP(A200,'Date Calcs'!A:AG,16,),TODAY())</f>
        <v>46115</v>
      </c>
      <c r="X200" s="4">
        <f ca="1">_xlfn.IFNA(IF(C200=0,VLOOKUP(A200,'Date Calcs'!A:AG,8,),IF(C200=1,VLOOKUP(A200,'Date Calcs'!A:AG,10,),IF(C200=2,VLOOKUP(A200,'Date Calcs'!A:AG,12,),IF(C200=3,VLOOKUP(A200,'Date Calcs'!A:AG,14,),4)))),TODAY())</f>
        <v>46115</v>
      </c>
      <c r="Y200" s="4">
        <f t="shared" ca="1" si="25"/>
        <v>46115</v>
      </c>
      <c r="Z200" s="4">
        <f ca="1">_xlfn.IFNA(Y200+(VLOOKUP(A200,'Date Calcs'!A:W,22,0)*7),TODAY())</f>
        <v>46115</v>
      </c>
      <c r="AA200" s="4">
        <f>_xlfn.IFNA(VLOOKUP(A200,'RTR v2'!$A:$AW,46,0),"")</f>
        <v>0</v>
      </c>
    </row>
    <row r="201" spans="1:27" ht="23.25" hidden="1" x14ac:dyDescent="0.25">
      <c r="A201" s="12">
        <f>'Actual Dates'!A199</f>
        <v>0</v>
      </c>
      <c r="B201" s="13" t="str">
        <f>_xlfn.IFNA(VLOOKUP(A201,'Date Calcs'!A:B,2,),"")</f>
        <v/>
      </c>
      <c r="C201" s="14">
        <f>VLOOKUP(A201,'Actual Dates'!A:AE,18,)</f>
        <v>0</v>
      </c>
      <c r="D201" s="15">
        <f t="shared" ca="1" si="22"/>
        <v>46115</v>
      </c>
      <c r="E201" s="15">
        <f t="shared" ca="1" si="23"/>
        <v>46115</v>
      </c>
      <c r="F201" s="14">
        <f ca="1">IFERROR(ROUND(IF(A201="","",IF(E201=0,D201-Date!$B$3,D201-E201)),0),"")</f>
        <v>0</v>
      </c>
      <c r="G201" s="14" t="str">
        <f>_xlfn.IFNA(VLOOKUP(A201,'RTR v2'!A:AW,48,FALSE)," ")</f>
        <v/>
      </c>
      <c r="I201" s="16" t="str">
        <f t="shared" si="24"/>
        <v>N</v>
      </c>
      <c r="J201" s="16" t="str">
        <f t="shared" si="26"/>
        <v xml:space="preserve">  </v>
      </c>
      <c r="L201" s="17"/>
      <c r="M201" t="str">
        <f t="shared" si="27"/>
        <v xml:space="preserve"> </v>
      </c>
      <c r="N201">
        <f t="shared" si="28"/>
        <v>0</v>
      </c>
      <c r="O201">
        <f>IF(P201&lt;1,0,IF(VLOOKUP($A201,'Actual Dates'!$A:$G,5,0)="Y",1,0))</f>
        <v>0</v>
      </c>
      <c r="P201">
        <f>IF(Q201&lt;1,0,IF(VLOOKUP($A201,'Actual Dates'!$A:$G,4,0)="Y",1,0))</f>
        <v>0</v>
      </c>
      <c r="Q201">
        <f>IF(R201&lt;1,0,IF(VLOOKUP($A201,'Actual Dates'!$A:$G,3,0)="Y",1,0))</f>
        <v>0</v>
      </c>
      <c r="R201">
        <f>IF(VLOOKUP($A201,'Actual Dates'!$A:$G,2,0)="Y",1,0)</f>
        <v>0</v>
      </c>
      <c r="S201" s="4">
        <f ca="1">_xlfn.IFNA(+VLOOKUP(A201,'Date Calcs'!A:AG,8,),TODAY())</f>
        <v>46115</v>
      </c>
      <c r="T201" s="4">
        <f ca="1">_xlfn.IFNA(VLOOKUP(A201,'Date Calcs'!A:AG,10,),TODAY())</f>
        <v>46115</v>
      </c>
      <c r="U201" s="4">
        <f ca="1">_xlfn.IFNA(+VLOOKUP(A201,'Date Calcs'!A:AG,12,),TODAY())</f>
        <v>46115</v>
      </c>
      <c r="V201" s="4">
        <f ca="1">_xlfn.IFNA(+VLOOKUP(A201,'Date Calcs'!A:AG,14,),TODAY())</f>
        <v>46115</v>
      </c>
      <c r="W201" s="4">
        <f ca="1">_xlfn.IFNA(+VLOOKUP(A201,'Date Calcs'!A:AG,16,),TODAY())</f>
        <v>46115</v>
      </c>
      <c r="X201" s="4">
        <f ca="1">_xlfn.IFNA(IF(C201=0,VLOOKUP(A201,'Date Calcs'!A:AG,8,),IF(C201=1,VLOOKUP(A201,'Date Calcs'!A:AG,10,),IF(C201=2,VLOOKUP(A201,'Date Calcs'!A:AG,12,),IF(C201=3,VLOOKUP(A201,'Date Calcs'!A:AG,14,),4)))),TODAY())</f>
        <v>46115</v>
      </c>
      <c r="Y201" s="4">
        <f t="shared" ca="1" si="25"/>
        <v>46115</v>
      </c>
      <c r="Z201" s="4">
        <f ca="1">_xlfn.IFNA(Y201+(VLOOKUP(A201,'Date Calcs'!A:W,22,0)*7),TODAY())</f>
        <v>46115</v>
      </c>
      <c r="AA201" s="4">
        <f>_xlfn.IFNA(VLOOKUP(A201,'RTR v2'!$A:$AW,46,0),"")</f>
        <v>0</v>
      </c>
    </row>
    <row r="202" spans="1:27" ht="23.25" hidden="1" x14ac:dyDescent="0.25">
      <c r="A202" s="12">
        <f>'Actual Dates'!A200</f>
        <v>0</v>
      </c>
      <c r="B202" s="13" t="str">
        <f>_xlfn.IFNA(VLOOKUP(A202,'Date Calcs'!A:B,2,),"")</f>
        <v/>
      </c>
      <c r="C202" s="14">
        <f>VLOOKUP(A202,'Actual Dates'!A:AE,18,)</f>
        <v>0</v>
      </c>
      <c r="D202" s="15">
        <f t="shared" ca="1" si="22"/>
        <v>46115</v>
      </c>
      <c r="E202" s="15">
        <f t="shared" ca="1" si="23"/>
        <v>46115</v>
      </c>
      <c r="F202" s="14">
        <f ca="1">IFERROR(ROUND(IF(A202="","",IF(E202=0,D202-Date!$B$3,D202-E202)),0),"")</f>
        <v>0</v>
      </c>
      <c r="G202" s="14" t="str">
        <f>_xlfn.IFNA(VLOOKUP(A202,'RTR v2'!A:AW,48,FALSE)," ")</f>
        <v/>
      </c>
      <c r="I202" s="16" t="str">
        <f t="shared" si="24"/>
        <v>N</v>
      </c>
      <c r="J202" s="16" t="str">
        <f t="shared" si="26"/>
        <v xml:space="preserve">  </v>
      </c>
      <c r="L202" s="17"/>
      <c r="M202" t="str">
        <f t="shared" si="27"/>
        <v xml:space="preserve"> </v>
      </c>
      <c r="N202">
        <f t="shared" si="28"/>
        <v>0</v>
      </c>
      <c r="O202">
        <f>IF(P202&lt;1,0,IF(VLOOKUP($A202,'Actual Dates'!$A:$G,5,0)="Y",1,0))</f>
        <v>0</v>
      </c>
      <c r="P202">
        <f>IF(Q202&lt;1,0,IF(VLOOKUP($A202,'Actual Dates'!$A:$G,4,0)="Y",1,0))</f>
        <v>0</v>
      </c>
      <c r="Q202">
        <f>IF(R202&lt;1,0,IF(VLOOKUP($A202,'Actual Dates'!$A:$G,3,0)="Y",1,0))</f>
        <v>0</v>
      </c>
      <c r="R202">
        <f>IF(VLOOKUP($A202,'Actual Dates'!$A:$G,2,0)="Y",1,0)</f>
        <v>0</v>
      </c>
      <c r="S202" s="4">
        <f ca="1">_xlfn.IFNA(+VLOOKUP(A202,'Date Calcs'!A:AG,8,),TODAY())</f>
        <v>46115</v>
      </c>
      <c r="T202" s="4">
        <f ca="1">_xlfn.IFNA(VLOOKUP(A202,'Date Calcs'!A:AG,10,),TODAY())</f>
        <v>46115</v>
      </c>
      <c r="U202" s="4">
        <f ca="1">_xlfn.IFNA(+VLOOKUP(A202,'Date Calcs'!A:AG,12,),TODAY())</f>
        <v>46115</v>
      </c>
      <c r="V202" s="4">
        <f ca="1">_xlfn.IFNA(+VLOOKUP(A202,'Date Calcs'!A:AG,14,),TODAY())</f>
        <v>46115</v>
      </c>
      <c r="W202" s="4">
        <f ca="1">_xlfn.IFNA(+VLOOKUP(A202,'Date Calcs'!A:AG,16,),TODAY())</f>
        <v>46115</v>
      </c>
      <c r="X202" s="4">
        <f ca="1">_xlfn.IFNA(IF(C202=0,VLOOKUP(A202,'Date Calcs'!A:AG,8,),IF(C202=1,VLOOKUP(A202,'Date Calcs'!A:AG,10,),IF(C202=2,VLOOKUP(A202,'Date Calcs'!A:AG,12,),IF(C202=3,VLOOKUP(A202,'Date Calcs'!A:AG,14,),4)))),TODAY())</f>
        <v>46115</v>
      </c>
      <c r="Y202" s="4">
        <f t="shared" ca="1" si="25"/>
        <v>46115</v>
      </c>
      <c r="Z202" s="4">
        <f ca="1">_xlfn.IFNA(Y202+(VLOOKUP(A202,'Date Calcs'!A:W,22,0)*7),TODAY())</f>
        <v>46115</v>
      </c>
      <c r="AA202" s="4">
        <f>_xlfn.IFNA(VLOOKUP(A202,'RTR v2'!$A:$AW,46,0),"")</f>
        <v>0</v>
      </c>
    </row>
    <row r="203" spans="1:27" ht="23.25" hidden="1" x14ac:dyDescent="0.25">
      <c r="A203" s="12">
        <f>'Actual Dates'!A201</f>
        <v>0</v>
      </c>
      <c r="B203" s="13" t="str">
        <f>_xlfn.IFNA(VLOOKUP(A203,'Date Calcs'!A:B,2,),"")</f>
        <v/>
      </c>
      <c r="C203" s="14">
        <f>VLOOKUP(A203,'Actual Dates'!A:AE,18,)</f>
        <v>0</v>
      </c>
      <c r="D203" s="15">
        <f t="shared" ca="1" si="22"/>
        <v>46115</v>
      </c>
      <c r="E203" s="15">
        <f t="shared" ca="1" si="23"/>
        <v>46115</v>
      </c>
      <c r="F203" s="14">
        <f ca="1">IFERROR(ROUND(IF(A203="","",IF(E203=0,D203-Date!$B$3,D203-E203)),0),"")</f>
        <v>0</v>
      </c>
      <c r="G203" s="14" t="str">
        <f>_xlfn.IFNA(VLOOKUP(A203,'RTR v2'!A:AW,48,FALSE)," ")</f>
        <v/>
      </c>
      <c r="I203" s="16" t="str">
        <f t="shared" si="24"/>
        <v>N</v>
      </c>
      <c r="J203" s="16" t="str">
        <f t="shared" si="26"/>
        <v xml:space="preserve">  </v>
      </c>
      <c r="L203" s="17"/>
      <c r="M203" t="str">
        <f t="shared" si="27"/>
        <v xml:space="preserve"> </v>
      </c>
      <c r="N203">
        <f t="shared" si="28"/>
        <v>0</v>
      </c>
      <c r="O203">
        <f>IF(P203&lt;1,0,IF(VLOOKUP($A203,'Actual Dates'!$A:$G,5,0)="Y",1,0))</f>
        <v>0</v>
      </c>
      <c r="P203">
        <f>IF(Q203&lt;1,0,IF(VLOOKUP($A203,'Actual Dates'!$A:$G,4,0)="Y",1,0))</f>
        <v>0</v>
      </c>
      <c r="Q203">
        <f>IF(R203&lt;1,0,IF(VLOOKUP($A203,'Actual Dates'!$A:$G,3,0)="Y",1,0))</f>
        <v>0</v>
      </c>
      <c r="R203">
        <f>IF(VLOOKUP($A203,'Actual Dates'!$A:$G,2,0)="Y",1,0)</f>
        <v>0</v>
      </c>
      <c r="S203" s="4">
        <f ca="1">_xlfn.IFNA(+VLOOKUP(A203,'Date Calcs'!A:AG,8,),TODAY())</f>
        <v>46115</v>
      </c>
      <c r="T203" s="4">
        <f ca="1">_xlfn.IFNA(VLOOKUP(A203,'Date Calcs'!A:AG,10,),TODAY())</f>
        <v>46115</v>
      </c>
      <c r="U203" s="4">
        <f ca="1">_xlfn.IFNA(+VLOOKUP(A203,'Date Calcs'!A:AG,12,),TODAY())</f>
        <v>46115</v>
      </c>
      <c r="V203" s="4">
        <f ca="1">_xlfn.IFNA(+VLOOKUP(A203,'Date Calcs'!A:AG,14,),TODAY())</f>
        <v>46115</v>
      </c>
      <c r="W203" s="4">
        <f ca="1">_xlfn.IFNA(+VLOOKUP(A203,'Date Calcs'!A:AG,16,),TODAY())</f>
        <v>46115</v>
      </c>
      <c r="X203" s="4">
        <f ca="1">_xlfn.IFNA(IF(C203=0,VLOOKUP(A203,'Date Calcs'!A:AG,8,),IF(C203=1,VLOOKUP(A203,'Date Calcs'!A:AG,10,),IF(C203=2,VLOOKUP(A203,'Date Calcs'!A:AG,12,),IF(C203=3,VLOOKUP(A203,'Date Calcs'!A:AG,14,),4)))),TODAY())</f>
        <v>46115</v>
      </c>
      <c r="Y203" s="4">
        <f t="shared" ca="1" si="25"/>
        <v>46115</v>
      </c>
      <c r="Z203" s="4">
        <f ca="1">_xlfn.IFNA(Y203+(VLOOKUP(A203,'Date Calcs'!A:W,22,0)*7),TODAY())</f>
        <v>46115</v>
      </c>
      <c r="AA203" s="4">
        <f>_xlfn.IFNA(VLOOKUP(A203,'RTR v2'!$A:$AW,46,0),"")</f>
        <v>0</v>
      </c>
    </row>
    <row r="204" spans="1:27" ht="23.25" hidden="1" x14ac:dyDescent="0.25">
      <c r="A204" s="12">
        <f>'Actual Dates'!A202</f>
        <v>0</v>
      </c>
      <c r="B204" s="13" t="str">
        <f>_xlfn.IFNA(VLOOKUP(A204,'Date Calcs'!A:B,2,),"")</f>
        <v/>
      </c>
      <c r="C204" s="14">
        <f>VLOOKUP(A204,'Actual Dates'!A:AE,18,)</f>
        <v>0</v>
      </c>
      <c r="D204" s="15">
        <f t="shared" ca="1" si="22"/>
        <v>46115</v>
      </c>
      <c r="E204" s="15">
        <f t="shared" ca="1" si="23"/>
        <v>46115</v>
      </c>
      <c r="F204" s="14">
        <f ca="1">IFERROR(ROUND(IF(A204="","",IF(E204=0,D204-Date!$B$3,D204-E204)),0),"")</f>
        <v>0</v>
      </c>
      <c r="G204" s="14" t="str">
        <f>_xlfn.IFNA(VLOOKUP(A204,'RTR v2'!A:AW,48,FALSE)," ")</f>
        <v/>
      </c>
      <c r="I204" s="16" t="str">
        <f t="shared" si="24"/>
        <v>N</v>
      </c>
      <c r="J204" s="16" t="str">
        <f t="shared" si="26"/>
        <v xml:space="preserve">  </v>
      </c>
      <c r="L204" s="17"/>
      <c r="M204" t="str">
        <f t="shared" si="27"/>
        <v xml:space="preserve"> </v>
      </c>
      <c r="N204">
        <f t="shared" si="28"/>
        <v>0</v>
      </c>
      <c r="O204">
        <f>IF(P204&lt;1,0,IF(VLOOKUP($A204,'Actual Dates'!$A:$G,5,0)="Y",1,0))</f>
        <v>0</v>
      </c>
      <c r="P204">
        <f>IF(Q204&lt;1,0,IF(VLOOKUP($A204,'Actual Dates'!$A:$G,4,0)="Y",1,0))</f>
        <v>0</v>
      </c>
      <c r="Q204">
        <f>IF(R204&lt;1,0,IF(VLOOKUP($A204,'Actual Dates'!$A:$G,3,0)="Y",1,0))</f>
        <v>0</v>
      </c>
      <c r="R204">
        <f>IF(VLOOKUP($A204,'Actual Dates'!$A:$G,2,0)="Y",1,0)</f>
        <v>0</v>
      </c>
      <c r="S204" s="4">
        <f ca="1">_xlfn.IFNA(+VLOOKUP(A204,'Date Calcs'!A:AG,8,),TODAY())</f>
        <v>46115</v>
      </c>
      <c r="T204" s="4">
        <f ca="1">_xlfn.IFNA(VLOOKUP(A204,'Date Calcs'!A:AG,10,),TODAY())</f>
        <v>46115</v>
      </c>
      <c r="U204" s="4">
        <f ca="1">_xlfn.IFNA(+VLOOKUP(A204,'Date Calcs'!A:AG,12,),TODAY())</f>
        <v>46115</v>
      </c>
      <c r="V204" s="4">
        <f ca="1">_xlfn.IFNA(+VLOOKUP(A204,'Date Calcs'!A:AG,14,),TODAY())</f>
        <v>46115</v>
      </c>
      <c r="W204" s="4">
        <f ca="1">_xlfn.IFNA(+VLOOKUP(A204,'Date Calcs'!A:AG,16,),TODAY())</f>
        <v>46115</v>
      </c>
      <c r="X204" s="4">
        <f ca="1">_xlfn.IFNA(IF(C204=0,VLOOKUP(A204,'Date Calcs'!A:AG,8,),IF(C204=1,VLOOKUP(A204,'Date Calcs'!A:AG,10,),IF(C204=2,VLOOKUP(A204,'Date Calcs'!A:AG,12,),IF(C204=3,VLOOKUP(A204,'Date Calcs'!A:AG,14,),4)))),TODAY())</f>
        <v>46115</v>
      </c>
      <c r="Y204" s="4">
        <f t="shared" ca="1" si="25"/>
        <v>46115</v>
      </c>
      <c r="Z204" s="4">
        <f ca="1">_xlfn.IFNA(Y204+(VLOOKUP(A204,'Date Calcs'!A:W,22,0)*7),TODAY())</f>
        <v>46115</v>
      </c>
      <c r="AA204" s="4">
        <f>_xlfn.IFNA(VLOOKUP(A204,'RTR v2'!$A:$AW,46,0),"")</f>
        <v>0</v>
      </c>
    </row>
    <row r="205" spans="1:27" ht="23.25" hidden="1" x14ac:dyDescent="0.25">
      <c r="A205" s="12">
        <f>'Actual Dates'!A203</f>
        <v>0</v>
      </c>
      <c r="B205" s="13" t="str">
        <f>_xlfn.IFNA(VLOOKUP(A205,'Date Calcs'!A:B,2,),"")</f>
        <v/>
      </c>
      <c r="C205" s="14">
        <f>VLOOKUP(A205,'Actual Dates'!A:AE,18,)</f>
        <v>0</v>
      </c>
      <c r="D205" s="15">
        <f t="shared" ca="1" si="22"/>
        <v>46115</v>
      </c>
      <c r="E205" s="15">
        <f t="shared" ca="1" si="23"/>
        <v>46115</v>
      </c>
      <c r="F205" s="14">
        <f ca="1">IFERROR(ROUND(IF(A205="","",IF(E205=0,D205-Date!$B$3,D205-E205)),0),"")</f>
        <v>0</v>
      </c>
      <c r="G205" s="14" t="str">
        <f>_xlfn.IFNA(VLOOKUP(A205,'RTR v2'!A:AW,48,FALSE)," ")</f>
        <v/>
      </c>
      <c r="I205" s="16" t="str">
        <f t="shared" si="24"/>
        <v>N</v>
      </c>
      <c r="J205" s="16" t="str">
        <f t="shared" si="26"/>
        <v xml:space="preserve">  </v>
      </c>
      <c r="L205" s="17"/>
      <c r="M205" t="str">
        <f t="shared" si="27"/>
        <v xml:space="preserve"> </v>
      </c>
      <c r="N205">
        <f t="shared" si="28"/>
        <v>0</v>
      </c>
      <c r="O205">
        <f>IF(P205&lt;1,0,IF(VLOOKUP($A205,'Actual Dates'!$A:$G,5,0)="Y",1,0))</f>
        <v>0</v>
      </c>
      <c r="P205">
        <f>IF(Q205&lt;1,0,IF(VLOOKUP($A205,'Actual Dates'!$A:$G,4,0)="Y",1,0))</f>
        <v>0</v>
      </c>
      <c r="Q205">
        <f>IF(R205&lt;1,0,IF(VLOOKUP($A205,'Actual Dates'!$A:$G,3,0)="Y",1,0))</f>
        <v>0</v>
      </c>
      <c r="R205">
        <f>IF(VLOOKUP($A205,'Actual Dates'!$A:$G,2,0)="Y",1,0)</f>
        <v>0</v>
      </c>
      <c r="S205" s="4">
        <f ca="1">_xlfn.IFNA(+VLOOKUP(A205,'Date Calcs'!A:AG,8,),TODAY())</f>
        <v>46115</v>
      </c>
      <c r="T205" s="4">
        <f ca="1">_xlfn.IFNA(VLOOKUP(A205,'Date Calcs'!A:AG,10,),TODAY())</f>
        <v>46115</v>
      </c>
      <c r="U205" s="4">
        <f ca="1">_xlfn.IFNA(+VLOOKUP(A205,'Date Calcs'!A:AG,12,),TODAY())</f>
        <v>46115</v>
      </c>
      <c r="V205" s="4">
        <f ca="1">_xlfn.IFNA(+VLOOKUP(A205,'Date Calcs'!A:AG,14,),TODAY())</f>
        <v>46115</v>
      </c>
      <c r="W205" s="4">
        <f ca="1">_xlfn.IFNA(+VLOOKUP(A205,'Date Calcs'!A:AG,16,),TODAY())</f>
        <v>46115</v>
      </c>
      <c r="X205" s="4">
        <f ca="1">_xlfn.IFNA(IF(C205=0,VLOOKUP(A205,'Date Calcs'!A:AG,8,),IF(C205=1,VLOOKUP(A205,'Date Calcs'!A:AG,10,),IF(C205=2,VLOOKUP(A205,'Date Calcs'!A:AG,12,),IF(C205=3,VLOOKUP(A205,'Date Calcs'!A:AG,14,),4)))),TODAY())</f>
        <v>46115</v>
      </c>
      <c r="Y205" s="4">
        <f t="shared" ca="1" si="25"/>
        <v>46115</v>
      </c>
      <c r="Z205" s="4">
        <f ca="1">_xlfn.IFNA(Y205+(VLOOKUP(A205,'Date Calcs'!A:W,22,0)*7),TODAY())</f>
        <v>46115</v>
      </c>
      <c r="AA205" s="4">
        <f>_xlfn.IFNA(VLOOKUP(A205,'RTR v2'!$A:$AW,46,0),"")</f>
        <v>0</v>
      </c>
    </row>
    <row r="206" spans="1:27" ht="23.25" hidden="1" x14ac:dyDescent="0.25">
      <c r="A206" s="12">
        <f>'Actual Dates'!A204</f>
        <v>0</v>
      </c>
      <c r="B206" s="13" t="str">
        <f>_xlfn.IFNA(VLOOKUP(A206,'Date Calcs'!A:B,2,),"")</f>
        <v/>
      </c>
      <c r="C206" s="14">
        <f>VLOOKUP(A206,'Actual Dates'!A:AE,18,)</f>
        <v>0</v>
      </c>
      <c r="D206" s="15">
        <f t="shared" ca="1" si="22"/>
        <v>46115</v>
      </c>
      <c r="E206" s="15">
        <f t="shared" ca="1" si="23"/>
        <v>46115</v>
      </c>
      <c r="F206" s="14">
        <f ca="1">IFERROR(ROUND(IF(A206="","",IF(E206=0,D206-Date!$B$3,D206-E206)),0),"")</f>
        <v>0</v>
      </c>
      <c r="G206" s="14" t="str">
        <f>_xlfn.IFNA(VLOOKUP(A206,'RTR v2'!A:AW,48,FALSE)," ")</f>
        <v/>
      </c>
      <c r="I206" s="16" t="str">
        <f t="shared" si="24"/>
        <v>N</v>
      </c>
      <c r="J206" s="16" t="str">
        <f t="shared" si="26"/>
        <v xml:space="preserve">  </v>
      </c>
      <c r="L206" s="17"/>
      <c r="M206" t="str">
        <f t="shared" si="27"/>
        <v xml:space="preserve"> </v>
      </c>
      <c r="N206">
        <f t="shared" si="28"/>
        <v>0</v>
      </c>
      <c r="O206">
        <f>IF(P206&lt;1,0,IF(VLOOKUP($A206,'Actual Dates'!$A:$G,5,0)="Y",1,0))</f>
        <v>0</v>
      </c>
      <c r="P206">
        <f>IF(Q206&lt;1,0,IF(VLOOKUP($A206,'Actual Dates'!$A:$G,4,0)="Y",1,0))</f>
        <v>0</v>
      </c>
      <c r="Q206">
        <f>IF(R206&lt;1,0,IF(VLOOKUP($A206,'Actual Dates'!$A:$G,3,0)="Y",1,0))</f>
        <v>0</v>
      </c>
      <c r="R206">
        <f>IF(VLOOKUP($A206,'Actual Dates'!$A:$G,2,0)="Y",1,0)</f>
        <v>0</v>
      </c>
      <c r="S206" s="4">
        <f ca="1">_xlfn.IFNA(+VLOOKUP(A206,'Date Calcs'!A:AG,8,),TODAY())</f>
        <v>46115</v>
      </c>
      <c r="T206" s="4">
        <f ca="1">_xlfn.IFNA(VLOOKUP(A206,'Date Calcs'!A:AG,10,),TODAY())</f>
        <v>46115</v>
      </c>
      <c r="U206" s="4">
        <f ca="1">_xlfn.IFNA(+VLOOKUP(A206,'Date Calcs'!A:AG,12,),TODAY())</f>
        <v>46115</v>
      </c>
      <c r="V206" s="4">
        <f ca="1">_xlfn.IFNA(+VLOOKUP(A206,'Date Calcs'!A:AG,14,),TODAY())</f>
        <v>46115</v>
      </c>
      <c r="W206" s="4">
        <f ca="1">_xlfn.IFNA(+VLOOKUP(A206,'Date Calcs'!A:AG,16,),TODAY())</f>
        <v>46115</v>
      </c>
      <c r="X206" s="4">
        <f ca="1">_xlfn.IFNA(IF(C206=0,VLOOKUP(A206,'Date Calcs'!A:AG,8,),IF(C206=1,VLOOKUP(A206,'Date Calcs'!A:AG,10,),IF(C206=2,VLOOKUP(A206,'Date Calcs'!A:AG,12,),IF(C206=3,VLOOKUP(A206,'Date Calcs'!A:AG,14,),4)))),TODAY())</f>
        <v>46115</v>
      </c>
      <c r="Y206" s="4">
        <f t="shared" ca="1" si="25"/>
        <v>46115</v>
      </c>
      <c r="Z206" s="4">
        <f ca="1">_xlfn.IFNA(Y206+(VLOOKUP(A206,'Date Calcs'!A:W,22,0)*7),TODAY())</f>
        <v>46115</v>
      </c>
      <c r="AA206" s="4">
        <f>_xlfn.IFNA(VLOOKUP(A206,'RTR v2'!$A:$AW,46,0),"")</f>
        <v>0</v>
      </c>
    </row>
    <row r="207" spans="1:27" ht="23.25" hidden="1" x14ac:dyDescent="0.25">
      <c r="A207" s="12">
        <f>'Actual Dates'!A205</f>
        <v>0</v>
      </c>
      <c r="B207" s="13" t="str">
        <f>_xlfn.IFNA(VLOOKUP(A207,'Date Calcs'!A:B,2,),"")</f>
        <v/>
      </c>
      <c r="C207" s="14">
        <f>VLOOKUP(A207,'Actual Dates'!A:AE,18,)</f>
        <v>0</v>
      </c>
      <c r="D207" s="15">
        <f t="shared" ca="1" si="22"/>
        <v>46115</v>
      </c>
      <c r="E207" s="15">
        <f t="shared" ca="1" si="23"/>
        <v>46115</v>
      </c>
      <c r="F207" s="14">
        <f ca="1">IFERROR(ROUND(IF(A207="","",IF(E207=0,D207-Date!$B$3,D207-E207)),0),"")</f>
        <v>0</v>
      </c>
      <c r="G207" s="14" t="str">
        <f>_xlfn.IFNA(VLOOKUP(A207,'RTR v2'!A:AW,48,FALSE)," ")</f>
        <v/>
      </c>
      <c r="I207" s="16" t="str">
        <f t="shared" si="24"/>
        <v>N</v>
      </c>
      <c r="J207" s="16" t="str">
        <f t="shared" si="26"/>
        <v xml:space="preserve">  </v>
      </c>
      <c r="L207" s="17"/>
      <c r="M207" t="str">
        <f t="shared" si="27"/>
        <v xml:space="preserve"> </v>
      </c>
      <c r="N207">
        <f t="shared" si="28"/>
        <v>0</v>
      </c>
      <c r="O207">
        <f>IF(P207&lt;1,0,IF(VLOOKUP($A207,'Actual Dates'!$A:$G,5,0)="Y",1,0))</f>
        <v>0</v>
      </c>
      <c r="P207">
        <f>IF(Q207&lt;1,0,IF(VLOOKUP($A207,'Actual Dates'!$A:$G,4,0)="Y",1,0))</f>
        <v>0</v>
      </c>
      <c r="Q207">
        <f>IF(R207&lt;1,0,IF(VLOOKUP($A207,'Actual Dates'!$A:$G,3,0)="Y",1,0))</f>
        <v>0</v>
      </c>
      <c r="R207">
        <f>IF(VLOOKUP($A207,'Actual Dates'!$A:$G,2,0)="Y",1,0)</f>
        <v>0</v>
      </c>
      <c r="S207" s="4">
        <f ca="1">_xlfn.IFNA(+VLOOKUP(A207,'Date Calcs'!A:AG,8,),TODAY())</f>
        <v>46115</v>
      </c>
      <c r="T207" s="4">
        <f ca="1">_xlfn.IFNA(VLOOKUP(A207,'Date Calcs'!A:AG,10,),TODAY())</f>
        <v>46115</v>
      </c>
      <c r="U207" s="4">
        <f ca="1">_xlfn.IFNA(+VLOOKUP(A207,'Date Calcs'!A:AG,12,),TODAY())</f>
        <v>46115</v>
      </c>
      <c r="V207" s="4">
        <f ca="1">_xlfn.IFNA(+VLOOKUP(A207,'Date Calcs'!A:AG,14,),TODAY())</f>
        <v>46115</v>
      </c>
      <c r="W207" s="4">
        <f ca="1">_xlfn.IFNA(+VLOOKUP(A207,'Date Calcs'!A:AG,16,),TODAY())</f>
        <v>46115</v>
      </c>
      <c r="X207" s="4">
        <f ca="1">_xlfn.IFNA(IF(C207=0,VLOOKUP(A207,'Date Calcs'!A:AG,8,),IF(C207=1,VLOOKUP(A207,'Date Calcs'!A:AG,10,),IF(C207=2,VLOOKUP(A207,'Date Calcs'!A:AG,12,),IF(C207=3,VLOOKUP(A207,'Date Calcs'!A:AG,14,),4)))),TODAY())</f>
        <v>46115</v>
      </c>
      <c r="Y207" s="4">
        <f t="shared" ca="1" si="25"/>
        <v>46115</v>
      </c>
      <c r="Z207" s="4">
        <f ca="1">_xlfn.IFNA(Y207+(VLOOKUP(A207,'Date Calcs'!A:W,22,0)*7),TODAY())</f>
        <v>46115</v>
      </c>
      <c r="AA207" s="4">
        <f>_xlfn.IFNA(VLOOKUP(A207,'RTR v2'!$A:$AW,46,0),"")</f>
        <v>0</v>
      </c>
    </row>
    <row r="208" spans="1:27" ht="23.25" hidden="1" x14ac:dyDescent="0.25">
      <c r="A208" s="12">
        <f>'Actual Dates'!A206</f>
        <v>0</v>
      </c>
      <c r="B208" s="13" t="str">
        <f>_xlfn.IFNA(VLOOKUP(A208,'Date Calcs'!A:B,2,),"")</f>
        <v/>
      </c>
      <c r="C208" s="14">
        <f>VLOOKUP(A208,'Actual Dates'!A:AE,18,)</f>
        <v>0</v>
      </c>
      <c r="D208" s="15">
        <f t="shared" ca="1" si="22"/>
        <v>46115</v>
      </c>
      <c r="E208" s="15">
        <f t="shared" ca="1" si="23"/>
        <v>46115</v>
      </c>
      <c r="F208" s="14">
        <f ca="1">IFERROR(ROUND(IF(A208="","",IF(E208=0,D208-Date!$B$3,D208-E208)),0),"")</f>
        <v>0</v>
      </c>
      <c r="G208" s="14" t="str">
        <f>_xlfn.IFNA(VLOOKUP(A208,'RTR v2'!A:AW,48,FALSE)," ")</f>
        <v/>
      </c>
      <c r="I208" s="16" t="str">
        <f t="shared" si="24"/>
        <v>N</v>
      </c>
      <c r="J208" s="16" t="str">
        <f t="shared" si="26"/>
        <v xml:space="preserve">  </v>
      </c>
      <c r="L208" s="17"/>
      <c r="M208" t="str">
        <f t="shared" si="27"/>
        <v xml:space="preserve"> </v>
      </c>
      <c r="N208">
        <f t="shared" si="28"/>
        <v>0</v>
      </c>
      <c r="O208">
        <f>IF(P208&lt;1,0,IF(VLOOKUP($A208,'Actual Dates'!$A:$G,5,0)="Y",1,0))</f>
        <v>0</v>
      </c>
      <c r="P208">
        <f>IF(Q208&lt;1,0,IF(VLOOKUP($A208,'Actual Dates'!$A:$G,4,0)="Y",1,0))</f>
        <v>0</v>
      </c>
      <c r="Q208">
        <f>IF(R208&lt;1,0,IF(VLOOKUP($A208,'Actual Dates'!$A:$G,3,0)="Y",1,0))</f>
        <v>0</v>
      </c>
      <c r="R208">
        <f>IF(VLOOKUP($A208,'Actual Dates'!$A:$G,2,0)="Y",1,0)</f>
        <v>0</v>
      </c>
      <c r="S208" s="4">
        <f ca="1">_xlfn.IFNA(+VLOOKUP(A208,'Date Calcs'!A:AG,8,),TODAY())</f>
        <v>46115</v>
      </c>
      <c r="T208" s="4">
        <f ca="1">_xlfn.IFNA(VLOOKUP(A208,'Date Calcs'!A:AG,10,),TODAY())</f>
        <v>46115</v>
      </c>
      <c r="U208" s="4">
        <f ca="1">_xlfn.IFNA(+VLOOKUP(A208,'Date Calcs'!A:AG,12,),TODAY())</f>
        <v>46115</v>
      </c>
      <c r="V208" s="4">
        <f ca="1">_xlfn.IFNA(+VLOOKUP(A208,'Date Calcs'!A:AG,14,),TODAY())</f>
        <v>46115</v>
      </c>
      <c r="W208" s="4">
        <f ca="1">_xlfn.IFNA(+VLOOKUP(A208,'Date Calcs'!A:AG,16,),TODAY())</f>
        <v>46115</v>
      </c>
      <c r="X208" s="4">
        <f ca="1">_xlfn.IFNA(IF(C208=0,VLOOKUP(A208,'Date Calcs'!A:AG,8,),IF(C208=1,VLOOKUP(A208,'Date Calcs'!A:AG,10,),IF(C208=2,VLOOKUP(A208,'Date Calcs'!A:AG,12,),IF(C208=3,VLOOKUP(A208,'Date Calcs'!A:AG,14,),4)))),TODAY())</f>
        <v>46115</v>
      </c>
      <c r="Y208" s="4">
        <f t="shared" ca="1" si="25"/>
        <v>46115</v>
      </c>
      <c r="Z208" s="4">
        <f ca="1">_xlfn.IFNA(Y208+(VLOOKUP(A208,'Date Calcs'!A:W,22,0)*7),TODAY())</f>
        <v>46115</v>
      </c>
      <c r="AA208" s="4">
        <f>_xlfn.IFNA(VLOOKUP(A208,'RTR v2'!$A:$AW,46,0),"")</f>
        <v>0</v>
      </c>
    </row>
    <row r="209" spans="1:27" ht="23.25" hidden="1" x14ac:dyDescent="0.25">
      <c r="A209" s="12">
        <f>'Actual Dates'!A207</f>
        <v>0</v>
      </c>
      <c r="B209" s="13" t="str">
        <f>_xlfn.IFNA(VLOOKUP(A209,'Date Calcs'!A:B,2,),"")</f>
        <v/>
      </c>
      <c r="C209" s="14">
        <f>VLOOKUP(A209,'Actual Dates'!A:AE,18,)</f>
        <v>0</v>
      </c>
      <c r="D209" s="15">
        <f t="shared" ca="1" si="22"/>
        <v>46115</v>
      </c>
      <c r="E209" s="15">
        <f t="shared" ca="1" si="23"/>
        <v>46115</v>
      </c>
      <c r="F209" s="14">
        <f ca="1">IFERROR(ROUND(IF(A209="","",IF(E209=0,D209-Date!$B$3,D209-E209)),0),"")</f>
        <v>0</v>
      </c>
      <c r="G209" s="14" t="str">
        <f>_xlfn.IFNA(VLOOKUP(A209,'RTR v2'!A:AW,48,FALSE)," ")</f>
        <v/>
      </c>
      <c r="I209" s="16" t="str">
        <f t="shared" si="24"/>
        <v>N</v>
      </c>
      <c r="J209" s="16" t="str">
        <f t="shared" si="26"/>
        <v xml:space="preserve">  </v>
      </c>
      <c r="L209" s="17"/>
      <c r="M209" t="str">
        <f t="shared" si="27"/>
        <v xml:space="preserve"> </v>
      </c>
      <c r="N209">
        <f t="shared" si="28"/>
        <v>0</v>
      </c>
      <c r="O209">
        <f>IF(P209&lt;1,0,IF(VLOOKUP($A209,'Actual Dates'!$A:$G,5,0)="Y",1,0))</f>
        <v>0</v>
      </c>
      <c r="P209">
        <f>IF(Q209&lt;1,0,IF(VLOOKUP($A209,'Actual Dates'!$A:$G,4,0)="Y",1,0))</f>
        <v>0</v>
      </c>
      <c r="Q209">
        <f>IF(R209&lt;1,0,IF(VLOOKUP($A209,'Actual Dates'!$A:$G,3,0)="Y",1,0))</f>
        <v>0</v>
      </c>
      <c r="R209">
        <f>IF(VLOOKUP($A209,'Actual Dates'!$A:$G,2,0)="Y",1,0)</f>
        <v>0</v>
      </c>
      <c r="S209" s="4">
        <f ca="1">_xlfn.IFNA(+VLOOKUP(A209,'Date Calcs'!A:AG,8,),TODAY())</f>
        <v>46115</v>
      </c>
      <c r="T209" s="4">
        <f ca="1">_xlfn.IFNA(VLOOKUP(A209,'Date Calcs'!A:AG,10,),TODAY())</f>
        <v>46115</v>
      </c>
      <c r="U209" s="4">
        <f ca="1">_xlfn.IFNA(+VLOOKUP(A209,'Date Calcs'!A:AG,12,),TODAY())</f>
        <v>46115</v>
      </c>
      <c r="V209" s="4">
        <f ca="1">_xlfn.IFNA(+VLOOKUP(A209,'Date Calcs'!A:AG,14,),TODAY())</f>
        <v>46115</v>
      </c>
      <c r="W209" s="4">
        <f ca="1">_xlfn.IFNA(+VLOOKUP(A209,'Date Calcs'!A:AG,16,),TODAY())</f>
        <v>46115</v>
      </c>
      <c r="X209" s="4">
        <f ca="1">_xlfn.IFNA(IF(C209=0,VLOOKUP(A209,'Date Calcs'!A:AG,8,),IF(C209=1,VLOOKUP(A209,'Date Calcs'!A:AG,10,),IF(C209=2,VLOOKUP(A209,'Date Calcs'!A:AG,12,),IF(C209=3,VLOOKUP(A209,'Date Calcs'!A:AG,14,),4)))),TODAY())</f>
        <v>46115</v>
      </c>
      <c r="Y209" s="4">
        <f t="shared" ca="1" si="25"/>
        <v>46115</v>
      </c>
      <c r="Z209" s="4">
        <f ca="1">_xlfn.IFNA(Y209+(VLOOKUP(A209,'Date Calcs'!A:W,22,0)*7),TODAY())</f>
        <v>46115</v>
      </c>
      <c r="AA209" s="4">
        <f>_xlfn.IFNA(VLOOKUP(A209,'RTR v2'!$A:$AW,46,0),"")</f>
        <v>0</v>
      </c>
    </row>
    <row r="210" spans="1:27" ht="23.25" hidden="1" x14ac:dyDescent="0.25">
      <c r="A210" s="12">
        <f>'Actual Dates'!A208</f>
        <v>0</v>
      </c>
      <c r="B210" s="13" t="str">
        <f>_xlfn.IFNA(VLOOKUP(A210,'Date Calcs'!A:B,2,),"")</f>
        <v/>
      </c>
      <c r="C210" s="14">
        <f>VLOOKUP(A210,'Actual Dates'!A:AE,18,)</f>
        <v>0</v>
      </c>
      <c r="D210" s="15">
        <f t="shared" ca="1" si="22"/>
        <v>46115</v>
      </c>
      <c r="E210" s="15">
        <f t="shared" ca="1" si="23"/>
        <v>46115</v>
      </c>
      <c r="F210" s="14">
        <f ca="1">IFERROR(ROUND(IF(A210="","",IF(E210=0,D210-Date!$B$3,D210-E210)),0),"")</f>
        <v>0</v>
      </c>
      <c r="G210" s="14" t="str">
        <f>_xlfn.IFNA(VLOOKUP(A210,'RTR v2'!A:AW,48,FALSE)," ")</f>
        <v/>
      </c>
      <c r="I210" s="16" t="str">
        <f t="shared" si="24"/>
        <v>N</v>
      </c>
      <c r="J210" s="16" t="str">
        <f t="shared" si="26"/>
        <v xml:space="preserve">  </v>
      </c>
      <c r="L210" s="17"/>
      <c r="M210" t="str">
        <f t="shared" si="27"/>
        <v xml:space="preserve"> </v>
      </c>
      <c r="N210">
        <f t="shared" si="28"/>
        <v>0</v>
      </c>
      <c r="O210">
        <f>IF(P210&lt;1,0,IF(VLOOKUP($A210,'Actual Dates'!$A:$G,5,0)="Y",1,0))</f>
        <v>0</v>
      </c>
      <c r="P210">
        <f>IF(Q210&lt;1,0,IF(VLOOKUP($A210,'Actual Dates'!$A:$G,4,0)="Y",1,0))</f>
        <v>0</v>
      </c>
      <c r="Q210">
        <f>IF(R210&lt;1,0,IF(VLOOKUP($A210,'Actual Dates'!$A:$G,3,0)="Y",1,0))</f>
        <v>0</v>
      </c>
      <c r="R210">
        <f>IF(VLOOKUP($A210,'Actual Dates'!$A:$G,2,0)="Y",1,0)</f>
        <v>0</v>
      </c>
      <c r="S210" s="4">
        <f ca="1">_xlfn.IFNA(+VLOOKUP(A210,'Date Calcs'!A:AG,8,),TODAY())</f>
        <v>46115</v>
      </c>
      <c r="T210" s="4">
        <f ca="1">_xlfn.IFNA(VLOOKUP(A210,'Date Calcs'!A:AG,10,),TODAY())</f>
        <v>46115</v>
      </c>
      <c r="U210" s="4">
        <f ca="1">_xlfn.IFNA(+VLOOKUP(A210,'Date Calcs'!A:AG,12,),TODAY())</f>
        <v>46115</v>
      </c>
      <c r="V210" s="4">
        <f ca="1">_xlfn.IFNA(+VLOOKUP(A210,'Date Calcs'!A:AG,14,),TODAY())</f>
        <v>46115</v>
      </c>
      <c r="W210" s="4">
        <f ca="1">_xlfn.IFNA(+VLOOKUP(A210,'Date Calcs'!A:AG,16,),TODAY())</f>
        <v>46115</v>
      </c>
      <c r="X210" s="4">
        <f ca="1">_xlfn.IFNA(IF(C210=0,VLOOKUP(A210,'Date Calcs'!A:AG,8,),IF(C210=1,VLOOKUP(A210,'Date Calcs'!A:AG,10,),IF(C210=2,VLOOKUP(A210,'Date Calcs'!A:AG,12,),IF(C210=3,VLOOKUP(A210,'Date Calcs'!A:AG,14,),4)))),TODAY())</f>
        <v>46115</v>
      </c>
      <c r="Y210" s="4">
        <f t="shared" ca="1" si="25"/>
        <v>46115</v>
      </c>
      <c r="Z210" s="4">
        <f ca="1">_xlfn.IFNA(Y210+(VLOOKUP(A210,'Date Calcs'!A:W,22,0)*7),TODAY())</f>
        <v>46115</v>
      </c>
      <c r="AA210" s="4">
        <f>_xlfn.IFNA(VLOOKUP(A210,'RTR v2'!$A:$AW,46,0),"")</f>
        <v>0</v>
      </c>
    </row>
    <row r="211" spans="1:27" ht="23.25" hidden="1" x14ac:dyDescent="0.25">
      <c r="A211" s="12">
        <f>'Actual Dates'!A209</f>
        <v>0</v>
      </c>
      <c r="B211" s="13" t="str">
        <f>_xlfn.IFNA(VLOOKUP(A211,'Date Calcs'!A:B,2,),"")</f>
        <v/>
      </c>
      <c r="C211" s="14">
        <f>VLOOKUP(A211,'Actual Dates'!A:AE,18,)</f>
        <v>0</v>
      </c>
      <c r="D211" s="15">
        <f t="shared" ca="1" si="22"/>
        <v>46115</v>
      </c>
      <c r="E211" s="15">
        <f t="shared" ca="1" si="23"/>
        <v>46115</v>
      </c>
      <c r="F211" s="14">
        <f ca="1">IFERROR(ROUND(IF(A211="","",IF(E211=0,D211-Date!$B$3,D211-E211)),0),"")</f>
        <v>0</v>
      </c>
      <c r="G211" s="14" t="str">
        <f>_xlfn.IFNA(VLOOKUP(A211,'RTR v2'!A:AW,48,FALSE)," ")</f>
        <v/>
      </c>
      <c r="I211" s="16" t="str">
        <f t="shared" si="24"/>
        <v>N</v>
      </c>
      <c r="J211" s="16" t="str">
        <f t="shared" si="26"/>
        <v xml:space="preserve">  </v>
      </c>
      <c r="L211" s="17"/>
      <c r="M211" t="str">
        <f t="shared" si="27"/>
        <v xml:space="preserve"> </v>
      </c>
      <c r="N211">
        <f t="shared" si="28"/>
        <v>0</v>
      </c>
      <c r="O211">
        <f>IF(P211&lt;1,0,IF(VLOOKUP($A211,'Actual Dates'!$A:$G,5,0)="Y",1,0))</f>
        <v>0</v>
      </c>
      <c r="P211">
        <f>IF(Q211&lt;1,0,IF(VLOOKUP($A211,'Actual Dates'!$A:$G,4,0)="Y",1,0))</f>
        <v>0</v>
      </c>
      <c r="Q211">
        <f>IF(R211&lt;1,0,IF(VLOOKUP($A211,'Actual Dates'!$A:$G,3,0)="Y",1,0))</f>
        <v>0</v>
      </c>
      <c r="R211">
        <f>IF(VLOOKUP($A211,'Actual Dates'!$A:$G,2,0)="Y",1,0)</f>
        <v>0</v>
      </c>
      <c r="S211" s="4">
        <f ca="1">_xlfn.IFNA(+VLOOKUP(A211,'Date Calcs'!A:AG,8,),TODAY())</f>
        <v>46115</v>
      </c>
      <c r="T211" s="4">
        <f ca="1">_xlfn.IFNA(VLOOKUP(A211,'Date Calcs'!A:AG,10,),TODAY())</f>
        <v>46115</v>
      </c>
      <c r="U211" s="4">
        <f ca="1">_xlfn.IFNA(+VLOOKUP(A211,'Date Calcs'!A:AG,12,),TODAY())</f>
        <v>46115</v>
      </c>
      <c r="V211" s="4">
        <f ca="1">_xlfn.IFNA(+VLOOKUP(A211,'Date Calcs'!A:AG,14,),TODAY())</f>
        <v>46115</v>
      </c>
      <c r="W211" s="4">
        <f ca="1">_xlfn.IFNA(+VLOOKUP(A211,'Date Calcs'!A:AG,16,),TODAY())</f>
        <v>46115</v>
      </c>
      <c r="X211" s="4">
        <f ca="1">_xlfn.IFNA(IF(C211=0,VLOOKUP(A211,'Date Calcs'!A:AG,8,),IF(C211=1,VLOOKUP(A211,'Date Calcs'!A:AG,10,),IF(C211=2,VLOOKUP(A211,'Date Calcs'!A:AG,12,),IF(C211=3,VLOOKUP(A211,'Date Calcs'!A:AG,14,),4)))),TODAY())</f>
        <v>46115</v>
      </c>
      <c r="Y211" s="4">
        <f t="shared" ca="1" si="25"/>
        <v>46115</v>
      </c>
      <c r="Z211" s="4">
        <f ca="1">_xlfn.IFNA(Y211+(VLOOKUP(A211,'Date Calcs'!A:W,22,0)*7),TODAY())</f>
        <v>46115</v>
      </c>
      <c r="AA211" s="4">
        <f>_xlfn.IFNA(VLOOKUP(A211,'RTR v2'!$A:$AW,46,0),"")</f>
        <v>0</v>
      </c>
    </row>
    <row r="212" spans="1:27" ht="23.25" hidden="1" x14ac:dyDescent="0.25">
      <c r="A212" s="12">
        <f>'Actual Dates'!A210</f>
        <v>0</v>
      </c>
      <c r="B212" s="13" t="str">
        <f>_xlfn.IFNA(VLOOKUP(A212,'Date Calcs'!A:B,2,),"")</f>
        <v/>
      </c>
      <c r="C212" s="14">
        <f>VLOOKUP(A212,'Actual Dates'!A:AE,18,)</f>
        <v>0</v>
      </c>
      <c r="D212" s="15">
        <f t="shared" ca="1" si="22"/>
        <v>46115</v>
      </c>
      <c r="E212" s="15">
        <f t="shared" ca="1" si="23"/>
        <v>46115</v>
      </c>
      <c r="F212" s="14">
        <f ca="1">IFERROR(ROUND(IF(A212="","",IF(E212=0,D212-Date!$B$3,D212-E212)),0),"")</f>
        <v>0</v>
      </c>
      <c r="G212" s="14" t="str">
        <f>_xlfn.IFNA(VLOOKUP(A212,'RTR v2'!A:AW,48,FALSE)," ")</f>
        <v/>
      </c>
      <c r="I212" s="16" t="str">
        <f t="shared" si="24"/>
        <v>N</v>
      </c>
      <c r="J212" s="16" t="str">
        <f t="shared" si="26"/>
        <v xml:space="preserve">  </v>
      </c>
      <c r="L212" s="17"/>
      <c r="M212" t="str">
        <f t="shared" si="27"/>
        <v xml:space="preserve"> </v>
      </c>
      <c r="N212">
        <f t="shared" si="28"/>
        <v>0</v>
      </c>
      <c r="O212">
        <f>IF(P212&lt;1,0,IF(VLOOKUP($A212,'Actual Dates'!$A:$G,5,0)="Y",1,0))</f>
        <v>0</v>
      </c>
      <c r="P212">
        <f>IF(Q212&lt;1,0,IF(VLOOKUP($A212,'Actual Dates'!$A:$G,4,0)="Y",1,0))</f>
        <v>0</v>
      </c>
      <c r="Q212">
        <f>IF(R212&lt;1,0,IF(VLOOKUP($A212,'Actual Dates'!$A:$G,3,0)="Y",1,0))</f>
        <v>0</v>
      </c>
      <c r="R212">
        <f>IF(VLOOKUP($A212,'Actual Dates'!$A:$G,2,0)="Y",1,0)</f>
        <v>0</v>
      </c>
      <c r="S212" s="4">
        <f ca="1">_xlfn.IFNA(+VLOOKUP(A212,'Date Calcs'!A:AG,8,),TODAY())</f>
        <v>46115</v>
      </c>
      <c r="T212" s="4">
        <f ca="1">_xlfn.IFNA(VLOOKUP(A212,'Date Calcs'!A:AG,10,),TODAY())</f>
        <v>46115</v>
      </c>
      <c r="U212" s="4">
        <f ca="1">_xlfn.IFNA(+VLOOKUP(A212,'Date Calcs'!A:AG,12,),TODAY())</f>
        <v>46115</v>
      </c>
      <c r="V212" s="4">
        <f ca="1">_xlfn.IFNA(+VLOOKUP(A212,'Date Calcs'!A:AG,14,),TODAY())</f>
        <v>46115</v>
      </c>
      <c r="W212" s="4">
        <f ca="1">_xlfn.IFNA(+VLOOKUP(A212,'Date Calcs'!A:AG,16,),TODAY())</f>
        <v>46115</v>
      </c>
      <c r="X212" s="4">
        <f ca="1">_xlfn.IFNA(IF(C212=0,VLOOKUP(A212,'Date Calcs'!A:AG,8,),IF(C212=1,VLOOKUP(A212,'Date Calcs'!A:AG,10,),IF(C212=2,VLOOKUP(A212,'Date Calcs'!A:AG,12,),IF(C212=3,VLOOKUP(A212,'Date Calcs'!A:AG,14,),4)))),TODAY())</f>
        <v>46115</v>
      </c>
      <c r="Y212" s="4">
        <f t="shared" ca="1" si="25"/>
        <v>46115</v>
      </c>
      <c r="Z212" s="4">
        <f ca="1">_xlfn.IFNA(Y212+(VLOOKUP(A212,'Date Calcs'!A:W,22,0)*7),TODAY())</f>
        <v>46115</v>
      </c>
      <c r="AA212" s="4">
        <f>_xlfn.IFNA(VLOOKUP(A212,'RTR v2'!$A:$AW,46,0),"")</f>
        <v>0</v>
      </c>
    </row>
    <row r="213" spans="1:27" ht="23.25" hidden="1" x14ac:dyDescent="0.25">
      <c r="A213" s="12">
        <f>'Actual Dates'!A211</f>
        <v>0</v>
      </c>
      <c r="B213" s="13" t="str">
        <f>_xlfn.IFNA(VLOOKUP(A213,'Date Calcs'!A:B,2,),"")</f>
        <v/>
      </c>
      <c r="C213" s="14">
        <f>VLOOKUP(A213,'Actual Dates'!A:AE,18,)</f>
        <v>0</v>
      </c>
      <c r="D213" s="15">
        <f t="shared" ca="1" si="22"/>
        <v>46115</v>
      </c>
      <c r="E213" s="15">
        <f t="shared" ca="1" si="23"/>
        <v>46115</v>
      </c>
      <c r="F213" s="14">
        <f ca="1">IFERROR(ROUND(IF(A213="","",IF(E213=0,D213-Date!$B$3,D213-E213)),0),"")</f>
        <v>0</v>
      </c>
      <c r="G213" s="14" t="str">
        <f>_xlfn.IFNA(VLOOKUP(A213,'RTR v2'!A:AW,48,FALSE)," ")</f>
        <v/>
      </c>
      <c r="I213" s="16" t="str">
        <f t="shared" si="24"/>
        <v>N</v>
      </c>
      <c r="J213" s="16" t="str">
        <f t="shared" si="26"/>
        <v xml:space="preserve">  </v>
      </c>
      <c r="L213" s="17"/>
      <c r="M213" t="str">
        <f t="shared" si="27"/>
        <v xml:space="preserve"> </v>
      </c>
      <c r="N213">
        <f t="shared" si="28"/>
        <v>0</v>
      </c>
      <c r="O213">
        <f>IF(P213&lt;1,0,IF(VLOOKUP($A213,'Actual Dates'!$A:$G,5,0)="Y",1,0))</f>
        <v>0</v>
      </c>
      <c r="P213">
        <f>IF(Q213&lt;1,0,IF(VLOOKUP($A213,'Actual Dates'!$A:$G,4,0)="Y",1,0))</f>
        <v>0</v>
      </c>
      <c r="Q213">
        <f>IF(R213&lt;1,0,IF(VLOOKUP($A213,'Actual Dates'!$A:$G,3,0)="Y",1,0))</f>
        <v>0</v>
      </c>
      <c r="R213">
        <f>IF(VLOOKUP($A213,'Actual Dates'!$A:$G,2,0)="Y",1,0)</f>
        <v>0</v>
      </c>
      <c r="S213" s="4">
        <f ca="1">_xlfn.IFNA(+VLOOKUP(A213,'Date Calcs'!A:AG,8,),TODAY())</f>
        <v>46115</v>
      </c>
      <c r="T213" s="4">
        <f ca="1">_xlfn.IFNA(VLOOKUP(A213,'Date Calcs'!A:AG,10,),TODAY())</f>
        <v>46115</v>
      </c>
      <c r="U213" s="4">
        <f ca="1">_xlfn.IFNA(+VLOOKUP(A213,'Date Calcs'!A:AG,12,),TODAY())</f>
        <v>46115</v>
      </c>
      <c r="V213" s="4">
        <f ca="1">_xlfn.IFNA(+VLOOKUP(A213,'Date Calcs'!A:AG,14,),TODAY())</f>
        <v>46115</v>
      </c>
      <c r="W213" s="4">
        <f ca="1">_xlfn.IFNA(+VLOOKUP(A213,'Date Calcs'!A:AG,16,),TODAY())</f>
        <v>46115</v>
      </c>
      <c r="X213" s="4">
        <f ca="1">_xlfn.IFNA(IF(C213=0,VLOOKUP(A213,'Date Calcs'!A:AG,8,),IF(C213=1,VLOOKUP(A213,'Date Calcs'!A:AG,10,),IF(C213=2,VLOOKUP(A213,'Date Calcs'!A:AG,12,),IF(C213=3,VLOOKUP(A213,'Date Calcs'!A:AG,14,),4)))),TODAY())</f>
        <v>46115</v>
      </c>
      <c r="Y213" s="4">
        <f t="shared" ca="1" si="25"/>
        <v>46115</v>
      </c>
      <c r="Z213" s="4">
        <f ca="1">_xlfn.IFNA(Y213+(VLOOKUP(A213,'Date Calcs'!A:W,22,0)*7),TODAY())</f>
        <v>46115</v>
      </c>
      <c r="AA213" s="4">
        <f>_xlfn.IFNA(VLOOKUP(A213,'RTR v2'!$A:$AW,46,0),"")</f>
        <v>0</v>
      </c>
    </row>
    <row r="214" spans="1:27" ht="23.25" hidden="1" x14ac:dyDescent="0.25">
      <c r="A214" s="12">
        <f>'Actual Dates'!A212</f>
        <v>0</v>
      </c>
      <c r="B214" s="13" t="str">
        <f>_xlfn.IFNA(VLOOKUP(A214,'Date Calcs'!A:B,2,),"")</f>
        <v/>
      </c>
      <c r="C214" s="14">
        <f>VLOOKUP(A214,'Actual Dates'!A:AE,18,)</f>
        <v>0</v>
      </c>
      <c r="D214" s="15">
        <f t="shared" ca="1" si="22"/>
        <v>46115</v>
      </c>
      <c r="E214" s="15">
        <f t="shared" ca="1" si="23"/>
        <v>46115</v>
      </c>
      <c r="F214" s="14">
        <f ca="1">IFERROR(ROUND(IF(A214="","",IF(E214=0,D214-Date!$B$3,D214-E214)),0),"")</f>
        <v>0</v>
      </c>
      <c r="G214" s="14" t="str">
        <f>_xlfn.IFNA(VLOOKUP(A214,'RTR v2'!A:AW,48,FALSE)," ")</f>
        <v/>
      </c>
      <c r="I214" s="16" t="str">
        <f t="shared" si="24"/>
        <v>N</v>
      </c>
      <c r="J214" s="16" t="str">
        <f t="shared" si="26"/>
        <v xml:space="preserve">  </v>
      </c>
      <c r="L214" s="17"/>
      <c r="M214" t="str">
        <f t="shared" si="27"/>
        <v xml:space="preserve"> </v>
      </c>
      <c r="N214">
        <f t="shared" si="28"/>
        <v>0</v>
      </c>
      <c r="O214">
        <f>IF(P214&lt;1,0,IF(VLOOKUP($A214,'Actual Dates'!$A:$G,5,0)="Y",1,0))</f>
        <v>0</v>
      </c>
      <c r="P214">
        <f>IF(Q214&lt;1,0,IF(VLOOKUP($A214,'Actual Dates'!$A:$G,4,0)="Y",1,0))</f>
        <v>0</v>
      </c>
      <c r="Q214">
        <f>IF(R214&lt;1,0,IF(VLOOKUP($A214,'Actual Dates'!$A:$G,3,0)="Y",1,0))</f>
        <v>0</v>
      </c>
      <c r="R214">
        <f>IF(VLOOKUP($A214,'Actual Dates'!$A:$G,2,0)="Y",1,0)</f>
        <v>0</v>
      </c>
      <c r="S214" s="4">
        <f ca="1">_xlfn.IFNA(+VLOOKUP(A214,'Date Calcs'!A:AG,8,),TODAY())</f>
        <v>46115</v>
      </c>
      <c r="T214" s="4">
        <f ca="1">_xlfn.IFNA(VLOOKUP(A214,'Date Calcs'!A:AG,10,),TODAY())</f>
        <v>46115</v>
      </c>
      <c r="U214" s="4">
        <f ca="1">_xlfn.IFNA(+VLOOKUP(A214,'Date Calcs'!A:AG,12,),TODAY())</f>
        <v>46115</v>
      </c>
      <c r="V214" s="4">
        <f ca="1">_xlfn.IFNA(+VLOOKUP(A214,'Date Calcs'!A:AG,14,),TODAY())</f>
        <v>46115</v>
      </c>
      <c r="W214" s="4">
        <f ca="1">_xlfn.IFNA(+VLOOKUP(A214,'Date Calcs'!A:AG,16,),TODAY())</f>
        <v>46115</v>
      </c>
      <c r="X214" s="4">
        <f ca="1">_xlfn.IFNA(IF(C214=0,VLOOKUP(A214,'Date Calcs'!A:AG,8,),IF(C214=1,VLOOKUP(A214,'Date Calcs'!A:AG,10,),IF(C214=2,VLOOKUP(A214,'Date Calcs'!A:AG,12,),IF(C214=3,VLOOKUP(A214,'Date Calcs'!A:AG,14,),4)))),TODAY())</f>
        <v>46115</v>
      </c>
      <c r="Y214" s="4">
        <f t="shared" ca="1" si="25"/>
        <v>46115</v>
      </c>
      <c r="Z214" s="4">
        <f ca="1">_xlfn.IFNA(Y214+(VLOOKUP(A214,'Date Calcs'!A:W,22,0)*7),TODAY())</f>
        <v>46115</v>
      </c>
      <c r="AA214" s="4">
        <f>_xlfn.IFNA(VLOOKUP(A214,'RTR v2'!$A:$AW,46,0),"")</f>
        <v>0</v>
      </c>
    </row>
    <row r="215" spans="1:27" ht="23.25" hidden="1" x14ac:dyDescent="0.25">
      <c r="A215" s="12">
        <f>'Actual Dates'!A213</f>
        <v>0</v>
      </c>
      <c r="B215" s="13" t="str">
        <f>_xlfn.IFNA(VLOOKUP(A215,'Date Calcs'!A:B,2,),"")</f>
        <v/>
      </c>
      <c r="C215" s="14">
        <f>VLOOKUP(A215,'Actual Dates'!A:AE,18,)</f>
        <v>0</v>
      </c>
      <c r="D215" s="15">
        <f t="shared" ca="1" si="22"/>
        <v>46115</v>
      </c>
      <c r="E215" s="15">
        <f t="shared" ca="1" si="23"/>
        <v>46115</v>
      </c>
      <c r="F215" s="14">
        <f ca="1">IFERROR(ROUND(IF(A215="","",IF(E215=0,D215-Date!$B$3,D215-E215)),0),"")</f>
        <v>0</v>
      </c>
      <c r="G215" s="14" t="str">
        <f>_xlfn.IFNA(VLOOKUP(A215,'RTR v2'!A:AW,48,FALSE)," ")</f>
        <v/>
      </c>
      <c r="I215" s="16" t="str">
        <f t="shared" si="24"/>
        <v>N</v>
      </c>
      <c r="J215" s="16" t="str">
        <f t="shared" si="26"/>
        <v xml:space="preserve">  </v>
      </c>
      <c r="L215" s="17"/>
      <c r="M215" t="str">
        <f t="shared" si="27"/>
        <v xml:space="preserve"> </v>
      </c>
      <c r="N215">
        <f t="shared" si="28"/>
        <v>0</v>
      </c>
      <c r="O215">
        <f>IF(P215&lt;1,0,IF(VLOOKUP($A215,'Actual Dates'!$A:$G,5,0)="Y",1,0))</f>
        <v>0</v>
      </c>
      <c r="P215">
        <f>IF(Q215&lt;1,0,IF(VLOOKUP($A215,'Actual Dates'!$A:$G,4,0)="Y",1,0))</f>
        <v>0</v>
      </c>
      <c r="Q215">
        <f>IF(R215&lt;1,0,IF(VLOOKUP($A215,'Actual Dates'!$A:$G,3,0)="Y",1,0))</f>
        <v>0</v>
      </c>
      <c r="R215">
        <f>IF(VLOOKUP($A215,'Actual Dates'!$A:$G,2,0)="Y",1,0)</f>
        <v>0</v>
      </c>
      <c r="S215" s="4">
        <f ca="1">_xlfn.IFNA(+VLOOKUP(A215,'Date Calcs'!A:AG,8,),TODAY())</f>
        <v>46115</v>
      </c>
      <c r="T215" s="4">
        <f ca="1">_xlfn.IFNA(VLOOKUP(A215,'Date Calcs'!A:AG,10,),TODAY())</f>
        <v>46115</v>
      </c>
      <c r="U215" s="4">
        <f ca="1">_xlfn.IFNA(+VLOOKUP(A215,'Date Calcs'!A:AG,12,),TODAY())</f>
        <v>46115</v>
      </c>
      <c r="V215" s="4">
        <f ca="1">_xlfn.IFNA(+VLOOKUP(A215,'Date Calcs'!A:AG,14,),TODAY())</f>
        <v>46115</v>
      </c>
      <c r="W215" s="4">
        <f ca="1">_xlfn.IFNA(+VLOOKUP(A215,'Date Calcs'!A:AG,16,),TODAY())</f>
        <v>46115</v>
      </c>
      <c r="X215" s="4">
        <f ca="1">_xlfn.IFNA(IF(C215=0,VLOOKUP(A215,'Date Calcs'!A:AG,8,),IF(C215=1,VLOOKUP(A215,'Date Calcs'!A:AG,10,),IF(C215=2,VLOOKUP(A215,'Date Calcs'!A:AG,12,),IF(C215=3,VLOOKUP(A215,'Date Calcs'!A:AG,14,),4)))),TODAY())</f>
        <v>46115</v>
      </c>
      <c r="Y215" s="4">
        <f t="shared" ca="1" si="25"/>
        <v>46115</v>
      </c>
      <c r="Z215" s="4">
        <f ca="1">_xlfn.IFNA(Y215+(VLOOKUP(A215,'Date Calcs'!A:W,22,0)*7),TODAY())</f>
        <v>46115</v>
      </c>
      <c r="AA215" s="4">
        <f>_xlfn.IFNA(VLOOKUP(A215,'RTR v2'!$A:$AW,46,0),"")</f>
        <v>0</v>
      </c>
    </row>
    <row r="216" spans="1:27" ht="23.25" hidden="1" x14ac:dyDescent="0.25">
      <c r="A216" s="12">
        <f>'Actual Dates'!A214</f>
        <v>0</v>
      </c>
      <c r="B216" s="13" t="str">
        <f>_xlfn.IFNA(VLOOKUP(A216,'Date Calcs'!A:B,2,),"")</f>
        <v/>
      </c>
      <c r="C216" s="14">
        <f>VLOOKUP(A216,'Actual Dates'!A:AE,18,)</f>
        <v>0</v>
      </c>
      <c r="D216" s="15">
        <f t="shared" ca="1" si="22"/>
        <v>46115</v>
      </c>
      <c r="E216" s="15">
        <f t="shared" ca="1" si="23"/>
        <v>46115</v>
      </c>
      <c r="F216" s="14">
        <f ca="1">IFERROR(ROUND(IF(A216="","",IF(E216=0,D216-Date!$B$3,D216-E216)),0),"")</f>
        <v>0</v>
      </c>
      <c r="G216" s="14" t="str">
        <f>_xlfn.IFNA(VLOOKUP(A216,'RTR v2'!A:AW,48,FALSE)," ")</f>
        <v/>
      </c>
      <c r="I216" s="16" t="str">
        <f t="shared" si="24"/>
        <v>N</v>
      </c>
      <c r="J216" s="16" t="str">
        <f t="shared" si="26"/>
        <v xml:space="preserve">  </v>
      </c>
      <c r="L216" s="17"/>
      <c r="M216" t="str">
        <f t="shared" si="27"/>
        <v xml:space="preserve"> </v>
      </c>
      <c r="N216">
        <f t="shared" si="28"/>
        <v>0</v>
      </c>
      <c r="O216">
        <f>IF(P216&lt;1,0,IF(VLOOKUP($A216,'Actual Dates'!$A:$G,5,0)="Y",1,0))</f>
        <v>0</v>
      </c>
      <c r="P216">
        <f>IF(Q216&lt;1,0,IF(VLOOKUP($A216,'Actual Dates'!$A:$G,4,0)="Y",1,0))</f>
        <v>0</v>
      </c>
      <c r="Q216">
        <f>IF(R216&lt;1,0,IF(VLOOKUP($A216,'Actual Dates'!$A:$G,3,0)="Y",1,0))</f>
        <v>0</v>
      </c>
      <c r="R216">
        <f>IF(VLOOKUP($A216,'Actual Dates'!$A:$G,2,0)="Y",1,0)</f>
        <v>0</v>
      </c>
      <c r="S216" s="4">
        <f ca="1">_xlfn.IFNA(+VLOOKUP(A216,'Date Calcs'!A:AG,8,),TODAY())</f>
        <v>46115</v>
      </c>
      <c r="T216" s="4">
        <f ca="1">_xlfn.IFNA(VLOOKUP(A216,'Date Calcs'!A:AG,10,),TODAY())</f>
        <v>46115</v>
      </c>
      <c r="U216" s="4">
        <f ca="1">_xlfn.IFNA(+VLOOKUP(A216,'Date Calcs'!A:AG,12,),TODAY())</f>
        <v>46115</v>
      </c>
      <c r="V216" s="4">
        <f ca="1">_xlfn.IFNA(+VLOOKUP(A216,'Date Calcs'!A:AG,14,),TODAY())</f>
        <v>46115</v>
      </c>
      <c r="W216" s="4">
        <f ca="1">_xlfn.IFNA(+VLOOKUP(A216,'Date Calcs'!A:AG,16,),TODAY())</f>
        <v>46115</v>
      </c>
      <c r="X216" s="4">
        <f ca="1">_xlfn.IFNA(IF(C216=0,VLOOKUP(A216,'Date Calcs'!A:AG,8,),IF(C216=1,VLOOKUP(A216,'Date Calcs'!A:AG,10,),IF(C216=2,VLOOKUP(A216,'Date Calcs'!A:AG,12,),IF(C216=3,VLOOKUP(A216,'Date Calcs'!A:AG,14,),4)))),TODAY())</f>
        <v>46115</v>
      </c>
      <c r="Y216" s="4">
        <f t="shared" ca="1" si="25"/>
        <v>46115</v>
      </c>
      <c r="Z216" s="4">
        <f ca="1">_xlfn.IFNA(Y216+(VLOOKUP(A216,'Date Calcs'!A:W,22,0)*7),TODAY())</f>
        <v>46115</v>
      </c>
      <c r="AA216" s="4">
        <f>_xlfn.IFNA(VLOOKUP(A216,'RTR v2'!$A:$AW,46,0),"")</f>
        <v>0</v>
      </c>
    </row>
    <row r="217" spans="1:27" ht="23.25" hidden="1" x14ac:dyDescent="0.25">
      <c r="A217" s="12">
        <f>'Actual Dates'!A215</f>
        <v>0</v>
      </c>
      <c r="B217" s="13" t="str">
        <f>_xlfn.IFNA(VLOOKUP(A217,'Date Calcs'!A:B,2,),"")</f>
        <v/>
      </c>
      <c r="C217" s="14">
        <f>VLOOKUP(A217,'Actual Dates'!A:AE,18,)</f>
        <v>0</v>
      </c>
      <c r="D217" s="15">
        <f t="shared" ca="1" si="22"/>
        <v>46115</v>
      </c>
      <c r="E217" s="15">
        <f t="shared" ca="1" si="23"/>
        <v>46115</v>
      </c>
      <c r="F217" s="14">
        <f ca="1">IFERROR(ROUND(IF(A217="","",IF(E217=0,D217-Date!$B$3,D217-E217)),0),"")</f>
        <v>0</v>
      </c>
      <c r="G217" s="14" t="str">
        <f>_xlfn.IFNA(VLOOKUP(A217,'RTR v2'!A:AW,48,FALSE)," ")</f>
        <v/>
      </c>
      <c r="I217" s="16" t="str">
        <f t="shared" si="24"/>
        <v>N</v>
      </c>
      <c r="J217" s="16" t="str">
        <f t="shared" si="26"/>
        <v xml:space="preserve">  </v>
      </c>
      <c r="L217" s="17"/>
      <c r="M217" t="str">
        <f t="shared" si="27"/>
        <v xml:space="preserve"> </v>
      </c>
      <c r="N217">
        <f t="shared" si="28"/>
        <v>0</v>
      </c>
      <c r="O217">
        <f>IF(P217&lt;1,0,IF(VLOOKUP($A217,'Actual Dates'!$A:$G,5,0)="Y",1,0))</f>
        <v>0</v>
      </c>
      <c r="P217">
        <f>IF(Q217&lt;1,0,IF(VLOOKUP($A217,'Actual Dates'!$A:$G,4,0)="Y",1,0))</f>
        <v>0</v>
      </c>
      <c r="Q217">
        <f>IF(R217&lt;1,0,IF(VLOOKUP($A217,'Actual Dates'!$A:$G,3,0)="Y",1,0))</f>
        <v>0</v>
      </c>
      <c r="R217">
        <f>IF(VLOOKUP($A217,'Actual Dates'!$A:$G,2,0)="Y",1,0)</f>
        <v>0</v>
      </c>
      <c r="S217" s="4">
        <f ca="1">_xlfn.IFNA(+VLOOKUP(A217,'Date Calcs'!A:AG,8,),TODAY())</f>
        <v>46115</v>
      </c>
      <c r="T217" s="4">
        <f ca="1">_xlfn.IFNA(VLOOKUP(A217,'Date Calcs'!A:AG,10,),TODAY())</f>
        <v>46115</v>
      </c>
      <c r="U217" s="4">
        <f ca="1">_xlfn.IFNA(+VLOOKUP(A217,'Date Calcs'!A:AG,12,),TODAY())</f>
        <v>46115</v>
      </c>
      <c r="V217" s="4">
        <f ca="1">_xlfn.IFNA(+VLOOKUP(A217,'Date Calcs'!A:AG,14,),TODAY())</f>
        <v>46115</v>
      </c>
      <c r="W217" s="4">
        <f ca="1">_xlfn.IFNA(+VLOOKUP(A217,'Date Calcs'!A:AG,16,),TODAY())</f>
        <v>46115</v>
      </c>
      <c r="X217" s="4">
        <f ca="1">_xlfn.IFNA(IF(C217=0,VLOOKUP(A217,'Date Calcs'!A:AG,8,),IF(C217=1,VLOOKUP(A217,'Date Calcs'!A:AG,10,),IF(C217=2,VLOOKUP(A217,'Date Calcs'!A:AG,12,),IF(C217=3,VLOOKUP(A217,'Date Calcs'!A:AG,14,),4)))),TODAY())</f>
        <v>46115</v>
      </c>
      <c r="Y217" s="4">
        <f t="shared" ca="1" si="25"/>
        <v>46115</v>
      </c>
      <c r="Z217" s="4">
        <f ca="1">_xlfn.IFNA(Y217+(VLOOKUP(A217,'Date Calcs'!A:W,22,0)*7),TODAY())</f>
        <v>46115</v>
      </c>
      <c r="AA217" s="4">
        <f>_xlfn.IFNA(VLOOKUP(A217,'RTR v2'!$A:$AW,46,0),"")</f>
        <v>0</v>
      </c>
    </row>
    <row r="218" spans="1:27" ht="23.25" hidden="1" x14ac:dyDescent="0.25">
      <c r="A218" s="12">
        <f>'Actual Dates'!A216</f>
        <v>0</v>
      </c>
      <c r="B218" s="13" t="str">
        <f>_xlfn.IFNA(VLOOKUP(A218,'Date Calcs'!A:B,2,),"")</f>
        <v/>
      </c>
      <c r="C218" s="14">
        <f>VLOOKUP(A218,'Actual Dates'!A:AE,18,)</f>
        <v>0</v>
      </c>
      <c r="D218" s="15">
        <f t="shared" ca="1" si="22"/>
        <v>46115</v>
      </c>
      <c r="E218" s="15">
        <f t="shared" ca="1" si="23"/>
        <v>46115</v>
      </c>
      <c r="F218" s="14">
        <f ca="1">IFERROR(ROUND(IF(A218="","",IF(E218=0,D218-Date!$B$3,D218-E218)),0),"")</f>
        <v>0</v>
      </c>
      <c r="G218" s="14" t="str">
        <f>_xlfn.IFNA(VLOOKUP(A218,'RTR v2'!A:AW,48,FALSE)," ")</f>
        <v/>
      </c>
      <c r="I218" s="16" t="str">
        <f t="shared" si="24"/>
        <v>N</v>
      </c>
      <c r="J218" s="16" t="str">
        <f t="shared" si="26"/>
        <v xml:space="preserve">  </v>
      </c>
      <c r="L218" s="17"/>
      <c r="M218" t="str">
        <f t="shared" si="27"/>
        <v xml:space="preserve"> </v>
      </c>
      <c r="N218">
        <f t="shared" si="28"/>
        <v>0</v>
      </c>
      <c r="O218">
        <f>IF(P218&lt;1,0,IF(VLOOKUP($A218,'Actual Dates'!$A:$G,5,0)="Y",1,0))</f>
        <v>0</v>
      </c>
      <c r="P218">
        <f>IF(Q218&lt;1,0,IF(VLOOKUP($A218,'Actual Dates'!$A:$G,4,0)="Y",1,0))</f>
        <v>0</v>
      </c>
      <c r="Q218">
        <f>IF(R218&lt;1,0,IF(VLOOKUP($A218,'Actual Dates'!$A:$G,3,0)="Y",1,0))</f>
        <v>0</v>
      </c>
      <c r="R218">
        <f>IF(VLOOKUP($A218,'Actual Dates'!$A:$G,2,0)="Y",1,0)</f>
        <v>0</v>
      </c>
      <c r="S218" s="4">
        <f ca="1">_xlfn.IFNA(+VLOOKUP(A218,'Date Calcs'!A:AG,8,),TODAY())</f>
        <v>46115</v>
      </c>
      <c r="T218" s="4">
        <f ca="1">_xlfn.IFNA(VLOOKUP(A218,'Date Calcs'!A:AG,10,),TODAY())</f>
        <v>46115</v>
      </c>
      <c r="U218" s="4">
        <f ca="1">_xlfn.IFNA(+VLOOKUP(A218,'Date Calcs'!A:AG,12,),TODAY())</f>
        <v>46115</v>
      </c>
      <c r="V218" s="4">
        <f ca="1">_xlfn.IFNA(+VLOOKUP(A218,'Date Calcs'!A:AG,14,),TODAY())</f>
        <v>46115</v>
      </c>
      <c r="W218" s="4">
        <f ca="1">_xlfn.IFNA(+VLOOKUP(A218,'Date Calcs'!A:AG,16,),TODAY())</f>
        <v>46115</v>
      </c>
      <c r="X218" s="4">
        <f ca="1">_xlfn.IFNA(IF(C218=0,VLOOKUP(A218,'Date Calcs'!A:AG,8,),IF(C218=1,VLOOKUP(A218,'Date Calcs'!A:AG,10,),IF(C218=2,VLOOKUP(A218,'Date Calcs'!A:AG,12,),IF(C218=3,VLOOKUP(A218,'Date Calcs'!A:AG,14,),4)))),TODAY())</f>
        <v>46115</v>
      </c>
      <c r="Y218" s="4">
        <f t="shared" ca="1" si="25"/>
        <v>46115</v>
      </c>
      <c r="Z218" s="4">
        <f ca="1">_xlfn.IFNA(Y218+(VLOOKUP(A218,'Date Calcs'!A:W,22,0)*7),TODAY())</f>
        <v>46115</v>
      </c>
      <c r="AA218" s="4">
        <f>_xlfn.IFNA(VLOOKUP(A218,'RTR v2'!$A:$AW,46,0),"")</f>
        <v>0</v>
      </c>
    </row>
    <row r="219" spans="1:27" ht="23.25" hidden="1" x14ac:dyDescent="0.25">
      <c r="A219" s="12">
        <f>'Actual Dates'!A217</f>
        <v>0</v>
      </c>
      <c r="B219" s="13" t="str">
        <f>_xlfn.IFNA(VLOOKUP(A219,'Date Calcs'!A:B,2,),"")</f>
        <v/>
      </c>
      <c r="C219" s="14">
        <f>VLOOKUP(A219,'Actual Dates'!A:AE,18,)</f>
        <v>0</v>
      </c>
      <c r="D219" s="15">
        <f t="shared" ca="1" si="22"/>
        <v>46115</v>
      </c>
      <c r="E219" s="15">
        <f t="shared" ca="1" si="23"/>
        <v>46115</v>
      </c>
      <c r="F219" s="14">
        <f ca="1">IFERROR(ROUND(IF(A219="","",IF(E219=0,D219-Date!$B$3,D219-E219)),0),"")</f>
        <v>0</v>
      </c>
      <c r="G219" s="14" t="str">
        <f>_xlfn.IFNA(VLOOKUP(A219,'RTR v2'!A:AW,48,FALSE)," ")</f>
        <v/>
      </c>
      <c r="I219" s="16" t="str">
        <f t="shared" si="24"/>
        <v>N</v>
      </c>
      <c r="J219" s="16" t="str">
        <f t="shared" si="26"/>
        <v xml:space="preserve">  </v>
      </c>
      <c r="L219" s="17"/>
      <c r="M219" t="str">
        <f t="shared" si="27"/>
        <v xml:space="preserve"> </v>
      </c>
      <c r="N219">
        <f t="shared" si="28"/>
        <v>0</v>
      </c>
      <c r="O219">
        <f>IF(P219&lt;1,0,IF(VLOOKUP($A219,'Actual Dates'!$A:$G,5,0)="Y",1,0))</f>
        <v>0</v>
      </c>
      <c r="P219">
        <f>IF(Q219&lt;1,0,IF(VLOOKUP($A219,'Actual Dates'!$A:$G,4,0)="Y",1,0))</f>
        <v>0</v>
      </c>
      <c r="Q219">
        <f>IF(R219&lt;1,0,IF(VLOOKUP($A219,'Actual Dates'!$A:$G,3,0)="Y",1,0))</f>
        <v>0</v>
      </c>
      <c r="R219">
        <f>IF(VLOOKUP($A219,'Actual Dates'!$A:$G,2,0)="Y",1,0)</f>
        <v>0</v>
      </c>
      <c r="S219" s="4">
        <f ca="1">_xlfn.IFNA(+VLOOKUP(A219,'Date Calcs'!A:AG,8,),TODAY())</f>
        <v>46115</v>
      </c>
      <c r="T219" s="4">
        <f ca="1">_xlfn.IFNA(VLOOKUP(A219,'Date Calcs'!A:AG,10,),TODAY())</f>
        <v>46115</v>
      </c>
      <c r="U219" s="4">
        <f ca="1">_xlfn.IFNA(+VLOOKUP(A219,'Date Calcs'!A:AG,12,),TODAY())</f>
        <v>46115</v>
      </c>
      <c r="V219" s="4">
        <f ca="1">_xlfn.IFNA(+VLOOKUP(A219,'Date Calcs'!A:AG,14,),TODAY())</f>
        <v>46115</v>
      </c>
      <c r="W219" s="4">
        <f ca="1">_xlfn.IFNA(+VLOOKUP(A219,'Date Calcs'!A:AG,16,),TODAY())</f>
        <v>46115</v>
      </c>
      <c r="X219" s="4">
        <f ca="1">_xlfn.IFNA(IF(C219=0,VLOOKUP(A219,'Date Calcs'!A:AG,8,),IF(C219=1,VLOOKUP(A219,'Date Calcs'!A:AG,10,),IF(C219=2,VLOOKUP(A219,'Date Calcs'!A:AG,12,),IF(C219=3,VLOOKUP(A219,'Date Calcs'!A:AG,14,),4)))),TODAY())</f>
        <v>46115</v>
      </c>
      <c r="Y219" s="4">
        <f t="shared" ca="1" si="25"/>
        <v>46115</v>
      </c>
      <c r="Z219" s="4">
        <f ca="1">_xlfn.IFNA(Y219+(VLOOKUP(A219,'Date Calcs'!A:W,22,0)*7),TODAY())</f>
        <v>46115</v>
      </c>
      <c r="AA219" s="4">
        <f>_xlfn.IFNA(VLOOKUP(A219,'RTR v2'!$A:$AW,46,0),"")</f>
        <v>0</v>
      </c>
    </row>
    <row r="220" spans="1:27" ht="23.25" hidden="1" x14ac:dyDescent="0.25">
      <c r="A220" s="12">
        <f>'Actual Dates'!A218</f>
        <v>0</v>
      </c>
      <c r="B220" s="13" t="str">
        <f>_xlfn.IFNA(VLOOKUP(A220,'Date Calcs'!A:B,2,),"")</f>
        <v/>
      </c>
      <c r="C220" s="14">
        <f>VLOOKUP(A220,'Actual Dates'!A:AE,18,)</f>
        <v>0</v>
      </c>
      <c r="D220" s="15">
        <f t="shared" ca="1" si="22"/>
        <v>46115</v>
      </c>
      <c r="E220" s="15">
        <f t="shared" ca="1" si="23"/>
        <v>46115</v>
      </c>
      <c r="F220" s="14">
        <f ca="1">IFERROR(ROUND(IF(A220="","",IF(E220=0,D220-Date!$B$3,D220-E220)),0),"")</f>
        <v>0</v>
      </c>
      <c r="G220" s="14" t="str">
        <f>_xlfn.IFNA(VLOOKUP(A220,'RTR v2'!A:AW,48,FALSE)," ")</f>
        <v/>
      </c>
      <c r="I220" s="16" t="str">
        <f t="shared" si="24"/>
        <v>N</v>
      </c>
      <c r="J220" s="16" t="str">
        <f t="shared" si="26"/>
        <v xml:space="preserve">  </v>
      </c>
      <c r="L220" s="17"/>
      <c r="M220" t="str">
        <f t="shared" si="27"/>
        <v xml:space="preserve"> </v>
      </c>
      <c r="N220">
        <f t="shared" si="28"/>
        <v>0</v>
      </c>
      <c r="O220">
        <f>IF(P220&lt;1,0,IF(VLOOKUP($A220,'Actual Dates'!$A:$G,5,0)="Y",1,0))</f>
        <v>0</v>
      </c>
      <c r="P220">
        <f>IF(Q220&lt;1,0,IF(VLOOKUP($A220,'Actual Dates'!$A:$G,4,0)="Y",1,0))</f>
        <v>0</v>
      </c>
      <c r="Q220">
        <f>IF(R220&lt;1,0,IF(VLOOKUP($A220,'Actual Dates'!$A:$G,3,0)="Y",1,0))</f>
        <v>0</v>
      </c>
      <c r="R220">
        <f>IF(VLOOKUP($A220,'Actual Dates'!$A:$G,2,0)="Y",1,0)</f>
        <v>0</v>
      </c>
      <c r="S220" s="4">
        <f ca="1">_xlfn.IFNA(+VLOOKUP(A220,'Date Calcs'!A:AG,8,),TODAY())</f>
        <v>46115</v>
      </c>
      <c r="T220" s="4">
        <f ca="1">_xlfn.IFNA(VLOOKUP(A220,'Date Calcs'!A:AG,10,),TODAY())</f>
        <v>46115</v>
      </c>
      <c r="U220" s="4">
        <f ca="1">_xlfn.IFNA(+VLOOKUP(A220,'Date Calcs'!A:AG,12,),TODAY())</f>
        <v>46115</v>
      </c>
      <c r="V220" s="4">
        <f ca="1">_xlfn.IFNA(+VLOOKUP(A220,'Date Calcs'!A:AG,14,),TODAY())</f>
        <v>46115</v>
      </c>
      <c r="W220" s="4">
        <f ca="1">_xlfn.IFNA(+VLOOKUP(A220,'Date Calcs'!A:AG,16,),TODAY())</f>
        <v>46115</v>
      </c>
      <c r="X220" s="4">
        <f ca="1">_xlfn.IFNA(IF(C220=0,VLOOKUP(A220,'Date Calcs'!A:AG,8,),IF(C220=1,VLOOKUP(A220,'Date Calcs'!A:AG,10,),IF(C220=2,VLOOKUP(A220,'Date Calcs'!A:AG,12,),IF(C220=3,VLOOKUP(A220,'Date Calcs'!A:AG,14,),4)))),TODAY())</f>
        <v>46115</v>
      </c>
      <c r="Y220" s="4">
        <f t="shared" ca="1" si="25"/>
        <v>46115</v>
      </c>
      <c r="Z220" s="4">
        <f ca="1">_xlfn.IFNA(Y220+(VLOOKUP(A220,'Date Calcs'!A:W,22,0)*7),TODAY())</f>
        <v>46115</v>
      </c>
      <c r="AA220" s="4">
        <f>_xlfn.IFNA(VLOOKUP(A220,'RTR v2'!$A:$AW,46,0),"")</f>
        <v>0</v>
      </c>
    </row>
    <row r="221" spans="1:27" ht="23.25" hidden="1" x14ac:dyDescent="0.25">
      <c r="A221" s="12">
        <f>'Actual Dates'!A219</f>
        <v>0</v>
      </c>
      <c r="B221" s="13" t="str">
        <f>_xlfn.IFNA(VLOOKUP(A221,'Date Calcs'!A:B,2,),"")</f>
        <v/>
      </c>
      <c r="C221" s="14">
        <f>VLOOKUP(A221,'Actual Dates'!A:AE,18,)</f>
        <v>0</v>
      </c>
      <c r="D221" s="15">
        <f t="shared" ca="1" si="22"/>
        <v>46115</v>
      </c>
      <c r="E221" s="15">
        <f t="shared" ca="1" si="23"/>
        <v>46115</v>
      </c>
      <c r="F221" s="14">
        <f ca="1">IFERROR(ROUND(IF(A221="","",IF(E221=0,D221-Date!$B$3,D221-E221)),0),"")</f>
        <v>0</v>
      </c>
      <c r="G221" s="14" t="str">
        <f>_xlfn.IFNA(VLOOKUP(A221,'RTR v2'!A:AW,48,FALSE)," ")</f>
        <v/>
      </c>
      <c r="I221" s="16" t="str">
        <f t="shared" si="24"/>
        <v>N</v>
      </c>
      <c r="J221" s="16" t="str">
        <f t="shared" si="26"/>
        <v xml:space="preserve">  </v>
      </c>
      <c r="L221" s="17"/>
      <c r="M221" t="str">
        <f t="shared" si="27"/>
        <v xml:space="preserve"> </v>
      </c>
      <c r="N221">
        <f t="shared" si="28"/>
        <v>0</v>
      </c>
      <c r="O221">
        <f>IF(P221&lt;1,0,IF(VLOOKUP($A221,'Actual Dates'!$A:$G,5,0)="Y",1,0))</f>
        <v>0</v>
      </c>
      <c r="P221">
        <f>IF(Q221&lt;1,0,IF(VLOOKUP($A221,'Actual Dates'!$A:$G,4,0)="Y",1,0))</f>
        <v>0</v>
      </c>
      <c r="Q221">
        <f>IF(R221&lt;1,0,IF(VLOOKUP($A221,'Actual Dates'!$A:$G,3,0)="Y",1,0))</f>
        <v>0</v>
      </c>
      <c r="R221">
        <f>IF(VLOOKUP($A221,'Actual Dates'!$A:$G,2,0)="Y",1,0)</f>
        <v>0</v>
      </c>
      <c r="S221" s="4">
        <f ca="1">_xlfn.IFNA(+VLOOKUP(A221,'Date Calcs'!A:AG,8,),TODAY())</f>
        <v>46115</v>
      </c>
      <c r="T221" s="4">
        <f ca="1">_xlfn.IFNA(VLOOKUP(A221,'Date Calcs'!A:AG,10,),TODAY())</f>
        <v>46115</v>
      </c>
      <c r="U221" s="4">
        <f ca="1">_xlfn.IFNA(+VLOOKUP(A221,'Date Calcs'!A:AG,12,),TODAY())</f>
        <v>46115</v>
      </c>
      <c r="V221" s="4">
        <f ca="1">_xlfn.IFNA(+VLOOKUP(A221,'Date Calcs'!A:AG,14,),TODAY())</f>
        <v>46115</v>
      </c>
      <c r="W221" s="4">
        <f ca="1">_xlfn.IFNA(+VLOOKUP(A221,'Date Calcs'!A:AG,16,),TODAY())</f>
        <v>46115</v>
      </c>
      <c r="X221" s="4">
        <f ca="1">_xlfn.IFNA(IF(C221=0,VLOOKUP(A221,'Date Calcs'!A:AG,8,),IF(C221=1,VLOOKUP(A221,'Date Calcs'!A:AG,10,),IF(C221=2,VLOOKUP(A221,'Date Calcs'!A:AG,12,),IF(C221=3,VLOOKUP(A221,'Date Calcs'!A:AG,14,),4)))),TODAY())</f>
        <v>46115</v>
      </c>
      <c r="Y221" s="4">
        <f t="shared" ca="1" si="25"/>
        <v>46115</v>
      </c>
      <c r="Z221" s="4">
        <f ca="1">_xlfn.IFNA(Y221+(VLOOKUP(A221,'Date Calcs'!A:W,22,0)*7),TODAY())</f>
        <v>46115</v>
      </c>
      <c r="AA221" s="4">
        <f>_xlfn.IFNA(VLOOKUP(A221,'RTR v2'!$A:$AW,46,0),"")</f>
        <v>0</v>
      </c>
    </row>
    <row r="222" spans="1:27" ht="23.25" hidden="1" x14ac:dyDescent="0.25">
      <c r="A222" s="12">
        <f>'Actual Dates'!A220</f>
        <v>0</v>
      </c>
      <c r="B222" s="13" t="str">
        <f>_xlfn.IFNA(VLOOKUP(A222,'Date Calcs'!A:B,2,),"")</f>
        <v/>
      </c>
      <c r="C222" s="14">
        <f>VLOOKUP(A222,'Actual Dates'!A:AE,18,)</f>
        <v>0</v>
      </c>
      <c r="D222" s="15">
        <f t="shared" ca="1" si="22"/>
        <v>46115</v>
      </c>
      <c r="E222" s="15">
        <f t="shared" ca="1" si="23"/>
        <v>46115</v>
      </c>
      <c r="F222" s="14">
        <f ca="1">IFERROR(ROUND(IF(A222="","",IF(E222=0,D222-Date!$B$3,D222-E222)),0),"")</f>
        <v>0</v>
      </c>
      <c r="G222" s="14" t="str">
        <f>_xlfn.IFNA(VLOOKUP(A222,'RTR v2'!A:AW,48,FALSE)," ")</f>
        <v/>
      </c>
      <c r="I222" s="16" t="str">
        <f t="shared" si="24"/>
        <v>N</v>
      </c>
      <c r="J222" s="16" t="str">
        <f t="shared" si="26"/>
        <v xml:space="preserve">  </v>
      </c>
      <c r="L222" s="17"/>
      <c r="M222" t="str">
        <f t="shared" si="27"/>
        <v xml:space="preserve"> </v>
      </c>
      <c r="N222">
        <f t="shared" si="28"/>
        <v>0</v>
      </c>
      <c r="O222">
        <f>IF(P222&lt;1,0,IF(VLOOKUP($A222,'Actual Dates'!$A:$G,5,0)="Y",1,0))</f>
        <v>0</v>
      </c>
      <c r="P222">
        <f>IF(Q222&lt;1,0,IF(VLOOKUP($A222,'Actual Dates'!$A:$G,4,0)="Y",1,0))</f>
        <v>0</v>
      </c>
      <c r="Q222">
        <f>IF(R222&lt;1,0,IF(VLOOKUP($A222,'Actual Dates'!$A:$G,3,0)="Y",1,0))</f>
        <v>0</v>
      </c>
      <c r="R222">
        <f>IF(VLOOKUP($A222,'Actual Dates'!$A:$G,2,0)="Y",1,0)</f>
        <v>0</v>
      </c>
      <c r="S222" s="4">
        <f ca="1">_xlfn.IFNA(+VLOOKUP(A222,'Date Calcs'!A:AG,8,),TODAY())</f>
        <v>46115</v>
      </c>
      <c r="T222" s="4">
        <f ca="1">_xlfn.IFNA(VLOOKUP(A222,'Date Calcs'!A:AG,10,),TODAY())</f>
        <v>46115</v>
      </c>
      <c r="U222" s="4">
        <f ca="1">_xlfn.IFNA(+VLOOKUP(A222,'Date Calcs'!A:AG,12,),TODAY())</f>
        <v>46115</v>
      </c>
      <c r="V222" s="4">
        <f ca="1">_xlfn.IFNA(+VLOOKUP(A222,'Date Calcs'!A:AG,14,),TODAY())</f>
        <v>46115</v>
      </c>
      <c r="W222" s="4">
        <f ca="1">_xlfn.IFNA(+VLOOKUP(A222,'Date Calcs'!A:AG,16,),TODAY())</f>
        <v>46115</v>
      </c>
      <c r="X222" s="4">
        <f ca="1">_xlfn.IFNA(IF(C222=0,VLOOKUP(A222,'Date Calcs'!A:AG,8,),IF(C222=1,VLOOKUP(A222,'Date Calcs'!A:AG,10,),IF(C222=2,VLOOKUP(A222,'Date Calcs'!A:AG,12,),IF(C222=3,VLOOKUP(A222,'Date Calcs'!A:AG,14,),4)))),TODAY())</f>
        <v>46115</v>
      </c>
      <c r="Y222" s="4">
        <f t="shared" ca="1" si="25"/>
        <v>46115</v>
      </c>
      <c r="Z222" s="4">
        <f ca="1">_xlfn.IFNA(Y222+(VLOOKUP(A222,'Date Calcs'!A:W,22,0)*7),TODAY())</f>
        <v>46115</v>
      </c>
      <c r="AA222" s="4">
        <f>_xlfn.IFNA(VLOOKUP(A222,'RTR v2'!$A:$AW,46,0),"")</f>
        <v>0</v>
      </c>
    </row>
    <row r="223" spans="1:27" ht="23.25" hidden="1" x14ac:dyDescent="0.25">
      <c r="A223" s="12">
        <f>'Actual Dates'!A221</f>
        <v>0</v>
      </c>
      <c r="B223" s="13" t="str">
        <f>_xlfn.IFNA(VLOOKUP(A223,'Date Calcs'!A:B,2,),"")</f>
        <v/>
      </c>
      <c r="C223" s="14">
        <f>VLOOKUP(A223,'Actual Dates'!A:AE,18,)</f>
        <v>0</v>
      </c>
      <c r="D223" s="15">
        <f t="shared" ca="1" si="22"/>
        <v>46115</v>
      </c>
      <c r="E223" s="15">
        <f t="shared" ca="1" si="23"/>
        <v>46115</v>
      </c>
      <c r="F223" s="14">
        <f ca="1">IFERROR(ROUND(IF(A223="","",IF(E223=0,D223-Date!$B$3,D223-E223)),0),"")</f>
        <v>0</v>
      </c>
      <c r="G223" s="14" t="str">
        <f>_xlfn.IFNA(VLOOKUP(A223,'RTR v2'!A:AW,48,FALSE)," ")</f>
        <v/>
      </c>
      <c r="I223" s="16" t="str">
        <f t="shared" si="24"/>
        <v>N</v>
      </c>
      <c r="J223" s="16" t="str">
        <f t="shared" si="26"/>
        <v xml:space="preserve">  </v>
      </c>
      <c r="L223" s="17"/>
      <c r="M223" t="str">
        <f t="shared" si="27"/>
        <v xml:space="preserve"> </v>
      </c>
      <c r="N223">
        <f t="shared" si="28"/>
        <v>0</v>
      </c>
      <c r="O223">
        <f>IF(P223&lt;1,0,IF(VLOOKUP($A223,'Actual Dates'!$A:$G,5,0)="Y",1,0))</f>
        <v>0</v>
      </c>
      <c r="P223">
        <f>IF(Q223&lt;1,0,IF(VLOOKUP($A223,'Actual Dates'!$A:$G,4,0)="Y",1,0))</f>
        <v>0</v>
      </c>
      <c r="Q223">
        <f>IF(R223&lt;1,0,IF(VLOOKUP($A223,'Actual Dates'!$A:$G,3,0)="Y",1,0))</f>
        <v>0</v>
      </c>
      <c r="R223">
        <f>IF(VLOOKUP($A223,'Actual Dates'!$A:$G,2,0)="Y",1,0)</f>
        <v>0</v>
      </c>
      <c r="S223" s="4">
        <f ca="1">_xlfn.IFNA(+VLOOKUP(A223,'Date Calcs'!A:AG,8,),TODAY())</f>
        <v>46115</v>
      </c>
      <c r="T223" s="4">
        <f ca="1">_xlfn.IFNA(VLOOKUP(A223,'Date Calcs'!A:AG,10,),TODAY())</f>
        <v>46115</v>
      </c>
      <c r="U223" s="4">
        <f ca="1">_xlfn.IFNA(+VLOOKUP(A223,'Date Calcs'!A:AG,12,),TODAY())</f>
        <v>46115</v>
      </c>
      <c r="V223" s="4">
        <f ca="1">_xlfn.IFNA(+VLOOKUP(A223,'Date Calcs'!A:AG,14,),TODAY())</f>
        <v>46115</v>
      </c>
      <c r="W223" s="4">
        <f ca="1">_xlfn.IFNA(+VLOOKUP(A223,'Date Calcs'!A:AG,16,),TODAY())</f>
        <v>46115</v>
      </c>
      <c r="X223" s="4">
        <f ca="1">_xlfn.IFNA(IF(C223=0,VLOOKUP(A223,'Date Calcs'!A:AG,8,),IF(C223=1,VLOOKUP(A223,'Date Calcs'!A:AG,10,),IF(C223=2,VLOOKUP(A223,'Date Calcs'!A:AG,12,),IF(C223=3,VLOOKUP(A223,'Date Calcs'!A:AG,14,),4)))),TODAY())</f>
        <v>46115</v>
      </c>
      <c r="Y223" s="4">
        <f t="shared" ca="1" si="25"/>
        <v>46115</v>
      </c>
      <c r="Z223" s="4">
        <f ca="1">_xlfn.IFNA(Y223+(VLOOKUP(A223,'Date Calcs'!A:W,22,0)*7),TODAY())</f>
        <v>46115</v>
      </c>
      <c r="AA223" s="4">
        <f>_xlfn.IFNA(VLOOKUP(A223,'RTR v2'!$A:$AW,46,0),"")</f>
        <v>0</v>
      </c>
    </row>
    <row r="224" spans="1:27" ht="23.25" hidden="1" x14ac:dyDescent="0.25">
      <c r="A224" s="12">
        <f>'Actual Dates'!A222</f>
        <v>0</v>
      </c>
      <c r="B224" s="13" t="str">
        <f>_xlfn.IFNA(VLOOKUP(A224,'Date Calcs'!A:B,2,),"")</f>
        <v/>
      </c>
      <c r="C224" s="14">
        <f>VLOOKUP(A224,'Actual Dates'!A:AE,18,)</f>
        <v>0</v>
      </c>
      <c r="D224" s="15">
        <f t="shared" ca="1" si="22"/>
        <v>46115</v>
      </c>
      <c r="E224" s="15">
        <f t="shared" ca="1" si="23"/>
        <v>46115</v>
      </c>
      <c r="F224" s="14">
        <f ca="1">IFERROR(ROUND(IF(A224="","",IF(E224=0,D224-Date!$B$3,D224-E224)),0),"")</f>
        <v>0</v>
      </c>
      <c r="G224" s="14" t="str">
        <f>_xlfn.IFNA(VLOOKUP(A224,'RTR v2'!A:AW,48,FALSE)," ")</f>
        <v/>
      </c>
      <c r="I224" s="16" t="str">
        <f t="shared" si="24"/>
        <v>N</v>
      </c>
      <c r="J224" s="16" t="str">
        <f t="shared" si="26"/>
        <v xml:space="preserve">  </v>
      </c>
      <c r="L224" s="17"/>
      <c r="M224" t="str">
        <f t="shared" si="27"/>
        <v xml:space="preserve"> </v>
      </c>
      <c r="N224">
        <f t="shared" si="28"/>
        <v>0</v>
      </c>
      <c r="O224">
        <f>IF(P224&lt;1,0,IF(VLOOKUP($A224,'Actual Dates'!$A:$G,5,0)="Y",1,0))</f>
        <v>0</v>
      </c>
      <c r="P224">
        <f>IF(Q224&lt;1,0,IF(VLOOKUP($A224,'Actual Dates'!$A:$G,4,0)="Y",1,0))</f>
        <v>0</v>
      </c>
      <c r="Q224">
        <f>IF(R224&lt;1,0,IF(VLOOKUP($A224,'Actual Dates'!$A:$G,3,0)="Y",1,0))</f>
        <v>0</v>
      </c>
      <c r="R224">
        <f>IF(VLOOKUP($A224,'Actual Dates'!$A:$G,2,0)="Y",1,0)</f>
        <v>0</v>
      </c>
      <c r="S224" s="4">
        <f ca="1">_xlfn.IFNA(+VLOOKUP(A224,'Date Calcs'!A:AG,8,),TODAY())</f>
        <v>46115</v>
      </c>
      <c r="T224" s="4">
        <f ca="1">_xlfn.IFNA(VLOOKUP(A224,'Date Calcs'!A:AG,10,),TODAY())</f>
        <v>46115</v>
      </c>
      <c r="U224" s="4">
        <f ca="1">_xlfn.IFNA(+VLOOKUP(A224,'Date Calcs'!A:AG,12,),TODAY())</f>
        <v>46115</v>
      </c>
      <c r="V224" s="4">
        <f ca="1">_xlfn.IFNA(+VLOOKUP(A224,'Date Calcs'!A:AG,14,),TODAY())</f>
        <v>46115</v>
      </c>
      <c r="W224" s="4">
        <f ca="1">_xlfn.IFNA(+VLOOKUP(A224,'Date Calcs'!A:AG,16,),TODAY())</f>
        <v>46115</v>
      </c>
      <c r="X224" s="4">
        <f ca="1">_xlfn.IFNA(IF(C224=0,VLOOKUP(A224,'Date Calcs'!A:AG,8,),IF(C224=1,VLOOKUP(A224,'Date Calcs'!A:AG,10,),IF(C224=2,VLOOKUP(A224,'Date Calcs'!A:AG,12,),IF(C224=3,VLOOKUP(A224,'Date Calcs'!A:AG,14,),4)))),TODAY())</f>
        <v>46115</v>
      </c>
      <c r="Y224" s="4">
        <f t="shared" ca="1" si="25"/>
        <v>46115</v>
      </c>
      <c r="Z224" s="4">
        <f ca="1">_xlfn.IFNA(Y224+(VLOOKUP(A224,'Date Calcs'!A:W,22,0)*7),TODAY())</f>
        <v>46115</v>
      </c>
      <c r="AA224" s="4">
        <f>_xlfn.IFNA(VLOOKUP(A224,'RTR v2'!$A:$AW,46,0),"")</f>
        <v>0</v>
      </c>
    </row>
    <row r="225" spans="1:27" ht="23.25" hidden="1" x14ac:dyDescent="0.25">
      <c r="A225" s="12">
        <f>'Actual Dates'!A223</f>
        <v>0</v>
      </c>
      <c r="B225" s="13" t="str">
        <f>_xlfn.IFNA(VLOOKUP(A225,'Date Calcs'!A:B,2,),"")</f>
        <v/>
      </c>
      <c r="C225" s="14">
        <f>VLOOKUP(A225,'Actual Dates'!A:AE,18,)</f>
        <v>0</v>
      </c>
      <c r="D225" s="15">
        <f t="shared" ca="1" si="22"/>
        <v>46115</v>
      </c>
      <c r="E225" s="15">
        <f t="shared" ca="1" si="23"/>
        <v>46115</v>
      </c>
      <c r="F225" s="14">
        <f ca="1">IFERROR(ROUND(IF(A225="","",IF(E225=0,D225-Date!$B$3,D225-E225)),0),"")</f>
        <v>0</v>
      </c>
      <c r="G225" s="14" t="str">
        <f>_xlfn.IFNA(VLOOKUP(A225,'RTR v2'!A:AW,48,FALSE)," ")</f>
        <v/>
      </c>
      <c r="I225" s="16" t="str">
        <f t="shared" si="24"/>
        <v>N</v>
      </c>
      <c r="J225" s="16" t="str">
        <f t="shared" si="26"/>
        <v xml:space="preserve">  </v>
      </c>
      <c r="L225" s="17"/>
      <c r="M225" t="str">
        <f t="shared" si="27"/>
        <v xml:space="preserve"> </v>
      </c>
      <c r="N225">
        <f t="shared" si="28"/>
        <v>0</v>
      </c>
      <c r="O225">
        <f>IF(P225&lt;1,0,IF(VLOOKUP($A225,'Actual Dates'!$A:$G,5,0)="Y",1,0))</f>
        <v>0</v>
      </c>
      <c r="P225">
        <f>IF(Q225&lt;1,0,IF(VLOOKUP($A225,'Actual Dates'!$A:$G,4,0)="Y",1,0))</f>
        <v>0</v>
      </c>
      <c r="Q225">
        <f>IF(R225&lt;1,0,IF(VLOOKUP($A225,'Actual Dates'!$A:$G,3,0)="Y",1,0))</f>
        <v>0</v>
      </c>
      <c r="R225">
        <f>IF(VLOOKUP($A225,'Actual Dates'!$A:$G,2,0)="Y",1,0)</f>
        <v>0</v>
      </c>
      <c r="S225" s="4">
        <f ca="1">_xlfn.IFNA(+VLOOKUP(A225,'Date Calcs'!A:AG,8,),TODAY())</f>
        <v>46115</v>
      </c>
      <c r="T225" s="4">
        <f ca="1">_xlfn.IFNA(VLOOKUP(A225,'Date Calcs'!A:AG,10,),TODAY())</f>
        <v>46115</v>
      </c>
      <c r="U225" s="4">
        <f ca="1">_xlfn.IFNA(+VLOOKUP(A225,'Date Calcs'!A:AG,12,),TODAY())</f>
        <v>46115</v>
      </c>
      <c r="V225" s="4">
        <f ca="1">_xlfn.IFNA(+VLOOKUP(A225,'Date Calcs'!A:AG,14,),TODAY())</f>
        <v>46115</v>
      </c>
      <c r="W225" s="4">
        <f ca="1">_xlfn.IFNA(+VLOOKUP(A225,'Date Calcs'!A:AG,16,),TODAY())</f>
        <v>46115</v>
      </c>
      <c r="X225" s="4">
        <f ca="1">_xlfn.IFNA(IF(C225=0,VLOOKUP(A225,'Date Calcs'!A:AG,8,),IF(C225=1,VLOOKUP(A225,'Date Calcs'!A:AG,10,),IF(C225=2,VLOOKUP(A225,'Date Calcs'!A:AG,12,),IF(C225=3,VLOOKUP(A225,'Date Calcs'!A:AG,14,),4)))),TODAY())</f>
        <v>46115</v>
      </c>
      <c r="Y225" s="4">
        <f t="shared" ca="1" si="25"/>
        <v>46115</v>
      </c>
      <c r="Z225" s="4">
        <f ca="1">_xlfn.IFNA(Y225+(VLOOKUP(A225,'Date Calcs'!A:W,22,0)*7),TODAY())</f>
        <v>46115</v>
      </c>
      <c r="AA225" s="4">
        <f>_xlfn.IFNA(VLOOKUP(A225,'RTR v2'!$A:$AW,46,0),"")</f>
        <v>0</v>
      </c>
    </row>
    <row r="226" spans="1:27" ht="23.25" hidden="1" x14ac:dyDescent="0.25">
      <c r="A226" s="12">
        <f>'Actual Dates'!A224</f>
        <v>0</v>
      </c>
      <c r="B226" s="13" t="str">
        <f>_xlfn.IFNA(VLOOKUP(A226,'Date Calcs'!A:B,2,),"")</f>
        <v/>
      </c>
      <c r="C226" s="14">
        <f>VLOOKUP(A226,'Actual Dates'!A:AE,18,)</f>
        <v>0</v>
      </c>
      <c r="D226" s="15">
        <f t="shared" ca="1" si="22"/>
        <v>46115</v>
      </c>
      <c r="E226" s="15">
        <f t="shared" ca="1" si="23"/>
        <v>46115</v>
      </c>
      <c r="F226" s="14">
        <f ca="1">IFERROR(ROUND(IF(A226="","",IF(E226=0,D226-Date!$B$3,D226-E226)),0),"")</f>
        <v>0</v>
      </c>
      <c r="G226" s="14" t="str">
        <f>_xlfn.IFNA(VLOOKUP(A226,'RTR v2'!A:AW,48,FALSE)," ")</f>
        <v/>
      </c>
      <c r="I226" s="16" t="str">
        <f t="shared" si="24"/>
        <v>N</v>
      </c>
      <c r="J226" s="16" t="str">
        <f t="shared" si="26"/>
        <v xml:space="preserve">  </v>
      </c>
      <c r="L226" s="17"/>
      <c r="M226" t="str">
        <f t="shared" si="27"/>
        <v xml:space="preserve"> </v>
      </c>
      <c r="N226">
        <f t="shared" si="28"/>
        <v>0</v>
      </c>
      <c r="O226">
        <f>IF(P226&lt;1,0,IF(VLOOKUP($A226,'Actual Dates'!$A:$G,5,0)="Y",1,0))</f>
        <v>0</v>
      </c>
      <c r="P226">
        <f>IF(Q226&lt;1,0,IF(VLOOKUP($A226,'Actual Dates'!$A:$G,4,0)="Y",1,0))</f>
        <v>0</v>
      </c>
      <c r="Q226">
        <f>IF(R226&lt;1,0,IF(VLOOKUP($A226,'Actual Dates'!$A:$G,3,0)="Y",1,0))</f>
        <v>0</v>
      </c>
      <c r="R226">
        <f>IF(VLOOKUP($A226,'Actual Dates'!$A:$G,2,0)="Y",1,0)</f>
        <v>0</v>
      </c>
      <c r="S226" s="4">
        <f ca="1">_xlfn.IFNA(+VLOOKUP(A226,'Date Calcs'!A:AG,8,),TODAY())</f>
        <v>46115</v>
      </c>
      <c r="T226" s="4">
        <f ca="1">_xlfn.IFNA(VLOOKUP(A226,'Date Calcs'!A:AG,10,),TODAY())</f>
        <v>46115</v>
      </c>
      <c r="U226" s="4">
        <f ca="1">_xlfn.IFNA(+VLOOKUP(A226,'Date Calcs'!A:AG,12,),TODAY())</f>
        <v>46115</v>
      </c>
      <c r="V226" s="4">
        <f ca="1">_xlfn.IFNA(+VLOOKUP(A226,'Date Calcs'!A:AG,14,),TODAY())</f>
        <v>46115</v>
      </c>
      <c r="W226" s="4">
        <f ca="1">_xlfn.IFNA(+VLOOKUP(A226,'Date Calcs'!A:AG,16,),TODAY())</f>
        <v>46115</v>
      </c>
      <c r="X226" s="4">
        <f ca="1">_xlfn.IFNA(IF(C226=0,VLOOKUP(A226,'Date Calcs'!A:AG,8,),IF(C226=1,VLOOKUP(A226,'Date Calcs'!A:AG,10,),IF(C226=2,VLOOKUP(A226,'Date Calcs'!A:AG,12,),IF(C226=3,VLOOKUP(A226,'Date Calcs'!A:AG,14,),4)))),TODAY())</f>
        <v>46115</v>
      </c>
      <c r="Y226" s="4">
        <f t="shared" ca="1" si="25"/>
        <v>46115</v>
      </c>
      <c r="Z226" s="4">
        <f ca="1">_xlfn.IFNA(Y226+(VLOOKUP(A226,'Date Calcs'!A:W,22,0)*7),TODAY())</f>
        <v>46115</v>
      </c>
      <c r="AA226" s="4">
        <f>_xlfn.IFNA(VLOOKUP(A226,'RTR v2'!$A:$AW,46,0),"")</f>
        <v>0</v>
      </c>
    </row>
    <row r="227" spans="1:27" ht="23.25" hidden="1" x14ac:dyDescent="0.25">
      <c r="A227" s="12">
        <f>'Actual Dates'!A225</f>
        <v>0</v>
      </c>
      <c r="B227" s="13" t="str">
        <f>_xlfn.IFNA(VLOOKUP(A227,'Date Calcs'!A:B,2,),"")</f>
        <v/>
      </c>
      <c r="C227" s="14">
        <f>VLOOKUP(A227,'Actual Dates'!A:AE,18,)</f>
        <v>0</v>
      </c>
      <c r="D227" s="15">
        <f t="shared" ca="1" si="22"/>
        <v>46115</v>
      </c>
      <c r="E227" s="15">
        <f t="shared" ca="1" si="23"/>
        <v>46115</v>
      </c>
      <c r="F227" s="14">
        <f ca="1">IFERROR(ROUND(IF(A227="","",IF(E227=0,D227-Date!$B$3,D227-E227)),0),"")</f>
        <v>0</v>
      </c>
      <c r="G227" s="14" t="str">
        <f>_xlfn.IFNA(VLOOKUP(A227,'RTR v2'!A:AW,48,FALSE)," ")</f>
        <v/>
      </c>
      <c r="I227" s="16" t="str">
        <f t="shared" si="24"/>
        <v>N</v>
      </c>
      <c r="J227" s="16" t="str">
        <f t="shared" si="26"/>
        <v xml:space="preserve">  </v>
      </c>
      <c r="L227" s="17"/>
      <c r="M227" t="str">
        <f t="shared" si="27"/>
        <v xml:space="preserve"> </v>
      </c>
      <c r="N227">
        <f t="shared" si="28"/>
        <v>0</v>
      </c>
      <c r="O227">
        <f>IF(P227&lt;1,0,IF(VLOOKUP($A227,'Actual Dates'!$A:$G,5,0)="Y",1,0))</f>
        <v>0</v>
      </c>
      <c r="P227">
        <f>IF(Q227&lt;1,0,IF(VLOOKUP($A227,'Actual Dates'!$A:$G,4,0)="Y",1,0))</f>
        <v>0</v>
      </c>
      <c r="Q227">
        <f>IF(R227&lt;1,0,IF(VLOOKUP($A227,'Actual Dates'!$A:$G,3,0)="Y",1,0))</f>
        <v>0</v>
      </c>
      <c r="R227">
        <f>IF(VLOOKUP($A227,'Actual Dates'!$A:$G,2,0)="Y",1,0)</f>
        <v>0</v>
      </c>
      <c r="S227" s="4">
        <f ca="1">_xlfn.IFNA(+VLOOKUP(A227,'Date Calcs'!A:AG,8,),TODAY())</f>
        <v>46115</v>
      </c>
      <c r="T227" s="4">
        <f ca="1">_xlfn.IFNA(VLOOKUP(A227,'Date Calcs'!A:AG,10,),TODAY())</f>
        <v>46115</v>
      </c>
      <c r="U227" s="4">
        <f ca="1">_xlfn.IFNA(+VLOOKUP(A227,'Date Calcs'!A:AG,12,),TODAY())</f>
        <v>46115</v>
      </c>
      <c r="V227" s="4">
        <f ca="1">_xlfn.IFNA(+VLOOKUP(A227,'Date Calcs'!A:AG,14,),TODAY())</f>
        <v>46115</v>
      </c>
      <c r="W227" s="4">
        <f ca="1">_xlfn.IFNA(+VLOOKUP(A227,'Date Calcs'!A:AG,16,),TODAY())</f>
        <v>46115</v>
      </c>
      <c r="X227" s="4">
        <f ca="1">_xlfn.IFNA(IF(C227=0,VLOOKUP(A227,'Date Calcs'!A:AG,8,),IF(C227=1,VLOOKUP(A227,'Date Calcs'!A:AG,10,),IF(C227=2,VLOOKUP(A227,'Date Calcs'!A:AG,12,),IF(C227=3,VLOOKUP(A227,'Date Calcs'!A:AG,14,),4)))),TODAY())</f>
        <v>46115</v>
      </c>
      <c r="Y227" s="4">
        <f t="shared" ca="1" si="25"/>
        <v>46115</v>
      </c>
      <c r="Z227" s="4">
        <f ca="1">_xlfn.IFNA(Y227+(VLOOKUP(A227,'Date Calcs'!A:W,22,0)*7),TODAY())</f>
        <v>46115</v>
      </c>
      <c r="AA227" s="4">
        <f>_xlfn.IFNA(VLOOKUP(A227,'RTR v2'!$A:$AW,46,0),"")</f>
        <v>0</v>
      </c>
    </row>
    <row r="228" spans="1:27" ht="23.25" hidden="1" x14ac:dyDescent="0.25">
      <c r="A228" s="12">
        <f>'Actual Dates'!A226</f>
        <v>0</v>
      </c>
      <c r="B228" s="13" t="str">
        <f>_xlfn.IFNA(VLOOKUP(A228,'Date Calcs'!A:B,2,),"")</f>
        <v/>
      </c>
      <c r="C228" s="14">
        <f>VLOOKUP(A228,'Actual Dates'!A:AE,18,)</f>
        <v>0</v>
      </c>
      <c r="D228" s="15">
        <f t="shared" ca="1" si="22"/>
        <v>46115</v>
      </c>
      <c r="E228" s="15">
        <f t="shared" ca="1" si="23"/>
        <v>46115</v>
      </c>
      <c r="F228" s="14">
        <f ca="1">IFERROR(ROUND(IF(A228="","",IF(E228=0,D228-Date!$B$3,D228-E228)),0),"")</f>
        <v>0</v>
      </c>
      <c r="G228" s="14" t="str">
        <f>_xlfn.IFNA(VLOOKUP(A228,'RTR v2'!A:AW,48,FALSE)," ")</f>
        <v/>
      </c>
      <c r="I228" s="16" t="str">
        <f t="shared" si="24"/>
        <v>N</v>
      </c>
      <c r="J228" s="16" t="str">
        <f t="shared" si="26"/>
        <v xml:space="preserve">  </v>
      </c>
      <c r="L228" s="17"/>
      <c r="M228" t="str">
        <f t="shared" si="27"/>
        <v xml:space="preserve"> </v>
      </c>
      <c r="N228">
        <f t="shared" si="28"/>
        <v>0</v>
      </c>
      <c r="O228">
        <f>IF(P228&lt;1,0,IF(VLOOKUP($A228,'Actual Dates'!$A:$G,5,0)="Y",1,0))</f>
        <v>0</v>
      </c>
      <c r="P228">
        <f>IF(Q228&lt;1,0,IF(VLOOKUP($A228,'Actual Dates'!$A:$G,4,0)="Y",1,0))</f>
        <v>0</v>
      </c>
      <c r="Q228">
        <f>IF(R228&lt;1,0,IF(VLOOKUP($A228,'Actual Dates'!$A:$G,3,0)="Y",1,0))</f>
        <v>0</v>
      </c>
      <c r="R228">
        <f>IF(VLOOKUP($A228,'Actual Dates'!$A:$G,2,0)="Y",1,0)</f>
        <v>0</v>
      </c>
      <c r="S228" s="4">
        <f ca="1">_xlfn.IFNA(+VLOOKUP(A228,'Date Calcs'!A:AG,8,),TODAY())</f>
        <v>46115</v>
      </c>
      <c r="T228" s="4">
        <f ca="1">_xlfn.IFNA(VLOOKUP(A228,'Date Calcs'!A:AG,10,),TODAY())</f>
        <v>46115</v>
      </c>
      <c r="U228" s="4">
        <f ca="1">_xlfn.IFNA(+VLOOKUP(A228,'Date Calcs'!A:AG,12,),TODAY())</f>
        <v>46115</v>
      </c>
      <c r="V228" s="4">
        <f ca="1">_xlfn.IFNA(+VLOOKUP(A228,'Date Calcs'!A:AG,14,),TODAY())</f>
        <v>46115</v>
      </c>
      <c r="W228" s="4">
        <f ca="1">_xlfn.IFNA(+VLOOKUP(A228,'Date Calcs'!A:AG,16,),TODAY())</f>
        <v>46115</v>
      </c>
      <c r="X228" s="4">
        <f ca="1">_xlfn.IFNA(IF(C228=0,VLOOKUP(A228,'Date Calcs'!A:AG,8,),IF(C228=1,VLOOKUP(A228,'Date Calcs'!A:AG,10,),IF(C228=2,VLOOKUP(A228,'Date Calcs'!A:AG,12,),IF(C228=3,VLOOKUP(A228,'Date Calcs'!A:AG,14,),4)))),TODAY())</f>
        <v>46115</v>
      </c>
      <c r="Y228" s="4">
        <f t="shared" ca="1" si="25"/>
        <v>46115</v>
      </c>
      <c r="Z228" s="4">
        <f ca="1">_xlfn.IFNA(Y228+(VLOOKUP(A228,'Date Calcs'!A:W,22,0)*7),TODAY())</f>
        <v>46115</v>
      </c>
      <c r="AA228" s="4">
        <f>_xlfn.IFNA(VLOOKUP(A228,'RTR v2'!$A:$AW,46,0),"")</f>
        <v>0</v>
      </c>
    </row>
    <row r="229" spans="1:27" ht="23.25" hidden="1" x14ac:dyDescent="0.25">
      <c r="A229" s="12">
        <f>'Actual Dates'!A227</f>
        <v>0</v>
      </c>
      <c r="B229" s="13" t="str">
        <f>_xlfn.IFNA(VLOOKUP(A229,'Date Calcs'!A:B,2,),"")</f>
        <v/>
      </c>
      <c r="C229" s="14">
        <f>VLOOKUP(A229,'Actual Dates'!A:AE,18,)</f>
        <v>0</v>
      </c>
      <c r="D229" s="15">
        <f t="shared" ca="1" si="22"/>
        <v>46115</v>
      </c>
      <c r="E229" s="15">
        <f t="shared" ca="1" si="23"/>
        <v>46115</v>
      </c>
      <c r="F229" s="14">
        <f ca="1">IFERROR(ROUND(IF(A229="","",IF(E229=0,D229-Date!$B$3,D229-E229)),0),"")</f>
        <v>0</v>
      </c>
      <c r="G229" s="14" t="str">
        <f>_xlfn.IFNA(VLOOKUP(A229,'RTR v2'!A:AW,48,FALSE)," ")</f>
        <v/>
      </c>
      <c r="I229" s="16" t="str">
        <f t="shared" si="24"/>
        <v>N</v>
      </c>
      <c r="J229" s="16" t="str">
        <f t="shared" si="26"/>
        <v xml:space="preserve">  </v>
      </c>
      <c r="L229" s="17"/>
      <c r="M229" t="str">
        <f t="shared" si="27"/>
        <v xml:space="preserve"> </v>
      </c>
      <c r="N229">
        <f t="shared" si="28"/>
        <v>0</v>
      </c>
      <c r="O229">
        <f>IF(P229&lt;1,0,IF(VLOOKUP($A229,'Actual Dates'!$A:$G,5,0)="Y",1,0))</f>
        <v>0</v>
      </c>
      <c r="P229">
        <f>IF(Q229&lt;1,0,IF(VLOOKUP($A229,'Actual Dates'!$A:$G,4,0)="Y",1,0))</f>
        <v>0</v>
      </c>
      <c r="Q229">
        <f>IF(R229&lt;1,0,IF(VLOOKUP($A229,'Actual Dates'!$A:$G,3,0)="Y",1,0))</f>
        <v>0</v>
      </c>
      <c r="R229">
        <f>IF(VLOOKUP($A229,'Actual Dates'!$A:$G,2,0)="Y",1,0)</f>
        <v>0</v>
      </c>
      <c r="S229" s="4">
        <f ca="1">_xlfn.IFNA(+VLOOKUP(A229,'Date Calcs'!A:AG,8,),TODAY())</f>
        <v>46115</v>
      </c>
      <c r="T229" s="4">
        <f ca="1">_xlfn.IFNA(VLOOKUP(A229,'Date Calcs'!A:AG,10,),TODAY())</f>
        <v>46115</v>
      </c>
      <c r="U229" s="4">
        <f ca="1">_xlfn.IFNA(+VLOOKUP(A229,'Date Calcs'!A:AG,12,),TODAY())</f>
        <v>46115</v>
      </c>
      <c r="V229" s="4">
        <f ca="1">_xlfn.IFNA(+VLOOKUP(A229,'Date Calcs'!A:AG,14,),TODAY())</f>
        <v>46115</v>
      </c>
      <c r="W229" s="4">
        <f ca="1">_xlfn.IFNA(+VLOOKUP(A229,'Date Calcs'!A:AG,16,),TODAY())</f>
        <v>46115</v>
      </c>
      <c r="X229" s="4">
        <f ca="1">_xlfn.IFNA(IF(C229=0,VLOOKUP(A229,'Date Calcs'!A:AG,8,),IF(C229=1,VLOOKUP(A229,'Date Calcs'!A:AG,10,),IF(C229=2,VLOOKUP(A229,'Date Calcs'!A:AG,12,),IF(C229=3,VLOOKUP(A229,'Date Calcs'!A:AG,14,),4)))),TODAY())</f>
        <v>46115</v>
      </c>
      <c r="Y229" s="4">
        <f t="shared" ca="1" si="25"/>
        <v>46115</v>
      </c>
      <c r="Z229" s="4">
        <f ca="1">_xlfn.IFNA(Y229+(VLOOKUP(A229,'Date Calcs'!A:W,22,0)*7),TODAY())</f>
        <v>46115</v>
      </c>
      <c r="AA229" s="4">
        <f>_xlfn.IFNA(VLOOKUP(A229,'RTR v2'!$A:$AW,46,0),"")</f>
        <v>0</v>
      </c>
    </row>
    <row r="230" spans="1:27" ht="23.25" hidden="1" x14ac:dyDescent="0.25">
      <c r="A230" s="12">
        <f>'Actual Dates'!A228</f>
        <v>0</v>
      </c>
      <c r="B230" s="13" t="str">
        <f>_xlfn.IFNA(VLOOKUP(A230,'Date Calcs'!A:B,2,),"")</f>
        <v/>
      </c>
      <c r="C230" s="14">
        <f>VLOOKUP(A230,'Actual Dates'!A:AE,18,)</f>
        <v>0</v>
      </c>
      <c r="D230" s="15">
        <f t="shared" ca="1" si="22"/>
        <v>46115</v>
      </c>
      <c r="E230" s="15">
        <f t="shared" ca="1" si="23"/>
        <v>46115</v>
      </c>
      <c r="F230" s="14">
        <f ca="1">IFERROR(ROUND(IF(A230="","",IF(E230=0,D230-Date!$B$3,D230-E230)),0),"")</f>
        <v>0</v>
      </c>
      <c r="G230" s="14" t="str">
        <f>_xlfn.IFNA(VLOOKUP(A230,'RTR v2'!A:AW,48,FALSE)," ")</f>
        <v/>
      </c>
      <c r="I230" s="16" t="str">
        <f t="shared" si="24"/>
        <v>N</v>
      </c>
      <c r="J230" s="16" t="str">
        <f t="shared" si="26"/>
        <v xml:space="preserve">  </v>
      </c>
      <c r="L230" s="17"/>
      <c r="M230" t="str">
        <f t="shared" si="27"/>
        <v xml:space="preserve"> </v>
      </c>
      <c r="N230">
        <f t="shared" si="28"/>
        <v>0</v>
      </c>
      <c r="O230">
        <f>IF(P230&lt;1,0,IF(VLOOKUP($A230,'Actual Dates'!$A:$G,5,0)="Y",1,0))</f>
        <v>0</v>
      </c>
      <c r="P230">
        <f>IF(Q230&lt;1,0,IF(VLOOKUP($A230,'Actual Dates'!$A:$G,4,0)="Y",1,0))</f>
        <v>0</v>
      </c>
      <c r="Q230">
        <f>IF(R230&lt;1,0,IF(VLOOKUP($A230,'Actual Dates'!$A:$G,3,0)="Y",1,0))</f>
        <v>0</v>
      </c>
      <c r="R230">
        <f>IF(VLOOKUP($A230,'Actual Dates'!$A:$G,2,0)="Y",1,0)</f>
        <v>0</v>
      </c>
      <c r="S230" s="4">
        <f ca="1">_xlfn.IFNA(+VLOOKUP(A230,'Date Calcs'!A:AG,8,),TODAY())</f>
        <v>46115</v>
      </c>
      <c r="T230" s="4">
        <f ca="1">_xlfn.IFNA(VLOOKUP(A230,'Date Calcs'!A:AG,10,),TODAY())</f>
        <v>46115</v>
      </c>
      <c r="U230" s="4">
        <f ca="1">_xlfn.IFNA(+VLOOKUP(A230,'Date Calcs'!A:AG,12,),TODAY())</f>
        <v>46115</v>
      </c>
      <c r="V230" s="4">
        <f ca="1">_xlfn.IFNA(+VLOOKUP(A230,'Date Calcs'!A:AG,14,),TODAY())</f>
        <v>46115</v>
      </c>
      <c r="W230" s="4">
        <f ca="1">_xlfn.IFNA(+VLOOKUP(A230,'Date Calcs'!A:AG,16,),TODAY())</f>
        <v>46115</v>
      </c>
      <c r="X230" s="4">
        <f ca="1">_xlfn.IFNA(IF(C230=0,VLOOKUP(A230,'Date Calcs'!A:AG,8,),IF(C230=1,VLOOKUP(A230,'Date Calcs'!A:AG,10,),IF(C230=2,VLOOKUP(A230,'Date Calcs'!A:AG,12,),IF(C230=3,VLOOKUP(A230,'Date Calcs'!A:AG,14,),4)))),TODAY())</f>
        <v>46115</v>
      </c>
      <c r="Y230" s="4">
        <f t="shared" ca="1" si="25"/>
        <v>46115</v>
      </c>
      <c r="Z230" s="4">
        <f ca="1">_xlfn.IFNA(Y230+(VLOOKUP(A230,'Date Calcs'!A:W,22,0)*7),TODAY())</f>
        <v>46115</v>
      </c>
      <c r="AA230" s="4">
        <f>_xlfn.IFNA(VLOOKUP(A230,'RTR v2'!$A:$AW,46,0),"")</f>
        <v>0</v>
      </c>
    </row>
    <row r="231" spans="1:27" ht="23.25" hidden="1" x14ac:dyDescent="0.25">
      <c r="A231" s="12">
        <f>'Actual Dates'!A229</f>
        <v>0</v>
      </c>
      <c r="B231" s="13" t="str">
        <f>_xlfn.IFNA(VLOOKUP(A231,'Date Calcs'!A:B,2,),"")</f>
        <v/>
      </c>
      <c r="C231" s="14">
        <f>VLOOKUP(A231,'Actual Dates'!A:AE,18,)</f>
        <v>0</v>
      </c>
      <c r="D231" s="15">
        <f t="shared" ca="1" si="22"/>
        <v>46115</v>
      </c>
      <c r="E231" s="15">
        <f t="shared" ca="1" si="23"/>
        <v>46115</v>
      </c>
      <c r="F231" s="14">
        <f ca="1">IFERROR(ROUND(IF(A231="","",IF(E231=0,D231-Date!$B$3,D231-E231)),0),"")</f>
        <v>0</v>
      </c>
      <c r="G231" s="14" t="str">
        <f>_xlfn.IFNA(VLOOKUP(A231,'RTR v2'!A:AW,48,FALSE)," ")</f>
        <v/>
      </c>
      <c r="I231" s="16" t="str">
        <f t="shared" si="24"/>
        <v>N</v>
      </c>
      <c r="J231" s="16" t="str">
        <f t="shared" si="26"/>
        <v xml:space="preserve">  </v>
      </c>
      <c r="L231" s="17"/>
      <c r="M231" t="str">
        <f t="shared" si="27"/>
        <v xml:space="preserve"> </v>
      </c>
      <c r="N231">
        <f t="shared" si="28"/>
        <v>0</v>
      </c>
      <c r="O231">
        <f>IF(P231&lt;1,0,IF(VLOOKUP($A231,'Actual Dates'!$A:$G,5,0)="Y",1,0))</f>
        <v>0</v>
      </c>
      <c r="P231">
        <f>IF(Q231&lt;1,0,IF(VLOOKUP($A231,'Actual Dates'!$A:$G,4,0)="Y",1,0))</f>
        <v>0</v>
      </c>
      <c r="Q231">
        <f>IF(R231&lt;1,0,IF(VLOOKUP($A231,'Actual Dates'!$A:$G,3,0)="Y",1,0))</f>
        <v>0</v>
      </c>
      <c r="R231">
        <f>IF(VLOOKUP($A231,'Actual Dates'!$A:$G,2,0)="Y",1,0)</f>
        <v>0</v>
      </c>
      <c r="S231" s="4">
        <f ca="1">_xlfn.IFNA(+VLOOKUP(A231,'Date Calcs'!A:AG,8,),TODAY())</f>
        <v>46115</v>
      </c>
      <c r="T231" s="4">
        <f ca="1">_xlfn.IFNA(VLOOKUP(A231,'Date Calcs'!A:AG,10,),TODAY())</f>
        <v>46115</v>
      </c>
      <c r="U231" s="4">
        <f ca="1">_xlfn.IFNA(+VLOOKUP(A231,'Date Calcs'!A:AG,12,),TODAY())</f>
        <v>46115</v>
      </c>
      <c r="V231" s="4">
        <f ca="1">_xlfn.IFNA(+VLOOKUP(A231,'Date Calcs'!A:AG,14,),TODAY())</f>
        <v>46115</v>
      </c>
      <c r="W231" s="4">
        <f ca="1">_xlfn.IFNA(+VLOOKUP(A231,'Date Calcs'!A:AG,16,),TODAY())</f>
        <v>46115</v>
      </c>
      <c r="X231" s="4">
        <f ca="1">_xlfn.IFNA(IF(C231=0,VLOOKUP(A231,'Date Calcs'!A:AG,8,),IF(C231=1,VLOOKUP(A231,'Date Calcs'!A:AG,10,),IF(C231=2,VLOOKUP(A231,'Date Calcs'!A:AG,12,),IF(C231=3,VLOOKUP(A231,'Date Calcs'!A:AG,14,),4)))),TODAY())</f>
        <v>46115</v>
      </c>
      <c r="Y231" s="4">
        <f t="shared" ca="1" si="25"/>
        <v>46115</v>
      </c>
      <c r="Z231" s="4">
        <f ca="1">_xlfn.IFNA(Y231+(VLOOKUP(A231,'Date Calcs'!A:W,22,0)*7),TODAY())</f>
        <v>46115</v>
      </c>
      <c r="AA231" s="4">
        <f>_xlfn.IFNA(VLOOKUP(A231,'RTR v2'!$A:$AW,46,0),"")</f>
        <v>0</v>
      </c>
    </row>
    <row r="232" spans="1:27" ht="23.25" hidden="1" x14ac:dyDescent="0.25">
      <c r="A232" s="12">
        <f>'Actual Dates'!A230</f>
        <v>0</v>
      </c>
      <c r="B232" s="13" t="str">
        <f>_xlfn.IFNA(VLOOKUP(A232,'Date Calcs'!A:B,2,),"")</f>
        <v/>
      </c>
      <c r="C232" s="14">
        <f>VLOOKUP(A232,'Actual Dates'!A:AE,18,)</f>
        <v>0</v>
      </c>
      <c r="D232" s="15">
        <f t="shared" ca="1" si="22"/>
        <v>46115</v>
      </c>
      <c r="E232" s="15">
        <f t="shared" ca="1" si="23"/>
        <v>46115</v>
      </c>
      <c r="F232" s="14">
        <f ca="1">IFERROR(ROUND(IF(A232="","",IF(E232=0,D232-Date!$B$3,D232-E232)),0),"")</f>
        <v>0</v>
      </c>
      <c r="G232" s="14" t="str">
        <f>_xlfn.IFNA(VLOOKUP(A232,'RTR v2'!A:AW,48,FALSE)," ")</f>
        <v/>
      </c>
      <c r="I232" s="16" t="str">
        <f t="shared" si="24"/>
        <v>N</v>
      </c>
      <c r="J232" s="16" t="str">
        <f t="shared" si="26"/>
        <v xml:space="preserve">  </v>
      </c>
      <c r="L232" s="17"/>
      <c r="M232" t="str">
        <f t="shared" si="27"/>
        <v xml:space="preserve"> </v>
      </c>
      <c r="N232">
        <f t="shared" si="28"/>
        <v>0</v>
      </c>
      <c r="O232">
        <f>IF(P232&lt;1,0,IF(VLOOKUP($A232,'Actual Dates'!$A:$G,5,0)="Y",1,0))</f>
        <v>0</v>
      </c>
      <c r="P232">
        <f>IF(Q232&lt;1,0,IF(VLOOKUP($A232,'Actual Dates'!$A:$G,4,0)="Y",1,0))</f>
        <v>0</v>
      </c>
      <c r="Q232">
        <f>IF(R232&lt;1,0,IF(VLOOKUP($A232,'Actual Dates'!$A:$G,3,0)="Y",1,0))</f>
        <v>0</v>
      </c>
      <c r="R232">
        <f>IF(VLOOKUP($A232,'Actual Dates'!$A:$G,2,0)="Y",1,0)</f>
        <v>0</v>
      </c>
      <c r="S232" s="4">
        <f ca="1">_xlfn.IFNA(+VLOOKUP(A232,'Date Calcs'!A:AG,8,),TODAY())</f>
        <v>46115</v>
      </c>
      <c r="T232" s="4">
        <f ca="1">_xlfn.IFNA(VLOOKUP(A232,'Date Calcs'!A:AG,10,),TODAY())</f>
        <v>46115</v>
      </c>
      <c r="U232" s="4">
        <f ca="1">_xlfn.IFNA(+VLOOKUP(A232,'Date Calcs'!A:AG,12,),TODAY())</f>
        <v>46115</v>
      </c>
      <c r="V232" s="4">
        <f ca="1">_xlfn.IFNA(+VLOOKUP(A232,'Date Calcs'!A:AG,14,),TODAY())</f>
        <v>46115</v>
      </c>
      <c r="W232" s="4">
        <f ca="1">_xlfn.IFNA(+VLOOKUP(A232,'Date Calcs'!A:AG,16,),TODAY())</f>
        <v>46115</v>
      </c>
      <c r="X232" s="4">
        <f ca="1">_xlfn.IFNA(IF(C232=0,VLOOKUP(A232,'Date Calcs'!A:AG,8,),IF(C232=1,VLOOKUP(A232,'Date Calcs'!A:AG,10,),IF(C232=2,VLOOKUP(A232,'Date Calcs'!A:AG,12,),IF(C232=3,VLOOKUP(A232,'Date Calcs'!A:AG,14,),4)))),TODAY())</f>
        <v>46115</v>
      </c>
      <c r="Y232" s="4">
        <f t="shared" ca="1" si="25"/>
        <v>46115</v>
      </c>
      <c r="Z232" s="4">
        <f ca="1">_xlfn.IFNA(Y232+(VLOOKUP(A232,'Date Calcs'!A:W,22,0)*7),TODAY())</f>
        <v>46115</v>
      </c>
      <c r="AA232" s="4">
        <f>_xlfn.IFNA(VLOOKUP(A232,'RTR v2'!$A:$AW,46,0),"")</f>
        <v>0</v>
      </c>
    </row>
    <row r="233" spans="1:27" ht="23.25" hidden="1" x14ac:dyDescent="0.25">
      <c r="A233" s="12">
        <f>'Actual Dates'!A231</f>
        <v>0</v>
      </c>
      <c r="B233" s="13" t="str">
        <f>_xlfn.IFNA(VLOOKUP(A233,'Date Calcs'!A:B,2,),"")</f>
        <v/>
      </c>
      <c r="C233" s="14">
        <f>VLOOKUP(A233,'Actual Dates'!A:AE,18,)</f>
        <v>0</v>
      </c>
      <c r="D233" s="15">
        <f t="shared" ca="1" si="22"/>
        <v>46115</v>
      </c>
      <c r="E233" s="15">
        <f t="shared" ca="1" si="23"/>
        <v>46115</v>
      </c>
      <c r="F233" s="14">
        <f ca="1">IFERROR(ROUND(IF(A233="","",IF(E233=0,D233-Date!$B$3,D233-E233)),0),"")</f>
        <v>0</v>
      </c>
      <c r="G233" s="14" t="str">
        <f>_xlfn.IFNA(VLOOKUP(A233,'RTR v2'!A:AW,48,FALSE)," ")</f>
        <v/>
      </c>
      <c r="I233" s="16" t="str">
        <f t="shared" si="24"/>
        <v>N</v>
      </c>
      <c r="J233" s="16" t="str">
        <f t="shared" si="26"/>
        <v xml:space="preserve">  </v>
      </c>
      <c r="L233" s="17"/>
      <c r="M233" t="str">
        <f t="shared" si="27"/>
        <v xml:space="preserve"> </v>
      </c>
      <c r="N233">
        <f t="shared" si="28"/>
        <v>0</v>
      </c>
      <c r="O233">
        <f>IF(P233&lt;1,0,IF(VLOOKUP($A233,'Actual Dates'!$A:$G,5,0)="Y",1,0))</f>
        <v>0</v>
      </c>
      <c r="P233">
        <f>IF(Q233&lt;1,0,IF(VLOOKUP($A233,'Actual Dates'!$A:$G,4,0)="Y",1,0))</f>
        <v>0</v>
      </c>
      <c r="Q233">
        <f>IF(R233&lt;1,0,IF(VLOOKUP($A233,'Actual Dates'!$A:$G,3,0)="Y",1,0))</f>
        <v>0</v>
      </c>
      <c r="R233">
        <f>IF(VLOOKUP($A233,'Actual Dates'!$A:$G,2,0)="Y",1,0)</f>
        <v>0</v>
      </c>
      <c r="S233" s="4">
        <f ca="1">_xlfn.IFNA(+VLOOKUP(A233,'Date Calcs'!A:AG,8,),TODAY())</f>
        <v>46115</v>
      </c>
      <c r="T233" s="4">
        <f ca="1">_xlfn.IFNA(VLOOKUP(A233,'Date Calcs'!A:AG,10,),TODAY())</f>
        <v>46115</v>
      </c>
      <c r="U233" s="4">
        <f ca="1">_xlfn.IFNA(+VLOOKUP(A233,'Date Calcs'!A:AG,12,),TODAY())</f>
        <v>46115</v>
      </c>
      <c r="V233" s="4">
        <f ca="1">_xlfn.IFNA(+VLOOKUP(A233,'Date Calcs'!A:AG,14,),TODAY())</f>
        <v>46115</v>
      </c>
      <c r="W233" s="4">
        <f ca="1">_xlfn.IFNA(+VLOOKUP(A233,'Date Calcs'!A:AG,16,),TODAY())</f>
        <v>46115</v>
      </c>
      <c r="X233" s="4">
        <f ca="1">_xlfn.IFNA(IF(C233=0,VLOOKUP(A233,'Date Calcs'!A:AG,8,),IF(C233=1,VLOOKUP(A233,'Date Calcs'!A:AG,10,),IF(C233=2,VLOOKUP(A233,'Date Calcs'!A:AG,12,),IF(C233=3,VLOOKUP(A233,'Date Calcs'!A:AG,14,),4)))),TODAY())</f>
        <v>46115</v>
      </c>
      <c r="Y233" s="4">
        <f t="shared" ca="1" si="25"/>
        <v>46115</v>
      </c>
      <c r="Z233" s="4">
        <f ca="1">_xlfn.IFNA(Y233+(VLOOKUP(A233,'Date Calcs'!A:W,22,0)*7),TODAY())</f>
        <v>46115</v>
      </c>
      <c r="AA233" s="4">
        <f>_xlfn.IFNA(VLOOKUP(A233,'RTR v2'!$A:$AW,46,0),"")</f>
        <v>0</v>
      </c>
    </row>
    <row r="234" spans="1:27" ht="23.25" hidden="1" x14ac:dyDescent="0.25">
      <c r="A234" s="12">
        <f>'Actual Dates'!A232</f>
        <v>0</v>
      </c>
      <c r="B234" s="13" t="str">
        <f>_xlfn.IFNA(VLOOKUP(A234,'Date Calcs'!A:B,2,),"")</f>
        <v/>
      </c>
      <c r="C234" s="14">
        <f>VLOOKUP(A234,'Actual Dates'!A:AE,18,)</f>
        <v>0</v>
      </c>
      <c r="D234" s="15">
        <f t="shared" ca="1" si="22"/>
        <v>46115</v>
      </c>
      <c r="E234" s="15">
        <f t="shared" ca="1" si="23"/>
        <v>46115</v>
      </c>
      <c r="F234" s="14">
        <f ca="1">IFERROR(ROUND(IF(A234="","",IF(E234=0,D234-Date!$B$3,D234-E234)),0),"")</f>
        <v>0</v>
      </c>
      <c r="G234" s="14" t="str">
        <f>_xlfn.IFNA(VLOOKUP(A234,'RTR v2'!A:AW,48,FALSE)," ")</f>
        <v/>
      </c>
      <c r="I234" s="16" t="str">
        <f t="shared" si="24"/>
        <v>N</v>
      </c>
      <c r="J234" s="16" t="str">
        <f t="shared" si="26"/>
        <v xml:space="preserve">  </v>
      </c>
      <c r="L234" s="17"/>
      <c r="M234" t="str">
        <f t="shared" si="27"/>
        <v xml:space="preserve"> </v>
      </c>
      <c r="N234">
        <f t="shared" si="28"/>
        <v>0</v>
      </c>
      <c r="O234">
        <f>IF(P234&lt;1,0,IF(VLOOKUP($A234,'Actual Dates'!$A:$G,5,0)="Y",1,0))</f>
        <v>0</v>
      </c>
      <c r="P234">
        <f>IF(Q234&lt;1,0,IF(VLOOKUP($A234,'Actual Dates'!$A:$G,4,0)="Y",1,0))</f>
        <v>0</v>
      </c>
      <c r="Q234">
        <f>IF(R234&lt;1,0,IF(VLOOKUP($A234,'Actual Dates'!$A:$G,3,0)="Y",1,0))</f>
        <v>0</v>
      </c>
      <c r="R234">
        <f>IF(VLOOKUP($A234,'Actual Dates'!$A:$G,2,0)="Y",1,0)</f>
        <v>0</v>
      </c>
      <c r="S234" s="4">
        <f ca="1">_xlfn.IFNA(+VLOOKUP(A234,'Date Calcs'!A:AG,8,),TODAY())</f>
        <v>46115</v>
      </c>
      <c r="T234" s="4">
        <f ca="1">_xlfn.IFNA(VLOOKUP(A234,'Date Calcs'!A:AG,10,),TODAY())</f>
        <v>46115</v>
      </c>
      <c r="U234" s="4">
        <f ca="1">_xlfn.IFNA(+VLOOKUP(A234,'Date Calcs'!A:AG,12,),TODAY())</f>
        <v>46115</v>
      </c>
      <c r="V234" s="4">
        <f ca="1">_xlfn.IFNA(+VLOOKUP(A234,'Date Calcs'!A:AG,14,),TODAY())</f>
        <v>46115</v>
      </c>
      <c r="W234" s="4">
        <f ca="1">_xlfn.IFNA(+VLOOKUP(A234,'Date Calcs'!A:AG,16,),TODAY())</f>
        <v>46115</v>
      </c>
      <c r="X234" s="4">
        <f ca="1">_xlfn.IFNA(IF(C234=0,VLOOKUP(A234,'Date Calcs'!A:AG,8,),IF(C234=1,VLOOKUP(A234,'Date Calcs'!A:AG,10,),IF(C234=2,VLOOKUP(A234,'Date Calcs'!A:AG,12,),IF(C234=3,VLOOKUP(A234,'Date Calcs'!A:AG,14,),4)))),TODAY())</f>
        <v>46115</v>
      </c>
      <c r="Y234" s="4">
        <f t="shared" ca="1" si="25"/>
        <v>46115</v>
      </c>
      <c r="Z234" s="4">
        <f ca="1">_xlfn.IFNA(Y234+(VLOOKUP(A234,'Date Calcs'!A:W,22,0)*7),TODAY())</f>
        <v>46115</v>
      </c>
      <c r="AA234" s="4">
        <f>_xlfn.IFNA(VLOOKUP(A234,'RTR v2'!$A:$AW,46,0),"")</f>
        <v>0</v>
      </c>
    </row>
    <row r="235" spans="1:27" ht="23.25" hidden="1" x14ac:dyDescent="0.25">
      <c r="A235" s="12">
        <f>'Actual Dates'!A233</f>
        <v>0</v>
      </c>
      <c r="B235" s="13" t="str">
        <f>_xlfn.IFNA(VLOOKUP(A235,'Date Calcs'!A:B,2,),"")</f>
        <v/>
      </c>
      <c r="C235" s="14">
        <f>VLOOKUP(A235,'Actual Dates'!A:AE,18,)</f>
        <v>0</v>
      </c>
      <c r="D235" s="15">
        <f t="shared" ca="1" si="22"/>
        <v>46115</v>
      </c>
      <c r="E235" s="15">
        <f t="shared" ca="1" si="23"/>
        <v>46115</v>
      </c>
      <c r="F235" s="14">
        <f ca="1">IFERROR(ROUND(IF(A235="","",IF(E235=0,D235-Date!$B$3,D235-E235)),0),"")</f>
        <v>0</v>
      </c>
      <c r="G235" s="14" t="str">
        <f>_xlfn.IFNA(VLOOKUP(A235,'RTR v2'!A:AW,48,FALSE)," ")</f>
        <v/>
      </c>
      <c r="I235" s="16" t="str">
        <f t="shared" si="24"/>
        <v>N</v>
      </c>
      <c r="J235" s="16" t="str">
        <f t="shared" si="26"/>
        <v xml:space="preserve">  </v>
      </c>
      <c r="L235" s="17"/>
      <c r="M235" t="str">
        <f t="shared" si="27"/>
        <v xml:space="preserve"> </v>
      </c>
      <c r="N235">
        <f t="shared" si="28"/>
        <v>0</v>
      </c>
      <c r="O235">
        <f>IF(P235&lt;1,0,IF(VLOOKUP($A235,'Actual Dates'!$A:$G,5,0)="Y",1,0))</f>
        <v>0</v>
      </c>
      <c r="P235">
        <f>IF(Q235&lt;1,0,IF(VLOOKUP($A235,'Actual Dates'!$A:$G,4,0)="Y",1,0))</f>
        <v>0</v>
      </c>
      <c r="Q235">
        <f>IF(R235&lt;1,0,IF(VLOOKUP($A235,'Actual Dates'!$A:$G,3,0)="Y",1,0))</f>
        <v>0</v>
      </c>
      <c r="R235">
        <f>IF(VLOOKUP($A235,'Actual Dates'!$A:$G,2,0)="Y",1,0)</f>
        <v>0</v>
      </c>
      <c r="S235" s="4">
        <f ca="1">_xlfn.IFNA(+VLOOKUP(A235,'Date Calcs'!A:AG,8,),TODAY())</f>
        <v>46115</v>
      </c>
      <c r="T235" s="4">
        <f ca="1">_xlfn.IFNA(VLOOKUP(A235,'Date Calcs'!A:AG,10,),TODAY())</f>
        <v>46115</v>
      </c>
      <c r="U235" s="4">
        <f ca="1">_xlfn.IFNA(+VLOOKUP(A235,'Date Calcs'!A:AG,12,),TODAY())</f>
        <v>46115</v>
      </c>
      <c r="V235" s="4">
        <f ca="1">_xlfn.IFNA(+VLOOKUP(A235,'Date Calcs'!A:AG,14,),TODAY())</f>
        <v>46115</v>
      </c>
      <c r="W235" s="4">
        <f ca="1">_xlfn.IFNA(+VLOOKUP(A235,'Date Calcs'!A:AG,16,),TODAY())</f>
        <v>46115</v>
      </c>
      <c r="X235" s="4">
        <f ca="1">_xlfn.IFNA(IF(C235=0,VLOOKUP(A235,'Date Calcs'!A:AG,8,),IF(C235=1,VLOOKUP(A235,'Date Calcs'!A:AG,10,),IF(C235=2,VLOOKUP(A235,'Date Calcs'!A:AG,12,),IF(C235=3,VLOOKUP(A235,'Date Calcs'!A:AG,14,),4)))),TODAY())</f>
        <v>46115</v>
      </c>
      <c r="Y235" s="4">
        <f t="shared" ca="1" si="25"/>
        <v>46115</v>
      </c>
      <c r="Z235" s="4">
        <f ca="1">_xlfn.IFNA(Y235+(VLOOKUP(A235,'Date Calcs'!A:W,22,0)*7),TODAY())</f>
        <v>46115</v>
      </c>
      <c r="AA235" s="4">
        <f>_xlfn.IFNA(VLOOKUP(A235,'RTR v2'!$A:$AW,46,0),"")</f>
        <v>0</v>
      </c>
    </row>
    <row r="236" spans="1:27" ht="23.25" hidden="1" x14ac:dyDescent="0.25">
      <c r="A236" s="12">
        <f>'Actual Dates'!A234</f>
        <v>0</v>
      </c>
      <c r="B236" s="13" t="str">
        <f>_xlfn.IFNA(VLOOKUP(A236,'Date Calcs'!A:B,2,),"")</f>
        <v/>
      </c>
      <c r="C236" s="14">
        <f>VLOOKUP(A236,'Actual Dates'!A:AE,18,)</f>
        <v>0</v>
      </c>
      <c r="D236" s="15">
        <f t="shared" ca="1" si="22"/>
        <v>46115</v>
      </c>
      <c r="E236" s="15">
        <f t="shared" ca="1" si="23"/>
        <v>46115</v>
      </c>
      <c r="F236" s="14">
        <f ca="1">IFERROR(ROUND(IF(A236="","",IF(E236=0,D236-Date!$B$3,D236-E236)),0),"")</f>
        <v>0</v>
      </c>
      <c r="G236" s="14" t="str">
        <f>_xlfn.IFNA(VLOOKUP(A236,'RTR v2'!A:AW,48,FALSE)," ")</f>
        <v/>
      </c>
      <c r="I236" s="16" t="str">
        <f t="shared" si="24"/>
        <v>N</v>
      </c>
      <c r="J236" s="16" t="str">
        <f t="shared" si="26"/>
        <v xml:space="preserve">  </v>
      </c>
      <c r="L236" s="17"/>
      <c r="M236" t="str">
        <f t="shared" si="27"/>
        <v xml:space="preserve"> </v>
      </c>
      <c r="N236">
        <f t="shared" si="28"/>
        <v>0</v>
      </c>
      <c r="O236">
        <f>IF(P236&lt;1,0,IF(VLOOKUP($A236,'Actual Dates'!$A:$G,5,0)="Y",1,0))</f>
        <v>0</v>
      </c>
      <c r="P236">
        <f>IF(Q236&lt;1,0,IF(VLOOKUP($A236,'Actual Dates'!$A:$G,4,0)="Y",1,0))</f>
        <v>0</v>
      </c>
      <c r="Q236">
        <f>IF(R236&lt;1,0,IF(VLOOKUP($A236,'Actual Dates'!$A:$G,3,0)="Y",1,0))</f>
        <v>0</v>
      </c>
      <c r="R236">
        <f>IF(VLOOKUP($A236,'Actual Dates'!$A:$G,2,0)="Y",1,0)</f>
        <v>0</v>
      </c>
      <c r="S236" s="4">
        <f ca="1">_xlfn.IFNA(+VLOOKUP(A236,'Date Calcs'!A:AG,8,),TODAY())</f>
        <v>46115</v>
      </c>
      <c r="T236" s="4">
        <f ca="1">_xlfn.IFNA(VLOOKUP(A236,'Date Calcs'!A:AG,10,),TODAY())</f>
        <v>46115</v>
      </c>
      <c r="U236" s="4">
        <f ca="1">_xlfn.IFNA(+VLOOKUP(A236,'Date Calcs'!A:AG,12,),TODAY())</f>
        <v>46115</v>
      </c>
      <c r="V236" s="4">
        <f ca="1">_xlfn.IFNA(+VLOOKUP(A236,'Date Calcs'!A:AG,14,),TODAY())</f>
        <v>46115</v>
      </c>
      <c r="W236" s="4">
        <f ca="1">_xlfn.IFNA(+VLOOKUP(A236,'Date Calcs'!A:AG,16,),TODAY())</f>
        <v>46115</v>
      </c>
      <c r="X236" s="4">
        <f ca="1">_xlfn.IFNA(IF(C236=0,VLOOKUP(A236,'Date Calcs'!A:AG,8,),IF(C236=1,VLOOKUP(A236,'Date Calcs'!A:AG,10,),IF(C236=2,VLOOKUP(A236,'Date Calcs'!A:AG,12,),IF(C236=3,VLOOKUP(A236,'Date Calcs'!A:AG,14,),4)))),TODAY())</f>
        <v>46115</v>
      </c>
      <c r="Y236" s="4">
        <f t="shared" ca="1" si="25"/>
        <v>46115</v>
      </c>
      <c r="Z236" s="4">
        <f ca="1">_xlfn.IFNA(Y236+(VLOOKUP(A236,'Date Calcs'!A:W,22,0)*7),TODAY())</f>
        <v>46115</v>
      </c>
      <c r="AA236" s="4">
        <f>_xlfn.IFNA(VLOOKUP(A236,'RTR v2'!$A:$AW,46,0),"")</f>
        <v>0</v>
      </c>
    </row>
    <row r="237" spans="1:27" ht="23.25" hidden="1" x14ac:dyDescent="0.25">
      <c r="A237" s="12">
        <f>'Actual Dates'!A235</f>
        <v>0</v>
      </c>
      <c r="B237" s="13" t="str">
        <f>_xlfn.IFNA(VLOOKUP(A237,'Date Calcs'!A:B,2,),"")</f>
        <v/>
      </c>
      <c r="C237" s="14">
        <f>VLOOKUP(A237,'Actual Dates'!A:AE,18,)</f>
        <v>0</v>
      </c>
      <c r="D237" s="15">
        <f t="shared" ca="1" si="22"/>
        <v>46115</v>
      </c>
      <c r="E237" s="15">
        <f t="shared" ca="1" si="23"/>
        <v>46115</v>
      </c>
      <c r="F237" s="14">
        <f ca="1">IFERROR(ROUND(IF(A237="","",IF(E237=0,D237-Date!$B$3,D237-E237)),0),"")</f>
        <v>0</v>
      </c>
      <c r="G237" s="14" t="str">
        <f>_xlfn.IFNA(VLOOKUP(A237,'RTR v2'!A:AW,48,FALSE)," ")</f>
        <v/>
      </c>
      <c r="I237" s="16" t="str">
        <f t="shared" si="24"/>
        <v>N</v>
      </c>
      <c r="J237" s="16" t="str">
        <f t="shared" si="26"/>
        <v xml:space="preserve">  </v>
      </c>
      <c r="L237" s="17"/>
      <c r="M237" t="str">
        <f t="shared" si="27"/>
        <v xml:space="preserve"> </v>
      </c>
      <c r="N237">
        <f t="shared" si="28"/>
        <v>0</v>
      </c>
      <c r="O237">
        <f>IF(P237&lt;1,0,IF(VLOOKUP($A237,'Actual Dates'!$A:$G,5,0)="Y",1,0))</f>
        <v>0</v>
      </c>
      <c r="P237">
        <f>IF(Q237&lt;1,0,IF(VLOOKUP($A237,'Actual Dates'!$A:$G,4,0)="Y",1,0))</f>
        <v>0</v>
      </c>
      <c r="Q237">
        <f>IF(R237&lt;1,0,IF(VLOOKUP($A237,'Actual Dates'!$A:$G,3,0)="Y",1,0))</f>
        <v>0</v>
      </c>
      <c r="R237">
        <f>IF(VLOOKUP($A237,'Actual Dates'!$A:$G,2,0)="Y",1,0)</f>
        <v>0</v>
      </c>
      <c r="S237" s="4">
        <f ca="1">_xlfn.IFNA(+VLOOKUP(A237,'Date Calcs'!A:AG,8,),TODAY())</f>
        <v>46115</v>
      </c>
      <c r="T237" s="4">
        <f ca="1">_xlfn.IFNA(VLOOKUP(A237,'Date Calcs'!A:AG,10,),TODAY())</f>
        <v>46115</v>
      </c>
      <c r="U237" s="4">
        <f ca="1">_xlfn.IFNA(+VLOOKUP(A237,'Date Calcs'!A:AG,12,),TODAY())</f>
        <v>46115</v>
      </c>
      <c r="V237" s="4">
        <f ca="1">_xlfn.IFNA(+VLOOKUP(A237,'Date Calcs'!A:AG,14,),TODAY())</f>
        <v>46115</v>
      </c>
      <c r="W237" s="4">
        <f ca="1">_xlfn.IFNA(+VLOOKUP(A237,'Date Calcs'!A:AG,16,),TODAY())</f>
        <v>46115</v>
      </c>
      <c r="X237" s="4">
        <f ca="1">_xlfn.IFNA(IF(C237=0,VLOOKUP(A237,'Date Calcs'!A:AG,8,),IF(C237=1,VLOOKUP(A237,'Date Calcs'!A:AG,10,),IF(C237=2,VLOOKUP(A237,'Date Calcs'!A:AG,12,),IF(C237=3,VLOOKUP(A237,'Date Calcs'!A:AG,14,),4)))),TODAY())</f>
        <v>46115</v>
      </c>
      <c r="Y237" s="4">
        <f t="shared" ca="1" si="25"/>
        <v>46115</v>
      </c>
      <c r="Z237" s="4">
        <f ca="1">_xlfn.IFNA(Y237+(VLOOKUP(A237,'Date Calcs'!A:W,22,0)*7),TODAY())</f>
        <v>46115</v>
      </c>
      <c r="AA237" s="4">
        <f>_xlfn.IFNA(VLOOKUP(A237,'RTR v2'!$A:$AW,46,0),"")</f>
        <v>0</v>
      </c>
    </row>
    <row r="238" spans="1:27" ht="23.25" hidden="1" x14ac:dyDescent="0.25">
      <c r="A238" s="12">
        <f>'Actual Dates'!A236</f>
        <v>0</v>
      </c>
      <c r="B238" s="13" t="str">
        <f>_xlfn.IFNA(VLOOKUP(A238,'Date Calcs'!A:B,2,),"")</f>
        <v/>
      </c>
      <c r="C238" s="14">
        <f>VLOOKUP(A238,'Actual Dates'!A:AE,18,)</f>
        <v>0</v>
      </c>
      <c r="D238" s="15">
        <f t="shared" ca="1" si="22"/>
        <v>46115</v>
      </c>
      <c r="E238" s="15">
        <f t="shared" ca="1" si="23"/>
        <v>46115</v>
      </c>
      <c r="F238" s="14">
        <f ca="1">IFERROR(ROUND(IF(A238="","",IF(E238=0,D238-Date!$B$3,D238-E238)),0),"")</f>
        <v>0</v>
      </c>
      <c r="G238" s="14" t="str">
        <f>_xlfn.IFNA(VLOOKUP(A238,'RTR v2'!A:AW,48,FALSE)," ")</f>
        <v/>
      </c>
      <c r="I238" s="16" t="str">
        <f t="shared" si="24"/>
        <v>N</v>
      </c>
      <c r="J238" s="16" t="str">
        <f t="shared" si="26"/>
        <v xml:space="preserve">  </v>
      </c>
      <c r="L238" s="17"/>
      <c r="M238" t="str">
        <f t="shared" si="27"/>
        <v xml:space="preserve"> </v>
      </c>
      <c r="N238">
        <f t="shared" si="28"/>
        <v>0</v>
      </c>
      <c r="O238">
        <f>IF(P238&lt;1,0,IF(VLOOKUP($A238,'Actual Dates'!$A:$G,5,0)="Y",1,0))</f>
        <v>0</v>
      </c>
      <c r="P238">
        <f>IF(Q238&lt;1,0,IF(VLOOKUP($A238,'Actual Dates'!$A:$G,4,0)="Y",1,0))</f>
        <v>0</v>
      </c>
      <c r="Q238">
        <f>IF(R238&lt;1,0,IF(VLOOKUP($A238,'Actual Dates'!$A:$G,3,0)="Y",1,0))</f>
        <v>0</v>
      </c>
      <c r="R238">
        <f>IF(VLOOKUP($A238,'Actual Dates'!$A:$G,2,0)="Y",1,0)</f>
        <v>0</v>
      </c>
      <c r="S238" s="4">
        <f ca="1">_xlfn.IFNA(+VLOOKUP(A238,'Date Calcs'!A:AG,8,),TODAY())</f>
        <v>46115</v>
      </c>
      <c r="T238" s="4">
        <f ca="1">_xlfn.IFNA(VLOOKUP(A238,'Date Calcs'!A:AG,10,),TODAY())</f>
        <v>46115</v>
      </c>
      <c r="U238" s="4">
        <f ca="1">_xlfn.IFNA(+VLOOKUP(A238,'Date Calcs'!A:AG,12,),TODAY())</f>
        <v>46115</v>
      </c>
      <c r="V238" s="4">
        <f ca="1">_xlfn.IFNA(+VLOOKUP(A238,'Date Calcs'!A:AG,14,),TODAY())</f>
        <v>46115</v>
      </c>
      <c r="W238" s="4">
        <f ca="1">_xlfn.IFNA(+VLOOKUP(A238,'Date Calcs'!A:AG,16,),TODAY())</f>
        <v>46115</v>
      </c>
      <c r="X238" s="4">
        <f ca="1">_xlfn.IFNA(IF(C238=0,VLOOKUP(A238,'Date Calcs'!A:AG,8,),IF(C238=1,VLOOKUP(A238,'Date Calcs'!A:AG,10,),IF(C238=2,VLOOKUP(A238,'Date Calcs'!A:AG,12,),IF(C238=3,VLOOKUP(A238,'Date Calcs'!A:AG,14,),4)))),TODAY())</f>
        <v>46115</v>
      </c>
      <c r="Y238" s="4">
        <f t="shared" ca="1" si="25"/>
        <v>46115</v>
      </c>
      <c r="Z238" s="4">
        <f ca="1">_xlfn.IFNA(Y238+(VLOOKUP(A238,'Date Calcs'!A:W,22,0)*7),TODAY())</f>
        <v>46115</v>
      </c>
      <c r="AA238" s="4">
        <f>_xlfn.IFNA(VLOOKUP(A238,'RTR v2'!$A:$AW,46,0),"")</f>
        <v>0</v>
      </c>
    </row>
    <row r="239" spans="1:27" ht="23.25" hidden="1" x14ac:dyDescent="0.25">
      <c r="A239" s="12">
        <f>'Actual Dates'!A237</f>
        <v>0</v>
      </c>
      <c r="B239" s="13" t="str">
        <f>_xlfn.IFNA(VLOOKUP(A239,'Date Calcs'!A:B,2,),"")</f>
        <v/>
      </c>
      <c r="C239" s="14">
        <f>VLOOKUP(A239,'Actual Dates'!A:AE,18,)</f>
        <v>0</v>
      </c>
      <c r="D239" s="15">
        <f t="shared" ca="1" si="22"/>
        <v>46115</v>
      </c>
      <c r="E239" s="15">
        <f t="shared" ca="1" si="23"/>
        <v>46115</v>
      </c>
      <c r="F239" s="14">
        <f ca="1">IFERROR(ROUND(IF(A239="","",IF(E239=0,D239-Date!$B$3,D239-E239)),0),"")</f>
        <v>0</v>
      </c>
      <c r="G239" s="14" t="str">
        <f>_xlfn.IFNA(VLOOKUP(A239,'RTR v2'!A:AW,48,FALSE)," ")</f>
        <v/>
      </c>
      <c r="I239" s="16" t="str">
        <f t="shared" si="24"/>
        <v>N</v>
      </c>
      <c r="J239" s="16" t="str">
        <f t="shared" si="26"/>
        <v xml:space="preserve">  </v>
      </c>
      <c r="L239" s="17"/>
      <c r="M239" t="str">
        <f t="shared" si="27"/>
        <v xml:space="preserve"> </v>
      </c>
      <c r="N239">
        <f t="shared" si="28"/>
        <v>0</v>
      </c>
      <c r="O239">
        <f>IF(P239&lt;1,0,IF(VLOOKUP($A239,'Actual Dates'!$A:$G,5,0)="Y",1,0))</f>
        <v>0</v>
      </c>
      <c r="P239">
        <f>IF(Q239&lt;1,0,IF(VLOOKUP($A239,'Actual Dates'!$A:$G,4,0)="Y",1,0))</f>
        <v>0</v>
      </c>
      <c r="Q239">
        <f>IF(R239&lt;1,0,IF(VLOOKUP($A239,'Actual Dates'!$A:$G,3,0)="Y",1,0))</f>
        <v>0</v>
      </c>
      <c r="R239">
        <f>IF(VLOOKUP($A239,'Actual Dates'!$A:$G,2,0)="Y",1,0)</f>
        <v>0</v>
      </c>
      <c r="S239" s="4">
        <f ca="1">_xlfn.IFNA(+VLOOKUP(A239,'Date Calcs'!A:AG,8,),TODAY())</f>
        <v>46115</v>
      </c>
      <c r="T239" s="4">
        <f ca="1">_xlfn.IFNA(VLOOKUP(A239,'Date Calcs'!A:AG,10,),TODAY())</f>
        <v>46115</v>
      </c>
      <c r="U239" s="4">
        <f ca="1">_xlfn.IFNA(+VLOOKUP(A239,'Date Calcs'!A:AG,12,),TODAY())</f>
        <v>46115</v>
      </c>
      <c r="V239" s="4">
        <f ca="1">_xlfn.IFNA(+VLOOKUP(A239,'Date Calcs'!A:AG,14,),TODAY())</f>
        <v>46115</v>
      </c>
      <c r="W239" s="4">
        <f ca="1">_xlfn.IFNA(+VLOOKUP(A239,'Date Calcs'!A:AG,16,),TODAY())</f>
        <v>46115</v>
      </c>
      <c r="X239" s="4">
        <f ca="1">_xlfn.IFNA(IF(C239=0,VLOOKUP(A239,'Date Calcs'!A:AG,8,),IF(C239=1,VLOOKUP(A239,'Date Calcs'!A:AG,10,),IF(C239=2,VLOOKUP(A239,'Date Calcs'!A:AG,12,),IF(C239=3,VLOOKUP(A239,'Date Calcs'!A:AG,14,),4)))),TODAY())</f>
        <v>46115</v>
      </c>
      <c r="Y239" s="4">
        <f t="shared" ca="1" si="25"/>
        <v>46115</v>
      </c>
      <c r="Z239" s="4">
        <f ca="1">_xlfn.IFNA(Y239+(VLOOKUP(A239,'Date Calcs'!A:W,22,0)*7),TODAY())</f>
        <v>46115</v>
      </c>
      <c r="AA239" s="4">
        <f>_xlfn.IFNA(VLOOKUP(A239,'RTR v2'!$A:$AW,46,0),"")</f>
        <v>0</v>
      </c>
    </row>
    <row r="240" spans="1:27" ht="23.25" hidden="1" x14ac:dyDescent="0.25">
      <c r="A240" s="12">
        <f>'Actual Dates'!A238</f>
        <v>0</v>
      </c>
      <c r="B240" s="13" t="str">
        <f>_xlfn.IFNA(VLOOKUP(A240,'Date Calcs'!A:B,2,),"")</f>
        <v/>
      </c>
      <c r="C240" s="14">
        <f>VLOOKUP(A240,'Actual Dates'!A:AE,18,)</f>
        <v>0</v>
      </c>
      <c r="D240" s="15">
        <f t="shared" ca="1" si="22"/>
        <v>46115</v>
      </c>
      <c r="E240" s="15">
        <f t="shared" ca="1" si="23"/>
        <v>46115</v>
      </c>
      <c r="F240" s="14">
        <f ca="1">IFERROR(ROUND(IF(A240="","",IF(E240=0,D240-Date!$B$3,D240-E240)),0),"")</f>
        <v>0</v>
      </c>
      <c r="G240" s="14" t="str">
        <f>_xlfn.IFNA(VLOOKUP(A240,'RTR v2'!A:AW,48,FALSE)," ")</f>
        <v/>
      </c>
      <c r="I240" s="16" t="str">
        <f t="shared" si="24"/>
        <v>N</v>
      </c>
      <c r="J240" s="16" t="str">
        <f t="shared" si="26"/>
        <v xml:space="preserve">  </v>
      </c>
      <c r="L240" s="17"/>
      <c r="M240" t="str">
        <f t="shared" si="27"/>
        <v xml:space="preserve"> </v>
      </c>
      <c r="N240">
        <f t="shared" si="28"/>
        <v>0</v>
      </c>
      <c r="O240">
        <f>IF(P240&lt;1,0,IF(VLOOKUP($A240,'Actual Dates'!$A:$G,5,0)="Y",1,0))</f>
        <v>0</v>
      </c>
      <c r="P240">
        <f>IF(Q240&lt;1,0,IF(VLOOKUP($A240,'Actual Dates'!$A:$G,4,0)="Y",1,0))</f>
        <v>0</v>
      </c>
      <c r="Q240">
        <f>IF(R240&lt;1,0,IF(VLOOKUP($A240,'Actual Dates'!$A:$G,3,0)="Y",1,0))</f>
        <v>0</v>
      </c>
      <c r="R240">
        <f>IF(VLOOKUP($A240,'Actual Dates'!$A:$G,2,0)="Y",1,0)</f>
        <v>0</v>
      </c>
      <c r="S240" s="4">
        <f ca="1">_xlfn.IFNA(+VLOOKUP(A240,'Date Calcs'!A:AG,8,),TODAY())</f>
        <v>46115</v>
      </c>
      <c r="T240" s="4">
        <f ca="1">_xlfn.IFNA(VLOOKUP(A240,'Date Calcs'!A:AG,10,),TODAY())</f>
        <v>46115</v>
      </c>
      <c r="U240" s="4">
        <f ca="1">_xlfn.IFNA(+VLOOKUP(A240,'Date Calcs'!A:AG,12,),TODAY())</f>
        <v>46115</v>
      </c>
      <c r="V240" s="4">
        <f ca="1">_xlfn.IFNA(+VLOOKUP(A240,'Date Calcs'!A:AG,14,),TODAY())</f>
        <v>46115</v>
      </c>
      <c r="W240" s="4">
        <f ca="1">_xlfn.IFNA(+VLOOKUP(A240,'Date Calcs'!A:AG,16,),TODAY())</f>
        <v>46115</v>
      </c>
      <c r="X240" s="4">
        <f ca="1">_xlfn.IFNA(IF(C240=0,VLOOKUP(A240,'Date Calcs'!A:AG,8,),IF(C240=1,VLOOKUP(A240,'Date Calcs'!A:AG,10,),IF(C240=2,VLOOKUP(A240,'Date Calcs'!A:AG,12,),IF(C240=3,VLOOKUP(A240,'Date Calcs'!A:AG,14,),4)))),TODAY())</f>
        <v>46115</v>
      </c>
      <c r="Y240" s="4">
        <f t="shared" ca="1" si="25"/>
        <v>46115</v>
      </c>
      <c r="Z240" s="4">
        <f ca="1">_xlfn.IFNA(Y240+(VLOOKUP(A240,'Date Calcs'!A:W,22,0)*7),TODAY())</f>
        <v>46115</v>
      </c>
      <c r="AA240" s="4">
        <f>_xlfn.IFNA(VLOOKUP(A240,'RTR v2'!$A:$AW,46,0),"")</f>
        <v>0</v>
      </c>
    </row>
    <row r="241" spans="1:27" ht="23.25" hidden="1" x14ac:dyDescent="0.25">
      <c r="A241" s="12">
        <f>'Actual Dates'!A239</f>
        <v>0</v>
      </c>
      <c r="B241" s="13" t="str">
        <f>_xlfn.IFNA(VLOOKUP(A241,'Date Calcs'!A:B,2,),"")</f>
        <v/>
      </c>
      <c r="C241" s="14">
        <f>VLOOKUP(A241,'Actual Dates'!A:AE,18,)</f>
        <v>0</v>
      </c>
      <c r="D241" s="15">
        <f t="shared" ca="1" si="22"/>
        <v>46115</v>
      </c>
      <c r="E241" s="15">
        <f t="shared" ca="1" si="23"/>
        <v>46115</v>
      </c>
      <c r="F241" s="14">
        <f ca="1">IFERROR(ROUND(IF(A241="","",IF(E241=0,D241-Date!$B$3,D241-E241)),0),"")</f>
        <v>0</v>
      </c>
      <c r="G241" s="14" t="str">
        <f>_xlfn.IFNA(VLOOKUP(A241,'RTR v2'!A:AW,48,FALSE)," ")</f>
        <v/>
      </c>
      <c r="I241" s="16" t="str">
        <f t="shared" si="24"/>
        <v>N</v>
      </c>
      <c r="J241" s="16" t="str">
        <f t="shared" si="26"/>
        <v xml:space="preserve">  </v>
      </c>
      <c r="L241" s="17"/>
      <c r="M241" t="str">
        <f t="shared" si="27"/>
        <v xml:space="preserve"> </v>
      </c>
      <c r="N241">
        <f t="shared" si="28"/>
        <v>0</v>
      </c>
      <c r="O241">
        <f>IF(P241&lt;1,0,IF(VLOOKUP($A241,'Actual Dates'!$A:$G,5,0)="Y",1,0))</f>
        <v>0</v>
      </c>
      <c r="P241">
        <f>IF(Q241&lt;1,0,IF(VLOOKUP($A241,'Actual Dates'!$A:$G,4,0)="Y",1,0))</f>
        <v>0</v>
      </c>
      <c r="Q241">
        <f>IF(R241&lt;1,0,IF(VLOOKUP($A241,'Actual Dates'!$A:$G,3,0)="Y",1,0))</f>
        <v>0</v>
      </c>
      <c r="R241">
        <f>IF(VLOOKUP($A241,'Actual Dates'!$A:$G,2,0)="Y",1,0)</f>
        <v>0</v>
      </c>
      <c r="S241" s="4">
        <f ca="1">_xlfn.IFNA(+VLOOKUP(A241,'Date Calcs'!A:AG,8,),TODAY())</f>
        <v>46115</v>
      </c>
      <c r="T241" s="4">
        <f ca="1">_xlfn.IFNA(VLOOKUP(A241,'Date Calcs'!A:AG,10,),TODAY())</f>
        <v>46115</v>
      </c>
      <c r="U241" s="4">
        <f ca="1">_xlfn.IFNA(+VLOOKUP(A241,'Date Calcs'!A:AG,12,),TODAY())</f>
        <v>46115</v>
      </c>
      <c r="V241" s="4">
        <f ca="1">_xlfn.IFNA(+VLOOKUP(A241,'Date Calcs'!A:AG,14,),TODAY())</f>
        <v>46115</v>
      </c>
      <c r="W241" s="4">
        <f ca="1">_xlfn.IFNA(+VLOOKUP(A241,'Date Calcs'!A:AG,16,),TODAY())</f>
        <v>46115</v>
      </c>
      <c r="X241" s="4">
        <f ca="1">_xlfn.IFNA(IF(C241=0,VLOOKUP(A241,'Date Calcs'!A:AG,8,),IF(C241=1,VLOOKUP(A241,'Date Calcs'!A:AG,10,),IF(C241=2,VLOOKUP(A241,'Date Calcs'!A:AG,12,),IF(C241=3,VLOOKUP(A241,'Date Calcs'!A:AG,14,),4)))),TODAY())</f>
        <v>46115</v>
      </c>
      <c r="Y241" s="4">
        <f t="shared" ca="1" si="25"/>
        <v>46115</v>
      </c>
      <c r="Z241" s="4">
        <f ca="1">_xlfn.IFNA(Y241+(VLOOKUP(A241,'Date Calcs'!A:W,22,0)*7),TODAY())</f>
        <v>46115</v>
      </c>
      <c r="AA241" s="4">
        <f>_xlfn.IFNA(VLOOKUP(A241,'RTR v2'!$A:$AW,46,0),"")</f>
        <v>0</v>
      </c>
    </row>
    <row r="242" spans="1:27" ht="23.25" hidden="1" x14ac:dyDescent="0.25">
      <c r="A242" s="12">
        <f>'Actual Dates'!A240</f>
        <v>0</v>
      </c>
      <c r="B242" s="13" t="str">
        <f>_xlfn.IFNA(VLOOKUP(A242,'Date Calcs'!A:B,2,),"")</f>
        <v/>
      </c>
      <c r="C242" s="14">
        <f>VLOOKUP(A242,'Actual Dates'!A:AE,18,)</f>
        <v>0</v>
      </c>
      <c r="D242" s="15">
        <f t="shared" ca="1" si="22"/>
        <v>46115</v>
      </c>
      <c r="E242" s="15">
        <f t="shared" ca="1" si="23"/>
        <v>46115</v>
      </c>
      <c r="F242" s="14">
        <f ca="1">IFERROR(ROUND(IF(A242="","",IF(E242=0,D242-Date!$B$3,D242-E242)),0),"")</f>
        <v>0</v>
      </c>
      <c r="G242" s="14" t="str">
        <f>_xlfn.IFNA(VLOOKUP(A242,'RTR v2'!A:AW,48,FALSE)," ")</f>
        <v/>
      </c>
      <c r="I242" s="16" t="str">
        <f t="shared" si="24"/>
        <v>N</v>
      </c>
      <c r="J242" s="16" t="str">
        <f t="shared" si="26"/>
        <v xml:space="preserve">  </v>
      </c>
      <c r="L242" s="17"/>
      <c r="M242" t="str">
        <f t="shared" si="27"/>
        <v xml:space="preserve"> </v>
      </c>
      <c r="N242">
        <f t="shared" si="28"/>
        <v>0</v>
      </c>
      <c r="O242">
        <f>IF(P242&lt;1,0,IF(VLOOKUP($A242,'Actual Dates'!$A:$G,5,0)="Y",1,0))</f>
        <v>0</v>
      </c>
      <c r="P242">
        <f>IF(Q242&lt;1,0,IF(VLOOKUP($A242,'Actual Dates'!$A:$G,4,0)="Y",1,0))</f>
        <v>0</v>
      </c>
      <c r="Q242">
        <f>IF(R242&lt;1,0,IF(VLOOKUP($A242,'Actual Dates'!$A:$G,3,0)="Y",1,0))</f>
        <v>0</v>
      </c>
      <c r="R242">
        <f>IF(VLOOKUP($A242,'Actual Dates'!$A:$G,2,0)="Y",1,0)</f>
        <v>0</v>
      </c>
      <c r="S242" s="4">
        <f ca="1">_xlfn.IFNA(+VLOOKUP(A242,'Date Calcs'!A:AG,8,),TODAY())</f>
        <v>46115</v>
      </c>
      <c r="T242" s="4">
        <f ca="1">_xlfn.IFNA(VLOOKUP(A242,'Date Calcs'!A:AG,10,),TODAY())</f>
        <v>46115</v>
      </c>
      <c r="U242" s="4">
        <f ca="1">_xlfn.IFNA(+VLOOKUP(A242,'Date Calcs'!A:AG,12,),TODAY())</f>
        <v>46115</v>
      </c>
      <c r="V242" s="4">
        <f ca="1">_xlfn.IFNA(+VLOOKUP(A242,'Date Calcs'!A:AG,14,),TODAY())</f>
        <v>46115</v>
      </c>
      <c r="W242" s="4">
        <f ca="1">_xlfn.IFNA(+VLOOKUP(A242,'Date Calcs'!A:AG,16,),TODAY())</f>
        <v>46115</v>
      </c>
      <c r="X242" s="4">
        <f ca="1">_xlfn.IFNA(IF(C242=0,VLOOKUP(A242,'Date Calcs'!A:AG,8,),IF(C242=1,VLOOKUP(A242,'Date Calcs'!A:AG,10,),IF(C242=2,VLOOKUP(A242,'Date Calcs'!A:AG,12,),IF(C242=3,VLOOKUP(A242,'Date Calcs'!A:AG,14,),4)))),TODAY())</f>
        <v>46115</v>
      </c>
      <c r="Y242" s="4">
        <f t="shared" ca="1" si="25"/>
        <v>46115</v>
      </c>
      <c r="Z242" s="4">
        <f ca="1">_xlfn.IFNA(Y242+(VLOOKUP(A242,'Date Calcs'!A:W,22,0)*7),TODAY())</f>
        <v>46115</v>
      </c>
      <c r="AA242" s="4">
        <f>_xlfn.IFNA(VLOOKUP(A242,'RTR v2'!$A:$AW,46,0),"")</f>
        <v>0</v>
      </c>
    </row>
    <row r="243" spans="1:27" ht="23.25" hidden="1" x14ac:dyDescent="0.25">
      <c r="A243" s="12">
        <f>'Actual Dates'!A241</f>
        <v>0</v>
      </c>
      <c r="B243" s="13" t="str">
        <f>_xlfn.IFNA(VLOOKUP(A243,'Date Calcs'!A:B,2,),"")</f>
        <v/>
      </c>
      <c r="C243" s="14">
        <f>VLOOKUP(A243,'Actual Dates'!A:AE,18,)</f>
        <v>0</v>
      </c>
      <c r="D243" s="15">
        <f t="shared" ca="1" si="22"/>
        <v>46115</v>
      </c>
      <c r="E243" s="15">
        <f t="shared" ca="1" si="23"/>
        <v>46115</v>
      </c>
      <c r="F243" s="14">
        <f ca="1">IFERROR(ROUND(IF(A243="","",IF(E243=0,D243-Date!$B$3,D243-E243)),0),"")</f>
        <v>0</v>
      </c>
      <c r="G243" s="14" t="str">
        <f>_xlfn.IFNA(VLOOKUP(A243,'RTR v2'!A:AW,48,FALSE)," ")</f>
        <v/>
      </c>
      <c r="I243" s="16" t="str">
        <f t="shared" si="24"/>
        <v>N</v>
      </c>
      <c r="J243" s="16" t="str">
        <f t="shared" si="26"/>
        <v xml:space="preserve">  </v>
      </c>
      <c r="L243" s="17"/>
      <c r="M243" t="str">
        <f t="shared" si="27"/>
        <v xml:space="preserve"> </v>
      </c>
      <c r="N243">
        <f t="shared" si="28"/>
        <v>0</v>
      </c>
      <c r="O243">
        <f>IF(P243&lt;1,0,IF(VLOOKUP($A243,'Actual Dates'!$A:$G,5,0)="Y",1,0))</f>
        <v>0</v>
      </c>
      <c r="P243">
        <f>IF(Q243&lt;1,0,IF(VLOOKUP($A243,'Actual Dates'!$A:$G,4,0)="Y",1,0))</f>
        <v>0</v>
      </c>
      <c r="Q243">
        <f>IF(R243&lt;1,0,IF(VLOOKUP($A243,'Actual Dates'!$A:$G,3,0)="Y",1,0))</f>
        <v>0</v>
      </c>
      <c r="R243">
        <f>IF(VLOOKUP($A243,'Actual Dates'!$A:$G,2,0)="Y",1,0)</f>
        <v>0</v>
      </c>
      <c r="S243" s="4">
        <f ca="1">_xlfn.IFNA(+VLOOKUP(A243,'Date Calcs'!A:AG,8,),TODAY())</f>
        <v>46115</v>
      </c>
      <c r="T243" s="4">
        <f ca="1">_xlfn.IFNA(VLOOKUP(A243,'Date Calcs'!A:AG,10,),TODAY())</f>
        <v>46115</v>
      </c>
      <c r="U243" s="4">
        <f ca="1">_xlfn.IFNA(+VLOOKUP(A243,'Date Calcs'!A:AG,12,),TODAY())</f>
        <v>46115</v>
      </c>
      <c r="V243" s="4">
        <f ca="1">_xlfn.IFNA(+VLOOKUP(A243,'Date Calcs'!A:AG,14,),TODAY())</f>
        <v>46115</v>
      </c>
      <c r="W243" s="4">
        <f ca="1">_xlfn.IFNA(+VLOOKUP(A243,'Date Calcs'!A:AG,16,),TODAY())</f>
        <v>46115</v>
      </c>
      <c r="X243" s="4">
        <f ca="1">_xlfn.IFNA(IF(C243=0,VLOOKUP(A243,'Date Calcs'!A:AG,8,),IF(C243=1,VLOOKUP(A243,'Date Calcs'!A:AG,10,),IF(C243=2,VLOOKUP(A243,'Date Calcs'!A:AG,12,),IF(C243=3,VLOOKUP(A243,'Date Calcs'!A:AG,14,),4)))),TODAY())</f>
        <v>46115</v>
      </c>
      <c r="Y243" s="4">
        <f t="shared" ca="1" si="25"/>
        <v>46115</v>
      </c>
      <c r="Z243" s="4">
        <f ca="1">_xlfn.IFNA(Y243+(VLOOKUP(A243,'Date Calcs'!A:W,22,0)*7),TODAY())</f>
        <v>46115</v>
      </c>
      <c r="AA243" s="4">
        <f>_xlfn.IFNA(VLOOKUP(A243,'RTR v2'!$A:$AW,46,0),"")</f>
        <v>0</v>
      </c>
    </row>
    <row r="244" spans="1:27" ht="23.25" hidden="1" x14ac:dyDescent="0.25">
      <c r="A244" s="12">
        <f>'Actual Dates'!A242</f>
        <v>0</v>
      </c>
      <c r="B244" s="13" t="str">
        <f>_xlfn.IFNA(VLOOKUP(A244,'Date Calcs'!A:B,2,),"")</f>
        <v/>
      </c>
      <c r="C244" s="14">
        <f>VLOOKUP(A244,'Actual Dates'!A:AE,18,)</f>
        <v>0</v>
      </c>
      <c r="D244" s="15">
        <f t="shared" ca="1" si="22"/>
        <v>46115</v>
      </c>
      <c r="E244" s="15">
        <f t="shared" ca="1" si="23"/>
        <v>46115</v>
      </c>
      <c r="F244" s="14">
        <f ca="1">IFERROR(ROUND(IF(A244="","",IF(E244=0,D244-Date!$B$3,D244-E244)),0),"")</f>
        <v>0</v>
      </c>
      <c r="G244" s="14" t="str">
        <f>_xlfn.IFNA(VLOOKUP(A244,'RTR v2'!A:AW,48,FALSE)," ")</f>
        <v/>
      </c>
      <c r="I244" s="16" t="str">
        <f t="shared" si="24"/>
        <v>N</v>
      </c>
      <c r="J244" s="16" t="str">
        <f t="shared" si="26"/>
        <v xml:space="preserve">  </v>
      </c>
      <c r="L244" s="17"/>
      <c r="M244" t="str">
        <f t="shared" si="27"/>
        <v xml:space="preserve"> </v>
      </c>
      <c r="N244">
        <f t="shared" si="28"/>
        <v>0</v>
      </c>
      <c r="O244">
        <f>IF(P244&lt;1,0,IF(VLOOKUP($A244,'Actual Dates'!$A:$G,5,0)="Y",1,0))</f>
        <v>0</v>
      </c>
      <c r="P244">
        <f>IF(Q244&lt;1,0,IF(VLOOKUP($A244,'Actual Dates'!$A:$G,4,0)="Y",1,0))</f>
        <v>0</v>
      </c>
      <c r="Q244">
        <f>IF(R244&lt;1,0,IF(VLOOKUP($A244,'Actual Dates'!$A:$G,3,0)="Y",1,0))</f>
        <v>0</v>
      </c>
      <c r="R244">
        <f>IF(VLOOKUP($A244,'Actual Dates'!$A:$G,2,0)="Y",1,0)</f>
        <v>0</v>
      </c>
      <c r="S244" s="4">
        <f ca="1">_xlfn.IFNA(+VLOOKUP(A244,'Date Calcs'!A:AG,8,),TODAY())</f>
        <v>46115</v>
      </c>
      <c r="T244" s="4">
        <f ca="1">_xlfn.IFNA(VLOOKUP(A244,'Date Calcs'!A:AG,10,),TODAY())</f>
        <v>46115</v>
      </c>
      <c r="U244" s="4">
        <f ca="1">_xlfn.IFNA(+VLOOKUP(A244,'Date Calcs'!A:AG,12,),TODAY())</f>
        <v>46115</v>
      </c>
      <c r="V244" s="4">
        <f ca="1">_xlfn.IFNA(+VLOOKUP(A244,'Date Calcs'!A:AG,14,),TODAY())</f>
        <v>46115</v>
      </c>
      <c r="W244" s="4">
        <f ca="1">_xlfn.IFNA(+VLOOKUP(A244,'Date Calcs'!A:AG,16,),TODAY())</f>
        <v>46115</v>
      </c>
      <c r="X244" s="4">
        <f ca="1">_xlfn.IFNA(IF(C244=0,VLOOKUP(A244,'Date Calcs'!A:AG,8,),IF(C244=1,VLOOKUP(A244,'Date Calcs'!A:AG,10,),IF(C244=2,VLOOKUP(A244,'Date Calcs'!A:AG,12,),IF(C244=3,VLOOKUP(A244,'Date Calcs'!A:AG,14,),4)))),TODAY())</f>
        <v>46115</v>
      </c>
      <c r="Y244" s="4">
        <f t="shared" ca="1" si="25"/>
        <v>46115</v>
      </c>
      <c r="Z244" s="4">
        <f ca="1">_xlfn.IFNA(Y244+(VLOOKUP(A244,'Date Calcs'!A:W,22,0)*7),TODAY())</f>
        <v>46115</v>
      </c>
      <c r="AA244" s="4">
        <f>_xlfn.IFNA(VLOOKUP(A244,'RTR v2'!$A:$AW,46,0),"")</f>
        <v>0</v>
      </c>
    </row>
    <row r="245" spans="1:27" ht="23.25" hidden="1" x14ac:dyDescent="0.25">
      <c r="A245" s="12">
        <f>'Actual Dates'!A243</f>
        <v>0</v>
      </c>
      <c r="B245" s="13" t="str">
        <f>_xlfn.IFNA(VLOOKUP(A245,'Date Calcs'!A:B,2,),"")</f>
        <v/>
      </c>
      <c r="C245" s="14">
        <f>VLOOKUP(A245,'Actual Dates'!A:AE,18,)</f>
        <v>0</v>
      </c>
      <c r="D245" s="15">
        <f t="shared" ca="1" si="22"/>
        <v>46115</v>
      </c>
      <c r="E245" s="15">
        <f t="shared" ca="1" si="23"/>
        <v>46115</v>
      </c>
      <c r="F245" s="14">
        <f ca="1">IFERROR(ROUND(IF(A245="","",IF(E245=0,D245-Date!$B$3,D245-E245)),0),"")</f>
        <v>0</v>
      </c>
      <c r="G245" s="14" t="str">
        <f>_xlfn.IFNA(VLOOKUP(A245,'RTR v2'!A:AW,48,FALSE)," ")</f>
        <v/>
      </c>
      <c r="I245" s="16" t="str">
        <f t="shared" si="24"/>
        <v>N</v>
      </c>
      <c r="J245" s="16" t="str">
        <f t="shared" si="26"/>
        <v xml:space="preserve">  </v>
      </c>
      <c r="L245" s="17"/>
      <c r="M245" t="str">
        <f t="shared" si="27"/>
        <v xml:space="preserve"> </v>
      </c>
      <c r="N245">
        <f t="shared" si="28"/>
        <v>0</v>
      </c>
      <c r="O245">
        <f>IF(P245&lt;1,0,IF(VLOOKUP($A245,'Actual Dates'!$A:$G,5,0)="Y",1,0))</f>
        <v>0</v>
      </c>
      <c r="P245">
        <f>IF(Q245&lt;1,0,IF(VLOOKUP($A245,'Actual Dates'!$A:$G,4,0)="Y",1,0))</f>
        <v>0</v>
      </c>
      <c r="Q245">
        <f>IF(R245&lt;1,0,IF(VLOOKUP($A245,'Actual Dates'!$A:$G,3,0)="Y",1,0))</f>
        <v>0</v>
      </c>
      <c r="R245">
        <f>IF(VLOOKUP($A245,'Actual Dates'!$A:$G,2,0)="Y",1,0)</f>
        <v>0</v>
      </c>
      <c r="S245" s="4">
        <f ca="1">_xlfn.IFNA(+VLOOKUP(A245,'Date Calcs'!A:AG,8,),TODAY())</f>
        <v>46115</v>
      </c>
      <c r="T245" s="4">
        <f ca="1">_xlfn.IFNA(VLOOKUP(A245,'Date Calcs'!A:AG,10,),TODAY())</f>
        <v>46115</v>
      </c>
      <c r="U245" s="4">
        <f ca="1">_xlfn.IFNA(+VLOOKUP(A245,'Date Calcs'!A:AG,12,),TODAY())</f>
        <v>46115</v>
      </c>
      <c r="V245" s="4">
        <f ca="1">_xlfn.IFNA(+VLOOKUP(A245,'Date Calcs'!A:AG,14,),TODAY())</f>
        <v>46115</v>
      </c>
      <c r="W245" s="4">
        <f ca="1">_xlfn.IFNA(+VLOOKUP(A245,'Date Calcs'!A:AG,16,),TODAY())</f>
        <v>46115</v>
      </c>
      <c r="X245" s="4">
        <f ca="1">_xlfn.IFNA(IF(C245=0,VLOOKUP(A245,'Date Calcs'!A:AG,8,),IF(C245=1,VLOOKUP(A245,'Date Calcs'!A:AG,10,),IF(C245=2,VLOOKUP(A245,'Date Calcs'!A:AG,12,),IF(C245=3,VLOOKUP(A245,'Date Calcs'!A:AG,14,),4)))),TODAY())</f>
        <v>46115</v>
      </c>
      <c r="Y245" s="4">
        <f t="shared" ca="1" si="25"/>
        <v>46115</v>
      </c>
      <c r="Z245" s="4">
        <f ca="1">_xlfn.IFNA(Y245+(VLOOKUP(A245,'Date Calcs'!A:W,22,0)*7),TODAY())</f>
        <v>46115</v>
      </c>
      <c r="AA245" s="4">
        <f>_xlfn.IFNA(VLOOKUP(A245,'RTR v2'!$A:$AW,46,0),"")</f>
        <v>0</v>
      </c>
    </row>
    <row r="246" spans="1:27" ht="23.25" hidden="1" x14ac:dyDescent="0.25">
      <c r="A246" s="12">
        <f>'Actual Dates'!A244</f>
        <v>0</v>
      </c>
      <c r="B246" s="13" t="str">
        <f>_xlfn.IFNA(VLOOKUP(A246,'Date Calcs'!A:B,2,),"")</f>
        <v/>
      </c>
      <c r="C246" s="14">
        <f>VLOOKUP(A246,'Actual Dates'!A:AE,18,)</f>
        <v>0</v>
      </c>
      <c r="D246" s="15">
        <f t="shared" ca="1" si="22"/>
        <v>46115</v>
      </c>
      <c r="E246" s="15">
        <f t="shared" ca="1" si="23"/>
        <v>46115</v>
      </c>
      <c r="F246" s="14">
        <f ca="1">IFERROR(ROUND(IF(A246="","",IF(E246=0,D246-Date!$B$3,D246-E246)),0),"")</f>
        <v>0</v>
      </c>
      <c r="G246" s="14" t="str">
        <f>_xlfn.IFNA(VLOOKUP(A246,'RTR v2'!A:AW,48,FALSE)," ")</f>
        <v/>
      </c>
      <c r="I246" s="16" t="str">
        <f t="shared" si="24"/>
        <v>N</v>
      </c>
      <c r="J246" s="16" t="str">
        <f t="shared" si="26"/>
        <v xml:space="preserve">  </v>
      </c>
      <c r="L246" s="17"/>
      <c r="M246" t="str">
        <f t="shared" si="27"/>
        <v xml:space="preserve"> </v>
      </c>
      <c r="N246">
        <f t="shared" si="28"/>
        <v>0</v>
      </c>
      <c r="O246">
        <f>IF(P246&lt;1,0,IF(VLOOKUP($A246,'Actual Dates'!$A:$G,5,0)="Y",1,0))</f>
        <v>0</v>
      </c>
      <c r="P246">
        <f>IF(Q246&lt;1,0,IF(VLOOKUP($A246,'Actual Dates'!$A:$G,4,0)="Y",1,0))</f>
        <v>0</v>
      </c>
      <c r="Q246">
        <f>IF(R246&lt;1,0,IF(VLOOKUP($A246,'Actual Dates'!$A:$G,3,0)="Y",1,0))</f>
        <v>0</v>
      </c>
      <c r="R246">
        <f>IF(VLOOKUP($A246,'Actual Dates'!$A:$G,2,0)="Y",1,0)</f>
        <v>0</v>
      </c>
      <c r="S246" s="4">
        <f ca="1">_xlfn.IFNA(+VLOOKUP(A246,'Date Calcs'!A:AG,8,),TODAY())</f>
        <v>46115</v>
      </c>
      <c r="T246" s="4">
        <f ca="1">_xlfn.IFNA(VLOOKUP(A246,'Date Calcs'!A:AG,10,),TODAY())</f>
        <v>46115</v>
      </c>
      <c r="U246" s="4">
        <f ca="1">_xlfn.IFNA(+VLOOKUP(A246,'Date Calcs'!A:AG,12,),TODAY())</f>
        <v>46115</v>
      </c>
      <c r="V246" s="4">
        <f ca="1">_xlfn.IFNA(+VLOOKUP(A246,'Date Calcs'!A:AG,14,),TODAY())</f>
        <v>46115</v>
      </c>
      <c r="W246" s="4">
        <f ca="1">_xlfn.IFNA(+VLOOKUP(A246,'Date Calcs'!A:AG,16,),TODAY())</f>
        <v>46115</v>
      </c>
      <c r="X246" s="4">
        <f ca="1">_xlfn.IFNA(IF(C246=0,VLOOKUP(A246,'Date Calcs'!A:AG,8,),IF(C246=1,VLOOKUP(A246,'Date Calcs'!A:AG,10,),IF(C246=2,VLOOKUP(A246,'Date Calcs'!A:AG,12,),IF(C246=3,VLOOKUP(A246,'Date Calcs'!A:AG,14,),4)))),TODAY())</f>
        <v>46115</v>
      </c>
      <c r="Y246" s="4">
        <f t="shared" ca="1" si="25"/>
        <v>46115</v>
      </c>
      <c r="Z246" s="4">
        <f ca="1">_xlfn.IFNA(Y246+(VLOOKUP(A246,'Date Calcs'!A:W,22,0)*7),TODAY())</f>
        <v>46115</v>
      </c>
      <c r="AA246" s="4">
        <f>_xlfn.IFNA(VLOOKUP(A246,'RTR v2'!$A:$AW,46,0),"")</f>
        <v>0</v>
      </c>
    </row>
    <row r="247" spans="1:27" ht="23.25" hidden="1" x14ac:dyDescent="0.25">
      <c r="A247" s="12">
        <f>'Actual Dates'!A245</f>
        <v>0</v>
      </c>
      <c r="B247" s="13" t="str">
        <f>_xlfn.IFNA(VLOOKUP(A247,'Date Calcs'!A:B,2,),"")</f>
        <v/>
      </c>
      <c r="C247" s="14">
        <f>VLOOKUP(A247,'Actual Dates'!A:AE,18,)</f>
        <v>0</v>
      </c>
      <c r="D247" s="15">
        <f t="shared" ca="1" si="22"/>
        <v>46115</v>
      </c>
      <c r="E247" s="15">
        <f t="shared" ca="1" si="23"/>
        <v>46115</v>
      </c>
      <c r="F247" s="14">
        <f ca="1">IFERROR(ROUND(IF(A247="","",IF(E247=0,D247-Date!$B$3,D247-E247)),0),"")</f>
        <v>0</v>
      </c>
      <c r="G247" s="14" t="str">
        <f>_xlfn.IFNA(VLOOKUP(A247,'RTR v2'!A:AW,48,FALSE)," ")</f>
        <v/>
      </c>
      <c r="I247" s="16" t="str">
        <f t="shared" si="24"/>
        <v>N</v>
      </c>
      <c r="J247" s="16" t="str">
        <f t="shared" si="26"/>
        <v xml:space="preserve">  </v>
      </c>
      <c r="L247" s="17"/>
      <c r="M247" t="str">
        <f t="shared" si="27"/>
        <v xml:space="preserve"> </v>
      </c>
      <c r="N247">
        <f t="shared" si="28"/>
        <v>0</v>
      </c>
      <c r="O247">
        <f>IF(P247&lt;1,0,IF(VLOOKUP($A247,'Actual Dates'!$A:$G,5,0)="Y",1,0))</f>
        <v>0</v>
      </c>
      <c r="P247">
        <f>IF(Q247&lt;1,0,IF(VLOOKUP($A247,'Actual Dates'!$A:$G,4,0)="Y",1,0))</f>
        <v>0</v>
      </c>
      <c r="Q247">
        <f>IF(R247&lt;1,0,IF(VLOOKUP($A247,'Actual Dates'!$A:$G,3,0)="Y",1,0))</f>
        <v>0</v>
      </c>
      <c r="R247">
        <f>IF(VLOOKUP($A247,'Actual Dates'!$A:$G,2,0)="Y",1,0)</f>
        <v>0</v>
      </c>
      <c r="S247" s="4">
        <f ca="1">_xlfn.IFNA(+VLOOKUP(A247,'Date Calcs'!A:AG,8,),TODAY())</f>
        <v>46115</v>
      </c>
      <c r="T247" s="4">
        <f ca="1">_xlfn.IFNA(VLOOKUP(A247,'Date Calcs'!A:AG,10,),TODAY())</f>
        <v>46115</v>
      </c>
      <c r="U247" s="4">
        <f ca="1">_xlfn.IFNA(+VLOOKUP(A247,'Date Calcs'!A:AG,12,),TODAY())</f>
        <v>46115</v>
      </c>
      <c r="V247" s="4">
        <f ca="1">_xlfn.IFNA(+VLOOKUP(A247,'Date Calcs'!A:AG,14,),TODAY())</f>
        <v>46115</v>
      </c>
      <c r="W247" s="4">
        <f ca="1">_xlfn.IFNA(+VLOOKUP(A247,'Date Calcs'!A:AG,16,),TODAY())</f>
        <v>46115</v>
      </c>
      <c r="X247" s="4">
        <f ca="1">_xlfn.IFNA(IF(C247=0,VLOOKUP(A247,'Date Calcs'!A:AG,8,),IF(C247=1,VLOOKUP(A247,'Date Calcs'!A:AG,10,),IF(C247=2,VLOOKUP(A247,'Date Calcs'!A:AG,12,),IF(C247=3,VLOOKUP(A247,'Date Calcs'!A:AG,14,),4)))),TODAY())</f>
        <v>46115</v>
      </c>
      <c r="Y247" s="4">
        <f t="shared" ca="1" si="25"/>
        <v>46115</v>
      </c>
      <c r="Z247" s="4">
        <f ca="1">_xlfn.IFNA(Y247+(VLOOKUP(A247,'Date Calcs'!A:W,22,0)*7),TODAY())</f>
        <v>46115</v>
      </c>
      <c r="AA247" s="4">
        <f>_xlfn.IFNA(VLOOKUP(A247,'RTR v2'!$A:$AW,46,0),"")</f>
        <v>0</v>
      </c>
    </row>
    <row r="248" spans="1:27" ht="23.25" hidden="1" x14ac:dyDescent="0.25">
      <c r="A248" s="12">
        <f>'Actual Dates'!A246</f>
        <v>0</v>
      </c>
      <c r="B248" s="13" t="str">
        <f>_xlfn.IFNA(VLOOKUP(A248,'Date Calcs'!A:B,2,),"")</f>
        <v/>
      </c>
      <c r="C248" s="14">
        <f>VLOOKUP(A248,'Actual Dates'!A:AE,18,)</f>
        <v>0</v>
      </c>
      <c r="D248" s="15">
        <f t="shared" ca="1" si="22"/>
        <v>46115</v>
      </c>
      <c r="E248" s="15">
        <f t="shared" ca="1" si="23"/>
        <v>46115</v>
      </c>
      <c r="F248" s="14">
        <f ca="1">IFERROR(ROUND(IF(A248="","",IF(E248=0,D248-Date!$B$3,D248-E248)),0),"")</f>
        <v>0</v>
      </c>
      <c r="G248" s="14" t="str">
        <f>_xlfn.IFNA(VLOOKUP(A248,'RTR v2'!A:AW,48,FALSE)," ")</f>
        <v/>
      </c>
      <c r="I248" s="16" t="str">
        <f t="shared" si="24"/>
        <v>N</v>
      </c>
      <c r="J248" s="16" t="str">
        <f t="shared" si="26"/>
        <v xml:space="preserve">  </v>
      </c>
      <c r="L248" s="17"/>
      <c r="M248" t="str">
        <f t="shared" si="27"/>
        <v xml:space="preserve"> </v>
      </c>
      <c r="N248">
        <f t="shared" si="28"/>
        <v>0</v>
      </c>
      <c r="O248">
        <f>IF(P248&lt;1,0,IF(VLOOKUP($A248,'Actual Dates'!$A:$G,5,0)="Y",1,0))</f>
        <v>0</v>
      </c>
      <c r="P248">
        <f>IF(Q248&lt;1,0,IF(VLOOKUP($A248,'Actual Dates'!$A:$G,4,0)="Y",1,0))</f>
        <v>0</v>
      </c>
      <c r="Q248">
        <f>IF(R248&lt;1,0,IF(VLOOKUP($A248,'Actual Dates'!$A:$G,3,0)="Y",1,0))</f>
        <v>0</v>
      </c>
      <c r="R248">
        <f>IF(VLOOKUP($A248,'Actual Dates'!$A:$G,2,0)="Y",1,0)</f>
        <v>0</v>
      </c>
      <c r="S248" s="4">
        <f ca="1">_xlfn.IFNA(+VLOOKUP(A248,'Date Calcs'!A:AG,8,),TODAY())</f>
        <v>46115</v>
      </c>
      <c r="T248" s="4">
        <f ca="1">_xlfn.IFNA(VLOOKUP(A248,'Date Calcs'!A:AG,10,),TODAY())</f>
        <v>46115</v>
      </c>
      <c r="U248" s="4">
        <f ca="1">_xlfn.IFNA(+VLOOKUP(A248,'Date Calcs'!A:AG,12,),TODAY())</f>
        <v>46115</v>
      </c>
      <c r="V248" s="4">
        <f ca="1">_xlfn.IFNA(+VLOOKUP(A248,'Date Calcs'!A:AG,14,),TODAY())</f>
        <v>46115</v>
      </c>
      <c r="W248" s="4">
        <f ca="1">_xlfn.IFNA(+VLOOKUP(A248,'Date Calcs'!A:AG,16,),TODAY())</f>
        <v>46115</v>
      </c>
      <c r="X248" s="4">
        <f ca="1">_xlfn.IFNA(IF(C248=0,VLOOKUP(A248,'Date Calcs'!A:AG,8,),IF(C248=1,VLOOKUP(A248,'Date Calcs'!A:AG,10,),IF(C248=2,VLOOKUP(A248,'Date Calcs'!A:AG,12,),IF(C248=3,VLOOKUP(A248,'Date Calcs'!A:AG,14,),4)))),TODAY())</f>
        <v>46115</v>
      </c>
      <c r="Y248" s="4">
        <f t="shared" ca="1" si="25"/>
        <v>46115</v>
      </c>
      <c r="Z248" s="4">
        <f ca="1">_xlfn.IFNA(Y248+(VLOOKUP(A248,'Date Calcs'!A:W,22,0)*7),TODAY())</f>
        <v>46115</v>
      </c>
      <c r="AA248" s="4">
        <f>_xlfn.IFNA(VLOOKUP(A248,'RTR v2'!$A:$AW,46,0),"")</f>
        <v>0</v>
      </c>
    </row>
    <row r="249" spans="1:27" ht="23.25" hidden="1" x14ac:dyDescent="0.25">
      <c r="A249" s="12">
        <f>'Actual Dates'!A247</f>
        <v>0</v>
      </c>
      <c r="B249" s="13" t="str">
        <f>_xlfn.IFNA(VLOOKUP(A249,'Date Calcs'!A:B,2,),"")</f>
        <v/>
      </c>
      <c r="C249" s="14">
        <f>VLOOKUP(A249,'Actual Dates'!A:AE,18,)</f>
        <v>0</v>
      </c>
      <c r="D249" s="15">
        <f t="shared" ca="1" si="22"/>
        <v>46115</v>
      </c>
      <c r="E249" s="15">
        <f t="shared" ca="1" si="23"/>
        <v>46115</v>
      </c>
      <c r="F249" s="14">
        <f ca="1">IFERROR(ROUND(IF(A249="","",IF(E249=0,D249-Date!$B$3,D249-E249)),0),"")</f>
        <v>0</v>
      </c>
      <c r="G249" s="14" t="str">
        <f>_xlfn.IFNA(VLOOKUP(A249,'RTR v2'!A:AW,48,FALSE)," ")</f>
        <v/>
      </c>
      <c r="I249" s="16" t="str">
        <f t="shared" si="24"/>
        <v>N</v>
      </c>
      <c r="J249" s="16" t="str">
        <f t="shared" si="26"/>
        <v xml:space="preserve">  </v>
      </c>
      <c r="L249" s="17"/>
      <c r="M249" t="str">
        <f t="shared" si="27"/>
        <v xml:space="preserve"> </v>
      </c>
      <c r="N249">
        <f t="shared" si="28"/>
        <v>0</v>
      </c>
      <c r="O249">
        <f>IF(P249&lt;1,0,IF(VLOOKUP($A249,'Actual Dates'!$A:$G,5,0)="Y",1,0))</f>
        <v>0</v>
      </c>
      <c r="P249">
        <f>IF(Q249&lt;1,0,IF(VLOOKUP($A249,'Actual Dates'!$A:$G,4,0)="Y",1,0))</f>
        <v>0</v>
      </c>
      <c r="Q249">
        <f>IF(R249&lt;1,0,IF(VLOOKUP($A249,'Actual Dates'!$A:$G,3,0)="Y",1,0))</f>
        <v>0</v>
      </c>
      <c r="R249">
        <f>IF(VLOOKUP($A249,'Actual Dates'!$A:$G,2,0)="Y",1,0)</f>
        <v>0</v>
      </c>
      <c r="S249" s="4">
        <f ca="1">_xlfn.IFNA(+VLOOKUP(A249,'Date Calcs'!A:AG,8,),TODAY())</f>
        <v>46115</v>
      </c>
      <c r="T249" s="4">
        <f ca="1">_xlfn.IFNA(VLOOKUP(A249,'Date Calcs'!A:AG,10,),TODAY())</f>
        <v>46115</v>
      </c>
      <c r="U249" s="4">
        <f ca="1">_xlfn.IFNA(+VLOOKUP(A249,'Date Calcs'!A:AG,12,),TODAY())</f>
        <v>46115</v>
      </c>
      <c r="V249" s="4">
        <f ca="1">_xlfn.IFNA(+VLOOKUP(A249,'Date Calcs'!A:AG,14,),TODAY())</f>
        <v>46115</v>
      </c>
      <c r="W249" s="4">
        <f ca="1">_xlfn.IFNA(+VLOOKUP(A249,'Date Calcs'!A:AG,16,),TODAY())</f>
        <v>46115</v>
      </c>
      <c r="X249" s="4">
        <f ca="1">_xlfn.IFNA(IF(C249=0,VLOOKUP(A249,'Date Calcs'!A:AG,8,),IF(C249=1,VLOOKUP(A249,'Date Calcs'!A:AG,10,),IF(C249=2,VLOOKUP(A249,'Date Calcs'!A:AG,12,),IF(C249=3,VLOOKUP(A249,'Date Calcs'!A:AG,14,),4)))),TODAY())</f>
        <v>46115</v>
      </c>
      <c r="Y249" s="4">
        <f t="shared" ca="1" si="25"/>
        <v>46115</v>
      </c>
      <c r="Z249" s="4">
        <f ca="1">_xlfn.IFNA(Y249+(VLOOKUP(A249,'Date Calcs'!A:W,22,0)*7),TODAY())</f>
        <v>46115</v>
      </c>
      <c r="AA249" s="4">
        <f>_xlfn.IFNA(VLOOKUP(A249,'RTR v2'!$A:$AW,46,0),"")</f>
        <v>0</v>
      </c>
    </row>
    <row r="250" spans="1:27" ht="23.25" hidden="1" x14ac:dyDescent="0.25">
      <c r="A250" s="12">
        <f>'Actual Dates'!A248</f>
        <v>0</v>
      </c>
      <c r="B250" s="13" t="str">
        <f>_xlfn.IFNA(VLOOKUP(A250,'Date Calcs'!A:B,2,),"")</f>
        <v/>
      </c>
      <c r="C250" s="14">
        <f>VLOOKUP(A250,'Actual Dates'!A:AE,18,)</f>
        <v>0</v>
      </c>
      <c r="D250" s="15">
        <f t="shared" ca="1" si="22"/>
        <v>46115</v>
      </c>
      <c r="E250" s="15">
        <f t="shared" ca="1" si="23"/>
        <v>46115</v>
      </c>
      <c r="F250" s="14">
        <f ca="1">IFERROR(ROUND(IF(A250="","",IF(E250=0,D250-Date!$B$3,D250-E250)),0),"")</f>
        <v>0</v>
      </c>
      <c r="G250" s="14" t="str">
        <f>_xlfn.IFNA(VLOOKUP(A250,'RTR v2'!A:AW,48,FALSE)," ")</f>
        <v/>
      </c>
      <c r="I250" s="16" t="str">
        <f t="shared" si="24"/>
        <v>N</v>
      </c>
      <c r="J250" s="16" t="str">
        <f t="shared" si="26"/>
        <v xml:space="preserve">  </v>
      </c>
      <c r="L250" s="17"/>
      <c r="M250" t="str">
        <f t="shared" si="27"/>
        <v xml:space="preserve"> </v>
      </c>
      <c r="N250">
        <f t="shared" si="28"/>
        <v>0</v>
      </c>
      <c r="O250">
        <f>IF(P250&lt;1,0,IF(VLOOKUP($A250,'Actual Dates'!$A:$G,5,0)="Y",1,0))</f>
        <v>0</v>
      </c>
      <c r="P250">
        <f>IF(Q250&lt;1,0,IF(VLOOKUP($A250,'Actual Dates'!$A:$G,4,0)="Y",1,0))</f>
        <v>0</v>
      </c>
      <c r="Q250">
        <f>IF(R250&lt;1,0,IF(VLOOKUP($A250,'Actual Dates'!$A:$G,3,0)="Y",1,0))</f>
        <v>0</v>
      </c>
      <c r="R250">
        <f>IF(VLOOKUP($A250,'Actual Dates'!$A:$G,2,0)="Y",1,0)</f>
        <v>0</v>
      </c>
      <c r="S250" s="4">
        <f ca="1">_xlfn.IFNA(+VLOOKUP(A250,'Date Calcs'!A:AG,8,),TODAY())</f>
        <v>46115</v>
      </c>
      <c r="T250" s="4">
        <f ca="1">_xlfn.IFNA(VLOOKUP(A250,'Date Calcs'!A:AG,10,),TODAY())</f>
        <v>46115</v>
      </c>
      <c r="U250" s="4">
        <f ca="1">_xlfn.IFNA(+VLOOKUP(A250,'Date Calcs'!A:AG,12,),TODAY())</f>
        <v>46115</v>
      </c>
      <c r="V250" s="4">
        <f ca="1">_xlfn.IFNA(+VLOOKUP(A250,'Date Calcs'!A:AG,14,),TODAY())</f>
        <v>46115</v>
      </c>
      <c r="W250" s="4">
        <f ca="1">_xlfn.IFNA(+VLOOKUP(A250,'Date Calcs'!A:AG,16,),TODAY())</f>
        <v>46115</v>
      </c>
      <c r="X250" s="4">
        <f ca="1">_xlfn.IFNA(IF(C250=0,VLOOKUP(A250,'Date Calcs'!A:AG,8,),IF(C250=1,VLOOKUP(A250,'Date Calcs'!A:AG,10,),IF(C250=2,VLOOKUP(A250,'Date Calcs'!A:AG,12,),IF(C250=3,VLOOKUP(A250,'Date Calcs'!A:AG,14,),4)))),TODAY())</f>
        <v>46115</v>
      </c>
      <c r="Y250" s="4">
        <f t="shared" ca="1" si="25"/>
        <v>46115</v>
      </c>
      <c r="Z250" s="4">
        <f ca="1">_xlfn.IFNA(Y250+(VLOOKUP(A250,'Date Calcs'!A:W,22,0)*7),TODAY())</f>
        <v>46115</v>
      </c>
      <c r="AA250" s="4">
        <f>_xlfn.IFNA(VLOOKUP(A250,'RTR v2'!$A:$AW,46,0),"")</f>
        <v>0</v>
      </c>
    </row>
    <row r="251" spans="1:27" ht="23.25" hidden="1" x14ac:dyDescent="0.25">
      <c r="A251" s="12">
        <f>'Actual Dates'!A249</f>
        <v>0</v>
      </c>
      <c r="B251" s="13" t="str">
        <f>_xlfn.IFNA(VLOOKUP(A251,'Date Calcs'!A:B,2,),"")</f>
        <v/>
      </c>
      <c r="C251" s="14">
        <f>VLOOKUP(A251,'Actual Dates'!A:AE,18,)</f>
        <v>0</v>
      </c>
      <c r="D251" s="15">
        <f t="shared" ca="1" si="22"/>
        <v>46115</v>
      </c>
      <c r="E251" s="15">
        <f t="shared" ca="1" si="23"/>
        <v>46115</v>
      </c>
      <c r="F251" s="14">
        <f ca="1">IFERROR(ROUND(IF(A251="","",IF(E251=0,D251-Date!$B$3,D251-E251)),0),"")</f>
        <v>0</v>
      </c>
      <c r="G251" s="14" t="str">
        <f>_xlfn.IFNA(VLOOKUP(A251,'RTR v2'!A:AW,48,FALSE)," ")</f>
        <v/>
      </c>
      <c r="I251" s="16" t="str">
        <f t="shared" si="24"/>
        <v>N</v>
      </c>
      <c r="J251" s="16" t="str">
        <f t="shared" si="26"/>
        <v xml:space="preserve">  </v>
      </c>
      <c r="L251" s="17"/>
      <c r="M251" t="str">
        <f t="shared" si="27"/>
        <v xml:space="preserve"> </v>
      </c>
      <c r="N251">
        <f t="shared" si="28"/>
        <v>0</v>
      </c>
      <c r="O251">
        <f>IF(P251&lt;1,0,IF(VLOOKUP($A251,'Actual Dates'!$A:$G,5,0)="Y",1,0))</f>
        <v>0</v>
      </c>
      <c r="P251">
        <f>IF(Q251&lt;1,0,IF(VLOOKUP($A251,'Actual Dates'!$A:$G,4,0)="Y",1,0))</f>
        <v>0</v>
      </c>
      <c r="Q251">
        <f>IF(R251&lt;1,0,IF(VLOOKUP($A251,'Actual Dates'!$A:$G,3,0)="Y",1,0))</f>
        <v>0</v>
      </c>
      <c r="R251">
        <f>IF(VLOOKUP($A251,'Actual Dates'!$A:$G,2,0)="Y",1,0)</f>
        <v>0</v>
      </c>
      <c r="S251" s="4">
        <f ca="1">_xlfn.IFNA(+VLOOKUP(A251,'Date Calcs'!A:AG,8,),TODAY())</f>
        <v>46115</v>
      </c>
      <c r="T251" s="4">
        <f ca="1">_xlfn.IFNA(VLOOKUP(A251,'Date Calcs'!A:AG,10,),TODAY())</f>
        <v>46115</v>
      </c>
      <c r="U251" s="4">
        <f ca="1">_xlfn.IFNA(+VLOOKUP(A251,'Date Calcs'!A:AG,12,),TODAY())</f>
        <v>46115</v>
      </c>
      <c r="V251" s="4">
        <f ca="1">_xlfn.IFNA(+VLOOKUP(A251,'Date Calcs'!A:AG,14,),TODAY())</f>
        <v>46115</v>
      </c>
      <c r="W251" s="4">
        <f ca="1">_xlfn.IFNA(+VLOOKUP(A251,'Date Calcs'!A:AG,16,),TODAY())</f>
        <v>46115</v>
      </c>
      <c r="X251" s="4">
        <f ca="1">_xlfn.IFNA(IF(C251=0,VLOOKUP(A251,'Date Calcs'!A:AG,8,),IF(C251=1,VLOOKUP(A251,'Date Calcs'!A:AG,10,),IF(C251=2,VLOOKUP(A251,'Date Calcs'!A:AG,12,),IF(C251=3,VLOOKUP(A251,'Date Calcs'!A:AG,14,),4)))),TODAY())</f>
        <v>46115</v>
      </c>
      <c r="Y251" s="4">
        <f t="shared" ca="1" si="25"/>
        <v>46115</v>
      </c>
      <c r="Z251" s="4">
        <f ca="1">_xlfn.IFNA(Y251+(VLOOKUP(A251,'Date Calcs'!A:W,22,0)*7),TODAY())</f>
        <v>46115</v>
      </c>
      <c r="AA251" s="4">
        <f>_xlfn.IFNA(VLOOKUP(A251,'RTR v2'!$A:$AW,46,0),"")</f>
        <v>0</v>
      </c>
    </row>
    <row r="252" spans="1:27" ht="23.25" hidden="1" x14ac:dyDescent="0.25">
      <c r="A252" s="12">
        <f>'Actual Dates'!A250</f>
        <v>0</v>
      </c>
      <c r="B252" s="13" t="str">
        <f>_xlfn.IFNA(VLOOKUP(A252,'Date Calcs'!A:B,2,),"")</f>
        <v/>
      </c>
      <c r="C252" s="14">
        <f>VLOOKUP(A252,'Actual Dates'!A:AE,18,)</f>
        <v>0</v>
      </c>
      <c r="D252" s="15">
        <f t="shared" ca="1" si="22"/>
        <v>46115</v>
      </c>
      <c r="E252" s="15">
        <f t="shared" ca="1" si="23"/>
        <v>46115</v>
      </c>
      <c r="F252" s="14">
        <f ca="1">IFERROR(ROUND(IF(A252="","",IF(E252=0,D252-Date!$B$3,D252-E252)),0),"")</f>
        <v>0</v>
      </c>
      <c r="G252" s="14" t="str">
        <f>_xlfn.IFNA(VLOOKUP(A252,'RTR v2'!A:AW,48,FALSE)," ")</f>
        <v/>
      </c>
      <c r="I252" s="16" t="str">
        <f t="shared" si="24"/>
        <v>N</v>
      </c>
      <c r="J252" s="16" t="str">
        <f t="shared" si="26"/>
        <v xml:space="preserve">  </v>
      </c>
      <c r="L252" s="17"/>
      <c r="M252" t="str">
        <f t="shared" si="27"/>
        <v xml:space="preserve"> </v>
      </c>
      <c r="N252">
        <f t="shared" si="28"/>
        <v>0</v>
      </c>
      <c r="O252">
        <f>IF(P252&lt;1,0,IF(VLOOKUP($A252,'Actual Dates'!$A:$G,5,0)="Y",1,0))</f>
        <v>0</v>
      </c>
      <c r="P252">
        <f>IF(Q252&lt;1,0,IF(VLOOKUP($A252,'Actual Dates'!$A:$G,4,0)="Y",1,0))</f>
        <v>0</v>
      </c>
      <c r="Q252">
        <f>IF(R252&lt;1,0,IF(VLOOKUP($A252,'Actual Dates'!$A:$G,3,0)="Y",1,0))</f>
        <v>0</v>
      </c>
      <c r="R252">
        <f>IF(VLOOKUP($A252,'Actual Dates'!$A:$G,2,0)="Y",1,0)</f>
        <v>0</v>
      </c>
      <c r="S252" s="4">
        <f ca="1">_xlfn.IFNA(+VLOOKUP(A252,'Date Calcs'!A:AG,8,),TODAY())</f>
        <v>46115</v>
      </c>
      <c r="T252" s="4">
        <f ca="1">_xlfn.IFNA(VLOOKUP(A252,'Date Calcs'!A:AG,10,),TODAY())</f>
        <v>46115</v>
      </c>
      <c r="U252" s="4">
        <f ca="1">_xlfn.IFNA(+VLOOKUP(A252,'Date Calcs'!A:AG,12,),TODAY())</f>
        <v>46115</v>
      </c>
      <c r="V252" s="4">
        <f ca="1">_xlfn.IFNA(+VLOOKUP(A252,'Date Calcs'!A:AG,14,),TODAY())</f>
        <v>46115</v>
      </c>
      <c r="W252" s="4">
        <f ca="1">_xlfn.IFNA(+VLOOKUP(A252,'Date Calcs'!A:AG,16,),TODAY())</f>
        <v>46115</v>
      </c>
      <c r="X252" s="4">
        <f ca="1">_xlfn.IFNA(IF(C252=0,VLOOKUP(A252,'Date Calcs'!A:AG,8,),IF(C252=1,VLOOKUP(A252,'Date Calcs'!A:AG,10,),IF(C252=2,VLOOKUP(A252,'Date Calcs'!A:AG,12,),IF(C252=3,VLOOKUP(A252,'Date Calcs'!A:AG,14,),4)))),TODAY())</f>
        <v>46115</v>
      </c>
      <c r="Y252" s="4">
        <f t="shared" ca="1" si="25"/>
        <v>46115</v>
      </c>
      <c r="Z252" s="4">
        <f ca="1">_xlfn.IFNA(Y252+(VLOOKUP(A252,'Date Calcs'!A:W,22,0)*7),TODAY())</f>
        <v>46115</v>
      </c>
      <c r="AA252" s="4">
        <f>_xlfn.IFNA(VLOOKUP(A252,'RTR v2'!$A:$AW,46,0),"")</f>
        <v>0</v>
      </c>
    </row>
    <row r="253" spans="1:27" ht="23.25" hidden="1" x14ac:dyDescent="0.25">
      <c r="A253" s="12">
        <f>'Actual Dates'!A251</f>
        <v>0</v>
      </c>
      <c r="B253" s="13" t="str">
        <f>_xlfn.IFNA(VLOOKUP(A253,'Date Calcs'!A:B,2,),"")</f>
        <v/>
      </c>
      <c r="C253" s="14">
        <f>VLOOKUP(A253,'Actual Dates'!A:AE,18,)</f>
        <v>0</v>
      </c>
      <c r="D253" s="15">
        <f t="shared" ca="1" si="22"/>
        <v>46115</v>
      </c>
      <c r="E253" s="15">
        <f t="shared" ca="1" si="23"/>
        <v>46115</v>
      </c>
      <c r="F253" s="14">
        <f ca="1">IFERROR(ROUND(IF(A253="","",IF(E253=0,D253-Date!$B$3,D253-E253)),0),"")</f>
        <v>0</v>
      </c>
      <c r="G253" s="14" t="str">
        <f>_xlfn.IFNA(VLOOKUP(A253,'RTR v2'!A:AW,48,FALSE)," ")</f>
        <v/>
      </c>
      <c r="I253" s="16" t="str">
        <f t="shared" si="24"/>
        <v>N</v>
      </c>
      <c r="J253" s="16" t="str">
        <f t="shared" si="26"/>
        <v xml:space="preserve">  </v>
      </c>
      <c r="L253" s="17"/>
      <c r="M253" t="str">
        <f t="shared" si="27"/>
        <v xml:space="preserve"> </v>
      </c>
      <c r="N253">
        <f t="shared" si="28"/>
        <v>0</v>
      </c>
      <c r="O253">
        <f>IF(P253&lt;1,0,IF(VLOOKUP($A253,'Actual Dates'!$A:$G,5,0)="Y",1,0))</f>
        <v>0</v>
      </c>
      <c r="P253">
        <f>IF(Q253&lt;1,0,IF(VLOOKUP($A253,'Actual Dates'!$A:$G,4,0)="Y",1,0))</f>
        <v>0</v>
      </c>
      <c r="Q253">
        <f>IF(R253&lt;1,0,IF(VLOOKUP($A253,'Actual Dates'!$A:$G,3,0)="Y",1,0))</f>
        <v>0</v>
      </c>
      <c r="R253">
        <f>IF(VLOOKUP($A253,'Actual Dates'!$A:$G,2,0)="Y",1,0)</f>
        <v>0</v>
      </c>
      <c r="S253" s="4">
        <f ca="1">_xlfn.IFNA(+VLOOKUP(A253,'Date Calcs'!A:AG,8,),TODAY())</f>
        <v>46115</v>
      </c>
      <c r="T253" s="4">
        <f ca="1">_xlfn.IFNA(VLOOKUP(A253,'Date Calcs'!A:AG,10,),TODAY())</f>
        <v>46115</v>
      </c>
      <c r="U253" s="4">
        <f ca="1">_xlfn.IFNA(+VLOOKUP(A253,'Date Calcs'!A:AG,12,),TODAY())</f>
        <v>46115</v>
      </c>
      <c r="V253" s="4">
        <f ca="1">_xlfn.IFNA(+VLOOKUP(A253,'Date Calcs'!A:AG,14,),TODAY())</f>
        <v>46115</v>
      </c>
      <c r="W253" s="4">
        <f ca="1">_xlfn.IFNA(+VLOOKUP(A253,'Date Calcs'!A:AG,16,),TODAY())</f>
        <v>46115</v>
      </c>
      <c r="X253" s="4">
        <f ca="1">_xlfn.IFNA(IF(C253=0,VLOOKUP(A253,'Date Calcs'!A:AG,8,),IF(C253=1,VLOOKUP(A253,'Date Calcs'!A:AG,10,),IF(C253=2,VLOOKUP(A253,'Date Calcs'!A:AG,12,),IF(C253=3,VLOOKUP(A253,'Date Calcs'!A:AG,14,),4)))),TODAY())</f>
        <v>46115</v>
      </c>
      <c r="Y253" s="4">
        <f t="shared" ca="1" si="25"/>
        <v>46115</v>
      </c>
      <c r="Z253" s="4">
        <f ca="1">_xlfn.IFNA(Y253+(VLOOKUP(A253,'Date Calcs'!A:W,22,0)*7),TODAY())</f>
        <v>46115</v>
      </c>
      <c r="AA253" s="4">
        <f>_xlfn.IFNA(VLOOKUP(A253,'RTR v2'!$A:$AW,46,0),"")</f>
        <v>0</v>
      </c>
    </row>
    <row r="254" spans="1:27" ht="23.25" hidden="1" x14ac:dyDescent="0.25">
      <c r="A254" s="12">
        <f>'Actual Dates'!A252</f>
        <v>0</v>
      </c>
      <c r="B254" s="13" t="str">
        <f>_xlfn.IFNA(VLOOKUP(A254,'Date Calcs'!A:B,2,),"")</f>
        <v/>
      </c>
      <c r="C254" s="14">
        <f>VLOOKUP(A254,'Actual Dates'!A:AE,18,)</f>
        <v>0</v>
      </c>
      <c r="D254" s="15">
        <f t="shared" ca="1" si="22"/>
        <v>46115</v>
      </c>
      <c r="E254" s="15">
        <f t="shared" ca="1" si="23"/>
        <v>46115</v>
      </c>
      <c r="F254" s="14">
        <f ca="1">IFERROR(ROUND(IF(A254="","",IF(E254=0,D254-Date!$B$3,D254-E254)),0),"")</f>
        <v>0</v>
      </c>
      <c r="G254" s="14" t="str">
        <f>_xlfn.IFNA(VLOOKUP(A254,'RTR v2'!A:AW,48,FALSE)," ")</f>
        <v/>
      </c>
      <c r="I254" s="16" t="str">
        <f t="shared" si="24"/>
        <v>N</v>
      </c>
      <c r="J254" s="16" t="str">
        <f t="shared" si="26"/>
        <v xml:space="preserve">  </v>
      </c>
      <c r="L254" s="17"/>
      <c r="M254" t="str">
        <f t="shared" si="27"/>
        <v xml:space="preserve"> </v>
      </c>
      <c r="N254">
        <f t="shared" si="28"/>
        <v>0</v>
      </c>
      <c r="O254">
        <f>IF(P254&lt;1,0,IF(VLOOKUP($A254,'Actual Dates'!$A:$G,5,0)="Y",1,0))</f>
        <v>0</v>
      </c>
      <c r="P254">
        <f>IF(Q254&lt;1,0,IF(VLOOKUP($A254,'Actual Dates'!$A:$G,4,0)="Y",1,0))</f>
        <v>0</v>
      </c>
      <c r="Q254">
        <f>IF(R254&lt;1,0,IF(VLOOKUP($A254,'Actual Dates'!$A:$G,3,0)="Y",1,0))</f>
        <v>0</v>
      </c>
      <c r="R254">
        <f>IF(VLOOKUP($A254,'Actual Dates'!$A:$G,2,0)="Y",1,0)</f>
        <v>0</v>
      </c>
      <c r="S254" s="4">
        <f ca="1">_xlfn.IFNA(+VLOOKUP(A254,'Date Calcs'!A:AG,8,),TODAY())</f>
        <v>46115</v>
      </c>
      <c r="T254" s="4">
        <f ca="1">_xlfn.IFNA(VLOOKUP(A254,'Date Calcs'!A:AG,10,),TODAY())</f>
        <v>46115</v>
      </c>
      <c r="U254" s="4">
        <f ca="1">_xlfn.IFNA(+VLOOKUP(A254,'Date Calcs'!A:AG,12,),TODAY())</f>
        <v>46115</v>
      </c>
      <c r="V254" s="4">
        <f ca="1">_xlfn.IFNA(+VLOOKUP(A254,'Date Calcs'!A:AG,14,),TODAY())</f>
        <v>46115</v>
      </c>
      <c r="W254" s="4">
        <f ca="1">_xlfn.IFNA(+VLOOKUP(A254,'Date Calcs'!A:AG,16,),TODAY())</f>
        <v>46115</v>
      </c>
      <c r="X254" s="4">
        <f ca="1">_xlfn.IFNA(IF(C254=0,VLOOKUP(A254,'Date Calcs'!A:AG,8,),IF(C254=1,VLOOKUP(A254,'Date Calcs'!A:AG,10,),IF(C254=2,VLOOKUP(A254,'Date Calcs'!A:AG,12,),IF(C254=3,VLOOKUP(A254,'Date Calcs'!A:AG,14,),4)))),TODAY())</f>
        <v>46115</v>
      </c>
      <c r="Y254" s="4">
        <f t="shared" ca="1" si="25"/>
        <v>46115</v>
      </c>
      <c r="Z254" s="4">
        <f ca="1">_xlfn.IFNA(Y254+(VLOOKUP(A254,'Date Calcs'!A:W,22,0)*7),TODAY())</f>
        <v>46115</v>
      </c>
      <c r="AA254" s="4">
        <f>_xlfn.IFNA(VLOOKUP(A254,'RTR v2'!$A:$AW,46,0),"")</f>
        <v>0</v>
      </c>
    </row>
    <row r="255" spans="1:27" ht="23.25" hidden="1" x14ac:dyDescent="0.25">
      <c r="A255" s="12">
        <f>'Actual Dates'!A253</f>
        <v>0</v>
      </c>
      <c r="B255" s="13" t="str">
        <f>_xlfn.IFNA(VLOOKUP(A255,'Date Calcs'!A:B,2,),"")</f>
        <v/>
      </c>
      <c r="C255" s="14">
        <f>VLOOKUP(A255,'Actual Dates'!A:AE,18,)</f>
        <v>0</v>
      </c>
      <c r="D255" s="15">
        <f t="shared" ca="1" si="22"/>
        <v>46115</v>
      </c>
      <c r="E255" s="15">
        <f t="shared" ca="1" si="23"/>
        <v>46115</v>
      </c>
      <c r="F255" s="14">
        <f ca="1">IFERROR(ROUND(IF(A255="","",IF(E255=0,D255-Date!$B$3,D255-E255)),0),"")</f>
        <v>0</v>
      </c>
      <c r="G255" s="14" t="str">
        <f>_xlfn.IFNA(VLOOKUP(A255,'RTR v2'!A:AW,48,FALSE)," ")</f>
        <v/>
      </c>
      <c r="I255" s="16" t="str">
        <f t="shared" si="24"/>
        <v>N</v>
      </c>
      <c r="J255" s="16" t="str">
        <f t="shared" si="26"/>
        <v xml:space="preserve">  </v>
      </c>
      <c r="L255" s="17"/>
      <c r="M255" t="str">
        <f t="shared" si="27"/>
        <v xml:space="preserve"> </v>
      </c>
      <c r="N255">
        <f t="shared" si="28"/>
        <v>0</v>
      </c>
      <c r="O255">
        <f>IF(P255&lt;1,0,IF(VLOOKUP($A255,'Actual Dates'!$A:$G,5,0)="Y",1,0))</f>
        <v>0</v>
      </c>
      <c r="P255">
        <f>IF(Q255&lt;1,0,IF(VLOOKUP($A255,'Actual Dates'!$A:$G,4,0)="Y",1,0))</f>
        <v>0</v>
      </c>
      <c r="Q255">
        <f>IF(R255&lt;1,0,IF(VLOOKUP($A255,'Actual Dates'!$A:$G,3,0)="Y",1,0))</f>
        <v>0</v>
      </c>
      <c r="R255">
        <f>IF(VLOOKUP($A255,'Actual Dates'!$A:$G,2,0)="Y",1,0)</f>
        <v>0</v>
      </c>
      <c r="S255" s="4">
        <f ca="1">_xlfn.IFNA(+VLOOKUP(A255,'Date Calcs'!A:AG,8,),TODAY())</f>
        <v>46115</v>
      </c>
      <c r="T255" s="4">
        <f ca="1">_xlfn.IFNA(VLOOKUP(A255,'Date Calcs'!A:AG,10,),TODAY())</f>
        <v>46115</v>
      </c>
      <c r="U255" s="4">
        <f ca="1">_xlfn.IFNA(+VLOOKUP(A255,'Date Calcs'!A:AG,12,),TODAY())</f>
        <v>46115</v>
      </c>
      <c r="V255" s="4">
        <f ca="1">_xlfn.IFNA(+VLOOKUP(A255,'Date Calcs'!A:AG,14,),TODAY())</f>
        <v>46115</v>
      </c>
      <c r="W255" s="4">
        <f ca="1">_xlfn.IFNA(+VLOOKUP(A255,'Date Calcs'!A:AG,16,),TODAY())</f>
        <v>46115</v>
      </c>
      <c r="X255" s="4">
        <f ca="1">_xlfn.IFNA(IF(C255=0,VLOOKUP(A255,'Date Calcs'!A:AG,8,),IF(C255=1,VLOOKUP(A255,'Date Calcs'!A:AG,10,),IF(C255=2,VLOOKUP(A255,'Date Calcs'!A:AG,12,),IF(C255=3,VLOOKUP(A255,'Date Calcs'!A:AG,14,),4)))),TODAY())</f>
        <v>46115</v>
      </c>
      <c r="Y255" s="4">
        <f t="shared" ca="1" si="25"/>
        <v>46115</v>
      </c>
      <c r="Z255" s="4">
        <f ca="1">_xlfn.IFNA(Y255+(VLOOKUP(A255,'Date Calcs'!A:W,22,0)*7),TODAY())</f>
        <v>46115</v>
      </c>
      <c r="AA255" s="4">
        <f>_xlfn.IFNA(VLOOKUP(A255,'RTR v2'!$A:$AW,46,0),"")</f>
        <v>0</v>
      </c>
    </row>
    <row r="256" spans="1:27" ht="23.25" hidden="1" x14ac:dyDescent="0.25">
      <c r="A256" s="12">
        <f>'Actual Dates'!A254</f>
        <v>0</v>
      </c>
      <c r="B256" s="13" t="str">
        <f>_xlfn.IFNA(VLOOKUP(A256,'Date Calcs'!A:B,2,),"")</f>
        <v/>
      </c>
      <c r="C256" s="14">
        <f>VLOOKUP(A256,'Actual Dates'!A:AE,18,)</f>
        <v>0</v>
      </c>
      <c r="D256" s="15">
        <f t="shared" ca="1" si="22"/>
        <v>46115</v>
      </c>
      <c r="E256" s="15">
        <f t="shared" ca="1" si="23"/>
        <v>46115</v>
      </c>
      <c r="F256" s="14">
        <f ca="1">IFERROR(ROUND(IF(A256="","",IF(E256=0,D256-Date!$B$3,D256-E256)),0),"")</f>
        <v>0</v>
      </c>
      <c r="G256" s="14" t="str">
        <f>_xlfn.IFNA(VLOOKUP(A256,'RTR v2'!A:AW,48,FALSE)," ")</f>
        <v/>
      </c>
      <c r="I256" s="16" t="str">
        <f t="shared" si="24"/>
        <v>N</v>
      </c>
      <c r="J256" s="16" t="str">
        <f t="shared" si="26"/>
        <v xml:space="preserve">  </v>
      </c>
      <c r="L256" s="17"/>
      <c r="M256" t="str">
        <f t="shared" si="27"/>
        <v xml:space="preserve"> </v>
      </c>
      <c r="N256">
        <f t="shared" si="28"/>
        <v>0</v>
      </c>
      <c r="O256">
        <f>IF(P256&lt;1,0,IF(VLOOKUP($A256,'Actual Dates'!$A:$G,5,0)="Y",1,0))</f>
        <v>0</v>
      </c>
      <c r="P256">
        <f>IF(Q256&lt;1,0,IF(VLOOKUP($A256,'Actual Dates'!$A:$G,4,0)="Y",1,0))</f>
        <v>0</v>
      </c>
      <c r="Q256">
        <f>IF(R256&lt;1,0,IF(VLOOKUP($A256,'Actual Dates'!$A:$G,3,0)="Y",1,0))</f>
        <v>0</v>
      </c>
      <c r="R256">
        <f>IF(VLOOKUP($A256,'Actual Dates'!$A:$G,2,0)="Y",1,0)</f>
        <v>0</v>
      </c>
      <c r="S256" s="4">
        <f ca="1">_xlfn.IFNA(+VLOOKUP(A256,'Date Calcs'!A:AG,8,),TODAY())</f>
        <v>46115</v>
      </c>
      <c r="T256" s="4">
        <f ca="1">_xlfn.IFNA(VLOOKUP(A256,'Date Calcs'!A:AG,10,),TODAY())</f>
        <v>46115</v>
      </c>
      <c r="U256" s="4">
        <f ca="1">_xlfn.IFNA(+VLOOKUP(A256,'Date Calcs'!A:AG,12,),TODAY())</f>
        <v>46115</v>
      </c>
      <c r="V256" s="4">
        <f ca="1">_xlfn.IFNA(+VLOOKUP(A256,'Date Calcs'!A:AG,14,),TODAY())</f>
        <v>46115</v>
      </c>
      <c r="W256" s="4">
        <f ca="1">_xlfn.IFNA(+VLOOKUP(A256,'Date Calcs'!A:AG,16,),TODAY())</f>
        <v>46115</v>
      </c>
      <c r="X256" s="4">
        <f ca="1">_xlfn.IFNA(IF(C256=0,VLOOKUP(A256,'Date Calcs'!A:AG,8,),IF(C256=1,VLOOKUP(A256,'Date Calcs'!A:AG,10,),IF(C256=2,VLOOKUP(A256,'Date Calcs'!A:AG,12,),IF(C256=3,VLOOKUP(A256,'Date Calcs'!A:AG,14,),4)))),TODAY())</f>
        <v>46115</v>
      </c>
      <c r="Y256" s="4">
        <f t="shared" ca="1" si="25"/>
        <v>46115</v>
      </c>
      <c r="Z256" s="4">
        <f ca="1">_xlfn.IFNA(Y256+(VLOOKUP(A256,'Date Calcs'!A:W,22,0)*7),TODAY())</f>
        <v>46115</v>
      </c>
      <c r="AA256" s="4">
        <f>_xlfn.IFNA(VLOOKUP(A256,'RTR v2'!$A:$AW,46,0),"")</f>
        <v>0</v>
      </c>
    </row>
    <row r="257" spans="1:27" ht="23.25" hidden="1" x14ac:dyDescent="0.25">
      <c r="A257" s="12">
        <f>'Actual Dates'!A255</f>
        <v>0</v>
      </c>
      <c r="B257" s="13" t="str">
        <f>_xlfn.IFNA(VLOOKUP(A257,'Date Calcs'!A:B,2,),"")</f>
        <v/>
      </c>
      <c r="C257" s="14">
        <f>VLOOKUP(A257,'Actual Dates'!A:AE,18,)</f>
        <v>0</v>
      </c>
      <c r="D257" s="15">
        <f t="shared" ca="1" si="22"/>
        <v>46115</v>
      </c>
      <c r="E257" s="15">
        <f t="shared" ca="1" si="23"/>
        <v>46115</v>
      </c>
      <c r="F257" s="14">
        <f ca="1">IFERROR(ROUND(IF(A257="","",IF(E257=0,D257-Date!$B$3,D257-E257)),0),"")</f>
        <v>0</v>
      </c>
      <c r="G257" s="14" t="str">
        <f>_xlfn.IFNA(VLOOKUP(A257,'RTR v2'!A:AW,48,FALSE)," ")</f>
        <v/>
      </c>
      <c r="I257" s="16" t="str">
        <f t="shared" si="24"/>
        <v>N</v>
      </c>
      <c r="J257" s="16" t="str">
        <f t="shared" si="26"/>
        <v xml:space="preserve">  </v>
      </c>
      <c r="L257" s="17"/>
      <c r="M257" t="str">
        <f t="shared" si="27"/>
        <v xml:space="preserve"> </v>
      </c>
      <c r="N257">
        <f t="shared" si="28"/>
        <v>0</v>
      </c>
      <c r="O257">
        <f>IF(P257&lt;1,0,IF(VLOOKUP($A257,'Actual Dates'!$A:$G,5,0)="Y",1,0))</f>
        <v>0</v>
      </c>
      <c r="P257">
        <f>IF(Q257&lt;1,0,IF(VLOOKUP($A257,'Actual Dates'!$A:$G,4,0)="Y",1,0))</f>
        <v>0</v>
      </c>
      <c r="Q257">
        <f>IF(R257&lt;1,0,IF(VLOOKUP($A257,'Actual Dates'!$A:$G,3,0)="Y",1,0))</f>
        <v>0</v>
      </c>
      <c r="R257">
        <f>IF(VLOOKUP($A257,'Actual Dates'!$A:$G,2,0)="Y",1,0)</f>
        <v>0</v>
      </c>
      <c r="S257" s="4">
        <f ca="1">_xlfn.IFNA(+VLOOKUP(A257,'Date Calcs'!A:AG,8,),TODAY())</f>
        <v>46115</v>
      </c>
      <c r="T257" s="4">
        <f ca="1">_xlfn.IFNA(VLOOKUP(A257,'Date Calcs'!A:AG,10,),TODAY())</f>
        <v>46115</v>
      </c>
      <c r="U257" s="4">
        <f ca="1">_xlfn.IFNA(+VLOOKUP(A257,'Date Calcs'!A:AG,12,),TODAY())</f>
        <v>46115</v>
      </c>
      <c r="V257" s="4">
        <f ca="1">_xlfn.IFNA(+VLOOKUP(A257,'Date Calcs'!A:AG,14,),TODAY())</f>
        <v>46115</v>
      </c>
      <c r="W257" s="4">
        <f ca="1">_xlfn.IFNA(+VLOOKUP(A257,'Date Calcs'!A:AG,16,),TODAY())</f>
        <v>46115</v>
      </c>
      <c r="X257" s="4">
        <f ca="1">_xlfn.IFNA(IF(C257=0,VLOOKUP(A257,'Date Calcs'!A:AG,8,),IF(C257=1,VLOOKUP(A257,'Date Calcs'!A:AG,10,),IF(C257=2,VLOOKUP(A257,'Date Calcs'!A:AG,12,),IF(C257=3,VLOOKUP(A257,'Date Calcs'!A:AG,14,),4)))),TODAY())</f>
        <v>46115</v>
      </c>
      <c r="Y257" s="4">
        <f t="shared" ca="1" si="25"/>
        <v>46115</v>
      </c>
      <c r="Z257" s="4">
        <f ca="1">_xlfn.IFNA(Y257+(VLOOKUP(A257,'Date Calcs'!A:W,22,0)*7),TODAY())</f>
        <v>46115</v>
      </c>
      <c r="AA257" s="4">
        <f>_xlfn.IFNA(VLOOKUP(A257,'RTR v2'!$A:$AW,46,0),"")</f>
        <v>0</v>
      </c>
    </row>
    <row r="258" spans="1:27" ht="23.25" hidden="1" x14ac:dyDescent="0.25">
      <c r="A258" s="12">
        <f>'Actual Dates'!A256</f>
        <v>0</v>
      </c>
      <c r="B258" s="13" t="str">
        <f>_xlfn.IFNA(VLOOKUP(A258,'Date Calcs'!A:B,2,),"")</f>
        <v/>
      </c>
      <c r="C258" s="14">
        <f>VLOOKUP(A258,'Actual Dates'!A:AE,18,)</f>
        <v>0</v>
      </c>
      <c r="D258" s="15">
        <f t="shared" ca="1" si="22"/>
        <v>46115</v>
      </c>
      <c r="E258" s="15">
        <f t="shared" ca="1" si="23"/>
        <v>46115</v>
      </c>
      <c r="F258" s="14">
        <f ca="1">IFERROR(ROUND(IF(A258="","",IF(E258=0,D258-Date!$B$3,D258-E258)),0),"")</f>
        <v>0</v>
      </c>
      <c r="G258" s="14" t="str">
        <f>_xlfn.IFNA(VLOOKUP(A258,'RTR v2'!A:AW,48,FALSE)," ")</f>
        <v/>
      </c>
      <c r="I258" s="16" t="str">
        <f t="shared" si="24"/>
        <v>N</v>
      </c>
      <c r="J258" s="16" t="str">
        <f t="shared" si="26"/>
        <v xml:space="preserve">  </v>
      </c>
      <c r="L258" s="17"/>
      <c r="M258" t="str">
        <f t="shared" si="27"/>
        <v xml:space="preserve"> </v>
      </c>
      <c r="N258">
        <f t="shared" si="28"/>
        <v>0</v>
      </c>
      <c r="O258">
        <f>IF(P258&lt;1,0,IF(VLOOKUP($A258,'Actual Dates'!$A:$G,5,0)="Y",1,0))</f>
        <v>0</v>
      </c>
      <c r="P258">
        <f>IF(Q258&lt;1,0,IF(VLOOKUP($A258,'Actual Dates'!$A:$G,4,0)="Y",1,0))</f>
        <v>0</v>
      </c>
      <c r="Q258">
        <f>IF(R258&lt;1,0,IF(VLOOKUP($A258,'Actual Dates'!$A:$G,3,0)="Y",1,0))</f>
        <v>0</v>
      </c>
      <c r="R258">
        <f>IF(VLOOKUP($A258,'Actual Dates'!$A:$G,2,0)="Y",1,0)</f>
        <v>0</v>
      </c>
      <c r="S258" s="4">
        <f ca="1">_xlfn.IFNA(+VLOOKUP(A258,'Date Calcs'!A:AG,8,),TODAY())</f>
        <v>46115</v>
      </c>
      <c r="T258" s="4">
        <f ca="1">_xlfn.IFNA(VLOOKUP(A258,'Date Calcs'!A:AG,10,),TODAY())</f>
        <v>46115</v>
      </c>
      <c r="U258" s="4">
        <f ca="1">_xlfn.IFNA(+VLOOKUP(A258,'Date Calcs'!A:AG,12,),TODAY())</f>
        <v>46115</v>
      </c>
      <c r="V258" s="4">
        <f ca="1">_xlfn.IFNA(+VLOOKUP(A258,'Date Calcs'!A:AG,14,),TODAY())</f>
        <v>46115</v>
      </c>
      <c r="W258" s="4">
        <f ca="1">_xlfn.IFNA(+VLOOKUP(A258,'Date Calcs'!A:AG,16,),TODAY())</f>
        <v>46115</v>
      </c>
      <c r="X258" s="4">
        <f ca="1">_xlfn.IFNA(IF(C258=0,VLOOKUP(A258,'Date Calcs'!A:AG,8,),IF(C258=1,VLOOKUP(A258,'Date Calcs'!A:AG,10,),IF(C258=2,VLOOKUP(A258,'Date Calcs'!A:AG,12,),IF(C258=3,VLOOKUP(A258,'Date Calcs'!A:AG,14,),4)))),TODAY())</f>
        <v>46115</v>
      </c>
      <c r="Y258" s="4">
        <f t="shared" ca="1" si="25"/>
        <v>46115</v>
      </c>
      <c r="Z258" s="4">
        <f ca="1">_xlfn.IFNA(Y258+(VLOOKUP(A258,'Date Calcs'!A:W,22,0)*7),TODAY())</f>
        <v>46115</v>
      </c>
      <c r="AA258" s="4">
        <f>_xlfn.IFNA(VLOOKUP(A258,'RTR v2'!$A:$AW,46,0),"")</f>
        <v>0</v>
      </c>
    </row>
    <row r="259" spans="1:27" ht="23.25" hidden="1" x14ac:dyDescent="0.25">
      <c r="A259" s="12">
        <f>'Actual Dates'!A257</f>
        <v>0</v>
      </c>
      <c r="B259" s="13" t="str">
        <f>_xlfn.IFNA(VLOOKUP(A259,'Date Calcs'!A:B,2,),"")</f>
        <v/>
      </c>
      <c r="C259" s="14">
        <f>VLOOKUP(A259,'Actual Dates'!A:AE,18,)</f>
        <v>0</v>
      </c>
      <c r="D259" s="15">
        <f t="shared" ca="1" si="22"/>
        <v>46115</v>
      </c>
      <c r="E259" s="15">
        <f t="shared" ca="1" si="23"/>
        <v>46115</v>
      </c>
      <c r="F259" s="14">
        <f ca="1">IFERROR(ROUND(IF(A259="","",IF(E259=0,D259-Date!$B$3,D259-E259)),0),"")</f>
        <v>0</v>
      </c>
      <c r="G259" s="14" t="str">
        <f>_xlfn.IFNA(VLOOKUP(A259,'RTR v2'!A:AW,48,FALSE)," ")</f>
        <v/>
      </c>
      <c r="I259" s="16" t="str">
        <f t="shared" si="24"/>
        <v>N</v>
      </c>
      <c r="J259" s="16" t="str">
        <f t="shared" si="26"/>
        <v xml:space="preserve">  </v>
      </c>
      <c r="L259" s="17"/>
      <c r="M259" t="str">
        <f t="shared" si="27"/>
        <v xml:space="preserve"> </v>
      </c>
      <c r="N259">
        <f t="shared" si="28"/>
        <v>0</v>
      </c>
      <c r="O259">
        <f>IF(P259&lt;1,0,IF(VLOOKUP($A259,'Actual Dates'!$A:$G,5,0)="Y",1,0))</f>
        <v>0</v>
      </c>
      <c r="P259">
        <f>IF(Q259&lt;1,0,IF(VLOOKUP($A259,'Actual Dates'!$A:$G,4,0)="Y",1,0))</f>
        <v>0</v>
      </c>
      <c r="Q259">
        <f>IF(R259&lt;1,0,IF(VLOOKUP($A259,'Actual Dates'!$A:$G,3,0)="Y",1,0))</f>
        <v>0</v>
      </c>
      <c r="R259">
        <f>IF(VLOOKUP($A259,'Actual Dates'!$A:$G,2,0)="Y",1,0)</f>
        <v>0</v>
      </c>
      <c r="S259" s="4">
        <f ca="1">_xlfn.IFNA(+VLOOKUP(A259,'Date Calcs'!A:AG,8,),TODAY())</f>
        <v>46115</v>
      </c>
      <c r="T259" s="4">
        <f ca="1">_xlfn.IFNA(VLOOKUP(A259,'Date Calcs'!A:AG,10,),TODAY())</f>
        <v>46115</v>
      </c>
      <c r="U259" s="4">
        <f ca="1">_xlfn.IFNA(+VLOOKUP(A259,'Date Calcs'!A:AG,12,),TODAY())</f>
        <v>46115</v>
      </c>
      <c r="V259" s="4">
        <f ca="1">_xlfn.IFNA(+VLOOKUP(A259,'Date Calcs'!A:AG,14,),TODAY())</f>
        <v>46115</v>
      </c>
      <c r="W259" s="4">
        <f ca="1">_xlfn.IFNA(+VLOOKUP(A259,'Date Calcs'!A:AG,16,),TODAY())</f>
        <v>46115</v>
      </c>
      <c r="X259" s="4">
        <f ca="1">_xlfn.IFNA(IF(C259=0,VLOOKUP(A259,'Date Calcs'!A:AG,8,),IF(C259=1,VLOOKUP(A259,'Date Calcs'!A:AG,10,),IF(C259=2,VLOOKUP(A259,'Date Calcs'!A:AG,12,),IF(C259=3,VLOOKUP(A259,'Date Calcs'!A:AG,14,),4)))),TODAY())</f>
        <v>46115</v>
      </c>
      <c r="Y259" s="4">
        <f t="shared" ca="1" si="25"/>
        <v>46115</v>
      </c>
      <c r="Z259" s="4">
        <f ca="1">_xlfn.IFNA(Y259+(VLOOKUP(A259,'Date Calcs'!A:W,22,0)*7),TODAY())</f>
        <v>46115</v>
      </c>
      <c r="AA259" s="4">
        <f>_xlfn.IFNA(VLOOKUP(A259,'RTR v2'!$A:$AW,46,0),"")</f>
        <v>0</v>
      </c>
    </row>
    <row r="260" spans="1:27" ht="23.25" hidden="1" x14ac:dyDescent="0.25">
      <c r="A260" s="12">
        <f>'Actual Dates'!A258</f>
        <v>0</v>
      </c>
      <c r="B260" s="13" t="str">
        <f>_xlfn.IFNA(VLOOKUP(A260,'Date Calcs'!A:B,2,),"")</f>
        <v/>
      </c>
      <c r="C260" s="14">
        <f>VLOOKUP(A260,'Actual Dates'!A:AE,18,)</f>
        <v>0</v>
      </c>
      <c r="D260" s="15">
        <f t="shared" ca="1" si="22"/>
        <v>46115</v>
      </c>
      <c r="E260" s="15">
        <f t="shared" ca="1" si="23"/>
        <v>46115</v>
      </c>
      <c r="F260" s="14">
        <f ca="1">IFERROR(ROUND(IF(A260="","",IF(E260=0,D260-Date!$B$3,D260-E260)),0),"")</f>
        <v>0</v>
      </c>
      <c r="G260" s="14" t="str">
        <f>_xlfn.IFNA(VLOOKUP(A260,'RTR v2'!A:AW,48,FALSE)," ")</f>
        <v/>
      </c>
      <c r="I260" s="16" t="str">
        <f t="shared" si="24"/>
        <v>N</v>
      </c>
      <c r="J260" s="16" t="str">
        <f t="shared" si="26"/>
        <v xml:space="preserve">  </v>
      </c>
      <c r="L260" s="17"/>
      <c r="M260" t="str">
        <f t="shared" si="27"/>
        <v xml:space="preserve"> </v>
      </c>
      <c r="N260">
        <f t="shared" si="28"/>
        <v>0</v>
      </c>
      <c r="O260">
        <f>IF(P260&lt;1,0,IF(VLOOKUP($A260,'Actual Dates'!$A:$G,5,0)="Y",1,0))</f>
        <v>0</v>
      </c>
      <c r="P260">
        <f>IF(Q260&lt;1,0,IF(VLOOKUP($A260,'Actual Dates'!$A:$G,4,0)="Y",1,0))</f>
        <v>0</v>
      </c>
      <c r="Q260">
        <f>IF(R260&lt;1,0,IF(VLOOKUP($A260,'Actual Dates'!$A:$G,3,0)="Y",1,0))</f>
        <v>0</v>
      </c>
      <c r="R260">
        <f>IF(VLOOKUP($A260,'Actual Dates'!$A:$G,2,0)="Y",1,0)</f>
        <v>0</v>
      </c>
      <c r="S260" s="4">
        <f ca="1">_xlfn.IFNA(+VLOOKUP(A260,'Date Calcs'!A:AG,8,),TODAY())</f>
        <v>46115</v>
      </c>
      <c r="T260" s="4">
        <f ca="1">_xlfn.IFNA(VLOOKUP(A260,'Date Calcs'!A:AG,10,),TODAY())</f>
        <v>46115</v>
      </c>
      <c r="U260" s="4">
        <f ca="1">_xlfn.IFNA(+VLOOKUP(A260,'Date Calcs'!A:AG,12,),TODAY())</f>
        <v>46115</v>
      </c>
      <c r="V260" s="4">
        <f ca="1">_xlfn.IFNA(+VLOOKUP(A260,'Date Calcs'!A:AG,14,),TODAY())</f>
        <v>46115</v>
      </c>
      <c r="W260" s="4">
        <f ca="1">_xlfn.IFNA(+VLOOKUP(A260,'Date Calcs'!A:AG,16,),TODAY())</f>
        <v>46115</v>
      </c>
      <c r="X260" s="4">
        <f ca="1">_xlfn.IFNA(IF(C260=0,VLOOKUP(A260,'Date Calcs'!A:AG,8,),IF(C260=1,VLOOKUP(A260,'Date Calcs'!A:AG,10,),IF(C260=2,VLOOKUP(A260,'Date Calcs'!A:AG,12,),IF(C260=3,VLOOKUP(A260,'Date Calcs'!A:AG,14,),4)))),TODAY())</f>
        <v>46115</v>
      </c>
      <c r="Y260" s="4">
        <f t="shared" ca="1" si="25"/>
        <v>46115</v>
      </c>
      <c r="Z260" s="4">
        <f ca="1">_xlfn.IFNA(Y260+(VLOOKUP(A260,'Date Calcs'!A:W,22,0)*7),TODAY())</f>
        <v>46115</v>
      </c>
      <c r="AA260" s="4">
        <f>_xlfn.IFNA(VLOOKUP(A260,'RTR v2'!$A:$AW,46,0),"")</f>
        <v>0</v>
      </c>
    </row>
    <row r="261" spans="1:27" ht="23.25" hidden="1" x14ac:dyDescent="0.25">
      <c r="A261" s="12">
        <f>'Actual Dates'!A259</f>
        <v>0</v>
      </c>
      <c r="B261" s="13" t="str">
        <f>_xlfn.IFNA(VLOOKUP(A261,'Date Calcs'!A:B,2,),"")</f>
        <v/>
      </c>
      <c r="C261" s="14">
        <f>VLOOKUP(A261,'Actual Dates'!A:AE,18,)</f>
        <v>0</v>
      </c>
      <c r="D261" s="15">
        <f t="shared" ca="1" si="22"/>
        <v>46115</v>
      </c>
      <c r="E261" s="15">
        <f t="shared" ca="1" si="23"/>
        <v>46115</v>
      </c>
      <c r="F261" s="14">
        <f ca="1">IFERROR(ROUND(IF(A261="","",IF(E261=0,D261-Date!$B$3,D261-E261)),0),"")</f>
        <v>0</v>
      </c>
      <c r="G261" s="14" t="str">
        <f>_xlfn.IFNA(VLOOKUP(A261,'RTR v2'!A:AW,48,FALSE)," ")</f>
        <v/>
      </c>
      <c r="I261" s="16" t="str">
        <f t="shared" si="24"/>
        <v>N</v>
      </c>
      <c r="J261" s="16" t="str">
        <f t="shared" si="26"/>
        <v xml:space="preserve">  </v>
      </c>
      <c r="L261" s="17"/>
      <c r="M261" t="str">
        <f t="shared" si="27"/>
        <v xml:space="preserve"> </v>
      </c>
      <c r="N261">
        <f t="shared" si="28"/>
        <v>0</v>
      </c>
      <c r="O261">
        <f>IF(P261&lt;1,0,IF(VLOOKUP($A261,'Actual Dates'!$A:$G,5,0)="Y",1,0))</f>
        <v>0</v>
      </c>
      <c r="P261">
        <f>IF(Q261&lt;1,0,IF(VLOOKUP($A261,'Actual Dates'!$A:$G,4,0)="Y",1,0))</f>
        <v>0</v>
      </c>
      <c r="Q261">
        <f>IF(R261&lt;1,0,IF(VLOOKUP($A261,'Actual Dates'!$A:$G,3,0)="Y",1,0))</f>
        <v>0</v>
      </c>
      <c r="R261">
        <f>IF(VLOOKUP($A261,'Actual Dates'!$A:$G,2,0)="Y",1,0)</f>
        <v>0</v>
      </c>
      <c r="S261" s="4">
        <f ca="1">_xlfn.IFNA(+VLOOKUP(A261,'Date Calcs'!A:AG,8,),TODAY())</f>
        <v>46115</v>
      </c>
      <c r="T261" s="4">
        <f ca="1">_xlfn.IFNA(VLOOKUP(A261,'Date Calcs'!A:AG,10,),TODAY())</f>
        <v>46115</v>
      </c>
      <c r="U261" s="4">
        <f ca="1">_xlfn.IFNA(+VLOOKUP(A261,'Date Calcs'!A:AG,12,),TODAY())</f>
        <v>46115</v>
      </c>
      <c r="V261" s="4">
        <f ca="1">_xlfn.IFNA(+VLOOKUP(A261,'Date Calcs'!A:AG,14,),TODAY())</f>
        <v>46115</v>
      </c>
      <c r="W261" s="4">
        <f ca="1">_xlfn.IFNA(+VLOOKUP(A261,'Date Calcs'!A:AG,16,),TODAY())</f>
        <v>46115</v>
      </c>
      <c r="X261" s="4">
        <f ca="1">_xlfn.IFNA(IF(C261=0,VLOOKUP(A261,'Date Calcs'!A:AG,8,),IF(C261=1,VLOOKUP(A261,'Date Calcs'!A:AG,10,),IF(C261=2,VLOOKUP(A261,'Date Calcs'!A:AG,12,),IF(C261=3,VLOOKUP(A261,'Date Calcs'!A:AG,14,),4)))),TODAY())</f>
        <v>46115</v>
      </c>
      <c r="Y261" s="4">
        <f t="shared" ca="1" si="25"/>
        <v>46115</v>
      </c>
      <c r="Z261" s="4">
        <f ca="1">_xlfn.IFNA(Y261+(VLOOKUP(A261,'Date Calcs'!A:W,22,0)*7),TODAY())</f>
        <v>46115</v>
      </c>
      <c r="AA261" s="4">
        <f>_xlfn.IFNA(VLOOKUP(A261,'RTR v2'!$A:$AW,46,0),"")</f>
        <v>0</v>
      </c>
    </row>
    <row r="262" spans="1:27" ht="23.25" hidden="1" x14ac:dyDescent="0.25">
      <c r="A262" s="12">
        <f>'Actual Dates'!A260</f>
        <v>0</v>
      </c>
      <c r="B262" s="13" t="str">
        <f>_xlfn.IFNA(VLOOKUP(A262,'Date Calcs'!A:B,2,),"")</f>
        <v/>
      </c>
      <c r="C262" s="14">
        <f>VLOOKUP(A262,'Actual Dates'!A:AE,18,)</f>
        <v>0</v>
      </c>
      <c r="D262" s="15">
        <f t="shared" ref="D262:D325" ca="1" si="29">Z262</f>
        <v>46115</v>
      </c>
      <c r="E262" s="15">
        <f t="shared" ref="E262:E325" ca="1" si="30">IF(VLOOKUP(A262,Dates,20,FALSE())="",TODAY(),VLOOKUP(A262,Dates,20,FALSE()))</f>
        <v>46115</v>
      </c>
      <c r="F262" s="14">
        <f ca="1">IFERROR(ROUND(IF(A262="","",IF(E262=0,D262-Date!$B$3,D262-E262)),0),"")</f>
        <v>0</v>
      </c>
      <c r="G262" s="14" t="str">
        <f>_xlfn.IFNA(VLOOKUP(A262,'RTR v2'!A:AW,48,FALSE)," ")</f>
        <v/>
      </c>
      <c r="I262" s="16" t="str">
        <f t="shared" ref="I262:I325" si="31">IF(VLOOKUP(A262,Dates,2,)="N","N",IF(VLOOKUP(A262,Dates,3,)="N","N",IF(VLOOKUP(A262,Dates,4,)="N","N",IF(VLOOKUP(A262,Dates,5,)="N","N","Y"))))</f>
        <v>N</v>
      </c>
      <c r="J262" s="16" t="str">
        <f t="shared" si="26"/>
        <v xml:space="preserve">  </v>
      </c>
      <c r="L262" s="17"/>
      <c r="M262" t="str">
        <f t="shared" si="27"/>
        <v xml:space="preserve"> </v>
      </c>
      <c r="N262">
        <f t="shared" si="28"/>
        <v>0</v>
      </c>
      <c r="O262">
        <f>IF(P262&lt;1,0,IF(VLOOKUP($A262,'Actual Dates'!$A:$G,5,0)="Y",1,0))</f>
        <v>0</v>
      </c>
      <c r="P262">
        <f>IF(Q262&lt;1,0,IF(VLOOKUP($A262,'Actual Dates'!$A:$G,4,0)="Y",1,0))</f>
        <v>0</v>
      </c>
      <c r="Q262">
        <f>IF(R262&lt;1,0,IF(VLOOKUP($A262,'Actual Dates'!$A:$G,3,0)="Y",1,0))</f>
        <v>0</v>
      </c>
      <c r="R262">
        <f>IF(VLOOKUP($A262,'Actual Dates'!$A:$G,2,0)="Y",1,0)</f>
        <v>0</v>
      </c>
      <c r="S262" s="4">
        <f ca="1">_xlfn.IFNA(+VLOOKUP(A262,'Date Calcs'!A:AG,8,),TODAY())</f>
        <v>46115</v>
      </c>
      <c r="T262" s="4">
        <f ca="1">_xlfn.IFNA(VLOOKUP(A262,'Date Calcs'!A:AG,10,),TODAY())</f>
        <v>46115</v>
      </c>
      <c r="U262" s="4">
        <f ca="1">_xlfn.IFNA(+VLOOKUP(A262,'Date Calcs'!A:AG,12,),TODAY())</f>
        <v>46115</v>
      </c>
      <c r="V262" s="4">
        <f ca="1">_xlfn.IFNA(+VLOOKUP(A262,'Date Calcs'!A:AG,14,),TODAY())</f>
        <v>46115</v>
      </c>
      <c r="W262" s="4">
        <f ca="1">_xlfn.IFNA(+VLOOKUP(A262,'Date Calcs'!A:AG,16,),TODAY())</f>
        <v>46115</v>
      </c>
      <c r="X262" s="4">
        <f ca="1">_xlfn.IFNA(IF(C262=0,VLOOKUP(A262,'Date Calcs'!A:AG,8,),IF(C262=1,VLOOKUP(A262,'Date Calcs'!A:AG,10,),IF(C262=2,VLOOKUP(A262,'Date Calcs'!A:AG,12,),IF(C262=3,VLOOKUP(A262,'Date Calcs'!A:AG,14,),4)))),TODAY())</f>
        <v>46115</v>
      </c>
      <c r="Y262" s="4">
        <f t="shared" ref="Y262:Y325" ca="1" si="32">_xlfn.IFNA(IF(X262=4,W262,X262),TODAY())</f>
        <v>46115</v>
      </c>
      <c r="Z262" s="4">
        <f ca="1">_xlfn.IFNA(Y262+(VLOOKUP(A262,'Date Calcs'!A:W,22,0)*7),TODAY())</f>
        <v>46115</v>
      </c>
      <c r="AA262" s="4">
        <f>_xlfn.IFNA(VLOOKUP(A262,'RTR v2'!$A:$AW,46,0),"")</f>
        <v>0</v>
      </c>
    </row>
    <row r="263" spans="1:27" ht="23.25" hidden="1" x14ac:dyDescent="0.25">
      <c r="A263" s="12">
        <f>'Actual Dates'!A261</f>
        <v>0</v>
      </c>
      <c r="B263" s="13" t="str">
        <f>_xlfn.IFNA(VLOOKUP(A263,'Date Calcs'!A:B,2,),"")</f>
        <v/>
      </c>
      <c r="C263" s="14">
        <f>VLOOKUP(A263,'Actual Dates'!A:AE,18,)</f>
        <v>0</v>
      </c>
      <c r="D263" s="15">
        <f t="shared" ca="1" si="29"/>
        <v>46115</v>
      </c>
      <c r="E263" s="15">
        <f t="shared" ca="1" si="30"/>
        <v>46115</v>
      </c>
      <c r="F263" s="14">
        <f ca="1">IFERROR(ROUND(IF(A263="","",IF(E263=0,D263-Date!$B$3,D263-E263)),0),"")</f>
        <v>0</v>
      </c>
      <c r="G263" s="14" t="str">
        <f>_xlfn.IFNA(VLOOKUP(A263,'RTR v2'!A:AW,48,FALSE)," ")</f>
        <v/>
      </c>
      <c r="I263" s="16" t="str">
        <f t="shared" si="31"/>
        <v>N</v>
      </c>
      <c r="J263" s="16" t="str">
        <f t="shared" ref="J263:J326" si="33">VLOOKUP(A263,Dates,7,)</f>
        <v xml:space="preserve">  </v>
      </c>
      <c r="L263" s="17"/>
      <c r="M263" t="str">
        <f t="shared" ref="M263:M326" si="34">IF(N263="Y",N263," ")</f>
        <v xml:space="preserve"> </v>
      </c>
      <c r="N263">
        <f t="shared" ref="N263:N326" si="35">IF(R263="Y",R263,IF(Q263="Y",Q263,IF(P263="Y",P263,O263)))</f>
        <v>0</v>
      </c>
      <c r="O263">
        <f>IF(P263&lt;1,0,IF(VLOOKUP($A263,'Actual Dates'!$A:$G,5,0)="Y",1,0))</f>
        <v>0</v>
      </c>
      <c r="P263">
        <f>IF(Q263&lt;1,0,IF(VLOOKUP($A263,'Actual Dates'!$A:$G,4,0)="Y",1,0))</f>
        <v>0</v>
      </c>
      <c r="Q263">
        <f>IF(R263&lt;1,0,IF(VLOOKUP($A263,'Actual Dates'!$A:$G,3,0)="Y",1,0))</f>
        <v>0</v>
      </c>
      <c r="R263">
        <f>IF(VLOOKUP($A263,'Actual Dates'!$A:$G,2,0)="Y",1,0)</f>
        <v>0</v>
      </c>
      <c r="S263" s="4">
        <f ca="1">_xlfn.IFNA(+VLOOKUP(A263,'Date Calcs'!A:AG,8,),TODAY())</f>
        <v>46115</v>
      </c>
      <c r="T263" s="4">
        <f ca="1">_xlfn.IFNA(VLOOKUP(A263,'Date Calcs'!A:AG,10,),TODAY())</f>
        <v>46115</v>
      </c>
      <c r="U263" s="4">
        <f ca="1">_xlfn.IFNA(+VLOOKUP(A263,'Date Calcs'!A:AG,12,),TODAY())</f>
        <v>46115</v>
      </c>
      <c r="V263" s="4">
        <f ca="1">_xlfn.IFNA(+VLOOKUP(A263,'Date Calcs'!A:AG,14,),TODAY())</f>
        <v>46115</v>
      </c>
      <c r="W263" s="4">
        <f ca="1">_xlfn.IFNA(+VLOOKUP(A263,'Date Calcs'!A:AG,16,),TODAY())</f>
        <v>46115</v>
      </c>
      <c r="X263" s="4">
        <f ca="1">_xlfn.IFNA(IF(C263=0,VLOOKUP(A263,'Date Calcs'!A:AG,8,),IF(C263=1,VLOOKUP(A263,'Date Calcs'!A:AG,10,),IF(C263=2,VLOOKUP(A263,'Date Calcs'!A:AG,12,),IF(C263=3,VLOOKUP(A263,'Date Calcs'!A:AG,14,),4)))),TODAY())</f>
        <v>46115</v>
      </c>
      <c r="Y263" s="4">
        <f t="shared" ca="1" si="32"/>
        <v>46115</v>
      </c>
      <c r="Z263" s="4">
        <f ca="1">_xlfn.IFNA(Y263+(VLOOKUP(A263,'Date Calcs'!A:W,22,0)*7),TODAY())</f>
        <v>46115</v>
      </c>
      <c r="AA263" s="4">
        <f>_xlfn.IFNA(VLOOKUP(A263,'RTR v2'!$A:$AW,46,0),"")</f>
        <v>0</v>
      </c>
    </row>
    <row r="264" spans="1:27" ht="23.25" hidden="1" x14ac:dyDescent="0.25">
      <c r="A264" s="12">
        <f>'Actual Dates'!A262</f>
        <v>0</v>
      </c>
      <c r="B264" s="13" t="str">
        <f>_xlfn.IFNA(VLOOKUP(A264,'Date Calcs'!A:B,2,),"")</f>
        <v/>
      </c>
      <c r="C264" s="14">
        <f>VLOOKUP(A264,'Actual Dates'!A:AE,18,)</f>
        <v>0</v>
      </c>
      <c r="D264" s="15">
        <f t="shared" ca="1" si="29"/>
        <v>46115</v>
      </c>
      <c r="E264" s="15">
        <f t="shared" ca="1" si="30"/>
        <v>46115</v>
      </c>
      <c r="F264" s="14">
        <f ca="1">IFERROR(ROUND(IF(A264="","",IF(E264=0,D264-Date!$B$3,D264-E264)),0),"")</f>
        <v>0</v>
      </c>
      <c r="G264" s="14" t="str">
        <f>_xlfn.IFNA(VLOOKUP(A264,'RTR v2'!A:AW,48,FALSE)," ")</f>
        <v/>
      </c>
      <c r="I264" s="16" t="str">
        <f t="shared" si="31"/>
        <v>N</v>
      </c>
      <c r="J264" s="16" t="str">
        <f t="shared" si="33"/>
        <v xml:space="preserve">  </v>
      </c>
      <c r="L264" s="17"/>
      <c r="M264" t="str">
        <f t="shared" si="34"/>
        <v xml:space="preserve"> </v>
      </c>
      <c r="N264">
        <f t="shared" si="35"/>
        <v>0</v>
      </c>
      <c r="O264">
        <f>IF(P264&lt;1,0,IF(VLOOKUP($A264,'Actual Dates'!$A:$G,5,0)="Y",1,0))</f>
        <v>0</v>
      </c>
      <c r="P264">
        <f>IF(Q264&lt;1,0,IF(VLOOKUP($A264,'Actual Dates'!$A:$G,4,0)="Y",1,0))</f>
        <v>0</v>
      </c>
      <c r="Q264">
        <f>IF(R264&lt;1,0,IF(VLOOKUP($A264,'Actual Dates'!$A:$G,3,0)="Y",1,0))</f>
        <v>0</v>
      </c>
      <c r="R264">
        <f>IF(VLOOKUP($A264,'Actual Dates'!$A:$G,2,0)="Y",1,0)</f>
        <v>0</v>
      </c>
      <c r="S264" s="4">
        <f ca="1">_xlfn.IFNA(+VLOOKUP(A264,'Date Calcs'!A:AG,8,),TODAY())</f>
        <v>46115</v>
      </c>
      <c r="T264" s="4">
        <f ca="1">_xlfn.IFNA(VLOOKUP(A264,'Date Calcs'!A:AG,10,),TODAY())</f>
        <v>46115</v>
      </c>
      <c r="U264" s="4">
        <f ca="1">_xlfn.IFNA(+VLOOKUP(A264,'Date Calcs'!A:AG,12,),TODAY())</f>
        <v>46115</v>
      </c>
      <c r="V264" s="4">
        <f ca="1">_xlfn.IFNA(+VLOOKUP(A264,'Date Calcs'!A:AG,14,),TODAY())</f>
        <v>46115</v>
      </c>
      <c r="W264" s="4">
        <f ca="1">_xlfn.IFNA(+VLOOKUP(A264,'Date Calcs'!A:AG,16,),TODAY())</f>
        <v>46115</v>
      </c>
      <c r="X264" s="4">
        <f ca="1">_xlfn.IFNA(IF(C264=0,VLOOKUP(A264,'Date Calcs'!A:AG,8,),IF(C264=1,VLOOKUP(A264,'Date Calcs'!A:AG,10,),IF(C264=2,VLOOKUP(A264,'Date Calcs'!A:AG,12,),IF(C264=3,VLOOKUP(A264,'Date Calcs'!A:AG,14,),4)))),TODAY())</f>
        <v>46115</v>
      </c>
      <c r="Y264" s="4">
        <f t="shared" ca="1" si="32"/>
        <v>46115</v>
      </c>
      <c r="Z264" s="4">
        <f ca="1">_xlfn.IFNA(Y264+(VLOOKUP(A264,'Date Calcs'!A:W,22,0)*7),TODAY())</f>
        <v>46115</v>
      </c>
      <c r="AA264" s="4">
        <f>_xlfn.IFNA(VLOOKUP(A264,'RTR v2'!$A:$AW,46,0),"")</f>
        <v>0</v>
      </c>
    </row>
    <row r="265" spans="1:27" ht="23.25" hidden="1" x14ac:dyDescent="0.25">
      <c r="A265" s="12">
        <f>'Actual Dates'!A263</f>
        <v>0</v>
      </c>
      <c r="B265" s="13" t="str">
        <f>_xlfn.IFNA(VLOOKUP(A265,'Date Calcs'!A:B,2,),"")</f>
        <v/>
      </c>
      <c r="C265" s="14">
        <f>VLOOKUP(A265,'Actual Dates'!A:AE,18,)</f>
        <v>0</v>
      </c>
      <c r="D265" s="15">
        <f t="shared" ca="1" si="29"/>
        <v>46115</v>
      </c>
      <c r="E265" s="15">
        <f t="shared" ca="1" si="30"/>
        <v>46115</v>
      </c>
      <c r="F265" s="14">
        <f ca="1">IFERROR(ROUND(IF(A265="","",IF(E265=0,D265-Date!$B$3,D265-E265)),0),"")</f>
        <v>0</v>
      </c>
      <c r="G265" s="14" t="str">
        <f>_xlfn.IFNA(VLOOKUP(A265,'RTR v2'!A:AW,48,FALSE)," ")</f>
        <v/>
      </c>
      <c r="I265" s="16" t="str">
        <f t="shared" si="31"/>
        <v>N</v>
      </c>
      <c r="J265" s="16" t="str">
        <f t="shared" si="33"/>
        <v xml:space="preserve">  </v>
      </c>
      <c r="L265" s="17"/>
      <c r="M265" t="str">
        <f t="shared" si="34"/>
        <v xml:space="preserve"> </v>
      </c>
      <c r="N265">
        <f t="shared" si="35"/>
        <v>0</v>
      </c>
      <c r="O265">
        <f>IF(P265&lt;1,0,IF(VLOOKUP($A265,'Actual Dates'!$A:$G,5,0)="Y",1,0))</f>
        <v>0</v>
      </c>
      <c r="P265">
        <f>IF(Q265&lt;1,0,IF(VLOOKUP($A265,'Actual Dates'!$A:$G,4,0)="Y",1,0))</f>
        <v>0</v>
      </c>
      <c r="Q265">
        <f>IF(R265&lt;1,0,IF(VLOOKUP($A265,'Actual Dates'!$A:$G,3,0)="Y",1,0))</f>
        <v>0</v>
      </c>
      <c r="R265">
        <f>IF(VLOOKUP($A265,'Actual Dates'!$A:$G,2,0)="Y",1,0)</f>
        <v>0</v>
      </c>
      <c r="S265" s="4">
        <f ca="1">_xlfn.IFNA(+VLOOKUP(A265,'Date Calcs'!A:AG,8,),TODAY())</f>
        <v>46115</v>
      </c>
      <c r="T265" s="4">
        <f ca="1">_xlfn.IFNA(VLOOKUP(A265,'Date Calcs'!A:AG,10,),TODAY())</f>
        <v>46115</v>
      </c>
      <c r="U265" s="4">
        <f ca="1">_xlfn.IFNA(+VLOOKUP(A265,'Date Calcs'!A:AG,12,),TODAY())</f>
        <v>46115</v>
      </c>
      <c r="V265" s="4">
        <f ca="1">_xlfn.IFNA(+VLOOKUP(A265,'Date Calcs'!A:AG,14,),TODAY())</f>
        <v>46115</v>
      </c>
      <c r="W265" s="4">
        <f ca="1">_xlfn.IFNA(+VLOOKUP(A265,'Date Calcs'!A:AG,16,),TODAY())</f>
        <v>46115</v>
      </c>
      <c r="X265" s="4">
        <f ca="1">_xlfn.IFNA(IF(C265=0,VLOOKUP(A265,'Date Calcs'!A:AG,8,),IF(C265=1,VLOOKUP(A265,'Date Calcs'!A:AG,10,),IF(C265=2,VLOOKUP(A265,'Date Calcs'!A:AG,12,),IF(C265=3,VLOOKUP(A265,'Date Calcs'!A:AG,14,),4)))),TODAY())</f>
        <v>46115</v>
      </c>
      <c r="Y265" s="4">
        <f t="shared" ca="1" si="32"/>
        <v>46115</v>
      </c>
      <c r="Z265" s="4">
        <f ca="1">_xlfn.IFNA(Y265+(VLOOKUP(A265,'Date Calcs'!A:W,22,0)*7),TODAY())</f>
        <v>46115</v>
      </c>
      <c r="AA265" s="4">
        <f>_xlfn.IFNA(VLOOKUP(A265,'RTR v2'!$A:$AW,46,0),"")</f>
        <v>0</v>
      </c>
    </row>
    <row r="266" spans="1:27" ht="23.25" hidden="1" x14ac:dyDescent="0.25">
      <c r="A266" s="12">
        <f>'Actual Dates'!A264</f>
        <v>0</v>
      </c>
      <c r="B266" s="13" t="str">
        <f>_xlfn.IFNA(VLOOKUP(A266,'Date Calcs'!A:B,2,),"")</f>
        <v/>
      </c>
      <c r="C266" s="14">
        <f>VLOOKUP(A266,'Actual Dates'!A:AE,18,)</f>
        <v>0</v>
      </c>
      <c r="D266" s="15">
        <f t="shared" ca="1" si="29"/>
        <v>46115</v>
      </c>
      <c r="E266" s="15">
        <f t="shared" ca="1" si="30"/>
        <v>46115</v>
      </c>
      <c r="F266" s="14">
        <f ca="1">IFERROR(ROUND(IF(A266="","",IF(E266=0,D266-Date!$B$3,D266-E266)),0),"")</f>
        <v>0</v>
      </c>
      <c r="G266" s="14" t="str">
        <f>_xlfn.IFNA(VLOOKUP(A266,'RTR v2'!A:AW,48,FALSE)," ")</f>
        <v/>
      </c>
      <c r="I266" s="16" t="str">
        <f t="shared" si="31"/>
        <v>N</v>
      </c>
      <c r="J266" s="16" t="str">
        <f t="shared" si="33"/>
        <v xml:space="preserve">  </v>
      </c>
      <c r="L266" s="17"/>
      <c r="M266" t="str">
        <f t="shared" si="34"/>
        <v xml:space="preserve"> </v>
      </c>
      <c r="N266">
        <f t="shared" si="35"/>
        <v>0</v>
      </c>
      <c r="O266">
        <f>IF(P266&lt;1,0,IF(VLOOKUP($A266,'Actual Dates'!$A:$G,5,0)="Y",1,0))</f>
        <v>0</v>
      </c>
      <c r="P266">
        <f>IF(Q266&lt;1,0,IF(VLOOKUP($A266,'Actual Dates'!$A:$G,4,0)="Y",1,0))</f>
        <v>0</v>
      </c>
      <c r="Q266">
        <f>IF(R266&lt;1,0,IF(VLOOKUP($A266,'Actual Dates'!$A:$G,3,0)="Y",1,0))</f>
        <v>0</v>
      </c>
      <c r="R266">
        <f>IF(VLOOKUP($A266,'Actual Dates'!$A:$G,2,0)="Y",1,0)</f>
        <v>0</v>
      </c>
      <c r="S266" s="4">
        <f ca="1">_xlfn.IFNA(+VLOOKUP(A266,'Date Calcs'!A:AG,8,),TODAY())</f>
        <v>46115</v>
      </c>
      <c r="T266" s="4">
        <f ca="1">_xlfn.IFNA(VLOOKUP(A266,'Date Calcs'!A:AG,10,),TODAY())</f>
        <v>46115</v>
      </c>
      <c r="U266" s="4">
        <f ca="1">_xlfn.IFNA(+VLOOKUP(A266,'Date Calcs'!A:AG,12,),TODAY())</f>
        <v>46115</v>
      </c>
      <c r="V266" s="4">
        <f ca="1">_xlfn.IFNA(+VLOOKUP(A266,'Date Calcs'!A:AG,14,),TODAY())</f>
        <v>46115</v>
      </c>
      <c r="W266" s="4">
        <f ca="1">_xlfn.IFNA(+VLOOKUP(A266,'Date Calcs'!A:AG,16,),TODAY())</f>
        <v>46115</v>
      </c>
      <c r="X266" s="4">
        <f ca="1">_xlfn.IFNA(IF(C266=0,VLOOKUP(A266,'Date Calcs'!A:AG,8,),IF(C266=1,VLOOKUP(A266,'Date Calcs'!A:AG,10,),IF(C266=2,VLOOKUP(A266,'Date Calcs'!A:AG,12,),IF(C266=3,VLOOKUP(A266,'Date Calcs'!A:AG,14,),4)))),TODAY())</f>
        <v>46115</v>
      </c>
      <c r="Y266" s="4">
        <f t="shared" ca="1" si="32"/>
        <v>46115</v>
      </c>
      <c r="Z266" s="4">
        <f ca="1">_xlfn.IFNA(Y266+(VLOOKUP(A266,'Date Calcs'!A:W,22,0)*7),TODAY())</f>
        <v>46115</v>
      </c>
      <c r="AA266" s="4">
        <f>_xlfn.IFNA(VLOOKUP(A266,'RTR v2'!$A:$AW,46,0),"")</f>
        <v>0</v>
      </c>
    </row>
    <row r="267" spans="1:27" ht="23.25" hidden="1" x14ac:dyDescent="0.25">
      <c r="A267" s="12">
        <f>'Actual Dates'!A265</f>
        <v>0</v>
      </c>
      <c r="B267" s="13" t="str">
        <f>_xlfn.IFNA(VLOOKUP(A267,'Date Calcs'!A:B,2,),"")</f>
        <v/>
      </c>
      <c r="C267" s="14">
        <f>VLOOKUP(A267,'Actual Dates'!A:AE,18,)</f>
        <v>0</v>
      </c>
      <c r="D267" s="15">
        <f t="shared" ca="1" si="29"/>
        <v>46115</v>
      </c>
      <c r="E267" s="15">
        <f t="shared" ca="1" si="30"/>
        <v>46115</v>
      </c>
      <c r="F267" s="14">
        <f ca="1">IFERROR(ROUND(IF(A267="","",IF(E267=0,D267-Date!$B$3,D267-E267)),0),"")</f>
        <v>0</v>
      </c>
      <c r="G267" s="14" t="str">
        <f>_xlfn.IFNA(VLOOKUP(A267,'RTR v2'!A:AW,48,FALSE)," ")</f>
        <v/>
      </c>
      <c r="I267" s="16" t="str">
        <f t="shared" si="31"/>
        <v>N</v>
      </c>
      <c r="J267" s="16" t="str">
        <f t="shared" si="33"/>
        <v xml:space="preserve">  </v>
      </c>
      <c r="L267" s="17"/>
      <c r="M267" t="str">
        <f t="shared" si="34"/>
        <v xml:space="preserve"> </v>
      </c>
      <c r="N267">
        <f t="shared" si="35"/>
        <v>0</v>
      </c>
      <c r="O267">
        <f>IF(P267&lt;1,0,IF(VLOOKUP($A267,'Actual Dates'!$A:$G,5,0)="Y",1,0))</f>
        <v>0</v>
      </c>
      <c r="P267">
        <f>IF(Q267&lt;1,0,IF(VLOOKUP($A267,'Actual Dates'!$A:$G,4,0)="Y",1,0))</f>
        <v>0</v>
      </c>
      <c r="Q267">
        <f>IF(R267&lt;1,0,IF(VLOOKUP($A267,'Actual Dates'!$A:$G,3,0)="Y",1,0))</f>
        <v>0</v>
      </c>
      <c r="R267">
        <f>IF(VLOOKUP($A267,'Actual Dates'!$A:$G,2,0)="Y",1,0)</f>
        <v>0</v>
      </c>
      <c r="S267" s="4">
        <f ca="1">_xlfn.IFNA(+VLOOKUP(A267,'Date Calcs'!A:AG,8,),TODAY())</f>
        <v>46115</v>
      </c>
      <c r="T267" s="4">
        <f ca="1">_xlfn.IFNA(VLOOKUP(A267,'Date Calcs'!A:AG,10,),TODAY())</f>
        <v>46115</v>
      </c>
      <c r="U267" s="4">
        <f ca="1">_xlfn.IFNA(+VLOOKUP(A267,'Date Calcs'!A:AG,12,),TODAY())</f>
        <v>46115</v>
      </c>
      <c r="V267" s="4">
        <f ca="1">_xlfn.IFNA(+VLOOKUP(A267,'Date Calcs'!A:AG,14,),TODAY())</f>
        <v>46115</v>
      </c>
      <c r="W267" s="4">
        <f ca="1">_xlfn.IFNA(+VLOOKUP(A267,'Date Calcs'!A:AG,16,),TODAY())</f>
        <v>46115</v>
      </c>
      <c r="X267" s="4">
        <f ca="1">_xlfn.IFNA(IF(C267=0,VLOOKUP(A267,'Date Calcs'!A:AG,8,),IF(C267=1,VLOOKUP(A267,'Date Calcs'!A:AG,10,),IF(C267=2,VLOOKUP(A267,'Date Calcs'!A:AG,12,),IF(C267=3,VLOOKUP(A267,'Date Calcs'!A:AG,14,),4)))),TODAY())</f>
        <v>46115</v>
      </c>
      <c r="Y267" s="4">
        <f t="shared" ca="1" si="32"/>
        <v>46115</v>
      </c>
      <c r="Z267" s="4">
        <f ca="1">_xlfn.IFNA(Y267+(VLOOKUP(A267,'Date Calcs'!A:W,22,0)*7),TODAY())</f>
        <v>46115</v>
      </c>
      <c r="AA267" s="4">
        <f>_xlfn.IFNA(VLOOKUP(A267,'RTR v2'!$A:$AW,46,0),"")</f>
        <v>0</v>
      </c>
    </row>
    <row r="268" spans="1:27" ht="23.25" hidden="1" x14ac:dyDescent="0.25">
      <c r="A268" s="12">
        <f>'Actual Dates'!A266</f>
        <v>0</v>
      </c>
      <c r="B268" s="13" t="str">
        <f>_xlfn.IFNA(VLOOKUP(A268,'Date Calcs'!A:B,2,),"")</f>
        <v/>
      </c>
      <c r="C268" s="14">
        <f>VLOOKUP(A268,'Actual Dates'!A:AE,18,)</f>
        <v>0</v>
      </c>
      <c r="D268" s="15">
        <f t="shared" ca="1" si="29"/>
        <v>46115</v>
      </c>
      <c r="E268" s="15">
        <f t="shared" ca="1" si="30"/>
        <v>46115</v>
      </c>
      <c r="F268" s="14">
        <f ca="1">IFERROR(ROUND(IF(A268="","",IF(E268=0,D268-Date!$B$3,D268-E268)),0),"")</f>
        <v>0</v>
      </c>
      <c r="G268" s="14" t="str">
        <f>_xlfn.IFNA(VLOOKUP(A268,'RTR v2'!A:AW,48,FALSE)," ")</f>
        <v/>
      </c>
      <c r="I268" s="16" t="str">
        <f t="shared" si="31"/>
        <v>N</v>
      </c>
      <c r="J268" s="16" t="str">
        <f t="shared" si="33"/>
        <v xml:space="preserve">  </v>
      </c>
      <c r="L268" s="17"/>
      <c r="M268" t="str">
        <f t="shared" si="34"/>
        <v xml:space="preserve"> </v>
      </c>
      <c r="N268">
        <f t="shared" si="35"/>
        <v>0</v>
      </c>
      <c r="O268">
        <f>IF(P268&lt;1,0,IF(VLOOKUP($A268,'Actual Dates'!$A:$G,5,0)="Y",1,0))</f>
        <v>0</v>
      </c>
      <c r="P268">
        <f>IF(Q268&lt;1,0,IF(VLOOKUP($A268,'Actual Dates'!$A:$G,4,0)="Y",1,0))</f>
        <v>0</v>
      </c>
      <c r="Q268">
        <f>IF(R268&lt;1,0,IF(VLOOKUP($A268,'Actual Dates'!$A:$G,3,0)="Y",1,0))</f>
        <v>0</v>
      </c>
      <c r="R268">
        <f>IF(VLOOKUP($A268,'Actual Dates'!$A:$G,2,0)="Y",1,0)</f>
        <v>0</v>
      </c>
      <c r="S268" s="4">
        <f ca="1">_xlfn.IFNA(+VLOOKUP(A268,'Date Calcs'!A:AG,8,),TODAY())</f>
        <v>46115</v>
      </c>
      <c r="T268" s="4">
        <f ca="1">_xlfn.IFNA(VLOOKUP(A268,'Date Calcs'!A:AG,10,),TODAY())</f>
        <v>46115</v>
      </c>
      <c r="U268" s="4">
        <f ca="1">_xlfn.IFNA(+VLOOKUP(A268,'Date Calcs'!A:AG,12,),TODAY())</f>
        <v>46115</v>
      </c>
      <c r="V268" s="4">
        <f ca="1">_xlfn.IFNA(+VLOOKUP(A268,'Date Calcs'!A:AG,14,),TODAY())</f>
        <v>46115</v>
      </c>
      <c r="W268" s="4">
        <f ca="1">_xlfn.IFNA(+VLOOKUP(A268,'Date Calcs'!A:AG,16,),TODAY())</f>
        <v>46115</v>
      </c>
      <c r="X268" s="4">
        <f ca="1">_xlfn.IFNA(IF(C268=0,VLOOKUP(A268,'Date Calcs'!A:AG,8,),IF(C268=1,VLOOKUP(A268,'Date Calcs'!A:AG,10,),IF(C268=2,VLOOKUP(A268,'Date Calcs'!A:AG,12,),IF(C268=3,VLOOKUP(A268,'Date Calcs'!A:AG,14,),4)))),TODAY())</f>
        <v>46115</v>
      </c>
      <c r="Y268" s="4">
        <f t="shared" ca="1" si="32"/>
        <v>46115</v>
      </c>
      <c r="Z268" s="4">
        <f ca="1">_xlfn.IFNA(Y268+(VLOOKUP(A268,'Date Calcs'!A:W,22,0)*7),TODAY())</f>
        <v>46115</v>
      </c>
      <c r="AA268" s="4">
        <f>_xlfn.IFNA(VLOOKUP(A268,'RTR v2'!$A:$AW,46,0),"")</f>
        <v>0</v>
      </c>
    </row>
    <row r="269" spans="1:27" ht="23.25" hidden="1" x14ac:dyDescent="0.25">
      <c r="A269" s="12">
        <f>'Actual Dates'!A267</f>
        <v>0</v>
      </c>
      <c r="B269" s="13" t="str">
        <f>_xlfn.IFNA(VLOOKUP(A269,'Date Calcs'!A:B,2,),"")</f>
        <v/>
      </c>
      <c r="C269" s="14">
        <f>VLOOKUP(A269,'Actual Dates'!A:AE,18,)</f>
        <v>0</v>
      </c>
      <c r="D269" s="15">
        <f t="shared" ca="1" si="29"/>
        <v>46115</v>
      </c>
      <c r="E269" s="15">
        <f t="shared" ca="1" si="30"/>
        <v>46115</v>
      </c>
      <c r="F269" s="14">
        <f ca="1">IFERROR(ROUND(IF(A269="","",IF(E269=0,D269-Date!$B$3,D269-E269)),0),"")</f>
        <v>0</v>
      </c>
      <c r="G269" s="14" t="str">
        <f>_xlfn.IFNA(VLOOKUP(A269,'RTR v2'!A:AW,48,FALSE)," ")</f>
        <v/>
      </c>
      <c r="I269" s="16" t="str">
        <f t="shared" si="31"/>
        <v>N</v>
      </c>
      <c r="J269" s="16" t="str">
        <f t="shared" si="33"/>
        <v xml:space="preserve">  </v>
      </c>
      <c r="L269" s="17"/>
      <c r="M269" t="str">
        <f t="shared" si="34"/>
        <v xml:space="preserve"> </v>
      </c>
      <c r="N269">
        <f t="shared" si="35"/>
        <v>0</v>
      </c>
      <c r="O269">
        <f>IF(P269&lt;1,0,IF(VLOOKUP($A269,'Actual Dates'!$A:$G,5,0)="Y",1,0))</f>
        <v>0</v>
      </c>
      <c r="P269">
        <f>IF(Q269&lt;1,0,IF(VLOOKUP($A269,'Actual Dates'!$A:$G,4,0)="Y",1,0))</f>
        <v>0</v>
      </c>
      <c r="Q269">
        <f>IF(R269&lt;1,0,IF(VLOOKUP($A269,'Actual Dates'!$A:$G,3,0)="Y",1,0))</f>
        <v>0</v>
      </c>
      <c r="R269">
        <f>IF(VLOOKUP($A269,'Actual Dates'!$A:$G,2,0)="Y",1,0)</f>
        <v>0</v>
      </c>
      <c r="S269" s="4">
        <f ca="1">_xlfn.IFNA(+VLOOKUP(A269,'Date Calcs'!A:AG,8,),TODAY())</f>
        <v>46115</v>
      </c>
      <c r="T269" s="4">
        <f ca="1">_xlfn.IFNA(VLOOKUP(A269,'Date Calcs'!A:AG,10,),TODAY())</f>
        <v>46115</v>
      </c>
      <c r="U269" s="4">
        <f ca="1">_xlfn.IFNA(+VLOOKUP(A269,'Date Calcs'!A:AG,12,),TODAY())</f>
        <v>46115</v>
      </c>
      <c r="V269" s="4">
        <f ca="1">_xlfn.IFNA(+VLOOKUP(A269,'Date Calcs'!A:AG,14,),TODAY())</f>
        <v>46115</v>
      </c>
      <c r="W269" s="4">
        <f ca="1">_xlfn.IFNA(+VLOOKUP(A269,'Date Calcs'!A:AG,16,),TODAY())</f>
        <v>46115</v>
      </c>
      <c r="X269" s="4">
        <f ca="1">_xlfn.IFNA(IF(C269=0,VLOOKUP(A269,'Date Calcs'!A:AG,8,),IF(C269=1,VLOOKUP(A269,'Date Calcs'!A:AG,10,),IF(C269=2,VLOOKUP(A269,'Date Calcs'!A:AG,12,),IF(C269=3,VLOOKUP(A269,'Date Calcs'!A:AG,14,),4)))),TODAY())</f>
        <v>46115</v>
      </c>
      <c r="Y269" s="4">
        <f t="shared" ca="1" si="32"/>
        <v>46115</v>
      </c>
      <c r="Z269" s="4">
        <f ca="1">_xlfn.IFNA(Y269+(VLOOKUP(A269,'Date Calcs'!A:W,22,0)*7),TODAY())</f>
        <v>46115</v>
      </c>
      <c r="AA269" s="4">
        <f>_xlfn.IFNA(VLOOKUP(A269,'RTR v2'!$A:$AW,46,0),"")</f>
        <v>0</v>
      </c>
    </row>
    <row r="270" spans="1:27" ht="23.25" hidden="1" x14ac:dyDescent="0.25">
      <c r="A270" s="12">
        <f>'Actual Dates'!A268</f>
        <v>0</v>
      </c>
      <c r="B270" s="13" t="str">
        <f>_xlfn.IFNA(VLOOKUP(A270,'Date Calcs'!A:B,2,),"")</f>
        <v/>
      </c>
      <c r="C270" s="14">
        <f>VLOOKUP(A270,'Actual Dates'!A:AE,18,)</f>
        <v>0</v>
      </c>
      <c r="D270" s="15">
        <f t="shared" ca="1" si="29"/>
        <v>46115</v>
      </c>
      <c r="E270" s="15">
        <f t="shared" ca="1" si="30"/>
        <v>46115</v>
      </c>
      <c r="F270" s="14">
        <f ca="1">IFERROR(ROUND(IF(A270="","",IF(E270=0,D270-Date!$B$3,D270-E270)),0),"")</f>
        <v>0</v>
      </c>
      <c r="G270" s="14" t="str">
        <f>_xlfn.IFNA(VLOOKUP(A270,'RTR v2'!A:AW,48,FALSE)," ")</f>
        <v/>
      </c>
      <c r="I270" s="16" t="str">
        <f t="shared" si="31"/>
        <v>N</v>
      </c>
      <c r="J270" s="16" t="str">
        <f t="shared" si="33"/>
        <v xml:space="preserve">  </v>
      </c>
      <c r="L270" s="17"/>
      <c r="M270" t="str">
        <f t="shared" si="34"/>
        <v xml:space="preserve"> </v>
      </c>
      <c r="N270">
        <f t="shared" si="35"/>
        <v>0</v>
      </c>
      <c r="O270">
        <f>IF(P270&lt;1,0,IF(VLOOKUP($A270,'Actual Dates'!$A:$G,5,0)="Y",1,0))</f>
        <v>0</v>
      </c>
      <c r="P270">
        <f>IF(Q270&lt;1,0,IF(VLOOKUP($A270,'Actual Dates'!$A:$G,4,0)="Y",1,0))</f>
        <v>0</v>
      </c>
      <c r="Q270">
        <f>IF(R270&lt;1,0,IF(VLOOKUP($A270,'Actual Dates'!$A:$G,3,0)="Y",1,0))</f>
        <v>0</v>
      </c>
      <c r="R270">
        <f>IF(VLOOKUP($A270,'Actual Dates'!$A:$G,2,0)="Y",1,0)</f>
        <v>0</v>
      </c>
      <c r="S270" s="4">
        <f ca="1">_xlfn.IFNA(+VLOOKUP(A270,'Date Calcs'!A:AG,8,),TODAY())</f>
        <v>46115</v>
      </c>
      <c r="T270" s="4">
        <f ca="1">_xlfn.IFNA(VLOOKUP(A270,'Date Calcs'!A:AG,10,),TODAY())</f>
        <v>46115</v>
      </c>
      <c r="U270" s="4">
        <f ca="1">_xlfn.IFNA(+VLOOKUP(A270,'Date Calcs'!A:AG,12,),TODAY())</f>
        <v>46115</v>
      </c>
      <c r="V270" s="4">
        <f ca="1">_xlfn.IFNA(+VLOOKUP(A270,'Date Calcs'!A:AG,14,),TODAY())</f>
        <v>46115</v>
      </c>
      <c r="W270" s="4">
        <f ca="1">_xlfn.IFNA(+VLOOKUP(A270,'Date Calcs'!A:AG,16,),TODAY())</f>
        <v>46115</v>
      </c>
      <c r="X270" s="4">
        <f ca="1">_xlfn.IFNA(IF(C270=0,VLOOKUP(A270,'Date Calcs'!A:AG,8,),IF(C270=1,VLOOKUP(A270,'Date Calcs'!A:AG,10,),IF(C270=2,VLOOKUP(A270,'Date Calcs'!A:AG,12,),IF(C270=3,VLOOKUP(A270,'Date Calcs'!A:AG,14,),4)))),TODAY())</f>
        <v>46115</v>
      </c>
      <c r="Y270" s="4">
        <f t="shared" ca="1" si="32"/>
        <v>46115</v>
      </c>
      <c r="Z270" s="4">
        <f ca="1">_xlfn.IFNA(Y270+(VLOOKUP(A270,'Date Calcs'!A:W,22,0)*7),TODAY())</f>
        <v>46115</v>
      </c>
      <c r="AA270" s="4">
        <f>_xlfn.IFNA(VLOOKUP(A270,'RTR v2'!$A:$AW,46,0),"")</f>
        <v>0</v>
      </c>
    </row>
    <row r="271" spans="1:27" ht="23.25" hidden="1" x14ac:dyDescent="0.25">
      <c r="A271" s="12">
        <f>'Actual Dates'!A269</f>
        <v>0</v>
      </c>
      <c r="B271" s="13" t="str">
        <f>_xlfn.IFNA(VLOOKUP(A271,'Date Calcs'!A:B,2,),"")</f>
        <v/>
      </c>
      <c r="C271" s="14">
        <f>VLOOKUP(A271,'Actual Dates'!A:AE,18,)</f>
        <v>0</v>
      </c>
      <c r="D271" s="15">
        <f t="shared" ca="1" si="29"/>
        <v>46115</v>
      </c>
      <c r="E271" s="15">
        <f t="shared" ca="1" si="30"/>
        <v>46115</v>
      </c>
      <c r="F271" s="14">
        <f ca="1">IFERROR(ROUND(IF(A271="","",IF(E271=0,D271-Date!$B$3,D271-E271)),0),"")</f>
        <v>0</v>
      </c>
      <c r="G271" s="14" t="str">
        <f>_xlfn.IFNA(VLOOKUP(A271,'RTR v2'!A:AW,48,FALSE)," ")</f>
        <v/>
      </c>
      <c r="I271" s="16" t="str">
        <f t="shared" si="31"/>
        <v>N</v>
      </c>
      <c r="J271" s="16" t="str">
        <f t="shared" si="33"/>
        <v xml:space="preserve">  </v>
      </c>
      <c r="L271" s="17"/>
      <c r="M271" t="str">
        <f t="shared" si="34"/>
        <v xml:space="preserve"> </v>
      </c>
      <c r="N271">
        <f t="shared" si="35"/>
        <v>0</v>
      </c>
      <c r="O271">
        <f>IF(P271&lt;1,0,IF(VLOOKUP($A271,'Actual Dates'!$A:$G,5,0)="Y",1,0))</f>
        <v>0</v>
      </c>
      <c r="P271">
        <f>IF(Q271&lt;1,0,IF(VLOOKUP($A271,'Actual Dates'!$A:$G,4,0)="Y",1,0))</f>
        <v>0</v>
      </c>
      <c r="Q271">
        <f>IF(R271&lt;1,0,IF(VLOOKUP($A271,'Actual Dates'!$A:$G,3,0)="Y",1,0))</f>
        <v>0</v>
      </c>
      <c r="R271">
        <f>IF(VLOOKUP($A271,'Actual Dates'!$A:$G,2,0)="Y",1,0)</f>
        <v>0</v>
      </c>
      <c r="S271" s="4">
        <f ca="1">_xlfn.IFNA(+VLOOKUP(A271,'Date Calcs'!A:AG,8,),TODAY())</f>
        <v>46115</v>
      </c>
      <c r="T271" s="4">
        <f ca="1">_xlfn.IFNA(VLOOKUP(A271,'Date Calcs'!A:AG,10,),TODAY())</f>
        <v>46115</v>
      </c>
      <c r="U271" s="4">
        <f ca="1">_xlfn.IFNA(+VLOOKUP(A271,'Date Calcs'!A:AG,12,),TODAY())</f>
        <v>46115</v>
      </c>
      <c r="V271" s="4">
        <f ca="1">_xlfn.IFNA(+VLOOKUP(A271,'Date Calcs'!A:AG,14,),TODAY())</f>
        <v>46115</v>
      </c>
      <c r="W271" s="4">
        <f ca="1">_xlfn.IFNA(+VLOOKUP(A271,'Date Calcs'!A:AG,16,),TODAY())</f>
        <v>46115</v>
      </c>
      <c r="X271" s="4">
        <f ca="1">_xlfn.IFNA(IF(C271=0,VLOOKUP(A271,'Date Calcs'!A:AG,8,),IF(C271=1,VLOOKUP(A271,'Date Calcs'!A:AG,10,),IF(C271=2,VLOOKUP(A271,'Date Calcs'!A:AG,12,),IF(C271=3,VLOOKUP(A271,'Date Calcs'!A:AG,14,),4)))),TODAY())</f>
        <v>46115</v>
      </c>
      <c r="Y271" s="4">
        <f t="shared" ca="1" si="32"/>
        <v>46115</v>
      </c>
      <c r="Z271" s="4">
        <f ca="1">_xlfn.IFNA(Y271+(VLOOKUP(A271,'Date Calcs'!A:W,22,0)*7),TODAY())</f>
        <v>46115</v>
      </c>
      <c r="AA271" s="4">
        <f>_xlfn.IFNA(VLOOKUP(A271,'RTR v2'!$A:$AW,46,0),"")</f>
        <v>0</v>
      </c>
    </row>
    <row r="272" spans="1:27" ht="23.25" hidden="1" x14ac:dyDescent="0.25">
      <c r="A272" s="12">
        <f>'Actual Dates'!A270</f>
        <v>0</v>
      </c>
      <c r="B272" s="13" t="str">
        <f>_xlfn.IFNA(VLOOKUP(A272,'Date Calcs'!A:B,2,),"")</f>
        <v/>
      </c>
      <c r="C272" s="14">
        <f>VLOOKUP(A272,'Actual Dates'!A:AE,18,)</f>
        <v>0</v>
      </c>
      <c r="D272" s="15">
        <f t="shared" ca="1" si="29"/>
        <v>46115</v>
      </c>
      <c r="E272" s="15">
        <f t="shared" ca="1" si="30"/>
        <v>46115</v>
      </c>
      <c r="F272" s="14">
        <f ca="1">IFERROR(ROUND(IF(A272="","",IF(E272=0,D272-Date!$B$3,D272-E272)),0),"")</f>
        <v>0</v>
      </c>
      <c r="G272" s="14" t="str">
        <f>_xlfn.IFNA(VLOOKUP(A272,'RTR v2'!A:AW,48,FALSE)," ")</f>
        <v/>
      </c>
      <c r="I272" s="16" t="str">
        <f t="shared" si="31"/>
        <v>N</v>
      </c>
      <c r="J272" s="16" t="str">
        <f t="shared" si="33"/>
        <v xml:space="preserve">  </v>
      </c>
      <c r="L272" s="17"/>
      <c r="M272" t="str">
        <f t="shared" si="34"/>
        <v xml:space="preserve"> </v>
      </c>
      <c r="N272">
        <f t="shared" si="35"/>
        <v>0</v>
      </c>
      <c r="O272">
        <f>IF(P272&lt;1,0,IF(VLOOKUP($A272,'Actual Dates'!$A:$G,5,0)="Y",1,0))</f>
        <v>0</v>
      </c>
      <c r="P272">
        <f>IF(Q272&lt;1,0,IF(VLOOKUP($A272,'Actual Dates'!$A:$G,4,0)="Y",1,0))</f>
        <v>0</v>
      </c>
      <c r="Q272">
        <f>IF(R272&lt;1,0,IF(VLOOKUP($A272,'Actual Dates'!$A:$G,3,0)="Y",1,0))</f>
        <v>0</v>
      </c>
      <c r="R272">
        <f>IF(VLOOKUP($A272,'Actual Dates'!$A:$G,2,0)="Y",1,0)</f>
        <v>0</v>
      </c>
      <c r="S272" s="4">
        <f ca="1">_xlfn.IFNA(+VLOOKUP(A272,'Date Calcs'!A:AG,8,),TODAY())</f>
        <v>46115</v>
      </c>
      <c r="T272" s="4">
        <f ca="1">_xlfn.IFNA(VLOOKUP(A272,'Date Calcs'!A:AG,10,),TODAY())</f>
        <v>46115</v>
      </c>
      <c r="U272" s="4">
        <f ca="1">_xlfn.IFNA(+VLOOKUP(A272,'Date Calcs'!A:AG,12,),TODAY())</f>
        <v>46115</v>
      </c>
      <c r="V272" s="4">
        <f ca="1">_xlfn.IFNA(+VLOOKUP(A272,'Date Calcs'!A:AG,14,),TODAY())</f>
        <v>46115</v>
      </c>
      <c r="W272" s="4">
        <f ca="1">_xlfn.IFNA(+VLOOKUP(A272,'Date Calcs'!A:AG,16,),TODAY())</f>
        <v>46115</v>
      </c>
      <c r="X272" s="4">
        <f ca="1">_xlfn.IFNA(IF(C272=0,VLOOKUP(A272,'Date Calcs'!A:AG,8,),IF(C272=1,VLOOKUP(A272,'Date Calcs'!A:AG,10,),IF(C272=2,VLOOKUP(A272,'Date Calcs'!A:AG,12,),IF(C272=3,VLOOKUP(A272,'Date Calcs'!A:AG,14,),4)))),TODAY())</f>
        <v>46115</v>
      </c>
      <c r="Y272" s="4">
        <f t="shared" ca="1" si="32"/>
        <v>46115</v>
      </c>
      <c r="Z272" s="4">
        <f ca="1">_xlfn.IFNA(Y272+(VLOOKUP(A272,'Date Calcs'!A:W,22,0)*7),TODAY())</f>
        <v>46115</v>
      </c>
      <c r="AA272" s="4">
        <f>_xlfn.IFNA(VLOOKUP(A272,'RTR v2'!$A:$AW,46,0),"")</f>
        <v>0</v>
      </c>
    </row>
    <row r="273" spans="1:27" ht="23.25" hidden="1" x14ac:dyDescent="0.25">
      <c r="A273" s="12">
        <f>'Actual Dates'!A271</f>
        <v>0</v>
      </c>
      <c r="B273" s="13" t="str">
        <f>_xlfn.IFNA(VLOOKUP(A273,'Date Calcs'!A:B,2,),"")</f>
        <v/>
      </c>
      <c r="C273" s="14">
        <f>VLOOKUP(A273,'Actual Dates'!A:AE,18,)</f>
        <v>0</v>
      </c>
      <c r="D273" s="15">
        <f t="shared" ca="1" si="29"/>
        <v>46115</v>
      </c>
      <c r="E273" s="15">
        <f t="shared" ca="1" si="30"/>
        <v>46115</v>
      </c>
      <c r="F273" s="14">
        <f ca="1">IFERROR(ROUND(IF(A273="","",IF(E273=0,D273-Date!$B$3,D273-E273)),0),"")</f>
        <v>0</v>
      </c>
      <c r="G273" s="14" t="str">
        <f>_xlfn.IFNA(VLOOKUP(A273,'RTR v2'!A:AW,48,FALSE)," ")</f>
        <v/>
      </c>
      <c r="I273" s="16" t="str">
        <f t="shared" si="31"/>
        <v>N</v>
      </c>
      <c r="J273" s="16" t="str">
        <f t="shared" si="33"/>
        <v xml:space="preserve">  </v>
      </c>
      <c r="L273" s="17"/>
      <c r="M273" t="str">
        <f t="shared" si="34"/>
        <v xml:space="preserve"> </v>
      </c>
      <c r="N273">
        <f t="shared" si="35"/>
        <v>0</v>
      </c>
      <c r="O273">
        <f>IF(P273&lt;1,0,IF(VLOOKUP($A273,'Actual Dates'!$A:$G,5,0)="Y",1,0))</f>
        <v>0</v>
      </c>
      <c r="P273">
        <f>IF(Q273&lt;1,0,IF(VLOOKUP($A273,'Actual Dates'!$A:$G,4,0)="Y",1,0))</f>
        <v>0</v>
      </c>
      <c r="Q273">
        <f>IF(R273&lt;1,0,IF(VLOOKUP($A273,'Actual Dates'!$A:$G,3,0)="Y",1,0))</f>
        <v>0</v>
      </c>
      <c r="R273">
        <f>IF(VLOOKUP($A273,'Actual Dates'!$A:$G,2,0)="Y",1,0)</f>
        <v>0</v>
      </c>
      <c r="S273" s="4">
        <f ca="1">_xlfn.IFNA(+VLOOKUP(A273,'Date Calcs'!A:AG,8,),TODAY())</f>
        <v>46115</v>
      </c>
      <c r="T273" s="4">
        <f ca="1">_xlfn.IFNA(VLOOKUP(A273,'Date Calcs'!A:AG,10,),TODAY())</f>
        <v>46115</v>
      </c>
      <c r="U273" s="4">
        <f ca="1">_xlfn.IFNA(+VLOOKUP(A273,'Date Calcs'!A:AG,12,),TODAY())</f>
        <v>46115</v>
      </c>
      <c r="V273" s="4">
        <f ca="1">_xlfn.IFNA(+VLOOKUP(A273,'Date Calcs'!A:AG,14,),TODAY())</f>
        <v>46115</v>
      </c>
      <c r="W273" s="4">
        <f ca="1">_xlfn.IFNA(+VLOOKUP(A273,'Date Calcs'!A:AG,16,),TODAY())</f>
        <v>46115</v>
      </c>
      <c r="X273" s="4">
        <f ca="1">_xlfn.IFNA(IF(C273=0,VLOOKUP(A273,'Date Calcs'!A:AG,8,),IF(C273=1,VLOOKUP(A273,'Date Calcs'!A:AG,10,),IF(C273=2,VLOOKUP(A273,'Date Calcs'!A:AG,12,),IF(C273=3,VLOOKUP(A273,'Date Calcs'!A:AG,14,),4)))),TODAY())</f>
        <v>46115</v>
      </c>
      <c r="Y273" s="4">
        <f t="shared" ca="1" si="32"/>
        <v>46115</v>
      </c>
      <c r="Z273" s="4">
        <f ca="1">_xlfn.IFNA(Y273+(VLOOKUP(A273,'Date Calcs'!A:W,22,0)*7),TODAY())</f>
        <v>46115</v>
      </c>
      <c r="AA273" s="4">
        <f>_xlfn.IFNA(VLOOKUP(A273,'RTR v2'!$A:$AW,46,0),"")</f>
        <v>0</v>
      </c>
    </row>
    <row r="274" spans="1:27" ht="23.25" hidden="1" x14ac:dyDescent="0.25">
      <c r="A274" s="12">
        <f>'Actual Dates'!A272</f>
        <v>0</v>
      </c>
      <c r="B274" s="13" t="str">
        <f>_xlfn.IFNA(VLOOKUP(A274,'Date Calcs'!A:B,2,),"")</f>
        <v/>
      </c>
      <c r="C274" s="14">
        <f>VLOOKUP(A274,'Actual Dates'!A:AE,18,)</f>
        <v>0</v>
      </c>
      <c r="D274" s="15">
        <f t="shared" ca="1" si="29"/>
        <v>46115</v>
      </c>
      <c r="E274" s="15">
        <f t="shared" ca="1" si="30"/>
        <v>46115</v>
      </c>
      <c r="F274" s="14">
        <f ca="1">IFERROR(ROUND(IF(A274="","",IF(E274=0,D274-Date!$B$3,D274-E274)),0),"")</f>
        <v>0</v>
      </c>
      <c r="G274" s="14" t="str">
        <f>_xlfn.IFNA(VLOOKUP(A274,'RTR v2'!A:AW,48,FALSE)," ")</f>
        <v/>
      </c>
      <c r="I274" s="16" t="str">
        <f t="shared" si="31"/>
        <v>N</v>
      </c>
      <c r="J274" s="16" t="str">
        <f t="shared" si="33"/>
        <v xml:space="preserve">  </v>
      </c>
      <c r="L274" s="17"/>
      <c r="M274" t="str">
        <f t="shared" si="34"/>
        <v xml:space="preserve"> </v>
      </c>
      <c r="N274">
        <f t="shared" si="35"/>
        <v>0</v>
      </c>
      <c r="O274">
        <f>IF(P274&lt;1,0,IF(VLOOKUP($A274,'Actual Dates'!$A:$G,5,0)="Y",1,0))</f>
        <v>0</v>
      </c>
      <c r="P274">
        <f>IF(Q274&lt;1,0,IF(VLOOKUP($A274,'Actual Dates'!$A:$G,4,0)="Y",1,0))</f>
        <v>0</v>
      </c>
      <c r="Q274">
        <f>IF(R274&lt;1,0,IF(VLOOKUP($A274,'Actual Dates'!$A:$G,3,0)="Y",1,0))</f>
        <v>0</v>
      </c>
      <c r="R274">
        <f>IF(VLOOKUP($A274,'Actual Dates'!$A:$G,2,0)="Y",1,0)</f>
        <v>0</v>
      </c>
      <c r="S274" s="4">
        <f ca="1">_xlfn.IFNA(+VLOOKUP(A274,'Date Calcs'!A:AG,8,),TODAY())</f>
        <v>46115</v>
      </c>
      <c r="T274" s="4">
        <f ca="1">_xlfn.IFNA(VLOOKUP(A274,'Date Calcs'!A:AG,10,),TODAY())</f>
        <v>46115</v>
      </c>
      <c r="U274" s="4">
        <f ca="1">_xlfn.IFNA(+VLOOKUP(A274,'Date Calcs'!A:AG,12,),TODAY())</f>
        <v>46115</v>
      </c>
      <c r="V274" s="4">
        <f ca="1">_xlfn.IFNA(+VLOOKUP(A274,'Date Calcs'!A:AG,14,),TODAY())</f>
        <v>46115</v>
      </c>
      <c r="W274" s="4">
        <f ca="1">_xlfn.IFNA(+VLOOKUP(A274,'Date Calcs'!A:AG,16,),TODAY())</f>
        <v>46115</v>
      </c>
      <c r="X274" s="4">
        <f ca="1">_xlfn.IFNA(IF(C274=0,VLOOKUP(A274,'Date Calcs'!A:AG,8,),IF(C274=1,VLOOKUP(A274,'Date Calcs'!A:AG,10,),IF(C274=2,VLOOKUP(A274,'Date Calcs'!A:AG,12,),IF(C274=3,VLOOKUP(A274,'Date Calcs'!A:AG,14,),4)))),TODAY())</f>
        <v>46115</v>
      </c>
      <c r="Y274" s="4">
        <f t="shared" ca="1" si="32"/>
        <v>46115</v>
      </c>
      <c r="Z274" s="4">
        <f ca="1">_xlfn.IFNA(Y274+(VLOOKUP(A274,'Date Calcs'!A:W,22,0)*7),TODAY())</f>
        <v>46115</v>
      </c>
      <c r="AA274" s="4">
        <f>_xlfn.IFNA(VLOOKUP(A274,'RTR v2'!$A:$AW,46,0),"")</f>
        <v>0</v>
      </c>
    </row>
    <row r="275" spans="1:27" ht="23.25" hidden="1" x14ac:dyDescent="0.25">
      <c r="A275" s="12">
        <f>'Actual Dates'!A273</f>
        <v>0</v>
      </c>
      <c r="B275" s="13" t="str">
        <f>_xlfn.IFNA(VLOOKUP(A275,'Date Calcs'!A:B,2,),"")</f>
        <v/>
      </c>
      <c r="C275" s="14">
        <f>VLOOKUP(A275,'Actual Dates'!A:AE,18,)</f>
        <v>0</v>
      </c>
      <c r="D275" s="15">
        <f t="shared" ca="1" si="29"/>
        <v>46115</v>
      </c>
      <c r="E275" s="15">
        <f t="shared" ca="1" si="30"/>
        <v>46115</v>
      </c>
      <c r="F275" s="14">
        <f ca="1">IFERROR(ROUND(IF(A275="","",IF(E275=0,D275-Date!$B$3,D275-E275)),0),"")</f>
        <v>0</v>
      </c>
      <c r="G275" s="14" t="str">
        <f>_xlfn.IFNA(VLOOKUP(A275,'RTR v2'!A:AW,48,FALSE)," ")</f>
        <v/>
      </c>
      <c r="I275" s="16" t="str">
        <f t="shared" si="31"/>
        <v>N</v>
      </c>
      <c r="J275" s="16" t="str">
        <f t="shared" si="33"/>
        <v xml:space="preserve">  </v>
      </c>
      <c r="L275" s="17"/>
      <c r="M275" t="str">
        <f t="shared" si="34"/>
        <v xml:space="preserve"> </v>
      </c>
      <c r="N275">
        <f t="shared" si="35"/>
        <v>0</v>
      </c>
      <c r="O275">
        <f>IF(P275&lt;1,0,IF(VLOOKUP($A275,'Actual Dates'!$A:$G,5,0)="Y",1,0))</f>
        <v>0</v>
      </c>
      <c r="P275">
        <f>IF(Q275&lt;1,0,IF(VLOOKUP($A275,'Actual Dates'!$A:$G,4,0)="Y",1,0))</f>
        <v>0</v>
      </c>
      <c r="Q275">
        <f>IF(R275&lt;1,0,IF(VLOOKUP($A275,'Actual Dates'!$A:$G,3,0)="Y",1,0))</f>
        <v>0</v>
      </c>
      <c r="R275">
        <f>IF(VLOOKUP($A275,'Actual Dates'!$A:$G,2,0)="Y",1,0)</f>
        <v>0</v>
      </c>
      <c r="S275" s="4">
        <f ca="1">_xlfn.IFNA(+VLOOKUP(A275,'Date Calcs'!A:AG,8,),TODAY())</f>
        <v>46115</v>
      </c>
      <c r="T275" s="4">
        <f ca="1">_xlfn.IFNA(VLOOKUP(A275,'Date Calcs'!A:AG,10,),TODAY())</f>
        <v>46115</v>
      </c>
      <c r="U275" s="4">
        <f ca="1">_xlfn.IFNA(+VLOOKUP(A275,'Date Calcs'!A:AG,12,),TODAY())</f>
        <v>46115</v>
      </c>
      <c r="V275" s="4">
        <f ca="1">_xlfn.IFNA(+VLOOKUP(A275,'Date Calcs'!A:AG,14,),TODAY())</f>
        <v>46115</v>
      </c>
      <c r="W275" s="4">
        <f ca="1">_xlfn.IFNA(+VLOOKUP(A275,'Date Calcs'!A:AG,16,),TODAY())</f>
        <v>46115</v>
      </c>
      <c r="X275" s="4">
        <f ca="1">_xlfn.IFNA(IF(C275=0,VLOOKUP(A275,'Date Calcs'!A:AG,8,),IF(C275=1,VLOOKUP(A275,'Date Calcs'!A:AG,10,),IF(C275=2,VLOOKUP(A275,'Date Calcs'!A:AG,12,),IF(C275=3,VLOOKUP(A275,'Date Calcs'!A:AG,14,),4)))),TODAY())</f>
        <v>46115</v>
      </c>
      <c r="Y275" s="4">
        <f t="shared" ca="1" si="32"/>
        <v>46115</v>
      </c>
      <c r="Z275" s="4">
        <f ca="1">_xlfn.IFNA(Y275+(VLOOKUP(A275,'Date Calcs'!A:W,22,0)*7),TODAY())</f>
        <v>46115</v>
      </c>
      <c r="AA275" s="4">
        <f>_xlfn.IFNA(VLOOKUP(A275,'RTR v2'!$A:$AW,46,0),"")</f>
        <v>0</v>
      </c>
    </row>
    <row r="276" spans="1:27" ht="23.25" hidden="1" x14ac:dyDescent="0.25">
      <c r="A276" s="12">
        <f>'Actual Dates'!A274</f>
        <v>0</v>
      </c>
      <c r="B276" s="13" t="str">
        <f>_xlfn.IFNA(VLOOKUP(A276,'Date Calcs'!A:B,2,),"")</f>
        <v/>
      </c>
      <c r="C276" s="14">
        <f>VLOOKUP(A276,'Actual Dates'!A:AE,18,)</f>
        <v>0</v>
      </c>
      <c r="D276" s="15">
        <f t="shared" ca="1" si="29"/>
        <v>46115</v>
      </c>
      <c r="E276" s="15">
        <f t="shared" ca="1" si="30"/>
        <v>46115</v>
      </c>
      <c r="F276" s="14">
        <f ca="1">IFERROR(ROUND(IF(A276="","",IF(E276=0,D276-Date!$B$3,D276-E276)),0),"")</f>
        <v>0</v>
      </c>
      <c r="G276" s="14" t="str">
        <f>_xlfn.IFNA(VLOOKUP(A276,'RTR v2'!A:AW,48,FALSE)," ")</f>
        <v/>
      </c>
      <c r="I276" s="16" t="str">
        <f t="shared" si="31"/>
        <v>N</v>
      </c>
      <c r="J276" s="16" t="str">
        <f t="shared" si="33"/>
        <v xml:space="preserve">  </v>
      </c>
      <c r="L276" s="17"/>
      <c r="M276" t="str">
        <f t="shared" si="34"/>
        <v xml:space="preserve"> </v>
      </c>
      <c r="N276">
        <f t="shared" si="35"/>
        <v>0</v>
      </c>
      <c r="O276">
        <f>IF(P276&lt;1,0,IF(VLOOKUP($A276,'Actual Dates'!$A:$G,5,0)="Y",1,0))</f>
        <v>0</v>
      </c>
      <c r="P276">
        <f>IF(Q276&lt;1,0,IF(VLOOKUP($A276,'Actual Dates'!$A:$G,4,0)="Y",1,0))</f>
        <v>0</v>
      </c>
      <c r="Q276">
        <f>IF(R276&lt;1,0,IF(VLOOKUP($A276,'Actual Dates'!$A:$G,3,0)="Y",1,0))</f>
        <v>0</v>
      </c>
      <c r="R276">
        <f>IF(VLOOKUP($A276,'Actual Dates'!$A:$G,2,0)="Y",1,0)</f>
        <v>0</v>
      </c>
      <c r="S276" s="4">
        <f ca="1">_xlfn.IFNA(+VLOOKUP(A276,'Date Calcs'!A:AG,8,),TODAY())</f>
        <v>46115</v>
      </c>
      <c r="T276" s="4">
        <f ca="1">_xlfn.IFNA(VLOOKUP(A276,'Date Calcs'!A:AG,10,),TODAY())</f>
        <v>46115</v>
      </c>
      <c r="U276" s="4">
        <f ca="1">_xlfn.IFNA(+VLOOKUP(A276,'Date Calcs'!A:AG,12,),TODAY())</f>
        <v>46115</v>
      </c>
      <c r="V276" s="4">
        <f ca="1">_xlfn.IFNA(+VLOOKUP(A276,'Date Calcs'!A:AG,14,),TODAY())</f>
        <v>46115</v>
      </c>
      <c r="W276" s="4">
        <f ca="1">_xlfn.IFNA(+VLOOKUP(A276,'Date Calcs'!A:AG,16,),TODAY())</f>
        <v>46115</v>
      </c>
      <c r="X276" s="4">
        <f ca="1">_xlfn.IFNA(IF(C276=0,VLOOKUP(A276,'Date Calcs'!A:AG,8,),IF(C276=1,VLOOKUP(A276,'Date Calcs'!A:AG,10,),IF(C276=2,VLOOKUP(A276,'Date Calcs'!A:AG,12,),IF(C276=3,VLOOKUP(A276,'Date Calcs'!A:AG,14,),4)))),TODAY())</f>
        <v>46115</v>
      </c>
      <c r="Y276" s="4">
        <f t="shared" ca="1" si="32"/>
        <v>46115</v>
      </c>
      <c r="Z276" s="4">
        <f ca="1">_xlfn.IFNA(Y276+(VLOOKUP(A276,'Date Calcs'!A:W,22,0)*7),TODAY())</f>
        <v>46115</v>
      </c>
      <c r="AA276" s="4">
        <f>_xlfn.IFNA(VLOOKUP(A276,'RTR v2'!$A:$AW,46,0),"")</f>
        <v>0</v>
      </c>
    </row>
    <row r="277" spans="1:27" ht="23.25" hidden="1" x14ac:dyDescent="0.25">
      <c r="A277" s="12">
        <f>'Actual Dates'!A275</f>
        <v>0</v>
      </c>
      <c r="B277" s="13" t="str">
        <f>_xlfn.IFNA(VLOOKUP(A277,'Date Calcs'!A:B,2,),"")</f>
        <v/>
      </c>
      <c r="C277" s="14">
        <f>VLOOKUP(A277,'Actual Dates'!A:AE,18,)</f>
        <v>0</v>
      </c>
      <c r="D277" s="15">
        <f t="shared" ca="1" si="29"/>
        <v>46115</v>
      </c>
      <c r="E277" s="15">
        <f t="shared" ca="1" si="30"/>
        <v>46115</v>
      </c>
      <c r="F277" s="14">
        <f ca="1">IFERROR(ROUND(IF(A277="","",IF(E277=0,D277-Date!$B$3,D277-E277)),0),"")</f>
        <v>0</v>
      </c>
      <c r="G277" s="14" t="str">
        <f>_xlfn.IFNA(VLOOKUP(A277,'RTR v2'!A:AW,48,FALSE)," ")</f>
        <v/>
      </c>
      <c r="I277" s="16" t="str">
        <f t="shared" si="31"/>
        <v>N</v>
      </c>
      <c r="J277" s="16" t="str">
        <f t="shared" si="33"/>
        <v xml:space="preserve">  </v>
      </c>
      <c r="L277" s="17"/>
      <c r="M277" t="str">
        <f t="shared" si="34"/>
        <v xml:space="preserve"> </v>
      </c>
      <c r="N277">
        <f t="shared" si="35"/>
        <v>0</v>
      </c>
      <c r="O277">
        <f>IF(P277&lt;1,0,IF(VLOOKUP($A277,'Actual Dates'!$A:$G,5,0)="Y",1,0))</f>
        <v>0</v>
      </c>
      <c r="P277">
        <f>IF(Q277&lt;1,0,IF(VLOOKUP($A277,'Actual Dates'!$A:$G,4,0)="Y",1,0))</f>
        <v>0</v>
      </c>
      <c r="Q277">
        <f>IF(R277&lt;1,0,IF(VLOOKUP($A277,'Actual Dates'!$A:$G,3,0)="Y",1,0))</f>
        <v>0</v>
      </c>
      <c r="R277">
        <f>IF(VLOOKUP($A277,'Actual Dates'!$A:$G,2,0)="Y",1,0)</f>
        <v>0</v>
      </c>
      <c r="S277" s="4">
        <f ca="1">_xlfn.IFNA(+VLOOKUP(A277,'Date Calcs'!A:AG,8,),TODAY())</f>
        <v>46115</v>
      </c>
      <c r="T277" s="4">
        <f ca="1">_xlfn.IFNA(VLOOKUP(A277,'Date Calcs'!A:AG,10,),TODAY())</f>
        <v>46115</v>
      </c>
      <c r="U277" s="4">
        <f ca="1">_xlfn.IFNA(+VLOOKUP(A277,'Date Calcs'!A:AG,12,),TODAY())</f>
        <v>46115</v>
      </c>
      <c r="V277" s="4">
        <f ca="1">_xlfn.IFNA(+VLOOKUP(A277,'Date Calcs'!A:AG,14,),TODAY())</f>
        <v>46115</v>
      </c>
      <c r="W277" s="4">
        <f ca="1">_xlfn.IFNA(+VLOOKUP(A277,'Date Calcs'!A:AG,16,),TODAY())</f>
        <v>46115</v>
      </c>
      <c r="X277" s="4">
        <f ca="1">_xlfn.IFNA(IF(C277=0,VLOOKUP(A277,'Date Calcs'!A:AG,8,),IF(C277=1,VLOOKUP(A277,'Date Calcs'!A:AG,10,),IF(C277=2,VLOOKUP(A277,'Date Calcs'!A:AG,12,),IF(C277=3,VLOOKUP(A277,'Date Calcs'!A:AG,14,),4)))),TODAY())</f>
        <v>46115</v>
      </c>
      <c r="Y277" s="4">
        <f t="shared" ca="1" si="32"/>
        <v>46115</v>
      </c>
      <c r="Z277" s="4">
        <f ca="1">_xlfn.IFNA(Y277+(VLOOKUP(A277,'Date Calcs'!A:W,22,0)*7),TODAY())</f>
        <v>46115</v>
      </c>
      <c r="AA277" s="4">
        <f>_xlfn.IFNA(VLOOKUP(A277,'RTR v2'!$A:$AW,46,0),"")</f>
        <v>0</v>
      </c>
    </row>
    <row r="278" spans="1:27" ht="23.25" hidden="1" x14ac:dyDescent="0.25">
      <c r="A278" s="12">
        <f>'Actual Dates'!A276</f>
        <v>0</v>
      </c>
      <c r="B278" s="13" t="str">
        <f>_xlfn.IFNA(VLOOKUP(A278,'Date Calcs'!A:B,2,),"")</f>
        <v/>
      </c>
      <c r="C278" s="14">
        <f>VLOOKUP(A278,'Actual Dates'!A:AE,18,)</f>
        <v>0</v>
      </c>
      <c r="D278" s="15">
        <f t="shared" ca="1" si="29"/>
        <v>46115</v>
      </c>
      <c r="E278" s="15">
        <f t="shared" ca="1" si="30"/>
        <v>46115</v>
      </c>
      <c r="F278" s="14">
        <f ca="1">IFERROR(ROUND(IF(A278="","",IF(E278=0,D278-Date!$B$3,D278-E278)),0),"")</f>
        <v>0</v>
      </c>
      <c r="G278" s="14" t="str">
        <f>_xlfn.IFNA(VLOOKUP(A278,'RTR v2'!A:AW,48,FALSE)," ")</f>
        <v/>
      </c>
      <c r="I278" s="16" t="str">
        <f t="shared" si="31"/>
        <v>N</v>
      </c>
      <c r="J278" s="16" t="str">
        <f t="shared" si="33"/>
        <v xml:space="preserve">  </v>
      </c>
      <c r="L278" s="17"/>
      <c r="M278" t="str">
        <f t="shared" si="34"/>
        <v xml:space="preserve"> </v>
      </c>
      <c r="N278">
        <f t="shared" si="35"/>
        <v>0</v>
      </c>
      <c r="O278">
        <f>IF(P278&lt;1,0,IF(VLOOKUP($A278,'Actual Dates'!$A:$G,5,0)="Y",1,0))</f>
        <v>0</v>
      </c>
      <c r="P278">
        <f>IF(Q278&lt;1,0,IF(VLOOKUP($A278,'Actual Dates'!$A:$G,4,0)="Y",1,0))</f>
        <v>0</v>
      </c>
      <c r="Q278">
        <f>IF(R278&lt;1,0,IF(VLOOKUP($A278,'Actual Dates'!$A:$G,3,0)="Y",1,0))</f>
        <v>0</v>
      </c>
      <c r="R278">
        <f>IF(VLOOKUP($A278,'Actual Dates'!$A:$G,2,0)="Y",1,0)</f>
        <v>0</v>
      </c>
      <c r="S278" s="4">
        <f ca="1">_xlfn.IFNA(+VLOOKUP(A278,'Date Calcs'!A:AG,8,),TODAY())</f>
        <v>46115</v>
      </c>
      <c r="T278" s="4">
        <f ca="1">_xlfn.IFNA(VLOOKUP(A278,'Date Calcs'!A:AG,10,),TODAY())</f>
        <v>46115</v>
      </c>
      <c r="U278" s="4">
        <f ca="1">_xlfn.IFNA(+VLOOKUP(A278,'Date Calcs'!A:AG,12,),TODAY())</f>
        <v>46115</v>
      </c>
      <c r="V278" s="4">
        <f ca="1">_xlfn.IFNA(+VLOOKUP(A278,'Date Calcs'!A:AG,14,),TODAY())</f>
        <v>46115</v>
      </c>
      <c r="W278" s="4">
        <f ca="1">_xlfn.IFNA(+VLOOKUP(A278,'Date Calcs'!A:AG,16,),TODAY())</f>
        <v>46115</v>
      </c>
      <c r="X278" s="4">
        <f ca="1">_xlfn.IFNA(IF(C278=0,VLOOKUP(A278,'Date Calcs'!A:AG,8,),IF(C278=1,VLOOKUP(A278,'Date Calcs'!A:AG,10,),IF(C278=2,VLOOKUP(A278,'Date Calcs'!A:AG,12,),IF(C278=3,VLOOKUP(A278,'Date Calcs'!A:AG,14,),4)))),TODAY())</f>
        <v>46115</v>
      </c>
      <c r="Y278" s="4">
        <f t="shared" ca="1" si="32"/>
        <v>46115</v>
      </c>
      <c r="Z278" s="4">
        <f ca="1">_xlfn.IFNA(Y278+(VLOOKUP(A278,'Date Calcs'!A:W,22,0)*7),TODAY())</f>
        <v>46115</v>
      </c>
      <c r="AA278" s="4">
        <f>_xlfn.IFNA(VLOOKUP(A278,'RTR v2'!$A:$AW,46,0),"")</f>
        <v>0</v>
      </c>
    </row>
    <row r="279" spans="1:27" ht="23.25" hidden="1" x14ac:dyDescent="0.25">
      <c r="A279" s="12">
        <f>'Actual Dates'!A277</f>
        <v>0</v>
      </c>
      <c r="B279" s="13" t="str">
        <f>_xlfn.IFNA(VLOOKUP(A279,'Date Calcs'!A:B,2,),"")</f>
        <v/>
      </c>
      <c r="C279" s="14">
        <f>VLOOKUP(A279,'Actual Dates'!A:AE,18,)</f>
        <v>0</v>
      </c>
      <c r="D279" s="15">
        <f t="shared" ca="1" si="29"/>
        <v>46115</v>
      </c>
      <c r="E279" s="15">
        <f t="shared" ca="1" si="30"/>
        <v>46115</v>
      </c>
      <c r="F279" s="14">
        <f ca="1">IFERROR(ROUND(IF(A279="","",IF(E279=0,D279-Date!$B$3,D279-E279)),0),"")</f>
        <v>0</v>
      </c>
      <c r="G279" s="14" t="str">
        <f>_xlfn.IFNA(VLOOKUP(A279,'RTR v2'!A:AW,48,FALSE)," ")</f>
        <v/>
      </c>
      <c r="I279" s="16" t="str">
        <f t="shared" si="31"/>
        <v>N</v>
      </c>
      <c r="J279" s="16" t="str">
        <f t="shared" si="33"/>
        <v xml:space="preserve">  </v>
      </c>
      <c r="L279" s="17"/>
      <c r="M279" t="str">
        <f t="shared" si="34"/>
        <v xml:space="preserve"> </v>
      </c>
      <c r="N279">
        <f t="shared" si="35"/>
        <v>0</v>
      </c>
      <c r="O279">
        <f>IF(P279&lt;1,0,IF(VLOOKUP($A279,'Actual Dates'!$A:$G,5,0)="Y",1,0))</f>
        <v>0</v>
      </c>
      <c r="P279">
        <f>IF(Q279&lt;1,0,IF(VLOOKUP($A279,'Actual Dates'!$A:$G,4,0)="Y",1,0))</f>
        <v>0</v>
      </c>
      <c r="Q279">
        <f>IF(R279&lt;1,0,IF(VLOOKUP($A279,'Actual Dates'!$A:$G,3,0)="Y",1,0))</f>
        <v>0</v>
      </c>
      <c r="R279">
        <f>IF(VLOOKUP($A279,'Actual Dates'!$A:$G,2,0)="Y",1,0)</f>
        <v>0</v>
      </c>
      <c r="S279" s="4">
        <f ca="1">_xlfn.IFNA(+VLOOKUP(A279,'Date Calcs'!A:AG,8,),TODAY())</f>
        <v>46115</v>
      </c>
      <c r="T279" s="4">
        <f ca="1">_xlfn.IFNA(VLOOKUP(A279,'Date Calcs'!A:AG,10,),TODAY())</f>
        <v>46115</v>
      </c>
      <c r="U279" s="4">
        <f ca="1">_xlfn.IFNA(+VLOOKUP(A279,'Date Calcs'!A:AG,12,),TODAY())</f>
        <v>46115</v>
      </c>
      <c r="V279" s="4">
        <f ca="1">_xlfn.IFNA(+VLOOKUP(A279,'Date Calcs'!A:AG,14,),TODAY())</f>
        <v>46115</v>
      </c>
      <c r="W279" s="4">
        <f ca="1">_xlfn.IFNA(+VLOOKUP(A279,'Date Calcs'!A:AG,16,),TODAY())</f>
        <v>46115</v>
      </c>
      <c r="X279" s="4">
        <f ca="1">_xlfn.IFNA(IF(C279=0,VLOOKUP(A279,'Date Calcs'!A:AG,8,),IF(C279=1,VLOOKUP(A279,'Date Calcs'!A:AG,10,),IF(C279=2,VLOOKUP(A279,'Date Calcs'!A:AG,12,),IF(C279=3,VLOOKUP(A279,'Date Calcs'!A:AG,14,),4)))),TODAY())</f>
        <v>46115</v>
      </c>
      <c r="Y279" s="4">
        <f t="shared" ca="1" si="32"/>
        <v>46115</v>
      </c>
      <c r="Z279" s="4">
        <f ca="1">_xlfn.IFNA(Y279+(VLOOKUP(A279,'Date Calcs'!A:W,22,0)*7),TODAY())</f>
        <v>46115</v>
      </c>
      <c r="AA279" s="4">
        <f>_xlfn.IFNA(VLOOKUP(A279,'RTR v2'!$A:$AW,46,0),"")</f>
        <v>0</v>
      </c>
    </row>
    <row r="280" spans="1:27" ht="23.25" hidden="1" x14ac:dyDescent="0.25">
      <c r="A280" s="12">
        <f>'Actual Dates'!A278</f>
        <v>0</v>
      </c>
      <c r="B280" s="13" t="str">
        <f>_xlfn.IFNA(VLOOKUP(A280,'Date Calcs'!A:B,2,),"")</f>
        <v/>
      </c>
      <c r="C280" s="14">
        <f>VLOOKUP(A280,'Actual Dates'!A:AE,18,)</f>
        <v>0</v>
      </c>
      <c r="D280" s="15">
        <f t="shared" ca="1" si="29"/>
        <v>46115</v>
      </c>
      <c r="E280" s="15">
        <f t="shared" ca="1" si="30"/>
        <v>46115</v>
      </c>
      <c r="F280" s="14">
        <f ca="1">IFERROR(ROUND(IF(A280="","",IF(E280=0,D280-Date!$B$3,D280-E280)),0),"")</f>
        <v>0</v>
      </c>
      <c r="G280" s="14" t="str">
        <f>_xlfn.IFNA(VLOOKUP(A280,'RTR v2'!A:AW,48,FALSE)," ")</f>
        <v/>
      </c>
      <c r="I280" s="16" t="str">
        <f t="shared" si="31"/>
        <v>N</v>
      </c>
      <c r="J280" s="16" t="str">
        <f t="shared" si="33"/>
        <v xml:space="preserve">  </v>
      </c>
      <c r="L280" s="17"/>
      <c r="M280" t="str">
        <f t="shared" si="34"/>
        <v xml:space="preserve"> </v>
      </c>
      <c r="N280">
        <f t="shared" si="35"/>
        <v>0</v>
      </c>
      <c r="O280">
        <f>IF(P280&lt;1,0,IF(VLOOKUP($A280,'Actual Dates'!$A:$G,5,0)="Y",1,0))</f>
        <v>0</v>
      </c>
      <c r="P280">
        <f>IF(Q280&lt;1,0,IF(VLOOKUP($A280,'Actual Dates'!$A:$G,4,0)="Y",1,0))</f>
        <v>0</v>
      </c>
      <c r="Q280">
        <f>IF(R280&lt;1,0,IF(VLOOKUP($A280,'Actual Dates'!$A:$G,3,0)="Y",1,0))</f>
        <v>0</v>
      </c>
      <c r="R280">
        <f>IF(VLOOKUP($A280,'Actual Dates'!$A:$G,2,0)="Y",1,0)</f>
        <v>0</v>
      </c>
      <c r="S280" s="4">
        <f ca="1">_xlfn.IFNA(+VLOOKUP(A280,'Date Calcs'!A:AG,8,),TODAY())</f>
        <v>46115</v>
      </c>
      <c r="T280" s="4">
        <f ca="1">_xlfn.IFNA(VLOOKUP(A280,'Date Calcs'!A:AG,10,),TODAY())</f>
        <v>46115</v>
      </c>
      <c r="U280" s="4">
        <f ca="1">_xlfn.IFNA(+VLOOKUP(A280,'Date Calcs'!A:AG,12,),TODAY())</f>
        <v>46115</v>
      </c>
      <c r="V280" s="4">
        <f ca="1">_xlfn.IFNA(+VLOOKUP(A280,'Date Calcs'!A:AG,14,),TODAY())</f>
        <v>46115</v>
      </c>
      <c r="W280" s="4">
        <f ca="1">_xlfn.IFNA(+VLOOKUP(A280,'Date Calcs'!A:AG,16,),TODAY())</f>
        <v>46115</v>
      </c>
      <c r="X280" s="4">
        <f ca="1">_xlfn.IFNA(IF(C280=0,VLOOKUP(A280,'Date Calcs'!A:AG,8,),IF(C280=1,VLOOKUP(A280,'Date Calcs'!A:AG,10,),IF(C280=2,VLOOKUP(A280,'Date Calcs'!A:AG,12,),IF(C280=3,VLOOKUP(A280,'Date Calcs'!A:AG,14,),4)))),TODAY())</f>
        <v>46115</v>
      </c>
      <c r="Y280" s="4">
        <f t="shared" ca="1" si="32"/>
        <v>46115</v>
      </c>
      <c r="Z280" s="4">
        <f ca="1">_xlfn.IFNA(Y280+(VLOOKUP(A280,'Date Calcs'!A:W,22,0)*7),TODAY())</f>
        <v>46115</v>
      </c>
      <c r="AA280" s="4">
        <f>_xlfn.IFNA(VLOOKUP(A280,'RTR v2'!$A:$AW,46,0),"")</f>
        <v>0</v>
      </c>
    </row>
    <row r="281" spans="1:27" ht="23.25" hidden="1" x14ac:dyDescent="0.25">
      <c r="A281" s="12">
        <f>'Actual Dates'!A279</f>
        <v>0</v>
      </c>
      <c r="B281" s="13" t="str">
        <f>_xlfn.IFNA(VLOOKUP(A281,'Date Calcs'!A:B,2,),"")</f>
        <v/>
      </c>
      <c r="C281" s="14">
        <f>VLOOKUP(A281,'Actual Dates'!A:AE,18,)</f>
        <v>0</v>
      </c>
      <c r="D281" s="15">
        <f t="shared" ca="1" si="29"/>
        <v>46115</v>
      </c>
      <c r="E281" s="15">
        <f t="shared" ca="1" si="30"/>
        <v>46115</v>
      </c>
      <c r="F281" s="14">
        <f ca="1">IFERROR(ROUND(IF(A281="","",IF(E281=0,D281-Date!$B$3,D281-E281)),0),"")</f>
        <v>0</v>
      </c>
      <c r="G281" s="14" t="str">
        <f>_xlfn.IFNA(VLOOKUP(A281,'RTR v2'!A:AW,48,FALSE)," ")</f>
        <v/>
      </c>
      <c r="I281" s="16" t="str">
        <f t="shared" si="31"/>
        <v>N</v>
      </c>
      <c r="J281" s="16" t="str">
        <f t="shared" si="33"/>
        <v xml:space="preserve">  </v>
      </c>
      <c r="L281" s="17"/>
      <c r="M281" t="str">
        <f t="shared" si="34"/>
        <v xml:space="preserve"> </v>
      </c>
      <c r="N281">
        <f t="shared" si="35"/>
        <v>0</v>
      </c>
      <c r="O281">
        <f>IF(P281&lt;1,0,IF(VLOOKUP($A281,'Actual Dates'!$A:$G,5,0)="Y",1,0))</f>
        <v>0</v>
      </c>
      <c r="P281">
        <f>IF(Q281&lt;1,0,IF(VLOOKUP($A281,'Actual Dates'!$A:$G,4,0)="Y",1,0))</f>
        <v>0</v>
      </c>
      <c r="Q281">
        <f>IF(R281&lt;1,0,IF(VLOOKUP($A281,'Actual Dates'!$A:$G,3,0)="Y",1,0))</f>
        <v>0</v>
      </c>
      <c r="R281">
        <f>IF(VLOOKUP($A281,'Actual Dates'!$A:$G,2,0)="Y",1,0)</f>
        <v>0</v>
      </c>
      <c r="S281" s="4">
        <f ca="1">_xlfn.IFNA(+VLOOKUP(A281,'Date Calcs'!A:AG,8,),TODAY())</f>
        <v>46115</v>
      </c>
      <c r="T281" s="4">
        <f ca="1">_xlfn.IFNA(VLOOKUP(A281,'Date Calcs'!A:AG,10,),TODAY())</f>
        <v>46115</v>
      </c>
      <c r="U281" s="4">
        <f ca="1">_xlfn.IFNA(+VLOOKUP(A281,'Date Calcs'!A:AG,12,),TODAY())</f>
        <v>46115</v>
      </c>
      <c r="V281" s="4">
        <f ca="1">_xlfn.IFNA(+VLOOKUP(A281,'Date Calcs'!A:AG,14,),TODAY())</f>
        <v>46115</v>
      </c>
      <c r="W281" s="4">
        <f ca="1">_xlfn.IFNA(+VLOOKUP(A281,'Date Calcs'!A:AG,16,),TODAY())</f>
        <v>46115</v>
      </c>
      <c r="X281" s="4">
        <f ca="1">_xlfn.IFNA(IF(C281=0,VLOOKUP(A281,'Date Calcs'!A:AG,8,),IF(C281=1,VLOOKUP(A281,'Date Calcs'!A:AG,10,),IF(C281=2,VLOOKUP(A281,'Date Calcs'!A:AG,12,),IF(C281=3,VLOOKUP(A281,'Date Calcs'!A:AG,14,),4)))),TODAY())</f>
        <v>46115</v>
      </c>
      <c r="Y281" s="4">
        <f t="shared" ca="1" si="32"/>
        <v>46115</v>
      </c>
      <c r="Z281" s="4">
        <f ca="1">_xlfn.IFNA(Y281+(VLOOKUP(A281,'Date Calcs'!A:W,22,0)*7),TODAY())</f>
        <v>46115</v>
      </c>
      <c r="AA281" s="4">
        <f>_xlfn.IFNA(VLOOKUP(A281,'RTR v2'!$A:$AW,46,0),"")</f>
        <v>0</v>
      </c>
    </row>
    <row r="282" spans="1:27" ht="23.25" hidden="1" x14ac:dyDescent="0.25">
      <c r="A282" s="12">
        <f>'Actual Dates'!A280</f>
        <v>0</v>
      </c>
      <c r="B282" s="13" t="str">
        <f>_xlfn.IFNA(VLOOKUP(A282,'Date Calcs'!A:B,2,),"")</f>
        <v/>
      </c>
      <c r="C282" s="14">
        <f>VLOOKUP(A282,'Actual Dates'!A:AE,18,)</f>
        <v>0</v>
      </c>
      <c r="D282" s="15">
        <f t="shared" ca="1" si="29"/>
        <v>46115</v>
      </c>
      <c r="E282" s="15">
        <f t="shared" ca="1" si="30"/>
        <v>46115</v>
      </c>
      <c r="F282" s="14">
        <f ca="1">IFERROR(ROUND(IF(A282="","",IF(E282=0,D282-Date!$B$3,D282-E282)),0),"")</f>
        <v>0</v>
      </c>
      <c r="G282" s="14" t="str">
        <f>_xlfn.IFNA(VLOOKUP(A282,'RTR v2'!A:AW,48,FALSE)," ")</f>
        <v/>
      </c>
      <c r="I282" s="16" t="str">
        <f t="shared" si="31"/>
        <v>N</v>
      </c>
      <c r="J282" s="16" t="str">
        <f t="shared" si="33"/>
        <v xml:space="preserve">  </v>
      </c>
      <c r="L282" s="17"/>
      <c r="M282" t="str">
        <f t="shared" si="34"/>
        <v xml:space="preserve"> </v>
      </c>
      <c r="N282">
        <f t="shared" si="35"/>
        <v>0</v>
      </c>
      <c r="O282">
        <f>IF(P282&lt;1,0,IF(VLOOKUP($A282,'Actual Dates'!$A:$G,5,0)="Y",1,0))</f>
        <v>0</v>
      </c>
      <c r="P282">
        <f>IF(Q282&lt;1,0,IF(VLOOKUP($A282,'Actual Dates'!$A:$G,4,0)="Y",1,0))</f>
        <v>0</v>
      </c>
      <c r="Q282">
        <f>IF(R282&lt;1,0,IF(VLOOKUP($A282,'Actual Dates'!$A:$G,3,0)="Y",1,0))</f>
        <v>0</v>
      </c>
      <c r="R282">
        <f>IF(VLOOKUP($A282,'Actual Dates'!$A:$G,2,0)="Y",1,0)</f>
        <v>0</v>
      </c>
      <c r="S282" s="4">
        <f ca="1">_xlfn.IFNA(+VLOOKUP(A282,'Date Calcs'!A:AG,8,),TODAY())</f>
        <v>46115</v>
      </c>
      <c r="T282" s="4">
        <f ca="1">_xlfn.IFNA(VLOOKUP(A282,'Date Calcs'!A:AG,10,),TODAY())</f>
        <v>46115</v>
      </c>
      <c r="U282" s="4">
        <f ca="1">_xlfn.IFNA(+VLOOKUP(A282,'Date Calcs'!A:AG,12,),TODAY())</f>
        <v>46115</v>
      </c>
      <c r="V282" s="4">
        <f ca="1">_xlfn.IFNA(+VLOOKUP(A282,'Date Calcs'!A:AG,14,),TODAY())</f>
        <v>46115</v>
      </c>
      <c r="W282" s="4">
        <f ca="1">_xlfn.IFNA(+VLOOKUP(A282,'Date Calcs'!A:AG,16,),TODAY())</f>
        <v>46115</v>
      </c>
      <c r="X282" s="4">
        <f ca="1">_xlfn.IFNA(IF(C282=0,VLOOKUP(A282,'Date Calcs'!A:AG,8,),IF(C282=1,VLOOKUP(A282,'Date Calcs'!A:AG,10,),IF(C282=2,VLOOKUP(A282,'Date Calcs'!A:AG,12,),IF(C282=3,VLOOKUP(A282,'Date Calcs'!A:AG,14,),4)))),TODAY())</f>
        <v>46115</v>
      </c>
      <c r="Y282" s="4">
        <f t="shared" ca="1" si="32"/>
        <v>46115</v>
      </c>
      <c r="Z282" s="4">
        <f ca="1">_xlfn.IFNA(Y282+(VLOOKUP(A282,'Date Calcs'!A:W,22,0)*7),TODAY())</f>
        <v>46115</v>
      </c>
      <c r="AA282" s="4">
        <f>_xlfn.IFNA(VLOOKUP(A282,'RTR v2'!$A:$AW,46,0),"")</f>
        <v>0</v>
      </c>
    </row>
    <row r="283" spans="1:27" ht="23.25" hidden="1" x14ac:dyDescent="0.25">
      <c r="A283" s="12">
        <f>'Actual Dates'!A281</f>
        <v>0</v>
      </c>
      <c r="B283" s="13" t="str">
        <f>_xlfn.IFNA(VLOOKUP(A283,'Date Calcs'!A:B,2,),"")</f>
        <v/>
      </c>
      <c r="C283" s="14">
        <f>VLOOKUP(A283,'Actual Dates'!A:AE,18,)</f>
        <v>0</v>
      </c>
      <c r="D283" s="15">
        <f t="shared" ca="1" si="29"/>
        <v>46115</v>
      </c>
      <c r="E283" s="15">
        <f t="shared" ca="1" si="30"/>
        <v>46115</v>
      </c>
      <c r="F283" s="14">
        <f ca="1">IFERROR(ROUND(IF(A283="","",IF(E283=0,D283-Date!$B$3,D283-E283)),0),"")</f>
        <v>0</v>
      </c>
      <c r="G283" s="14" t="str">
        <f>_xlfn.IFNA(VLOOKUP(A283,'RTR v2'!A:AW,48,FALSE)," ")</f>
        <v/>
      </c>
      <c r="I283" s="16" t="str">
        <f t="shared" si="31"/>
        <v>N</v>
      </c>
      <c r="J283" s="16" t="str">
        <f t="shared" si="33"/>
        <v xml:space="preserve">  </v>
      </c>
      <c r="L283" s="17"/>
      <c r="M283" t="str">
        <f t="shared" si="34"/>
        <v xml:space="preserve"> </v>
      </c>
      <c r="N283">
        <f t="shared" si="35"/>
        <v>0</v>
      </c>
      <c r="O283">
        <f>IF(P283&lt;1,0,IF(VLOOKUP($A283,'Actual Dates'!$A:$G,5,0)="Y",1,0))</f>
        <v>0</v>
      </c>
      <c r="P283">
        <f>IF(Q283&lt;1,0,IF(VLOOKUP($A283,'Actual Dates'!$A:$G,4,0)="Y",1,0))</f>
        <v>0</v>
      </c>
      <c r="Q283">
        <f>IF(R283&lt;1,0,IF(VLOOKUP($A283,'Actual Dates'!$A:$G,3,0)="Y",1,0))</f>
        <v>0</v>
      </c>
      <c r="R283">
        <f>IF(VLOOKUP($A283,'Actual Dates'!$A:$G,2,0)="Y",1,0)</f>
        <v>0</v>
      </c>
      <c r="S283" s="4">
        <f ca="1">_xlfn.IFNA(+VLOOKUP(A283,'Date Calcs'!A:AG,8,),TODAY())</f>
        <v>46115</v>
      </c>
      <c r="T283" s="4">
        <f ca="1">_xlfn.IFNA(VLOOKUP(A283,'Date Calcs'!A:AG,10,),TODAY())</f>
        <v>46115</v>
      </c>
      <c r="U283" s="4">
        <f ca="1">_xlfn.IFNA(+VLOOKUP(A283,'Date Calcs'!A:AG,12,),TODAY())</f>
        <v>46115</v>
      </c>
      <c r="V283" s="4">
        <f ca="1">_xlfn.IFNA(+VLOOKUP(A283,'Date Calcs'!A:AG,14,),TODAY())</f>
        <v>46115</v>
      </c>
      <c r="W283" s="4">
        <f ca="1">_xlfn.IFNA(+VLOOKUP(A283,'Date Calcs'!A:AG,16,),TODAY())</f>
        <v>46115</v>
      </c>
      <c r="X283" s="4">
        <f ca="1">_xlfn.IFNA(IF(C283=0,VLOOKUP(A283,'Date Calcs'!A:AG,8,),IF(C283=1,VLOOKUP(A283,'Date Calcs'!A:AG,10,),IF(C283=2,VLOOKUP(A283,'Date Calcs'!A:AG,12,),IF(C283=3,VLOOKUP(A283,'Date Calcs'!A:AG,14,),4)))),TODAY())</f>
        <v>46115</v>
      </c>
      <c r="Y283" s="4">
        <f t="shared" ca="1" si="32"/>
        <v>46115</v>
      </c>
      <c r="Z283" s="4">
        <f ca="1">_xlfn.IFNA(Y283+(VLOOKUP(A283,'Date Calcs'!A:W,22,0)*7),TODAY())</f>
        <v>46115</v>
      </c>
      <c r="AA283" s="4">
        <f>_xlfn.IFNA(VLOOKUP(A283,'RTR v2'!$A:$AW,46,0),"")</f>
        <v>0</v>
      </c>
    </row>
    <row r="284" spans="1:27" ht="23.25" hidden="1" x14ac:dyDescent="0.25">
      <c r="A284" s="12">
        <f>'Actual Dates'!A282</f>
        <v>0</v>
      </c>
      <c r="B284" s="13" t="str">
        <f>_xlfn.IFNA(VLOOKUP(A284,'Date Calcs'!A:B,2,),"")</f>
        <v/>
      </c>
      <c r="C284" s="14">
        <f>VLOOKUP(A284,'Actual Dates'!A:AE,18,)</f>
        <v>0</v>
      </c>
      <c r="D284" s="15">
        <f t="shared" ca="1" si="29"/>
        <v>46115</v>
      </c>
      <c r="E284" s="15">
        <f t="shared" ca="1" si="30"/>
        <v>46115</v>
      </c>
      <c r="F284" s="14">
        <f ca="1">IFERROR(ROUND(IF(A284="","",IF(E284=0,D284-Date!$B$3,D284-E284)),0),"")</f>
        <v>0</v>
      </c>
      <c r="G284" s="14" t="str">
        <f>_xlfn.IFNA(VLOOKUP(A284,'RTR v2'!A:AW,48,FALSE)," ")</f>
        <v/>
      </c>
      <c r="I284" s="16" t="str">
        <f t="shared" si="31"/>
        <v>N</v>
      </c>
      <c r="J284" s="16" t="str">
        <f t="shared" si="33"/>
        <v xml:space="preserve">  </v>
      </c>
      <c r="L284" s="17"/>
      <c r="M284" t="str">
        <f t="shared" si="34"/>
        <v xml:space="preserve"> </v>
      </c>
      <c r="N284">
        <f t="shared" si="35"/>
        <v>0</v>
      </c>
      <c r="O284">
        <f>IF(P284&lt;1,0,IF(VLOOKUP($A284,'Actual Dates'!$A:$G,5,0)="Y",1,0))</f>
        <v>0</v>
      </c>
      <c r="P284">
        <f>IF(Q284&lt;1,0,IF(VLOOKUP($A284,'Actual Dates'!$A:$G,4,0)="Y",1,0))</f>
        <v>0</v>
      </c>
      <c r="Q284">
        <f>IF(R284&lt;1,0,IF(VLOOKUP($A284,'Actual Dates'!$A:$G,3,0)="Y",1,0))</f>
        <v>0</v>
      </c>
      <c r="R284">
        <f>IF(VLOOKUP($A284,'Actual Dates'!$A:$G,2,0)="Y",1,0)</f>
        <v>0</v>
      </c>
      <c r="S284" s="4">
        <f ca="1">_xlfn.IFNA(+VLOOKUP(A284,'Date Calcs'!A:AG,8,),TODAY())</f>
        <v>46115</v>
      </c>
      <c r="T284" s="4">
        <f ca="1">_xlfn.IFNA(VLOOKUP(A284,'Date Calcs'!A:AG,10,),TODAY())</f>
        <v>46115</v>
      </c>
      <c r="U284" s="4">
        <f ca="1">_xlfn.IFNA(+VLOOKUP(A284,'Date Calcs'!A:AG,12,),TODAY())</f>
        <v>46115</v>
      </c>
      <c r="V284" s="4">
        <f ca="1">_xlfn.IFNA(+VLOOKUP(A284,'Date Calcs'!A:AG,14,),TODAY())</f>
        <v>46115</v>
      </c>
      <c r="W284" s="4">
        <f ca="1">_xlfn.IFNA(+VLOOKUP(A284,'Date Calcs'!A:AG,16,),TODAY())</f>
        <v>46115</v>
      </c>
      <c r="X284" s="4">
        <f ca="1">_xlfn.IFNA(IF(C284=0,VLOOKUP(A284,'Date Calcs'!A:AG,8,),IF(C284=1,VLOOKUP(A284,'Date Calcs'!A:AG,10,),IF(C284=2,VLOOKUP(A284,'Date Calcs'!A:AG,12,),IF(C284=3,VLOOKUP(A284,'Date Calcs'!A:AG,14,),4)))),TODAY())</f>
        <v>46115</v>
      </c>
      <c r="Y284" s="4">
        <f t="shared" ca="1" si="32"/>
        <v>46115</v>
      </c>
      <c r="Z284" s="4">
        <f ca="1">_xlfn.IFNA(Y284+(VLOOKUP(A284,'Date Calcs'!A:W,22,0)*7),TODAY())</f>
        <v>46115</v>
      </c>
      <c r="AA284" s="4">
        <f>_xlfn.IFNA(VLOOKUP(A284,'RTR v2'!$A:$AW,46,0),"")</f>
        <v>0</v>
      </c>
    </row>
    <row r="285" spans="1:27" ht="23.25" hidden="1" x14ac:dyDescent="0.25">
      <c r="A285" s="12">
        <f>'Actual Dates'!A283</f>
        <v>0</v>
      </c>
      <c r="B285" s="13" t="str">
        <f>_xlfn.IFNA(VLOOKUP(A285,'Date Calcs'!A:B,2,),"")</f>
        <v/>
      </c>
      <c r="C285" s="14">
        <f>VLOOKUP(A285,'Actual Dates'!A:AE,18,)</f>
        <v>0</v>
      </c>
      <c r="D285" s="15">
        <f t="shared" ca="1" si="29"/>
        <v>46115</v>
      </c>
      <c r="E285" s="15">
        <f t="shared" ca="1" si="30"/>
        <v>46115</v>
      </c>
      <c r="F285" s="14">
        <f ca="1">IFERROR(ROUND(IF(A285="","",IF(E285=0,D285-Date!$B$3,D285-E285)),0),"")</f>
        <v>0</v>
      </c>
      <c r="G285" s="14" t="str">
        <f>_xlfn.IFNA(VLOOKUP(A285,'RTR v2'!A:AW,48,FALSE)," ")</f>
        <v/>
      </c>
      <c r="I285" s="16" t="str">
        <f t="shared" si="31"/>
        <v>N</v>
      </c>
      <c r="J285" s="16" t="str">
        <f t="shared" si="33"/>
        <v xml:space="preserve">  </v>
      </c>
      <c r="L285" s="17"/>
      <c r="M285" t="str">
        <f t="shared" si="34"/>
        <v xml:space="preserve"> </v>
      </c>
      <c r="N285">
        <f t="shared" si="35"/>
        <v>0</v>
      </c>
      <c r="O285">
        <f>IF(P285&lt;1,0,IF(VLOOKUP($A285,'Actual Dates'!$A:$G,5,0)="Y",1,0))</f>
        <v>0</v>
      </c>
      <c r="P285">
        <f>IF(Q285&lt;1,0,IF(VLOOKUP($A285,'Actual Dates'!$A:$G,4,0)="Y",1,0))</f>
        <v>0</v>
      </c>
      <c r="Q285">
        <f>IF(R285&lt;1,0,IF(VLOOKUP($A285,'Actual Dates'!$A:$G,3,0)="Y",1,0))</f>
        <v>0</v>
      </c>
      <c r="R285">
        <f>IF(VLOOKUP($A285,'Actual Dates'!$A:$G,2,0)="Y",1,0)</f>
        <v>0</v>
      </c>
      <c r="S285" s="4">
        <f ca="1">_xlfn.IFNA(+VLOOKUP(A285,'Date Calcs'!A:AG,8,),TODAY())</f>
        <v>46115</v>
      </c>
      <c r="T285" s="4">
        <f ca="1">_xlfn.IFNA(VLOOKUP(A285,'Date Calcs'!A:AG,10,),TODAY())</f>
        <v>46115</v>
      </c>
      <c r="U285" s="4">
        <f ca="1">_xlfn.IFNA(+VLOOKUP(A285,'Date Calcs'!A:AG,12,),TODAY())</f>
        <v>46115</v>
      </c>
      <c r="V285" s="4">
        <f ca="1">_xlfn.IFNA(+VLOOKUP(A285,'Date Calcs'!A:AG,14,),TODAY())</f>
        <v>46115</v>
      </c>
      <c r="W285" s="4">
        <f ca="1">_xlfn.IFNA(+VLOOKUP(A285,'Date Calcs'!A:AG,16,),TODAY())</f>
        <v>46115</v>
      </c>
      <c r="X285" s="4">
        <f ca="1">_xlfn.IFNA(IF(C285=0,VLOOKUP(A285,'Date Calcs'!A:AG,8,),IF(C285=1,VLOOKUP(A285,'Date Calcs'!A:AG,10,),IF(C285=2,VLOOKUP(A285,'Date Calcs'!A:AG,12,),IF(C285=3,VLOOKUP(A285,'Date Calcs'!A:AG,14,),4)))),TODAY())</f>
        <v>46115</v>
      </c>
      <c r="Y285" s="4">
        <f t="shared" ca="1" si="32"/>
        <v>46115</v>
      </c>
      <c r="Z285" s="4">
        <f ca="1">_xlfn.IFNA(Y285+(VLOOKUP(A285,'Date Calcs'!A:W,22,0)*7),TODAY())</f>
        <v>46115</v>
      </c>
      <c r="AA285" s="4">
        <f>_xlfn.IFNA(VLOOKUP(A285,'RTR v2'!$A:$AW,46,0),"")</f>
        <v>0</v>
      </c>
    </row>
    <row r="286" spans="1:27" ht="23.25" hidden="1" x14ac:dyDescent="0.25">
      <c r="A286" s="12">
        <f>'Actual Dates'!A284</f>
        <v>0</v>
      </c>
      <c r="B286" s="13" t="str">
        <f>_xlfn.IFNA(VLOOKUP(A286,'Date Calcs'!A:B,2,),"")</f>
        <v/>
      </c>
      <c r="C286" s="14">
        <f>VLOOKUP(A286,'Actual Dates'!A:AE,18,)</f>
        <v>0</v>
      </c>
      <c r="D286" s="15">
        <f t="shared" ca="1" si="29"/>
        <v>46115</v>
      </c>
      <c r="E286" s="15">
        <f t="shared" ca="1" si="30"/>
        <v>46115</v>
      </c>
      <c r="F286" s="14">
        <f ca="1">IFERROR(ROUND(IF(A286="","",IF(E286=0,D286-Date!$B$3,D286-E286)),0),"")</f>
        <v>0</v>
      </c>
      <c r="G286" s="14" t="str">
        <f>_xlfn.IFNA(VLOOKUP(A286,'RTR v2'!A:AW,48,FALSE)," ")</f>
        <v/>
      </c>
      <c r="I286" s="16" t="str">
        <f t="shared" si="31"/>
        <v>N</v>
      </c>
      <c r="J286" s="16" t="str">
        <f t="shared" si="33"/>
        <v xml:space="preserve">  </v>
      </c>
      <c r="L286" s="17"/>
      <c r="M286" t="str">
        <f t="shared" si="34"/>
        <v xml:space="preserve"> </v>
      </c>
      <c r="N286">
        <f t="shared" si="35"/>
        <v>0</v>
      </c>
      <c r="O286">
        <f>IF(P286&lt;1,0,IF(VLOOKUP($A286,'Actual Dates'!$A:$G,5,0)="Y",1,0))</f>
        <v>0</v>
      </c>
      <c r="P286">
        <f>IF(Q286&lt;1,0,IF(VLOOKUP($A286,'Actual Dates'!$A:$G,4,0)="Y",1,0))</f>
        <v>0</v>
      </c>
      <c r="Q286">
        <f>IF(R286&lt;1,0,IF(VLOOKUP($A286,'Actual Dates'!$A:$G,3,0)="Y",1,0))</f>
        <v>0</v>
      </c>
      <c r="R286">
        <f>IF(VLOOKUP($A286,'Actual Dates'!$A:$G,2,0)="Y",1,0)</f>
        <v>0</v>
      </c>
      <c r="S286" s="4">
        <f ca="1">_xlfn.IFNA(+VLOOKUP(A286,'Date Calcs'!A:AG,8,),TODAY())</f>
        <v>46115</v>
      </c>
      <c r="T286" s="4">
        <f ca="1">_xlfn.IFNA(VLOOKUP(A286,'Date Calcs'!A:AG,10,),TODAY())</f>
        <v>46115</v>
      </c>
      <c r="U286" s="4">
        <f ca="1">_xlfn.IFNA(+VLOOKUP(A286,'Date Calcs'!A:AG,12,),TODAY())</f>
        <v>46115</v>
      </c>
      <c r="V286" s="4">
        <f ca="1">_xlfn.IFNA(+VLOOKUP(A286,'Date Calcs'!A:AG,14,),TODAY())</f>
        <v>46115</v>
      </c>
      <c r="W286" s="4">
        <f ca="1">_xlfn.IFNA(+VLOOKUP(A286,'Date Calcs'!A:AG,16,),TODAY())</f>
        <v>46115</v>
      </c>
      <c r="X286" s="4">
        <f ca="1">_xlfn.IFNA(IF(C286=0,VLOOKUP(A286,'Date Calcs'!A:AG,8,),IF(C286=1,VLOOKUP(A286,'Date Calcs'!A:AG,10,),IF(C286=2,VLOOKUP(A286,'Date Calcs'!A:AG,12,),IF(C286=3,VLOOKUP(A286,'Date Calcs'!A:AG,14,),4)))),TODAY())</f>
        <v>46115</v>
      </c>
      <c r="Y286" s="4">
        <f t="shared" ca="1" si="32"/>
        <v>46115</v>
      </c>
      <c r="Z286" s="4">
        <f ca="1">_xlfn.IFNA(Y286+(VLOOKUP(A286,'Date Calcs'!A:W,22,0)*7),TODAY())</f>
        <v>46115</v>
      </c>
      <c r="AA286" s="4">
        <f>_xlfn.IFNA(VLOOKUP(A286,'RTR v2'!$A:$AW,46,0),"")</f>
        <v>0</v>
      </c>
    </row>
    <row r="287" spans="1:27" ht="23.25" hidden="1" x14ac:dyDescent="0.25">
      <c r="A287" s="12">
        <f>'Actual Dates'!A285</f>
        <v>0</v>
      </c>
      <c r="B287" s="13" t="str">
        <f>_xlfn.IFNA(VLOOKUP(A287,'Date Calcs'!A:B,2,),"")</f>
        <v/>
      </c>
      <c r="C287" s="14">
        <f>VLOOKUP(A287,'Actual Dates'!A:AE,18,)</f>
        <v>0</v>
      </c>
      <c r="D287" s="15">
        <f t="shared" ca="1" si="29"/>
        <v>46115</v>
      </c>
      <c r="E287" s="15">
        <f t="shared" ca="1" si="30"/>
        <v>46115</v>
      </c>
      <c r="F287" s="14">
        <f ca="1">IFERROR(ROUND(IF(A287="","",IF(E287=0,D287-Date!$B$3,D287-E287)),0),"")</f>
        <v>0</v>
      </c>
      <c r="G287" s="14" t="str">
        <f>_xlfn.IFNA(VLOOKUP(A287,'RTR v2'!A:AW,48,FALSE)," ")</f>
        <v/>
      </c>
      <c r="I287" s="16" t="str">
        <f t="shared" si="31"/>
        <v>N</v>
      </c>
      <c r="J287" s="16" t="str">
        <f t="shared" si="33"/>
        <v xml:space="preserve">  </v>
      </c>
      <c r="L287" s="17"/>
      <c r="M287" t="str">
        <f t="shared" si="34"/>
        <v xml:space="preserve"> </v>
      </c>
      <c r="N287">
        <f t="shared" si="35"/>
        <v>0</v>
      </c>
      <c r="O287">
        <f>IF(P287&lt;1,0,IF(VLOOKUP($A287,'Actual Dates'!$A:$G,5,0)="Y",1,0))</f>
        <v>0</v>
      </c>
      <c r="P287">
        <f>IF(Q287&lt;1,0,IF(VLOOKUP($A287,'Actual Dates'!$A:$G,4,0)="Y",1,0))</f>
        <v>0</v>
      </c>
      <c r="Q287">
        <f>IF(R287&lt;1,0,IF(VLOOKUP($A287,'Actual Dates'!$A:$G,3,0)="Y",1,0))</f>
        <v>0</v>
      </c>
      <c r="R287">
        <f>IF(VLOOKUP($A287,'Actual Dates'!$A:$G,2,0)="Y",1,0)</f>
        <v>0</v>
      </c>
      <c r="S287" s="4">
        <f ca="1">_xlfn.IFNA(+VLOOKUP(A287,'Date Calcs'!A:AG,8,),TODAY())</f>
        <v>46115</v>
      </c>
      <c r="T287" s="4">
        <f ca="1">_xlfn.IFNA(VLOOKUP(A287,'Date Calcs'!A:AG,10,),TODAY())</f>
        <v>46115</v>
      </c>
      <c r="U287" s="4">
        <f ca="1">_xlfn.IFNA(+VLOOKUP(A287,'Date Calcs'!A:AG,12,),TODAY())</f>
        <v>46115</v>
      </c>
      <c r="V287" s="4">
        <f ca="1">_xlfn.IFNA(+VLOOKUP(A287,'Date Calcs'!A:AG,14,),TODAY())</f>
        <v>46115</v>
      </c>
      <c r="W287" s="4">
        <f ca="1">_xlfn.IFNA(+VLOOKUP(A287,'Date Calcs'!A:AG,16,),TODAY())</f>
        <v>46115</v>
      </c>
      <c r="X287" s="4">
        <f ca="1">_xlfn.IFNA(IF(C287=0,VLOOKUP(A287,'Date Calcs'!A:AG,8,),IF(C287=1,VLOOKUP(A287,'Date Calcs'!A:AG,10,),IF(C287=2,VLOOKUP(A287,'Date Calcs'!A:AG,12,),IF(C287=3,VLOOKUP(A287,'Date Calcs'!A:AG,14,),4)))),TODAY())</f>
        <v>46115</v>
      </c>
      <c r="Y287" s="4">
        <f t="shared" ca="1" si="32"/>
        <v>46115</v>
      </c>
      <c r="Z287" s="4">
        <f ca="1">_xlfn.IFNA(Y287+(VLOOKUP(A287,'Date Calcs'!A:W,22,0)*7),TODAY())</f>
        <v>46115</v>
      </c>
      <c r="AA287" s="4">
        <f>_xlfn.IFNA(VLOOKUP(A287,'RTR v2'!$A:$AW,46,0),"")</f>
        <v>0</v>
      </c>
    </row>
    <row r="288" spans="1:27" ht="23.25" hidden="1" x14ac:dyDescent="0.25">
      <c r="A288" s="12">
        <f>'Actual Dates'!A286</f>
        <v>0</v>
      </c>
      <c r="B288" s="13" t="str">
        <f>_xlfn.IFNA(VLOOKUP(A288,'Date Calcs'!A:B,2,),"")</f>
        <v/>
      </c>
      <c r="C288" s="14">
        <f>VLOOKUP(A288,'Actual Dates'!A:AE,18,)</f>
        <v>0</v>
      </c>
      <c r="D288" s="15">
        <f t="shared" ca="1" si="29"/>
        <v>46115</v>
      </c>
      <c r="E288" s="15">
        <f t="shared" ca="1" si="30"/>
        <v>46115</v>
      </c>
      <c r="F288" s="14">
        <f ca="1">IFERROR(ROUND(IF(A288="","",IF(E288=0,D288-Date!$B$3,D288-E288)),0),"")</f>
        <v>0</v>
      </c>
      <c r="G288" s="14" t="str">
        <f>_xlfn.IFNA(VLOOKUP(A288,'RTR v2'!A:AW,48,FALSE)," ")</f>
        <v/>
      </c>
      <c r="I288" s="16" t="str">
        <f t="shared" si="31"/>
        <v>N</v>
      </c>
      <c r="J288" s="16" t="str">
        <f t="shared" si="33"/>
        <v xml:space="preserve">  </v>
      </c>
      <c r="L288" s="17"/>
      <c r="M288" t="str">
        <f t="shared" si="34"/>
        <v xml:space="preserve"> </v>
      </c>
      <c r="N288">
        <f t="shared" si="35"/>
        <v>0</v>
      </c>
      <c r="O288">
        <f>IF(P288&lt;1,0,IF(VLOOKUP($A288,'Actual Dates'!$A:$G,5,0)="Y",1,0))</f>
        <v>0</v>
      </c>
      <c r="P288">
        <f>IF(Q288&lt;1,0,IF(VLOOKUP($A288,'Actual Dates'!$A:$G,4,0)="Y",1,0))</f>
        <v>0</v>
      </c>
      <c r="Q288">
        <f>IF(R288&lt;1,0,IF(VLOOKUP($A288,'Actual Dates'!$A:$G,3,0)="Y",1,0))</f>
        <v>0</v>
      </c>
      <c r="R288">
        <f>IF(VLOOKUP($A288,'Actual Dates'!$A:$G,2,0)="Y",1,0)</f>
        <v>0</v>
      </c>
      <c r="S288" s="4">
        <f ca="1">_xlfn.IFNA(+VLOOKUP(A288,'Date Calcs'!A:AG,8,),TODAY())</f>
        <v>46115</v>
      </c>
      <c r="T288" s="4">
        <f ca="1">_xlfn.IFNA(VLOOKUP(A288,'Date Calcs'!A:AG,10,),TODAY())</f>
        <v>46115</v>
      </c>
      <c r="U288" s="4">
        <f ca="1">_xlfn.IFNA(+VLOOKUP(A288,'Date Calcs'!A:AG,12,),TODAY())</f>
        <v>46115</v>
      </c>
      <c r="V288" s="4">
        <f ca="1">_xlfn.IFNA(+VLOOKUP(A288,'Date Calcs'!A:AG,14,),TODAY())</f>
        <v>46115</v>
      </c>
      <c r="W288" s="4">
        <f ca="1">_xlfn.IFNA(+VLOOKUP(A288,'Date Calcs'!A:AG,16,),TODAY())</f>
        <v>46115</v>
      </c>
      <c r="X288" s="4">
        <f ca="1">_xlfn.IFNA(IF(C288=0,VLOOKUP(A288,'Date Calcs'!A:AG,8,),IF(C288=1,VLOOKUP(A288,'Date Calcs'!A:AG,10,),IF(C288=2,VLOOKUP(A288,'Date Calcs'!A:AG,12,),IF(C288=3,VLOOKUP(A288,'Date Calcs'!A:AG,14,),4)))),TODAY())</f>
        <v>46115</v>
      </c>
      <c r="Y288" s="4">
        <f t="shared" ca="1" si="32"/>
        <v>46115</v>
      </c>
      <c r="Z288" s="4">
        <f ca="1">_xlfn.IFNA(Y288+(VLOOKUP(A288,'Date Calcs'!A:W,22,0)*7),TODAY())</f>
        <v>46115</v>
      </c>
      <c r="AA288" s="4">
        <f>_xlfn.IFNA(VLOOKUP(A288,'RTR v2'!$A:$AW,46,0),"")</f>
        <v>0</v>
      </c>
    </row>
    <row r="289" spans="1:27" ht="23.25" hidden="1" x14ac:dyDescent="0.25">
      <c r="A289" s="12">
        <f>'Actual Dates'!A287</f>
        <v>0</v>
      </c>
      <c r="B289" s="13" t="str">
        <f>_xlfn.IFNA(VLOOKUP(A289,'Date Calcs'!A:B,2,),"")</f>
        <v/>
      </c>
      <c r="C289" s="14">
        <f>VLOOKUP(A289,'Actual Dates'!A:AE,18,)</f>
        <v>0</v>
      </c>
      <c r="D289" s="15">
        <f t="shared" ca="1" si="29"/>
        <v>46115</v>
      </c>
      <c r="E289" s="15">
        <f t="shared" ca="1" si="30"/>
        <v>46115</v>
      </c>
      <c r="F289" s="14">
        <f ca="1">IFERROR(ROUND(IF(A289="","",IF(E289=0,D289-Date!$B$3,D289-E289)),0),"")</f>
        <v>0</v>
      </c>
      <c r="G289" s="14" t="str">
        <f>_xlfn.IFNA(VLOOKUP(A289,'RTR v2'!A:AW,48,FALSE)," ")</f>
        <v/>
      </c>
      <c r="I289" s="16" t="str">
        <f t="shared" si="31"/>
        <v>N</v>
      </c>
      <c r="J289" s="16" t="str">
        <f t="shared" si="33"/>
        <v xml:space="preserve">  </v>
      </c>
      <c r="L289" s="17"/>
      <c r="M289" t="str">
        <f t="shared" si="34"/>
        <v xml:space="preserve"> </v>
      </c>
      <c r="N289">
        <f t="shared" si="35"/>
        <v>0</v>
      </c>
      <c r="O289">
        <f>IF(P289&lt;1,0,IF(VLOOKUP($A289,'Actual Dates'!$A:$G,5,0)="Y",1,0))</f>
        <v>0</v>
      </c>
      <c r="P289">
        <f>IF(Q289&lt;1,0,IF(VLOOKUP($A289,'Actual Dates'!$A:$G,4,0)="Y",1,0))</f>
        <v>0</v>
      </c>
      <c r="Q289">
        <f>IF(R289&lt;1,0,IF(VLOOKUP($A289,'Actual Dates'!$A:$G,3,0)="Y",1,0))</f>
        <v>0</v>
      </c>
      <c r="R289">
        <f>IF(VLOOKUP($A289,'Actual Dates'!$A:$G,2,0)="Y",1,0)</f>
        <v>0</v>
      </c>
      <c r="S289" s="4">
        <f ca="1">_xlfn.IFNA(+VLOOKUP(A289,'Date Calcs'!A:AG,8,),TODAY())</f>
        <v>46115</v>
      </c>
      <c r="T289" s="4">
        <f ca="1">_xlfn.IFNA(VLOOKUP(A289,'Date Calcs'!A:AG,10,),TODAY())</f>
        <v>46115</v>
      </c>
      <c r="U289" s="4">
        <f ca="1">_xlfn.IFNA(+VLOOKUP(A289,'Date Calcs'!A:AG,12,),TODAY())</f>
        <v>46115</v>
      </c>
      <c r="V289" s="4">
        <f ca="1">_xlfn.IFNA(+VLOOKUP(A289,'Date Calcs'!A:AG,14,),TODAY())</f>
        <v>46115</v>
      </c>
      <c r="W289" s="4">
        <f ca="1">_xlfn.IFNA(+VLOOKUP(A289,'Date Calcs'!A:AG,16,),TODAY())</f>
        <v>46115</v>
      </c>
      <c r="X289" s="4">
        <f ca="1">_xlfn.IFNA(IF(C289=0,VLOOKUP(A289,'Date Calcs'!A:AG,8,),IF(C289=1,VLOOKUP(A289,'Date Calcs'!A:AG,10,),IF(C289=2,VLOOKUP(A289,'Date Calcs'!A:AG,12,),IF(C289=3,VLOOKUP(A289,'Date Calcs'!A:AG,14,),4)))),TODAY())</f>
        <v>46115</v>
      </c>
      <c r="Y289" s="4">
        <f t="shared" ca="1" si="32"/>
        <v>46115</v>
      </c>
      <c r="Z289" s="4">
        <f ca="1">_xlfn.IFNA(Y289+(VLOOKUP(A289,'Date Calcs'!A:W,22,0)*7),TODAY())</f>
        <v>46115</v>
      </c>
      <c r="AA289" s="4">
        <f>_xlfn.IFNA(VLOOKUP(A289,'RTR v2'!$A:$AW,46,0),"")</f>
        <v>0</v>
      </c>
    </row>
    <row r="290" spans="1:27" ht="23.25" hidden="1" x14ac:dyDescent="0.25">
      <c r="A290" s="12">
        <f>'Actual Dates'!A288</f>
        <v>0</v>
      </c>
      <c r="B290" s="13" t="str">
        <f>_xlfn.IFNA(VLOOKUP(A290,'Date Calcs'!A:B,2,),"")</f>
        <v/>
      </c>
      <c r="C290" s="14">
        <f>VLOOKUP(A290,'Actual Dates'!A:AE,18,)</f>
        <v>0</v>
      </c>
      <c r="D290" s="15">
        <f t="shared" ca="1" si="29"/>
        <v>46115</v>
      </c>
      <c r="E290" s="15">
        <f t="shared" ca="1" si="30"/>
        <v>46115</v>
      </c>
      <c r="F290" s="14">
        <f ca="1">IFERROR(ROUND(IF(A290="","",IF(E290=0,D290-Date!$B$3,D290-E290)),0),"")</f>
        <v>0</v>
      </c>
      <c r="G290" s="14" t="str">
        <f>_xlfn.IFNA(VLOOKUP(A290,'RTR v2'!A:AW,48,FALSE)," ")</f>
        <v/>
      </c>
      <c r="I290" s="16" t="str">
        <f t="shared" si="31"/>
        <v>N</v>
      </c>
      <c r="J290" s="16" t="str">
        <f t="shared" si="33"/>
        <v xml:space="preserve">  </v>
      </c>
      <c r="L290" s="17"/>
      <c r="M290" t="str">
        <f t="shared" si="34"/>
        <v xml:space="preserve"> </v>
      </c>
      <c r="N290">
        <f t="shared" si="35"/>
        <v>0</v>
      </c>
      <c r="O290">
        <f>IF(P290&lt;1,0,IF(VLOOKUP($A290,'Actual Dates'!$A:$G,5,0)="Y",1,0))</f>
        <v>0</v>
      </c>
      <c r="P290">
        <f>IF(Q290&lt;1,0,IF(VLOOKUP($A290,'Actual Dates'!$A:$G,4,0)="Y",1,0))</f>
        <v>0</v>
      </c>
      <c r="Q290">
        <f>IF(R290&lt;1,0,IF(VLOOKUP($A290,'Actual Dates'!$A:$G,3,0)="Y",1,0))</f>
        <v>0</v>
      </c>
      <c r="R290">
        <f>IF(VLOOKUP($A290,'Actual Dates'!$A:$G,2,0)="Y",1,0)</f>
        <v>0</v>
      </c>
      <c r="S290" s="4">
        <f ca="1">_xlfn.IFNA(+VLOOKUP(A290,'Date Calcs'!A:AG,8,),TODAY())</f>
        <v>46115</v>
      </c>
      <c r="T290" s="4">
        <f ca="1">_xlfn.IFNA(VLOOKUP(A290,'Date Calcs'!A:AG,10,),TODAY())</f>
        <v>46115</v>
      </c>
      <c r="U290" s="4">
        <f ca="1">_xlfn.IFNA(+VLOOKUP(A290,'Date Calcs'!A:AG,12,),TODAY())</f>
        <v>46115</v>
      </c>
      <c r="V290" s="4">
        <f ca="1">_xlfn.IFNA(+VLOOKUP(A290,'Date Calcs'!A:AG,14,),TODAY())</f>
        <v>46115</v>
      </c>
      <c r="W290" s="4">
        <f ca="1">_xlfn.IFNA(+VLOOKUP(A290,'Date Calcs'!A:AG,16,),TODAY())</f>
        <v>46115</v>
      </c>
      <c r="X290" s="4">
        <f ca="1">_xlfn.IFNA(IF(C290=0,VLOOKUP(A290,'Date Calcs'!A:AG,8,),IF(C290=1,VLOOKUP(A290,'Date Calcs'!A:AG,10,),IF(C290=2,VLOOKUP(A290,'Date Calcs'!A:AG,12,),IF(C290=3,VLOOKUP(A290,'Date Calcs'!A:AG,14,),4)))),TODAY())</f>
        <v>46115</v>
      </c>
      <c r="Y290" s="4">
        <f t="shared" ca="1" si="32"/>
        <v>46115</v>
      </c>
      <c r="Z290" s="4">
        <f ca="1">_xlfn.IFNA(Y290+(VLOOKUP(A290,'Date Calcs'!A:W,22,0)*7),TODAY())</f>
        <v>46115</v>
      </c>
      <c r="AA290" s="4">
        <f>_xlfn.IFNA(VLOOKUP(A290,'RTR v2'!$A:$AW,46,0),"")</f>
        <v>0</v>
      </c>
    </row>
    <row r="291" spans="1:27" ht="23.25" hidden="1" x14ac:dyDescent="0.25">
      <c r="A291" s="12">
        <f>'Actual Dates'!A289</f>
        <v>0</v>
      </c>
      <c r="B291" s="13" t="str">
        <f>_xlfn.IFNA(VLOOKUP(A291,'Date Calcs'!A:B,2,),"")</f>
        <v/>
      </c>
      <c r="C291" s="14">
        <f>VLOOKUP(A291,'Actual Dates'!A:AE,18,)</f>
        <v>0</v>
      </c>
      <c r="D291" s="15">
        <f t="shared" ca="1" si="29"/>
        <v>46115</v>
      </c>
      <c r="E291" s="15">
        <f t="shared" ca="1" si="30"/>
        <v>46115</v>
      </c>
      <c r="F291" s="14">
        <f ca="1">IFERROR(ROUND(IF(A291="","",IF(E291=0,D291-Date!$B$3,D291-E291)),0),"")</f>
        <v>0</v>
      </c>
      <c r="G291" s="14" t="str">
        <f>_xlfn.IFNA(VLOOKUP(A291,'RTR v2'!A:AW,48,FALSE)," ")</f>
        <v/>
      </c>
      <c r="I291" s="16" t="str">
        <f t="shared" si="31"/>
        <v>N</v>
      </c>
      <c r="J291" s="16" t="str">
        <f t="shared" si="33"/>
        <v xml:space="preserve">  </v>
      </c>
      <c r="L291" s="17"/>
      <c r="M291" t="str">
        <f t="shared" si="34"/>
        <v xml:space="preserve"> </v>
      </c>
      <c r="N291">
        <f t="shared" si="35"/>
        <v>0</v>
      </c>
      <c r="O291">
        <f>IF(P291&lt;1,0,IF(VLOOKUP($A291,'Actual Dates'!$A:$G,5,0)="Y",1,0))</f>
        <v>0</v>
      </c>
      <c r="P291">
        <f>IF(Q291&lt;1,0,IF(VLOOKUP($A291,'Actual Dates'!$A:$G,4,0)="Y",1,0))</f>
        <v>0</v>
      </c>
      <c r="Q291">
        <f>IF(R291&lt;1,0,IF(VLOOKUP($A291,'Actual Dates'!$A:$G,3,0)="Y",1,0))</f>
        <v>0</v>
      </c>
      <c r="R291">
        <f>IF(VLOOKUP($A291,'Actual Dates'!$A:$G,2,0)="Y",1,0)</f>
        <v>0</v>
      </c>
      <c r="S291" s="4">
        <f ca="1">_xlfn.IFNA(+VLOOKUP(A291,'Date Calcs'!A:AG,8,),TODAY())</f>
        <v>46115</v>
      </c>
      <c r="T291" s="4">
        <f ca="1">_xlfn.IFNA(VLOOKUP(A291,'Date Calcs'!A:AG,10,),TODAY())</f>
        <v>46115</v>
      </c>
      <c r="U291" s="4">
        <f ca="1">_xlfn.IFNA(+VLOOKUP(A291,'Date Calcs'!A:AG,12,),TODAY())</f>
        <v>46115</v>
      </c>
      <c r="V291" s="4">
        <f ca="1">_xlfn.IFNA(+VLOOKUP(A291,'Date Calcs'!A:AG,14,),TODAY())</f>
        <v>46115</v>
      </c>
      <c r="W291" s="4">
        <f ca="1">_xlfn.IFNA(+VLOOKUP(A291,'Date Calcs'!A:AG,16,),TODAY())</f>
        <v>46115</v>
      </c>
      <c r="X291" s="4">
        <f ca="1">_xlfn.IFNA(IF(C291=0,VLOOKUP(A291,'Date Calcs'!A:AG,8,),IF(C291=1,VLOOKUP(A291,'Date Calcs'!A:AG,10,),IF(C291=2,VLOOKUP(A291,'Date Calcs'!A:AG,12,),IF(C291=3,VLOOKUP(A291,'Date Calcs'!A:AG,14,),4)))),TODAY())</f>
        <v>46115</v>
      </c>
      <c r="Y291" s="4">
        <f t="shared" ca="1" si="32"/>
        <v>46115</v>
      </c>
      <c r="Z291" s="4">
        <f ca="1">_xlfn.IFNA(Y291+(VLOOKUP(A291,'Date Calcs'!A:W,22,0)*7),TODAY())</f>
        <v>46115</v>
      </c>
      <c r="AA291" s="4">
        <f>_xlfn.IFNA(VLOOKUP(A291,'RTR v2'!$A:$AW,46,0),"")</f>
        <v>0</v>
      </c>
    </row>
    <row r="292" spans="1:27" ht="23.25" hidden="1" x14ac:dyDescent="0.25">
      <c r="A292" s="12">
        <f>'Actual Dates'!A290</f>
        <v>0</v>
      </c>
      <c r="B292" s="13" t="str">
        <f>_xlfn.IFNA(VLOOKUP(A292,'Date Calcs'!A:B,2,),"")</f>
        <v/>
      </c>
      <c r="C292" s="14">
        <f>VLOOKUP(A292,'Actual Dates'!A:AE,18,)</f>
        <v>0</v>
      </c>
      <c r="D292" s="15">
        <f t="shared" ca="1" si="29"/>
        <v>46115</v>
      </c>
      <c r="E292" s="15">
        <f t="shared" ca="1" si="30"/>
        <v>46115</v>
      </c>
      <c r="F292" s="14">
        <f ca="1">IFERROR(ROUND(IF(A292="","",IF(E292=0,D292-Date!$B$3,D292-E292)),0),"")</f>
        <v>0</v>
      </c>
      <c r="G292" s="14" t="str">
        <f>_xlfn.IFNA(VLOOKUP(A292,'RTR v2'!A:AW,48,FALSE)," ")</f>
        <v/>
      </c>
      <c r="I292" s="16" t="str">
        <f t="shared" si="31"/>
        <v>N</v>
      </c>
      <c r="J292" s="16" t="str">
        <f t="shared" si="33"/>
        <v xml:space="preserve">  </v>
      </c>
      <c r="L292" s="17"/>
      <c r="M292" t="str">
        <f t="shared" si="34"/>
        <v xml:space="preserve"> </v>
      </c>
      <c r="N292">
        <f t="shared" si="35"/>
        <v>0</v>
      </c>
      <c r="O292">
        <f>IF(P292&lt;1,0,IF(VLOOKUP($A292,'Actual Dates'!$A:$G,5,0)="Y",1,0))</f>
        <v>0</v>
      </c>
      <c r="P292">
        <f>IF(Q292&lt;1,0,IF(VLOOKUP($A292,'Actual Dates'!$A:$G,4,0)="Y",1,0))</f>
        <v>0</v>
      </c>
      <c r="Q292">
        <f>IF(R292&lt;1,0,IF(VLOOKUP($A292,'Actual Dates'!$A:$G,3,0)="Y",1,0))</f>
        <v>0</v>
      </c>
      <c r="R292">
        <f>IF(VLOOKUP($A292,'Actual Dates'!$A:$G,2,0)="Y",1,0)</f>
        <v>0</v>
      </c>
      <c r="S292" s="4">
        <f ca="1">_xlfn.IFNA(+VLOOKUP(A292,'Date Calcs'!A:AG,8,),TODAY())</f>
        <v>46115</v>
      </c>
      <c r="T292" s="4">
        <f ca="1">_xlfn.IFNA(VLOOKUP(A292,'Date Calcs'!A:AG,10,),TODAY())</f>
        <v>46115</v>
      </c>
      <c r="U292" s="4">
        <f ca="1">_xlfn.IFNA(+VLOOKUP(A292,'Date Calcs'!A:AG,12,),TODAY())</f>
        <v>46115</v>
      </c>
      <c r="V292" s="4">
        <f ca="1">_xlfn.IFNA(+VLOOKUP(A292,'Date Calcs'!A:AG,14,),TODAY())</f>
        <v>46115</v>
      </c>
      <c r="W292" s="4">
        <f ca="1">_xlfn.IFNA(+VLOOKUP(A292,'Date Calcs'!A:AG,16,),TODAY())</f>
        <v>46115</v>
      </c>
      <c r="X292" s="4">
        <f ca="1">_xlfn.IFNA(IF(C292=0,VLOOKUP(A292,'Date Calcs'!A:AG,8,),IF(C292=1,VLOOKUP(A292,'Date Calcs'!A:AG,10,),IF(C292=2,VLOOKUP(A292,'Date Calcs'!A:AG,12,),IF(C292=3,VLOOKUP(A292,'Date Calcs'!A:AG,14,),4)))),TODAY())</f>
        <v>46115</v>
      </c>
      <c r="Y292" s="4">
        <f t="shared" ca="1" si="32"/>
        <v>46115</v>
      </c>
      <c r="Z292" s="4">
        <f ca="1">_xlfn.IFNA(Y292+(VLOOKUP(A292,'Date Calcs'!A:W,22,0)*7),TODAY())</f>
        <v>46115</v>
      </c>
      <c r="AA292" s="4">
        <f>_xlfn.IFNA(VLOOKUP(A292,'RTR v2'!$A:$AW,46,0),"")</f>
        <v>0</v>
      </c>
    </row>
    <row r="293" spans="1:27" ht="23.25" hidden="1" x14ac:dyDescent="0.25">
      <c r="A293" s="12">
        <f>'Actual Dates'!A291</f>
        <v>0</v>
      </c>
      <c r="B293" s="13" t="str">
        <f>_xlfn.IFNA(VLOOKUP(A293,'Date Calcs'!A:B,2,),"")</f>
        <v/>
      </c>
      <c r="C293" s="14">
        <f>VLOOKUP(A293,'Actual Dates'!A:AE,18,)</f>
        <v>0</v>
      </c>
      <c r="D293" s="15">
        <f t="shared" ca="1" si="29"/>
        <v>46115</v>
      </c>
      <c r="E293" s="15">
        <f t="shared" ca="1" si="30"/>
        <v>46115</v>
      </c>
      <c r="F293" s="14">
        <f ca="1">IFERROR(ROUND(IF(A293="","",IF(E293=0,D293-Date!$B$3,D293-E293)),0),"")</f>
        <v>0</v>
      </c>
      <c r="G293" s="14" t="str">
        <f>_xlfn.IFNA(VLOOKUP(A293,'RTR v2'!A:AW,48,FALSE)," ")</f>
        <v/>
      </c>
      <c r="I293" s="16" t="str">
        <f t="shared" si="31"/>
        <v>N</v>
      </c>
      <c r="J293" s="16" t="str">
        <f t="shared" si="33"/>
        <v xml:space="preserve">  </v>
      </c>
      <c r="L293" s="17"/>
      <c r="M293" t="str">
        <f t="shared" si="34"/>
        <v xml:space="preserve"> </v>
      </c>
      <c r="N293">
        <f t="shared" si="35"/>
        <v>0</v>
      </c>
      <c r="O293">
        <f>IF(P293&lt;1,0,IF(VLOOKUP($A293,'Actual Dates'!$A:$G,5,0)="Y",1,0))</f>
        <v>0</v>
      </c>
      <c r="P293">
        <f>IF(Q293&lt;1,0,IF(VLOOKUP($A293,'Actual Dates'!$A:$G,4,0)="Y",1,0))</f>
        <v>0</v>
      </c>
      <c r="Q293">
        <f>IF(R293&lt;1,0,IF(VLOOKUP($A293,'Actual Dates'!$A:$G,3,0)="Y",1,0))</f>
        <v>0</v>
      </c>
      <c r="R293">
        <f>IF(VLOOKUP($A293,'Actual Dates'!$A:$G,2,0)="Y",1,0)</f>
        <v>0</v>
      </c>
      <c r="S293" s="4">
        <f ca="1">_xlfn.IFNA(+VLOOKUP(A293,'Date Calcs'!A:AG,8,),TODAY())</f>
        <v>46115</v>
      </c>
      <c r="T293" s="4">
        <f ca="1">_xlfn.IFNA(VLOOKUP(A293,'Date Calcs'!A:AG,10,),TODAY())</f>
        <v>46115</v>
      </c>
      <c r="U293" s="4">
        <f ca="1">_xlfn.IFNA(+VLOOKUP(A293,'Date Calcs'!A:AG,12,),TODAY())</f>
        <v>46115</v>
      </c>
      <c r="V293" s="4">
        <f ca="1">_xlfn.IFNA(+VLOOKUP(A293,'Date Calcs'!A:AG,14,),TODAY())</f>
        <v>46115</v>
      </c>
      <c r="W293" s="4">
        <f ca="1">_xlfn.IFNA(+VLOOKUP(A293,'Date Calcs'!A:AG,16,),TODAY())</f>
        <v>46115</v>
      </c>
      <c r="X293" s="4">
        <f ca="1">_xlfn.IFNA(IF(C293=0,VLOOKUP(A293,'Date Calcs'!A:AG,8,),IF(C293=1,VLOOKUP(A293,'Date Calcs'!A:AG,10,),IF(C293=2,VLOOKUP(A293,'Date Calcs'!A:AG,12,),IF(C293=3,VLOOKUP(A293,'Date Calcs'!A:AG,14,),4)))),TODAY())</f>
        <v>46115</v>
      </c>
      <c r="Y293" s="4">
        <f t="shared" ca="1" si="32"/>
        <v>46115</v>
      </c>
      <c r="Z293" s="4">
        <f ca="1">_xlfn.IFNA(Y293+(VLOOKUP(A293,'Date Calcs'!A:W,22,0)*7),TODAY())</f>
        <v>46115</v>
      </c>
      <c r="AA293" s="4">
        <f>_xlfn.IFNA(VLOOKUP(A293,'RTR v2'!$A:$AW,46,0),"")</f>
        <v>0</v>
      </c>
    </row>
    <row r="294" spans="1:27" ht="23.25" hidden="1" x14ac:dyDescent="0.25">
      <c r="A294" s="12">
        <f>'Actual Dates'!A292</f>
        <v>0</v>
      </c>
      <c r="B294" s="13" t="str">
        <f>_xlfn.IFNA(VLOOKUP(A294,'Date Calcs'!A:B,2,),"")</f>
        <v/>
      </c>
      <c r="C294" s="14">
        <f>VLOOKUP(A294,'Actual Dates'!A:AE,18,)</f>
        <v>0</v>
      </c>
      <c r="D294" s="15">
        <f t="shared" ca="1" si="29"/>
        <v>46115</v>
      </c>
      <c r="E294" s="15">
        <f t="shared" ca="1" si="30"/>
        <v>46115</v>
      </c>
      <c r="F294" s="14">
        <f ca="1">IFERROR(ROUND(IF(A294="","",IF(E294=0,D294-Date!$B$3,D294-E294)),0),"")</f>
        <v>0</v>
      </c>
      <c r="G294" s="14" t="str">
        <f>_xlfn.IFNA(VLOOKUP(A294,'RTR v2'!A:AW,48,FALSE)," ")</f>
        <v/>
      </c>
      <c r="I294" s="16" t="str">
        <f t="shared" si="31"/>
        <v>N</v>
      </c>
      <c r="J294" s="16" t="str">
        <f t="shared" si="33"/>
        <v xml:space="preserve">  </v>
      </c>
      <c r="L294" s="17"/>
      <c r="M294" t="str">
        <f t="shared" si="34"/>
        <v xml:space="preserve"> </v>
      </c>
      <c r="N294">
        <f t="shared" si="35"/>
        <v>0</v>
      </c>
      <c r="O294">
        <f>IF(P294&lt;1,0,IF(VLOOKUP($A294,'Actual Dates'!$A:$G,5,0)="Y",1,0))</f>
        <v>0</v>
      </c>
      <c r="P294">
        <f>IF(Q294&lt;1,0,IF(VLOOKUP($A294,'Actual Dates'!$A:$G,4,0)="Y",1,0))</f>
        <v>0</v>
      </c>
      <c r="Q294">
        <f>IF(R294&lt;1,0,IF(VLOOKUP($A294,'Actual Dates'!$A:$G,3,0)="Y",1,0))</f>
        <v>0</v>
      </c>
      <c r="R294">
        <f>IF(VLOOKUP($A294,'Actual Dates'!$A:$G,2,0)="Y",1,0)</f>
        <v>0</v>
      </c>
      <c r="S294" s="4">
        <f ca="1">_xlfn.IFNA(+VLOOKUP(A294,'Date Calcs'!A:AG,8,),TODAY())</f>
        <v>46115</v>
      </c>
      <c r="T294" s="4">
        <f ca="1">_xlfn.IFNA(VLOOKUP(A294,'Date Calcs'!A:AG,10,),TODAY())</f>
        <v>46115</v>
      </c>
      <c r="U294" s="4">
        <f ca="1">_xlfn.IFNA(+VLOOKUP(A294,'Date Calcs'!A:AG,12,),TODAY())</f>
        <v>46115</v>
      </c>
      <c r="V294" s="4">
        <f ca="1">_xlfn.IFNA(+VLOOKUP(A294,'Date Calcs'!A:AG,14,),TODAY())</f>
        <v>46115</v>
      </c>
      <c r="W294" s="4">
        <f ca="1">_xlfn.IFNA(+VLOOKUP(A294,'Date Calcs'!A:AG,16,),TODAY())</f>
        <v>46115</v>
      </c>
      <c r="X294" s="4">
        <f ca="1">_xlfn.IFNA(IF(C294=0,VLOOKUP(A294,'Date Calcs'!A:AG,8,),IF(C294=1,VLOOKUP(A294,'Date Calcs'!A:AG,10,),IF(C294=2,VLOOKUP(A294,'Date Calcs'!A:AG,12,),IF(C294=3,VLOOKUP(A294,'Date Calcs'!A:AG,14,),4)))),TODAY())</f>
        <v>46115</v>
      </c>
      <c r="Y294" s="4">
        <f t="shared" ca="1" si="32"/>
        <v>46115</v>
      </c>
      <c r="Z294" s="4">
        <f ca="1">_xlfn.IFNA(Y294+(VLOOKUP(A294,'Date Calcs'!A:W,22,0)*7),TODAY())</f>
        <v>46115</v>
      </c>
      <c r="AA294" s="4">
        <f>_xlfn.IFNA(VLOOKUP(A294,'RTR v2'!$A:$AW,46,0),"")</f>
        <v>0</v>
      </c>
    </row>
    <row r="295" spans="1:27" ht="23.25" hidden="1" x14ac:dyDescent="0.25">
      <c r="A295" s="12">
        <f>'Actual Dates'!A293</f>
        <v>0</v>
      </c>
      <c r="B295" s="13" t="str">
        <f>_xlfn.IFNA(VLOOKUP(A295,'Date Calcs'!A:B,2,),"")</f>
        <v/>
      </c>
      <c r="C295" s="14">
        <f>VLOOKUP(A295,'Actual Dates'!A:AE,18,)</f>
        <v>0</v>
      </c>
      <c r="D295" s="15">
        <f t="shared" ca="1" si="29"/>
        <v>46115</v>
      </c>
      <c r="E295" s="15">
        <f t="shared" ca="1" si="30"/>
        <v>46115</v>
      </c>
      <c r="F295" s="14">
        <f ca="1">IFERROR(ROUND(IF(A295="","",IF(E295=0,D295-Date!$B$3,D295-E295)),0),"")</f>
        <v>0</v>
      </c>
      <c r="G295" s="14" t="str">
        <f>_xlfn.IFNA(VLOOKUP(A295,'RTR v2'!A:AW,48,FALSE)," ")</f>
        <v/>
      </c>
      <c r="I295" s="16" t="str">
        <f t="shared" si="31"/>
        <v>N</v>
      </c>
      <c r="J295" s="16" t="str">
        <f t="shared" si="33"/>
        <v xml:space="preserve">  </v>
      </c>
      <c r="L295" s="17"/>
      <c r="M295" t="str">
        <f t="shared" si="34"/>
        <v xml:space="preserve"> </v>
      </c>
      <c r="N295">
        <f t="shared" si="35"/>
        <v>0</v>
      </c>
      <c r="O295">
        <f>IF(P295&lt;1,0,IF(VLOOKUP($A295,'Actual Dates'!$A:$G,5,0)="Y",1,0))</f>
        <v>0</v>
      </c>
      <c r="P295">
        <f>IF(Q295&lt;1,0,IF(VLOOKUP($A295,'Actual Dates'!$A:$G,4,0)="Y",1,0))</f>
        <v>0</v>
      </c>
      <c r="Q295">
        <f>IF(R295&lt;1,0,IF(VLOOKUP($A295,'Actual Dates'!$A:$G,3,0)="Y",1,0))</f>
        <v>0</v>
      </c>
      <c r="R295">
        <f>IF(VLOOKUP($A295,'Actual Dates'!$A:$G,2,0)="Y",1,0)</f>
        <v>0</v>
      </c>
      <c r="S295" s="4">
        <f ca="1">_xlfn.IFNA(+VLOOKUP(A295,'Date Calcs'!A:AG,8,),TODAY())</f>
        <v>46115</v>
      </c>
      <c r="T295" s="4">
        <f ca="1">_xlfn.IFNA(VLOOKUP(A295,'Date Calcs'!A:AG,10,),TODAY())</f>
        <v>46115</v>
      </c>
      <c r="U295" s="4">
        <f ca="1">_xlfn.IFNA(+VLOOKUP(A295,'Date Calcs'!A:AG,12,),TODAY())</f>
        <v>46115</v>
      </c>
      <c r="V295" s="4">
        <f ca="1">_xlfn.IFNA(+VLOOKUP(A295,'Date Calcs'!A:AG,14,),TODAY())</f>
        <v>46115</v>
      </c>
      <c r="W295" s="4">
        <f ca="1">_xlfn.IFNA(+VLOOKUP(A295,'Date Calcs'!A:AG,16,),TODAY())</f>
        <v>46115</v>
      </c>
      <c r="X295" s="4">
        <f ca="1">_xlfn.IFNA(IF(C295=0,VLOOKUP(A295,'Date Calcs'!A:AG,8,),IF(C295=1,VLOOKUP(A295,'Date Calcs'!A:AG,10,),IF(C295=2,VLOOKUP(A295,'Date Calcs'!A:AG,12,),IF(C295=3,VLOOKUP(A295,'Date Calcs'!A:AG,14,),4)))),TODAY())</f>
        <v>46115</v>
      </c>
      <c r="Y295" s="4">
        <f t="shared" ca="1" si="32"/>
        <v>46115</v>
      </c>
      <c r="Z295" s="4">
        <f ca="1">_xlfn.IFNA(Y295+(VLOOKUP(A295,'Date Calcs'!A:W,22,0)*7),TODAY())</f>
        <v>46115</v>
      </c>
      <c r="AA295" s="4">
        <f>_xlfn.IFNA(VLOOKUP(A295,'RTR v2'!$A:$AW,46,0),"")</f>
        <v>0</v>
      </c>
    </row>
    <row r="296" spans="1:27" ht="23.25" hidden="1" x14ac:dyDescent="0.25">
      <c r="A296" s="12">
        <f>'Actual Dates'!A294</f>
        <v>0</v>
      </c>
      <c r="B296" s="13" t="str">
        <f>_xlfn.IFNA(VLOOKUP(A296,'Date Calcs'!A:B,2,),"")</f>
        <v/>
      </c>
      <c r="C296" s="14">
        <f>VLOOKUP(A296,'Actual Dates'!A:AE,18,)</f>
        <v>0</v>
      </c>
      <c r="D296" s="15">
        <f t="shared" ca="1" si="29"/>
        <v>46115</v>
      </c>
      <c r="E296" s="15">
        <f t="shared" ca="1" si="30"/>
        <v>46115</v>
      </c>
      <c r="F296" s="14">
        <f ca="1">IFERROR(ROUND(IF(A296="","",IF(E296=0,D296-Date!$B$3,D296-E296)),0),"")</f>
        <v>0</v>
      </c>
      <c r="G296" s="14" t="str">
        <f>_xlfn.IFNA(VLOOKUP(A296,'RTR v2'!A:AW,48,FALSE)," ")</f>
        <v/>
      </c>
      <c r="I296" s="16" t="str">
        <f t="shared" si="31"/>
        <v>N</v>
      </c>
      <c r="J296" s="16" t="str">
        <f t="shared" si="33"/>
        <v xml:space="preserve">  </v>
      </c>
      <c r="L296" s="17"/>
      <c r="M296" t="str">
        <f t="shared" si="34"/>
        <v xml:space="preserve"> </v>
      </c>
      <c r="N296">
        <f t="shared" si="35"/>
        <v>0</v>
      </c>
      <c r="O296">
        <f>IF(P296&lt;1,0,IF(VLOOKUP($A296,'Actual Dates'!$A:$G,5,0)="Y",1,0))</f>
        <v>0</v>
      </c>
      <c r="P296">
        <f>IF(Q296&lt;1,0,IF(VLOOKUP($A296,'Actual Dates'!$A:$G,4,0)="Y",1,0))</f>
        <v>0</v>
      </c>
      <c r="Q296">
        <f>IF(R296&lt;1,0,IF(VLOOKUP($A296,'Actual Dates'!$A:$G,3,0)="Y",1,0))</f>
        <v>0</v>
      </c>
      <c r="R296">
        <f>IF(VLOOKUP($A296,'Actual Dates'!$A:$G,2,0)="Y",1,0)</f>
        <v>0</v>
      </c>
      <c r="S296" s="4">
        <f ca="1">_xlfn.IFNA(+VLOOKUP(A296,'Date Calcs'!A:AG,8,),TODAY())</f>
        <v>46115</v>
      </c>
      <c r="T296" s="4">
        <f ca="1">_xlfn.IFNA(VLOOKUP(A296,'Date Calcs'!A:AG,10,),TODAY())</f>
        <v>46115</v>
      </c>
      <c r="U296" s="4">
        <f ca="1">_xlfn.IFNA(+VLOOKUP(A296,'Date Calcs'!A:AG,12,),TODAY())</f>
        <v>46115</v>
      </c>
      <c r="V296" s="4">
        <f ca="1">_xlfn.IFNA(+VLOOKUP(A296,'Date Calcs'!A:AG,14,),TODAY())</f>
        <v>46115</v>
      </c>
      <c r="W296" s="4">
        <f ca="1">_xlfn.IFNA(+VLOOKUP(A296,'Date Calcs'!A:AG,16,),TODAY())</f>
        <v>46115</v>
      </c>
      <c r="X296" s="4">
        <f ca="1">_xlfn.IFNA(IF(C296=0,VLOOKUP(A296,'Date Calcs'!A:AG,8,),IF(C296=1,VLOOKUP(A296,'Date Calcs'!A:AG,10,),IF(C296=2,VLOOKUP(A296,'Date Calcs'!A:AG,12,),IF(C296=3,VLOOKUP(A296,'Date Calcs'!A:AG,14,),4)))),TODAY())</f>
        <v>46115</v>
      </c>
      <c r="Y296" s="4">
        <f t="shared" ca="1" si="32"/>
        <v>46115</v>
      </c>
      <c r="Z296" s="4">
        <f ca="1">_xlfn.IFNA(Y296+(VLOOKUP(A296,'Date Calcs'!A:W,22,0)*7),TODAY())</f>
        <v>46115</v>
      </c>
      <c r="AA296" s="4">
        <f>_xlfn.IFNA(VLOOKUP(A296,'RTR v2'!$A:$AW,46,0),"")</f>
        <v>0</v>
      </c>
    </row>
    <row r="297" spans="1:27" ht="23.25" hidden="1" x14ac:dyDescent="0.25">
      <c r="A297" s="12">
        <f>'Actual Dates'!A295</f>
        <v>0</v>
      </c>
      <c r="B297" s="13" t="str">
        <f>_xlfn.IFNA(VLOOKUP(A297,'Date Calcs'!A:B,2,),"")</f>
        <v/>
      </c>
      <c r="C297" s="14">
        <f>VLOOKUP(A297,'Actual Dates'!A:AE,18,)</f>
        <v>0</v>
      </c>
      <c r="D297" s="15">
        <f t="shared" ca="1" si="29"/>
        <v>46115</v>
      </c>
      <c r="E297" s="15">
        <f t="shared" ca="1" si="30"/>
        <v>46115</v>
      </c>
      <c r="F297" s="14">
        <f ca="1">IFERROR(ROUND(IF(A297="","",IF(E297=0,D297-Date!$B$3,D297-E297)),0),"")</f>
        <v>0</v>
      </c>
      <c r="G297" s="14" t="str">
        <f>_xlfn.IFNA(VLOOKUP(A297,'RTR v2'!A:AW,48,FALSE)," ")</f>
        <v/>
      </c>
      <c r="I297" s="16" t="str">
        <f t="shared" si="31"/>
        <v>N</v>
      </c>
      <c r="J297" s="16" t="str">
        <f t="shared" si="33"/>
        <v xml:space="preserve">  </v>
      </c>
      <c r="L297" s="17"/>
      <c r="M297" t="str">
        <f t="shared" si="34"/>
        <v xml:space="preserve"> </v>
      </c>
      <c r="N297">
        <f t="shared" si="35"/>
        <v>0</v>
      </c>
      <c r="O297">
        <f>IF(P297&lt;1,0,IF(VLOOKUP($A297,'Actual Dates'!$A:$G,5,0)="Y",1,0))</f>
        <v>0</v>
      </c>
      <c r="P297">
        <f>IF(Q297&lt;1,0,IF(VLOOKUP($A297,'Actual Dates'!$A:$G,4,0)="Y",1,0))</f>
        <v>0</v>
      </c>
      <c r="Q297">
        <f>IF(R297&lt;1,0,IF(VLOOKUP($A297,'Actual Dates'!$A:$G,3,0)="Y",1,0))</f>
        <v>0</v>
      </c>
      <c r="R297">
        <f>IF(VLOOKUP($A297,'Actual Dates'!$A:$G,2,0)="Y",1,0)</f>
        <v>0</v>
      </c>
      <c r="S297" s="4">
        <f ca="1">_xlfn.IFNA(+VLOOKUP(A297,'Date Calcs'!A:AG,8,),TODAY())</f>
        <v>46115</v>
      </c>
      <c r="T297" s="4">
        <f ca="1">_xlfn.IFNA(VLOOKUP(A297,'Date Calcs'!A:AG,10,),TODAY())</f>
        <v>46115</v>
      </c>
      <c r="U297" s="4">
        <f ca="1">_xlfn.IFNA(+VLOOKUP(A297,'Date Calcs'!A:AG,12,),TODAY())</f>
        <v>46115</v>
      </c>
      <c r="V297" s="4">
        <f ca="1">_xlfn.IFNA(+VLOOKUP(A297,'Date Calcs'!A:AG,14,),TODAY())</f>
        <v>46115</v>
      </c>
      <c r="W297" s="4">
        <f ca="1">_xlfn.IFNA(+VLOOKUP(A297,'Date Calcs'!A:AG,16,),TODAY())</f>
        <v>46115</v>
      </c>
      <c r="X297" s="4">
        <f ca="1">_xlfn.IFNA(IF(C297=0,VLOOKUP(A297,'Date Calcs'!A:AG,8,),IF(C297=1,VLOOKUP(A297,'Date Calcs'!A:AG,10,),IF(C297=2,VLOOKUP(A297,'Date Calcs'!A:AG,12,),IF(C297=3,VLOOKUP(A297,'Date Calcs'!A:AG,14,),4)))),TODAY())</f>
        <v>46115</v>
      </c>
      <c r="Y297" s="4">
        <f t="shared" ca="1" si="32"/>
        <v>46115</v>
      </c>
      <c r="Z297" s="4">
        <f ca="1">_xlfn.IFNA(Y297+(VLOOKUP(A297,'Date Calcs'!A:W,22,0)*7),TODAY())</f>
        <v>46115</v>
      </c>
      <c r="AA297" s="4">
        <f>_xlfn.IFNA(VLOOKUP(A297,'RTR v2'!$A:$AW,46,0),"")</f>
        <v>0</v>
      </c>
    </row>
    <row r="298" spans="1:27" ht="23.25" hidden="1" x14ac:dyDescent="0.25">
      <c r="A298" s="12">
        <f>'Actual Dates'!A296</f>
        <v>0</v>
      </c>
      <c r="B298" s="13" t="str">
        <f>_xlfn.IFNA(VLOOKUP(A298,'Date Calcs'!A:B,2,),"")</f>
        <v/>
      </c>
      <c r="C298" s="14">
        <f>VLOOKUP(A298,'Actual Dates'!A:AE,18,)</f>
        <v>0</v>
      </c>
      <c r="D298" s="15">
        <f t="shared" ca="1" si="29"/>
        <v>46115</v>
      </c>
      <c r="E298" s="15">
        <f t="shared" ca="1" si="30"/>
        <v>46115</v>
      </c>
      <c r="F298" s="14">
        <f ca="1">IFERROR(ROUND(IF(A298="","",IF(E298=0,D298-Date!$B$3,D298-E298)),0),"")</f>
        <v>0</v>
      </c>
      <c r="G298" s="14" t="str">
        <f>_xlfn.IFNA(VLOOKUP(A298,'RTR v2'!A:AW,48,FALSE)," ")</f>
        <v/>
      </c>
      <c r="I298" s="16" t="str">
        <f t="shared" si="31"/>
        <v>N</v>
      </c>
      <c r="J298" s="16" t="str">
        <f t="shared" si="33"/>
        <v xml:space="preserve">  </v>
      </c>
      <c r="L298" s="17"/>
      <c r="M298" t="str">
        <f t="shared" si="34"/>
        <v xml:space="preserve"> </v>
      </c>
      <c r="N298">
        <f t="shared" si="35"/>
        <v>0</v>
      </c>
      <c r="O298">
        <f>IF(P298&lt;1,0,IF(VLOOKUP($A298,'Actual Dates'!$A:$G,5,0)="Y",1,0))</f>
        <v>0</v>
      </c>
      <c r="P298">
        <f>IF(Q298&lt;1,0,IF(VLOOKUP($A298,'Actual Dates'!$A:$G,4,0)="Y",1,0))</f>
        <v>0</v>
      </c>
      <c r="Q298">
        <f>IF(R298&lt;1,0,IF(VLOOKUP($A298,'Actual Dates'!$A:$G,3,0)="Y",1,0))</f>
        <v>0</v>
      </c>
      <c r="R298">
        <f>IF(VLOOKUP($A298,'Actual Dates'!$A:$G,2,0)="Y",1,0)</f>
        <v>0</v>
      </c>
      <c r="S298" s="4">
        <f ca="1">_xlfn.IFNA(+VLOOKUP(A298,'Date Calcs'!A:AG,8,),TODAY())</f>
        <v>46115</v>
      </c>
      <c r="T298" s="4">
        <f ca="1">_xlfn.IFNA(VLOOKUP(A298,'Date Calcs'!A:AG,10,),TODAY())</f>
        <v>46115</v>
      </c>
      <c r="U298" s="4">
        <f ca="1">_xlfn.IFNA(+VLOOKUP(A298,'Date Calcs'!A:AG,12,),TODAY())</f>
        <v>46115</v>
      </c>
      <c r="V298" s="4">
        <f ca="1">_xlfn.IFNA(+VLOOKUP(A298,'Date Calcs'!A:AG,14,),TODAY())</f>
        <v>46115</v>
      </c>
      <c r="W298" s="4">
        <f ca="1">_xlfn.IFNA(+VLOOKUP(A298,'Date Calcs'!A:AG,16,),TODAY())</f>
        <v>46115</v>
      </c>
      <c r="X298" s="4">
        <f ca="1">_xlfn.IFNA(IF(C298=0,VLOOKUP(A298,'Date Calcs'!A:AG,8,),IF(C298=1,VLOOKUP(A298,'Date Calcs'!A:AG,10,),IF(C298=2,VLOOKUP(A298,'Date Calcs'!A:AG,12,),IF(C298=3,VLOOKUP(A298,'Date Calcs'!A:AG,14,),4)))),TODAY())</f>
        <v>46115</v>
      </c>
      <c r="Y298" s="4">
        <f t="shared" ca="1" si="32"/>
        <v>46115</v>
      </c>
      <c r="Z298" s="4">
        <f ca="1">_xlfn.IFNA(Y298+(VLOOKUP(A298,'Date Calcs'!A:W,22,0)*7),TODAY())</f>
        <v>46115</v>
      </c>
      <c r="AA298" s="4">
        <f>_xlfn.IFNA(VLOOKUP(A298,'RTR v2'!$A:$AW,46,0),"")</f>
        <v>0</v>
      </c>
    </row>
    <row r="299" spans="1:27" ht="23.25" hidden="1" x14ac:dyDescent="0.25">
      <c r="A299" s="12">
        <f>'Actual Dates'!A297</f>
        <v>0</v>
      </c>
      <c r="B299" s="13" t="str">
        <f>_xlfn.IFNA(VLOOKUP(A299,'Date Calcs'!A:B,2,),"")</f>
        <v/>
      </c>
      <c r="C299" s="14">
        <f>VLOOKUP(A299,'Actual Dates'!A:AE,18,)</f>
        <v>0</v>
      </c>
      <c r="D299" s="15">
        <f t="shared" ca="1" si="29"/>
        <v>46115</v>
      </c>
      <c r="E299" s="15">
        <f t="shared" ca="1" si="30"/>
        <v>46115</v>
      </c>
      <c r="F299" s="14">
        <f ca="1">IFERROR(ROUND(IF(A299="","",IF(E299=0,D299-Date!$B$3,D299-E299)),0),"")</f>
        <v>0</v>
      </c>
      <c r="G299" s="14" t="str">
        <f>_xlfn.IFNA(VLOOKUP(A299,'RTR v2'!A:AW,48,FALSE)," ")</f>
        <v/>
      </c>
      <c r="I299" s="16" t="str">
        <f t="shared" si="31"/>
        <v>N</v>
      </c>
      <c r="J299" s="16" t="str">
        <f t="shared" si="33"/>
        <v xml:space="preserve">  </v>
      </c>
      <c r="L299" s="17"/>
      <c r="M299" t="str">
        <f t="shared" si="34"/>
        <v xml:space="preserve"> </v>
      </c>
      <c r="N299">
        <f t="shared" si="35"/>
        <v>0</v>
      </c>
      <c r="O299">
        <f>IF(P299&lt;1,0,IF(VLOOKUP($A299,'Actual Dates'!$A:$G,5,0)="Y",1,0))</f>
        <v>0</v>
      </c>
      <c r="P299">
        <f>IF(Q299&lt;1,0,IF(VLOOKUP($A299,'Actual Dates'!$A:$G,4,0)="Y",1,0))</f>
        <v>0</v>
      </c>
      <c r="Q299">
        <f>IF(R299&lt;1,0,IF(VLOOKUP($A299,'Actual Dates'!$A:$G,3,0)="Y",1,0))</f>
        <v>0</v>
      </c>
      <c r="R299">
        <f>IF(VLOOKUP($A299,'Actual Dates'!$A:$G,2,0)="Y",1,0)</f>
        <v>0</v>
      </c>
      <c r="S299" s="4">
        <f ca="1">_xlfn.IFNA(+VLOOKUP(A299,'Date Calcs'!A:AG,8,),TODAY())</f>
        <v>46115</v>
      </c>
      <c r="T299" s="4">
        <f ca="1">_xlfn.IFNA(VLOOKUP(A299,'Date Calcs'!A:AG,10,),TODAY())</f>
        <v>46115</v>
      </c>
      <c r="U299" s="4">
        <f ca="1">_xlfn.IFNA(+VLOOKUP(A299,'Date Calcs'!A:AG,12,),TODAY())</f>
        <v>46115</v>
      </c>
      <c r="V299" s="4">
        <f ca="1">_xlfn.IFNA(+VLOOKUP(A299,'Date Calcs'!A:AG,14,),TODAY())</f>
        <v>46115</v>
      </c>
      <c r="W299" s="4">
        <f ca="1">_xlfn.IFNA(+VLOOKUP(A299,'Date Calcs'!A:AG,16,),TODAY())</f>
        <v>46115</v>
      </c>
      <c r="X299" s="4">
        <f ca="1">_xlfn.IFNA(IF(C299=0,VLOOKUP(A299,'Date Calcs'!A:AG,8,),IF(C299=1,VLOOKUP(A299,'Date Calcs'!A:AG,10,),IF(C299=2,VLOOKUP(A299,'Date Calcs'!A:AG,12,),IF(C299=3,VLOOKUP(A299,'Date Calcs'!A:AG,14,),4)))),TODAY())</f>
        <v>46115</v>
      </c>
      <c r="Y299" s="4">
        <f t="shared" ca="1" si="32"/>
        <v>46115</v>
      </c>
      <c r="Z299" s="4">
        <f ca="1">_xlfn.IFNA(Y299+(VLOOKUP(A299,'Date Calcs'!A:W,22,0)*7),TODAY())</f>
        <v>46115</v>
      </c>
      <c r="AA299" s="4">
        <f>_xlfn.IFNA(VLOOKUP(A299,'RTR v2'!$A:$AW,46,0),"")</f>
        <v>0</v>
      </c>
    </row>
    <row r="300" spans="1:27" ht="23.25" hidden="1" x14ac:dyDescent="0.25">
      <c r="A300" s="12">
        <f>'Actual Dates'!A298</f>
        <v>0</v>
      </c>
      <c r="B300" s="13" t="str">
        <f>_xlfn.IFNA(VLOOKUP(A300,'Date Calcs'!A:B,2,),"")</f>
        <v/>
      </c>
      <c r="C300" s="14">
        <f>VLOOKUP(A300,'Actual Dates'!A:AE,18,)</f>
        <v>0</v>
      </c>
      <c r="D300" s="15">
        <f t="shared" ca="1" si="29"/>
        <v>46115</v>
      </c>
      <c r="E300" s="15">
        <f t="shared" ca="1" si="30"/>
        <v>46115</v>
      </c>
      <c r="F300" s="14">
        <f ca="1">IFERROR(ROUND(IF(A300="","",IF(E300=0,D300-Date!$B$3,D300-E300)),0),"")</f>
        <v>0</v>
      </c>
      <c r="G300" s="14" t="str">
        <f>_xlfn.IFNA(VLOOKUP(A300,'RTR v2'!A:AW,48,FALSE)," ")</f>
        <v/>
      </c>
      <c r="I300" s="16" t="str">
        <f t="shared" si="31"/>
        <v>N</v>
      </c>
      <c r="J300" s="16" t="str">
        <f t="shared" si="33"/>
        <v xml:space="preserve">  </v>
      </c>
      <c r="L300" s="17"/>
      <c r="M300" t="str">
        <f t="shared" si="34"/>
        <v xml:space="preserve"> </v>
      </c>
      <c r="N300">
        <f t="shared" si="35"/>
        <v>0</v>
      </c>
      <c r="O300">
        <f>IF(P300&lt;1,0,IF(VLOOKUP($A300,'Actual Dates'!$A:$G,5,0)="Y",1,0))</f>
        <v>0</v>
      </c>
      <c r="P300">
        <f>IF(Q300&lt;1,0,IF(VLOOKUP($A300,'Actual Dates'!$A:$G,4,0)="Y",1,0))</f>
        <v>0</v>
      </c>
      <c r="Q300">
        <f>IF(R300&lt;1,0,IF(VLOOKUP($A300,'Actual Dates'!$A:$G,3,0)="Y",1,0))</f>
        <v>0</v>
      </c>
      <c r="R300">
        <f>IF(VLOOKUP($A300,'Actual Dates'!$A:$G,2,0)="Y",1,0)</f>
        <v>0</v>
      </c>
      <c r="S300" s="4">
        <f ca="1">_xlfn.IFNA(+VLOOKUP(A300,'Date Calcs'!A:AG,8,),TODAY())</f>
        <v>46115</v>
      </c>
      <c r="T300" s="4">
        <f ca="1">_xlfn.IFNA(VLOOKUP(A300,'Date Calcs'!A:AG,10,),TODAY())</f>
        <v>46115</v>
      </c>
      <c r="U300" s="4">
        <f ca="1">_xlfn.IFNA(+VLOOKUP(A300,'Date Calcs'!A:AG,12,),TODAY())</f>
        <v>46115</v>
      </c>
      <c r="V300" s="4">
        <f ca="1">_xlfn.IFNA(+VLOOKUP(A300,'Date Calcs'!A:AG,14,),TODAY())</f>
        <v>46115</v>
      </c>
      <c r="W300" s="4">
        <f ca="1">_xlfn.IFNA(+VLOOKUP(A300,'Date Calcs'!A:AG,16,),TODAY())</f>
        <v>46115</v>
      </c>
      <c r="X300" s="4">
        <f ca="1">_xlfn.IFNA(IF(C300=0,VLOOKUP(A300,'Date Calcs'!A:AG,8,),IF(C300=1,VLOOKUP(A300,'Date Calcs'!A:AG,10,),IF(C300=2,VLOOKUP(A300,'Date Calcs'!A:AG,12,),IF(C300=3,VLOOKUP(A300,'Date Calcs'!A:AG,14,),4)))),TODAY())</f>
        <v>46115</v>
      </c>
      <c r="Y300" s="4">
        <f t="shared" ca="1" si="32"/>
        <v>46115</v>
      </c>
      <c r="Z300" s="4">
        <f ca="1">_xlfn.IFNA(Y300+(VLOOKUP(A300,'Date Calcs'!A:W,22,0)*7),TODAY())</f>
        <v>46115</v>
      </c>
      <c r="AA300" s="4">
        <f>_xlfn.IFNA(VLOOKUP(A300,'RTR v2'!$A:$AW,46,0),"")</f>
        <v>0</v>
      </c>
    </row>
    <row r="301" spans="1:27" ht="23.25" hidden="1" x14ac:dyDescent="0.25">
      <c r="A301" s="12">
        <f>'Actual Dates'!A299</f>
        <v>0</v>
      </c>
      <c r="B301" s="13" t="str">
        <f>_xlfn.IFNA(VLOOKUP(A301,'Date Calcs'!A:B,2,),"")</f>
        <v/>
      </c>
      <c r="C301" s="14">
        <f>VLOOKUP(A301,'Actual Dates'!A:AE,18,)</f>
        <v>0</v>
      </c>
      <c r="D301" s="15">
        <f t="shared" ca="1" si="29"/>
        <v>46115</v>
      </c>
      <c r="E301" s="15">
        <f t="shared" ca="1" si="30"/>
        <v>46115</v>
      </c>
      <c r="F301" s="14">
        <f ca="1">IFERROR(ROUND(IF(A301="","",IF(E301=0,D301-Date!$B$3,D301-E301)),0),"")</f>
        <v>0</v>
      </c>
      <c r="G301" s="14" t="str">
        <f>_xlfn.IFNA(VLOOKUP(A301,'RTR v2'!A:AW,48,FALSE)," ")</f>
        <v/>
      </c>
      <c r="I301" s="16" t="str">
        <f t="shared" si="31"/>
        <v>N</v>
      </c>
      <c r="J301" s="16" t="str">
        <f t="shared" si="33"/>
        <v xml:space="preserve">  </v>
      </c>
      <c r="L301" s="17"/>
      <c r="M301" t="str">
        <f t="shared" si="34"/>
        <v xml:space="preserve"> </v>
      </c>
      <c r="N301">
        <f t="shared" si="35"/>
        <v>0</v>
      </c>
      <c r="O301">
        <f>IF(P301&lt;1,0,IF(VLOOKUP($A301,'Actual Dates'!$A:$G,5,0)="Y",1,0))</f>
        <v>0</v>
      </c>
      <c r="P301">
        <f>IF(Q301&lt;1,0,IF(VLOOKUP($A301,'Actual Dates'!$A:$G,4,0)="Y",1,0))</f>
        <v>0</v>
      </c>
      <c r="Q301">
        <f>IF(R301&lt;1,0,IF(VLOOKUP($A301,'Actual Dates'!$A:$G,3,0)="Y",1,0))</f>
        <v>0</v>
      </c>
      <c r="R301">
        <f>IF(VLOOKUP($A301,'Actual Dates'!$A:$G,2,0)="Y",1,0)</f>
        <v>0</v>
      </c>
      <c r="S301" s="4">
        <f ca="1">_xlfn.IFNA(+VLOOKUP(A301,'Date Calcs'!A:AG,8,),TODAY())</f>
        <v>46115</v>
      </c>
      <c r="T301" s="4">
        <f ca="1">_xlfn.IFNA(VLOOKUP(A301,'Date Calcs'!A:AG,10,),TODAY())</f>
        <v>46115</v>
      </c>
      <c r="U301" s="4">
        <f ca="1">_xlfn.IFNA(+VLOOKUP(A301,'Date Calcs'!A:AG,12,),TODAY())</f>
        <v>46115</v>
      </c>
      <c r="V301" s="4">
        <f ca="1">_xlfn.IFNA(+VLOOKUP(A301,'Date Calcs'!A:AG,14,),TODAY())</f>
        <v>46115</v>
      </c>
      <c r="W301" s="4">
        <f ca="1">_xlfn.IFNA(+VLOOKUP(A301,'Date Calcs'!A:AG,16,),TODAY())</f>
        <v>46115</v>
      </c>
      <c r="X301" s="4">
        <f ca="1">_xlfn.IFNA(IF(C301=0,VLOOKUP(A301,'Date Calcs'!A:AG,8,),IF(C301=1,VLOOKUP(A301,'Date Calcs'!A:AG,10,),IF(C301=2,VLOOKUP(A301,'Date Calcs'!A:AG,12,),IF(C301=3,VLOOKUP(A301,'Date Calcs'!A:AG,14,),4)))),TODAY())</f>
        <v>46115</v>
      </c>
      <c r="Y301" s="4">
        <f t="shared" ca="1" si="32"/>
        <v>46115</v>
      </c>
      <c r="Z301" s="4">
        <f ca="1">_xlfn.IFNA(Y301+(VLOOKUP(A301,'Date Calcs'!A:W,22,0)*7),TODAY())</f>
        <v>46115</v>
      </c>
      <c r="AA301" s="4">
        <f>_xlfn.IFNA(VLOOKUP(A301,'RTR v2'!$A:$AW,46,0),"")</f>
        <v>0</v>
      </c>
    </row>
    <row r="302" spans="1:27" ht="23.25" hidden="1" x14ac:dyDescent="0.25">
      <c r="A302" s="12">
        <f>'Actual Dates'!A300</f>
        <v>0</v>
      </c>
      <c r="B302" s="13" t="str">
        <f>_xlfn.IFNA(VLOOKUP(A302,'Date Calcs'!A:B,2,),"")</f>
        <v/>
      </c>
      <c r="C302" s="14">
        <f>VLOOKUP(A302,'Actual Dates'!A:AE,18,)</f>
        <v>0</v>
      </c>
      <c r="D302" s="15">
        <f t="shared" ca="1" si="29"/>
        <v>46115</v>
      </c>
      <c r="E302" s="15">
        <f t="shared" ca="1" si="30"/>
        <v>46115</v>
      </c>
      <c r="F302" s="14">
        <f ca="1">IFERROR(ROUND(IF(A302="","",IF(E302=0,D302-Date!$B$3,D302-E302)),0),"")</f>
        <v>0</v>
      </c>
      <c r="G302" s="14" t="str">
        <f>_xlfn.IFNA(VLOOKUP(A302,'RTR v2'!A:AW,48,FALSE)," ")</f>
        <v/>
      </c>
      <c r="I302" s="16" t="str">
        <f t="shared" si="31"/>
        <v>N</v>
      </c>
      <c r="J302" s="16" t="str">
        <f t="shared" si="33"/>
        <v xml:space="preserve">  </v>
      </c>
      <c r="L302" s="17"/>
      <c r="M302" t="str">
        <f t="shared" si="34"/>
        <v xml:space="preserve"> </v>
      </c>
      <c r="N302">
        <f t="shared" si="35"/>
        <v>0</v>
      </c>
      <c r="O302">
        <f>IF(P302&lt;1,0,IF(VLOOKUP($A302,'Actual Dates'!$A:$G,5,0)="Y",1,0))</f>
        <v>0</v>
      </c>
      <c r="P302">
        <f>IF(Q302&lt;1,0,IF(VLOOKUP($A302,'Actual Dates'!$A:$G,4,0)="Y",1,0))</f>
        <v>0</v>
      </c>
      <c r="Q302">
        <f>IF(R302&lt;1,0,IF(VLOOKUP($A302,'Actual Dates'!$A:$G,3,0)="Y",1,0))</f>
        <v>0</v>
      </c>
      <c r="R302">
        <f>IF(VLOOKUP($A302,'Actual Dates'!$A:$G,2,0)="Y",1,0)</f>
        <v>0</v>
      </c>
      <c r="S302" s="4">
        <f ca="1">_xlfn.IFNA(+VLOOKUP(A302,'Date Calcs'!A:AG,8,),TODAY())</f>
        <v>46115</v>
      </c>
      <c r="T302" s="4">
        <f ca="1">_xlfn.IFNA(VLOOKUP(A302,'Date Calcs'!A:AG,10,),TODAY())</f>
        <v>46115</v>
      </c>
      <c r="U302" s="4">
        <f ca="1">_xlfn.IFNA(+VLOOKUP(A302,'Date Calcs'!A:AG,12,),TODAY())</f>
        <v>46115</v>
      </c>
      <c r="V302" s="4">
        <f ca="1">_xlfn.IFNA(+VLOOKUP(A302,'Date Calcs'!A:AG,14,),TODAY())</f>
        <v>46115</v>
      </c>
      <c r="W302" s="4">
        <f ca="1">_xlfn.IFNA(+VLOOKUP(A302,'Date Calcs'!A:AG,16,),TODAY())</f>
        <v>46115</v>
      </c>
      <c r="X302" s="4">
        <f ca="1">_xlfn.IFNA(IF(C302=0,VLOOKUP(A302,'Date Calcs'!A:AG,8,),IF(C302=1,VLOOKUP(A302,'Date Calcs'!A:AG,10,),IF(C302=2,VLOOKUP(A302,'Date Calcs'!A:AG,12,),IF(C302=3,VLOOKUP(A302,'Date Calcs'!A:AG,14,),4)))),TODAY())</f>
        <v>46115</v>
      </c>
      <c r="Y302" s="4">
        <f t="shared" ca="1" si="32"/>
        <v>46115</v>
      </c>
      <c r="Z302" s="4">
        <f ca="1">_xlfn.IFNA(Y302+(VLOOKUP(A302,'Date Calcs'!A:W,22,0)*7),TODAY())</f>
        <v>46115</v>
      </c>
      <c r="AA302" s="4">
        <f>_xlfn.IFNA(VLOOKUP(A302,'RTR v2'!$A:$AW,46,0),"")</f>
        <v>0</v>
      </c>
    </row>
    <row r="303" spans="1:27" ht="23.25" hidden="1" x14ac:dyDescent="0.25">
      <c r="A303" s="12">
        <f>'Actual Dates'!A301</f>
        <v>0</v>
      </c>
      <c r="B303" s="13" t="str">
        <f>_xlfn.IFNA(VLOOKUP(A303,'Date Calcs'!A:B,2,),"")</f>
        <v/>
      </c>
      <c r="C303" s="14">
        <f>VLOOKUP(A303,'Actual Dates'!A:AE,18,)</f>
        <v>0</v>
      </c>
      <c r="D303" s="15">
        <f t="shared" ca="1" si="29"/>
        <v>46115</v>
      </c>
      <c r="E303" s="15">
        <f t="shared" ca="1" si="30"/>
        <v>46115</v>
      </c>
      <c r="F303" s="14">
        <f ca="1">IFERROR(ROUND(IF(A303="","",IF(E303=0,D303-Date!$B$3,D303-E303)),0),"")</f>
        <v>0</v>
      </c>
      <c r="G303" s="14" t="str">
        <f>_xlfn.IFNA(VLOOKUP(A303,'RTR v2'!A:AW,48,FALSE)," ")</f>
        <v/>
      </c>
      <c r="I303" s="16" t="str">
        <f t="shared" si="31"/>
        <v>N</v>
      </c>
      <c r="J303" s="16" t="str">
        <f t="shared" si="33"/>
        <v xml:space="preserve">  </v>
      </c>
      <c r="L303" s="17"/>
      <c r="M303" t="str">
        <f t="shared" si="34"/>
        <v xml:space="preserve"> </v>
      </c>
      <c r="N303">
        <f t="shared" si="35"/>
        <v>0</v>
      </c>
      <c r="O303">
        <f>IF(P303&lt;1,0,IF(VLOOKUP($A303,'Actual Dates'!$A:$G,5,0)="Y",1,0))</f>
        <v>0</v>
      </c>
      <c r="P303">
        <f>IF(Q303&lt;1,0,IF(VLOOKUP($A303,'Actual Dates'!$A:$G,4,0)="Y",1,0))</f>
        <v>0</v>
      </c>
      <c r="Q303">
        <f>IF(R303&lt;1,0,IF(VLOOKUP($A303,'Actual Dates'!$A:$G,3,0)="Y",1,0))</f>
        <v>0</v>
      </c>
      <c r="R303">
        <f>IF(VLOOKUP($A303,'Actual Dates'!$A:$G,2,0)="Y",1,0)</f>
        <v>0</v>
      </c>
      <c r="S303" s="4">
        <f ca="1">_xlfn.IFNA(+VLOOKUP(A303,'Date Calcs'!A:AG,8,),TODAY())</f>
        <v>46115</v>
      </c>
      <c r="T303" s="4">
        <f ca="1">_xlfn.IFNA(VLOOKUP(A303,'Date Calcs'!A:AG,10,),TODAY())</f>
        <v>46115</v>
      </c>
      <c r="U303" s="4">
        <f ca="1">_xlfn.IFNA(+VLOOKUP(A303,'Date Calcs'!A:AG,12,),TODAY())</f>
        <v>46115</v>
      </c>
      <c r="V303" s="4">
        <f ca="1">_xlfn.IFNA(+VLOOKUP(A303,'Date Calcs'!A:AG,14,),TODAY())</f>
        <v>46115</v>
      </c>
      <c r="W303" s="4">
        <f ca="1">_xlfn.IFNA(+VLOOKUP(A303,'Date Calcs'!A:AG,16,),TODAY())</f>
        <v>46115</v>
      </c>
      <c r="X303" s="4">
        <f ca="1">_xlfn.IFNA(IF(C303=0,VLOOKUP(A303,'Date Calcs'!A:AG,8,),IF(C303=1,VLOOKUP(A303,'Date Calcs'!A:AG,10,),IF(C303=2,VLOOKUP(A303,'Date Calcs'!A:AG,12,),IF(C303=3,VLOOKUP(A303,'Date Calcs'!A:AG,14,),4)))),TODAY())</f>
        <v>46115</v>
      </c>
      <c r="Y303" s="4">
        <f t="shared" ca="1" si="32"/>
        <v>46115</v>
      </c>
      <c r="Z303" s="4">
        <f ca="1">_xlfn.IFNA(Y303+(VLOOKUP(A303,'Date Calcs'!A:W,22,0)*7),TODAY())</f>
        <v>46115</v>
      </c>
      <c r="AA303" s="4">
        <f>_xlfn.IFNA(VLOOKUP(A303,'RTR v2'!$A:$AW,46,0),"")</f>
        <v>0</v>
      </c>
    </row>
    <row r="304" spans="1:27" ht="23.25" hidden="1" x14ac:dyDescent="0.25">
      <c r="A304" s="12">
        <f>'Actual Dates'!A302</f>
        <v>0</v>
      </c>
      <c r="B304" s="13" t="str">
        <f>_xlfn.IFNA(VLOOKUP(A304,'Date Calcs'!A:B,2,),"")</f>
        <v/>
      </c>
      <c r="C304" s="14">
        <f>VLOOKUP(A304,'Actual Dates'!A:AE,18,)</f>
        <v>0</v>
      </c>
      <c r="D304" s="15">
        <f t="shared" ca="1" si="29"/>
        <v>46115</v>
      </c>
      <c r="E304" s="15">
        <f t="shared" ca="1" si="30"/>
        <v>46115</v>
      </c>
      <c r="F304" s="14">
        <f ca="1">IFERROR(ROUND(IF(A304="","",IF(E304=0,D304-Date!$B$3,D304-E304)),0),"")</f>
        <v>0</v>
      </c>
      <c r="G304" s="14" t="str">
        <f>_xlfn.IFNA(VLOOKUP(A304,'RTR v2'!A:AW,48,FALSE)," ")</f>
        <v/>
      </c>
      <c r="I304" s="16" t="str">
        <f t="shared" si="31"/>
        <v>N</v>
      </c>
      <c r="J304" s="16" t="str">
        <f t="shared" si="33"/>
        <v xml:space="preserve">  </v>
      </c>
      <c r="L304" s="17"/>
      <c r="M304" t="str">
        <f t="shared" si="34"/>
        <v xml:space="preserve"> </v>
      </c>
      <c r="N304">
        <f t="shared" si="35"/>
        <v>0</v>
      </c>
      <c r="O304">
        <f>IF(P304&lt;1,0,IF(VLOOKUP($A304,'Actual Dates'!$A:$G,5,0)="Y",1,0))</f>
        <v>0</v>
      </c>
      <c r="P304">
        <f>IF(Q304&lt;1,0,IF(VLOOKUP($A304,'Actual Dates'!$A:$G,4,0)="Y",1,0))</f>
        <v>0</v>
      </c>
      <c r="Q304">
        <f>IF(R304&lt;1,0,IF(VLOOKUP($A304,'Actual Dates'!$A:$G,3,0)="Y",1,0))</f>
        <v>0</v>
      </c>
      <c r="R304">
        <f>IF(VLOOKUP($A304,'Actual Dates'!$A:$G,2,0)="Y",1,0)</f>
        <v>0</v>
      </c>
      <c r="S304" s="4">
        <f ca="1">_xlfn.IFNA(+VLOOKUP(A304,'Date Calcs'!A:AG,8,),TODAY())</f>
        <v>46115</v>
      </c>
      <c r="T304" s="4">
        <f ca="1">_xlfn.IFNA(VLOOKUP(A304,'Date Calcs'!A:AG,10,),TODAY())</f>
        <v>46115</v>
      </c>
      <c r="U304" s="4">
        <f ca="1">_xlfn.IFNA(+VLOOKUP(A304,'Date Calcs'!A:AG,12,),TODAY())</f>
        <v>46115</v>
      </c>
      <c r="V304" s="4">
        <f ca="1">_xlfn.IFNA(+VLOOKUP(A304,'Date Calcs'!A:AG,14,),TODAY())</f>
        <v>46115</v>
      </c>
      <c r="W304" s="4">
        <f ca="1">_xlfn.IFNA(+VLOOKUP(A304,'Date Calcs'!A:AG,16,),TODAY())</f>
        <v>46115</v>
      </c>
      <c r="X304" s="4">
        <f ca="1">_xlfn.IFNA(IF(C304=0,VLOOKUP(A304,'Date Calcs'!A:AG,8,),IF(C304=1,VLOOKUP(A304,'Date Calcs'!A:AG,10,),IF(C304=2,VLOOKUP(A304,'Date Calcs'!A:AG,12,),IF(C304=3,VLOOKUP(A304,'Date Calcs'!A:AG,14,),4)))),TODAY())</f>
        <v>46115</v>
      </c>
      <c r="Y304" s="4">
        <f t="shared" ca="1" si="32"/>
        <v>46115</v>
      </c>
      <c r="Z304" s="4">
        <f ca="1">_xlfn.IFNA(Y304+(VLOOKUP(A304,'Date Calcs'!A:W,22,0)*7),TODAY())</f>
        <v>46115</v>
      </c>
      <c r="AA304" s="4">
        <f>_xlfn.IFNA(VLOOKUP(A304,'RTR v2'!$A:$AW,46,0),"")</f>
        <v>0</v>
      </c>
    </row>
    <row r="305" spans="1:27" ht="23.25" hidden="1" x14ac:dyDescent="0.25">
      <c r="A305" s="12">
        <f>'Actual Dates'!A303</f>
        <v>0</v>
      </c>
      <c r="B305" s="13" t="str">
        <f>_xlfn.IFNA(VLOOKUP(A305,'Date Calcs'!A:B,2,),"")</f>
        <v/>
      </c>
      <c r="C305" s="14">
        <f>VLOOKUP(A305,'Actual Dates'!A:AE,18,)</f>
        <v>0</v>
      </c>
      <c r="D305" s="15">
        <f t="shared" ca="1" si="29"/>
        <v>46115</v>
      </c>
      <c r="E305" s="15">
        <f t="shared" ca="1" si="30"/>
        <v>46115</v>
      </c>
      <c r="F305" s="14">
        <f ca="1">IFERROR(ROUND(IF(A305="","",IF(E305=0,D305-Date!$B$3,D305-E305)),0),"")</f>
        <v>0</v>
      </c>
      <c r="G305" s="14" t="str">
        <f>_xlfn.IFNA(VLOOKUP(A305,'RTR v2'!A:AW,48,FALSE)," ")</f>
        <v/>
      </c>
      <c r="I305" s="16" t="str">
        <f t="shared" si="31"/>
        <v>N</v>
      </c>
      <c r="J305" s="16" t="str">
        <f t="shared" si="33"/>
        <v xml:space="preserve">  </v>
      </c>
      <c r="L305" s="17"/>
      <c r="M305" t="str">
        <f t="shared" si="34"/>
        <v xml:space="preserve"> </v>
      </c>
      <c r="N305">
        <f t="shared" si="35"/>
        <v>0</v>
      </c>
      <c r="O305">
        <f>IF(P305&lt;1,0,IF(VLOOKUP($A305,'Actual Dates'!$A:$G,5,0)="Y",1,0))</f>
        <v>0</v>
      </c>
      <c r="P305">
        <f>IF(Q305&lt;1,0,IF(VLOOKUP($A305,'Actual Dates'!$A:$G,4,0)="Y",1,0))</f>
        <v>0</v>
      </c>
      <c r="Q305">
        <f>IF(R305&lt;1,0,IF(VLOOKUP($A305,'Actual Dates'!$A:$G,3,0)="Y",1,0))</f>
        <v>0</v>
      </c>
      <c r="R305">
        <f>IF(VLOOKUP($A305,'Actual Dates'!$A:$G,2,0)="Y",1,0)</f>
        <v>0</v>
      </c>
      <c r="S305" s="4">
        <f ca="1">_xlfn.IFNA(+VLOOKUP(A305,'Date Calcs'!A:AG,8,),TODAY())</f>
        <v>46115</v>
      </c>
      <c r="T305" s="4">
        <f ca="1">_xlfn.IFNA(VLOOKUP(A305,'Date Calcs'!A:AG,10,),TODAY())</f>
        <v>46115</v>
      </c>
      <c r="U305" s="4">
        <f ca="1">_xlfn.IFNA(+VLOOKUP(A305,'Date Calcs'!A:AG,12,),TODAY())</f>
        <v>46115</v>
      </c>
      <c r="V305" s="4">
        <f ca="1">_xlfn.IFNA(+VLOOKUP(A305,'Date Calcs'!A:AG,14,),TODAY())</f>
        <v>46115</v>
      </c>
      <c r="W305" s="4">
        <f ca="1">_xlfn.IFNA(+VLOOKUP(A305,'Date Calcs'!A:AG,16,),TODAY())</f>
        <v>46115</v>
      </c>
      <c r="X305" s="4">
        <f ca="1">_xlfn.IFNA(IF(C305=0,VLOOKUP(A305,'Date Calcs'!A:AG,8,),IF(C305=1,VLOOKUP(A305,'Date Calcs'!A:AG,10,),IF(C305=2,VLOOKUP(A305,'Date Calcs'!A:AG,12,),IF(C305=3,VLOOKUP(A305,'Date Calcs'!A:AG,14,),4)))),TODAY())</f>
        <v>46115</v>
      </c>
      <c r="Y305" s="4">
        <f t="shared" ca="1" si="32"/>
        <v>46115</v>
      </c>
      <c r="Z305" s="4">
        <f ca="1">_xlfn.IFNA(Y305+(VLOOKUP(A305,'Date Calcs'!A:W,22,0)*7),TODAY())</f>
        <v>46115</v>
      </c>
      <c r="AA305" s="4">
        <f>_xlfn.IFNA(VLOOKUP(A305,'RTR v2'!$A:$AW,46,0),"")</f>
        <v>0</v>
      </c>
    </row>
    <row r="306" spans="1:27" ht="23.25" hidden="1" x14ac:dyDescent="0.25">
      <c r="A306" s="12">
        <f>'Actual Dates'!A304</f>
        <v>0</v>
      </c>
      <c r="B306" s="13" t="str">
        <f>_xlfn.IFNA(VLOOKUP(A306,'Date Calcs'!A:B,2,),"")</f>
        <v/>
      </c>
      <c r="C306" s="14">
        <f>VLOOKUP(A306,'Actual Dates'!A:AE,18,)</f>
        <v>0</v>
      </c>
      <c r="D306" s="15">
        <f t="shared" ca="1" si="29"/>
        <v>46115</v>
      </c>
      <c r="E306" s="15">
        <f t="shared" ca="1" si="30"/>
        <v>46115</v>
      </c>
      <c r="F306" s="14">
        <f ca="1">IFERROR(ROUND(IF(A306="","",IF(E306=0,D306-Date!$B$3,D306-E306)),0),"")</f>
        <v>0</v>
      </c>
      <c r="G306" s="14" t="str">
        <f>_xlfn.IFNA(VLOOKUP(A306,'RTR v2'!A:AW,48,FALSE)," ")</f>
        <v/>
      </c>
      <c r="I306" s="16" t="str">
        <f t="shared" si="31"/>
        <v>N</v>
      </c>
      <c r="J306" s="16" t="str">
        <f t="shared" si="33"/>
        <v xml:space="preserve">  </v>
      </c>
      <c r="L306" s="17"/>
      <c r="M306" t="str">
        <f t="shared" si="34"/>
        <v xml:space="preserve"> </v>
      </c>
      <c r="N306">
        <f t="shared" si="35"/>
        <v>0</v>
      </c>
      <c r="O306">
        <f>IF(P306&lt;1,0,IF(VLOOKUP($A306,'Actual Dates'!$A:$G,5,0)="Y",1,0))</f>
        <v>0</v>
      </c>
      <c r="P306">
        <f>IF(Q306&lt;1,0,IF(VLOOKUP($A306,'Actual Dates'!$A:$G,4,0)="Y",1,0))</f>
        <v>0</v>
      </c>
      <c r="Q306">
        <f>IF(R306&lt;1,0,IF(VLOOKUP($A306,'Actual Dates'!$A:$G,3,0)="Y",1,0))</f>
        <v>0</v>
      </c>
      <c r="R306">
        <f>IF(VLOOKUP($A306,'Actual Dates'!$A:$G,2,0)="Y",1,0)</f>
        <v>0</v>
      </c>
      <c r="S306" s="4">
        <f ca="1">_xlfn.IFNA(+VLOOKUP(A306,'Date Calcs'!A:AG,8,),TODAY())</f>
        <v>46115</v>
      </c>
      <c r="T306" s="4">
        <f ca="1">_xlfn.IFNA(VLOOKUP(A306,'Date Calcs'!A:AG,10,),TODAY())</f>
        <v>46115</v>
      </c>
      <c r="U306" s="4">
        <f ca="1">_xlfn.IFNA(+VLOOKUP(A306,'Date Calcs'!A:AG,12,),TODAY())</f>
        <v>46115</v>
      </c>
      <c r="V306" s="4">
        <f ca="1">_xlfn.IFNA(+VLOOKUP(A306,'Date Calcs'!A:AG,14,),TODAY())</f>
        <v>46115</v>
      </c>
      <c r="W306" s="4">
        <f ca="1">_xlfn.IFNA(+VLOOKUP(A306,'Date Calcs'!A:AG,16,),TODAY())</f>
        <v>46115</v>
      </c>
      <c r="X306" s="4">
        <f ca="1">_xlfn.IFNA(IF(C306=0,VLOOKUP(A306,'Date Calcs'!A:AG,8,),IF(C306=1,VLOOKUP(A306,'Date Calcs'!A:AG,10,),IF(C306=2,VLOOKUP(A306,'Date Calcs'!A:AG,12,),IF(C306=3,VLOOKUP(A306,'Date Calcs'!A:AG,14,),4)))),TODAY())</f>
        <v>46115</v>
      </c>
      <c r="Y306" s="4">
        <f t="shared" ca="1" si="32"/>
        <v>46115</v>
      </c>
      <c r="Z306" s="4">
        <f ca="1">_xlfn.IFNA(Y306+(VLOOKUP(A306,'Date Calcs'!A:W,22,0)*7),TODAY())</f>
        <v>46115</v>
      </c>
      <c r="AA306" s="4">
        <f>_xlfn.IFNA(VLOOKUP(A306,'RTR v2'!$A:$AW,46,0),"")</f>
        <v>0</v>
      </c>
    </row>
    <row r="307" spans="1:27" ht="23.25" hidden="1" x14ac:dyDescent="0.25">
      <c r="A307" s="12">
        <f>'Actual Dates'!A305</f>
        <v>0</v>
      </c>
      <c r="B307" s="13" t="str">
        <f>_xlfn.IFNA(VLOOKUP(A307,'Date Calcs'!A:B,2,),"")</f>
        <v/>
      </c>
      <c r="C307" s="14">
        <f>VLOOKUP(A307,'Actual Dates'!A:AE,18,)</f>
        <v>0</v>
      </c>
      <c r="D307" s="15">
        <f t="shared" ca="1" si="29"/>
        <v>46115</v>
      </c>
      <c r="E307" s="15">
        <f t="shared" ca="1" si="30"/>
        <v>46115</v>
      </c>
      <c r="F307" s="14">
        <f ca="1">IFERROR(ROUND(IF(A307="","",IF(E307=0,D307-Date!$B$3,D307-E307)),0),"")</f>
        <v>0</v>
      </c>
      <c r="G307" s="14" t="str">
        <f>_xlfn.IFNA(VLOOKUP(A307,'RTR v2'!A:AW,48,FALSE)," ")</f>
        <v/>
      </c>
      <c r="I307" s="16" t="str">
        <f t="shared" si="31"/>
        <v>N</v>
      </c>
      <c r="J307" s="16" t="str">
        <f t="shared" si="33"/>
        <v xml:space="preserve">  </v>
      </c>
      <c r="L307" s="17"/>
      <c r="M307" t="str">
        <f t="shared" si="34"/>
        <v xml:space="preserve"> </v>
      </c>
      <c r="N307">
        <f t="shared" si="35"/>
        <v>0</v>
      </c>
      <c r="O307">
        <f>IF(P307&lt;1,0,IF(VLOOKUP($A307,'Actual Dates'!$A:$G,5,0)="Y",1,0))</f>
        <v>0</v>
      </c>
      <c r="P307">
        <f>IF(Q307&lt;1,0,IF(VLOOKUP($A307,'Actual Dates'!$A:$G,4,0)="Y",1,0))</f>
        <v>0</v>
      </c>
      <c r="Q307">
        <f>IF(R307&lt;1,0,IF(VLOOKUP($A307,'Actual Dates'!$A:$G,3,0)="Y",1,0))</f>
        <v>0</v>
      </c>
      <c r="R307">
        <f>IF(VLOOKUP($A307,'Actual Dates'!$A:$G,2,0)="Y",1,0)</f>
        <v>0</v>
      </c>
      <c r="S307" s="4">
        <f ca="1">_xlfn.IFNA(+VLOOKUP(A307,'Date Calcs'!A:AG,8,),TODAY())</f>
        <v>46115</v>
      </c>
      <c r="T307" s="4">
        <f ca="1">_xlfn.IFNA(VLOOKUP(A307,'Date Calcs'!A:AG,10,),TODAY())</f>
        <v>46115</v>
      </c>
      <c r="U307" s="4">
        <f ca="1">_xlfn.IFNA(+VLOOKUP(A307,'Date Calcs'!A:AG,12,),TODAY())</f>
        <v>46115</v>
      </c>
      <c r="V307" s="4">
        <f ca="1">_xlfn.IFNA(+VLOOKUP(A307,'Date Calcs'!A:AG,14,),TODAY())</f>
        <v>46115</v>
      </c>
      <c r="W307" s="4">
        <f ca="1">_xlfn.IFNA(+VLOOKUP(A307,'Date Calcs'!A:AG,16,),TODAY())</f>
        <v>46115</v>
      </c>
      <c r="X307" s="4">
        <f ca="1">_xlfn.IFNA(IF(C307=0,VLOOKUP(A307,'Date Calcs'!A:AG,8,),IF(C307=1,VLOOKUP(A307,'Date Calcs'!A:AG,10,),IF(C307=2,VLOOKUP(A307,'Date Calcs'!A:AG,12,),IF(C307=3,VLOOKUP(A307,'Date Calcs'!A:AG,14,),4)))),TODAY())</f>
        <v>46115</v>
      </c>
      <c r="Y307" s="4">
        <f t="shared" ca="1" si="32"/>
        <v>46115</v>
      </c>
      <c r="Z307" s="4">
        <f ca="1">_xlfn.IFNA(Y307+(VLOOKUP(A307,'Date Calcs'!A:W,22,0)*7),TODAY())</f>
        <v>46115</v>
      </c>
      <c r="AA307" s="4">
        <f>_xlfn.IFNA(VLOOKUP(A307,'RTR v2'!$A:$AW,46,0),"")</f>
        <v>0</v>
      </c>
    </row>
    <row r="308" spans="1:27" ht="23.25" hidden="1" x14ac:dyDescent="0.25">
      <c r="A308" s="12">
        <f>'Actual Dates'!A306</f>
        <v>0</v>
      </c>
      <c r="B308" s="13" t="str">
        <f>_xlfn.IFNA(VLOOKUP(A308,'Date Calcs'!A:B,2,),"")</f>
        <v/>
      </c>
      <c r="C308" s="14">
        <f>VLOOKUP(A308,'Actual Dates'!A:AE,18,)</f>
        <v>0</v>
      </c>
      <c r="D308" s="15">
        <f t="shared" ca="1" si="29"/>
        <v>46115</v>
      </c>
      <c r="E308" s="15">
        <f t="shared" ca="1" si="30"/>
        <v>46115</v>
      </c>
      <c r="F308" s="14">
        <f ca="1">IFERROR(ROUND(IF(A308="","",IF(E308=0,D308-Date!$B$3,D308-E308)),0),"")</f>
        <v>0</v>
      </c>
      <c r="G308" s="14" t="str">
        <f>_xlfn.IFNA(VLOOKUP(A308,'RTR v2'!A:AW,48,FALSE)," ")</f>
        <v/>
      </c>
      <c r="I308" s="16" t="str">
        <f t="shared" si="31"/>
        <v>N</v>
      </c>
      <c r="J308" s="16" t="str">
        <f t="shared" si="33"/>
        <v xml:space="preserve">  </v>
      </c>
      <c r="L308" s="17"/>
      <c r="M308" t="str">
        <f t="shared" si="34"/>
        <v xml:space="preserve"> </v>
      </c>
      <c r="N308">
        <f t="shared" si="35"/>
        <v>0</v>
      </c>
      <c r="O308">
        <f>IF(P308&lt;1,0,IF(VLOOKUP($A308,'Actual Dates'!$A:$G,5,0)="Y",1,0))</f>
        <v>0</v>
      </c>
      <c r="P308">
        <f>IF(Q308&lt;1,0,IF(VLOOKUP($A308,'Actual Dates'!$A:$G,4,0)="Y",1,0))</f>
        <v>0</v>
      </c>
      <c r="Q308">
        <f>IF(R308&lt;1,0,IF(VLOOKUP($A308,'Actual Dates'!$A:$G,3,0)="Y",1,0))</f>
        <v>0</v>
      </c>
      <c r="R308">
        <f>IF(VLOOKUP($A308,'Actual Dates'!$A:$G,2,0)="Y",1,0)</f>
        <v>0</v>
      </c>
      <c r="S308" s="4">
        <f ca="1">_xlfn.IFNA(+VLOOKUP(A308,'Date Calcs'!A:AG,8,),TODAY())</f>
        <v>46115</v>
      </c>
      <c r="T308" s="4">
        <f ca="1">_xlfn.IFNA(VLOOKUP(A308,'Date Calcs'!A:AG,10,),TODAY())</f>
        <v>46115</v>
      </c>
      <c r="U308" s="4">
        <f ca="1">_xlfn.IFNA(+VLOOKUP(A308,'Date Calcs'!A:AG,12,),TODAY())</f>
        <v>46115</v>
      </c>
      <c r="V308" s="4">
        <f ca="1">_xlfn.IFNA(+VLOOKUP(A308,'Date Calcs'!A:AG,14,),TODAY())</f>
        <v>46115</v>
      </c>
      <c r="W308" s="4">
        <f ca="1">_xlfn.IFNA(+VLOOKUP(A308,'Date Calcs'!A:AG,16,),TODAY())</f>
        <v>46115</v>
      </c>
      <c r="X308" s="4">
        <f ca="1">_xlfn.IFNA(IF(C308=0,VLOOKUP(A308,'Date Calcs'!A:AG,8,),IF(C308=1,VLOOKUP(A308,'Date Calcs'!A:AG,10,),IF(C308=2,VLOOKUP(A308,'Date Calcs'!A:AG,12,),IF(C308=3,VLOOKUP(A308,'Date Calcs'!A:AG,14,),4)))),TODAY())</f>
        <v>46115</v>
      </c>
      <c r="Y308" s="4">
        <f t="shared" ca="1" si="32"/>
        <v>46115</v>
      </c>
      <c r="Z308" s="4">
        <f ca="1">_xlfn.IFNA(Y308+(VLOOKUP(A308,'Date Calcs'!A:W,22,0)*7),TODAY())</f>
        <v>46115</v>
      </c>
      <c r="AA308" s="4">
        <f>_xlfn.IFNA(VLOOKUP(A308,'RTR v2'!$A:$AW,46,0),"")</f>
        <v>0</v>
      </c>
    </row>
    <row r="309" spans="1:27" ht="23.25" hidden="1" x14ac:dyDescent="0.25">
      <c r="A309" s="12">
        <f>'Actual Dates'!A307</f>
        <v>0</v>
      </c>
      <c r="B309" s="13" t="str">
        <f>_xlfn.IFNA(VLOOKUP(A309,'Date Calcs'!A:B,2,),"")</f>
        <v/>
      </c>
      <c r="C309" s="14">
        <f>VLOOKUP(A309,'Actual Dates'!A:AE,18,)</f>
        <v>0</v>
      </c>
      <c r="D309" s="15">
        <f t="shared" ca="1" si="29"/>
        <v>46115</v>
      </c>
      <c r="E309" s="15">
        <f t="shared" ca="1" si="30"/>
        <v>46115</v>
      </c>
      <c r="F309" s="14">
        <f ca="1">IFERROR(ROUND(IF(A309="","",IF(E309=0,D309-Date!$B$3,D309-E309)),0),"")</f>
        <v>0</v>
      </c>
      <c r="G309" s="14" t="str">
        <f>_xlfn.IFNA(VLOOKUP(A309,'RTR v2'!A:AW,48,FALSE)," ")</f>
        <v/>
      </c>
      <c r="I309" s="16" t="str">
        <f t="shared" si="31"/>
        <v>N</v>
      </c>
      <c r="J309" s="16" t="str">
        <f t="shared" si="33"/>
        <v xml:space="preserve">  </v>
      </c>
      <c r="L309" s="17"/>
      <c r="M309" t="str">
        <f t="shared" si="34"/>
        <v xml:space="preserve"> </v>
      </c>
      <c r="N309">
        <f t="shared" si="35"/>
        <v>0</v>
      </c>
      <c r="O309">
        <f>IF(P309&lt;1,0,IF(VLOOKUP($A309,'Actual Dates'!$A:$G,5,0)="Y",1,0))</f>
        <v>0</v>
      </c>
      <c r="P309">
        <f>IF(Q309&lt;1,0,IF(VLOOKUP($A309,'Actual Dates'!$A:$G,4,0)="Y",1,0))</f>
        <v>0</v>
      </c>
      <c r="Q309">
        <f>IF(R309&lt;1,0,IF(VLOOKUP($A309,'Actual Dates'!$A:$G,3,0)="Y",1,0))</f>
        <v>0</v>
      </c>
      <c r="R309">
        <f>IF(VLOOKUP($A309,'Actual Dates'!$A:$G,2,0)="Y",1,0)</f>
        <v>0</v>
      </c>
      <c r="S309" s="4">
        <f ca="1">_xlfn.IFNA(+VLOOKUP(A309,'Date Calcs'!A:AG,8,),TODAY())</f>
        <v>46115</v>
      </c>
      <c r="T309" s="4">
        <f ca="1">_xlfn.IFNA(VLOOKUP(A309,'Date Calcs'!A:AG,10,),TODAY())</f>
        <v>46115</v>
      </c>
      <c r="U309" s="4">
        <f ca="1">_xlfn.IFNA(+VLOOKUP(A309,'Date Calcs'!A:AG,12,),TODAY())</f>
        <v>46115</v>
      </c>
      <c r="V309" s="4">
        <f ca="1">_xlfn.IFNA(+VLOOKUP(A309,'Date Calcs'!A:AG,14,),TODAY())</f>
        <v>46115</v>
      </c>
      <c r="W309" s="4">
        <f ca="1">_xlfn.IFNA(+VLOOKUP(A309,'Date Calcs'!A:AG,16,),TODAY())</f>
        <v>46115</v>
      </c>
      <c r="X309" s="4">
        <f ca="1">_xlfn.IFNA(IF(C309=0,VLOOKUP(A309,'Date Calcs'!A:AG,8,),IF(C309=1,VLOOKUP(A309,'Date Calcs'!A:AG,10,),IF(C309=2,VLOOKUP(A309,'Date Calcs'!A:AG,12,),IF(C309=3,VLOOKUP(A309,'Date Calcs'!A:AG,14,),4)))),TODAY())</f>
        <v>46115</v>
      </c>
      <c r="Y309" s="4">
        <f t="shared" ca="1" si="32"/>
        <v>46115</v>
      </c>
      <c r="Z309" s="4">
        <f ca="1">_xlfn.IFNA(Y309+(VLOOKUP(A309,'Date Calcs'!A:W,22,0)*7),TODAY())</f>
        <v>46115</v>
      </c>
      <c r="AA309" s="4">
        <f>_xlfn.IFNA(VLOOKUP(A309,'RTR v2'!$A:$AW,46,0),"")</f>
        <v>0</v>
      </c>
    </row>
    <row r="310" spans="1:27" ht="23.25" hidden="1" x14ac:dyDescent="0.25">
      <c r="A310" s="12">
        <f>'Actual Dates'!A308</f>
        <v>0</v>
      </c>
      <c r="B310" s="13" t="str">
        <f>_xlfn.IFNA(VLOOKUP(A310,'Date Calcs'!A:B,2,),"")</f>
        <v/>
      </c>
      <c r="C310" s="14">
        <f>VLOOKUP(A310,'Actual Dates'!A:AE,18,)</f>
        <v>0</v>
      </c>
      <c r="D310" s="15">
        <f t="shared" ca="1" si="29"/>
        <v>46115</v>
      </c>
      <c r="E310" s="15">
        <f t="shared" ca="1" si="30"/>
        <v>46115</v>
      </c>
      <c r="F310" s="14">
        <f ca="1">IFERROR(ROUND(IF(A310="","",IF(E310=0,D310-Date!$B$3,D310-E310)),0),"")</f>
        <v>0</v>
      </c>
      <c r="G310" s="14" t="str">
        <f>_xlfn.IFNA(VLOOKUP(A310,'RTR v2'!A:AW,48,FALSE)," ")</f>
        <v/>
      </c>
      <c r="I310" s="16" t="str">
        <f t="shared" si="31"/>
        <v>N</v>
      </c>
      <c r="J310" s="16" t="str">
        <f t="shared" si="33"/>
        <v xml:space="preserve">  </v>
      </c>
      <c r="L310" s="17"/>
      <c r="M310" t="str">
        <f t="shared" si="34"/>
        <v xml:space="preserve"> </v>
      </c>
      <c r="N310">
        <f t="shared" si="35"/>
        <v>0</v>
      </c>
      <c r="O310">
        <f>IF(P310&lt;1,0,IF(VLOOKUP($A310,'Actual Dates'!$A:$G,5,0)="Y",1,0))</f>
        <v>0</v>
      </c>
      <c r="P310">
        <f>IF(Q310&lt;1,0,IF(VLOOKUP($A310,'Actual Dates'!$A:$G,4,0)="Y",1,0))</f>
        <v>0</v>
      </c>
      <c r="Q310">
        <f>IF(R310&lt;1,0,IF(VLOOKUP($A310,'Actual Dates'!$A:$G,3,0)="Y",1,0))</f>
        <v>0</v>
      </c>
      <c r="R310">
        <f>IF(VLOOKUP($A310,'Actual Dates'!$A:$G,2,0)="Y",1,0)</f>
        <v>0</v>
      </c>
      <c r="S310" s="4">
        <f ca="1">_xlfn.IFNA(+VLOOKUP(A310,'Date Calcs'!A:AG,8,),TODAY())</f>
        <v>46115</v>
      </c>
      <c r="T310" s="4">
        <f ca="1">_xlfn.IFNA(VLOOKUP(A310,'Date Calcs'!A:AG,10,),TODAY())</f>
        <v>46115</v>
      </c>
      <c r="U310" s="4">
        <f ca="1">_xlfn.IFNA(+VLOOKUP(A310,'Date Calcs'!A:AG,12,),TODAY())</f>
        <v>46115</v>
      </c>
      <c r="V310" s="4">
        <f ca="1">_xlfn.IFNA(+VLOOKUP(A310,'Date Calcs'!A:AG,14,),TODAY())</f>
        <v>46115</v>
      </c>
      <c r="W310" s="4">
        <f ca="1">_xlfn.IFNA(+VLOOKUP(A310,'Date Calcs'!A:AG,16,),TODAY())</f>
        <v>46115</v>
      </c>
      <c r="X310" s="4">
        <f ca="1">_xlfn.IFNA(IF(C310=0,VLOOKUP(A310,'Date Calcs'!A:AG,8,),IF(C310=1,VLOOKUP(A310,'Date Calcs'!A:AG,10,),IF(C310=2,VLOOKUP(A310,'Date Calcs'!A:AG,12,),IF(C310=3,VLOOKUP(A310,'Date Calcs'!A:AG,14,),4)))),TODAY())</f>
        <v>46115</v>
      </c>
      <c r="Y310" s="4">
        <f t="shared" ca="1" si="32"/>
        <v>46115</v>
      </c>
      <c r="Z310" s="4">
        <f ca="1">_xlfn.IFNA(Y310+(VLOOKUP(A310,'Date Calcs'!A:W,22,0)*7),TODAY())</f>
        <v>46115</v>
      </c>
      <c r="AA310" s="4">
        <f>_xlfn.IFNA(VLOOKUP(A310,'RTR v2'!$A:$AW,46,0),"")</f>
        <v>0</v>
      </c>
    </row>
    <row r="311" spans="1:27" ht="23.25" hidden="1" x14ac:dyDescent="0.25">
      <c r="A311" s="12">
        <f>'Actual Dates'!A309</f>
        <v>0</v>
      </c>
      <c r="B311" s="13" t="str">
        <f>_xlfn.IFNA(VLOOKUP(A311,'Date Calcs'!A:B,2,),"")</f>
        <v/>
      </c>
      <c r="C311" s="14">
        <f>VLOOKUP(A311,'Actual Dates'!A:AE,18,)</f>
        <v>0</v>
      </c>
      <c r="D311" s="15">
        <f t="shared" ca="1" si="29"/>
        <v>46115</v>
      </c>
      <c r="E311" s="15">
        <f t="shared" ca="1" si="30"/>
        <v>46115</v>
      </c>
      <c r="F311" s="14">
        <f ca="1">IFERROR(ROUND(IF(A311="","",IF(E311=0,D311-Date!$B$3,D311-E311)),0),"")</f>
        <v>0</v>
      </c>
      <c r="G311" s="14" t="str">
        <f>_xlfn.IFNA(VLOOKUP(A311,'RTR v2'!A:AW,48,FALSE)," ")</f>
        <v/>
      </c>
      <c r="I311" s="16" t="str">
        <f t="shared" si="31"/>
        <v>N</v>
      </c>
      <c r="J311" s="16" t="str">
        <f t="shared" si="33"/>
        <v xml:space="preserve">  </v>
      </c>
      <c r="L311" s="17"/>
      <c r="M311" t="str">
        <f t="shared" si="34"/>
        <v xml:space="preserve"> </v>
      </c>
      <c r="N311">
        <f t="shared" si="35"/>
        <v>0</v>
      </c>
      <c r="O311">
        <f>IF(P311&lt;1,0,IF(VLOOKUP($A311,'Actual Dates'!$A:$G,5,0)="Y",1,0))</f>
        <v>0</v>
      </c>
      <c r="P311">
        <f>IF(Q311&lt;1,0,IF(VLOOKUP($A311,'Actual Dates'!$A:$G,4,0)="Y",1,0))</f>
        <v>0</v>
      </c>
      <c r="Q311">
        <f>IF(R311&lt;1,0,IF(VLOOKUP($A311,'Actual Dates'!$A:$G,3,0)="Y",1,0))</f>
        <v>0</v>
      </c>
      <c r="R311">
        <f>IF(VLOOKUP($A311,'Actual Dates'!$A:$G,2,0)="Y",1,0)</f>
        <v>0</v>
      </c>
      <c r="S311" s="4">
        <f ca="1">_xlfn.IFNA(+VLOOKUP(A311,'Date Calcs'!A:AG,8,),TODAY())</f>
        <v>46115</v>
      </c>
      <c r="T311" s="4">
        <f ca="1">_xlfn.IFNA(VLOOKUP(A311,'Date Calcs'!A:AG,10,),TODAY())</f>
        <v>46115</v>
      </c>
      <c r="U311" s="4">
        <f ca="1">_xlfn.IFNA(+VLOOKUP(A311,'Date Calcs'!A:AG,12,),TODAY())</f>
        <v>46115</v>
      </c>
      <c r="V311" s="4">
        <f ca="1">_xlfn.IFNA(+VLOOKUP(A311,'Date Calcs'!A:AG,14,),TODAY())</f>
        <v>46115</v>
      </c>
      <c r="W311" s="4">
        <f ca="1">_xlfn.IFNA(+VLOOKUP(A311,'Date Calcs'!A:AG,16,),TODAY())</f>
        <v>46115</v>
      </c>
      <c r="X311" s="4">
        <f ca="1">_xlfn.IFNA(IF(C311=0,VLOOKUP(A311,'Date Calcs'!A:AG,8,),IF(C311=1,VLOOKUP(A311,'Date Calcs'!A:AG,10,),IF(C311=2,VLOOKUP(A311,'Date Calcs'!A:AG,12,),IF(C311=3,VLOOKUP(A311,'Date Calcs'!A:AG,14,),4)))),TODAY())</f>
        <v>46115</v>
      </c>
      <c r="Y311" s="4">
        <f t="shared" ca="1" si="32"/>
        <v>46115</v>
      </c>
      <c r="Z311" s="4">
        <f ca="1">_xlfn.IFNA(Y311+(VLOOKUP(A311,'Date Calcs'!A:W,22,0)*7),TODAY())</f>
        <v>46115</v>
      </c>
      <c r="AA311" s="4">
        <f>_xlfn.IFNA(VLOOKUP(A311,'RTR v2'!$A:$AW,46,0),"")</f>
        <v>0</v>
      </c>
    </row>
    <row r="312" spans="1:27" ht="23.25" hidden="1" x14ac:dyDescent="0.25">
      <c r="A312" s="12">
        <f>'Actual Dates'!A310</f>
        <v>0</v>
      </c>
      <c r="B312" s="13" t="str">
        <f>_xlfn.IFNA(VLOOKUP(A312,'Date Calcs'!A:B,2,),"")</f>
        <v/>
      </c>
      <c r="C312" s="14">
        <f>VLOOKUP(A312,'Actual Dates'!A:AE,18,)</f>
        <v>0</v>
      </c>
      <c r="D312" s="15">
        <f t="shared" ca="1" si="29"/>
        <v>46115</v>
      </c>
      <c r="E312" s="15">
        <f t="shared" ca="1" si="30"/>
        <v>46115</v>
      </c>
      <c r="F312" s="14">
        <f ca="1">IFERROR(ROUND(IF(A312="","",IF(E312=0,D312-Date!$B$3,D312-E312)),0),"")</f>
        <v>0</v>
      </c>
      <c r="G312" s="14" t="str">
        <f>_xlfn.IFNA(VLOOKUP(A312,'RTR v2'!A:AW,48,FALSE)," ")</f>
        <v/>
      </c>
      <c r="I312" s="16" t="str">
        <f t="shared" si="31"/>
        <v>N</v>
      </c>
      <c r="J312" s="16" t="str">
        <f t="shared" si="33"/>
        <v xml:space="preserve">  </v>
      </c>
      <c r="L312" s="17"/>
      <c r="M312" t="str">
        <f t="shared" si="34"/>
        <v xml:space="preserve"> </v>
      </c>
      <c r="N312">
        <f t="shared" si="35"/>
        <v>0</v>
      </c>
      <c r="O312">
        <f>IF(P312&lt;1,0,IF(VLOOKUP($A312,'Actual Dates'!$A:$G,5,0)="Y",1,0))</f>
        <v>0</v>
      </c>
      <c r="P312">
        <f>IF(Q312&lt;1,0,IF(VLOOKUP($A312,'Actual Dates'!$A:$G,4,0)="Y",1,0))</f>
        <v>0</v>
      </c>
      <c r="Q312">
        <f>IF(R312&lt;1,0,IF(VLOOKUP($A312,'Actual Dates'!$A:$G,3,0)="Y",1,0))</f>
        <v>0</v>
      </c>
      <c r="R312">
        <f>IF(VLOOKUP($A312,'Actual Dates'!$A:$G,2,0)="Y",1,0)</f>
        <v>0</v>
      </c>
      <c r="S312" s="4">
        <f ca="1">_xlfn.IFNA(+VLOOKUP(A312,'Date Calcs'!A:AG,8,),TODAY())</f>
        <v>46115</v>
      </c>
      <c r="T312" s="4">
        <f ca="1">_xlfn.IFNA(VLOOKUP(A312,'Date Calcs'!A:AG,10,),TODAY())</f>
        <v>46115</v>
      </c>
      <c r="U312" s="4">
        <f ca="1">_xlfn.IFNA(+VLOOKUP(A312,'Date Calcs'!A:AG,12,),TODAY())</f>
        <v>46115</v>
      </c>
      <c r="V312" s="4">
        <f ca="1">_xlfn.IFNA(+VLOOKUP(A312,'Date Calcs'!A:AG,14,),TODAY())</f>
        <v>46115</v>
      </c>
      <c r="W312" s="4">
        <f ca="1">_xlfn.IFNA(+VLOOKUP(A312,'Date Calcs'!A:AG,16,),TODAY())</f>
        <v>46115</v>
      </c>
      <c r="X312" s="4">
        <f ca="1">_xlfn.IFNA(IF(C312=0,VLOOKUP(A312,'Date Calcs'!A:AG,8,),IF(C312=1,VLOOKUP(A312,'Date Calcs'!A:AG,10,),IF(C312=2,VLOOKUP(A312,'Date Calcs'!A:AG,12,),IF(C312=3,VLOOKUP(A312,'Date Calcs'!A:AG,14,),4)))),TODAY())</f>
        <v>46115</v>
      </c>
      <c r="Y312" s="4">
        <f t="shared" ca="1" si="32"/>
        <v>46115</v>
      </c>
      <c r="Z312" s="4">
        <f ca="1">_xlfn.IFNA(Y312+(VLOOKUP(A312,'Date Calcs'!A:W,22,0)*7),TODAY())</f>
        <v>46115</v>
      </c>
      <c r="AA312" s="4">
        <f>_xlfn.IFNA(VLOOKUP(A312,'RTR v2'!$A:$AW,46,0),"")</f>
        <v>0</v>
      </c>
    </row>
    <row r="313" spans="1:27" ht="23.25" hidden="1" x14ac:dyDescent="0.25">
      <c r="A313" s="12">
        <f>'Actual Dates'!A311</f>
        <v>0</v>
      </c>
      <c r="B313" s="13" t="str">
        <f>_xlfn.IFNA(VLOOKUP(A313,'Date Calcs'!A:B,2,),"")</f>
        <v/>
      </c>
      <c r="C313" s="14">
        <f>VLOOKUP(A313,'Actual Dates'!A:AE,18,)</f>
        <v>0</v>
      </c>
      <c r="D313" s="15">
        <f t="shared" ca="1" si="29"/>
        <v>46115</v>
      </c>
      <c r="E313" s="15">
        <f t="shared" ca="1" si="30"/>
        <v>46115</v>
      </c>
      <c r="F313" s="14">
        <f ca="1">IFERROR(ROUND(IF(A313="","",IF(E313=0,D313-Date!$B$3,D313-E313)),0),"")</f>
        <v>0</v>
      </c>
      <c r="G313" s="14" t="str">
        <f>_xlfn.IFNA(VLOOKUP(A313,'RTR v2'!A:AW,48,FALSE)," ")</f>
        <v/>
      </c>
      <c r="I313" s="16" t="str">
        <f t="shared" si="31"/>
        <v>N</v>
      </c>
      <c r="J313" s="16" t="str">
        <f t="shared" si="33"/>
        <v xml:space="preserve">  </v>
      </c>
      <c r="L313" s="17"/>
      <c r="M313" t="str">
        <f t="shared" si="34"/>
        <v xml:space="preserve"> </v>
      </c>
      <c r="N313">
        <f t="shared" si="35"/>
        <v>0</v>
      </c>
      <c r="O313">
        <f>IF(P313&lt;1,0,IF(VLOOKUP($A313,'Actual Dates'!$A:$G,5,0)="Y",1,0))</f>
        <v>0</v>
      </c>
      <c r="P313">
        <f>IF(Q313&lt;1,0,IF(VLOOKUP($A313,'Actual Dates'!$A:$G,4,0)="Y",1,0))</f>
        <v>0</v>
      </c>
      <c r="Q313">
        <f>IF(R313&lt;1,0,IF(VLOOKUP($A313,'Actual Dates'!$A:$G,3,0)="Y",1,0))</f>
        <v>0</v>
      </c>
      <c r="R313">
        <f>IF(VLOOKUP($A313,'Actual Dates'!$A:$G,2,0)="Y",1,0)</f>
        <v>0</v>
      </c>
      <c r="S313" s="4">
        <f ca="1">_xlfn.IFNA(+VLOOKUP(A313,'Date Calcs'!A:AG,8,),TODAY())</f>
        <v>46115</v>
      </c>
      <c r="T313" s="4">
        <f ca="1">_xlfn.IFNA(VLOOKUP(A313,'Date Calcs'!A:AG,10,),TODAY())</f>
        <v>46115</v>
      </c>
      <c r="U313" s="4">
        <f ca="1">_xlfn.IFNA(+VLOOKUP(A313,'Date Calcs'!A:AG,12,),TODAY())</f>
        <v>46115</v>
      </c>
      <c r="V313" s="4">
        <f ca="1">_xlfn.IFNA(+VLOOKUP(A313,'Date Calcs'!A:AG,14,),TODAY())</f>
        <v>46115</v>
      </c>
      <c r="W313" s="4">
        <f ca="1">_xlfn.IFNA(+VLOOKUP(A313,'Date Calcs'!A:AG,16,),TODAY())</f>
        <v>46115</v>
      </c>
      <c r="X313" s="4">
        <f ca="1">_xlfn.IFNA(IF(C313=0,VLOOKUP(A313,'Date Calcs'!A:AG,8,),IF(C313=1,VLOOKUP(A313,'Date Calcs'!A:AG,10,),IF(C313=2,VLOOKUP(A313,'Date Calcs'!A:AG,12,),IF(C313=3,VLOOKUP(A313,'Date Calcs'!A:AG,14,),4)))),TODAY())</f>
        <v>46115</v>
      </c>
      <c r="Y313" s="4">
        <f t="shared" ca="1" si="32"/>
        <v>46115</v>
      </c>
      <c r="Z313" s="4">
        <f ca="1">_xlfn.IFNA(Y313+(VLOOKUP(A313,'Date Calcs'!A:W,22,0)*7),TODAY())</f>
        <v>46115</v>
      </c>
      <c r="AA313" s="4">
        <f>_xlfn.IFNA(VLOOKUP(A313,'RTR v2'!$A:$AW,46,0),"")</f>
        <v>0</v>
      </c>
    </row>
    <row r="314" spans="1:27" ht="23.25" hidden="1" x14ac:dyDescent="0.25">
      <c r="A314" s="12">
        <f>'Actual Dates'!A312</f>
        <v>0</v>
      </c>
      <c r="B314" s="13" t="str">
        <f>_xlfn.IFNA(VLOOKUP(A314,'Date Calcs'!A:B,2,),"")</f>
        <v/>
      </c>
      <c r="C314" s="14">
        <f>VLOOKUP(A314,'Actual Dates'!A:AE,18,)</f>
        <v>0</v>
      </c>
      <c r="D314" s="15">
        <f t="shared" ca="1" si="29"/>
        <v>46115</v>
      </c>
      <c r="E314" s="15">
        <f t="shared" ca="1" si="30"/>
        <v>46115</v>
      </c>
      <c r="F314" s="14">
        <f ca="1">IFERROR(ROUND(IF(A314="","",IF(E314=0,D314-Date!$B$3,D314-E314)),0),"")</f>
        <v>0</v>
      </c>
      <c r="G314" s="14" t="str">
        <f>_xlfn.IFNA(VLOOKUP(A314,'RTR v2'!A:AW,48,FALSE)," ")</f>
        <v/>
      </c>
      <c r="I314" s="16" t="str">
        <f t="shared" si="31"/>
        <v>N</v>
      </c>
      <c r="J314" s="16" t="str">
        <f t="shared" si="33"/>
        <v xml:space="preserve">  </v>
      </c>
      <c r="L314" s="17"/>
      <c r="M314" t="str">
        <f t="shared" si="34"/>
        <v xml:space="preserve"> </v>
      </c>
      <c r="N314">
        <f t="shared" si="35"/>
        <v>0</v>
      </c>
      <c r="O314">
        <f>IF(P314&lt;1,0,IF(VLOOKUP($A314,'Actual Dates'!$A:$G,5,0)="Y",1,0))</f>
        <v>0</v>
      </c>
      <c r="P314">
        <f>IF(Q314&lt;1,0,IF(VLOOKUP($A314,'Actual Dates'!$A:$G,4,0)="Y",1,0))</f>
        <v>0</v>
      </c>
      <c r="Q314">
        <f>IF(R314&lt;1,0,IF(VLOOKUP($A314,'Actual Dates'!$A:$G,3,0)="Y",1,0))</f>
        <v>0</v>
      </c>
      <c r="R314">
        <f>IF(VLOOKUP($A314,'Actual Dates'!$A:$G,2,0)="Y",1,0)</f>
        <v>0</v>
      </c>
      <c r="S314" s="4">
        <f ca="1">_xlfn.IFNA(+VLOOKUP(A314,'Date Calcs'!A:AG,8,),TODAY())</f>
        <v>46115</v>
      </c>
      <c r="T314" s="4">
        <f ca="1">_xlfn.IFNA(VLOOKUP(A314,'Date Calcs'!A:AG,10,),TODAY())</f>
        <v>46115</v>
      </c>
      <c r="U314" s="4">
        <f ca="1">_xlfn.IFNA(+VLOOKUP(A314,'Date Calcs'!A:AG,12,),TODAY())</f>
        <v>46115</v>
      </c>
      <c r="V314" s="4">
        <f ca="1">_xlfn.IFNA(+VLOOKUP(A314,'Date Calcs'!A:AG,14,),TODAY())</f>
        <v>46115</v>
      </c>
      <c r="W314" s="4">
        <f ca="1">_xlfn.IFNA(+VLOOKUP(A314,'Date Calcs'!A:AG,16,),TODAY())</f>
        <v>46115</v>
      </c>
      <c r="X314" s="4">
        <f ca="1">_xlfn.IFNA(IF(C314=0,VLOOKUP(A314,'Date Calcs'!A:AG,8,),IF(C314=1,VLOOKUP(A314,'Date Calcs'!A:AG,10,),IF(C314=2,VLOOKUP(A314,'Date Calcs'!A:AG,12,),IF(C314=3,VLOOKUP(A314,'Date Calcs'!A:AG,14,),4)))),TODAY())</f>
        <v>46115</v>
      </c>
      <c r="Y314" s="4">
        <f t="shared" ca="1" si="32"/>
        <v>46115</v>
      </c>
      <c r="Z314" s="4">
        <f ca="1">_xlfn.IFNA(Y314+(VLOOKUP(A314,'Date Calcs'!A:W,22,0)*7),TODAY())</f>
        <v>46115</v>
      </c>
      <c r="AA314" s="4">
        <f>_xlfn.IFNA(VLOOKUP(A314,'RTR v2'!$A:$AW,46,0),"")</f>
        <v>0</v>
      </c>
    </row>
    <row r="315" spans="1:27" ht="23.25" hidden="1" x14ac:dyDescent="0.25">
      <c r="A315" s="12">
        <f>'Actual Dates'!A313</f>
        <v>0</v>
      </c>
      <c r="B315" s="13" t="str">
        <f>_xlfn.IFNA(VLOOKUP(A315,'Date Calcs'!A:B,2,),"")</f>
        <v/>
      </c>
      <c r="C315" s="14">
        <f>VLOOKUP(A315,'Actual Dates'!A:AE,18,)</f>
        <v>0</v>
      </c>
      <c r="D315" s="15">
        <f t="shared" ca="1" si="29"/>
        <v>46115</v>
      </c>
      <c r="E315" s="15">
        <f t="shared" ca="1" si="30"/>
        <v>46115</v>
      </c>
      <c r="F315" s="14">
        <f ca="1">IFERROR(ROUND(IF(A315="","",IF(E315=0,D315-Date!$B$3,D315-E315)),0),"")</f>
        <v>0</v>
      </c>
      <c r="G315" s="14" t="str">
        <f>_xlfn.IFNA(VLOOKUP(A315,'RTR v2'!A:AW,48,FALSE)," ")</f>
        <v/>
      </c>
      <c r="I315" s="16" t="str">
        <f t="shared" si="31"/>
        <v>N</v>
      </c>
      <c r="J315" s="16" t="str">
        <f t="shared" si="33"/>
        <v xml:space="preserve">  </v>
      </c>
      <c r="L315" s="17"/>
      <c r="M315" t="str">
        <f t="shared" si="34"/>
        <v xml:space="preserve"> </v>
      </c>
      <c r="N315">
        <f t="shared" si="35"/>
        <v>0</v>
      </c>
      <c r="O315">
        <f>IF(P315&lt;1,0,IF(VLOOKUP($A315,'Actual Dates'!$A:$G,5,0)="Y",1,0))</f>
        <v>0</v>
      </c>
      <c r="P315">
        <f>IF(Q315&lt;1,0,IF(VLOOKUP($A315,'Actual Dates'!$A:$G,4,0)="Y",1,0))</f>
        <v>0</v>
      </c>
      <c r="Q315">
        <f>IF(R315&lt;1,0,IF(VLOOKUP($A315,'Actual Dates'!$A:$G,3,0)="Y",1,0))</f>
        <v>0</v>
      </c>
      <c r="R315">
        <f>IF(VLOOKUP($A315,'Actual Dates'!$A:$G,2,0)="Y",1,0)</f>
        <v>0</v>
      </c>
      <c r="S315" s="4">
        <f ca="1">_xlfn.IFNA(+VLOOKUP(A315,'Date Calcs'!A:AG,8,),TODAY())</f>
        <v>46115</v>
      </c>
      <c r="T315" s="4">
        <f ca="1">_xlfn.IFNA(VLOOKUP(A315,'Date Calcs'!A:AG,10,),TODAY())</f>
        <v>46115</v>
      </c>
      <c r="U315" s="4">
        <f ca="1">_xlfn.IFNA(+VLOOKUP(A315,'Date Calcs'!A:AG,12,),TODAY())</f>
        <v>46115</v>
      </c>
      <c r="V315" s="4">
        <f ca="1">_xlfn.IFNA(+VLOOKUP(A315,'Date Calcs'!A:AG,14,),TODAY())</f>
        <v>46115</v>
      </c>
      <c r="W315" s="4">
        <f ca="1">_xlfn.IFNA(+VLOOKUP(A315,'Date Calcs'!A:AG,16,),TODAY())</f>
        <v>46115</v>
      </c>
      <c r="X315" s="4">
        <f ca="1">_xlfn.IFNA(IF(C315=0,VLOOKUP(A315,'Date Calcs'!A:AG,8,),IF(C315=1,VLOOKUP(A315,'Date Calcs'!A:AG,10,),IF(C315=2,VLOOKUP(A315,'Date Calcs'!A:AG,12,),IF(C315=3,VLOOKUP(A315,'Date Calcs'!A:AG,14,),4)))),TODAY())</f>
        <v>46115</v>
      </c>
      <c r="Y315" s="4">
        <f t="shared" ca="1" si="32"/>
        <v>46115</v>
      </c>
      <c r="Z315" s="4">
        <f ca="1">_xlfn.IFNA(Y315+(VLOOKUP(A315,'Date Calcs'!A:W,22,0)*7),TODAY())</f>
        <v>46115</v>
      </c>
      <c r="AA315" s="4">
        <f>_xlfn.IFNA(VLOOKUP(A315,'RTR v2'!$A:$AW,46,0),"")</f>
        <v>0</v>
      </c>
    </row>
    <row r="316" spans="1:27" ht="23.25" hidden="1" x14ac:dyDescent="0.25">
      <c r="A316" s="12">
        <f>'Actual Dates'!A314</f>
        <v>0</v>
      </c>
      <c r="B316" s="13" t="str">
        <f>_xlfn.IFNA(VLOOKUP(A316,'Date Calcs'!A:B,2,),"")</f>
        <v/>
      </c>
      <c r="C316" s="14">
        <f>VLOOKUP(A316,'Actual Dates'!A:AE,18,)</f>
        <v>0</v>
      </c>
      <c r="D316" s="15">
        <f t="shared" ca="1" si="29"/>
        <v>46115</v>
      </c>
      <c r="E316" s="15">
        <f t="shared" ca="1" si="30"/>
        <v>46115</v>
      </c>
      <c r="F316" s="14">
        <f ca="1">IFERROR(ROUND(IF(A316="","",IF(E316=0,D316-Date!$B$3,D316-E316)),0),"")</f>
        <v>0</v>
      </c>
      <c r="G316" s="14" t="str">
        <f>_xlfn.IFNA(VLOOKUP(A316,'RTR v2'!A:AW,48,FALSE)," ")</f>
        <v/>
      </c>
      <c r="I316" s="16" t="str">
        <f t="shared" si="31"/>
        <v>N</v>
      </c>
      <c r="J316" s="16" t="str">
        <f t="shared" si="33"/>
        <v xml:space="preserve">  </v>
      </c>
      <c r="L316" s="17"/>
      <c r="M316" t="str">
        <f t="shared" si="34"/>
        <v xml:space="preserve"> </v>
      </c>
      <c r="N316">
        <f t="shared" si="35"/>
        <v>0</v>
      </c>
      <c r="O316">
        <f>IF(P316&lt;1,0,IF(VLOOKUP($A316,'Actual Dates'!$A:$G,5,0)="Y",1,0))</f>
        <v>0</v>
      </c>
      <c r="P316">
        <f>IF(Q316&lt;1,0,IF(VLOOKUP($A316,'Actual Dates'!$A:$G,4,0)="Y",1,0))</f>
        <v>0</v>
      </c>
      <c r="Q316">
        <f>IF(R316&lt;1,0,IF(VLOOKUP($A316,'Actual Dates'!$A:$G,3,0)="Y",1,0))</f>
        <v>0</v>
      </c>
      <c r="R316">
        <f>IF(VLOOKUP($A316,'Actual Dates'!$A:$G,2,0)="Y",1,0)</f>
        <v>0</v>
      </c>
      <c r="S316" s="4">
        <f ca="1">_xlfn.IFNA(+VLOOKUP(A316,'Date Calcs'!A:AG,8,),TODAY())</f>
        <v>46115</v>
      </c>
      <c r="T316" s="4">
        <f ca="1">_xlfn.IFNA(VLOOKUP(A316,'Date Calcs'!A:AG,10,),TODAY())</f>
        <v>46115</v>
      </c>
      <c r="U316" s="4">
        <f ca="1">_xlfn.IFNA(+VLOOKUP(A316,'Date Calcs'!A:AG,12,),TODAY())</f>
        <v>46115</v>
      </c>
      <c r="V316" s="4">
        <f ca="1">_xlfn.IFNA(+VLOOKUP(A316,'Date Calcs'!A:AG,14,),TODAY())</f>
        <v>46115</v>
      </c>
      <c r="W316" s="4">
        <f ca="1">_xlfn.IFNA(+VLOOKUP(A316,'Date Calcs'!A:AG,16,),TODAY())</f>
        <v>46115</v>
      </c>
      <c r="X316" s="4">
        <f ca="1">_xlfn.IFNA(IF(C316=0,VLOOKUP(A316,'Date Calcs'!A:AG,8,),IF(C316=1,VLOOKUP(A316,'Date Calcs'!A:AG,10,),IF(C316=2,VLOOKUP(A316,'Date Calcs'!A:AG,12,),IF(C316=3,VLOOKUP(A316,'Date Calcs'!A:AG,14,),4)))),TODAY())</f>
        <v>46115</v>
      </c>
      <c r="Y316" s="4">
        <f t="shared" ca="1" si="32"/>
        <v>46115</v>
      </c>
      <c r="Z316" s="4">
        <f ca="1">_xlfn.IFNA(Y316+(VLOOKUP(A316,'Date Calcs'!A:W,22,0)*7),TODAY())</f>
        <v>46115</v>
      </c>
      <c r="AA316" s="4">
        <f>_xlfn.IFNA(VLOOKUP(A316,'RTR v2'!$A:$AW,46,0),"")</f>
        <v>0</v>
      </c>
    </row>
    <row r="317" spans="1:27" ht="23.25" hidden="1" x14ac:dyDescent="0.25">
      <c r="A317" s="12">
        <f>'Actual Dates'!A315</f>
        <v>0</v>
      </c>
      <c r="B317" s="13" t="str">
        <f>_xlfn.IFNA(VLOOKUP(A317,'Date Calcs'!A:B,2,),"")</f>
        <v/>
      </c>
      <c r="C317" s="14">
        <f>VLOOKUP(A317,'Actual Dates'!A:AE,18,)</f>
        <v>0</v>
      </c>
      <c r="D317" s="15">
        <f t="shared" ca="1" si="29"/>
        <v>46115</v>
      </c>
      <c r="E317" s="15">
        <f t="shared" ca="1" si="30"/>
        <v>46115</v>
      </c>
      <c r="F317" s="14">
        <f ca="1">IFERROR(ROUND(IF(A317="","",IF(E317=0,D317-Date!$B$3,D317-E317)),0),"")</f>
        <v>0</v>
      </c>
      <c r="G317" s="14" t="str">
        <f>_xlfn.IFNA(VLOOKUP(A317,'RTR v2'!A:AW,48,FALSE)," ")</f>
        <v/>
      </c>
      <c r="I317" s="16" t="str">
        <f t="shared" si="31"/>
        <v>N</v>
      </c>
      <c r="J317" s="16" t="str">
        <f t="shared" si="33"/>
        <v xml:space="preserve">  </v>
      </c>
      <c r="L317" s="17"/>
      <c r="M317" t="str">
        <f t="shared" si="34"/>
        <v xml:space="preserve"> </v>
      </c>
      <c r="N317">
        <f t="shared" si="35"/>
        <v>0</v>
      </c>
      <c r="O317">
        <f>IF(P317&lt;1,0,IF(VLOOKUP($A317,'Actual Dates'!$A:$G,5,0)="Y",1,0))</f>
        <v>0</v>
      </c>
      <c r="P317">
        <f>IF(Q317&lt;1,0,IF(VLOOKUP($A317,'Actual Dates'!$A:$G,4,0)="Y",1,0))</f>
        <v>0</v>
      </c>
      <c r="Q317">
        <f>IF(R317&lt;1,0,IF(VLOOKUP($A317,'Actual Dates'!$A:$G,3,0)="Y",1,0))</f>
        <v>0</v>
      </c>
      <c r="R317">
        <f>IF(VLOOKUP($A317,'Actual Dates'!$A:$G,2,0)="Y",1,0)</f>
        <v>0</v>
      </c>
      <c r="S317" s="4">
        <f ca="1">_xlfn.IFNA(+VLOOKUP(A317,'Date Calcs'!A:AG,8,),TODAY())</f>
        <v>46115</v>
      </c>
      <c r="T317" s="4">
        <f ca="1">_xlfn.IFNA(VLOOKUP(A317,'Date Calcs'!A:AG,10,),TODAY())</f>
        <v>46115</v>
      </c>
      <c r="U317" s="4">
        <f ca="1">_xlfn.IFNA(+VLOOKUP(A317,'Date Calcs'!A:AG,12,),TODAY())</f>
        <v>46115</v>
      </c>
      <c r="V317" s="4">
        <f ca="1">_xlfn.IFNA(+VLOOKUP(A317,'Date Calcs'!A:AG,14,),TODAY())</f>
        <v>46115</v>
      </c>
      <c r="W317" s="4">
        <f ca="1">_xlfn.IFNA(+VLOOKUP(A317,'Date Calcs'!A:AG,16,),TODAY())</f>
        <v>46115</v>
      </c>
      <c r="X317" s="4">
        <f ca="1">_xlfn.IFNA(IF(C317=0,VLOOKUP(A317,'Date Calcs'!A:AG,8,),IF(C317=1,VLOOKUP(A317,'Date Calcs'!A:AG,10,),IF(C317=2,VLOOKUP(A317,'Date Calcs'!A:AG,12,),IF(C317=3,VLOOKUP(A317,'Date Calcs'!A:AG,14,),4)))),TODAY())</f>
        <v>46115</v>
      </c>
      <c r="Y317" s="4">
        <f t="shared" ca="1" si="32"/>
        <v>46115</v>
      </c>
      <c r="Z317" s="4">
        <f ca="1">_xlfn.IFNA(Y317+(VLOOKUP(A317,'Date Calcs'!A:W,22,0)*7),TODAY())</f>
        <v>46115</v>
      </c>
      <c r="AA317" s="4">
        <f>_xlfn.IFNA(VLOOKUP(A317,'RTR v2'!$A:$AW,46,0),"")</f>
        <v>0</v>
      </c>
    </row>
    <row r="318" spans="1:27" ht="23.25" hidden="1" x14ac:dyDescent="0.25">
      <c r="A318" s="12">
        <f>'Actual Dates'!A316</f>
        <v>0</v>
      </c>
      <c r="B318" s="13" t="str">
        <f>_xlfn.IFNA(VLOOKUP(A318,'Date Calcs'!A:B,2,),"")</f>
        <v/>
      </c>
      <c r="C318" s="14">
        <f>VLOOKUP(A318,'Actual Dates'!A:AE,18,)</f>
        <v>0</v>
      </c>
      <c r="D318" s="15">
        <f t="shared" ca="1" si="29"/>
        <v>46115</v>
      </c>
      <c r="E318" s="15">
        <f t="shared" ca="1" si="30"/>
        <v>46115</v>
      </c>
      <c r="F318" s="14">
        <f ca="1">IFERROR(ROUND(IF(A318="","",IF(E318=0,D318-Date!$B$3,D318-E318)),0),"")</f>
        <v>0</v>
      </c>
      <c r="G318" s="14" t="str">
        <f>_xlfn.IFNA(VLOOKUP(A318,'RTR v2'!A:AW,48,FALSE)," ")</f>
        <v/>
      </c>
      <c r="I318" s="16" t="str">
        <f t="shared" si="31"/>
        <v>N</v>
      </c>
      <c r="J318" s="16" t="str">
        <f t="shared" si="33"/>
        <v xml:space="preserve">  </v>
      </c>
      <c r="L318" s="17"/>
      <c r="M318" t="str">
        <f t="shared" si="34"/>
        <v xml:space="preserve"> </v>
      </c>
      <c r="N318">
        <f t="shared" si="35"/>
        <v>0</v>
      </c>
      <c r="O318">
        <f>IF(P318&lt;1,0,IF(VLOOKUP($A318,'Actual Dates'!$A:$G,5,0)="Y",1,0))</f>
        <v>0</v>
      </c>
      <c r="P318">
        <f>IF(Q318&lt;1,0,IF(VLOOKUP($A318,'Actual Dates'!$A:$G,4,0)="Y",1,0))</f>
        <v>0</v>
      </c>
      <c r="Q318">
        <f>IF(R318&lt;1,0,IF(VLOOKUP($A318,'Actual Dates'!$A:$G,3,0)="Y",1,0))</f>
        <v>0</v>
      </c>
      <c r="R318">
        <f>IF(VLOOKUP($A318,'Actual Dates'!$A:$G,2,0)="Y",1,0)</f>
        <v>0</v>
      </c>
      <c r="S318" s="4">
        <f ca="1">_xlfn.IFNA(+VLOOKUP(A318,'Date Calcs'!A:AG,8,),TODAY())</f>
        <v>46115</v>
      </c>
      <c r="T318" s="4">
        <f ca="1">_xlfn.IFNA(VLOOKUP(A318,'Date Calcs'!A:AG,10,),TODAY())</f>
        <v>46115</v>
      </c>
      <c r="U318" s="4">
        <f ca="1">_xlfn.IFNA(+VLOOKUP(A318,'Date Calcs'!A:AG,12,),TODAY())</f>
        <v>46115</v>
      </c>
      <c r="V318" s="4">
        <f ca="1">_xlfn.IFNA(+VLOOKUP(A318,'Date Calcs'!A:AG,14,),TODAY())</f>
        <v>46115</v>
      </c>
      <c r="W318" s="4">
        <f ca="1">_xlfn.IFNA(+VLOOKUP(A318,'Date Calcs'!A:AG,16,),TODAY())</f>
        <v>46115</v>
      </c>
      <c r="X318" s="4">
        <f ca="1">_xlfn.IFNA(IF(C318=0,VLOOKUP(A318,'Date Calcs'!A:AG,8,),IF(C318=1,VLOOKUP(A318,'Date Calcs'!A:AG,10,),IF(C318=2,VLOOKUP(A318,'Date Calcs'!A:AG,12,),IF(C318=3,VLOOKUP(A318,'Date Calcs'!A:AG,14,),4)))),TODAY())</f>
        <v>46115</v>
      </c>
      <c r="Y318" s="4">
        <f t="shared" ca="1" si="32"/>
        <v>46115</v>
      </c>
      <c r="Z318" s="4">
        <f ca="1">_xlfn.IFNA(Y318+(VLOOKUP(A318,'Date Calcs'!A:W,22,0)*7),TODAY())</f>
        <v>46115</v>
      </c>
      <c r="AA318" s="4">
        <f>_xlfn.IFNA(VLOOKUP(A318,'RTR v2'!$A:$AW,46,0),"")</f>
        <v>0</v>
      </c>
    </row>
    <row r="319" spans="1:27" ht="23.25" hidden="1" x14ac:dyDescent="0.25">
      <c r="A319" s="12">
        <f>'Actual Dates'!A317</f>
        <v>0</v>
      </c>
      <c r="B319" s="13" t="str">
        <f>_xlfn.IFNA(VLOOKUP(A319,'Date Calcs'!A:B,2,),"")</f>
        <v/>
      </c>
      <c r="C319" s="14">
        <f>VLOOKUP(A319,'Actual Dates'!A:AE,18,)</f>
        <v>0</v>
      </c>
      <c r="D319" s="15">
        <f t="shared" ca="1" si="29"/>
        <v>46115</v>
      </c>
      <c r="E319" s="15">
        <f t="shared" ca="1" si="30"/>
        <v>46115</v>
      </c>
      <c r="F319" s="14">
        <f ca="1">IFERROR(ROUND(IF(A319="","",IF(E319=0,D319-Date!$B$3,D319-E319)),0),"")</f>
        <v>0</v>
      </c>
      <c r="G319" s="14" t="str">
        <f>_xlfn.IFNA(VLOOKUP(A319,'RTR v2'!A:AW,48,FALSE)," ")</f>
        <v/>
      </c>
      <c r="I319" s="16" t="str">
        <f t="shared" si="31"/>
        <v>N</v>
      </c>
      <c r="J319" s="16" t="str">
        <f t="shared" si="33"/>
        <v xml:space="preserve">  </v>
      </c>
      <c r="L319" s="17"/>
      <c r="M319" t="str">
        <f t="shared" si="34"/>
        <v xml:space="preserve"> </v>
      </c>
      <c r="N319">
        <f t="shared" si="35"/>
        <v>0</v>
      </c>
      <c r="O319">
        <f>IF(P319&lt;1,0,IF(VLOOKUP($A319,'Actual Dates'!$A:$G,5,0)="Y",1,0))</f>
        <v>0</v>
      </c>
      <c r="P319">
        <f>IF(Q319&lt;1,0,IF(VLOOKUP($A319,'Actual Dates'!$A:$G,4,0)="Y",1,0))</f>
        <v>0</v>
      </c>
      <c r="Q319">
        <f>IF(R319&lt;1,0,IF(VLOOKUP($A319,'Actual Dates'!$A:$G,3,0)="Y",1,0))</f>
        <v>0</v>
      </c>
      <c r="R319">
        <f>IF(VLOOKUP($A319,'Actual Dates'!$A:$G,2,0)="Y",1,0)</f>
        <v>0</v>
      </c>
      <c r="S319" s="4">
        <f ca="1">_xlfn.IFNA(+VLOOKUP(A319,'Date Calcs'!A:AG,8,),TODAY())</f>
        <v>46115</v>
      </c>
      <c r="T319" s="4">
        <f ca="1">_xlfn.IFNA(VLOOKUP(A319,'Date Calcs'!A:AG,10,),TODAY())</f>
        <v>46115</v>
      </c>
      <c r="U319" s="4">
        <f ca="1">_xlfn.IFNA(+VLOOKUP(A319,'Date Calcs'!A:AG,12,),TODAY())</f>
        <v>46115</v>
      </c>
      <c r="V319" s="4">
        <f ca="1">_xlfn.IFNA(+VLOOKUP(A319,'Date Calcs'!A:AG,14,),TODAY())</f>
        <v>46115</v>
      </c>
      <c r="W319" s="4">
        <f ca="1">_xlfn.IFNA(+VLOOKUP(A319,'Date Calcs'!A:AG,16,),TODAY())</f>
        <v>46115</v>
      </c>
      <c r="X319" s="4">
        <f ca="1">_xlfn.IFNA(IF(C319=0,VLOOKUP(A319,'Date Calcs'!A:AG,8,),IF(C319=1,VLOOKUP(A319,'Date Calcs'!A:AG,10,),IF(C319=2,VLOOKUP(A319,'Date Calcs'!A:AG,12,),IF(C319=3,VLOOKUP(A319,'Date Calcs'!A:AG,14,),4)))),TODAY())</f>
        <v>46115</v>
      </c>
      <c r="Y319" s="4">
        <f t="shared" ca="1" si="32"/>
        <v>46115</v>
      </c>
      <c r="Z319" s="4">
        <f ca="1">_xlfn.IFNA(Y319+(VLOOKUP(A319,'Date Calcs'!A:W,22,0)*7),TODAY())</f>
        <v>46115</v>
      </c>
      <c r="AA319" s="4">
        <f>_xlfn.IFNA(VLOOKUP(A319,'RTR v2'!$A:$AW,46,0),"")</f>
        <v>0</v>
      </c>
    </row>
    <row r="320" spans="1:27" ht="23.25" hidden="1" x14ac:dyDescent="0.25">
      <c r="A320" s="12">
        <f>'Actual Dates'!A318</f>
        <v>0</v>
      </c>
      <c r="B320" s="13" t="str">
        <f>_xlfn.IFNA(VLOOKUP(A320,'Date Calcs'!A:B,2,),"")</f>
        <v/>
      </c>
      <c r="C320" s="14">
        <f>VLOOKUP(A320,'Actual Dates'!A:AE,18,)</f>
        <v>0</v>
      </c>
      <c r="D320" s="15">
        <f t="shared" ca="1" si="29"/>
        <v>46115</v>
      </c>
      <c r="E320" s="15">
        <f t="shared" ca="1" si="30"/>
        <v>46115</v>
      </c>
      <c r="F320" s="14">
        <f ca="1">IFERROR(ROUND(IF(A320="","",IF(E320=0,D320-Date!$B$3,D320-E320)),0),"")</f>
        <v>0</v>
      </c>
      <c r="G320" s="14" t="str">
        <f>_xlfn.IFNA(VLOOKUP(A320,'RTR v2'!A:AW,48,FALSE)," ")</f>
        <v/>
      </c>
      <c r="I320" s="16" t="str">
        <f t="shared" si="31"/>
        <v>N</v>
      </c>
      <c r="J320" s="16" t="str">
        <f t="shared" si="33"/>
        <v xml:space="preserve">  </v>
      </c>
      <c r="L320" s="17"/>
      <c r="M320" t="str">
        <f t="shared" si="34"/>
        <v xml:space="preserve"> </v>
      </c>
      <c r="N320">
        <f t="shared" si="35"/>
        <v>0</v>
      </c>
      <c r="O320">
        <f>IF(P320&lt;1,0,IF(VLOOKUP($A320,'Actual Dates'!$A:$G,5,0)="Y",1,0))</f>
        <v>0</v>
      </c>
      <c r="P320">
        <f>IF(Q320&lt;1,0,IF(VLOOKUP($A320,'Actual Dates'!$A:$G,4,0)="Y",1,0))</f>
        <v>0</v>
      </c>
      <c r="Q320">
        <f>IF(R320&lt;1,0,IF(VLOOKUP($A320,'Actual Dates'!$A:$G,3,0)="Y",1,0))</f>
        <v>0</v>
      </c>
      <c r="R320">
        <f>IF(VLOOKUP($A320,'Actual Dates'!$A:$G,2,0)="Y",1,0)</f>
        <v>0</v>
      </c>
      <c r="S320" s="4">
        <f ca="1">_xlfn.IFNA(+VLOOKUP(A320,'Date Calcs'!A:AG,8,),TODAY())</f>
        <v>46115</v>
      </c>
      <c r="T320" s="4">
        <f ca="1">_xlfn.IFNA(VLOOKUP(A320,'Date Calcs'!A:AG,10,),TODAY())</f>
        <v>46115</v>
      </c>
      <c r="U320" s="4">
        <f ca="1">_xlfn.IFNA(+VLOOKUP(A320,'Date Calcs'!A:AG,12,),TODAY())</f>
        <v>46115</v>
      </c>
      <c r="V320" s="4">
        <f ca="1">_xlfn.IFNA(+VLOOKUP(A320,'Date Calcs'!A:AG,14,),TODAY())</f>
        <v>46115</v>
      </c>
      <c r="W320" s="4">
        <f ca="1">_xlfn.IFNA(+VLOOKUP(A320,'Date Calcs'!A:AG,16,),TODAY())</f>
        <v>46115</v>
      </c>
      <c r="X320" s="4">
        <f ca="1">_xlfn.IFNA(IF(C320=0,VLOOKUP(A320,'Date Calcs'!A:AG,8,),IF(C320=1,VLOOKUP(A320,'Date Calcs'!A:AG,10,),IF(C320=2,VLOOKUP(A320,'Date Calcs'!A:AG,12,),IF(C320=3,VLOOKUP(A320,'Date Calcs'!A:AG,14,),4)))),TODAY())</f>
        <v>46115</v>
      </c>
      <c r="Y320" s="4">
        <f t="shared" ca="1" si="32"/>
        <v>46115</v>
      </c>
      <c r="Z320" s="4">
        <f ca="1">_xlfn.IFNA(Y320+(VLOOKUP(A320,'Date Calcs'!A:W,22,0)*7),TODAY())</f>
        <v>46115</v>
      </c>
      <c r="AA320" s="4">
        <f>_xlfn.IFNA(VLOOKUP(A320,'RTR v2'!$A:$AW,46,0),"")</f>
        <v>0</v>
      </c>
    </row>
    <row r="321" spans="1:27" ht="23.25" hidden="1" x14ac:dyDescent="0.25">
      <c r="A321" s="12">
        <f>'Actual Dates'!A319</f>
        <v>0</v>
      </c>
      <c r="B321" s="13" t="str">
        <f>_xlfn.IFNA(VLOOKUP(A321,'Date Calcs'!A:B,2,),"")</f>
        <v/>
      </c>
      <c r="C321" s="14">
        <f>VLOOKUP(A321,'Actual Dates'!A:AE,18,)</f>
        <v>0</v>
      </c>
      <c r="D321" s="15">
        <f t="shared" ca="1" si="29"/>
        <v>46115</v>
      </c>
      <c r="E321" s="15">
        <f t="shared" ca="1" si="30"/>
        <v>46115</v>
      </c>
      <c r="F321" s="14">
        <f ca="1">IFERROR(ROUND(IF(A321="","",IF(E321=0,D321-Date!$B$3,D321-E321)),0),"")</f>
        <v>0</v>
      </c>
      <c r="G321" s="14" t="str">
        <f>_xlfn.IFNA(VLOOKUP(A321,'RTR v2'!A:AW,48,FALSE)," ")</f>
        <v/>
      </c>
      <c r="I321" s="16" t="str">
        <f t="shared" si="31"/>
        <v>N</v>
      </c>
      <c r="J321" s="16" t="str">
        <f t="shared" si="33"/>
        <v xml:space="preserve">  </v>
      </c>
      <c r="L321" s="17"/>
      <c r="M321" t="str">
        <f t="shared" si="34"/>
        <v xml:space="preserve"> </v>
      </c>
      <c r="N321">
        <f t="shared" si="35"/>
        <v>0</v>
      </c>
      <c r="O321">
        <f>IF(P321&lt;1,0,IF(VLOOKUP($A321,'Actual Dates'!$A:$G,5,0)="Y",1,0))</f>
        <v>0</v>
      </c>
      <c r="P321">
        <f>IF(Q321&lt;1,0,IF(VLOOKUP($A321,'Actual Dates'!$A:$G,4,0)="Y",1,0))</f>
        <v>0</v>
      </c>
      <c r="Q321">
        <f>IF(R321&lt;1,0,IF(VLOOKUP($A321,'Actual Dates'!$A:$G,3,0)="Y",1,0))</f>
        <v>0</v>
      </c>
      <c r="R321">
        <f>IF(VLOOKUP($A321,'Actual Dates'!$A:$G,2,0)="Y",1,0)</f>
        <v>0</v>
      </c>
      <c r="S321" s="4">
        <f ca="1">_xlfn.IFNA(+VLOOKUP(A321,'Date Calcs'!A:AG,8,),TODAY())</f>
        <v>46115</v>
      </c>
      <c r="T321" s="4">
        <f ca="1">_xlfn.IFNA(VLOOKUP(A321,'Date Calcs'!A:AG,10,),TODAY())</f>
        <v>46115</v>
      </c>
      <c r="U321" s="4">
        <f ca="1">_xlfn.IFNA(+VLOOKUP(A321,'Date Calcs'!A:AG,12,),TODAY())</f>
        <v>46115</v>
      </c>
      <c r="V321" s="4">
        <f ca="1">_xlfn.IFNA(+VLOOKUP(A321,'Date Calcs'!A:AG,14,),TODAY())</f>
        <v>46115</v>
      </c>
      <c r="W321" s="4">
        <f ca="1">_xlfn.IFNA(+VLOOKUP(A321,'Date Calcs'!A:AG,16,),TODAY())</f>
        <v>46115</v>
      </c>
      <c r="X321" s="4">
        <f ca="1">_xlfn.IFNA(IF(C321=0,VLOOKUP(A321,'Date Calcs'!A:AG,8,),IF(C321=1,VLOOKUP(A321,'Date Calcs'!A:AG,10,),IF(C321=2,VLOOKUP(A321,'Date Calcs'!A:AG,12,),IF(C321=3,VLOOKUP(A321,'Date Calcs'!A:AG,14,),4)))),TODAY())</f>
        <v>46115</v>
      </c>
      <c r="Y321" s="4">
        <f t="shared" ca="1" si="32"/>
        <v>46115</v>
      </c>
      <c r="Z321" s="4">
        <f ca="1">_xlfn.IFNA(Y321+(VLOOKUP(A321,'Date Calcs'!A:W,22,0)*7),TODAY())</f>
        <v>46115</v>
      </c>
      <c r="AA321" s="4">
        <f>_xlfn.IFNA(VLOOKUP(A321,'RTR v2'!$A:$AW,46,0),"")</f>
        <v>0</v>
      </c>
    </row>
    <row r="322" spans="1:27" ht="23.25" hidden="1" x14ac:dyDescent="0.25">
      <c r="A322" s="12">
        <f>'Actual Dates'!A320</f>
        <v>0</v>
      </c>
      <c r="B322" s="13" t="str">
        <f>_xlfn.IFNA(VLOOKUP(A322,'Date Calcs'!A:B,2,),"")</f>
        <v/>
      </c>
      <c r="C322" s="14">
        <f>VLOOKUP(A322,'Actual Dates'!A:AE,18,)</f>
        <v>0</v>
      </c>
      <c r="D322" s="15">
        <f t="shared" ca="1" si="29"/>
        <v>46115</v>
      </c>
      <c r="E322" s="15">
        <f t="shared" ca="1" si="30"/>
        <v>46115</v>
      </c>
      <c r="F322" s="14">
        <f ca="1">IFERROR(ROUND(IF(A322="","",IF(E322=0,D322-Date!$B$3,D322-E322)),0),"")</f>
        <v>0</v>
      </c>
      <c r="G322" s="14" t="str">
        <f>_xlfn.IFNA(VLOOKUP(A322,'RTR v2'!A:AW,48,FALSE)," ")</f>
        <v/>
      </c>
      <c r="I322" s="16" t="str">
        <f t="shared" si="31"/>
        <v>N</v>
      </c>
      <c r="J322" s="16" t="str">
        <f t="shared" si="33"/>
        <v xml:space="preserve">  </v>
      </c>
      <c r="L322" s="17"/>
      <c r="M322" t="str">
        <f t="shared" si="34"/>
        <v xml:space="preserve"> </v>
      </c>
      <c r="N322">
        <f t="shared" si="35"/>
        <v>0</v>
      </c>
      <c r="O322">
        <f>IF(P322&lt;1,0,IF(VLOOKUP($A322,'Actual Dates'!$A:$G,5,0)="Y",1,0))</f>
        <v>0</v>
      </c>
      <c r="P322">
        <f>IF(Q322&lt;1,0,IF(VLOOKUP($A322,'Actual Dates'!$A:$G,4,0)="Y",1,0))</f>
        <v>0</v>
      </c>
      <c r="Q322">
        <f>IF(R322&lt;1,0,IF(VLOOKUP($A322,'Actual Dates'!$A:$G,3,0)="Y",1,0))</f>
        <v>0</v>
      </c>
      <c r="R322">
        <f>IF(VLOOKUP($A322,'Actual Dates'!$A:$G,2,0)="Y",1,0)</f>
        <v>0</v>
      </c>
      <c r="S322" s="4">
        <f ca="1">_xlfn.IFNA(+VLOOKUP(A322,'Date Calcs'!A:AG,8,),TODAY())</f>
        <v>46115</v>
      </c>
      <c r="T322" s="4">
        <f ca="1">_xlfn.IFNA(VLOOKUP(A322,'Date Calcs'!A:AG,10,),TODAY())</f>
        <v>46115</v>
      </c>
      <c r="U322" s="4">
        <f ca="1">_xlfn.IFNA(+VLOOKUP(A322,'Date Calcs'!A:AG,12,),TODAY())</f>
        <v>46115</v>
      </c>
      <c r="V322" s="4">
        <f ca="1">_xlfn.IFNA(+VLOOKUP(A322,'Date Calcs'!A:AG,14,),TODAY())</f>
        <v>46115</v>
      </c>
      <c r="W322" s="4">
        <f ca="1">_xlfn.IFNA(+VLOOKUP(A322,'Date Calcs'!A:AG,16,),TODAY())</f>
        <v>46115</v>
      </c>
      <c r="X322" s="4">
        <f ca="1">_xlfn.IFNA(IF(C322=0,VLOOKUP(A322,'Date Calcs'!A:AG,8,),IF(C322=1,VLOOKUP(A322,'Date Calcs'!A:AG,10,),IF(C322=2,VLOOKUP(A322,'Date Calcs'!A:AG,12,),IF(C322=3,VLOOKUP(A322,'Date Calcs'!A:AG,14,),4)))),TODAY())</f>
        <v>46115</v>
      </c>
      <c r="Y322" s="4">
        <f t="shared" ca="1" si="32"/>
        <v>46115</v>
      </c>
      <c r="Z322" s="4">
        <f ca="1">_xlfn.IFNA(Y322+(VLOOKUP(A322,'Date Calcs'!A:W,22,0)*7),TODAY())</f>
        <v>46115</v>
      </c>
      <c r="AA322" s="4">
        <f>_xlfn.IFNA(VLOOKUP(A322,'RTR v2'!$A:$AW,46,0),"")</f>
        <v>0</v>
      </c>
    </row>
    <row r="323" spans="1:27" ht="23.25" hidden="1" x14ac:dyDescent="0.25">
      <c r="A323" s="12">
        <f>'Actual Dates'!A321</f>
        <v>0</v>
      </c>
      <c r="B323" s="13" t="str">
        <f>_xlfn.IFNA(VLOOKUP(A323,'Date Calcs'!A:B,2,),"")</f>
        <v/>
      </c>
      <c r="C323" s="14">
        <f>VLOOKUP(A323,'Actual Dates'!A:AE,18,)</f>
        <v>0</v>
      </c>
      <c r="D323" s="15">
        <f t="shared" ca="1" si="29"/>
        <v>46115</v>
      </c>
      <c r="E323" s="15">
        <f t="shared" ca="1" si="30"/>
        <v>46115</v>
      </c>
      <c r="F323" s="14">
        <f ca="1">IFERROR(ROUND(IF(A323="","",IF(E323=0,D323-Date!$B$3,D323-E323)),0),"")</f>
        <v>0</v>
      </c>
      <c r="G323" s="14" t="str">
        <f>_xlfn.IFNA(VLOOKUP(A323,'RTR v2'!A:AW,48,FALSE)," ")</f>
        <v/>
      </c>
      <c r="I323" s="16" t="str">
        <f t="shared" si="31"/>
        <v>N</v>
      </c>
      <c r="J323" s="16" t="str">
        <f t="shared" si="33"/>
        <v xml:space="preserve">  </v>
      </c>
      <c r="L323" s="17"/>
      <c r="M323" t="str">
        <f t="shared" si="34"/>
        <v xml:space="preserve"> </v>
      </c>
      <c r="N323">
        <f t="shared" si="35"/>
        <v>0</v>
      </c>
      <c r="O323">
        <f>IF(P323&lt;1,0,IF(VLOOKUP($A323,'Actual Dates'!$A:$G,5,0)="Y",1,0))</f>
        <v>0</v>
      </c>
      <c r="P323">
        <f>IF(Q323&lt;1,0,IF(VLOOKUP($A323,'Actual Dates'!$A:$G,4,0)="Y",1,0))</f>
        <v>0</v>
      </c>
      <c r="Q323">
        <f>IF(R323&lt;1,0,IF(VLOOKUP($A323,'Actual Dates'!$A:$G,3,0)="Y",1,0))</f>
        <v>0</v>
      </c>
      <c r="R323">
        <f>IF(VLOOKUP($A323,'Actual Dates'!$A:$G,2,0)="Y",1,0)</f>
        <v>0</v>
      </c>
      <c r="S323" s="4">
        <f ca="1">_xlfn.IFNA(+VLOOKUP(A323,'Date Calcs'!A:AG,8,),TODAY())</f>
        <v>46115</v>
      </c>
      <c r="T323" s="4">
        <f ca="1">_xlfn.IFNA(VLOOKUP(A323,'Date Calcs'!A:AG,10,),TODAY())</f>
        <v>46115</v>
      </c>
      <c r="U323" s="4">
        <f ca="1">_xlfn.IFNA(+VLOOKUP(A323,'Date Calcs'!A:AG,12,),TODAY())</f>
        <v>46115</v>
      </c>
      <c r="V323" s="4">
        <f ca="1">_xlfn.IFNA(+VLOOKUP(A323,'Date Calcs'!A:AG,14,),TODAY())</f>
        <v>46115</v>
      </c>
      <c r="W323" s="4">
        <f ca="1">_xlfn.IFNA(+VLOOKUP(A323,'Date Calcs'!A:AG,16,),TODAY())</f>
        <v>46115</v>
      </c>
      <c r="X323" s="4">
        <f ca="1">_xlfn.IFNA(IF(C323=0,VLOOKUP(A323,'Date Calcs'!A:AG,8,),IF(C323=1,VLOOKUP(A323,'Date Calcs'!A:AG,10,),IF(C323=2,VLOOKUP(A323,'Date Calcs'!A:AG,12,),IF(C323=3,VLOOKUP(A323,'Date Calcs'!A:AG,14,),4)))),TODAY())</f>
        <v>46115</v>
      </c>
      <c r="Y323" s="4">
        <f t="shared" ca="1" si="32"/>
        <v>46115</v>
      </c>
      <c r="Z323" s="4">
        <f ca="1">_xlfn.IFNA(Y323+(VLOOKUP(A323,'Date Calcs'!A:W,22,0)*7),TODAY())</f>
        <v>46115</v>
      </c>
      <c r="AA323" s="4">
        <f>_xlfn.IFNA(VLOOKUP(A323,'RTR v2'!$A:$AW,46,0),"")</f>
        <v>0</v>
      </c>
    </row>
    <row r="324" spans="1:27" ht="23.25" hidden="1" x14ac:dyDescent="0.25">
      <c r="A324" s="12">
        <f>'Actual Dates'!A322</f>
        <v>0</v>
      </c>
      <c r="B324" s="13" t="str">
        <f>_xlfn.IFNA(VLOOKUP(A324,'Date Calcs'!A:B,2,),"")</f>
        <v/>
      </c>
      <c r="C324" s="14">
        <f>VLOOKUP(A324,'Actual Dates'!A:AE,18,)</f>
        <v>0</v>
      </c>
      <c r="D324" s="15">
        <f t="shared" ca="1" si="29"/>
        <v>46115</v>
      </c>
      <c r="E324" s="15">
        <f t="shared" ca="1" si="30"/>
        <v>46115</v>
      </c>
      <c r="F324" s="14">
        <f ca="1">IFERROR(ROUND(IF(A324="","",IF(E324=0,D324-Date!$B$3,D324-E324)),0),"")</f>
        <v>0</v>
      </c>
      <c r="G324" s="14" t="str">
        <f>_xlfn.IFNA(VLOOKUP(A324,'RTR v2'!A:AW,48,FALSE)," ")</f>
        <v/>
      </c>
      <c r="I324" s="16" t="str">
        <f t="shared" si="31"/>
        <v>N</v>
      </c>
      <c r="J324" s="16" t="str">
        <f t="shared" si="33"/>
        <v xml:space="preserve">  </v>
      </c>
      <c r="L324" s="17"/>
      <c r="M324" t="str">
        <f t="shared" si="34"/>
        <v xml:space="preserve"> </v>
      </c>
      <c r="N324">
        <f t="shared" si="35"/>
        <v>0</v>
      </c>
      <c r="O324">
        <f>IF(P324&lt;1,0,IF(VLOOKUP($A324,'Actual Dates'!$A:$G,5,0)="Y",1,0))</f>
        <v>0</v>
      </c>
      <c r="P324">
        <f>IF(Q324&lt;1,0,IF(VLOOKUP($A324,'Actual Dates'!$A:$G,4,0)="Y",1,0))</f>
        <v>0</v>
      </c>
      <c r="Q324">
        <f>IF(R324&lt;1,0,IF(VLOOKUP($A324,'Actual Dates'!$A:$G,3,0)="Y",1,0))</f>
        <v>0</v>
      </c>
      <c r="R324">
        <f>IF(VLOOKUP($A324,'Actual Dates'!$A:$G,2,0)="Y",1,0)</f>
        <v>0</v>
      </c>
      <c r="S324" s="4">
        <f ca="1">_xlfn.IFNA(+VLOOKUP(A324,'Date Calcs'!A:AG,8,),TODAY())</f>
        <v>46115</v>
      </c>
      <c r="T324" s="4">
        <f ca="1">_xlfn.IFNA(VLOOKUP(A324,'Date Calcs'!A:AG,10,),TODAY())</f>
        <v>46115</v>
      </c>
      <c r="U324" s="4">
        <f ca="1">_xlfn.IFNA(+VLOOKUP(A324,'Date Calcs'!A:AG,12,),TODAY())</f>
        <v>46115</v>
      </c>
      <c r="V324" s="4">
        <f ca="1">_xlfn.IFNA(+VLOOKUP(A324,'Date Calcs'!A:AG,14,),TODAY())</f>
        <v>46115</v>
      </c>
      <c r="W324" s="4">
        <f ca="1">_xlfn.IFNA(+VLOOKUP(A324,'Date Calcs'!A:AG,16,),TODAY())</f>
        <v>46115</v>
      </c>
      <c r="X324" s="4">
        <f ca="1">_xlfn.IFNA(IF(C324=0,VLOOKUP(A324,'Date Calcs'!A:AG,8,),IF(C324=1,VLOOKUP(A324,'Date Calcs'!A:AG,10,),IF(C324=2,VLOOKUP(A324,'Date Calcs'!A:AG,12,),IF(C324=3,VLOOKUP(A324,'Date Calcs'!A:AG,14,),4)))),TODAY())</f>
        <v>46115</v>
      </c>
      <c r="Y324" s="4">
        <f t="shared" ca="1" si="32"/>
        <v>46115</v>
      </c>
      <c r="Z324" s="4">
        <f ca="1">_xlfn.IFNA(Y324+(VLOOKUP(A324,'Date Calcs'!A:W,22,0)*7),TODAY())</f>
        <v>46115</v>
      </c>
      <c r="AA324" s="4">
        <f>_xlfn.IFNA(VLOOKUP(A324,'RTR v2'!$A:$AW,46,0),"")</f>
        <v>0</v>
      </c>
    </row>
    <row r="325" spans="1:27" ht="23.25" hidden="1" x14ac:dyDescent="0.25">
      <c r="A325" s="12">
        <f>'Actual Dates'!A323</f>
        <v>0</v>
      </c>
      <c r="B325" s="13" t="str">
        <f>_xlfn.IFNA(VLOOKUP(A325,'Date Calcs'!A:B,2,),"")</f>
        <v/>
      </c>
      <c r="C325" s="14">
        <f>VLOOKUP(A325,'Actual Dates'!A:AE,18,)</f>
        <v>0</v>
      </c>
      <c r="D325" s="15">
        <f t="shared" ca="1" si="29"/>
        <v>46115</v>
      </c>
      <c r="E325" s="15">
        <f t="shared" ca="1" si="30"/>
        <v>46115</v>
      </c>
      <c r="F325" s="14">
        <f ca="1">IFERROR(ROUND(IF(A325="","",IF(E325=0,D325-Date!$B$3,D325-E325)),0),"")</f>
        <v>0</v>
      </c>
      <c r="G325" s="14" t="str">
        <f>_xlfn.IFNA(VLOOKUP(A325,'RTR v2'!A:AW,48,FALSE)," ")</f>
        <v/>
      </c>
      <c r="I325" s="16" t="str">
        <f t="shared" si="31"/>
        <v>N</v>
      </c>
      <c r="J325" s="16" t="str">
        <f t="shared" si="33"/>
        <v xml:space="preserve">  </v>
      </c>
      <c r="L325" s="17"/>
      <c r="M325" t="str">
        <f t="shared" si="34"/>
        <v xml:space="preserve"> </v>
      </c>
      <c r="N325">
        <f t="shared" si="35"/>
        <v>0</v>
      </c>
      <c r="O325">
        <f>IF(P325&lt;1,0,IF(VLOOKUP($A325,'Actual Dates'!$A:$G,5,0)="Y",1,0))</f>
        <v>0</v>
      </c>
      <c r="P325">
        <f>IF(Q325&lt;1,0,IF(VLOOKUP($A325,'Actual Dates'!$A:$G,4,0)="Y",1,0))</f>
        <v>0</v>
      </c>
      <c r="Q325">
        <f>IF(R325&lt;1,0,IF(VLOOKUP($A325,'Actual Dates'!$A:$G,3,0)="Y",1,0))</f>
        <v>0</v>
      </c>
      <c r="R325">
        <f>IF(VLOOKUP($A325,'Actual Dates'!$A:$G,2,0)="Y",1,0)</f>
        <v>0</v>
      </c>
      <c r="S325" s="4">
        <f ca="1">_xlfn.IFNA(+VLOOKUP(A325,'Date Calcs'!A:AG,8,),TODAY())</f>
        <v>46115</v>
      </c>
      <c r="T325" s="4">
        <f ca="1">_xlfn.IFNA(VLOOKUP(A325,'Date Calcs'!A:AG,10,),TODAY())</f>
        <v>46115</v>
      </c>
      <c r="U325" s="4">
        <f ca="1">_xlfn.IFNA(+VLOOKUP(A325,'Date Calcs'!A:AG,12,),TODAY())</f>
        <v>46115</v>
      </c>
      <c r="V325" s="4">
        <f ca="1">_xlfn.IFNA(+VLOOKUP(A325,'Date Calcs'!A:AG,14,),TODAY())</f>
        <v>46115</v>
      </c>
      <c r="W325" s="4">
        <f ca="1">_xlfn.IFNA(+VLOOKUP(A325,'Date Calcs'!A:AG,16,),TODAY())</f>
        <v>46115</v>
      </c>
      <c r="X325" s="4">
        <f ca="1">_xlfn.IFNA(IF(C325=0,VLOOKUP(A325,'Date Calcs'!A:AG,8,),IF(C325=1,VLOOKUP(A325,'Date Calcs'!A:AG,10,),IF(C325=2,VLOOKUP(A325,'Date Calcs'!A:AG,12,),IF(C325=3,VLOOKUP(A325,'Date Calcs'!A:AG,14,),4)))),TODAY())</f>
        <v>46115</v>
      </c>
      <c r="Y325" s="4">
        <f t="shared" ca="1" si="32"/>
        <v>46115</v>
      </c>
      <c r="Z325" s="4">
        <f ca="1">_xlfn.IFNA(Y325+(VLOOKUP(A325,'Date Calcs'!A:W,22,0)*7),TODAY())</f>
        <v>46115</v>
      </c>
      <c r="AA325" s="4">
        <f>_xlfn.IFNA(VLOOKUP(A325,'RTR v2'!$A:$AW,46,0),"")</f>
        <v>0</v>
      </c>
    </row>
    <row r="326" spans="1:27" ht="23.25" hidden="1" x14ac:dyDescent="0.25">
      <c r="A326" s="12">
        <f>'Actual Dates'!A324</f>
        <v>0</v>
      </c>
      <c r="B326" s="13" t="str">
        <f>_xlfn.IFNA(VLOOKUP(A326,'Date Calcs'!A:B,2,),"")</f>
        <v/>
      </c>
      <c r="C326" s="14">
        <f>VLOOKUP(A326,'Actual Dates'!A:AE,18,)</f>
        <v>0</v>
      </c>
      <c r="D326" s="15">
        <f t="shared" ref="D326:D361" ca="1" si="36">Z326</f>
        <v>46115</v>
      </c>
      <c r="E326" s="15">
        <f t="shared" ref="E326:E361" ca="1" si="37">IF(VLOOKUP(A326,Dates,20,FALSE())="",TODAY(),VLOOKUP(A326,Dates,20,FALSE()))</f>
        <v>46115</v>
      </c>
      <c r="F326" s="14">
        <f ca="1">IFERROR(ROUND(IF(A326="","",IF(E326=0,D326-Date!$B$3,D326-E326)),0),"")</f>
        <v>0</v>
      </c>
      <c r="G326" s="14" t="str">
        <f>_xlfn.IFNA(VLOOKUP(A326,'RTR v2'!A:AW,48,FALSE)," ")</f>
        <v/>
      </c>
      <c r="I326" s="16" t="str">
        <f t="shared" ref="I326:I361" si="38">IF(VLOOKUP(A326,Dates,2,)="N","N",IF(VLOOKUP(A326,Dates,3,)="N","N",IF(VLOOKUP(A326,Dates,4,)="N","N",IF(VLOOKUP(A326,Dates,5,)="N","N","Y"))))</f>
        <v>N</v>
      </c>
      <c r="J326" s="16" t="str">
        <f t="shared" si="33"/>
        <v xml:space="preserve">  </v>
      </c>
      <c r="L326" s="17"/>
      <c r="M326" t="str">
        <f t="shared" si="34"/>
        <v xml:space="preserve"> </v>
      </c>
      <c r="N326">
        <f t="shared" si="35"/>
        <v>0</v>
      </c>
      <c r="O326">
        <f>IF(P326&lt;1,0,IF(VLOOKUP($A326,'Actual Dates'!$A:$G,5,0)="Y",1,0))</f>
        <v>0</v>
      </c>
      <c r="P326">
        <f>IF(Q326&lt;1,0,IF(VLOOKUP($A326,'Actual Dates'!$A:$G,4,0)="Y",1,0))</f>
        <v>0</v>
      </c>
      <c r="Q326">
        <f>IF(R326&lt;1,0,IF(VLOOKUP($A326,'Actual Dates'!$A:$G,3,0)="Y",1,0))</f>
        <v>0</v>
      </c>
      <c r="R326">
        <f>IF(VLOOKUP($A326,'Actual Dates'!$A:$G,2,0)="Y",1,0)</f>
        <v>0</v>
      </c>
      <c r="S326" s="4">
        <f ca="1">_xlfn.IFNA(+VLOOKUP(A326,'Date Calcs'!A:AG,8,),TODAY())</f>
        <v>46115</v>
      </c>
      <c r="T326" s="4">
        <f ca="1">_xlfn.IFNA(VLOOKUP(A326,'Date Calcs'!A:AG,10,),TODAY())</f>
        <v>46115</v>
      </c>
      <c r="U326" s="4">
        <f ca="1">_xlfn.IFNA(+VLOOKUP(A326,'Date Calcs'!A:AG,12,),TODAY())</f>
        <v>46115</v>
      </c>
      <c r="V326" s="4">
        <f ca="1">_xlfn.IFNA(+VLOOKUP(A326,'Date Calcs'!A:AG,14,),TODAY())</f>
        <v>46115</v>
      </c>
      <c r="W326" s="4">
        <f ca="1">_xlfn.IFNA(+VLOOKUP(A326,'Date Calcs'!A:AG,16,),TODAY())</f>
        <v>46115</v>
      </c>
      <c r="X326" s="4">
        <f ca="1">_xlfn.IFNA(IF(C326=0,VLOOKUP(A326,'Date Calcs'!A:AG,8,),IF(C326=1,VLOOKUP(A326,'Date Calcs'!A:AG,10,),IF(C326=2,VLOOKUP(A326,'Date Calcs'!A:AG,12,),IF(C326=3,VLOOKUP(A326,'Date Calcs'!A:AG,14,),4)))),TODAY())</f>
        <v>46115</v>
      </c>
      <c r="Y326" s="4">
        <f t="shared" ref="Y326:Y361" ca="1" si="39">_xlfn.IFNA(IF(X326=4,W326,X326),TODAY())</f>
        <v>46115</v>
      </c>
      <c r="Z326" s="4">
        <f ca="1">_xlfn.IFNA(Y326+(VLOOKUP(A326,'Date Calcs'!A:W,22,0)*7),TODAY())</f>
        <v>46115</v>
      </c>
      <c r="AA326" s="4">
        <f>_xlfn.IFNA(VLOOKUP(A326,'RTR v2'!$A:$AW,46,0),"")</f>
        <v>0</v>
      </c>
    </row>
    <row r="327" spans="1:27" ht="23.25" hidden="1" x14ac:dyDescent="0.25">
      <c r="A327" s="12">
        <f>'Actual Dates'!A325</f>
        <v>0</v>
      </c>
      <c r="B327" s="13" t="str">
        <f>_xlfn.IFNA(VLOOKUP(A327,'Date Calcs'!A:B,2,),"")</f>
        <v/>
      </c>
      <c r="C327" s="14">
        <f>VLOOKUP(A327,'Actual Dates'!A:AE,18,)</f>
        <v>0</v>
      </c>
      <c r="D327" s="15">
        <f t="shared" ca="1" si="36"/>
        <v>46115</v>
      </c>
      <c r="E327" s="15">
        <f t="shared" ca="1" si="37"/>
        <v>46115</v>
      </c>
      <c r="F327" s="14">
        <f ca="1">IFERROR(ROUND(IF(A327="","",IF(E327=0,D327-Date!$B$3,D327-E327)),0),"")</f>
        <v>0</v>
      </c>
      <c r="G327" s="14" t="str">
        <f>_xlfn.IFNA(VLOOKUP(A327,'RTR v2'!A:AW,48,FALSE)," ")</f>
        <v/>
      </c>
      <c r="I327" s="16" t="str">
        <f t="shared" si="38"/>
        <v>N</v>
      </c>
      <c r="J327" s="16" t="str">
        <f t="shared" ref="J327:J361" si="40">VLOOKUP(A327,Dates,7,)</f>
        <v xml:space="preserve">  </v>
      </c>
      <c r="L327" s="17"/>
      <c r="M327" t="str">
        <f t="shared" ref="M327:M361" si="41">IF(N327="Y",N327," ")</f>
        <v xml:space="preserve"> </v>
      </c>
      <c r="N327">
        <f t="shared" ref="N327:N361" si="42">IF(R327="Y",R327,IF(Q327="Y",Q327,IF(P327="Y",P327,O327)))</f>
        <v>0</v>
      </c>
      <c r="O327">
        <f>IF(P327&lt;1,0,IF(VLOOKUP($A327,'Actual Dates'!$A:$G,5,0)="Y",1,0))</f>
        <v>0</v>
      </c>
      <c r="P327">
        <f>IF(Q327&lt;1,0,IF(VLOOKUP($A327,'Actual Dates'!$A:$G,4,0)="Y",1,0))</f>
        <v>0</v>
      </c>
      <c r="Q327">
        <f>IF(R327&lt;1,0,IF(VLOOKUP($A327,'Actual Dates'!$A:$G,3,0)="Y",1,0))</f>
        <v>0</v>
      </c>
      <c r="R327">
        <f>IF(VLOOKUP($A327,'Actual Dates'!$A:$G,2,0)="Y",1,0)</f>
        <v>0</v>
      </c>
      <c r="S327" s="4">
        <f ca="1">_xlfn.IFNA(+VLOOKUP(A327,'Date Calcs'!A:AG,8,),TODAY())</f>
        <v>46115</v>
      </c>
      <c r="T327" s="4">
        <f ca="1">_xlfn.IFNA(VLOOKUP(A327,'Date Calcs'!A:AG,10,),TODAY())</f>
        <v>46115</v>
      </c>
      <c r="U327" s="4">
        <f ca="1">_xlfn.IFNA(+VLOOKUP(A327,'Date Calcs'!A:AG,12,),TODAY())</f>
        <v>46115</v>
      </c>
      <c r="V327" s="4">
        <f ca="1">_xlfn.IFNA(+VLOOKUP(A327,'Date Calcs'!A:AG,14,),TODAY())</f>
        <v>46115</v>
      </c>
      <c r="W327" s="4">
        <f ca="1">_xlfn.IFNA(+VLOOKUP(A327,'Date Calcs'!A:AG,16,),TODAY())</f>
        <v>46115</v>
      </c>
      <c r="X327" s="4">
        <f ca="1">_xlfn.IFNA(IF(C327=0,VLOOKUP(A327,'Date Calcs'!A:AG,8,),IF(C327=1,VLOOKUP(A327,'Date Calcs'!A:AG,10,),IF(C327=2,VLOOKUP(A327,'Date Calcs'!A:AG,12,),IF(C327=3,VLOOKUP(A327,'Date Calcs'!A:AG,14,),4)))),TODAY())</f>
        <v>46115</v>
      </c>
      <c r="Y327" s="4">
        <f t="shared" ca="1" si="39"/>
        <v>46115</v>
      </c>
      <c r="Z327" s="4">
        <f ca="1">_xlfn.IFNA(Y327+(VLOOKUP(A327,'Date Calcs'!A:W,22,0)*7),TODAY())</f>
        <v>46115</v>
      </c>
      <c r="AA327" s="4">
        <f>_xlfn.IFNA(VLOOKUP(A327,'RTR v2'!$A:$AW,46,0),"")</f>
        <v>0</v>
      </c>
    </row>
    <row r="328" spans="1:27" ht="23.25" hidden="1" x14ac:dyDescent="0.25">
      <c r="A328" s="12">
        <f>'Actual Dates'!A326</f>
        <v>0</v>
      </c>
      <c r="B328" s="13" t="str">
        <f>_xlfn.IFNA(VLOOKUP(A328,'Date Calcs'!A:B,2,),"")</f>
        <v/>
      </c>
      <c r="C328" s="14">
        <f>VLOOKUP(A328,'Actual Dates'!A:AE,18,)</f>
        <v>0</v>
      </c>
      <c r="D328" s="15">
        <f t="shared" ca="1" si="36"/>
        <v>46115</v>
      </c>
      <c r="E328" s="15">
        <f t="shared" ca="1" si="37"/>
        <v>46115</v>
      </c>
      <c r="F328" s="14">
        <f ca="1">IFERROR(ROUND(IF(A328="","",IF(E328=0,D328-Date!$B$3,D328-E328)),0),"")</f>
        <v>0</v>
      </c>
      <c r="G328" s="14" t="str">
        <f>_xlfn.IFNA(VLOOKUP(A328,'RTR v2'!A:AW,48,FALSE)," ")</f>
        <v/>
      </c>
      <c r="I328" s="16" t="str">
        <f t="shared" si="38"/>
        <v>N</v>
      </c>
      <c r="J328" s="16" t="str">
        <f t="shared" si="40"/>
        <v xml:space="preserve">  </v>
      </c>
      <c r="L328" s="17"/>
      <c r="M328" t="str">
        <f t="shared" si="41"/>
        <v xml:space="preserve"> </v>
      </c>
      <c r="N328">
        <f t="shared" si="42"/>
        <v>0</v>
      </c>
      <c r="O328">
        <f>IF(P328&lt;1,0,IF(VLOOKUP($A328,'Actual Dates'!$A:$G,5,0)="Y",1,0))</f>
        <v>0</v>
      </c>
      <c r="P328">
        <f>IF(Q328&lt;1,0,IF(VLOOKUP($A328,'Actual Dates'!$A:$G,4,0)="Y",1,0))</f>
        <v>0</v>
      </c>
      <c r="Q328">
        <f>IF(R328&lt;1,0,IF(VLOOKUP($A328,'Actual Dates'!$A:$G,3,0)="Y",1,0))</f>
        <v>0</v>
      </c>
      <c r="R328">
        <f>IF(VLOOKUP($A328,'Actual Dates'!$A:$G,2,0)="Y",1,0)</f>
        <v>0</v>
      </c>
      <c r="S328" s="4">
        <f ca="1">_xlfn.IFNA(+VLOOKUP(A328,'Date Calcs'!A:AG,8,),TODAY())</f>
        <v>46115</v>
      </c>
      <c r="T328" s="4">
        <f ca="1">_xlfn.IFNA(VLOOKUP(A328,'Date Calcs'!A:AG,10,),TODAY())</f>
        <v>46115</v>
      </c>
      <c r="U328" s="4">
        <f ca="1">_xlfn.IFNA(+VLOOKUP(A328,'Date Calcs'!A:AG,12,),TODAY())</f>
        <v>46115</v>
      </c>
      <c r="V328" s="4">
        <f ca="1">_xlfn.IFNA(+VLOOKUP(A328,'Date Calcs'!A:AG,14,),TODAY())</f>
        <v>46115</v>
      </c>
      <c r="W328" s="4">
        <f ca="1">_xlfn.IFNA(+VLOOKUP(A328,'Date Calcs'!A:AG,16,),TODAY())</f>
        <v>46115</v>
      </c>
      <c r="X328" s="4">
        <f ca="1">_xlfn.IFNA(IF(C328=0,VLOOKUP(A328,'Date Calcs'!A:AG,8,),IF(C328=1,VLOOKUP(A328,'Date Calcs'!A:AG,10,),IF(C328=2,VLOOKUP(A328,'Date Calcs'!A:AG,12,),IF(C328=3,VLOOKUP(A328,'Date Calcs'!A:AG,14,),4)))),TODAY())</f>
        <v>46115</v>
      </c>
      <c r="Y328" s="4">
        <f t="shared" ca="1" si="39"/>
        <v>46115</v>
      </c>
      <c r="Z328" s="4">
        <f ca="1">_xlfn.IFNA(Y328+(VLOOKUP(A328,'Date Calcs'!A:W,22,0)*7),TODAY())</f>
        <v>46115</v>
      </c>
      <c r="AA328" s="4">
        <f>_xlfn.IFNA(VLOOKUP(A328,'RTR v2'!$A:$AW,46,0),"")</f>
        <v>0</v>
      </c>
    </row>
    <row r="329" spans="1:27" ht="23.25" hidden="1" x14ac:dyDescent="0.25">
      <c r="A329" s="12">
        <f>'Actual Dates'!A327</f>
        <v>0</v>
      </c>
      <c r="B329" s="13" t="str">
        <f>_xlfn.IFNA(VLOOKUP(A329,'Date Calcs'!A:B,2,),"")</f>
        <v/>
      </c>
      <c r="C329" s="14">
        <f>VLOOKUP(A329,'Actual Dates'!A:AE,18,)</f>
        <v>0</v>
      </c>
      <c r="D329" s="15">
        <f t="shared" ca="1" si="36"/>
        <v>46115</v>
      </c>
      <c r="E329" s="15">
        <f t="shared" ca="1" si="37"/>
        <v>46115</v>
      </c>
      <c r="F329" s="14">
        <f ca="1">IFERROR(ROUND(IF(A329="","",IF(E329=0,D329-Date!$B$3,D329-E329)),0),"")</f>
        <v>0</v>
      </c>
      <c r="G329" s="14" t="str">
        <f>_xlfn.IFNA(VLOOKUP(A329,'RTR v2'!A:AW,48,FALSE)," ")</f>
        <v/>
      </c>
      <c r="I329" s="16" t="str">
        <f t="shared" si="38"/>
        <v>N</v>
      </c>
      <c r="J329" s="16" t="str">
        <f t="shared" si="40"/>
        <v xml:space="preserve">  </v>
      </c>
      <c r="L329" s="17"/>
      <c r="M329" t="str">
        <f t="shared" si="41"/>
        <v xml:space="preserve"> </v>
      </c>
      <c r="N329">
        <f t="shared" si="42"/>
        <v>0</v>
      </c>
      <c r="O329">
        <f>IF(P329&lt;1,0,IF(VLOOKUP($A329,'Actual Dates'!$A:$G,5,0)="Y",1,0))</f>
        <v>0</v>
      </c>
      <c r="P329">
        <f>IF(Q329&lt;1,0,IF(VLOOKUP($A329,'Actual Dates'!$A:$G,4,0)="Y",1,0))</f>
        <v>0</v>
      </c>
      <c r="Q329">
        <f>IF(R329&lt;1,0,IF(VLOOKUP($A329,'Actual Dates'!$A:$G,3,0)="Y",1,0))</f>
        <v>0</v>
      </c>
      <c r="R329">
        <f>IF(VLOOKUP($A329,'Actual Dates'!$A:$G,2,0)="Y",1,0)</f>
        <v>0</v>
      </c>
      <c r="S329" s="4">
        <f ca="1">_xlfn.IFNA(+VLOOKUP(A329,'Date Calcs'!A:AG,8,),TODAY())</f>
        <v>46115</v>
      </c>
      <c r="T329" s="4">
        <f ca="1">_xlfn.IFNA(VLOOKUP(A329,'Date Calcs'!A:AG,10,),TODAY())</f>
        <v>46115</v>
      </c>
      <c r="U329" s="4">
        <f ca="1">_xlfn.IFNA(+VLOOKUP(A329,'Date Calcs'!A:AG,12,),TODAY())</f>
        <v>46115</v>
      </c>
      <c r="V329" s="4">
        <f ca="1">_xlfn.IFNA(+VLOOKUP(A329,'Date Calcs'!A:AG,14,),TODAY())</f>
        <v>46115</v>
      </c>
      <c r="W329" s="4">
        <f ca="1">_xlfn.IFNA(+VLOOKUP(A329,'Date Calcs'!A:AG,16,),TODAY())</f>
        <v>46115</v>
      </c>
      <c r="X329" s="4">
        <f ca="1">_xlfn.IFNA(IF(C329=0,VLOOKUP(A329,'Date Calcs'!A:AG,8,),IF(C329=1,VLOOKUP(A329,'Date Calcs'!A:AG,10,),IF(C329=2,VLOOKUP(A329,'Date Calcs'!A:AG,12,),IF(C329=3,VLOOKUP(A329,'Date Calcs'!A:AG,14,),4)))),TODAY())</f>
        <v>46115</v>
      </c>
      <c r="Y329" s="4">
        <f t="shared" ca="1" si="39"/>
        <v>46115</v>
      </c>
      <c r="Z329" s="4">
        <f ca="1">_xlfn.IFNA(Y329+(VLOOKUP(A329,'Date Calcs'!A:W,22,0)*7),TODAY())</f>
        <v>46115</v>
      </c>
      <c r="AA329" s="4">
        <f>_xlfn.IFNA(VLOOKUP(A329,'RTR v2'!$A:$AW,46,0),"")</f>
        <v>0</v>
      </c>
    </row>
    <row r="330" spans="1:27" ht="23.25" hidden="1" x14ac:dyDescent="0.25">
      <c r="A330" s="12">
        <f>'Actual Dates'!A328</f>
        <v>0</v>
      </c>
      <c r="B330" s="13" t="str">
        <f>_xlfn.IFNA(VLOOKUP(A330,'Date Calcs'!A:B,2,),"")</f>
        <v/>
      </c>
      <c r="C330" s="14">
        <f>VLOOKUP(A330,'Actual Dates'!A:AE,18,)</f>
        <v>0</v>
      </c>
      <c r="D330" s="15">
        <f t="shared" ca="1" si="36"/>
        <v>46115</v>
      </c>
      <c r="E330" s="15">
        <f t="shared" ca="1" si="37"/>
        <v>46115</v>
      </c>
      <c r="F330" s="14">
        <f ca="1">IFERROR(ROUND(IF(A330="","",IF(E330=0,D330-Date!$B$3,D330-E330)),0),"")</f>
        <v>0</v>
      </c>
      <c r="G330" s="14" t="str">
        <f>_xlfn.IFNA(VLOOKUP(A330,'RTR v2'!A:AW,48,FALSE)," ")</f>
        <v/>
      </c>
      <c r="I330" s="16" t="str">
        <f t="shared" si="38"/>
        <v>N</v>
      </c>
      <c r="J330" s="16" t="str">
        <f t="shared" si="40"/>
        <v xml:space="preserve">  </v>
      </c>
      <c r="L330" s="17"/>
      <c r="M330" t="str">
        <f t="shared" si="41"/>
        <v xml:space="preserve"> </v>
      </c>
      <c r="N330">
        <f t="shared" si="42"/>
        <v>0</v>
      </c>
      <c r="O330">
        <f>IF(P330&lt;1,0,IF(VLOOKUP($A330,'Actual Dates'!$A:$G,5,0)="Y",1,0))</f>
        <v>0</v>
      </c>
      <c r="P330">
        <f>IF(Q330&lt;1,0,IF(VLOOKUP($A330,'Actual Dates'!$A:$G,4,0)="Y",1,0))</f>
        <v>0</v>
      </c>
      <c r="Q330">
        <f>IF(R330&lt;1,0,IF(VLOOKUP($A330,'Actual Dates'!$A:$G,3,0)="Y",1,0))</f>
        <v>0</v>
      </c>
      <c r="R330">
        <f>IF(VLOOKUP($A330,'Actual Dates'!$A:$G,2,0)="Y",1,0)</f>
        <v>0</v>
      </c>
      <c r="S330" s="4">
        <f ca="1">_xlfn.IFNA(+VLOOKUP(A330,'Date Calcs'!A:AG,8,),TODAY())</f>
        <v>46115</v>
      </c>
      <c r="T330" s="4">
        <f ca="1">_xlfn.IFNA(VLOOKUP(A330,'Date Calcs'!A:AG,10,),TODAY())</f>
        <v>46115</v>
      </c>
      <c r="U330" s="4">
        <f ca="1">_xlfn.IFNA(+VLOOKUP(A330,'Date Calcs'!A:AG,12,),TODAY())</f>
        <v>46115</v>
      </c>
      <c r="V330" s="4">
        <f ca="1">_xlfn.IFNA(+VLOOKUP(A330,'Date Calcs'!A:AG,14,),TODAY())</f>
        <v>46115</v>
      </c>
      <c r="W330" s="4">
        <f ca="1">_xlfn.IFNA(+VLOOKUP(A330,'Date Calcs'!A:AG,16,),TODAY())</f>
        <v>46115</v>
      </c>
      <c r="X330" s="4">
        <f ca="1">_xlfn.IFNA(IF(C330=0,VLOOKUP(A330,'Date Calcs'!A:AG,8,),IF(C330=1,VLOOKUP(A330,'Date Calcs'!A:AG,10,),IF(C330=2,VLOOKUP(A330,'Date Calcs'!A:AG,12,),IF(C330=3,VLOOKUP(A330,'Date Calcs'!A:AG,14,),4)))),TODAY())</f>
        <v>46115</v>
      </c>
      <c r="Y330" s="4">
        <f t="shared" ca="1" si="39"/>
        <v>46115</v>
      </c>
      <c r="Z330" s="4">
        <f ca="1">_xlfn.IFNA(Y330+(VLOOKUP(A330,'Date Calcs'!A:W,22,0)*7),TODAY())</f>
        <v>46115</v>
      </c>
      <c r="AA330" s="4">
        <f>_xlfn.IFNA(VLOOKUP(A330,'RTR v2'!$A:$AW,46,0),"")</f>
        <v>0</v>
      </c>
    </row>
    <row r="331" spans="1:27" ht="23.25" hidden="1" x14ac:dyDescent="0.25">
      <c r="A331" s="12">
        <f>'Actual Dates'!A329</f>
        <v>0</v>
      </c>
      <c r="B331" s="13" t="str">
        <f>_xlfn.IFNA(VLOOKUP(A331,'Date Calcs'!A:B,2,),"")</f>
        <v/>
      </c>
      <c r="C331" s="14">
        <f>VLOOKUP(A331,'Actual Dates'!A:AE,18,)</f>
        <v>0</v>
      </c>
      <c r="D331" s="15">
        <f t="shared" ca="1" si="36"/>
        <v>46115</v>
      </c>
      <c r="E331" s="15">
        <f t="shared" ca="1" si="37"/>
        <v>46115</v>
      </c>
      <c r="F331" s="14">
        <f ca="1">IFERROR(ROUND(IF(A331="","",IF(E331=0,D331-Date!$B$3,D331-E331)),0),"")</f>
        <v>0</v>
      </c>
      <c r="G331" s="14" t="str">
        <f>_xlfn.IFNA(VLOOKUP(A331,'RTR v2'!A:AW,48,FALSE)," ")</f>
        <v/>
      </c>
      <c r="I331" s="16" t="str">
        <f t="shared" si="38"/>
        <v>N</v>
      </c>
      <c r="J331" s="16" t="str">
        <f t="shared" si="40"/>
        <v xml:space="preserve">  </v>
      </c>
      <c r="L331" s="17"/>
      <c r="M331" t="str">
        <f t="shared" si="41"/>
        <v xml:space="preserve"> </v>
      </c>
      <c r="N331">
        <f t="shared" si="42"/>
        <v>0</v>
      </c>
      <c r="O331">
        <f>IF(P331&lt;1,0,IF(VLOOKUP($A331,'Actual Dates'!$A:$G,5,0)="Y",1,0))</f>
        <v>0</v>
      </c>
      <c r="P331">
        <f>IF(Q331&lt;1,0,IF(VLOOKUP($A331,'Actual Dates'!$A:$G,4,0)="Y",1,0))</f>
        <v>0</v>
      </c>
      <c r="Q331">
        <f>IF(R331&lt;1,0,IF(VLOOKUP($A331,'Actual Dates'!$A:$G,3,0)="Y",1,0))</f>
        <v>0</v>
      </c>
      <c r="R331">
        <f>IF(VLOOKUP($A331,'Actual Dates'!$A:$G,2,0)="Y",1,0)</f>
        <v>0</v>
      </c>
      <c r="S331" s="4">
        <f ca="1">_xlfn.IFNA(+VLOOKUP(A331,'Date Calcs'!A:AG,8,),TODAY())</f>
        <v>46115</v>
      </c>
      <c r="T331" s="4">
        <f ca="1">_xlfn.IFNA(VLOOKUP(A331,'Date Calcs'!A:AG,10,),TODAY())</f>
        <v>46115</v>
      </c>
      <c r="U331" s="4">
        <f ca="1">_xlfn.IFNA(+VLOOKUP(A331,'Date Calcs'!A:AG,12,),TODAY())</f>
        <v>46115</v>
      </c>
      <c r="V331" s="4">
        <f ca="1">_xlfn.IFNA(+VLOOKUP(A331,'Date Calcs'!A:AG,14,),TODAY())</f>
        <v>46115</v>
      </c>
      <c r="W331" s="4">
        <f ca="1">_xlfn.IFNA(+VLOOKUP(A331,'Date Calcs'!A:AG,16,),TODAY())</f>
        <v>46115</v>
      </c>
      <c r="X331" s="4">
        <f ca="1">_xlfn.IFNA(IF(C331=0,VLOOKUP(A331,'Date Calcs'!A:AG,8,),IF(C331=1,VLOOKUP(A331,'Date Calcs'!A:AG,10,),IF(C331=2,VLOOKUP(A331,'Date Calcs'!A:AG,12,),IF(C331=3,VLOOKUP(A331,'Date Calcs'!A:AG,14,),4)))),TODAY())</f>
        <v>46115</v>
      </c>
      <c r="Y331" s="4">
        <f t="shared" ca="1" si="39"/>
        <v>46115</v>
      </c>
      <c r="Z331" s="4">
        <f ca="1">_xlfn.IFNA(Y331+(VLOOKUP(A331,'Date Calcs'!A:W,22,0)*7),TODAY())</f>
        <v>46115</v>
      </c>
      <c r="AA331" s="4">
        <f>_xlfn.IFNA(VLOOKUP(A331,'RTR v2'!$A:$AW,46,0),"")</f>
        <v>0</v>
      </c>
    </row>
    <row r="332" spans="1:27" ht="23.25" hidden="1" x14ac:dyDescent="0.25">
      <c r="A332" s="12">
        <f>'Actual Dates'!A330</f>
        <v>0</v>
      </c>
      <c r="B332" s="13" t="str">
        <f>_xlfn.IFNA(VLOOKUP(A332,'Date Calcs'!A:B,2,),"")</f>
        <v/>
      </c>
      <c r="C332" s="14">
        <f>VLOOKUP(A332,'Actual Dates'!A:AE,18,)</f>
        <v>0</v>
      </c>
      <c r="D332" s="15">
        <f t="shared" ca="1" si="36"/>
        <v>46115</v>
      </c>
      <c r="E332" s="15">
        <f t="shared" ca="1" si="37"/>
        <v>46115</v>
      </c>
      <c r="F332" s="14">
        <f ca="1">IFERROR(ROUND(IF(A332="","",IF(E332=0,D332-Date!$B$3,D332-E332)),0),"")</f>
        <v>0</v>
      </c>
      <c r="G332" s="14" t="str">
        <f>_xlfn.IFNA(VLOOKUP(A332,'RTR v2'!A:AW,48,FALSE)," ")</f>
        <v/>
      </c>
      <c r="I332" s="16" t="str">
        <f t="shared" si="38"/>
        <v>N</v>
      </c>
      <c r="J332" s="16" t="str">
        <f t="shared" si="40"/>
        <v xml:space="preserve">  </v>
      </c>
      <c r="L332" s="17"/>
      <c r="M332" t="str">
        <f t="shared" si="41"/>
        <v xml:space="preserve"> </v>
      </c>
      <c r="N332">
        <f t="shared" si="42"/>
        <v>0</v>
      </c>
      <c r="O332">
        <f>IF(P332&lt;1,0,IF(VLOOKUP($A332,'Actual Dates'!$A:$G,5,0)="Y",1,0))</f>
        <v>0</v>
      </c>
      <c r="P332">
        <f>IF(Q332&lt;1,0,IF(VLOOKUP($A332,'Actual Dates'!$A:$G,4,0)="Y",1,0))</f>
        <v>0</v>
      </c>
      <c r="Q332">
        <f>IF(R332&lt;1,0,IF(VLOOKUP($A332,'Actual Dates'!$A:$G,3,0)="Y",1,0))</f>
        <v>0</v>
      </c>
      <c r="R332">
        <f>IF(VLOOKUP($A332,'Actual Dates'!$A:$G,2,0)="Y",1,0)</f>
        <v>0</v>
      </c>
      <c r="S332" s="4">
        <f ca="1">_xlfn.IFNA(+VLOOKUP(A332,'Date Calcs'!A:AG,8,),TODAY())</f>
        <v>46115</v>
      </c>
      <c r="T332" s="4">
        <f ca="1">_xlfn.IFNA(VLOOKUP(A332,'Date Calcs'!A:AG,10,),TODAY())</f>
        <v>46115</v>
      </c>
      <c r="U332" s="4">
        <f ca="1">_xlfn.IFNA(+VLOOKUP(A332,'Date Calcs'!A:AG,12,),TODAY())</f>
        <v>46115</v>
      </c>
      <c r="V332" s="4">
        <f ca="1">_xlfn.IFNA(+VLOOKUP(A332,'Date Calcs'!A:AG,14,),TODAY())</f>
        <v>46115</v>
      </c>
      <c r="W332" s="4">
        <f ca="1">_xlfn.IFNA(+VLOOKUP(A332,'Date Calcs'!A:AG,16,),TODAY())</f>
        <v>46115</v>
      </c>
      <c r="X332" s="4">
        <f ca="1">_xlfn.IFNA(IF(C332=0,VLOOKUP(A332,'Date Calcs'!A:AG,8,),IF(C332=1,VLOOKUP(A332,'Date Calcs'!A:AG,10,),IF(C332=2,VLOOKUP(A332,'Date Calcs'!A:AG,12,),IF(C332=3,VLOOKUP(A332,'Date Calcs'!A:AG,14,),4)))),TODAY())</f>
        <v>46115</v>
      </c>
      <c r="Y332" s="4">
        <f t="shared" ca="1" si="39"/>
        <v>46115</v>
      </c>
      <c r="Z332" s="4">
        <f ca="1">_xlfn.IFNA(Y332+(VLOOKUP(A332,'Date Calcs'!A:W,22,0)*7),TODAY())</f>
        <v>46115</v>
      </c>
      <c r="AA332" s="4">
        <f>_xlfn.IFNA(VLOOKUP(A332,'RTR v2'!$A:$AW,46,0),"")</f>
        <v>0</v>
      </c>
    </row>
    <row r="333" spans="1:27" ht="23.25" hidden="1" x14ac:dyDescent="0.25">
      <c r="A333" s="12">
        <f>'Actual Dates'!A331</f>
        <v>0</v>
      </c>
      <c r="B333" s="13" t="str">
        <f>_xlfn.IFNA(VLOOKUP(A333,'Date Calcs'!A:B,2,),"")</f>
        <v/>
      </c>
      <c r="C333" s="14">
        <f>VLOOKUP(A333,'Actual Dates'!A:AE,18,)</f>
        <v>0</v>
      </c>
      <c r="D333" s="15">
        <f t="shared" ca="1" si="36"/>
        <v>46115</v>
      </c>
      <c r="E333" s="15">
        <f t="shared" ca="1" si="37"/>
        <v>46115</v>
      </c>
      <c r="F333" s="14">
        <f ca="1">IFERROR(ROUND(IF(A333="","",IF(E333=0,D333-Date!$B$3,D333-E333)),0),"")</f>
        <v>0</v>
      </c>
      <c r="G333" s="14" t="str">
        <f>_xlfn.IFNA(VLOOKUP(A333,'RTR v2'!A:AW,48,FALSE)," ")</f>
        <v/>
      </c>
      <c r="I333" s="16" t="str">
        <f t="shared" si="38"/>
        <v>N</v>
      </c>
      <c r="J333" s="16" t="str">
        <f t="shared" si="40"/>
        <v xml:space="preserve">  </v>
      </c>
      <c r="L333" s="17"/>
      <c r="M333" t="str">
        <f t="shared" si="41"/>
        <v xml:space="preserve"> </v>
      </c>
      <c r="N333">
        <f t="shared" si="42"/>
        <v>0</v>
      </c>
      <c r="O333">
        <f>IF(P333&lt;1,0,IF(VLOOKUP($A333,'Actual Dates'!$A:$G,5,0)="Y",1,0))</f>
        <v>0</v>
      </c>
      <c r="P333">
        <f>IF(Q333&lt;1,0,IF(VLOOKUP($A333,'Actual Dates'!$A:$G,4,0)="Y",1,0))</f>
        <v>0</v>
      </c>
      <c r="Q333">
        <f>IF(R333&lt;1,0,IF(VLOOKUP($A333,'Actual Dates'!$A:$G,3,0)="Y",1,0))</f>
        <v>0</v>
      </c>
      <c r="R333">
        <f>IF(VLOOKUP($A333,'Actual Dates'!$A:$G,2,0)="Y",1,0)</f>
        <v>0</v>
      </c>
      <c r="S333" s="4">
        <f ca="1">_xlfn.IFNA(+VLOOKUP(A333,'Date Calcs'!A:AG,8,),TODAY())</f>
        <v>46115</v>
      </c>
      <c r="T333" s="4">
        <f ca="1">_xlfn.IFNA(VLOOKUP(A333,'Date Calcs'!A:AG,10,),TODAY())</f>
        <v>46115</v>
      </c>
      <c r="U333" s="4">
        <f ca="1">_xlfn.IFNA(+VLOOKUP(A333,'Date Calcs'!A:AG,12,),TODAY())</f>
        <v>46115</v>
      </c>
      <c r="V333" s="4">
        <f ca="1">_xlfn.IFNA(+VLOOKUP(A333,'Date Calcs'!A:AG,14,),TODAY())</f>
        <v>46115</v>
      </c>
      <c r="W333" s="4">
        <f ca="1">_xlfn.IFNA(+VLOOKUP(A333,'Date Calcs'!A:AG,16,),TODAY())</f>
        <v>46115</v>
      </c>
      <c r="X333" s="4">
        <f ca="1">_xlfn.IFNA(IF(C333=0,VLOOKUP(A333,'Date Calcs'!A:AG,8,),IF(C333=1,VLOOKUP(A333,'Date Calcs'!A:AG,10,),IF(C333=2,VLOOKUP(A333,'Date Calcs'!A:AG,12,),IF(C333=3,VLOOKUP(A333,'Date Calcs'!A:AG,14,),4)))),TODAY())</f>
        <v>46115</v>
      </c>
      <c r="Y333" s="4">
        <f t="shared" ca="1" si="39"/>
        <v>46115</v>
      </c>
      <c r="Z333" s="4">
        <f ca="1">_xlfn.IFNA(Y333+(VLOOKUP(A333,'Date Calcs'!A:W,22,0)*7),TODAY())</f>
        <v>46115</v>
      </c>
      <c r="AA333" s="4">
        <f>_xlfn.IFNA(VLOOKUP(A333,'RTR v2'!$A:$AW,46,0),"")</f>
        <v>0</v>
      </c>
    </row>
    <row r="334" spans="1:27" ht="23.25" hidden="1" x14ac:dyDescent="0.25">
      <c r="A334" s="12">
        <f>'Actual Dates'!A332</f>
        <v>0</v>
      </c>
      <c r="B334" s="13" t="str">
        <f>_xlfn.IFNA(VLOOKUP(A334,'Date Calcs'!A:B,2,),"")</f>
        <v/>
      </c>
      <c r="C334" s="14">
        <f>VLOOKUP(A334,'Actual Dates'!A:AE,18,)</f>
        <v>0</v>
      </c>
      <c r="D334" s="15">
        <f t="shared" ca="1" si="36"/>
        <v>46115</v>
      </c>
      <c r="E334" s="15">
        <f t="shared" ca="1" si="37"/>
        <v>46115</v>
      </c>
      <c r="F334" s="14">
        <f ca="1">IFERROR(ROUND(IF(A334="","",IF(E334=0,D334-Date!$B$3,D334-E334)),0),"")</f>
        <v>0</v>
      </c>
      <c r="G334" s="14" t="str">
        <f>_xlfn.IFNA(VLOOKUP(A334,'RTR v2'!A:AW,48,FALSE)," ")</f>
        <v/>
      </c>
      <c r="I334" s="16" t="str">
        <f t="shared" si="38"/>
        <v>N</v>
      </c>
      <c r="J334" s="16" t="str">
        <f t="shared" si="40"/>
        <v xml:space="preserve">  </v>
      </c>
      <c r="L334" s="17"/>
      <c r="M334" t="str">
        <f t="shared" si="41"/>
        <v xml:space="preserve"> </v>
      </c>
      <c r="N334">
        <f t="shared" si="42"/>
        <v>0</v>
      </c>
      <c r="O334">
        <f>IF(P334&lt;1,0,IF(VLOOKUP($A334,'Actual Dates'!$A:$G,5,0)="Y",1,0))</f>
        <v>0</v>
      </c>
      <c r="P334">
        <f>IF(Q334&lt;1,0,IF(VLOOKUP($A334,'Actual Dates'!$A:$G,4,0)="Y",1,0))</f>
        <v>0</v>
      </c>
      <c r="Q334">
        <f>IF(R334&lt;1,0,IF(VLOOKUP($A334,'Actual Dates'!$A:$G,3,0)="Y",1,0))</f>
        <v>0</v>
      </c>
      <c r="R334">
        <f>IF(VLOOKUP($A334,'Actual Dates'!$A:$G,2,0)="Y",1,0)</f>
        <v>0</v>
      </c>
      <c r="S334" s="4">
        <f ca="1">_xlfn.IFNA(+VLOOKUP(A334,'Date Calcs'!A:AG,8,),TODAY())</f>
        <v>46115</v>
      </c>
      <c r="T334" s="4">
        <f ca="1">_xlfn.IFNA(VLOOKUP(A334,'Date Calcs'!A:AG,10,),TODAY())</f>
        <v>46115</v>
      </c>
      <c r="U334" s="4">
        <f ca="1">_xlfn.IFNA(+VLOOKUP(A334,'Date Calcs'!A:AG,12,),TODAY())</f>
        <v>46115</v>
      </c>
      <c r="V334" s="4">
        <f ca="1">_xlfn.IFNA(+VLOOKUP(A334,'Date Calcs'!A:AG,14,),TODAY())</f>
        <v>46115</v>
      </c>
      <c r="W334" s="4">
        <f ca="1">_xlfn.IFNA(+VLOOKUP(A334,'Date Calcs'!A:AG,16,),TODAY())</f>
        <v>46115</v>
      </c>
      <c r="X334" s="4">
        <f ca="1">_xlfn.IFNA(IF(C334=0,VLOOKUP(A334,'Date Calcs'!A:AG,8,),IF(C334=1,VLOOKUP(A334,'Date Calcs'!A:AG,10,),IF(C334=2,VLOOKUP(A334,'Date Calcs'!A:AG,12,),IF(C334=3,VLOOKUP(A334,'Date Calcs'!A:AG,14,),4)))),TODAY())</f>
        <v>46115</v>
      </c>
      <c r="Y334" s="4">
        <f t="shared" ca="1" si="39"/>
        <v>46115</v>
      </c>
      <c r="Z334" s="4">
        <f ca="1">_xlfn.IFNA(Y334+(VLOOKUP(A334,'Date Calcs'!A:W,22,0)*7),TODAY())</f>
        <v>46115</v>
      </c>
      <c r="AA334" s="4">
        <f>_xlfn.IFNA(VLOOKUP(A334,'RTR v2'!$A:$AW,46,0),"")</f>
        <v>0</v>
      </c>
    </row>
    <row r="335" spans="1:27" ht="23.25" hidden="1" x14ac:dyDescent="0.25">
      <c r="A335" s="12">
        <f>'Actual Dates'!A333</f>
        <v>0</v>
      </c>
      <c r="B335" s="13" t="str">
        <f>_xlfn.IFNA(VLOOKUP(A335,'Date Calcs'!A:B,2,),"")</f>
        <v/>
      </c>
      <c r="C335" s="14">
        <f>VLOOKUP(A335,'Actual Dates'!A:AE,18,)</f>
        <v>0</v>
      </c>
      <c r="D335" s="15">
        <f t="shared" ca="1" si="36"/>
        <v>46115</v>
      </c>
      <c r="E335" s="15">
        <f t="shared" ca="1" si="37"/>
        <v>46115</v>
      </c>
      <c r="F335" s="14">
        <f ca="1">IFERROR(ROUND(IF(A335="","",IF(E335=0,D335-Date!$B$3,D335-E335)),0),"")</f>
        <v>0</v>
      </c>
      <c r="G335" s="14" t="str">
        <f>_xlfn.IFNA(VLOOKUP(A335,'RTR v2'!A:AW,48,FALSE)," ")</f>
        <v/>
      </c>
      <c r="I335" s="16" t="str">
        <f t="shared" si="38"/>
        <v>N</v>
      </c>
      <c r="J335" s="16" t="str">
        <f t="shared" si="40"/>
        <v xml:space="preserve">  </v>
      </c>
      <c r="L335" s="17"/>
      <c r="M335" t="str">
        <f t="shared" si="41"/>
        <v xml:space="preserve"> </v>
      </c>
      <c r="N335">
        <f t="shared" si="42"/>
        <v>0</v>
      </c>
      <c r="O335">
        <f>IF(P335&lt;1,0,IF(VLOOKUP($A335,'Actual Dates'!$A:$G,5,0)="Y",1,0))</f>
        <v>0</v>
      </c>
      <c r="P335">
        <f>IF(Q335&lt;1,0,IF(VLOOKUP($A335,'Actual Dates'!$A:$G,4,0)="Y",1,0))</f>
        <v>0</v>
      </c>
      <c r="Q335">
        <f>IF(R335&lt;1,0,IF(VLOOKUP($A335,'Actual Dates'!$A:$G,3,0)="Y",1,0))</f>
        <v>0</v>
      </c>
      <c r="R335">
        <f>IF(VLOOKUP($A335,'Actual Dates'!$A:$G,2,0)="Y",1,0)</f>
        <v>0</v>
      </c>
      <c r="S335" s="4">
        <f ca="1">_xlfn.IFNA(+VLOOKUP(A335,'Date Calcs'!A:AG,8,),TODAY())</f>
        <v>46115</v>
      </c>
      <c r="T335" s="4">
        <f ca="1">_xlfn.IFNA(VLOOKUP(A335,'Date Calcs'!A:AG,10,),TODAY())</f>
        <v>46115</v>
      </c>
      <c r="U335" s="4">
        <f ca="1">_xlfn.IFNA(+VLOOKUP(A335,'Date Calcs'!A:AG,12,),TODAY())</f>
        <v>46115</v>
      </c>
      <c r="V335" s="4">
        <f ca="1">_xlfn.IFNA(+VLOOKUP(A335,'Date Calcs'!A:AG,14,),TODAY())</f>
        <v>46115</v>
      </c>
      <c r="W335" s="4">
        <f ca="1">_xlfn.IFNA(+VLOOKUP(A335,'Date Calcs'!A:AG,16,),TODAY())</f>
        <v>46115</v>
      </c>
      <c r="X335" s="4">
        <f ca="1">_xlfn.IFNA(IF(C335=0,VLOOKUP(A335,'Date Calcs'!A:AG,8,),IF(C335=1,VLOOKUP(A335,'Date Calcs'!A:AG,10,),IF(C335=2,VLOOKUP(A335,'Date Calcs'!A:AG,12,),IF(C335=3,VLOOKUP(A335,'Date Calcs'!A:AG,14,),4)))),TODAY())</f>
        <v>46115</v>
      </c>
      <c r="Y335" s="4">
        <f t="shared" ca="1" si="39"/>
        <v>46115</v>
      </c>
      <c r="Z335" s="4">
        <f ca="1">_xlfn.IFNA(Y335+(VLOOKUP(A335,'Date Calcs'!A:W,22,0)*7),TODAY())</f>
        <v>46115</v>
      </c>
      <c r="AA335" s="4">
        <f>_xlfn.IFNA(VLOOKUP(A335,'RTR v2'!$A:$AW,46,0),"")</f>
        <v>0</v>
      </c>
    </row>
    <row r="336" spans="1:27" ht="23.25" hidden="1" x14ac:dyDescent="0.25">
      <c r="A336" s="12">
        <f>'Actual Dates'!A334</f>
        <v>0</v>
      </c>
      <c r="B336" s="13" t="str">
        <f>_xlfn.IFNA(VLOOKUP(A336,'Date Calcs'!A:B,2,),"")</f>
        <v/>
      </c>
      <c r="C336" s="14">
        <f>VLOOKUP(A336,'Actual Dates'!A:AE,18,)</f>
        <v>0</v>
      </c>
      <c r="D336" s="15">
        <f t="shared" ca="1" si="36"/>
        <v>46115</v>
      </c>
      <c r="E336" s="15">
        <f t="shared" ca="1" si="37"/>
        <v>46115</v>
      </c>
      <c r="F336" s="14">
        <f ca="1">IFERROR(ROUND(IF(A336="","",IF(E336=0,D336-Date!$B$3,D336-E336)),0),"")</f>
        <v>0</v>
      </c>
      <c r="G336" s="14" t="str">
        <f>_xlfn.IFNA(VLOOKUP(A336,'RTR v2'!A:AW,48,FALSE)," ")</f>
        <v/>
      </c>
      <c r="I336" s="16" t="str">
        <f t="shared" si="38"/>
        <v>N</v>
      </c>
      <c r="J336" s="16" t="str">
        <f t="shared" si="40"/>
        <v xml:space="preserve">  </v>
      </c>
      <c r="L336" s="17"/>
      <c r="M336" t="str">
        <f t="shared" si="41"/>
        <v xml:space="preserve"> </v>
      </c>
      <c r="N336">
        <f t="shared" si="42"/>
        <v>0</v>
      </c>
      <c r="O336">
        <f>IF(P336&lt;1,0,IF(VLOOKUP($A336,'Actual Dates'!$A:$G,5,0)="Y",1,0))</f>
        <v>0</v>
      </c>
      <c r="P336">
        <f>IF(Q336&lt;1,0,IF(VLOOKUP($A336,'Actual Dates'!$A:$G,4,0)="Y",1,0))</f>
        <v>0</v>
      </c>
      <c r="Q336">
        <f>IF(R336&lt;1,0,IF(VLOOKUP($A336,'Actual Dates'!$A:$G,3,0)="Y",1,0))</f>
        <v>0</v>
      </c>
      <c r="R336">
        <f>IF(VLOOKUP($A336,'Actual Dates'!$A:$G,2,0)="Y",1,0)</f>
        <v>0</v>
      </c>
      <c r="S336" s="4">
        <f ca="1">_xlfn.IFNA(+VLOOKUP(A336,'Date Calcs'!A:AG,8,),TODAY())</f>
        <v>46115</v>
      </c>
      <c r="T336" s="4">
        <f ca="1">_xlfn.IFNA(VLOOKUP(A336,'Date Calcs'!A:AG,10,),TODAY())</f>
        <v>46115</v>
      </c>
      <c r="U336" s="4">
        <f ca="1">_xlfn.IFNA(+VLOOKUP(A336,'Date Calcs'!A:AG,12,),TODAY())</f>
        <v>46115</v>
      </c>
      <c r="V336" s="4">
        <f ca="1">_xlfn.IFNA(+VLOOKUP(A336,'Date Calcs'!A:AG,14,),TODAY())</f>
        <v>46115</v>
      </c>
      <c r="W336" s="4">
        <f ca="1">_xlfn.IFNA(+VLOOKUP(A336,'Date Calcs'!A:AG,16,),TODAY())</f>
        <v>46115</v>
      </c>
      <c r="X336" s="4">
        <f ca="1">_xlfn.IFNA(IF(C336=0,VLOOKUP(A336,'Date Calcs'!A:AG,8,),IF(C336=1,VLOOKUP(A336,'Date Calcs'!A:AG,10,),IF(C336=2,VLOOKUP(A336,'Date Calcs'!A:AG,12,),IF(C336=3,VLOOKUP(A336,'Date Calcs'!A:AG,14,),4)))),TODAY())</f>
        <v>46115</v>
      </c>
      <c r="Y336" s="4">
        <f t="shared" ca="1" si="39"/>
        <v>46115</v>
      </c>
      <c r="Z336" s="4">
        <f ca="1">_xlfn.IFNA(Y336+(VLOOKUP(A336,'Date Calcs'!A:W,22,0)*7),TODAY())</f>
        <v>46115</v>
      </c>
      <c r="AA336" s="4">
        <f>_xlfn.IFNA(VLOOKUP(A336,'RTR v2'!$A:$AW,46,0),"")</f>
        <v>0</v>
      </c>
    </row>
    <row r="337" spans="1:27" ht="23.25" hidden="1" x14ac:dyDescent="0.25">
      <c r="A337" s="12">
        <f>'Actual Dates'!A335</f>
        <v>0</v>
      </c>
      <c r="B337" s="13" t="str">
        <f>_xlfn.IFNA(VLOOKUP(A337,'Date Calcs'!A:B,2,),"")</f>
        <v/>
      </c>
      <c r="C337" s="14">
        <f>VLOOKUP(A337,'Actual Dates'!A:AE,18,)</f>
        <v>0</v>
      </c>
      <c r="D337" s="15">
        <f t="shared" ca="1" si="36"/>
        <v>46115</v>
      </c>
      <c r="E337" s="15">
        <f t="shared" ca="1" si="37"/>
        <v>46115</v>
      </c>
      <c r="F337" s="14">
        <f ca="1">IFERROR(ROUND(IF(A337="","",IF(E337=0,D337-Date!$B$3,D337-E337)),0),"")</f>
        <v>0</v>
      </c>
      <c r="G337" s="14" t="str">
        <f>_xlfn.IFNA(VLOOKUP(A337,'RTR v2'!A:AW,48,FALSE)," ")</f>
        <v/>
      </c>
      <c r="I337" s="16" t="str">
        <f t="shared" si="38"/>
        <v>N</v>
      </c>
      <c r="J337" s="16" t="str">
        <f t="shared" si="40"/>
        <v xml:space="preserve">  </v>
      </c>
      <c r="L337" s="17"/>
      <c r="M337" t="str">
        <f t="shared" si="41"/>
        <v xml:space="preserve"> </v>
      </c>
      <c r="N337">
        <f t="shared" si="42"/>
        <v>0</v>
      </c>
      <c r="O337">
        <f>IF(P337&lt;1,0,IF(VLOOKUP($A337,'Actual Dates'!$A:$G,5,0)="Y",1,0))</f>
        <v>0</v>
      </c>
      <c r="P337">
        <f>IF(Q337&lt;1,0,IF(VLOOKUP($A337,'Actual Dates'!$A:$G,4,0)="Y",1,0))</f>
        <v>0</v>
      </c>
      <c r="Q337">
        <f>IF(R337&lt;1,0,IF(VLOOKUP($A337,'Actual Dates'!$A:$G,3,0)="Y",1,0))</f>
        <v>0</v>
      </c>
      <c r="R337">
        <f>IF(VLOOKUP($A337,'Actual Dates'!$A:$G,2,0)="Y",1,0)</f>
        <v>0</v>
      </c>
      <c r="S337" s="4">
        <f ca="1">_xlfn.IFNA(+VLOOKUP(A337,'Date Calcs'!A:AG,8,),TODAY())</f>
        <v>46115</v>
      </c>
      <c r="T337" s="4">
        <f ca="1">_xlfn.IFNA(VLOOKUP(A337,'Date Calcs'!A:AG,10,),TODAY())</f>
        <v>46115</v>
      </c>
      <c r="U337" s="4">
        <f ca="1">_xlfn.IFNA(+VLOOKUP(A337,'Date Calcs'!A:AG,12,),TODAY())</f>
        <v>46115</v>
      </c>
      <c r="V337" s="4">
        <f ca="1">_xlfn.IFNA(+VLOOKUP(A337,'Date Calcs'!A:AG,14,),TODAY())</f>
        <v>46115</v>
      </c>
      <c r="W337" s="4">
        <f ca="1">_xlfn.IFNA(+VLOOKUP(A337,'Date Calcs'!A:AG,16,),TODAY())</f>
        <v>46115</v>
      </c>
      <c r="X337" s="4">
        <f ca="1">_xlfn.IFNA(IF(C337=0,VLOOKUP(A337,'Date Calcs'!A:AG,8,),IF(C337=1,VLOOKUP(A337,'Date Calcs'!A:AG,10,),IF(C337=2,VLOOKUP(A337,'Date Calcs'!A:AG,12,),IF(C337=3,VLOOKUP(A337,'Date Calcs'!A:AG,14,),4)))),TODAY())</f>
        <v>46115</v>
      </c>
      <c r="Y337" s="4">
        <f t="shared" ca="1" si="39"/>
        <v>46115</v>
      </c>
      <c r="Z337" s="4">
        <f ca="1">_xlfn.IFNA(Y337+(VLOOKUP(A337,'Date Calcs'!A:W,22,0)*7),TODAY())</f>
        <v>46115</v>
      </c>
      <c r="AA337" s="4">
        <f>_xlfn.IFNA(VLOOKUP(A337,'RTR v2'!$A:$AW,46,0),"")</f>
        <v>0</v>
      </c>
    </row>
    <row r="338" spans="1:27" ht="23.25" hidden="1" x14ac:dyDescent="0.25">
      <c r="A338" s="12">
        <f>'Actual Dates'!A336</f>
        <v>0</v>
      </c>
      <c r="B338" s="13" t="str">
        <f>_xlfn.IFNA(VLOOKUP(A338,'Date Calcs'!A:B,2,),"")</f>
        <v/>
      </c>
      <c r="C338" s="14">
        <f>VLOOKUP(A338,'Actual Dates'!A:AE,18,)</f>
        <v>0</v>
      </c>
      <c r="D338" s="15">
        <f t="shared" ca="1" si="36"/>
        <v>46115</v>
      </c>
      <c r="E338" s="15">
        <f t="shared" ca="1" si="37"/>
        <v>46115</v>
      </c>
      <c r="F338" s="14">
        <f ca="1">IFERROR(ROUND(IF(A338="","",IF(E338=0,D338-Date!$B$3,D338-E338)),0),"")</f>
        <v>0</v>
      </c>
      <c r="G338" s="14" t="str">
        <f>_xlfn.IFNA(VLOOKUP(A338,'RTR v2'!A:AW,48,FALSE)," ")</f>
        <v/>
      </c>
      <c r="I338" s="16" t="str">
        <f t="shared" si="38"/>
        <v>N</v>
      </c>
      <c r="J338" s="16" t="str">
        <f t="shared" si="40"/>
        <v xml:space="preserve">  </v>
      </c>
      <c r="L338" s="17"/>
      <c r="M338" t="str">
        <f t="shared" si="41"/>
        <v xml:space="preserve"> </v>
      </c>
      <c r="N338">
        <f t="shared" si="42"/>
        <v>0</v>
      </c>
      <c r="O338">
        <f>IF(P338&lt;1,0,IF(VLOOKUP($A338,'Actual Dates'!$A:$G,5,0)="Y",1,0))</f>
        <v>0</v>
      </c>
      <c r="P338">
        <f>IF(Q338&lt;1,0,IF(VLOOKUP($A338,'Actual Dates'!$A:$G,4,0)="Y",1,0))</f>
        <v>0</v>
      </c>
      <c r="Q338">
        <f>IF(R338&lt;1,0,IF(VLOOKUP($A338,'Actual Dates'!$A:$G,3,0)="Y",1,0))</f>
        <v>0</v>
      </c>
      <c r="R338">
        <f>IF(VLOOKUP($A338,'Actual Dates'!$A:$G,2,0)="Y",1,0)</f>
        <v>0</v>
      </c>
      <c r="S338" s="4">
        <f ca="1">_xlfn.IFNA(+VLOOKUP(A338,'Date Calcs'!A:AG,8,),TODAY())</f>
        <v>46115</v>
      </c>
      <c r="T338" s="4">
        <f ca="1">_xlfn.IFNA(VLOOKUP(A338,'Date Calcs'!A:AG,10,),TODAY())</f>
        <v>46115</v>
      </c>
      <c r="U338" s="4">
        <f ca="1">_xlfn.IFNA(+VLOOKUP(A338,'Date Calcs'!A:AG,12,),TODAY())</f>
        <v>46115</v>
      </c>
      <c r="V338" s="4">
        <f ca="1">_xlfn.IFNA(+VLOOKUP(A338,'Date Calcs'!A:AG,14,),TODAY())</f>
        <v>46115</v>
      </c>
      <c r="W338" s="4">
        <f ca="1">_xlfn.IFNA(+VLOOKUP(A338,'Date Calcs'!A:AG,16,),TODAY())</f>
        <v>46115</v>
      </c>
      <c r="X338" s="4">
        <f ca="1">_xlfn.IFNA(IF(C338=0,VLOOKUP(A338,'Date Calcs'!A:AG,8,),IF(C338=1,VLOOKUP(A338,'Date Calcs'!A:AG,10,),IF(C338=2,VLOOKUP(A338,'Date Calcs'!A:AG,12,),IF(C338=3,VLOOKUP(A338,'Date Calcs'!A:AG,14,),4)))),TODAY())</f>
        <v>46115</v>
      </c>
      <c r="Y338" s="4">
        <f t="shared" ca="1" si="39"/>
        <v>46115</v>
      </c>
      <c r="Z338" s="4">
        <f ca="1">_xlfn.IFNA(Y338+(VLOOKUP(A338,'Date Calcs'!A:W,22,0)*7),TODAY())</f>
        <v>46115</v>
      </c>
      <c r="AA338" s="4">
        <f>_xlfn.IFNA(VLOOKUP(A338,'RTR v2'!$A:$AW,46,0),"")</f>
        <v>0</v>
      </c>
    </row>
    <row r="339" spans="1:27" ht="23.25" hidden="1" x14ac:dyDescent="0.25">
      <c r="A339" s="12">
        <f>'Actual Dates'!A337</f>
        <v>0</v>
      </c>
      <c r="B339" s="13" t="str">
        <f>_xlfn.IFNA(VLOOKUP(A339,'Date Calcs'!A:B,2,),"")</f>
        <v/>
      </c>
      <c r="C339" s="14">
        <f>VLOOKUP(A339,'Actual Dates'!A:AE,18,)</f>
        <v>0</v>
      </c>
      <c r="D339" s="15">
        <f t="shared" ca="1" si="36"/>
        <v>46115</v>
      </c>
      <c r="E339" s="15">
        <f t="shared" ca="1" si="37"/>
        <v>46115</v>
      </c>
      <c r="F339" s="14">
        <f ca="1">IFERROR(ROUND(IF(A339="","",IF(E339=0,D339-Date!$B$3,D339-E339)),0),"")</f>
        <v>0</v>
      </c>
      <c r="G339" s="14" t="str">
        <f>_xlfn.IFNA(VLOOKUP(A339,'RTR v2'!A:AW,48,FALSE)," ")</f>
        <v/>
      </c>
      <c r="I339" s="16" t="str">
        <f t="shared" si="38"/>
        <v>N</v>
      </c>
      <c r="J339" s="16" t="str">
        <f t="shared" si="40"/>
        <v xml:space="preserve">  </v>
      </c>
      <c r="L339" s="17"/>
      <c r="M339" t="str">
        <f t="shared" si="41"/>
        <v xml:space="preserve"> </v>
      </c>
      <c r="N339">
        <f t="shared" si="42"/>
        <v>0</v>
      </c>
      <c r="O339">
        <f>IF(P339&lt;1,0,IF(VLOOKUP($A339,'Actual Dates'!$A:$G,5,0)="Y",1,0))</f>
        <v>0</v>
      </c>
      <c r="P339">
        <f>IF(Q339&lt;1,0,IF(VLOOKUP($A339,'Actual Dates'!$A:$G,4,0)="Y",1,0))</f>
        <v>0</v>
      </c>
      <c r="Q339">
        <f>IF(R339&lt;1,0,IF(VLOOKUP($A339,'Actual Dates'!$A:$G,3,0)="Y",1,0))</f>
        <v>0</v>
      </c>
      <c r="R339">
        <f>IF(VLOOKUP($A339,'Actual Dates'!$A:$G,2,0)="Y",1,0)</f>
        <v>0</v>
      </c>
      <c r="S339" s="4">
        <f ca="1">_xlfn.IFNA(+VLOOKUP(A339,'Date Calcs'!A:AG,8,),TODAY())</f>
        <v>46115</v>
      </c>
      <c r="T339" s="4">
        <f ca="1">_xlfn.IFNA(VLOOKUP(A339,'Date Calcs'!A:AG,10,),TODAY())</f>
        <v>46115</v>
      </c>
      <c r="U339" s="4">
        <f ca="1">_xlfn.IFNA(+VLOOKUP(A339,'Date Calcs'!A:AG,12,),TODAY())</f>
        <v>46115</v>
      </c>
      <c r="V339" s="4">
        <f ca="1">_xlfn.IFNA(+VLOOKUP(A339,'Date Calcs'!A:AG,14,),TODAY())</f>
        <v>46115</v>
      </c>
      <c r="W339" s="4">
        <f ca="1">_xlfn.IFNA(+VLOOKUP(A339,'Date Calcs'!A:AG,16,),TODAY())</f>
        <v>46115</v>
      </c>
      <c r="X339" s="4">
        <f ca="1">_xlfn.IFNA(IF(C339=0,VLOOKUP(A339,'Date Calcs'!A:AG,8,),IF(C339=1,VLOOKUP(A339,'Date Calcs'!A:AG,10,),IF(C339=2,VLOOKUP(A339,'Date Calcs'!A:AG,12,),IF(C339=3,VLOOKUP(A339,'Date Calcs'!A:AG,14,),4)))),TODAY())</f>
        <v>46115</v>
      </c>
      <c r="Y339" s="4">
        <f t="shared" ca="1" si="39"/>
        <v>46115</v>
      </c>
      <c r="Z339" s="4">
        <f ca="1">_xlfn.IFNA(Y339+(VLOOKUP(A339,'Date Calcs'!A:W,22,0)*7),TODAY())</f>
        <v>46115</v>
      </c>
      <c r="AA339" s="4">
        <f>_xlfn.IFNA(VLOOKUP(A339,'RTR v2'!$A:$AW,46,0),"")</f>
        <v>0</v>
      </c>
    </row>
    <row r="340" spans="1:27" ht="23.25" hidden="1" x14ac:dyDescent="0.25">
      <c r="A340" s="12">
        <f>'Actual Dates'!A338</f>
        <v>0</v>
      </c>
      <c r="B340" s="13" t="str">
        <f>_xlfn.IFNA(VLOOKUP(A340,'Date Calcs'!A:B,2,),"")</f>
        <v/>
      </c>
      <c r="C340" s="14">
        <f>VLOOKUP(A340,'Actual Dates'!A:AE,18,)</f>
        <v>0</v>
      </c>
      <c r="D340" s="15">
        <f t="shared" ca="1" si="36"/>
        <v>46115</v>
      </c>
      <c r="E340" s="15">
        <f t="shared" ca="1" si="37"/>
        <v>46115</v>
      </c>
      <c r="F340" s="14">
        <f ca="1">IFERROR(ROUND(IF(A340="","",IF(E340=0,D340-Date!$B$3,D340-E340)),0),"")</f>
        <v>0</v>
      </c>
      <c r="G340" s="14" t="str">
        <f>_xlfn.IFNA(VLOOKUP(A340,'RTR v2'!A:AW,48,FALSE)," ")</f>
        <v/>
      </c>
      <c r="I340" s="16" t="str">
        <f t="shared" si="38"/>
        <v>N</v>
      </c>
      <c r="J340" s="16" t="str">
        <f t="shared" si="40"/>
        <v xml:space="preserve">  </v>
      </c>
      <c r="L340" s="17"/>
      <c r="M340" t="str">
        <f t="shared" si="41"/>
        <v xml:space="preserve"> </v>
      </c>
      <c r="N340">
        <f t="shared" si="42"/>
        <v>0</v>
      </c>
      <c r="O340">
        <f>IF(P340&lt;1,0,IF(VLOOKUP($A340,'Actual Dates'!$A:$G,5,0)="Y",1,0))</f>
        <v>0</v>
      </c>
      <c r="P340">
        <f>IF(Q340&lt;1,0,IF(VLOOKUP($A340,'Actual Dates'!$A:$G,4,0)="Y",1,0))</f>
        <v>0</v>
      </c>
      <c r="Q340">
        <f>IF(R340&lt;1,0,IF(VLOOKUP($A340,'Actual Dates'!$A:$G,3,0)="Y",1,0))</f>
        <v>0</v>
      </c>
      <c r="R340">
        <f>IF(VLOOKUP($A340,'Actual Dates'!$A:$G,2,0)="Y",1,0)</f>
        <v>0</v>
      </c>
      <c r="S340" s="4">
        <f ca="1">_xlfn.IFNA(+VLOOKUP(A340,'Date Calcs'!A:AG,8,),TODAY())</f>
        <v>46115</v>
      </c>
      <c r="T340" s="4">
        <f ca="1">_xlfn.IFNA(VLOOKUP(A340,'Date Calcs'!A:AG,10,),TODAY())</f>
        <v>46115</v>
      </c>
      <c r="U340" s="4">
        <f ca="1">_xlfn.IFNA(+VLOOKUP(A340,'Date Calcs'!A:AG,12,),TODAY())</f>
        <v>46115</v>
      </c>
      <c r="V340" s="4">
        <f ca="1">_xlfn.IFNA(+VLOOKUP(A340,'Date Calcs'!A:AG,14,),TODAY())</f>
        <v>46115</v>
      </c>
      <c r="W340" s="4">
        <f ca="1">_xlfn.IFNA(+VLOOKUP(A340,'Date Calcs'!A:AG,16,),TODAY())</f>
        <v>46115</v>
      </c>
      <c r="X340" s="4">
        <f ca="1">_xlfn.IFNA(IF(C340=0,VLOOKUP(A340,'Date Calcs'!A:AG,8,),IF(C340=1,VLOOKUP(A340,'Date Calcs'!A:AG,10,),IF(C340=2,VLOOKUP(A340,'Date Calcs'!A:AG,12,),IF(C340=3,VLOOKUP(A340,'Date Calcs'!A:AG,14,),4)))),TODAY())</f>
        <v>46115</v>
      </c>
      <c r="Y340" s="4">
        <f t="shared" ca="1" si="39"/>
        <v>46115</v>
      </c>
      <c r="Z340" s="4">
        <f ca="1">_xlfn.IFNA(Y340+(VLOOKUP(A340,'Date Calcs'!A:W,22,0)*7),TODAY())</f>
        <v>46115</v>
      </c>
      <c r="AA340" s="4">
        <f>_xlfn.IFNA(VLOOKUP(A340,'RTR v2'!$A:$AW,46,0),"")</f>
        <v>0</v>
      </c>
    </row>
    <row r="341" spans="1:27" ht="23.25" hidden="1" x14ac:dyDescent="0.25">
      <c r="A341" s="12">
        <f>'Actual Dates'!A339</f>
        <v>0</v>
      </c>
      <c r="B341" s="13" t="str">
        <f>_xlfn.IFNA(VLOOKUP(A341,'Date Calcs'!A:B,2,),"")</f>
        <v/>
      </c>
      <c r="C341" s="14">
        <f>VLOOKUP(A341,'Actual Dates'!A:AE,18,)</f>
        <v>0</v>
      </c>
      <c r="D341" s="15">
        <f t="shared" ca="1" si="36"/>
        <v>46115</v>
      </c>
      <c r="E341" s="15">
        <f t="shared" ca="1" si="37"/>
        <v>46115</v>
      </c>
      <c r="F341" s="14">
        <f ca="1">IFERROR(ROUND(IF(A341="","",IF(E341=0,D341-Date!$B$3,D341-E341)),0),"")</f>
        <v>0</v>
      </c>
      <c r="G341" s="14" t="str">
        <f>_xlfn.IFNA(VLOOKUP(A341,'RTR v2'!A:AW,48,FALSE)," ")</f>
        <v/>
      </c>
      <c r="I341" s="16" t="str">
        <f t="shared" si="38"/>
        <v>N</v>
      </c>
      <c r="J341" s="16" t="str">
        <f t="shared" si="40"/>
        <v xml:space="preserve">  </v>
      </c>
      <c r="L341" s="17"/>
      <c r="M341" t="str">
        <f t="shared" si="41"/>
        <v xml:space="preserve"> </v>
      </c>
      <c r="N341">
        <f t="shared" si="42"/>
        <v>0</v>
      </c>
      <c r="O341">
        <f>IF(P341&lt;1,0,IF(VLOOKUP($A341,'Actual Dates'!$A:$G,5,0)="Y",1,0))</f>
        <v>0</v>
      </c>
      <c r="P341">
        <f>IF(Q341&lt;1,0,IF(VLOOKUP($A341,'Actual Dates'!$A:$G,4,0)="Y",1,0))</f>
        <v>0</v>
      </c>
      <c r="Q341">
        <f>IF(R341&lt;1,0,IF(VLOOKUP($A341,'Actual Dates'!$A:$G,3,0)="Y",1,0))</f>
        <v>0</v>
      </c>
      <c r="R341">
        <f>IF(VLOOKUP($A341,'Actual Dates'!$A:$G,2,0)="Y",1,0)</f>
        <v>0</v>
      </c>
      <c r="S341" s="4">
        <f ca="1">_xlfn.IFNA(+VLOOKUP(A341,'Date Calcs'!A:AG,8,),TODAY())</f>
        <v>46115</v>
      </c>
      <c r="T341" s="4">
        <f ca="1">_xlfn.IFNA(VLOOKUP(A341,'Date Calcs'!A:AG,10,),TODAY())</f>
        <v>46115</v>
      </c>
      <c r="U341" s="4">
        <f ca="1">_xlfn.IFNA(+VLOOKUP(A341,'Date Calcs'!A:AG,12,),TODAY())</f>
        <v>46115</v>
      </c>
      <c r="V341" s="4">
        <f ca="1">_xlfn.IFNA(+VLOOKUP(A341,'Date Calcs'!A:AG,14,),TODAY())</f>
        <v>46115</v>
      </c>
      <c r="W341" s="4">
        <f ca="1">_xlfn.IFNA(+VLOOKUP(A341,'Date Calcs'!A:AG,16,),TODAY())</f>
        <v>46115</v>
      </c>
      <c r="X341" s="4">
        <f ca="1">_xlfn.IFNA(IF(C341=0,VLOOKUP(A341,'Date Calcs'!A:AG,8,),IF(C341=1,VLOOKUP(A341,'Date Calcs'!A:AG,10,),IF(C341=2,VLOOKUP(A341,'Date Calcs'!A:AG,12,),IF(C341=3,VLOOKUP(A341,'Date Calcs'!A:AG,14,),4)))),TODAY())</f>
        <v>46115</v>
      </c>
      <c r="Y341" s="4">
        <f t="shared" ca="1" si="39"/>
        <v>46115</v>
      </c>
      <c r="Z341" s="4">
        <f ca="1">_xlfn.IFNA(Y341+(VLOOKUP(A341,'Date Calcs'!A:W,22,0)*7),TODAY())</f>
        <v>46115</v>
      </c>
      <c r="AA341" s="4">
        <f>_xlfn.IFNA(VLOOKUP(A341,'RTR v2'!$A:$AW,46,0),"")</f>
        <v>0</v>
      </c>
    </row>
    <row r="342" spans="1:27" ht="23.25" hidden="1" x14ac:dyDescent="0.25">
      <c r="A342" s="12">
        <f>'Actual Dates'!A340</f>
        <v>0</v>
      </c>
      <c r="B342" s="13" t="str">
        <f>_xlfn.IFNA(VLOOKUP(A342,'Date Calcs'!A:B,2,),"")</f>
        <v/>
      </c>
      <c r="C342" s="14">
        <f>VLOOKUP(A342,'Actual Dates'!A:AE,18,)</f>
        <v>0</v>
      </c>
      <c r="D342" s="15">
        <f t="shared" ca="1" si="36"/>
        <v>46115</v>
      </c>
      <c r="E342" s="15">
        <f t="shared" ca="1" si="37"/>
        <v>46115</v>
      </c>
      <c r="F342" s="14">
        <f ca="1">IFERROR(ROUND(IF(A342="","",IF(E342=0,D342-Date!$B$3,D342-E342)),0),"")</f>
        <v>0</v>
      </c>
      <c r="G342" s="14" t="str">
        <f>_xlfn.IFNA(VLOOKUP(A342,'RTR v2'!A:AW,48,FALSE)," ")</f>
        <v/>
      </c>
      <c r="I342" s="16" t="str">
        <f t="shared" si="38"/>
        <v>N</v>
      </c>
      <c r="J342" s="16" t="str">
        <f t="shared" si="40"/>
        <v xml:space="preserve">  </v>
      </c>
      <c r="L342" s="17"/>
      <c r="M342" t="str">
        <f t="shared" si="41"/>
        <v xml:space="preserve"> </v>
      </c>
      <c r="N342">
        <f t="shared" si="42"/>
        <v>0</v>
      </c>
      <c r="O342">
        <f>IF(P342&lt;1,0,IF(VLOOKUP($A342,'Actual Dates'!$A:$G,5,0)="Y",1,0))</f>
        <v>0</v>
      </c>
      <c r="P342">
        <f>IF(Q342&lt;1,0,IF(VLOOKUP($A342,'Actual Dates'!$A:$G,4,0)="Y",1,0))</f>
        <v>0</v>
      </c>
      <c r="Q342">
        <f>IF(R342&lt;1,0,IF(VLOOKUP($A342,'Actual Dates'!$A:$G,3,0)="Y",1,0))</f>
        <v>0</v>
      </c>
      <c r="R342">
        <f>IF(VLOOKUP($A342,'Actual Dates'!$A:$G,2,0)="Y",1,0)</f>
        <v>0</v>
      </c>
      <c r="S342" s="4">
        <f ca="1">_xlfn.IFNA(+VLOOKUP(A342,'Date Calcs'!A:AG,8,),TODAY())</f>
        <v>46115</v>
      </c>
      <c r="T342" s="4">
        <f ca="1">_xlfn.IFNA(VLOOKUP(A342,'Date Calcs'!A:AG,10,),TODAY())</f>
        <v>46115</v>
      </c>
      <c r="U342" s="4">
        <f ca="1">_xlfn.IFNA(+VLOOKUP(A342,'Date Calcs'!A:AG,12,),TODAY())</f>
        <v>46115</v>
      </c>
      <c r="V342" s="4">
        <f ca="1">_xlfn.IFNA(+VLOOKUP(A342,'Date Calcs'!A:AG,14,),TODAY())</f>
        <v>46115</v>
      </c>
      <c r="W342" s="4">
        <f ca="1">_xlfn.IFNA(+VLOOKUP(A342,'Date Calcs'!A:AG,16,),TODAY())</f>
        <v>46115</v>
      </c>
      <c r="X342" s="4">
        <f ca="1">_xlfn.IFNA(IF(C342=0,VLOOKUP(A342,'Date Calcs'!A:AG,8,),IF(C342=1,VLOOKUP(A342,'Date Calcs'!A:AG,10,),IF(C342=2,VLOOKUP(A342,'Date Calcs'!A:AG,12,),IF(C342=3,VLOOKUP(A342,'Date Calcs'!A:AG,14,),4)))),TODAY())</f>
        <v>46115</v>
      </c>
      <c r="Y342" s="4">
        <f t="shared" ca="1" si="39"/>
        <v>46115</v>
      </c>
      <c r="Z342" s="4">
        <f ca="1">_xlfn.IFNA(Y342+(VLOOKUP(A342,'Date Calcs'!A:W,22,0)*7),TODAY())</f>
        <v>46115</v>
      </c>
      <c r="AA342" s="4">
        <f>_xlfn.IFNA(VLOOKUP(A342,'RTR v2'!$A:$AW,46,0),"")</f>
        <v>0</v>
      </c>
    </row>
    <row r="343" spans="1:27" ht="23.25" hidden="1" x14ac:dyDescent="0.25">
      <c r="A343" s="12">
        <f>'Actual Dates'!A341</f>
        <v>0</v>
      </c>
      <c r="B343" s="13" t="str">
        <f>_xlfn.IFNA(VLOOKUP(A343,'Date Calcs'!A:B,2,),"")</f>
        <v/>
      </c>
      <c r="C343" s="14">
        <f>VLOOKUP(A343,'Actual Dates'!A:AE,18,)</f>
        <v>0</v>
      </c>
      <c r="D343" s="15">
        <f t="shared" ca="1" si="36"/>
        <v>46115</v>
      </c>
      <c r="E343" s="15">
        <f t="shared" ca="1" si="37"/>
        <v>46115</v>
      </c>
      <c r="F343" s="14">
        <f ca="1">IFERROR(ROUND(IF(A343="","",IF(E343=0,D343-Date!$B$3,D343-E343)),0),"")</f>
        <v>0</v>
      </c>
      <c r="G343" s="14" t="str">
        <f>_xlfn.IFNA(VLOOKUP(A343,'RTR v2'!A:AW,48,FALSE)," ")</f>
        <v/>
      </c>
      <c r="I343" s="16" t="str">
        <f t="shared" si="38"/>
        <v>N</v>
      </c>
      <c r="J343" s="16" t="str">
        <f t="shared" si="40"/>
        <v xml:space="preserve">  </v>
      </c>
      <c r="L343" s="17"/>
      <c r="M343" t="str">
        <f t="shared" si="41"/>
        <v xml:space="preserve"> </v>
      </c>
      <c r="N343">
        <f t="shared" si="42"/>
        <v>0</v>
      </c>
      <c r="O343">
        <f>IF(P343&lt;1,0,IF(VLOOKUP($A343,'Actual Dates'!$A:$G,5,0)="Y",1,0))</f>
        <v>0</v>
      </c>
      <c r="P343">
        <f>IF(Q343&lt;1,0,IF(VLOOKUP($A343,'Actual Dates'!$A:$G,4,0)="Y",1,0))</f>
        <v>0</v>
      </c>
      <c r="Q343">
        <f>IF(R343&lt;1,0,IF(VLOOKUP($A343,'Actual Dates'!$A:$G,3,0)="Y",1,0))</f>
        <v>0</v>
      </c>
      <c r="R343">
        <f>IF(VLOOKUP($A343,'Actual Dates'!$A:$G,2,0)="Y",1,0)</f>
        <v>0</v>
      </c>
      <c r="S343" s="4">
        <f ca="1">_xlfn.IFNA(+VLOOKUP(A343,'Date Calcs'!A:AG,8,),TODAY())</f>
        <v>46115</v>
      </c>
      <c r="T343" s="4">
        <f ca="1">_xlfn.IFNA(VLOOKUP(A343,'Date Calcs'!A:AG,10,),TODAY())</f>
        <v>46115</v>
      </c>
      <c r="U343" s="4">
        <f ca="1">_xlfn.IFNA(+VLOOKUP(A343,'Date Calcs'!A:AG,12,),TODAY())</f>
        <v>46115</v>
      </c>
      <c r="V343" s="4">
        <f ca="1">_xlfn.IFNA(+VLOOKUP(A343,'Date Calcs'!A:AG,14,),TODAY())</f>
        <v>46115</v>
      </c>
      <c r="W343" s="4">
        <f ca="1">_xlfn.IFNA(+VLOOKUP(A343,'Date Calcs'!A:AG,16,),TODAY())</f>
        <v>46115</v>
      </c>
      <c r="X343" s="4">
        <f ca="1">_xlfn.IFNA(IF(C343=0,VLOOKUP(A343,'Date Calcs'!A:AG,8,),IF(C343=1,VLOOKUP(A343,'Date Calcs'!A:AG,10,),IF(C343=2,VLOOKUP(A343,'Date Calcs'!A:AG,12,),IF(C343=3,VLOOKUP(A343,'Date Calcs'!A:AG,14,),4)))),TODAY())</f>
        <v>46115</v>
      </c>
      <c r="Y343" s="4">
        <f t="shared" ca="1" si="39"/>
        <v>46115</v>
      </c>
      <c r="Z343" s="4">
        <f ca="1">_xlfn.IFNA(Y343+(VLOOKUP(A343,'Date Calcs'!A:W,22,0)*7),TODAY())</f>
        <v>46115</v>
      </c>
      <c r="AA343" s="4">
        <f>_xlfn.IFNA(VLOOKUP(A343,'RTR v2'!$A:$AW,46,0),"")</f>
        <v>0</v>
      </c>
    </row>
    <row r="344" spans="1:27" ht="23.25" hidden="1" x14ac:dyDescent="0.25">
      <c r="A344" s="12">
        <f>'Actual Dates'!A342</f>
        <v>0</v>
      </c>
      <c r="B344" s="13" t="str">
        <f>_xlfn.IFNA(VLOOKUP(A344,'Date Calcs'!A:B,2,),"")</f>
        <v/>
      </c>
      <c r="C344" s="14">
        <f>VLOOKUP(A344,'Actual Dates'!A:AE,18,)</f>
        <v>0</v>
      </c>
      <c r="D344" s="15">
        <f t="shared" ca="1" si="36"/>
        <v>46115</v>
      </c>
      <c r="E344" s="15">
        <f t="shared" ca="1" si="37"/>
        <v>46115</v>
      </c>
      <c r="F344" s="14">
        <f ca="1">IFERROR(ROUND(IF(A344="","",IF(E344=0,D344-Date!$B$3,D344-E344)),0),"")</f>
        <v>0</v>
      </c>
      <c r="G344" s="14" t="str">
        <f>_xlfn.IFNA(VLOOKUP(A344,'RTR v2'!A:AW,48,FALSE)," ")</f>
        <v/>
      </c>
      <c r="I344" s="16" t="str">
        <f t="shared" si="38"/>
        <v>N</v>
      </c>
      <c r="J344" s="16" t="str">
        <f t="shared" si="40"/>
        <v xml:space="preserve">  </v>
      </c>
      <c r="L344" s="17"/>
      <c r="M344" t="str">
        <f t="shared" si="41"/>
        <v xml:space="preserve"> </v>
      </c>
      <c r="N344">
        <f t="shared" si="42"/>
        <v>0</v>
      </c>
      <c r="O344">
        <f>IF(P344&lt;1,0,IF(VLOOKUP($A344,'Actual Dates'!$A:$G,5,0)="Y",1,0))</f>
        <v>0</v>
      </c>
      <c r="P344">
        <f>IF(Q344&lt;1,0,IF(VLOOKUP($A344,'Actual Dates'!$A:$G,4,0)="Y",1,0))</f>
        <v>0</v>
      </c>
      <c r="Q344">
        <f>IF(R344&lt;1,0,IF(VLOOKUP($A344,'Actual Dates'!$A:$G,3,0)="Y",1,0))</f>
        <v>0</v>
      </c>
      <c r="R344">
        <f>IF(VLOOKUP($A344,'Actual Dates'!$A:$G,2,0)="Y",1,0)</f>
        <v>0</v>
      </c>
      <c r="S344" s="4">
        <f ca="1">_xlfn.IFNA(+VLOOKUP(A344,'Date Calcs'!A:AG,8,),TODAY())</f>
        <v>46115</v>
      </c>
      <c r="T344" s="4">
        <f ca="1">_xlfn.IFNA(VLOOKUP(A344,'Date Calcs'!A:AG,10,),TODAY())</f>
        <v>46115</v>
      </c>
      <c r="U344" s="4">
        <f ca="1">_xlfn.IFNA(+VLOOKUP(A344,'Date Calcs'!A:AG,12,),TODAY())</f>
        <v>46115</v>
      </c>
      <c r="V344" s="4">
        <f ca="1">_xlfn.IFNA(+VLOOKUP(A344,'Date Calcs'!A:AG,14,),TODAY())</f>
        <v>46115</v>
      </c>
      <c r="W344" s="4">
        <f ca="1">_xlfn.IFNA(+VLOOKUP(A344,'Date Calcs'!A:AG,16,),TODAY())</f>
        <v>46115</v>
      </c>
      <c r="X344" s="4">
        <f ca="1">_xlfn.IFNA(IF(C344=0,VLOOKUP(A344,'Date Calcs'!A:AG,8,),IF(C344=1,VLOOKUP(A344,'Date Calcs'!A:AG,10,),IF(C344=2,VLOOKUP(A344,'Date Calcs'!A:AG,12,),IF(C344=3,VLOOKUP(A344,'Date Calcs'!A:AG,14,),4)))),TODAY())</f>
        <v>46115</v>
      </c>
      <c r="Y344" s="4">
        <f t="shared" ca="1" si="39"/>
        <v>46115</v>
      </c>
      <c r="Z344" s="4">
        <f ca="1">_xlfn.IFNA(Y344+(VLOOKUP(A344,'Date Calcs'!A:W,22,0)*7),TODAY())</f>
        <v>46115</v>
      </c>
      <c r="AA344" s="4">
        <f>_xlfn.IFNA(VLOOKUP(A344,'RTR v2'!$A:$AW,46,0),"")</f>
        <v>0</v>
      </c>
    </row>
    <row r="345" spans="1:27" ht="23.25" hidden="1" x14ac:dyDescent="0.25">
      <c r="A345" s="12">
        <f>'Actual Dates'!A343</f>
        <v>0</v>
      </c>
      <c r="B345" s="13" t="str">
        <f>_xlfn.IFNA(VLOOKUP(A345,'Date Calcs'!A:B,2,),"")</f>
        <v/>
      </c>
      <c r="C345" s="14">
        <f>VLOOKUP(A345,'Actual Dates'!A:AE,18,)</f>
        <v>0</v>
      </c>
      <c r="D345" s="15">
        <f t="shared" ca="1" si="36"/>
        <v>46115</v>
      </c>
      <c r="E345" s="15">
        <f t="shared" ca="1" si="37"/>
        <v>46115</v>
      </c>
      <c r="F345" s="14">
        <f ca="1">IFERROR(ROUND(IF(A345="","",IF(E345=0,D345-Date!$B$3,D345-E345)),0),"")</f>
        <v>0</v>
      </c>
      <c r="G345" s="14" t="str">
        <f>_xlfn.IFNA(VLOOKUP(A345,'RTR v2'!A:AW,48,FALSE)," ")</f>
        <v/>
      </c>
      <c r="I345" s="16" t="str">
        <f t="shared" si="38"/>
        <v>N</v>
      </c>
      <c r="J345" s="16" t="str">
        <f t="shared" si="40"/>
        <v xml:space="preserve">  </v>
      </c>
      <c r="L345" s="17"/>
      <c r="M345" t="str">
        <f t="shared" si="41"/>
        <v xml:space="preserve"> </v>
      </c>
      <c r="N345">
        <f t="shared" si="42"/>
        <v>0</v>
      </c>
      <c r="O345">
        <f>IF(P345&lt;1,0,IF(VLOOKUP($A345,'Actual Dates'!$A:$G,5,0)="Y",1,0))</f>
        <v>0</v>
      </c>
      <c r="P345">
        <f>IF(Q345&lt;1,0,IF(VLOOKUP($A345,'Actual Dates'!$A:$G,4,0)="Y",1,0))</f>
        <v>0</v>
      </c>
      <c r="Q345">
        <f>IF(R345&lt;1,0,IF(VLOOKUP($A345,'Actual Dates'!$A:$G,3,0)="Y",1,0))</f>
        <v>0</v>
      </c>
      <c r="R345">
        <f>IF(VLOOKUP($A345,'Actual Dates'!$A:$G,2,0)="Y",1,0)</f>
        <v>0</v>
      </c>
      <c r="S345" s="4">
        <f ca="1">_xlfn.IFNA(+VLOOKUP(A345,'Date Calcs'!A:AG,8,),TODAY())</f>
        <v>46115</v>
      </c>
      <c r="T345" s="4">
        <f ca="1">_xlfn.IFNA(VLOOKUP(A345,'Date Calcs'!A:AG,10,),TODAY())</f>
        <v>46115</v>
      </c>
      <c r="U345" s="4">
        <f ca="1">_xlfn.IFNA(+VLOOKUP(A345,'Date Calcs'!A:AG,12,),TODAY())</f>
        <v>46115</v>
      </c>
      <c r="V345" s="4">
        <f ca="1">_xlfn.IFNA(+VLOOKUP(A345,'Date Calcs'!A:AG,14,),TODAY())</f>
        <v>46115</v>
      </c>
      <c r="W345" s="4">
        <f ca="1">_xlfn.IFNA(+VLOOKUP(A345,'Date Calcs'!A:AG,16,),TODAY())</f>
        <v>46115</v>
      </c>
      <c r="X345" s="4">
        <f ca="1">_xlfn.IFNA(IF(C345=0,VLOOKUP(A345,'Date Calcs'!A:AG,8,),IF(C345=1,VLOOKUP(A345,'Date Calcs'!A:AG,10,),IF(C345=2,VLOOKUP(A345,'Date Calcs'!A:AG,12,),IF(C345=3,VLOOKUP(A345,'Date Calcs'!A:AG,14,),4)))),TODAY())</f>
        <v>46115</v>
      </c>
      <c r="Y345" s="4">
        <f t="shared" ca="1" si="39"/>
        <v>46115</v>
      </c>
      <c r="Z345" s="4">
        <f ca="1">_xlfn.IFNA(Y345+(VLOOKUP(A345,'Date Calcs'!A:W,22,0)*7),TODAY())</f>
        <v>46115</v>
      </c>
      <c r="AA345" s="4">
        <f>_xlfn.IFNA(VLOOKUP(A345,'RTR v2'!$A:$AW,46,0),"")</f>
        <v>0</v>
      </c>
    </row>
    <row r="346" spans="1:27" ht="23.25" hidden="1" x14ac:dyDescent="0.25">
      <c r="A346" s="12">
        <f>'Actual Dates'!A344</f>
        <v>0</v>
      </c>
      <c r="B346" s="13" t="str">
        <f>_xlfn.IFNA(VLOOKUP(A346,'Date Calcs'!A:B,2,),"")</f>
        <v/>
      </c>
      <c r="C346" s="14">
        <f>VLOOKUP(A346,'Actual Dates'!A:AE,18,)</f>
        <v>0</v>
      </c>
      <c r="D346" s="15">
        <f t="shared" ca="1" si="36"/>
        <v>46115</v>
      </c>
      <c r="E346" s="15">
        <f t="shared" ca="1" si="37"/>
        <v>46115</v>
      </c>
      <c r="F346" s="14">
        <f ca="1">IFERROR(ROUND(IF(A346="","",IF(E346=0,D346-Date!$B$3,D346-E346)),0),"")</f>
        <v>0</v>
      </c>
      <c r="G346" s="14" t="str">
        <f>_xlfn.IFNA(VLOOKUP(A346,'RTR v2'!A:AW,48,FALSE)," ")</f>
        <v/>
      </c>
      <c r="I346" s="16" t="str">
        <f t="shared" si="38"/>
        <v>N</v>
      </c>
      <c r="J346" s="16" t="str">
        <f t="shared" si="40"/>
        <v xml:space="preserve">  </v>
      </c>
      <c r="L346" s="17"/>
      <c r="M346" t="str">
        <f t="shared" si="41"/>
        <v xml:space="preserve"> </v>
      </c>
      <c r="N346">
        <f t="shared" si="42"/>
        <v>0</v>
      </c>
      <c r="O346">
        <f>IF(P346&lt;1,0,IF(VLOOKUP($A346,'Actual Dates'!$A:$G,5,0)="Y",1,0))</f>
        <v>0</v>
      </c>
      <c r="P346">
        <f>IF(Q346&lt;1,0,IF(VLOOKUP($A346,'Actual Dates'!$A:$G,4,0)="Y",1,0))</f>
        <v>0</v>
      </c>
      <c r="Q346">
        <f>IF(R346&lt;1,0,IF(VLOOKUP($A346,'Actual Dates'!$A:$G,3,0)="Y",1,0))</f>
        <v>0</v>
      </c>
      <c r="R346">
        <f>IF(VLOOKUP($A346,'Actual Dates'!$A:$G,2,0)="Y",1,0)</f>
        <v>0</v>
      </c>
      <c r="S346" s="4">
        <f ca="1">_xlfn.IFNA(+VLOOKUP(A346,'Date Calcs'!A:AG,8,),TODAY())</f>
        <v>46115</v>
      </c>
      <c r="T346" s="4">
        <f ca="1">_xlfn.IFNA(VLOOKUP(A346,'Date Calcs'!A:AG,10,),TODAY())</f>
        <v>46115</v>
      </c>
      <c r="U346" s="4">
        <f ca="1">_xlfn.IFNA(+VLOOKUP(A346,'Date Calcs'!A:AG,12,),TODAY())</f>
        <v>46115</v>
      </c>
      <c r="V346" s="4">
        <f ca="1">_xlfn.IFNA(+VLOOKUP(A346,'Date Calcs'!A:AG,14,),TODAY())</f>
        <v>46115</v>
      </c>
      <c r="W346" s="4">
        <f ca="1">_xlfn.IFNA(+VLOOKUP(A346,'Date Calcs'!A:AG,16,),TODAY())</f>
        <v>46115</v>
      </c>
      <c r="X346" s="4">
        <f ca="1">_xlfn.IFNA(IF(C346=0,VLOOKUP(A346,'Date Calcs'!A:AG,8,),IF(C346=1,VLOOKUP(A346,'Date Calcs'!A:AG,10,),IF(C346=2,VLOOKUP(A346,'Date Calcs'!A:AG,12,),IF(C346=3,VLOOKUP(A346,'Date Calcs'!A:AG,14,),4)))),TODAY())</f>
        <v>46115</v>
      </c>
      <c r="Y346" s="4">
        <f t="shared" ca="1" si="39"/>
        <v>46115</v>
      </c>
      <c r="Z346" s="4">
        <f ca="1">_xlfn.IFNA(Y346+(VLOOKUP(A346,'Date Calcs'!A:W,22,0)*7),TODAY())</f>
        <v>46115</v>
      </c>
      <c r="AA346" s="4">
        <f>_xlfn.IFNA(VLOOKUP(A346,'RTR v2'!$A:$AW,46,0),"")</f>
        <v>0</v>
      </c>
    </row>
    <row r="347" spans="1:27" ht="23.25" hidden="1" x14ac:dyDescent="0.25">
      <c r="A347" s="12">
        <f>'Actual Dates'!A345</f>
        <v>0</v>
      </c>
      <c r="B347" s="13" t="str">
        <f>_xlfn.IFNA(VLOOKUP(A347,'Date Calcs'!A:B,2,),"")</f>
        <v/>
      </c>
      <c r="C347" s="14">
        <f>VLOOKUP(A347,'Actual Dates'!A:AE,18,)</f>
        <v>0</v>
      </c>
      <c r="D347" s="15">
        <f t="shared" ca="1" si="36"/>
        <v>46115</v>
      </c>
      <c r="E347" s="15">
        <f t="shared" ca="1" si="37"/>
        <v>46115</v>
      </c>
      <c r="F347" s="14">
        <f ca="1">IFERROR(ROUND(IF(A347="","",IF(E347=0,D347-Date!$B$3,D347-E347)),0),"")</f>
        <v>0</v>
      </c>
      <c r="G347" s="14" t="str">
        <f>_xlfn.IFNA(VLOOKUP(A347,'RTR v2'!A:AW,48,FALSE)," ")</f>
        <v/>
      </c>
      <c r="I347" s="16" t="str">
        <f t="shared" si="38"/>
        <v>N</v>
      </c>
      <c r="J347" s="16" t="str">
        <f t="shared" si="40"/>
        <v xml:space="preserve">  </v>
      </c>
      <c r="L347" s="17"/>
      <c r="M347" t="str">
        <f t="shared" si="41"/>
        <v xml:space="preserve"> </v>
      </c>
      <c r="N347">
        <f t="shared" si="42"/>
        <v>0</v>
      </c>
      <c r="O347">
        <f>IF(P347&lt;1,0,IF(VLOOKUP($A347,'Actual Dates'!$A:$G,5,0)="Y",1,0))</f>
        <v>0</v>
      </c>
      <c r="P347">
        <f>IF(Q347&lt;1,0,IF(VLOOKUP($A347,'Actual Dates'!$A:$G,4,0)="Y",1,0))</f>
        <v>0</v>
      </c>
      <c r="Q347">
        <f>IF(R347&lt;1,0,IF(VLOOKUP($A347,'Actual Dates'!$A:$G,3,0)="Y",1,0))</f>
        <v>0</v>
      </c>
      <c r="R347">
        <f>IF(VLOOKUP($A347,'Actual Dates'!$A:$G,2,0)="Y",1,0)</f>
        <v>0</v>
      </c>
      <c r="S347" s="4">
        <f ca="1">_xlfn.IFNA(+VLOOKUP(A347,'Date Calcs'!A:AG,8,),TODAY())</f>
        <v>46115</v>
      </c>
      <c r="T347" s="4">
        <f ca="1">_xlfn.IFNA(VLOOKUP(A347,'Date Calcs'!A:AG,10,),TODAY())</f>
        <v>46115</v>
      </c>
      <c r="U347" s="4">
        <f ca="1">_xlfn.IFNA(+VLOOKUP(A347,'Date Calcs'!A:AG,12,),TODAY())</f>
        <v>46115</v>
      </c>
      <c r="V347" s="4">
        <f ca="1">_xlfn.IFNA(+VLOOKUP(A347,'Date Calcs'!A:AG,14,),TODAY())</f>
        <v>46115</v>
      </c>
      <c r="W347" s="4">
        <f ca="1">_xlfn.IFNA(+VLOOKUP(A347,'Date Calcs'!A:AG,16,),TODAY())</f>
        <v>46115</v>
      </c>
      <c r="X347" s="4">
        <f ca="1">_xlfn.IFNA(IF(C347=0,VLOOKUP(A347,'Date Calcs'!A:AG,8,),IF(C347=1,VLOOKUP(A347,'Date Calcs'!A:AG,10,),IF(C347=2,VLOOKUP(A347,'Date Calcs'!A:AG,12,),IF(C347=3,VLOOKUP(A347,'Date Calcs'!A:AG,14,),4)))),TODAY())</f>
        <v>46115</v>
      </c>
      <c r="Y347" s="4">
        <f t="shared" ca="1" si="39"/>
        <v>46115</v>
      </c>
      <c r="Z347" s="4">
        <f ca="1">_xlfn.IFNA(Y347+(VLOOKUP(A347,'Date Calcs'!A:W,22,0)*7),TODAY())</f>
        <v>46115</v>
      </c>
      <c r="AA347" s="4">
        <f>_xlfn.IFNA(VLOOKUP(A347,'RTR v2'!$A:$AW,46,0),"")</f>
        <v>0</v>
      </c>
    </row>
    <row r="348" spans="1:27" ht="23.25" hidden="1" x14ac:dyDescent="0.25">
      <c r="A348" s="12">
        <f>'Actual Dates'!A346</f>
        <v>0</v>
      </c>
      <c r="B348" s="13" t="str">
        <f>_xlfn.IFNA(VLOOKUP(A348,'Date Calcs'!A:B,2,),"")</f>
        <v/>
      </c>
      <c r="C348" s="14">
        <f>VLOOKUP(A348,'Actual Dates'!A:AE,18,)</f>
        <v>0</v>
      </c>
      <c r="D348" s="15">
        <f t="shared" ca="1" si="36"/>
        <v>46115</v>
      </c>
      <c r="E348" s="15">
        <f t="shared" ca="1" si="37"/>
        <v>46115</v>
      </c>
      <c r="F348" s="14">
        <f ca="1">IFERROR(ROUND(IF(A348="","",IF(E348=0,D348-Date!$B$3,D348-E348)),0),"")</f>
        <v>0</v>
      </c>
      <c r="G348" s="14" t="str">
        <f>_xlfn.IFNA(VLOOKUP(A348,'RTR v2'!A:AW,48,FALSE)," ")</f>
        <v/>
      </c>
      <c r="I348" s="16" t="str">
        <f t="shared" si="38"/>
        <v>N</v>
      </c>
      <c r="J348" s="16" t="str">
        <f t="shared" si="40"/>
        <v xml:space="preserve">  </v>
      </c>
      <c r="L348" s="17"/>
      <c r="M348" t="str">
        <f t="shared" si="41"/>
        <v xml:space="preserve"> </v>
      </c>
      <c r="N348">
        <f t="shared" si="42"/>
        <v>0</v>
      </c>
      <c r="O348">
        <f>IF(P348&lt;1,0,IF(VLOOKUP($A348,'Actual Dates'!$A:$G,5,0)="Y",1,0))</f>
        <v>0</v>
      </c>
      <c r="P348">
        <f>IF(Q348&lt;1,0,IF(VLOOKUP($A348,'Actual Dates'!$A:$G,4,0)="Y",1,0))</f>
        <v>0</v>
      </c>
      <c r="Q348">
        <f>IF(R348&lt;1,0,IF(VLOOKUP($A348,'Actual Dates'!$A:$G,3,0)="Y",1,0))</f>
        <v>0</v>
      </c>
      <c r="R348">
        <f>IF(VLOOKUP($A348,'Actual Dates'!$A:$G,2,0)="Y",1,0)</f>
        <v>0</v>
      </c>
      <c r="S348" s="4">
        <f ca="1">_xlfn.IFNA(+VLOOKUP(A348,'Date Calcs'!A:AG,8,),TODAY())</f>
        <v>46115</v>
      </c>
      <c r="T348" s="4">
        <f ca="1">_xlfn.IFNA(VLOOKUP(A348,'Date Calcs'!A:AG,10,),TODAY())</f>
        <v>46115</v>
      </c>
      <c r="U348" s="4">
        <f ca="1">_xlfn.IFNA(+VLOOKUP(A348,'Date Calcs'!A:AG,12,),TODAY())</f>
        <v>46115</v>
      </c>
      <c r="V348" s="4">
        <f ca="1">_xlfn.IFNA(+VLOOKUP(A348,'Date Calcs'!A:AG,14,),TODAY())</f>
        <v>46115</v>
      </c>
      <c r="W348" s="4">
        <f ca="1">_xlfn.IFNA(+VLOOKUP(A348,'Date Calcs'!A:AG,16,),TODAY())</f>
        <v>46115</v>
      </c>
      <c r="X348" s="4">
        <f ca="1">_xlfn.IFNA(IF(C348=0,VLOOKUP(A348,'Date Calcs'!A:AG,8,),IF(C348=1,VLOOKUP(A348,'Date Calcs'!A:AG,10,),IF(C348=2,VLOOKUP(A348,'Date Calcs'!A:AG,12,),IF(C348=3,VLOOKUP(A348,'Date Calcs'!A:AG,14,),4)))),TODAY())</f>
        <v>46115</v>
      </c>
      <c r="Y348" s="4">
        <f t="shared" ca="1" si="39"/>
        <v>46115</v>
      </c>
      <c r="Z348" s="4">
        <f ca="1">_xlfn.IFNA(Y348+(VLOOKUP(A348,'Date Calcs'!A:W,22,0)*7),TODAY())</f>
        <v>46115</v>
      </c>
      <c r="AA348" s="4">
        <f>_xlfn.IFNA(VLOOKUP(A348,'RTR v2'!$A:$AW,46,0),"")</f>
        <v>0</v>
      </c>
    </row>
    <row r="349" spans="1:27" ht="23.25" hidden="1" x14ac:dyDescent="0.25">
      <c r="A349" s="12">
        <f>'Actual Dates'!A347</f>
        <v>0</v>
      </c>
      <c r="B349" s="13" t="str">
        <f>_xlfn.IFNA(VLOOKUP(A349,'Date Calcs'!A:B,2,),"")</f>
        <v/>
      </c>
      <c r="C349" s="14">
        <f>VLOOKUP(A349,'Actual Dates'!A:AE,18,)</f>
        <v>0</v>
      </c>
      <c r="D349" s="15">
        <f t="shared" ca="1" si="36"/>
        <v>46115</v>
      </c>
      <c r="E349" s="15">
        <f t="shared" ca="1" si="37"/>
        <v>46115</v>
      </c>
      <c r="F349" s="14">
        <f ca="1">IFERROR(ROUND(IF(A349="","",IF(E349=0,D349-Date!$B$3,D349-E349)),0),"")</f>
        <v>0</v>
      </c>
      <c r="G349" s="14" t="str">
        <f>_xlfn.IFNA(VLOOKUP(A349,'RTR v2'!A:AW,48,FALSE)," ")</f>
        <v/>
      </c>
      <c r="I349" s="16" t="str">
        <f t="shared" si="38"/>
        <v>N</v>
      </c>
      <c r="J349" s="16" t="str">
        <f t="shared" si="40"/>
        <v xml:space="preserve">  </v>
      </c>
      <c r="L349" s="17"/>
      <c r="M349" t="str">
        <f t="shared" si="41"/>
        <v xml:space="preserve"> </v>
      </c>
      <c r="N349">
        <f t="shared" si="42"/>
        <v>0</v>
      </c>
      <c r="O349">
        <f>IF(P349&lt;1,0,IF(VLOOKUP($A349,'Actual Dates'!$A:$G,5,0)="Y",1,0))</f>
        <v>0</v>
      </c>
      <c r="P349">
        <f>IF(Q349&lt;1,0,IF(VLOOKUP($A349,'Actual Dates'!$A:$G,4,0)="Y",1,0))</f>
        <v>0</v>
      </c>
      <c r="Q349">
        <f>IF(R349&lt;1,0,IF(VLOOKUP($A349,'Actual Dates'!$A:$G,3,0)="Y",1,0))</f>
        <v>0</v>
      </c>
      <c r="R349">
        <f>IF(VLOOKUP($A349,'Actual Dates'!$A:$G,2,0)="Y",1,0)</f>
        <v>0</v>
      </c>
      <c r="S349" s="4">
        <f ca="1">_xlfn.IFNA(+VLOOKUP(A349,'Date Calcs'!A:AG,8,),TODAY())</f>
        <v>46115</v>
      </c>
      <c r="T349" s="4">
        <f ca="1">_xlfn.IFNA(VLOOKUP(A349,'Date Calcs'!A:AG,10,),TODAY())</f>
        <v>46115</v>
      </c>
      <c r="U349" s="4">
        <f ca="1">_xlfn.IFNA(+VLOOKUP(A349,'Date Calcs'!A:AG,12,),TODAY())</f>
        <v>46115</v>
      </c>
      <c r="V349" s="4">
        <f ca="1">_xlfn.IFNA(+VLOOKUP(A349,'Date Calcs'!A:AG,14,),TODAY())</f>
        <v>46115</v>
      </c>
      <c r="W349" s="4">
        <f ca="1">_xlfn.IFNA(+VLOOKUP(A349,'Date Calcs'!A:AG,16,),TODAY())</f>
        <v>46115</v>
      </c>
      <c r="X349" s="4">
        <f ca="1">_xlfn.IFNA(IF(C349=0,VLOOKUP(A349,'Date Calcs'!A:AG,8,),IF(C349=1,VLOOKUP(A349,'Date Calcs'!A:AG,10,),IF(C349=2,VLOOKUP(A349,'Date Calcs'!A:AG,12,),IF(C349=3,VLOOKUP(A349,'Date Calcs'!A:AG,14,),4)))),TODAY())</f>
        <v>46115</v>
      </c>
      <c r="Y349" s="4">
        <f t="shared" ca="1" si="39"/>
        <v>46115</v>
      </c>
      <c r="Z349" s="4">
        <f ca="1">_xlfn.IFNA(Y349+(VLOOKUP(A349,'Date Calcs'!A:W,22,0)*7),TODAY())</f>
        <v>46115</v>
      </c>
      <c r="AA349" s="4">
        <f>_xlfn.IFNA(VLOOKUP(A349,'RTR v2'!$A:$AW,46,0),"")</f>
        <v>0</v>
      </c>
    </row>
    <row r="350" spans="1:27" ht="23.25" hidden="1" x14ac:dyDescent="0.25">
      <c r="A350" s="12">
        <f>'Actual Dates'!A348</f>
        <v>0</v>
      </c>
      <c r="B350" s="13" t="str">
        <f>_xlfn.IFNA(VLOOKUP(A350,'Date Calcs'!A:B,2,),"")</f>
        <v/>
      </c>
      <c r="C350" s="14">
        <f>VLOOKUP(A350,'Actual Dates'!A:AE,18,)</f>
        <v>0</v>
      </c>
      <c r="D350" s="15">
        <f t="shared" ca="1" si="36"/>
        <v>46115</v>
      </c>
      <c r="E350" s="15">
        <f t="shared" ca="1" si="37"/>
        <v>46115</v>
      </c>
      <c r="F350" s="14">
        <f ca="1">IFERROR(ROUND(IF(A350="","",IF(E350=0,D350-Date!$B$3,D350-E350)),0),"")</f>
        <v>0</v>
      </c>
      <c r="G350" s="14" t="str">
        <f>_xlfn.IFNA(VLOOKUP(A350,'RTR v2'!A:AW,48,FALSE)," ")</f>
        <v/>
      </c>
      <c r="I350" s="16" t="str">
        <f t="shared" si="38"/>
        <v>N</v>
      </c>
      <c r="J350" s="16" t="str">
        <f t="shared" si="40"/>
        <v xml:space="preserve">  </v>
      </c>
      <c r="L350" s="17"/>
      <c r="M350" t="str">
        <f t="shared" si="41"/>
        <v xml:space="preserve"> </v>
      </c>
      <c r="N350">
        <f t="shared" si="42"/>
        <v>0</v>
      </c>
      <c r="O350">
        <f>IF(P350&lt;1,0,IF(VLOOKUP($A350,'Actual Dates'!$A:$G,5,0)="Y",1,0))</f>
        <v>0</v>
      </c>
      <c r="P350">
        <f>IF(Q350&lt;1,0,IF(VLOOKUP($A350,'Actual Dates'!$A:$G,4,0)="Y",1,0))</f>
        <v>0</v>
      </c>
      <c r="Q350">
        <f>IF(R350&lt;1,0,IF(VLOOKUP($A350,'Actual Dates'!$A:$G,3,0)="Y",1,0))</f>
        <v>0</v>
      </c>
      <c r="R350">
        <f>IF(VLOOKUP($A350,'Actual Dates'!$A:$G,2,0)="Y",1,0)</f>
        <v>0</v>
      </c>
      <c r="S350" s="4">
        <f ca="1">_xlfn.IFNA(+VLOOKUP(A350,'Date Calcs'!A:AG,8,),TODAY())</f>
        <v>46115</v>
      </c>
      <c r="T350" s="4">
        <f ca="1">_xlfn.IFNA(VLOOKUP(A350,'Date Calcs'!A:AG,10,),TODAY())</f>
        <v>46115</v>
      </c>
      <c r="U350" s="4">
        <f ca="1">_xlfn.IFNA(+VLOOKUP(A350,'Date Calcs'!A:AG,12,),TODAY())</f>
        <v>46115</v>
      </c>
      <c r="V350" s="4">
        <f ca="1">_xlfn.IFNA(+VLOOKUP(A350,'Date Calcs'!A:AG,14,),TODAY())</f>
        <v>46115</v>
      </c>
      <c r="W350" s="4">
        <f ca="1">_xlfn.IFNA(+VLOOKUP(A350,'Date Calcs'!A:AG,16,),TODAY())</f>
        <v>46115</v>
      </c>
      <c r="X350" s="4">
        <f ca="1">_xlfn.IFNA(IF(C350=0,VLOOKUP(A350,'Date Calcs'!A:AG,8,),IF(C350=1,VLOOKUP(A350,'Date Calcs'!A:AG,10,),IF(C350=2,VLOOKUP(A350,'Date Calcs'!A:AG,12,),IF(C350=3,VLOOKUP(A350,'Date Calcs'!A:AG,14,),4)))),TODAY())</f>
        <v>46115</v>
      </c>
      <c r="Y350" s="4">
        <f t="shared" ca="1" si="39"/>
        <v>46115</v>
      </c>
      <c r="Z350" s="4">
        <f ca="1">_xlfn.IFNA(Y350+(VLOOKUP(A350,'Date Calcs'!A:W,22,0)*7),TODAY())</f>
        <v>46115</v>
      </c>
      <c r="AA350" s="4">
        <f>_xlfn.IFNA(VLOOKUP(A350,'RTR v2'!$A:$AW,46,0),"")</f>
        <v>0</v>
      </c>
    </row>
    <row r="351" spans="1:27" ht="23.25" hidden="1" x14ac:dyDescent="0.25">
      <c r="A351" s="12">
        <f>'Actual Dates'!A349</f>
        <v>0</v>
      </c>
      <c r="B351" s="13" t="str">
        <f>_xlfn.IFNA(VLOOKUP(A351,'Date Calcs'!A:B,2,),"")</f>
        <v/>
      </c>
      <c r="C351" s="14">
        <f>VLOOKUP(A351,'Actual Dates'!A:AE,18,)</f>
        <v>0</v>
      </c>
      <c r="D351" s="15">
        <f t="shared" ca="1" si="36"/>
        <v>46115</v>
      </c>
      <c r="E351" s="15">
        <f t="shared" ca="1" si="37"/>
        <v>46115</v>
      </c>
      <c r="F351" s="14">
        <f ca="1">IFERROR(ROUND(IF(A351="","",IF(E351=0,D351-Date!$B$3,D351-E351)),0),"")</f>
        <v>0</v>
      </c>
      <c r="G351" s="14" t="str">
        <f>_xlfn.IFNA(VLOOKUP(A351,'RTR v2'!A:AW,48,FALSE)," ")</f>
        <v/>
      </c>
      <c r="I351" s="16" t="str">
        <f t="shared" si="38"/>
        <v>N</v>
      </c>
      <c r="J351" s="16" t="str">
        <f t="shared" si="40"/>
        <v xml:space="preserve">  </v>
      </c>
      <c r="L351" s="17"/>
      <c r="M351" t="str">
        <f t="shared" si="41"/>
        <v xml:space="preserve"> </v>
      </c>
      <c r="N351">
        <f t="shared" si="42"/>
        <v>0</v>
      </c>
      <c r="O351">
        <f>IF(P351&lt;1,0,IF(VLOOKUP($A351,'Actual Dates'!$A:$G,5,0)="Y",1,0))</f>
        <v>0</v>
      </c>
      <c r="P351">
        <f>IF(Q351&lt;1,0,IF(VLOOKUP($A351,'Actual Dates'!$A:$G,4,0)="Y",1,0))</f>
        <v>0</v>
      </c>
      <c r="Q351">
        <f>IF(R351&lt;1,0,IF(VLOOKUP($A351,'Actual Dates'!$A:$G,3,0)="Y",1,0))</f>
        <v>0</v>
      </c>
      <c r="R351">
        <f>IF(VLOOKUP($A351,'Actual Dates'!$A:$G,2,0)="Y",1,0)</f>
        <v>0</v>
      </c>
      <c r="S351" s="4">
        <f ca="1">_xlfn.IFNA(+VLOOKUP(A351,'Date Calcs'!A:AG,8,),TODAY())</f>
        <v>46115</v>
      </c>
      <c r="T351" s="4">
        <f ca="1">_xlfn.IFNA(VLOOKUP(A351,'Date Calcs'!A:AG,10,),TODAY())</f>
        <v>46115</v>
      </c>
      <c r="U351" s="4">
        <f ca="1">_xlfn.IFNA(+VLOOKUP(A351,'Date Calcs'!A:AG,12,),TODAY())</f>
        <v>46115</v>
      </c>
      <c r="V351" s="4">
        <f ca="1">_xlfn.IFNA(+VLOOKUP(A351,'Date Calcs'!A:AG,14,),TODAY())</f>
        <v>46115</v>
      </c>
      <c r="W351" s="4">
        <f ca="1">_xlfn.IFNA(+VLOOKUP(A351,'Date Calcs'!A:AG,16,),TODAY())</f>
        <v>46115</v>
      </c>
      <c r="X351" s="4">
        <f ca="1">_xlfn.IFNA(IF(C351=0,VLOOKUP(A351,'Date Calcs'!A:AG,8,),IF(C351=1,VLOOKUP(A351,'Date Calcs'!A:AG,10,),IF(C351=2,VLOOKUP(A351,'Date Calcs'!A:AG,12,),IF(C351=3,VLOOKUP(A351,'Date Calcs'!A:AG,14,),4)))),TODAY())</f>
        <v>46115</v>
      </c>
      <c r="Y351" s="4">
        <f t="shared" ca="1" si="39"/>
        <v>46115</v>
      </c>
      <c r="Z351" s="4">
        <f ca="1">_xlfn.IFNA(Y351+(VLOOKUP(A351,'Date Calcs'!A:W,22,0)*7),TODAY())</f>
        <v>46115</v>
      </c>
    </row>
    <row r="352" spans="1:27" ht="23.25" hidden="1" x14ac:dyDescent="0.25">
      <c r="A352" s="12">
        <f>'Actual Dates'!A350</f>
        <v>0</v>
      </c>
      <c r="B352" s="13" t="str">
        <f>_xlfn.IFNA(VLOOKUP(A352,'Date Calcs'!A:B,2,),"")</f>
        <v/>
      </c>
      <c r="C352" s="14">
        <f>VLOOKUP(A352,'Actual Dates'!A:AE,18,)</f>
        <v>0</v>
      </c>
      <c r="D352" s="15">
        <f t="shared" ca="1" si="36"/>
        <v>46115</v>
      </c>
      <c r="E352" s="15">
        <f t="shared" ca="1" si="37"/>
        <v>46115</v>
      </c>
      <c r="F352" s="14">
        <f ca="1">IFERROR(ROUND(IF(A352="","",IF(E352=0,D352-Date!$B$3,D352-E352)),0),"")</f>
        <v>0</v>
      </c>
      <c r="G352" s="14" t="str">
        <f>_xlfn.IFNA(VLOOKUP(A352,'RTR v2'!A:AW,48,FALSE)," ")</f>
        <v/>
      </c>
      <c r="I352" s="16" t="str">
        <f t="shared" si="38"/>
        <v>N</v>
      </c>
      <c r="J352" s="16" t="str">
        <f t="shared" si="40"/>
        <v xml:space="preserve">  </v>
      </c>
      <c r="L352" s="17"/>
      <c r="M352" t="str">
        <f t="shared" si="41"/>
        <v xml:space="preserve"> </v>
      </c>
      <c r="N352">
        <f t="shared" si="42"/>
        <v>0</v>
      </c>
      <c r="O352">
        <f>IF(P352&lt;1,0,IF(VLOOKUP($A352,'Actual Dates'!$A:$G,5,0)="Y",1,0))</f>
        <v>0</v>
      </c>
      <c r="P352">
        <f>IF(Q352&lt;1,0,IF(VLOOKUP($A352,'Actual Dates'!$A:$G,4,0)="Y",1,0))</f>
        <v>0</v>
      </c>
      <c r="Q352">
        <f>IF(R352&lt;1,0,IF(VLOOKUP($A352,'Actual Dates'!$A:$G,3,0)="Y",1,0))</f>
        <v>0</v>
      </c>
      <c r="R352">
        <f>IF(VLOOKUP($A352,'Actual Dates'!$A:$G,2,0)="Y",1,0)</f>
        <v>0</v>
      </c>
      <c r="S352" s="4">
        <f ca="1">_xlfn.IFNA(+VLOOKUP(A352,'Date Calcs'!A:AG,8,),TODAY())</f>
        <v>46115</v>
      </c>
      <c r="T352" s="4">
        <f ca="1">_xlfn.IFNA(VLOOKUP(A352,'Date Calcs'!A:AG,10,),TODAY())</f>
        <v>46115</v>
      </c>
      <c r="U352" s="4">
        <f ca="1">_xlfn.IFNA(+VLOOKUP(A352,'Date Calcs'!A:AG,12,),TODAY())</f>
        <v>46115</v>
      </c>
      <c r="V352" s="4">
        <f ca="1">_xlfn.IFNA(+VLOOKUP(A352,'Date Calcs'!A:AG,14,),TODAY())</f>
        <v>46115</v>
      </c>
      <c r="W352" s="4">
        <f ca="1">_xlfn.IFNA(+VLOOKUP(A352,'Date Calcs'!A:AG,16,),TODAY())</f>
        <v>46115</v>
      </c>
      <c r="X352" s="4">
        <f ca="1">_xlfn.IFNA(IF(C352=0,VLOOKUP(A352,'Date Calcs'!A:AG,8,),IF(C352=1,VLOOKUP(A352,'Date Calcs'!A:AG,10,),IF(C352=2,VLOOKUP(A352,'Date Calcs'!A:AG,12,),IF(C352=3,VLOOKUP(A352,'Date Calcs'!A:AG,14,),4)))),TODAY())</f>
        <v>46115</v>
      </c>
      <c r="Y352" s="4">
        <f t="shared" ca="1" si="39"/>
        <v>46115</v>
      </c>
      <c r="Z352" s="4">
        <f ca="1">_xlfn.IFNA(Y352+(VLOOKUP(A352,'Date Calcs'!A:W,22,0)*7),TODAY())</f>
        <v>46115</v>
      </c>
    </row>
    <row r="353" spans="1:26" ht="23.25" hidden="1" x14ac:dyDescent="0.25">
      <c r="A353" s="12">
        <f>'Actual Dates'!A351</f>
        <v>0</v>
      </c>
      <c r="B353" s="13" t="str">
        <f>_xlfn.IFNA(VLOOKUP(A353,'Date Calcs'!A:B,2,),"")</f>
        <v/>
      </c>
      <c r="C353" s="14">
        <f>VLOOKUP(A353,'Actual Dates'!A:AE,18,)</f>
        <v>0</v>
      </c>
      <c r="D353" s="15">
        <f t="shared" ca="1" si="36"/>
        <v>46115</v>
      </c>
      <c r="E353" s="15">
        <f t="shared" ca="1" si="37"/>
        <v>46115</v>
      </c>
      <c r="F353" s="14">
        <f ca="1">IFERROR(ROUND(IF(A353="","",IF(E353=0,D353-Date!$B$3,D353-E353)),0),"")</f>
        <v>0</v>
      </c>
      <c r="G353" s="14" t="str">
        <f>_xlfn.IFNA(VLOOKUP(A353,'RTR v2'!A:AW,48,FALSE)," ")</f>
        <v/>
      </c>
      <c r="I353" s="16" t="str">
        <f t="shared" si="38"/>
        <v>N</v>
      </c>
      <c r="J353" s="16" t="str">
        <f t="shared" si="40"/>
        <v xml:space="preserve">  </v>
      </c>
      <c r="L353" s="17"/>
      <c r="M353" t="str">
        <f t="shared" si="41"/>
        <v xml:space="preserve"> </v>
      </c>
      <c r="N353">
        <f t="shared" si="42"/>
        <v>0</v>
      </c>
      <c r="O353">
        <f>IF(P353&lt;1,0,IF(VLOOKUP($A353,'Actual Dates'!$A:$G,5,0)="Y",1,0))</f>
        <v>0</v>
      </c>
      <c r="P353">
        <f>IF(Q353&lt;1,0,IF(VLOOKUP($A353,'Actual Dates'!$A:$G,4,0)="Y",1,0))</f>
        <v>0</v>
      </c>
      <c r="Q353">
        <f>IF(R353&lt;1,0,IF(VLOOKUP($A353,'Actual Dates'!$A:$G,3,0)="Y",1,0))</f>
        <v>0</v>
      </c>
      <c r="R353">
        <f>IF(VLOOKUP($A353,'Actual Dates'!$A:$G,2,0)="Y",1,0)</f>
        <v>0</v>
      </c>
      <c r="S353" s="4">
        <f ca="1">_xlfn.IFNA(+VLOOKUP(A353,'Date Calcs'!A:AG,8,),TODAY())</f>
        <v>46115</v>
      </c>
      <c r="T353" s="4">
        <f ca="1">_xlfn.IFNA(VLOOKUP(A353,'Date Calcs'!A:AG,10,),TODAY())</f>
        <v>46115</v>
      </c>
      <c r="U353" s="4">
        <f ca="1">_xlfn.IFNA(+VLOOKUP(A353,'Date Calcs'!A:AG,12,),TODAY())</f>
        <v>46115</v>
      </c>
      <c r="V353" s="4">
        <f ca="1">_xlfn.IFNA(+VLOOKUP(A353,'Date Calcs'!A:AG,14,),TODAY())</f>
        <v>46115</v>
      </c>
      <c r="W353" s="4">
        <f ca="1">_xlfn.IFNA(+VLOOKUP(A353,'Date Calcs'!A:AG,16,),TODAY())</f>
        <v>46115</v>
      </c>
      <c r="X353" s="4">
        <f ca="1">_xlfn.IFNA(IF(C353=0,VLOOKUP(A353,'Date Calcs'!A:AG,8,),IF(C353=1,VLOOKUP(A353,'Date Calcs'!A:AG,10,),IF(C353=2,VLOOKUP(A353,'Date Calcs'!A:AG,12,),IF(C353=3,VLOOKUP(A353,'Date Calcs'!A:AG,14,),4)))),TODAY())</f>
        <v>46115</v>
      </c>
      <c r="Y353" s="4">
        <f t="shared" ca="1" si="39"/>
        <v>46115</v>
      </c>
      <c r="Z353" s="4">
        <f ca="1">_xlfn.IFNA(Y353+(VLOOKUP(A353,'Date Calcs'!A:W,22,0)*7),TODAY())</f>
        <v>46115</v>
      </c>
    </row>
    <row r="354" spans="1:26" ht="23.25" hidden="1" x14ac:dyDescent="0.25">
      <c r="A354" s="12">
        <f>'Actual Dates'!A352</f>
        <v>0</v>
      </c>
      <c r="B354" s="13" t="str">
        <f>_xlfn.IFNA(VLOOKUP(A354,'Date Calcs'!A:B,2,),"")</f>
        <v/>
      </c>
      <c r="C354" s="14">
        <f>VLOOKUP(A354,'Actual Dates'!A:AE,18,)</f>
        <v>0</v>
      </c>
      <c r="D354" s="15">
        <f t="shared" ca="1" si="36"/>
        <v>46115</v>
      </c>
      <c r="E354" s="15">
        <f t="shared" ca="1" si="37"/>
        <v>46115</v>
      </c>
      <c r="F354" s="14">
        <f ca="1">IFERROR(ROUND(IF(A354="","",IF(E354=0,D354-Date!$B$3,D354-E354)),0),"")</f>
        <v>0</v>
      </c>
      <c r="G354" s="14" t="str">
        <f>_xlfn.IFNA(VLOOKUP(A354,'RTR v2'!A:AW,48,FALSE)," ")</f>
        <v/>
      </c>
      <c r="I354" s="16" t="str">
        <f t="shared" si="38"/>
        <v>N</v>
      </c>
      <c r="J354" s="16" t="str">
        <f t="shared" si="40"/>
        <v xml:space="preserve">  </v>
      </c>
      <c r="L354" s="17"/>
      <c r="M354" t="str">
        <f t="shared" si="41"/>
        <v xml:space="preserve"> </v>
      </c>
      <c r="N354">
        <f t="shared" si="42"/>
        <v>0</v>
      </c>
      <c r="O354">
        <f>IF(P354&lt;1,0,IF(VLOOKUP($A354,'Actual Dates'!$A:$G,5,0)="Y",1,0))</f>
        <v>0</v>
      </c>
      <c r="P354">
        <f>IF(Q354&lt;1,0,IF(VLOOKUP($A354,'Actual Dates'!$A:$G,4,0)="Y",1,0))</f>
        <v>0</v>
      </c>
      <c r="Q354">
        <f>IF(R354&lt;1,0,IF(VLOOKUP($A354,'Actual Dates'!$A:$G,3,0)="Y",1,0))</f>
        <v>0</v>
      </c>
      <c r="R354">
        <f>IF(VLOOKUP($A354,'Actual Dates'!$A:$G,2,0)="Y",1,0)</f>
        <v>0</v>
      </c>
      <c r="S354" s="4">
        <f ca="1">_xlfn.IFNA(+VLOOKUP(A354,'Date Calcs'!A:AG,8,),TODAY())</f>
        <v>46115</v>
      </c>
      <c r="T354" s="4">
        <f ca="1">_xlfn.IFNA(VLOOKUP(A354,'Date Calcs'!A:AG,10,),TODAY())</f>
        <v>46115</v>
      </c>
      <c r="U354" s="4">
        <f ca="1">_xlfn.IFNA(+VLOOKUP(A354,'Date Calcs'!A:AG,12,),TODAY())</f>
        <v>46115</v>
      </c>
      <c r="V354" s="4">
        <f ca="1">_xlfn.IFNA(+VLOOKUP(A354,'Date Calcs'!A:AG,14,),TODAY())</f>
        <v>46115</v>
      </c>
      <c r="W354" s="4">
        <f ca="1">_xlfn.IFNA(+VLOOKUP(A354,'Date Calcs'!A:AG,16,),TODAY())</f>
        <v>46115</v>
      </c>
      <c r="X354" s="4">
        <f ca="1">_xlfn.IFNA(IF(C354=0,VLOOKUP(A354,'Date Calcs'!A:AG,8,),IF(C354=1,VLOOKUP(A354,'Date Calcs'!A:AG,10,),IF(C354=2,VLOOKUP(A354,'Date Calcs'!A:AG,12,),IF(C354=3,VLOOKUP(A354,'Date Calcs'!A:AG,14,),4)))),TODAY())</f>
        <v>46115</v>
      </c>
      <c r="Y354" s="4">
        <f t="shared" ca="1" si="39"/>
        <v>46115</v>
      </c>
      <c r="Z354" s="4">
        <f ca="1">_xlfn.IFNA(Y354+(VLOOKUP(A354,'Date Calcs'!A:W,22,0)*7),TODAY())</f>
        <v>46115</v>
      </c>
    </row>
    <row r="355" spans="1:26" ht="23.25" hidden="1" x14ac:dyDescent="0.25">
      <c r="A355" s="12">
        <f>'Actual Dates'!A353</f>
        <v>0</v>
      </c>
      <c r="B355" s="13" t="str">
        <f>_xlfn.IFNA(VLOOKUP(A355,'Date Calcs'!A:B,2,),"")</f>
        <v/>
      </c>
      <c r="C355" s="14">
        <f>VLOOKUP(A355,'Actual Dates'!A:AE,18,)</f>
        <v>0</v>
      </c>
      <c r="D355" s="15">
        <f t="shared" ca="1" si="36"/>
        <v>46115</v>
      </c>
      <c r="E355" s="15">
        <f t="shared" ca="1" si="37"/>
        <v>46115</v>
      </c>
      <c r="F355" s="14">
        <f ca="1">IFERROR(ROUND(IF(A355="","",IF(E355=0,D355-Date!$B$3,D355-E355)),0),"")</f>
        <v>0</v>
      </c>
      <c r="G355" s="14" t="str">
        <f>_xlfn.IFNA(VLOOKUP(A355,'RTR v2'!A:AW,48,FALSE)," ")</f>
        <v/>
      </c>
      <c r="I355" s="16" t="str">
        <f t="shared" si="38"/>
        <v>N</v>
      </c>
      <c r="J355" s="16" t="str">
        <f t="shared" si="40"/>
        <v xml:space="preserve">  </v>
      </c>
      <c r="L355" s="17"/>
      <c r="M355" t="str">
        <f t="shared" si="41"/>
        <v xml:space="preserve"> </v>
      </c>
      <c r="N355">
        <f t="shared" si="42"/>
        <v>0</v>
      </c>
      <c r="O355">
        <f>IF(P355&lt;1,0,IF(VLOOKUP($A355,'Actual Dates'!$A:$G,5,0)="Y",1,0))</f>
        <v>0</v>
      </c>
      <c r="P355">
        <f>IF(Q355&lt;1,0,IF(VLOOKUP($A355,'Actual Dates'!$A:$G,4,0)="Y",1,0))</f>
        <v>0</v>
      </c>
      <c r="Q355">
        <f>IF(R355&lt;1,0,IF(VLOOKUP($A355,'Actual Dates'!$A:$G,3,0)="Y",1,0))</f>
        <v>0</v>
      </c>
      <c r="R355">
        <f>IF(VLOOKUP($A355,'Actual Dates'!$A:$G,2,0)="Y",1,0)</f>
        <v>0</v>
      </c>
      <c r="S355" s="4">
        <f ca="1">_xlfn.IFNA(+VLOOKUP(A355,'Date Calcs'!A:AG,8,),TODAY())</f>
        <v>46115</v>
      </c>
      <c r="T355" s="4">
        <f ca="1">_xlfn.IFNA(VLOOKUP(A355,'Date Calcs'!A:AG,10,),TODAY())</f>
        <v>46115</v>
      </c>
      <c r="U355" s="4">
        <f ca="1">_xlfn.IFNA(+VLOOKUP(A355,'Date Calcs'!A:AG,12,),TODAY())</f>
        <v>46115</v>
      </c>
      <c r="V355" s="4">
        <f ca="1">_xlfn.IFNA(+VLOOKUP(A355,'Date Calcs'!A:AG,14,),TODAY())</f>
        <v>46115</v>
      </c>
      <c r="W355" s="4">
        <f ca="1">_xlfn.IFNA(+VLOOKUP(A355,'Date Calcs'!A:AG,16,),TODAY())</f>
        <v>46115</v>
      </c>
      <c r="X355" s="4">
        <f ca="1">_xlfn.IFNA(IF(C355=0,VLOOKUP(A355,'Date Calcs'!A:AG,8,),IF(C355=1,VLOOKUP(A355,'Date Calcs'!A:AG,10,),IF(C355=2,VLOOKUP(A355,'Date Calcs'!A:AG,12,),IF(C355=3,VLOOKUP(A355,'Date Calcs'!A:AG,14,),4)))),TODAY())</f>
        <v>46115</v>
      </c>
      <c r="Y355" s="4">
        <f t="shared" ca="1" si="39"/>
        <v>46115</v>
      </c>
      <c r="Z355" s="4">
        <f ca="1">_xlfn.IFNA(Y355+(VLOOKUP(A355,'Date Calcs'!A:W,22,0)*7),TODAY())</f>
        <v>46115</v>
      </c>
    </row>
    <row r="356" spans="1:26" ht="23.25" hidden="1" x14ac:dyDescent="0.25">
      <c r="A356" s="12">
        <f>'Actual Dates'!A354</f>
        <v>0</v>
      </c>
      <c r="B356" s="13" t="str">
        <f>_xlfn.IFNA(VLOOKUP(A356,'Date Calcs'!A:B,2,),"")</f>
        <v/>
      </c>
      <c r="C356" s="14">
        <f>VLOOKUP(A356,'Actual Dates'!A:AE,18,)</f>
        <v>0</v>
      </c>
      <c r="D356" s="15">
        <f t="shared" ca="1" si="36"/>
        <v>46115</v>
      </c>
      <c r="E356" s="15">
        <f t="shared" ca="1" si="37"/>
        <v>46115</v>
      </c>
      <c r="F356" s="14">
        <f ca="1">IFERROR(ROUND(IF(A356="","",IF(E356=0,D356-Date!$B$3,D356-E356)),0),"")</f>
        <v>0</v>
      </c>
      <c r="G356" s="14" t="str">
        <f>_xlfn.IFNA(VLOOKUP(A356,'RTR v2'!A:AW,48,FALSE)," ")</f>
        <v/>
      </c>
      <c r="I356" s="16" t="str">
        <f t="shared" si="38"/>
        <v>N</v>
      </c>
      <c r="J356" s="16" t="str">
        <f t="shared" si="40"/>
        <v xml:space="preserve">  </v>
      </c>
      <c r="L356" s="17"/>
      <c r="M356" t="str">
        <f t="shared" si="41"/>
        <v xml:space="preserve"> </v>
      </c>
      <c r="N356">
        <f t="shared" si="42"/>
        <v>0</v>
      </c>
      <c r="O356">
        <f>IF(P356&lt;1,0,IF(VLOOKUP($A356,'Actual Dates'!$A:$G,5,0)="Y",1,0))</f>
        <v>0</v>
      </c>
      <c r="P356">
        <f>IF(Q356&lt;1,0,IF(VLOOKUP($A356,'Actual Dates'!$A:$G,4,0)="Y",1,0))</f>
        <v>0</v>
      </c>
      <c r="Q356">
        <f>IF(R356&lt;1,0,IF(VLOOKUP($A356,'Actual Dates'!$A:$G,3,0)="Y",1,0))</f>
        <v>0</v>
      </c>
      <c r="R356">
        <f>IF(VLOOKUP($A356,'Actual Dates'!$A:$G,2,0)="Y",1,0)</f>
        <v>0</v>
      </c>
      <c r="S356" s="4">
        <f ca="1">_xlfn.IFNA(+VLOOKUP(A356,'Date Calcs'!A:AG,8,),TODAY())</f>
        <v>46115</v>
      </c>
      <c r="T356" s="4">
        <f ca="1">_xlfn.IFNA(VLOOKUP(A356,'Date Calcs'!A:AG,10,),TODAY())</f>
        <v>46115</v>
      </c>
      <c r="U356" s="4">
        <f ca="1">_xlfn.IFNA(+VLOOKUP(A356,'Date Calcs'!A:AG,12,),TODAY())</f>
        <v>46115</v>
      </c>
      <c r="V356" s="4">
        <f ca="1">_xlfn.IFNA(+VLOOKUP(A356,'Date Calcs'!A:AG,14,),TODAY())</f>
        <v>46115</v>
      </c>
      <c r="W356" s="4">
        <f ca="1">_xlfn.IFNA(+VLOOKUP(A356,'Date Calcs'!A:AG,16,),TODAY())</f>
        <v>46115</v>
      </c>
      <c r="X356" s="4">
        <f ca="1">_xlfn.IFNA(IF(C356=0,VLOOKUP(A356,'Date Calcs'!A:AG,8,),IF(C356=1,VLOOKUP(A356,'Date Calcs'!A:AG,10,),IF(C356=2,VLOOKUP(A356,'Date Calcs'!A:AG,12,),IF(C356=3,VLOOKUP(A356,'Date Calcs'!A:AG,14,),4)))),TODAY())</f>
        <v>46115</v>
      </c>
      <c r="Y356" s="4">
        <f t="shared" ca="1" si="39"/>
        <v>46115</v>
      </c>
      <c r="Z356" s="4">
        <f ca="1">_xlfn.IFNA(Y356+(VLOOKUP(A356,'Date Calcs'!A:W,22,0)*7),TODAY())</f>
        <v>46115</v>
      </c>
    </row>
    <row r="357" spans="1:26" ht="23.25" hidden="1" x14ac:dyDescent="0.25">
      <c r="A357" s="12">
        <f>'Actual Dates'!A355</f>
        <v>0</v>
      </c>
      <c r="B357" s="13" t="str">
        <f>_xlfn.IFNA(VLOOKUP(A357,'Date Calcs'!A:B,2,),"")</f>
        <v/>
      </c>
      <c r="C357" s="14">
        <f>VLOOKUP(A357,'Actual Dates'!A:AE,18,)</f>
        <v>0</v>
      </c>
      <c r="D357" s="15">
        <f t="shared" ca="1" si="36"/>
        <v>46115</v>
      </c>
      <c r="E357" s="15">
        <f t="shared" ca="1" si="37"/>
        <v>46115</v>
      </c>
      <c r="F357" s="14">
        <f ca="1">IFERROR(ROUND(IF(A357="","",IF(E357=0,D357-Date!$B$3,D357-E357)),0),"")</f>
        <v>0</v>
      </c>
      <c r="G357" s="14" t="str">
        <f>_xlfn.IFNA(VLOOKUP(A357,'RTR v2'!A:AW,48,FALSE)," ")</f>
        <v/>
      </c>
      <c r="I357" s="16" t="str">
        <f t="shared" si="38"/>
        <v>N</v>
      </c>
      <c r="J357" s="16" t="str">
        <f t="shared" si="40"/>
        <v xml:space="preserve">  </v>
      </c>
      <c r="L357" s="17"/>
      <c r="M357" t="str">
        <f t="shared" si="41"/>
        <v xml:space="preserve"> </v>
      </c>
      <c r="N357">
        <f t="shared" si="42"/>
        <v>0</v>
      </c>
      <c r="O357">
        <f>IF(P357&lt;1,0,IF(VLOOKUP($A357,'Actual Dates'!$A:$G,5,0)="Y",1,0))</f>
        <v>0</v>
      </c>
      <c r="P357">
        <f>IF(Q357&lt;1,0,IF(VLOOKUP($A357,'Actual Dates'!$A:$G,4,0)="Y",1,0))</f>
        <v>0</v>
      </c>
      <c r="Q357">
        <f>IF(R357&lt;1,0,IF(VLOOKUP($A357,'Actual Dates'!$A:$G,3,0)="Y",1,0))</f>
        <v>0</v>
      </c>
      <c r="R357">
        <f>IF(VLOOKUP($A357,'Actual Dates'!$A:$G,2,0)="Y",1,0)</f>
        <v>0</v>
      </c>
      <c r="S357" s="4">
        <f ca="1">_xlfn.IFNA(+VLOOKUP(A357,'Date Calcs'!A:AG,8,),TODAY())</f>
        <v>46115</v>
      </c>
      <c r="T357" s="4">
        <f ca="1">_xlfn.IFNA(VLOOKUP(A357,'Date Calcs'!A:AG,10,),TODAY())</f>
        <v>46115</v>
      </c>
      <c r="U357" s="4">
        <f ca="1">_xlfn.IFNA(+VLOOKUP(A357,'Date Calcs'!A:AG,12,),TODAY())</f>
        <v>46115</v>
      </c>
      <c r="V357" s="4">
        <f ca="1">_xlfn.IFNA(+VLOOKUP(A357,'Date Calcs'!A:AG,14,),TODAY())</f>
        <v>46115</v>
      </c>
      <c r="W357" s="4">
        <f ca="1">_xlfn.IFNA(+VLOOKUP(A357,'Date Calcs'!A:AG,16,),TODAY())</f>
        <v>46115</v>
      </c>
      <c r="X357" s="4">
        <f ca="1">_xlfn.IFNA(IF(C357=0,VLOOKUP(A357,'Date Calcs'!A:AG,8,),IF(C357=1,VLOOKUP(A357,'Date Calcs'!A:AG,10,),IF(C357=2,VLOOKUP(A357,'Date Calcs'!A:AG,12,),IF(C357=3,VLOOKUP(A357,'Date Calcs'!A:AG,14,),4)))),TODAY())</f>
        <v>46115</v>
      </c>
      <c r="Y357" s="4">
        <f t="shared" ca="1" si="39"/>
        <v>46115</v>
      </c>
      <c r="Z357" s="4">
        <f ca="1">_xlfn.IFNA(Y357+(VLOOKUP(A357,'Date Calcs'!A:W,22,0)*7),TODAY())</f>
        <v>46115</v>
      </c>
    </row>
    <row r="358" spans="1:26" ht="23.25" hidden="1" x14ac:dyDescent="0.25">
      <c r="A358" s="12">
        <f>'Actual Dates'!A356</f>
        <v>0</v>
      </c>
      <c r="B358" s="13" t="str">
        <f>_xlfn.IFNA(VLOOKUP(A358,'Date Calcs'!A:B,2,),"")</f>
        <v/>
      </c>
      <c r="C358" s="14">
        <f>VLOOKUP(A358,'Actual Dates'!A:AE,18,)</f>
        <v>0</v>
      </c>
      <c r="D358" s="15">
        <f t="shared" ca="1" si="36"/>
        <v>46115</v>
      </c>
      <c r="E358" s="15">
        <f t="shared" ca="1" si="37"/>
        <v>46115</v>
      </c>
      <c r="F358" s="14">
        <f ca="1">IFERROR(ROUND(IF(A358="","",IF(E358=0,D358-Date!$B$3,D358-E358)),0),"")</f>
        <v>0</v>
      </c>
      <c r="G358" s="14" t="str">
        <f>_xlfn.IFNA(VLOOKUP(A358,'RTR v2'!A:AW,48,FALSE)," ")</f>
        <v/>
      </c>
      <c r="I358" s="16" t="str">
        <f t="shared" si="38"/>
        <v>N</v>
      </c>
      <c r="J358" s="16" t="str">
        <f t="shared" si="40"/>
        <v xml:space="preserve">  </v>
      </c>
      <c r="L358" s="17"/>
      <c r="M358" t="str">
        <f t="shared" si="41"/>
        <v xml:space="preserve"> </v>
      </c>
      <c r="N358">
        <f t="shared" si="42"/>
        <v>0</v>
      </c>
      <c r="O358">
        <f>IF(P358&lt;1,0,IF(VLOOKUP($A358,'Actual Dates'!$A:$G,5,0)="Y",1,0))</f>
        <v>0</v>
      </c>
      <c r="P358">
        <f>IF(Q358&lt;1,0,IF(VLOOKUP($A358,'Actual Dates'!$A:$G,4,0)="Y",1,0))</f>
        <v>0</v>
      </c>
      <c r="Q358">
        <f>IF(R358&lt;1,0,IF(VLOOKUP($A358,'Actual Dates'!$A:$G,3,0)="Y",1,0))</f>
        <v>0</v>
      </c>
      <c r="R358">
        <f>IF(VLOOKUP($A358,'Actual Dates'!$A:$G,2,0)="Y",1,0)</f>
        <v>0</v>
      </c>
      <c r="S358" s="4">
        <f ca="1">_xlfn.IFNA(+VLOOKUP(A358,'Date Calcs'!A:AG,8,),TODAY())</f>
        <v>46115</v>
      </c>
      <c r="T358" s="4">
        <f ca="1">_xlfn.IFNA(VLOOKUP(A358,'Date Calcs'!A:AG,10,),TODAY())</f>
        <v>46115</v>
      </c>
      <c r="U358" s="4">
        <f ca="1">_xlfn.IFNA(+VLOOKUP(A358,'Date Calcs'!A:AG,12,),TODAY())</f>
        <v>46115</v>
      </c>
      <c r="V358" s="4">
        <f ca="1">_xlfn.IFNA(+VLOOKUP(A358,'Date Calcs'!A:AG,14,),TODAY())</f>
        <v>46115</v>
      </c>
      <c r="W358" s="4">
        <f ca="1">_xlfn.IFNA(+VLOOKUP(A358,'Date Calcs'!A:AG,16,),TODAY())</f>
        <v>46115</v>
      </c>
      <c r="X358" s="4">
        <f ca="1">_xlfn.IFNA(IF(C358=0,VLOOKUP(A358,'Date Calcs'!A:AG,8,),IF(C358=1,VLOOKUP(A358,'Date Calcs'!A:AG,10,),IF(C358=2,VLOOKUP(A358,'Date Calcs'!A:AG,12,),IF(C358=3,VLOOKUP(A358,'Date Calcs'!A:AG,14,),4)))),TODAY())</f>
        <v>46115</v>
      </c>
      <c r="Y358" s="4">
        <f t="shared" ca="1" si="39"/>
        <v>46115</v>
      </c>
      <c r="Z358" s="4">
        <f ca="1">_xlfn.IFNA(Y358+(VLOOKUP(A358,'Date Calcs'!A:W,22,0)*7),TODAY())</f>
        <v>46115</v>
      </c>
    </row>
    <row r="359" spans="1:26" ht="23.25" hidden="1" x14ac:dyDescent="0.25">
      <c r="A359" s="12">
        <f>'Actual Dates'!A357</f>
        <v>0</v>
      </c>
      <c r="B359" s="13" t="str">
        <f>_xlfn.IFNA(VLOOKUP(A359,'Date Calcs'!A:B,2,),"")</f>
        <v/>
      </c>
      <c r="C359" s="14">
        <f>VLOOKUP(A359,'Actual Dates'!A:AE,18,)</f>
        <v>0</v>
      </c>
      <c r="D359" s="15">
        <f t="shared" ca="1" si="36"/>
        <v>46115</v>
      </c>
      <c r="E359" s="15">
        <f t="shared" ca="1" si="37"/>
        <v>46115</v>
      </c>
      <c r="F359" s="14">
        <f ca="1">IFERROR(ROUND(IF(A359="","",IF(E359=0,D359-Date!$B$3,D359-E359)),0),"")</f>
        <v>0</v>
      </c>
      <c r="G359" s="14" t="str">
        <f>_xlfn.IFNA(VLOOKUP(A359,'RTR v2'!A:AW,48,FALSE)," ")</f>
        <v/>
      </c>
      <c r="I359" s="16" t="str">
        <f t="shared" si="38"/>
        <v>N</v>
      </c>
      <c r="J359" s="16" t="str">
        <f t="shared" si="40"/>
        <v xml:space="preserve">  </v>
      </c>
      <c r="L359" s="17"/>
      <c r="M359" t="str">
        <f t="shared" si="41"/>
        <v xml:space="preserve"> </v>
      </c>
      <c r="N359">
        <f t="shared" si="42"/>
        <v>0</v>
      </c>
      <c r="O359">
        <f>IF(P359&lt;1,0,IF(VLOOKUP($A359,'Actual Dates'!$A:$G,5,0)="Y",1,0))</f>
        <v>0</v>
      </c>
      <c r="P359">
        <f>IF(Q359&lt;1,0,IF(VLOOKUP($A359,'Actual Dates'!$A:$G,4,0)="Y",1,0))</f>
        <v>0</v>
      </c>
      <c r="Q359">
        <f>IF(R359&lt;1,0,IF(VLOOKUP($A359,'Actual Dates'!$A:$G,3,0)="Y",1,0))</f>
        <v>0</v>
      </c>
      <c r="R359">
        <f>IF(VLOOKUP($A359,'Actual Dates'!$A:$G,2,0)="Y",1,0)</f>
        <v>0</v>
      </c>
      <c r="S359" s="4">
        <f ca="1">_xlfn.IFNA(+VLOOKUP(A359,'Date Calcs'!A:AG,8,),TODAY())</f>
        <v>46115</v>
      </c>
      <c r="T359" s="4">
        <f ca="1">_xlfn.IFNA(VLOOKUP(A359,'Date Calcs'!A:AG,10,),TODAY())</f>
        <v>46115</v>
      </c>
      <c r="U359" s="4">
        <f ca="1">_xlfn.IFNA(+VLOOKUP(A359,'Date Calcs'!A:AG,12,),TODAY())</f>
        <v>46115</v>
      </c>
      <c r="V359" s="4">
        <f ca="1">_xlfn.IFNA(+VLOOKUP(A359,'Date Calcs'!A:AG,14,),TODAY())</f>
        <v>46115</v>
      </c>
      <c r="W359" s="4">
        <f ca="1">_xlfn.IFNA(+VLOOKUP(A359,'Date Calcs'!A:AG,16,),TODAY())</f>
        <v>46115</v>
      </c>
      <c r="X359" s="4">
        <f ca="1">_xlfn.IFNA(IF(C359=0,VLOOKUP(A359,'Date Calcs'!A:AG,8,),IF(C359=1,VLOOKUP(A359,'Date Calcs'!A:AG,10,),IF(C359=2,VLOOKUP(A359,'Date Calcs'!A:AG,12,),IF(C359=3,VLOOKUP(A359,'Date Calcs'!A:AG,14,),4)))),TODAY())</f>
        <v>46115</v>
      </c>
      <c r="Y359" s="4">
        <f t="shared" ca="1" si="39"/>
        <v>46115</v>
      </c>
      <c r="Z359" s="4">
        <f ca="1">_xlfn.IFNA(Y359+(VLOOKUP(A359,'Date Calcs'!A:W,22,0)*7),TODAY())</f>
        <v>46115</v>
      </c>
    </row>
    <row r="360" spans="1:26" ht="23.25" hidden="1" x14ac:dyDescent="0.25">
      <c r="A360" s="12">
        <f>'Actual Dates'!A358</f>
        <v>0</v>
      </c>
      <c r="B360" s="13" t="str">
        <f>_xlfn.IFNA(VLOOKUP(A360,'Date Calcs'!A:B,2,),"")</f>
        <v/>
      </c>
      <c r="C360" s="14">
        <f>VLOOKUP(A360,'Actual Dates'!A:AE,18,)</f>
        <v>0</v>
      </c>
      <c r="D360" s="15">
        <f t="shared" ca="1" si="36"/>
        <v>46115</v>
      </c>
      <c r="E360" s="15">
        <f t="shared" ca="1" si="37"/>
        <v>46115</v>
      </c>
      <c r="F360" s="14">
        <f ca="1">IFERROR(ROUND(IF(A360="","",IF(E360=0,D360-Date!$B$3,D360-E360)),0),"")</f>
        <v>0</v>
      </c>
      <c r="G360" s="14" t="str">
        <f>_xlfn.IFNA(VLOOKUP(A360,'RTR v2'!A:AW,48,FALSE)," ")</f>
        <v/>
      </c>
      <c r="I360" s="16" t="str">
        <f t="shared" si="38"/>
        <v>N</v>
      </c>
      <c r="J360" s="16" t="str">
        <f t="shared" si="40"/>
        <v xml:space="preserve">  </v>
      </c>
      <c r="L360" s="17"/>
      <c r="M360" t="str">
        <f t="shared" si="41"/>
        <v xml:space="preserve"> </v>
      </c>
      <c r="N360">
        <f t="shared" si="42"/>
        <v>0</v>
      </c>
      <c r="O360">
        <f>IF(P360&lt;1,0,IF(VLOOKUP($A360,'Actual Dates'!$A:$G,5,0)="Y",1,0))</f>
        <v>0</v>
      </c>
      <c r="P360">
        <f>IF(Q360&lt;1,0,IF(VLOOKUP($A360,'Actual Dates'!$A:$G,4,0)="Y",1,0))</f>
        <v>0</v>
      </c>
      <c r="Q360">
        <f>IF(R360&lt;1,0,IF(VLOOKUP($A360,'Actual Dates'!$A:$G,3,0)="Y",1,0))</f>
        <v>0</v>
      </c>
      <c r="R360">
        <f>IF(VLOOKUP($A360,'Actual Dates'!$A:$G,2,0)="Y",1,0)</f>
        <v>0</v>
      </c>
      <c r="S360" s="4">
        <f ca="1">_xlfn.IFNA(+VLOOKUP(A360,'Date Calcs'!A:AG,8,),TODAY())</f>
        <v>46115</v>
      </c>
      <c r="T360" s="4">
        <f ca="1">_xlfn.IFNA(VLOOKUP(A360,'Date Calcs'!A:AG,10,),TODAY())</f>
        <v>46115</v>
      </c>
      <c r="U360" s="4">
        <f ca="1">_xlfn.IFNA(+VLOOKUP(A360,'Date Calcs'!A:AG,12,),TODAY())</f>
        <v>46115</v>
      </c>
      <c r="V360" s="4">
        <f ca="1">_xlfn.IFNA(+VLOOKUP(A360,'Date Calcs'!A:AG,14,),TODAY())</f>
        <v>46115</v>
      </c>
      <c r="W360" s="4">
        <f ca="1">_xlfn.IFNA(+VLOOKUP(A360,'Date Calcs'!A:AG,16,),TODAY())</f>
        <v>46115</v>
      </c>
      <c r="X360" s="4">
        <f ca="1">_xlfn.IFNA(IF(C360=0,VLOOKUP(A360,'Date Calcs'!A:AG,8,),IF(C360=1,VLOOKUP(A360,'Date Calcs'!A:AG,10,),IF(C360=2,VLOOKUP(A360,'Date Calcs'!A:AG,12,),IF(C360=3,VLOOKUP(A360,'Date Calcs'!A:AG,14,),4)))),TODAY())</f>
        <v>46115</v>
      </c>
      <c r="Y360" s="4">
        <f t="shared" ca="1" si="39"/>
        <v>46115</v>
      </c>
      <c r="Z360" s="4">
        <f ca="1">_xlfn.IFNA(Y360+(VLOOKUP(A360,'Date Calcs'!A:W,22,0)*7),TODAY())</f>
        <v>46115</v>
      </c>
    </row>
    <row r="361" spans="1:26" ht="23.25" hidden="1" x14ac:dyDescent="0.25">
      <c r="A361" s="12">
        <f>'Actual Dates'!A359</f>
        <v>0</v>
      </c>
      <c r="B361" s="13" t="str">
        <f>_xlfn.IFNA(VLOOKUP(A361,'Date Calcs'!A:B,2,),"")</f>
        <v/>
      </c>
      <c r="C361" s="14">
        <f>VLOOKUP(A361,'Actual Dates'!A:AE,18,)</f>
        <v>0</v>
      </c>
      <c r="D361" s="15">
        <f t="shared" ca="1" si="36"/>
        <v>46115</v>
      </c>
      <c r="E361" s="15">
        <f t="shared" ca="1" si="37"/>
        <v>46115</v>
      </c>
      <c r="F361" s="14">
        <f ca="1">IFERROR(ROUND(IF(A361="","",IF(E361=0,D361-Date!$B$3,D361-E361)),0),"")</f>
        <v>0</v>
      </c>
      <c r="G361" s="14" t="str">
        <f>_xlfn.IFNA(VLOOKUP(A361,'RTR v2'!A:AW,48,FALSE)," ")</f>
        <v/>
      </c>
      <c r="I361" s="16" t="str">
        <f t="shared" si="38"/>
        <v>N</v>
      </c>
      <c r="J361" s="16" t="str">
        <f t="shared" si="40"/>
        <v xml:space="preserve">  </v>
      </c>
      <c r="L361" s="17"/>
      <c r="M361" t="str">
        <f t="shared" si="41"/>
        <v xml:space="preserve"> </v>
      </c>
      <c r="N361">
        <f t="shared" si="42"/>
        <v>0</v>
      </c>
      <c r="O361">
        <f>IF(P361&lt;1,0,IF(VLOOKUP($A361,'Actual Dates'!$A:$G,5,0)="Y",1,0))</f>
        <v>0</v>
      </c>
      <c r="P361">
        <f>IF(Q361&lt;1,0,IF(VLOOKUP($A361,'Actual Dates'!$A:$G,4,0)="Y",1,0))</f>
        <v>0</v>
      </c>
      <c r="Q361">
        <f>IF(R361&lt;1,0,IF(VLOOKUP($A361,'Actual Dates'!$A:$G,3,0)="Y",1,0))</f>
        <v>0</v>
      </c>
      <c r="R361">
        <f>IF(VLOOKUP($A361,'Actual Dates'!$A:$G,2,0)="Y",1,0)</f>
        <v>0</v>
      </c>
      <c r="S361" s="4">
        <f ca="1">_xlfn.IFNA(+VLOOKUP(A361,'Date Calcs'!A:AG,8,),TODAY())</f>
        <v>46115</v>
      </c>
      <c r="T361" s="4">
        <f ca="1">_xlfn.IFNA(VLOOKUP(A361,'Date Calcs'!A:AG,10,),TODAY())</f>
        <v>46115</v>
      </c>
      <c r="U361" s="4">
        <f ca="1">_xlfn.IFNA(+VLOOKUP(A361,'Date Calcs'!A:AG,12,),TODAY())</f>
        <v>46115</v>
      </c>
      <c r="V361" s="4">
        <f ca="1">_xlfn.IFNA(+VLOOKUP(A361,'Date Calcs'!A:AG,14,),TODAY())</f>
        <v>46115</v>
      </c>
      <c r="W361" s="4">
        <f ca="1">_xlfn.IFNA(+VLOOKUP(A361,'Date Calcs'!A:AG,16,),TODAY())</f>
        <v>46115</v>
      </c>
      <c r="X361" s="4">
        <f ca="1">_xlfn.IFNA(IF(C361=0,VLOOKUP(A361,'Date Calcs'!A:AG,8,),IF(C361=1,VLOOKUP(A361,'Date Calcs'!A:AG,10,),IF(C361=2,VLOOKUP(A361,'Date Calcs'!A:AG,12,),IF(C361=3,VLOOKUP(A361,'Date Calcs'!A:AG,14,),4)))),TODAY())</f>
        <v>46115</v>
      </c>
      <c r="Y361" s="4">
        <f t="shared" ca="1" si="39"/>
        <v>46115</v>
      </c>
      <c r="Z361" s="4">
        <f ca="1">_xlfn.IFNA(Y361+(VLOOKUP(A361,'Date Calcs'!A:W,22,0)*7),TODAY())</f>
        <v>46115</v>
      </c>
    </row>
  </sheetData>
  <sheetProtection autoFilter="0"/>
  <autoFilter ref="A5:J361" xr:uid="{00000000-0001-0000-0000-000000000000}">
    <filterColumn colId="1">
      <customFilters>
        <customFilter operator="notEqual" val=" "/>
      </customFilters>
    </filterColumn>
    <filterColumn colId="8">
      <filters>
        <filter val="N"/>
      </filters>
    </filterColumn>
    <filterColumn colId="9">
      <filters blank="1"/>
    </filterColumn>
  </autoFilter>
  <mergeCells count="1">
    <mergeCell ref="A1:G1"/>
  </mergeCells>
  <conditionalFormatting sqref="E6:E361">
    <cfRule type="timePeriod" dxfId="70" priority="2" timePeriod="today">
      <formula>FLOOR(E6,1)=TODAY()</formula>
    </cfRule>
  </conditionalFormatting>
  <conditionalFormatting sqref="G6:G361">
    <cfRule type="containsText" dxfId="69" priority="3" operator="containsText" text="Hold">
      <formula>NOT(ISERROR(SEARCH("Hold",G6)))</formula>
    </cfRule>
    <cfRule type="expression" dxfId="68" priority="4">
      <formula>$F6=1</formula>
    </cfRule>
    <cfRule type="expression" dxfId="67" priority="5">
      <formula>$F6=0</formula>
    </cfRule>
    <cfRule type="expression" dxfId="66" priority="6">
      <formula>$F6&lt;0</formula>
    </cfRule>
    <cfRule type="expression" dxfId="65" priority="7">
      <formula>$F6&gt;1</formula>
    </cfRule>
  </conditionalFormatting>
  <pageMargins left="0.25" right="0.25" top="0.75" bottom="0.75" header="0.511811023622047" footer="0.3"/>
  <pageSetup scale="87" orientation="portrait" horizontalDpi="300" verticalDpi="300" r:id="rId1"/>
  <headerFooter>
    <oddFooter>&amp;L&amp;D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J361"/>
  <sheetViews>
    <sheetView zoomScale="80" zoomScaleNormal="80" workbookViewId="0">
      <selection activeCell="I369" sqref="I369"/>
    </sheetView>
  </sheetViews>
  <sheetFormatPr defaultColWidth="8.7109375" defaultRowHeight="15" x14ac:dyDescent="0.25"/>
  <cols>
    <col min="1" max="1" width="19.5703125" customWidth="1"/>
    <col min="2" max="2" width="39.5703125" customWidth="1"/>
    <col min="3" max="3" width="6.7109375" customWidth="1"/>
    <col min="4" max="4" width="19.7109375" customWidth="1"/>
    <col min="5" max="5" width="19.7109375" hidden="1" customWidth="1"/>
    <col min="6" max="6" width="15.7109375" customWidth="1"/>
    <col min="7" max="7" width="10.7109375" customWidth="1"/>
    <col min="9" max="9" width="8.140625" customWidth="1"/>
    <col min="10" max="10" width="7.85546875" customWidth="1"/>
  </cols>
  <sheetData>
    <row r="1" spans="1:10" ht="24.75" customHeight="1" x14ac:dyDescent="0.25">
      <c r="A1" s="163" t="s">
        <v>14</v>
      </c>
      <c r="B1" s="163"/>
      <c r="C1" s="163"/>
      <c r="D1" s="163"/>
      <c r="E1" s="163"/>
      <c r="F1" s="163"/>
      <c r="G1" s="163"/>
    </row>
    <row r="2" spans="1:10" ht="15" customHeight="1" x14ac:dyDescent="0.25">
      <c r="A2" s="5"/>
      <c r="B2" s="5"/>
      <c r="C2" s="5"/>
      <c r="D2" s="5"/>
      <c r="E2" s="5"/>
      <c r="F2" s="6" t="s">
        <v>1</v>
      </c>
      <c r="G2" s="7"/>
    </row>
    <row r="3" spans="1:10" ht="15" customHeight="1" x14ac:dyDescent="0.25">
      <c r="A3" s="5"/>
      <c r="B3" s="5"/>
      <c r="C3" s="5"/>
      <c r="D3" s="5"/>
      <c r="E3" s="5"/>
      <c r="F3" s="6" t="s">
        <v>2</v>
      </c>
      <c r="G3" s="8"/>
    </row>
    <row r="4" spans="1:10" ht="15" customHeight="1" x14ac:dyDescent="0.25">
      <c r="A4" s="5"/>
      <c r="B4" s="5"/>
      <c r="C4" s="5"/>
      <c r="D4" s="5"/>
      <c r="E4" s="5"/>
      <c r="F4" s="6" t="s">
        <v>3</v>
      </c>
      <c r="G4" s="9"/>
      <c r="I4" s="18" t="s">
        <v>15</v>
      </c>
      <c r="J4" s="18" t="s">
        <v>15</v>
      </c>
    </row>
    <row r="5" spans="1:10" ht="31.5" customHeight="1" x14ac:dyDescent="0.25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I5" s="19" t="s">
        <v>16</v>
      </c>
      <c r="J5" s="19" t="s">
        <v>13</v>
      </c>
    </row>
    <row r="6" spans="1:10" ht="23.25" hidden="1" x14ac:dyDescent="0.25">
      <c r="A6" s="12" t="str">
        <f>'Drawing Submittal'!A6</f>
        <v>24-046</v>
      </c>
      <c r="B6" s="13" t="str">
        <f>_xlfn.IFNA(VLOOKUP(A6,'Date Calcs'!A:AG,2,),"")</f>
        <v>SYMS Engineering</v>
      </c>
      <c r="C6" s="14">
        <f>_xlfn.IFNA(VLOOKUP(A6,'Actual Dates'!A:AE,6,),"")</f>
        <v>3</v>
      </c>
      <c r="D6" s="15">
        <f>IF(C6="  ","  ",IF(C6=0,VLOOKUP(A6,'Date Calcs'!A:AG,9,),IF(C6=1,VLOOKUP(A6,'Date Calcs'!A:AG,11,),IF(C6=2,VLOOKUP(A6,'Date Calcs'!A:AG,13,),IF(C6=3,VLOOKUP(A6,'Date Calcs'!A:AG,15,),4)))))</f>
        <v>45882</v>
      </c>
      <c r="E6" s="15">
        <f>IF(_xlfn.IFNA(IF(D6="  "," ",VLOOKUP(A6,'Actual Dates'!A:AE,20,0)),"")&lt;1,"-",_xlfn.IFNA(IF(D6="  "," ",VLOOKUP(A6,'Actual Dates'!A:AE,20,0)),""))</f>
        <v>45883</v>
      </c>
      <c r="F6" s="12">
        <f ca="1">IFERROR(IF(A6="","",D6-Date!$B$3),"")</f>
        <v>-233</v>
      </c>
      <c r="G6" s="20"/>
      <c r="I6" s="21">
        <f t="shared" ref="I6:I69" si="0">IF(C6=0,IF(VLOOKUP(A6,Dates,9,)&gt;0,1,"  "),IF(C6=1,IF(VLOOKUP(A6,Dates,11,)&gt;0,1,"  "),IF(C6=2,IF(VLOOKUP(A6,Dates,13,)&gt;0,1,"  "),IF(C6=3,IF(VLOOKUP(A6,Dates,15,)&gt;0,1,"  ")))))</f>
        <v>1</v>
      </c>
      <c r="J6" s="21" t="str">
        <f t="shared" ref="J6:J34" si="1">VLOOKUP(A6,Dates,7,)</f>
        <v>y</v>
      </c>
    </row>
    <row r="7" spans="1:10" ht="23.25" hidden="1" x14ac:dyDescent="0.25">
      <c r="A7" s="12" t="str">
        <f>'Drawing Submittal'!A7</f>
        <v>25-010</v>
      </c>
      <c r="B7" s="13" t="str">
        <f>_xlfn.IFNA(VLOOKUP(A7,'Date Calcs'!A:AG,2,),"")</f>
        <v>Kimberly Clark</v>
      </c>
      <c r="C7" s="14">
        <f>_xlfn.IFNA(VLOOKUP(A7,'Actual Dates'!A:AE,6,),"")</f>
        <v>2</v>
      </c>
      <c r="D7" s="15">
        <f>IF(C7="  ","  ",IF(C7=0,VLOOKUP(A7,'Date Calcs'!A:AG,9,),IF(C7=1,VLOOKUP(A7,'Date Calcs'!A:AG,11,),IF(C7=2,VLOOKUP(A7,'Date Calcs'!A:AG,13,),IF(C7=3,VLOOKUP(A7,'Date Calcs'!A:AG,15,),4)))))</f>
        <v>45904</v>
      </c>
      <c r="E7" s="15">
        <f>IF(_xlfn.IFNA(IF(D7="  "," ",VLOOKUP(A7,'Actual Dates'!A:AE,20,0)),"")&lt;1,"-",_xlfn.IFNA(IF(D7="  "," ",VLOOKUP(A7,'Actual Dates'!A:AE,20,0)),""))</f>
        <v>45897</v>
      </c>
      <c r="F7" s="12">
        <f ca="1">IFERROR(IF(A7="","",D7-Date!$B$3),"")</f>
        <v>-211</v>
      </c>
      <c r="G7" s="20"/>
      <c r="I7" s="21" t="str">
        <f t="shared" si="0"/>
        <v xml:space="preserve">  </v>
      </c>
      <c r="J7" s="21" t="str">
        <f t="shared" si="1"/>
        <v>y</v>
      </c>
    </row>
    <row r="8" spans="1:10" ht="23.25" hidden="1" x14ac:dyDescent="0.25">
      <c r="A8" s="12" t="str">
        <f>'Drawing Submittal'!A8</f>
        <v>25-011</v>
      </c>
      <c r="B8" s="13" t="str">
        <f>_xlfn.IFNA(VLOOKUP(A8,'Date Calcs'!A:AG,2,),"")</f>
        <v>Kimberly Clark</v>
      </c>
      <c r="C8" s="14">
        <f>_xlfn.IFNA(VLOOKUP(A8,'Actual Dates'!A:AE,6,),"")</f>
        <v>2</v>
      </c>
      <c r="D8" s="15">
        <f>IF(C8="  ","  ",IF(C8=0,VLOOKUP(A8,'Date Calcs'!A:AG,9,),IF(C8=1,VLOOKUP(A8,'Date Calcs'!A:AG,11,),IF(C8=2,VLOOKUP(A8,'Date Calcs'!A:AG,13,),IF(C8=3,VLOOKUP(A8,'Date Calcs'!A:AG,15,),4)))))</f>
        <v>45911</v>
      </c>
      <c r="E8" s="15">
        <f>IF(_xlfn.IFNA(IF(D8="  "," ",VLOOKUP(A8,'Actual Dates'!A:AE,20,0)),"")&lt;1,"-",_xlfn.IFNA(IF(D8="  "," ",VLOOKUP(A8,'Actual Dates'!A:AE,20,0)),""))</f>
        <v>45904</v>
      </c>
      <c r="F8" s="12">
        <f ca="1">IFERROR(IF(A8="","",D8-Date!$B$3),"")</f>
        <v>-204</v>
      </c>
      <c r="G8" s="20"/>
      <c r="I8" s="21" t="str">
        <f t="shared" si="0"/>
        <v xml:space="preserve">  </v>
      </c>
      <c r="J8" s="21" t="str">
        <f t="shared" si="1"/>
        <v>y</v>
      </c>
    </row>
    <row r="9" spans="1:10" ht="23.25" hidden="1" x14ac:dyDescent="0.25">
      <c r="A9" s="12" t="str">
        <f>'Drawing Submittal'!A9</f>
        <v>25-012</v>
      </c>
      <c r="B9" s="13" t="str">
        <f>_xlfn.IFNA(VLOOKUP(A9,'Date Calcs'!A:AG,2,),"")</f>
        <v>Kimberly Clark</v>
      </c>
      <c r="C9" s="14">
        <f>_xlfn.IFNA(VLOOKUP(A9,'Actual Dates'!A:AE,6,),"")</f>
        <v>2</v>
      </c>
      <c r="D9" s="15">
        <f>IF(C9="  ","  ",IF(C9=0,VLOOKUP(A9,'Date Calcs'!A:AG,9,),IF(C9=1,VLOOKUP(A9,'Date Calcs'!A:AG,11,),IF(C9=2,VLOOKUP(A9,'Date Calcs'!A:AG,13,),IF(C9=3,VLOOKUP(A9,'Date Calcs'!A:AG,15,),4)))))</f>
        <v>45911</v>
      </c>
      <c r="E9" s="15">
        <f>IF(_xlfn.IFNA(IF(D9="  "," ",VLOOKUP(A9,'Actual Dates'!A:AE,20,0)),"")&lt;1,"-",_xlfn.IFNA(IF(D9="  "," ",VLOOKUP(A9,'Actual Dates'!A:AE,20,0)),""))</f>
        <v>45904</v>
      </c>
      <c r="F9" s="12">
        <f ca="1">IFERROR(IF(A9="","",D9-Date!$B$3),"")</f>
        <v>-204</v>
      </c>
      <c r="G9" s="20"/>
      <c r="I9" s="21" t="str">
        <f t="shared" si="0"/>
        <v xml:space="preserve">  </v>
      </c>
      <c r="J9" s="21" t="str">
        <f t="shared" si="1"/>
        <v>y</v>
      </c>
    </row>
    <row r="10" spans="1:10" ht="23.25" hidden="1" x14ac:dyDescent="0.25">
      <c r="A10" s="12" t="str">
        <f>'Drawing Submittal'!A10</f>
        <v>25-013</v>
      </c>
      <c r="B10" s="13" t="str">
        <f>_xlfn.IFNA(VLOOKUP(A10,'Date Calcs'!A:AG,2,),"")</f>
        <v>Kimberly Clark</v>
      </c>
      <c r="C10" s="14">
        <f>_xlfn.IFNA(VLOOKUP(A10,'Actual Dates'!A:AE,6,),"")</f>
        <v>1</v>
      </c>
      <c r="D10" s="15">
        <f>IF(C10="  ","  ",IF(C10=0,VLOOKUP(A10,'Date Calcs'!A:AG,9,),IF(C10=1,VLOOKUP(A10,'Date Calcs'!A:AG,11,),IF(C10=2,VLOOKUP(A10,'Date Calcs'!A:AG,13,),IF(C10=3,VLOOKUP(A10,'Date Calcs'!A:AG,15,),4)))))</f>
        <v>45819</v>
      </c>
      <c r="E10" s="15">
        <f>IF(_xlfn.IFNA(IF(D10="  "," ",VLOOKUP(A10,'Actual Dates'!A:AE,20,0)),"")&lt;1,"-",_xlfn.IFNA(IF(D10="  "," ",VLOOKUP(A10,'Actual Dates'!A:AE,20,0)),""))</f>
        <v>45904</v>
      </c>
      <c r="F10" s="12">
        <f ca="1">IFERROR(IF(A10="","",D10-Date!$B$3),"")</f>
        <v>-296</v>
      </c>
      <c r="G10" s="20"/>
      <c r="I10" s="21" t="str">
        <f t="shared" si="0"/>
        <v xml:space="preserve">  </v>
      </c>
      <c r="J10" s="21" t="str">
        <f t="shared" si="1"/>
        <v>y</v>
      </c>
    </row>
    <row r="11" spans="1:10" ht="23.25" hidden="1" x14ac:dyDescent="0.25">
      <c r="A11" s="12" t="str">
        <f>'Drawing Submittal'!A11</f>
        <v>25-014</v>
      </c>
      <c r="B11" s="13" t="str">
        <f>_xlfn.IFNA(VLOOKUP(A11,'Date Calcs'!A:AG,2,),"")</f>
        <v>Kimberly Clark</v>
      </c>
      <c r="C11" s="14">
        <f>_xlfn.IFNA(VLOOKUP(A11,'Actual Dates'!A:AE,6,),"")</f>
        <v>1</v>
      </c>
      <c r="D11" s="15">
        <f>IF(C11="  ","  ",IF(C11=0,VLOOKUP(A11,'Date Calcs'!A:AG,9,),IF(C11=1,VLOOKUP(A11,'Date Calcs'!A:AG,11,),IF(C11=2,VLOOKUP(A11,'Date Calcs'!A:AG,13,),IF(C11=3,VLOOKUP(A11,'Date Calcs'!A:AG,15,),4)))))</f>
        <v>45812</v>
      </c>
      <c r="E11" s="15">
        <f>IF(_xlfn.IFNA(IF(D11="  "," ",VLOOKUP(A11,'Actual Dates'!A:AE,20,0)),"")&lt;1,"-",_xlfn.IFNA(IF(D11="  "," ",VLOOKUP(A11,'Actual Dates'!A:AE,20,0)),""))</f>
        <v>45805</v>
      </c>
      <c r="F11" s="12">
        <f ca="1">IFERROR(IF(A11="","",D11-Date!$B$3),"")</f>
        <v>-303</v>
      </c>
      <c r="G11" s="20"/>
      <c r="I11" s="21" t="str">
        <f t="shared" si="0"/>
        <v xml:space="preserve">  </v>
      </c>
      <c r="J11" s="21" t="str">
        <f t="shared" si="1"/>
        <v>y</v>
      </c>
    </row>
    <row r="12" spans="1:10" ht="23.25" hidden="1" x14ac:dyDescent="0.25">
      <c r="A12" s="12" t="str">
        <f>'Drawing Submittal'!A12</f>
        <v>25-015</v>
      </c>
      <c r="B12" s="13" t="str">
        <f>_xlfn.IFNA(VLOOKUP(A12,'Date Calcs'!A:AG,2,),"")</f>
        <v>Kimberly Clark</v>
      </c>
      <c r="C12" s="14">
        <f>_xlfn.IFNA(VLOOKUP(A12,'Actual Dates'!A:AE,6,),"")</f>
        <v>1</v>
      </c>
      <c r="D12" s="15">
        <f>IF(C12="  ","  ",IF(C12=0,VLOOKUP(A12,'Date Calcs'!A:AG,9,),IF(C12=1,VLOOKUP(A12,'Date Calcs'!A:AG,11,),IF(C12=2,VLOOKUP(A12,'Date Calcs'!A:AG,13,),IF(C12=3,VLOOKUP(A12,'Date Calcs'!A:AG,15,),4)))))</f>
        <v>45812</v>
      </c>
      <c r="E12" s="15">
        <f>IF(_xlfn.IFNA(IF(D12="  "," ",VLOOKUP(A12,'Actual Dates'!A:AE,20,0)),"")&lt;1,"-",_xlfn.IFNA(IF(D12="  "," ",VLOOKUP(A12,'Actual Dates'!A:AE,20,0)),""))</f>
        <v>45805</v>
      </c>
      <c r="F12" s="12">
        <f ca="1">IFERROR(IF(A12="","",D12-Date!$B$3),"")</f>
        <v>-303</v>
      </c>
      <c r="G12" s="20"/>
      <c r="I12" s="21" t="str">
        <f t="shared" si="0"/>
        <v xml:space="preserve">  </v>
      </c>
      <c r="J12" s="21" t="str">
        <f t="shared" si="1"/>
        <v>y</v>
      </c>
    </row>
    <row r="13" spans="1:10" ht="23.25" hidden="1" x14ac:dyDescent="0.25">
      <c r="A13" s="12" t="str">
        <f>'Drawing Submittal'!A13</f>
        <v>25-016</v>
      </c>
      <c r="B13" s="13" t="str">
        <f>_xlfn.IFNA(VLOOKUP(A13,'Date Calcs'!A:AG,2,),"")</f>
        <v>Kimberly Clark</v>
      </c>
      <c r="C13" s="14">
        <f>_xlfn.IFNA(VLOOKUP(A13,'Actual Dates'!A:AE,6,),"")</f>
        <v>1</v>
      </c>
      <c r="D13" s="15">
        <f>IF(C13="  ","  ",IF(C13=0,VLOOKUP(A13,'Date Calcs'!A:AG,9,),IF(C13=1,VLOOKUP(A13,'Date Calcs'!A:AG,11,),IF(C13=2,VLOOKUP(A13,'Date Calcs'!A:AG,13,),IF(C13=3,VLOOKUP(A13,'Date Calcs'!A:AG,15,),4)))))</f>
        <v>45812</v>
      </c>
      <c r="E13" s="15">
        <f>IF(_xlfn.IFNA(IF(D13="  "," ",VLOOKUP(A13,'Actual Dates'!A:AE,20,0)),"")&lt;1,"-",_xlfn.IFNA(IF(D13="  "," ",VLOOKUP(A13,'Actual Dates'!A:AE,20,0)),""))</f>
        <v>45805</v>
      </c>
      <c r="F13" s="12">
        <f ca="1">IFERROR(IF(A13="","",D13-Date!$B$3),"")</f>
        <v>-303</v>
      </c>
      <c r="G13" s="20"/>
      <c r="I13" s="21" t="str">
        <f t="shared" si="0"/>
        <v xml:space="preserve">  </v>
      </c>
      <c r="J13" s="21" t="str">
        <f t="shared" si="1"/>
        <v>y</v>
      </c>
    </row>
    <row r="14" spans="1:10" ht="23.25" hidden="1" x14ac:dyDescent="0.25">
      <c r="A14" s="12" t="str">
        <f>'Drawing Submittal'!A14</f>
        <v>25-017</v>
      </c>
      <c r="B14" s="13" t="str">
        <f>_xlfn.IFNA(VLOOKUP(A14,'Date Calcs'!A:AG,2,),"")</f>
        <v>Kimberly Clark</v>
      </c>
      <c r="C14" s="14">
        <f>_xlfn.IFNA(VLOOKUP(A14,'Actual Dates'!A:AE,6,),"")</f>
        <v>1</v>
      </c>
      <c r="D14" s="15">
        <f>IF(C14="  ","  ",IF(C14=0,VLOOKUP(A14,'Date Calcs'!A:AG,9,),IF(C14=1,VLOOKUP(A14,'Date Calcs'!A:AG,11,),IF(C14=2,VLOOKUP(A14,'Date Calcs'!A:AG,13,),IF(C14=3,VLOOKUP(A14,'Date Calcs'!A:AG,15,),4)))))</f>
        <v>45776</v>
      </c>
      <c r="E14" s="15">
        <f>IF(_xlfn.IFNA(IF(D14="  "," ",VLOOKUP(A14,'Actual Dates'!A:AE,20,0)),"")&lt;1,"-",_xlfn.IFNA(IF(D14="  "," ",VLOOKUP(A14,'Actual Dates'!A:AE,20,0)),""))</f>
        <v>45769</v>
      </c>
      <c r="F14" s="12">
        <f ca="1">IFERROR(IF(A14="","",D14-Date!$B$3),"")</f>
        <v>-339</v>
      </c>
      <c r="G14" s="20"/>
      <c r="I14" s="21" t="str">
        <f t="shared" si="0"/>
        <v xml:space="preserve">  </v>
      </c>
      <c r="J14" s="21" t="str">
        <f t="shared" si="1"/>
        <v>y</v>
      </c>
    </row>
    <row r="15" spans="1:10" ht="23.25" hidden="1" x14ac:dyDescent="0.25">
      <c r="A15" s="12" t="str">
        <f>'Drawing Submittal'!A15</f>
        <v>25-018</v>
      </c>
      <c r="B15" s="13" t="str">
        <f>_xlfn.IFNA(VLOOKUP(A15,'Date Calcs'!A:AG,2,),"")</f>
        <v>Kimberly Clark</v>
      </c>
      <c r="C15" s="14">
        <f>_xlfn.IFNA(VLOOKUP(A15,'Actual Dates'!A:AE,6,),"")</f>
        <v>2</v>
      </c>
      <c r="D15" s="15">
        <f>IF(C15="  ","  ",IF(C15=0,VLOOKUP(A15,'Date Calcs'!A:AG,9,),IF(C15=1,VLOOKUP(A15,'Date Calcs'!A:AG,11,),IF(C15=2,VLOOKUP(A15,'Date Calcs'!A:AG,13,),IF(C15=3,VLOOKUP(A15,'Date Calcs'!A:AG,15,),4)))))</f>
        <v>45912</v>
      </c>
      <c r="E15" s="15">
        <f>IF(_xlfn.IFNA(IF(D15="  "," ",VLOOKUP(A15,'Actual Dates'!A:AE,20,0)),"")&lt;1,"-",_xlfn.IFNA(IF(D15="  "," ",VLOOKUP(A15,'Actual Dates'!A:AE,20,0)),""))</f>
        <v>45905</v>
      </c>
      <c r="F15" s="12">
        <f ca="1">IFERROR(IF(A15="","",D15-Date!$B$3),"")</f>
        <v>-203</v>
      </c>
      <c r="G15" s="20"/>
      <c r="I15" s="21" t="str">
        <f t="shared" si="0"/>
        <v xml:space="preserve">  </v>
      </c>
      <c r="J15" s="21" t="str">
        <f t="shared" si="1"/>
        <v>y</v>
      </c>
    </row>
    <row r="16" spans="1:10" ht="23.25" hidden="1" x14ac:dyDescent="0.25">
      <c r="A16" s="12" t="str">
        <f>'Drawing Submittal'!A16</f>
        <v>25-019</v>
      </c>
      <c r="B16" s="13" t="str">
        <f>_xlfn.IFNA(VLOOKUP(A16,'Date Calcs'!A:AG,2,),"")</f>
        <v>Kimberly Clark</v>
      </c>
      <c r="C16" s="14">
        <f>_xlfn.IFNA(VLOOKUP(A16,'Actual Dates'!A:AE,6,),"")</f>
        <v>2</v>
      </c>
      <c r="D16" s="15">
        <f>IF(C16="  ","  ",IF(C16=0,VLOOKUP(A16,'Date Calcs'!A:AG,9,),IF(C16=1,VLOOKUP(A16,'Date Calcs'!A:AG,11,),IF(C16=2,VLOOKUP(A16,'Date Calcs'!A:AG,13,),IF(C16=3,VLOOKUP(A16,'Date Calcs'!A:AG,15,),4)))))</f>
        <v>45912</v>
      </c>
      <c r="E16" s="15">
        <f>IF(_xlfn.IFNA(IF(D16="  "," ",VLOOKUP(A16,'Actual Dates'!A:AE,20,0)),"")&lt;1,"-",_xlfn.IFNA(IF(D16="  "," ",VLOOKUP(A16,'Actual Dates'!A:AE,20,0)),""))</f>
        <v>45905</v>
      </c>
      <c r="F16" s="12">
        <f ca="1">IFERROR(IF(A16="","",D16-Date!$B$3),"")</f>
        <v>-203</v>
      </c>
      <c r="G16" s="20"/>
      <c r="I16" s="21" t="str">
        <f t="shared" si="0"/>
        <v xml:space="preserve">  </v>
      </c>
      <c r="J16" s="21" t="str">
        <f t="shared" si="1"/>
        <v>y</v>
      </c>
    </row>
    <row r="17" spans="1:10" ht="23.25" hidden="1" x14ac:dyDescent="0.25">
      <c r="A17" s="12" t="str">
        <f>'Drawing Submittal'!A17</f>
        <v>25-020</v>
      </c>
      <c r="B17" s="13" t="str">
        <f>_xlfn.IFNA(VLOOKUP(A17,'Date Calcs'!A:AG,2,),"")</f>
        <v>Kimberly Clark</v>
      </c>
      <c r="C17" s="14">
        <f>_xlfn.IFNA(VLOOKUP(A17,'Actual Dates'!A:AE,6,),"")</f>
        <v>3</v>
      </c>
      <c r="D17" s="15">
        <f>IF(C17="  ","  ",IF(C17=0,VLOOKUP(A17,'Date Calcs'!A:AG,9,),IF(C17=1,VLOOKUP(A17,'Date Calcs'!A:AG,11,),IF(C17=2,VLOOKUP(A17,'Date Calcs'!A:AG,13,),IF(C17=3,VLOOKUP(A17,'Date Calcs'!A:AG,15,),4)))))</f>
        <v>45902</v>
      </c>
      <c r="E17" s="15">
        <f>IF(_xlfn.IFNA(IF(D17="  "," ",VLOOKUP(A17,'Actual Dates'!A:AE,20,0)),"")&lt;1,"-",_xlfn.IFNA(IF(D17="  "," ",VLOOKUP(A17,'Actual Dates'!A:AE,20,0)),""))</f>
        <v>45895</v>
      </c>
      <c r="F17" s="12">
        <f ca="1">IFERROR(IF(A17="","",D17-Date!$B$3),"")</f>
        <v>-213</v>
      </c>
      <c r="G17" s="20"/>
      <c r="I17" s="21" t="str">
        <f t="shared" si="0"/>
        <v xml:space="preserve">  </v>
      </c>
      <c r="J17" s="21" t="str">
        <f t="shared" si="1"/>
        <v>y</v>
      </c>
    </row>
    <row r="18" spans="1:10" ht="23.25" hidden="1" x14ac:dyDescent="0.25">
      <c r="A18" s="12" t="str">
        <f>'Drawing Submittal'!A18</f>
        <v>25-021</v>
      </c>
      <c r="B18" s="13" t="str">
        <f>_xlfn.IFNA(VLOOKUP(A18,'Date Calcs'!A:AG,2,),"")</f>
        <v>Kimberly Clark</v>
      </c>
      <c r="C18" s="14">
        <f>_xlfn.IFNA(VLOOKUP(A18,'Actual Dates'!A:AE,6,),"")</f>
        <v>2</v>
      </c>
      <c r="D18" s="15">
        <f>IF(C18="  ","  ",IF(C18=0,VLOOKUP(A18,'Date Calcs'!A:AG,9,),IF(C18=1,VLOOKUP(A18,'Date Calcs'!A:AG,11,),IF(C18=2,VLOOKUP(A18,'Date Calcs'!A:AG,13,),IF(C18=3,VLOOKUP(A18,'Date Calcs'!A:AG,15,),4)))))</f>
        <v>45909</v>
      </c>
      <c r="E18" s="15">
        <f>IF(_xlfn.IFNA(IF(D18="  "," ",VLOOKUP(A18,'Actual Dates'!A:AE,20,0)),"")&lt;1,"-",_xlfn.IFNA(IF(D18="  "," ",VLOOKUP(A18,'Actual Dates'!A:AE,20,0)),""))</f>
        <v>45902</v>
      </c>
      <c r="F18" s="12">
        <f ca="1">IFERROR(IF(A18="","",D18-Date!$B$3),"")</f>
        <v>-206</v>
      </c>
      <c r="G18" s="20"/>
      <c r="I18" s="21" t="str">
        <f t="shared" si="0"/>
        <v xml:space="preserve">  </v>
      </c>
      <c r="J18" s="21" t="str">
        <f t="shared" si="1"/>
        <v>y</v>
      </c>
    </row>
    <row r="19" spans="1:10" ht="23.25" hidden="1" x14ac:dyDescent="0.25">
      <c r="A19" s="12" t="str">
        <f>'Drawing Submittal'!A19</f>
        <v>25-023</v>
      </c>
      <c r="B19" s="13" t="str">
        <f>_xlfn.IFNA(VLOOKUP(A19,'Date Calcs'!A:AG,2,),"")</f>
        <v>Andritz</v>
      </c>
      <c r="C19" s="14">
        <f>_xlfn.IFNA(VLOOKUP(A19,'Actual Dates'!A:AE,6,),"")</f>
        <v>2</v>
      </c>
      <c r="D19" s="15">
        <f>IF(C19="  ","  ",IF(C19=0,VLOOKUP(A19,'Date Calcs'!A:AG,9,),IF(C19=1,VLOOKUP(A19,'Date Calcs'!A:AG,11,),IF(C19=2,VLOOKUP(A19,'Date Calcs'!A:AG,13,),IF(C19=3,VLOOKUP(A19,'Date Calcs'!A:AG,15,),4)))))</f>
        <v>45733</v>
      </c>
      <c r="E19" s="15">
        <f>IF(_xlfn.IFNA(IF(D19="  "," ",VLOOKUP(A19,'Actual Dates'!A:AE,20,0)),"")&lt;1,"-",_xlfn.IFNA(IF(D19="  "," ",VLOOKUP(A19,'Actual Dates'!A:AE,20,0)),""))</f>
        <v>45726</v>
      </c>
      <c r="F19" s="12">
        <f ca="1">IFERROR(IF(A19="","",D19-Date!$B$3),"")</f>
        <v>-382</v>
      </c>
      <c r="G19" s="20"/>
      <c r="I19" s="21" t="str">
        <f t="shared" si="0"/>
        <v xml:space="preserve">  </v>
      </c>
      <c r="J19" s="21" t="str">
        <f t="shared" si="1"/>
        <v>y</v>
      </c>
    </row>
    <row r="20" spans="1:10" ht="23.25" hidden="1" x14ac:dyDescent="0.25">
      <c r="A20" s="12" t="str">
        <f>'Drawing Submittal'!A20</f>
        <v>25-024</v>
      </c>
      <c r="B20" s="13" t="str">
        <f>_xlfn.IFNA(VLOOKUP(A20,'Date Calcs'!A:AG,2,),"")</f>
        <v>Andritz</v>
      </c>
      <c r="C20" s="14">
        <f>_xlfn.IFNA(VLOOKUP(A20,'Actual Dates'!A:AE,6,),"")</f>
        <v>2</v>
      </c>
      <c r="D20" s="15">
        <f>IF(C20="  ","  ",IF(C20=0,VLOOKUP(A20,'Date Calcs'!A:AG,9,),IF(C20=1,VLOOKUP(A20,'Date Calcs'!A:AG,11,),IF(C20=2,VLOOKUP(A20,'Date Calcs'!A:AG,13,),IF(C20=3,VLOOKUP(A20,'Date Calcs'!A:AG,15,),4)))))</f>
        <v>45733</v>
      </c>
      <c r="E20" s="15">
        <f>IF(_xlfn.IFNA(IF(D20="  "," ",VLOOKUP(A20,'Actual Dates'!A:AE,20,0)),"")&lt;1,"-",_xlfn.IFNA(IF(D20="  "," ",VLOOKUP(A20,'Actual Dates'!A:AE,20,0)),""))</f>
        <v>45726</v>
      </c>
      <c r="F20" s="12">
        <f ca="1">IFERROR(IF(A20="","",D20-Date!$B$3),"")</f>
        <v>-382</v>
      </c>
      <c r="G20" s="20"/>
      <c r="I20" s="21" t="str">
        <f t="shared" si="0"/>
        <v xml:space="preserve">  </v>
      </c>
      <c r="J20" s="21" t="str">
        <f t="shared" si="1"/>
        <v>y</v>
      </c>
    </row>
    <row r="21" spans="1:10" ht="23.25" hidden="1" x14ac:dyDescent="0.25">
      <c r="A21" s="12" t="str">
        <f>'Drawing Submittal'!A21</f>
        <v>25-025</v>
      </c>
      <c r="B21" s="13" t="str">
        <f>_xlfn.IFNA(VLOOKUP(A21,'Date Calcs'!A:AG,2,),"")</f>
        <v>Irving Tissue</v>
      </c>
      <c r="C21" s="14">
        <f>_xlfn.IFNA(VLOOKUP(A21,'Actual Dates'!A:AE,6,),"")</f>
        <v>2</v>
      </c>
      <c r="D21" s="15">
        <f>IF(C21="  ","  ",IF(C21=0,VLOOKUP(A21,'Date Calcs'!A:AG,9,),IF(C21=1,VLOOKUP(A21,'Date Calcs'!A:AG,11,),IF(C21=2,VLOOKUP(A21,'Date Calcs'!A:AG,13,),IF(C21=3,VLOOKUP(A21,'Date Calcs'!A:AG,15,),4)))))</f>
        <v>45812</v>
      </c>
      <c r="E21" s="15">
        <f>IF(_xlfn.IFNA(IF(D21="  "," ",VLOOKUP(A21,'Actual Dates'!A:AE,20,0)),"")&lt;1,"-",_xlfn.IFNA(IF(D21="  "," ",VLOOKUP(A21,'Actual Dates'!A:AE,20,0)),""))</f>
        <v>45805</v>
      </c>
      <c r="F21" s="12">
        <f ca="1">IFERROR(IF(A21="","",D21-Date!$B$3),"")</f>
        <v>-303</v>
      </c>
      <c r="G21" s="20"/>
      <c r="I21" s="21" t="str">
        <f t="shared" si="0"/>
        <v xml:space="preserve">  </v>
      </c>
      <c r="J21" s="21" t="str">
        <f t="shared" si="1"/>
        <v>y</v>
      </c>
    </row>
    <row r="22" spans="1:10" ht="23.25" hidden="1" x14ac:dyDescent="0.25">
      <c r="A22" s="12" t="str">
        <f>'Drawing Submittal'!A22</f>
        <v>25-026</v>
      </c>
      <c r="B22" s="13" t="str">
        <f>_xlfn.IFNA(VLOOKUP(A22,'Date Calcs'!A:AG,2,),"")</f>
        <v>Irving Tissue</v>
      </c>
      <c r="C22" s="14">
        <f>_xlfn.IFNA(VLOOKUP(A22,'Actual Dates'!A:AE,6,),"")</f>
        <v>2</v>
      </c>
      <c r="D22" s="15">
        <f>IF(C22="  ","  ",IF(C22=0,VLOOKUP(A22,'Date Calcs'!A:AG,9,),IF(C22=1,VLOOKUP(A22,'Date Calcs'!A:AG,11,),IF(C22=2,VLOOKUP(A22,'Date Calcs'!A:AG,13,),IF(C22=3,VLOOKUP(A22,'Date Calcs'!A:AG,15,),4)))))</f>
        <v>45804</v>
      </c>
      <c r="E22" s="15">
        <f>IF(_xlfn.IFNA(IF(D22="  "," ",VLOOKUP(A22,'Actual Dates'!A:AE,20,0)),"")&lt;1,"-",_xlfn.IFNA(IF(D22="  "," ",VLOOKUP(A22,'Actual Dates'!A:AE,20,0)),""))</f>
        <v>45797</v>
      </c>
      <c r="F22" s="12">
        <f ca="1">IFERROR(IF(A22="","",D22-Date!$B$3),"")</f>
        <v>-311</v>
      </c>
      <c r="G22" s="20"/>
      <c r="I22" s="21" t="str">
        <f t="shared" si="0"/>
        <v xml:space="preserve">  </v>
      </c>
      <c r="J22" s="21" t="str">
        <f t="shared" si="1"/>
        <v>y</v>
      </c>
    </row>
    <row r="23" spans="1:10" ht="23.25" hidden="1" x14ac:dyDescent="0.25">
      <c r="A23" s="12" t="str">
        <f>'Drawing Submittal'!A23</f>
        <v>25-027</v>
      </c>
      <c r="B23" s="13" t="str">
        <f>_xlfn.IFNA(VLOOKUP(A23,'Date Calcs'!A:AG,2,),"")</f>
        <v>Irving Tissue</v>
      </c>
      <c r="C23" s="14">
        <f>_xlfn.IFNA(VLOOKUP(A23,'Actual Dates'!A:AE,6,),"")</f>
        <v>2</v>
      </c>
      <c r="D23" s="15">
        <f>IF(C23="  ","  ",IF(C23=0,VLOOKUP(A23,'Date Calcs'!A:AG,9,),IF(C23=1,VLOOKUP(A23,'Date Calcs'!A:AG,11,),IF(C23=2,VLOOKUP(A23,'Date Calcs'!A:AG,13,),IF(C23=3,VLOOKUP(A23,'Date Calcs'!A:AG,15,),4)))))</f>
        <v>45804</v>
      </c>
      <c r="E23" s="15">
        <f>IF(_xlfn.IFNA(IF(D23="  "," ",VLOOKUP(A23,'Actual Dates'!A:AE,20,0)),"")&lt;1,"-",_xlfn.IFNA(IF(D23="  "," ",VLOOKUP(A23,'Actual Dates'!A:AE,20,0)),""))</f>
        <v>45797</v>
      </c>
      <c r="F23" s="12">
        <f ca="1">IFERROR(IF(A23="","",D23-Date!$B$3),"")</f>
        <v>-311</v>
      </c>
      <c r="G23" s="20"/>
      <c r="I23" s="21" t="str">
        <f t="shared" si="0"/>
        <v xml:space="preserve">  </v>
      </c>
      <c r="J23" s="21" t="str">
        <f t="shared" si="1"/>
        <v>y</v>
      </c>
    </row>
    <row r="24" spans="1:10" ht="23.25" hidden="1" x14ac:dyDescent="0.25">
      <c r="A24" s="12" t="str">
        <f>'Drawing Submittal'!A24</f>
        <v>25-028</v>
      </c>
      <c r="B24" s="13" t="str">
        <f>_xlfn.IFNA(VLOOKUP(A24,'Date Calcs'!A:AG,2,),"")</f>
        <v>Irving Tissue</v>
      </c>
      <c r="C24" s="14">
        <f>_xlfn.IFNA(VLOOKUP(A24,'Actual Dates'!A:AE,6,),"")</f>
        <v>2</v>
      </c>
      <c r="D24" s="15">
        <f>IF(C24="  ","  ",IF(C24=0,VLOOKUP(A24,'Date Calcs'!A:AG,9,),IF(C24=1,VLOOKUP(A24,'Date Calcs'!A:AG,11,),IF(C24=2,VLOOKUP(A24,'Date Calcs'!A:AG,13,),IF(C24=3,VLOOKUP(A24,'Date Calcs'!A:AG,15,),4)))))</f>
        <v>45804</v>
      </c>
      <c r="E24" s="15">
        <f>IF(_xlfn.IFNA(IF(D24="  "," ",VLOOKUP(A24,'Actual Dates'!A:AE,20,0)),"")&lt;1,"-",_xlfn.IFNA(IF(D24="  "," ",VLOOKUP(A24,'Actual Dates'!A:AE,20,0)),""))</f>
        <v>45797</v>
      </c>
      <c r="F24" s="12">
        <f ca="1">IFERROR(IF(A24="","",D24-Date!$B$3),"")</f>
        <v>-311</v>
      </c>
      <c r="G24" s="20"/>
      <c r="I24" s="21" t="str">
        <f t="shared" si="0"/>
        <v xml:space="preserve">  </v>
      </c>
      <c r="J24" s="21" t="str">
        <f t="shared" si="1"/>
        <v>y</v>
      </c>
    </row>
    <row r="25" spans="1:10" ht="23.25" hidden="1" x14ac:dyDescent="0.25">
      <c r="A25" s="12" t="str">
        <f>'Drawing Submittal'!A25</f>
        <v>25-029</v>
      </c>
      <c r="B25" s="13" t="str">
        <f>_xlfn.IFNA(VLOOKUP(A25,'Date Calcs'!A:AG,2,),"")</f>
        <v>Irving Tissue</v>
      </c>
      <c r="C25" s="14">
        <f>_xlfn.IFNA(VLOOKUP(A25,'Actual Dates'!A:AE,6,),"")</f>
        <v>2</v>
      </c>
      <c r="D25" s="15">
        <f>IF(C25="  ","  ",IF(C25=0,VLOOKUP(A25,'Date Calcs'!A:AG,9,),IF(C25=1,VLOOKUP(A25,'Date Calcs'!A:AG,11,),IF(C25=2,VLOOKUP(A25,'Date Calcs'!A:AG,13,),IF(C25=3,VLOOKUP(A25,'Date Calcs'!A:AG,15,),4)))))</f>
        <v>45804</v>
      </c>
      <c r="E25" s="15">
        <f>IF(_xlfn.IFNA(IF(D25="  "," ",VLOOKUP(A25,'Actual Dates'!A:AE,20,0)),"")&lt;1,"-",_xlfn.IFNA(IF(D25="  "," ",VLOOKUP(A25,'Actual Dates'!A:AE,20,0)),""))</f>
        <v>45797</v>
      </c>
      <c r="F25" s="12">
        <f ca="1">IFERROR(IF(A25="","",D25-Date!$B$3),"")</f>
        <v>-311</v>
      </c>
      <c r="G25" s="20"/>
      <c r="I25" s="21" t="str">
        <f t="shared" si="0"/>
        <v xml:space="preserve">  </v>
      </c>
      <c r="J25" s="21" t="str">
        <f t="shared" si="1"/>
        <v>y</v>
      </c>
    </row>
    <row r="26" spans="1:10" ht="23.25" hidden="1" x14ac:dyDescent="0.25">
      <c r="A26" s="12" t="str">
        <f>'Drawing Submittal'!A26</f>
        <v>25-030</v>
      </c>
      <c r="B26" s="13" t="str">
        <f>_xlfn.IFNA(VLOOKUP(A26,'Date Calcs'!A:AG,2,),"")</f>
        <v>Irving Tissue</v>
      </c>
      <c r="C26" s="14">
        <f>_xlfn.IFNA(VLOOKUP(A26,'Actual Dates'!A:AE,6,),"")</f>
        <v>2</v>
      </c>
      <c r="D26" s="15">
        <f>IF(C26="  ","  ",IF(C26=0,VLOOKUP(A26,'Date Calcs'!A:AG,9,),IF(C26=1,VLOOKUP(A26,'Date Calcs'!A:AG,11,),IF(C26=2,VLOOKUP(A26,'Date Calcs'!A:AG,13,),IF(C26=3,VLOOKUP(A26,'Date Calcs'!A:AG,15,),4)))))</f>
        <v>45804</v>
      </c>
      <c r="E26" s="15">
        <f>IF(_xlfn.IFNA(IF(D26="  "," ",VLOOKUP(A26,'Actual Dates'!A:AE,20,0)),"")&lt;1,"-",_xlfn.IFNA(IF(D26="  "," ",VLOOKUP(A26,'Actual Dates'!A:AE,20,0)),""))</f>
        <v>45797</v>
      </c>
      <c r="F26" s="12">
        <f ca="1">IFERROR(IF(A26="","",D26-Date!$B$3),"")</f>
        <v>-311</v>
      </c>
      <c r="G26" s="20"/>
      <c r="I26" s="21" t="str">
        <f t="shared" si="0"/>
        <v xml:space="preserve">  </v>
      </c>
      <c r="J26" s="21" t="str">
        <f t="shared" si="1"/>
        <v>y</v>
      </c>
    </row>
    <row r="27" spans="1:10" ht="23.25" hidden="1" x14ac:dyDescent="0.25">
      <c r="A27" s="12" t="str">
        <f>'Drawing Submittal'!A27</f>
        <v>25-031</v>
      </c>
      <c r="B27" s="13" t="str">
        <f>_xlfn.IFNA(VLOOKUP(A27,'Date Calcs'!A:AG,2,),"")</f>
        <v>Irving Tissue</v>
      </c>
      <c r="C27" s="14">
        <f>_xlfn.IFNA(VLOOKUP(A27,'Actual Dates'!A:AE,6,),"")</f>
        <v>2</v>
      </c>
      <c r="D27" s="15">
        <f>IF(C27="  ","  ",IF(C27=0,VLOOKUP(A27,'Date Calcs'!A:AG,9,),IF(C27=1,VLOOKUP(A27,'Date Calcs'!A:AG,11,),IF(C27=2,VLOOKUP(A27,'Date Calcs'!A:AG,13,),IF(C27=3,VLOOKUP(A27,'Date Calcs'!A:AG,15,),4)))))</f>
        <v>45812</v>
      </c>
      <c r="E27" s="15">
        <f>IF(_xlfn.IFNA(IF(D27="  "," ",VLOOKUP(A27,'Actual Dates'!A:AE,20,0)),"")&lt;1,"-",_xlfn.IFNA(IF(D27="  "," ",VLOOKUP(A27,'Actual Dates'!A:AE,20,0)),""))</f>
        <v>45805</v>
      </c>
      <c r="F27" s="12">
        <f ca="1">IFERROR(IF(A27="","",D27-Date!$B$3),"")</f>
        <v>-303</v>
      </c>
      <c r="G27" s="20"/>
      <c r="I27" s="21" t="str">
        <f t="shared" si="0"/>
        <v xml:space="preserve">  </v>
      </c>
      <c r="J27" s="21" t="str">
        <f t="shared" si="1"/>
        <v>y</v>
      </c>
    </row>
    <row r="28" spans="1:10" ht="23.25" hidden="1" x14ac:dyDescent="0.25">
      <c r="A28" s="12" t="str">
        <f>'Drawing Submittal'!A28</f>
        <v>25-032</v>
      </c>
      <c r="B28" s="13" t="str">
        <f>_xlfn.IFNA(VLOOKUP(A28,'Date Calcs'!A:AG,2,),"")</f>
        <v>Irving Tissue</v>
      </c>
      <c r="C28" s="14">
        <f>_xlfn.IFNA(VLOOKUP(A28,'Actual Dates'!A:AE,6,),"")</f>
        <v>2</v>
      </c>
      <c r="D28" s="15">
        <f>IF(C28="  ","  ",IF(C28=0,VLOOKUP(A28,'Date Calcs'!A:AG,9,),IF(C28=1,VLOOKUP(A28,'Date Calcs'!A:AG,11,),IF(C28=2,VLOOKUP(A28,'Date Calcs'!A:AG,13,),IF(C28=3,VLOOKUP(A28,'Date Calcs'!A:AG,15,),4)))))</f>
        <v>45812</v>
      </c>
      <c r="E28" s="15">
        <f>IF(_xlfn.IFNA(IF(D28="  "," ",VLOOKUP(A28,'Actual Dates'!A:AE,20,0)),"")&lt;1,"-",_xlfn.IFNA(IF(D28="  "," ",VLOOKUP(A28,'Actual Dates'!A:AE,20,0)),""))</f>
        <v>45805</v>
      </c>
      <c r="F28" s="12">
        <f ca="1">IFERROR(IF(A28="","",D28-Date!$B$3),"")</f>
        <v>-303</v>
      </c>
      <c r="G28" s="20"/>
      <c r="I28" s="21" t="str">
        <f t="shared" si="0"/>
        <v xml:space="preserve">  </v>
      </c>
      <c r="J28" s="21" t="str">
        <f t="shared" si="1"/>
        <v>y</v>
      </c>
    </row>
    <row r="29" spans="1:10" ht="23.25" hidden="1" x14ac:dyDescent="0.25">
      <c r="A29" s="12" t="str">
        <f>'Drawing Submittal'!A29</f>
        <v>25-033</v>
      </c>
      <c r="B29" s="13" t="str">
        <f>_xlfn.IFNA(VLOOKUP(A29,'Date Calcs'!A:AG,2,),"")</f>
        <v>Irving Tissue</v>
      </c>
      <c r="C29" s="14">
        <f>_xlfn.IFNA(VLOOKUP(A29,'Actual Dates'!A:AE,6,),"")</f>
        <v>2</v>
      </c>
      <c r="D29" s="15">
        <f>IF(C29="  ","  ",IF(C29=0,VLOOKUP(A29,'Date Calcs'!A:AG,9,),IF(C29=1,VLOOKUP(A29,'Date Calcs'!A:AG,11,),IF(C29=2,VLOOKUP(A29,'Date Calcs'!A:AG,13,),IF(C29=3,VLOOKUP(A29,'Date Calcs'!A:AG,15,),4)))))</f>
        <v>45812</v>
      </c>
      <c r="E29" s="15">
        <f>IF(_xlfn.IFNA(IF(D29="  "," ",VLOOKUP(A29,'Actual Dates'!A:AE,20,0)),"")&lt;1,"-",_xlfn.IFNA(IF(D29="  "," ",VLOOKUP(A29,'Actual Dates'!A:AE,20,0)),""))</f>
        <v>45805</v>
      </c>
      <c r="F29" s="12">
        <f ca="1">IFERROR(IF(A29="","",D29-Date!$B$3),"")</f>
        <v>-303</v>
      </c>
      <c r="G29" s="20"/>
      <c r="I29" s="21" t="str">
        <f t="shared" si="0"/>
        <v xml:space="preserve">  </v>
      </c>
      <c r="J29" s="21" t="str">
        <f t="shared" si="1"/>
        <v>y</v>
      </c>
    </row>
    <row r="30" spans="1:10" ht="23.25" hidden="1" x14ac:dyDescent="0.25">
      <c r="A30" s="12" t="str">
        <f>'Drawing Submittal'!A30</f>
        <v>25-034</v>
      </c>
      <c r="B30" s="13" t="str">
        <f>_xlfn.IFNA(VLOOKUP(A30,'Date Calcs'!A:AG,2,),"")</f>
        <v>Irving Tissue</v>
      </c>
      <c r="C30" s="14">
        <f>_xlfn.IFNA(VLOOKUP(A30,'Actual Dates'!A:AE,6,),"")</f>
        <v>2</v>
      </c>
      <c r="D30" s="15">
        <f>IF(C30="  ","  ",IF(C30=0,VLOOKUP(A30,'Date Calcs'!A:AG,9,),IF(C30=1,VLOOKUP(A30,'Date Calcs'!A:AG,11,),IF(C30=2,VLOOKUP(A30,'Date Calcs'!A:AG,13,),IF(C30=3,VLOOKUP(A30,'Date Calcs'!A:AG,15,),4)))))</f>
        <v>45812</v>
      </c>
      <c r="E30" s="15">
        <f>IF(_xlfn.IFNA(IF(D30="  "," ",VLOOKUP(A30,'Actual Dates'!A:AE,20,0)),"")&lt;1,"-",_xlfn.IFNA(IF(D30="  "," ",VLOOKUP(A30,'Actual Dates'!A:AE,20,0)),""))</f>
        <v>45805</v>
      </c>
      <c r="F30" s="12">
        <f ca="1">IFERROR(IF(A30="","",D30-Date!$B$3),"")</f>
        <v>-303</v>
      </c>
      <c r="G30" s="20"/>
      <c r="I30" s="21" t="str">
        <f t="shared" si="0"/>
        <v xml:space="preserve">  </v>
      </c>
      <c r="J30" s="21" t="str">
        <f t="shared" si="1"/>
        <v>y</v>
      </c>
    </row>
    <row r="31" spans="1:10" ht="23.25" hidden="1" x14ac:dyDescent="0.25">
      <c r="A31" s="12" t="str">
        <f>'Drawing Submittal'!A31</f>
        <v>25-035</v>
      </c>
      <c r="B31" s="13" t="str">
        <f>_xlfn.IFNA(VLOOKUP(A31,'Date Calcs'!A:AG,2,),"")</f>
        <v>Irving Tissue</v>
      </c>
      <c r="C31" s="14">
        <f>_xlfn.IFNA(VLOOKUP(A31,'Actual Dates'!A:AE,6,),"")</f>
        <v>2</v>
      </c>
      <c r="D31" s="15">
        <f>IF(C31="  ","  ",IF(C31=0,VLOOKUP(A31,'Date Calcs'!A:AG,9,),IF(C31=1,VLOOKUP(A31,'Date Calcs'!A:AG,11,),IF(C31=2,VLOOKUP(A31,'Date Calcs'!A:AG,13,),IF(C31=3,VLOOKUP(A31,'Date Calcs'!A:AG,15,),4)))))</f>
        <v>45812</v>
      </c>
      <c r="E31" s="15">
        <f>IF(_xlfn.IFNA(IF(D31="  "," ",VLOOKUP(A31,'Actual Dates'!A:AE,20,0)),"")&lt;1,"-",_xlfn.IFNA(IF(D31="  "," ",VLOOKUP(A31,'Actual Dates'!A:AE,20,0)),""))</f>
        <v>45805</v>
      </c>
      <c r="F31" s="12">
        <f ca="1">IFERROR(IF(A31="","",D31-Date!$B$3),"")</f>
        <v>-303</v>
      </c>
      <c r="G31" s="20"/>
      <c r="I31" s="21" t="str">
        <f t="shared" si="0"/>
        <v xml:space="preserve">  </v>
      </c>
      <c r="J31" s="21" t="str">
        <f t="shared" si="1"/>
        <v>y</v>
      </c>
    </row>
    <row r="32" spans="1:10" ht="23.25" hidden="1" x14ac:dyDescent="0.25">
      <c r="A32" s="12" t="str">
        <f>'Drawing Submittal'!A32</f>
        <v>25-036</v>
      </c>
      <c r="B32" s="13" t="str">
        <f>_xlfn.IFNA(VLOOKUP(A32,'Date Calcs'!A:AG,2,),"")</f>
        <v>Irving Tissue</v>
      </c>
      <c r="C32" s="14">
        <f>_xlfn.IFNA(VLOOKUP(A32,'Actual Dates'!A:AE,6,),"")</f>
        <v>2</v>
      </c>
      <c r="D32" s="15">
        <f>IF(C32="  ","  ",IF(C32=0,VLOOKUP(A32,'Date Calcs'!A:AG,9,),IF(C32=1,VLOOKUP(A32,'Date Calcs'!A:AG,11,),IF(C32=2,VLOOKUP(A32,'Date Calcs'!A:AG,13,),IF(C32=3,VLOOKUP(A32,'Date Calcs'!A:AG,15,),4)))))</f>
        <v>45812</v>
      </c>
      <c r="E32" s="15">
        <f>IF(_xlfn.IFNA(IF(D32="  "," ",VLOOKUP(A32,'Actual Dates'!A:AE,20,0)),"")&lt;1,"-",_xlfn.IFNA(IF(D32="  "," ",VLOOKUP(A32,'Actual Dates'!A:AE,20,0)),""))</f>
        <v>45805</v>
      </c>
      <c r="F32" s="12">
        <f ca="1">IFERROR(IF(A32="","",D32-Date!$B$3),"")</f>
        <v>-303</v>
      </c>
      <c r="G32" s="20"/>
      <c r="I32" s="21" t="str">
        <f t="shared" si="0"/>
        <v xml:space="preserve">  </v>
      </c>
      <c r="J32" s="21" t="str">
        <f t="shared" si="1"/>
        <v>y</v>
      </c>
    </row>
    <row r="33" spans="1:10" ht="23.25" hidden="1" x14ac:dyDescent="0.25">
      <c r="A33" s="12" t="str">
        <f>'Drawing Submittal'!A33</f>
        <v>25-037</v>
      </c>
      <c r="B33" s="13" t="str">
        <f>_xlfn.IFNA(VLOOKUP(A33,'Date Calcs'!A:AG,2,),"")</f>
        <v>Irving Tissue</v>
      </c>
      <c r="C33" s="14">
        <f>_xlfn.IFNA(VLOOKUP(A33,'Actual Dates'!A:AE,6,),"")</f>
        <v>2</v>
      </c>
      <c r="D33" s="15">
        <f>IF(C33="  ","  ",IF(C33=0,VLOOKUP(A33,'Date Calcs'!A:AG,9,),IF(C33=1,VLOOKUP(A33,'Date Calcs'!A:AG,11,),IF(C33=2,VLOOKUP(A33,'Date Calcs'!A:AG,13,),IF(C33=3,VLOOKUP(A33,'Date Calcs'!A:AG,15,),4)))))</f>
        <v>45812</v>
      </c>
      <c r="E33" s="15">
        <f>IF(_xlfn.IFNA(IF(D33="  "," ",VLOOKUP(A33,'Actual Dates'!A:AE,20,0)),"")&lt;1,"-",_xlfn.IFNA(IF(D33="  "," ",VLOOKUP(A33,'Actual Dates'!A:AE,20,0)),""))</f>
        <v>45805</v>
      </c>
      <c r="F33" s="12">
        <f ca="1">IFERROR(IF(A33="","",D33-Date!$B$3),"")</f>
        <v>-303</v>
      </c>
      <c r="G33" s="20"/>
      <c r="I33" s="21" t="str">
        <f t="shared" si="0"/>
        <v xml:space="preserve">  </v>
      </c>
      <c r="J33" s="21" t="str">
        <f t="shared" si="1"/>
        <v>y</v>
      </c>
    </row>
    <row r="34" spans="1:10" ht="23.25" hidden="1" x14ac:dyDescent="0.25">
      <c r="A34" s="12" t="str">
        <f>'Drawing Submittal'!A34</f>
        <v>25-039</v>
      </c>
      <c r="B34" s="13" t="str">
        <f>_xlfn.IFNA(VLOOKUP(A34,'Date Calcs'!A:AG,2,),"")</f>
        <v>Zachry</v>
      </c>
      <c r="C34" s="14">
        <f>_xlfn.IFNA(VLOOKUP(A34,'Actual Dates'!A:AE,6,),"")</f>
        <v>1</v>
      </c>
      <c r="D34" s="15">
        <f>IF(C34="  ","  ",IF(C34=0,VLOOKUP(A34,'Date Calcs'!A:AG,9,),IF(C34=1,VLOOKUP(A34,'Date Calcs'!A:AG,11,),IF(C34=2,VLOOKUP(A34,'Date Calcs'!A:AG,13,),IF(C34=3,VLOOKUP(A34,'Date Calcs'!A:AG,15,),4)))))</f>
        <v>45790</v>
      </c>
      <c r="E34" s="15">
        <f>IF(_xlfn.IFNA(IF(D34="  "," ",VLOOKUP(A34,'Actual Dates'!A:AE,20,0)),"")&lt;1,"-",_xlfn.IFNA(IF(D34="  "," ",VLOOKUP(A34,'Actual Dates'!A:AE,20,0)),""))</f>
        <v>45783</v>
      </c>
      <c r="F34" s="12">
        <f ca="1">IFERROR(IF(A34="","",D34-Date!$B$3),"")</f>
        <v>-325</v>
      </c>
      <c r="G34" s="20"/>
      <c r="I34" s="21" t="str">
        <f t="shared" si="0"/>
        <v xml:space="preserve">  </v>
      </c>
      <c r="J34" s="21" t="str">
        <f t="shared" si="1"/>
        <v>y</v>
      </c>
    </row>
    <row r="35" spans="1:10" ht="23.25" hidden="1" x14ac:dyDescent="0.25">
      <c r="A35" s="12" t="str">
        <f>'Drawing Submittal'!A35</f>
        <v>25-040</v>
      </c>
      <c r="B35" s="13" t="str">
        <f>_xlfn.IFNA(VLOOKUP(A35,'Date Calcs'!A:AG,2,),"")</f>
        <v>NAK Kiln</v>
      </c>
      <c r="C35" s="14">
        <f>_xlfn.IFNA(VLOOKUP(A35,'Actual Dates'!A:AE,6,),"")</f>
        <v>1</v>
      </c>
      <c r="D35" s="15">
        <f>IF(C35="  ","  ",IF(C35=0,VLOOKUP(A35,'Date Calcs'!A:AG,9,),IF(C35=1,VLOOKUP(A35,'Date Calcs'!A:AG,11,),IF(C35=2,VLOOKUP(A35,'Date Calcs'!A:AG,13,),IF(C35=3,VLOOKUP(A35,'Date Calcs'!A:AG,15,),4)))))</f>
        <v>45736</v>
      </c>
      <c r="E35" s="15">
        <f>IF(_xlfn.IFNA(IF(D35="  "," ",VLOOKUP(A35,'Actual Dates'!A:AE,20,0)),"")&lt;1,"-",_xlfn.IFNA(IF(D35="  "," ",VLOOKUP(A35,'Actual Dates'!A:AE,20,0)),""))</f>
        <v>45729</v>
      </c>
      <c r="F35" s="12">
        <f ca="1">IFERROR(IF(A35="","",D35-Date!$B$3),"")</f>
        <v>-379</v>
      </c>
      <c r="G35" s="20"/>
      <c r="I35" s="21" t="str">
        <f t="shared" si="0"/>
        <v xml:space="preserve">  </v>
      </c>
      <c r="J35" s="21" t="s">
        <v>17</v>
      </c>
    </row>
    <row r="36" spans="1:10" ht="23.25" hidden="1" x14ac:dyDescent="0.25">
      <c r="A36" s="12" t="str">
        <f>'Drawing Submittal'!A36</f>
        <v>25-042</v>
      </c>
      <c r="B36" s="13" t="str">
        <f>_xlfn.IFNA(VLOOKUP(A36,'Date Calcs'!A:AG,2,),"")</f>
        <v>Andritz</v>
      </c>
      <c r="C36" s="14">
        <f>_xlfn.IFNA(VLOOKUP(A36,'Actual Dates'!A:AE,6,),"")</f>
        <v>2</v>
      </c>
      <c r="D36" s="15">
        <f>IF(C36="  ","  ",IF(C36=0,VLOOKUP(A36,'Date Calcs'!A:AG,9,),IF(C36=1,VLOOKUP(A36,'Date Calcs'!A:AG,11,),IF(C36=2,VLOOKUP(A36,'Date Calcs'!A:AG,13,),IF(C36=3,VLOOKUP(A36,'Date Calcs'!A:AG,15,),4)))))</f>
        <v>45806</v>
      </c>
      <c r="E36" s="15">
        <f>IF(_xlfn.IFNA(IF(D36="  "," ",VLOOKUP(A36,'Actual Dates'!A:AE,20,0)),"")&lt;1,"-",_xlfn.IFNA(IF(D36="  "," ",VLOOKUP(A36,'Actual Dates'!A:AE,20,0)),""))</f>
        <v>45799</v>
      </c>
      <c r="F36" s="12">
        <f ca="1">IFERROR(IF(A36="","",D36-Date!$B$3),"")</f>
        <v>-309</v>
      </c>
      <c r="G36" s="20"/>
      <c r="I36" s="21" t="str">
        <f t="shared" si="0"/>
        <v xml:space="preserve">  </v>
      </c>
      <c r="J36" s="21" t="s">
        <v>17</v>
      </c>
    </row>
    <row r="37" spans="1:10" ht="23.25" hidden="1" x14ac:dyDescent="0.25">
      <c r="A37" s="12" t="str">
        <f>'Drawing Submittal'!A37</f>
        <v>25-044</v>
      </c>
      <c r="B37" s="13" t="str">
        <f>_xlfn.IFNA(VLOOKUP(A37,'Date Calcs'!A:AG,2,),"")</f>
        <v>Noah Industrial</v>
      </c>
      <c r="C37" s="14">
        <f>_xlfn.IFNA(VLOOKUP(A37,'Actual Dates'!A:AE,6,),"")</f>
        <v>2</v>
      </c>
      <c r="D37" s="15">
        <f>IF(C37="  ","  ",IF(C37=0,VLOOKUP(A37,'Date Calcs'!A:AG,9,),IF(C37=1,VLOOKUP(A37,'Date Calcs'!A:AG,11,),IF(C37=2,VLOOKUP(A37,'Date Calcs'!A:AG,13,),IF(C37=3,VLOOKUP(A37,'Date Calcs'!A:AG,15,),4)))))</f>
        <v>45814</v>
      </c>
      <c r="E37" s="15">
        <f>IF(_xlfn.IFNA(IF(D37="  "," ",VLOOKUP(A37,'Actual Dates'!A:AE,20,0)),"")&lt;1,"-",_xlfn.IFNA(IF(D37="  "," ",VLOOKUP(A37,'Actual Dates'!A:AE,20,0)),""))</f>
        <v>45807</v>
      </c>
      <c r="F37" s="12">
        <f ca="1">IFERROR(IF(A37="","",D37-Date!$B$3),"")</f>
        <v>-301</v>
      </c>
      <c r="G37" s="20"/>
      <c r="I37" s="21" t="str">
        <f t="shared" si="0"/>
        <v xml:space="preserve">  </v>
      </c>
      <c r="J37" s="21" t="s">
        <v>17</v>
      </c>
    </row>
    <row r="38" spans="1:10" ht="23.25" hidden="1" x14ac:dyDescent="0.25">
      <c r="A38" s="12" t="str">
        <f>'Drawing Submittal'!A38</f>
        <v>25-045</v>
      </c>
      <c r="B38" s="13" t="str">
        <f>_xlfn.IFNA(VLOOKUP(A38,'Date Calcs'!A:AG,2,),"")</f>
        <v>ProPipe</v>
      </c>
      <c r="C38" s="14">
        <f>_xlfn.IFNA(VLOOKUP(A38,'Actual Dates'!A:AE,6,),"")</f>
        <v>3</v>
      </c>
      <c r="D38" s="15">
        <f>IF(C38="  ","  ",IF(C38=0,VLOOKUP(A38,'Date Calcs'!A:AG,9,),IF(C38=1,VLOOKUP(A38,'Date Calcs'!A:AG,11,),IF(C38=2,VLOOKUP(A38,'Date Calcs'!A:AG,13,),IF(C38=3,VLOOKUP(A38,'Date Calcs'!A:AG,15,),4)))))</f>
        <v>46029</v>
      </c>
      <c r="E38" s="15" t="str">
        <f>IF(_xlfn.IFNA(IF(D38="  "," ",VLOOKUP(A38,'Actual Dates'!A:AE,20,0)),"")&lt;1,"-",_xlfn.IFNA(IF(D38="  "," ",VLOOKUP(A38,'Actual Dates'!A:AE,20,0)),""))</f>
        <v>-</v>
      </c>
      <c r="F38" s="12">
        <f ca="1">IFERROR(IF(A38="","",D38-Date!$B$3),"")</f>
        <v>-86</v>
      </c>
      <c r="G38" s="20"/>
      <c r="I38" s="21">
        <f t="shared" si="0"/>
        <v>1</v>
      </c>
      <c r="J38" s="21" t="s">
        <v>17</v>
      </c>
    </row>
    <row r="39" spans="1:10" ht="23.25" hidden="1" x14ac:dyDescent="0.25">
      <c r="A39" s="12" t="str">
        <f>'Drawing Submittal'!A39</f>
        <v>25-052</v>
      </c>
      <c r="B39" s="13" t="str">
        <f>_xlfn.IFNA(VLOOKUP(A39,'Date Calcs'!A:AG,2,),"")</f>
        <v>Kraton</v>
      </c>
      <c r="C39" s="14">
        <f>_xlfn.IFNA(VLOOKUP(A39,'Actual Dates'!A:AE,6,),"")</f>
        <v>3</v>
      </c>
      <c r="D39" s="15">
        <f>IF(C39="  ","  ",IF(C39=0,VLOOKUP(A39,'Date Calcs'!A:AG,9,),IF(C39=1,VLOOKUP(A39,'Date Calcs'!A:AG,11,),IF(C39=2,VLOOKUP(A39,'Date Calcs'!A:AG,13,),IF(C39=3,VLOOKUP(A39,'Date Calcs'!A:AG,15,),4)))))</f>
        <v>45874</v>
      </c>
      <c r="E39" s="15">
        <f>IF(_xlfn.IFNA(IF(D39="  "," ",VLOOKUP(A39,'Actual Dates'!A:AE,20,0)),"")&lt;1,"-",_xlfn.IFNA(IF(D39="  "," ",VLOOKUP(A39,'Actual Dates'!A:AE,20,0)),""))</f>
        <v>45867</v>
      </c>
      <c r="F39" s="12">
        <f ca="1">IFERROR(IF(A39="","",D39-Date!$B$3),"")</f>
        <v>-241</v>
      </c>
      <c r="G39" s="20"/>
      <c r="I39" s="21" t="str">
        <f t="shared" si="0"/>
        <v xml:space="preserve">  </v>
      </c>
      <c r="J39" s="21" t="s">
        <v>17</v>
      </c>
    </row>
    <row r="40" spans="1:10" ht="23.25" hidden="1" x14ac:dyDescent="0.25">
      <c r="A40" s="12" t="str">
        <f>'Drawing Submittal'!A40</f>
        <v>25-053</v>
      </c>
      <c r="B40" s="13" t="str">
        <f>_xlfn.IFNA(VLOOKUP(A40,'Date Calcs'!A:AG,2,),"")</f>
        <v>Andritz</v>
      </c>
      <c r="C40" s="14" t="str">
        <f>_xlfn.IFNA(VLOOKUP(A40,'Actual Dates'!A:AE,6,),"")</f>
        <v xml:space="preserve">  </v>
      </c>
      <c r="D40" s="15" t="str">
        <f>IF(C40="  ","  ",IF(C40=0,VLOOKUP(A40,'Date Calcs'!A:AG,9,),IF(C40=1,VLOOKUP(A40,'Date Calcs'!A:AG,11,),IF(C40=2,VLOOKUP(A40,'Date Calcs'!A:AG,13,),IF(C40=3,VLOOKUP(A40,'Date Calcs'!A:AG,15,),4)))))</f>
        <v xml:space="preserve">  </v>
      </c>
      <c r="E40" s="15" t="str">
        <f>IF(_xlfn.IFNA(IF(D40="  "," ",VLOOKUP(A40,'Actual Dates'!A:AE,20,0)),"")&lt;1,"-",_xlfn.IFNA(IF(D40="  "," ",VLOOKUP(A40,'Actual Dates'!A:AE,20,0)),""))</f>
        <v xml:space="preserve"> </v>
      </c>
      <c r="F40" s="12" t="str">
        <f ca="1">IFERROR(IF(A40="","",D40-Date!$B$3),"")</f>
        <v/>
      </c>
      <c r="G40" s="20"/>
      <c r="I40" s="21" t="b">
        <f t="shared" si="0"/>
        <v>0</v>
      </c>
      <c r="J40" s="21" t="str">
        <f>VLOOKUP(A40,Dates,7,)</f>
        <v xml:space="preserve">  </v>
      </c>
    </row>
    <row r="41" spans="1:10" ht="23.25" hidden="1" x14ac:dyDescent="0.25">
      <c r="A41" s="12" t="str">
        <f>'Drawing Submittal'!A41</f>
        <v>25-054</v>
      </c>
      <c r="B41" s="13" t="str">
        <f>_xlfn.IFNA(VLOOKUP(A41,'Date Calcs'!A:AG,2,),"")</f>
        <v>Chromascape</v>
      </c>
      <c r="C41" s="14">
        <f>_xlfn.IFNA(VLOOKUP(A41,'Actual Dates'!A:AE,6,),"")</f>
        <v>2</v>
      </c>
      <c r="D41" s="15">
        <f>IF(C41="  ","  ",IF(C41=0,VLOOKUP(A41,'Date Calcs'!A:AG,9,),IF(C41=1,VLOOKUP(A41,'Date Calcs'!A:AG,11,),IF(C41=2,VLOOKUP(A41,'Date Calcs'!A:AG,13,),IF(C41=3,VLOOKUP(A41,'Date Calcs'!A:AG,15,),4)))))</f>
        <v>45862</v>
      </c>
      <c r="E41" s="15">
        <f>IF(_xlfn.IFNA(IF(D41="  "," ",VLOOKUP(A41,'Actual Dates'!A:AE,20,0)),"")&lt;1,"-",_xlfn.IFNA(IF(D41="  "," ",VLOOKUP(A41,'Actual Dates'!A:AE,20,0)),""))</f>
        <v>45855</v>
      </c>
      <c r="F41" s="12">
        <f ca="1">IFERROR(IF(A41="","",D41-Date!$B$3),"")</f>
        <v>-253</v>
      </c>
      <c r="G41" s="20"/>
      <c r="I41" s="21" t="str">
        <f t="shared" si="0"/>
        <v xml:space="preserve">  </v>
      </c>
      <c r="J41" s="21" t="str">
        <f>VLOOKUP(A41,Dates,7,)</f>
        <v>y</v>
      </c>
    </row>
    <row r="42" spans="1:10" ht="23.25" hidden="1" x14ac:dyDescent="0.25">
      <c r="A42" s="12" t="str">
        <f>'Drawing Submittal'!A42</f>
        <v>25-055</v>
      </c>
      <c r="B42" s="13" t="str">
        <f>_xlfn.IFNA(VLOOKUP(A42,'Date Calcs'!A:AG,2,),"")</f>
        <v>Airgas</v>
      </c>
      <c r="C42" s="14">
        <f>_xlfn.IFNA(VLOOKUP(A42,'Actual Dates'!A:AE,6,),"")</f>
        <v>1</v>
      </c>
      <c r="D42" s="15">
        <f>IF(C42="  ","  ",IF(C42=0,VLOOKUP(A42,'Date Calcs'!A:AG,9,),IF(C42=1,VLOOKUP(A42,'Date Calcs'!A:AG,11,),IF(C42=2,VLOOKUP(A42,'Date Calcs'!A:AG,13,),IF(C42=3,VLOOKUP(A42,'Date Calcs'!A:AG,15,),4)))))</f>
        <v>46015</v>
      </c>
      <c r="E42" s="15">
        <f>IF(_xlfn.IFNA(IF(D42="  "," ",VLOOKUP(A42,'Actual Dates'!A:AE,20,0)),"")&lt;1,"-",_xlfn.IFNA(IF(D42="  "," ",VLOOKUP(A42,'Actual Dates'!A:AE,20,0)),""))</f>
        <v>46008</v>
      </c>
      <c r="F42" s="12">
        <f ca="1">IFERROR(IF(A42="","",D42-Date!$B$3),"")</f>
        <v>-100</v>
      </c>
      <c r="G42" s="20"/>
      <c r="I42" s="21" t="str">
        <f t="shared" si="0"/>
        <v xml:space="preserve">  </v>
      </c>
      <c r="J42" s="21" t="s">
        <v>17</v>
      </c>
    </row>
    <row r="43" spans="1:10" ht="23.25" hidden="1" x14ac:dyDescent="0.25">
      <c r="A43" s="12" t="str">
        <f>'Drawing Submittal'!A43</f>
        <v>25-056</v>
      </c>
      <c r="B43" s="13" t="str">
        <f>_xlfn.IFNA(VLOOKUP(A43,'Date Calcs'!A:AG,2,),"")</f>
        <v>Reco</v>
      </c>
      <c r="C43" s="14">
        <f>_xlfn.IFNA(VLOOKUP(A43,'Actual Dates'!A:AE,6,),"")</f>
        <v>2</v>
      </c>
      <c r="D43" s="15">
        <f>IF(C43="  ","  ",IF(C43=0,VLOOKUP(A43,'Date Calcs'!A:AG,9,),IF(C43=1,VLOOKUP(A43,'Date Calcs'!A:AG,11,),IF(C43=2,VLOOKUP(A43,'Date Calcs'!A:AG,13,),IF(C43=3,VLOOKUP(A43,'Date Calcs'!A:AG,15,),4)))))</f>
        <v>45880</v>
      </c>
      <c r="E43" s="15">
        <f>IF(_xlfn.IFNA(IF(D43="  "," ",VLOOKUP(A43,'Actual Dates'!A:AE,20,0)),"")&lt;1,"-",_xlfn.IFNA(IF(D43="  "," ",VLOOKUP(A43,'Actual Dates'!A:AE,20,0)),""))</f>
        <v>45873</v>
      </c>
      <c r="F43" s="12">
        <f ca="1">IFERROR(IF(A43="","",D43-Date!$B$3),"")</f>
        <v>-235</v>
      </c>
      <c r="G43" s="20"/>
      <c r="I43" s="21" t="str">
        <f t="shared" si="0"/>
        <v xml:space="preserve">  </v>
      </c>
      <c r="J43" s="21" t="str">
        <f>VLOOKUP(A43,Dates,7,)</f>
        <v>y</v>
      </c>
    </row>
    <row r="44" spans="1:10" ht="23.25" hidden="1" x14ac:dyDescent="0.25">
      <c r="A44" s="12" t="str">
        <f>'Drawing Submittal'!A44</f>
        <v>25-057</v>
      </c>
      <c r="B44" s="13" t="str">
        <f>_xlfn.IFNA(VLOOKUP(A44,'Date Calcs'!A:AG,2,),"")</f>
        <v>Reco</v>
      </c>
      <c r="C44" s="14">
        <f>_xlfn.IFNA(VLOOKUP(A44,'Actual Dates'!A:AE,6,),"")</f>
        <v>2</v>
      </c>
      <c r="D44" s="15">
        <f>IF(C44="  ","  ",IF(C44=0,VLOOKUP(A44,'Date Calcs'!A:AG,9,),IF(C44=1,VLOOKUP(A44,'Date Calcs'!A:AG,11,),IF(C44=2,VLOOKUP(A44,'Date Calcs'!A:AG,13,),IF(C44=3,VLOOKUP(A44,'Date Calcs'!A:AG,15,),4)))))</f>
        <v>45880</v>
      </c>
      <c r="E44" s="15">
        <f>IF(_xlfn.IFNA(IF(D44="  "," ",VLOOKUP(A44,'Actual Dates'!A:AE,20,0)),"")&lt;1,"-",_xlfn.IFNA(IF(D44="  "," ",VLOOKUP(A44,'Actual Dates'!A:AE,20,0)),""))</f>
        <v>45873</v>
      </c>
      <c r="F44" s="12">
        <f ca="1">IFERROR(IF(A44="","",D44-Date!$B$3),"")</f>
        <v>-235</v>
      </c>
      <c r="G44" s="20"/>
      <c r="I44" s="21" t="str">
        <f t="shared" si="0"/>
        <v xml:space="preserve">  </v>
      </c>
      <c r="J44" s="21" t="str">
        <f>VLOOKUP(A44,Dates,7,)</f>
        <v>y</v>
      </c>
    </row>
    <row r="45" spans="1:10" ht="23.25" hidden="1" x14ac:dyDescent="0.25">
      <c r="A45" s="12" t="str">
        <f>'Drawing Submittal'!A45</f>
        <v>25-058</v>
      </c>
      <c r="B45" s="13" t="str">
        <f>_xlfn.IFNA(VLOOKUP(A45,'Date Calcs'!A:AG,2,),"")</f>
        <v>Reco</v>
      </c>
      <c r="C45" s="14">
        <f>_xlfn.IFNA(VLOOKUP(A45,'Actual Dates'!A:AE,6,),"")</f>
        <v>2</v>
      </c>
      <c r="D45" s="15">
        <f>IF(C45="  ","  ",IF(C45=0,VLOOKUP(A45,'Date Calcs'!A:AG,9,),IF(C45=1,VLOOKUP(A45,'Date Calcs'!A:AG,11,),IF(C45=2,VLOOKUP(A45,'Date Calcs'!A:AG,13,),IF(C45=3,VLOOKUP(A45,'Date Calcs'!A:AG,15,),4)))))</f>
        <v>45880</v>
      </c>
      <c r="E45" s="15">
        <f>IF(_xlfn.IFNA(IF(D45="  "," ",VLOOKUP(A45,'Actual Dates'!A:AE,20,0)),"")&lt;1,"-",_xlfn.IFNA(IF(D45="  "," ",VLOOKUP(A45,'Actual Dates'!A:AE,20,0)),""))</f>
        <v>45873</v>
      </c>
      <c r="F45" s="12">
        <f ca="1">IFERROR(IF(A45="","",D45-Date!$B$3),"")</f>
        <v>-235</v>
      </c>
      <c r="G45" s="20"/>
      <c r="I45" s="21" t="str">
        <f t="shared" si="0"/>
        <v xml:space="preserve">  </v>
      </c>
      <c r="J45" s="21" t="str">
        <f>VLOOKUP(A45,Dates,7,)</f>
        <v>y</v>
      </c>
    </row>
    <row r="46" spans="1:10" ht="23.25" hidden="1" x14ac:dyDescent="0.25">
      <c r="A46" s="12" t="str">
        <f>'Drawing Submittal'!A46</f>
        <v>25-059</v>
      </c>
      <c r="B46" s="13" t="str">
        <f>_xlfn.IFNA(VLOOKUP(A46,'Date Calcs'!A:AG,2,),"")</f>
        <v>Reco</v>
      </c>
      <c r="C46" s="14">
        <f>_xlfn.IFNA(VLOOKUP(A46,'Actual Dates'!A:AE,6,),"")</f>
        <v>2</v>
      </c>
      <c r="D46" s="15">
        <f>IF(C46="  ","  ",IF(C46=0,VLOOKUP(A46,'Date Calcs'!A:AG,9,),IF(C46=1,VLOOKUP(A46,'Date Calcs'!A:AG,11,),IF(C46=2,VLOOKUP(A46,'Date Calcs'!A:AG,13,),IF(C46=3,VLOOKUP(A46,'Date Calcs'!A:AG,15,),4)))))</f>
        <v>45880</v>
      </c>
      <c r="E46" s="15">
        <f>IF(_xlfn.IFNA(IF(D46="  "," ",VLOOKUP(A46,'Actual Dates'!A:AE,20,0)),"")&lt;1,"-",_xlfn.IFNA(IF(D46="  "," ",VLOOKUP(A46,'Actual Dates'!A:AE,20,0)),""))</f>
        <v>45873</v>
      </c>
      <c r="F46" s="12">
        <f ca="1">IFERROR(IF(A46="","",D46-Date!$B$3),"")</f>
        <v>-235</v>
      </c>
      <c r="G46" s="20"/>
      <c r="I46" s="21" t="str">
        <f t="shared" si="0"/>
        <v xml:space="preserve">  </v>
      </c>
      <c r="J46" s="21" t="str">
        <f>VLOOKUP(A46,Dates,7,)</f>
        <v>y</v>
      </c>
    </row>
    <row r="47" spans="1:10" ht="23.25" hidden="1" x14ac:dyDescent="0.25">
      <c r="A47" s="12" t="str">
        <f>'Drawing Submittal'!A47</f>
        <v>25-060</v>
      </c>
      <c r="B47" s="13" t="str">
        <f>_xlfn.IFNA(VLOOKUP(A47,'Date Calcs'!A:AG,2,),"")</f>
        <v>Reco</v>
      </c>
      <c r="C47" s="14">
        <f>_xlfn.IFNA(VLOOKUP(A47,'Actual Dates'!A:AE,6,),"")</f>
        <v>2</v>
      </c>
      <c r="D47" s="15">
        <f>IF(C47="  ","  ",IF(C47=0,VLOOKUP(A47,'Date Calcs'!A:AG,9,),IF(C47=1,VLOOKUP(A47,'Date Calcs'!A:AG,11,),IF(C47=2,VLOOKUP(A47,'Date Calcs'!A:AG,13,),IF(C47=3,VLOOKUP(A47,'Date Calcs'!A:AG,15,),4)))))</f>
        <v>45880</v>
      </c>
      <c r="E47" s="15">
        <f>IF(_xlfn.IFNA(IF(D47="  "," ",VLOOKUP(A47,'Actual Dates'!A:AE,20,0)),"")&lt;1,"-",_xlfn.IFNA(IF(D47="  "," ",VLOOKUP(A47,'Actual Dates'!A:AE,20,0)),""))</f>
        <v>45873</v>
      </c>
      <c r="F47" s="12">
        <f ca="1">IFERROR(IF(A47="","",D47-Date!$B$3),"")</f>
        <v>-235</v>
      </c>
      <c r="G47" s="20"/>
      <c r="I47" s="21" t="str">
        <f t="shared" si="0"/>
        <v xml:space="preserve">  </v>
      </c>
      <c r="J47" s="21" t="s">
        <v>17</v>
      </c>
    </row>
    <row r="48" spans="1:10" ht="23.25" hidden="1" x14ac:dyDescent="0.25">
      <c r="A48" s="12" t="str">
        <f>'Drawing Submittal'!A48</f>
        <v>25-061</v>
      </c>
      <c r="B48" s="13" t="str">
        <f>_xlfn.IFNA(VLOOKUP(A48,'Date Calcs'!A:AG,2,),"")</f>
        <v>Reco</v>
      </c>
      <c r="C48" s="14">
        <f>_xlfn.IFNA(VLOOKUP(A48,'Actual Dates'!A:AE,6,),"")</f>
        <v>2</v>
      </c>
      <c r="D48" s="15">
        <f>IF(C48="  ","  ",IF(C48=0,VLOOKUP(A48,'Date Calcs'!A:AG,9,),IF(C48=1,VLOOKUP(A48,'Date Calcs'!A:AG,11,),IF(C48=2,VLOOKUP(A48,'Date Calcs'!A:AG,13,),IF(C48=3,VLOOKUP(A48,'Date Calcs'!A:AG,15,),4)))))</f>
        <v>45880</v>
      </c>
      <c r="E48" s="15">
        <f>IF(_xlfn.IFNA(IF(D48="  "," ",VLOOKUP(A48,'Actual Dates'!A:AE,20,0)),"")&lt;1,"-",_xlfn.IFNA(IF(D48="  "," ",VLOOKUP(A48,'Actual Dates'!A:AE,20,0)),""))</f>
        <v>45873</v>
      </c>
      <c r="F48" s="12">
        <f ca="1">IFERROR(IF(A48="","",D48-Date!$B$3),"")</f>
        <v>-235</v>
      </c>
      <c r="G48" s="20"/>
      <c r="I48" s="21" t="str">
        <f t="shared" si="0"/>
        <v xml:space="preserve">  </v>
      </c>
      <c r="J48" s="21" t="str">
        <f t="shared" ref="J48:J79" si="2">VLOOKUP(A48,Dates,7,)</f>
        <v>y</v>
      </c>
    </row>
    <row r="49" spans="1:10" ht="23.25" hidden="1" x14ac:dyDescent="0.25">
      <c r="A49" s="12" t="str">
        <f>'Drawing Submittal'!A49</f>
        <v>25-062</v>
      </c>
      <c r="B49" s="13" t="str">
        <f>_xlfn.IFNA(VLOOKUP(A49,'Date Calcs'!A:AG,2,),"")</f>
        <v>Reco</v>
      </c>
      <c r="C49" s="14">
        <f>_xlfn.IFNA(VLOOKUP(A49,'Actual Dates'!A:AE,6,),"")</f>
        <v>2</v>
      </c>
      <c r="D49" s="15">
        <f>IF(C49="  ","  ",IF(C49=0,VLOOKUP(A49,'Date Calcs'!A:AG,9,),IF(C49=1,VLOOKUP(A49,'Date Calcs'!A:AG,11,),IF(C49=2,VLOOKUP(A49,'Date Calcs'!A:AG,13,),IF(C49=3,VLOOKUP(A49,'Date Calcs'!A:AG,15,),4)))))</f>
        <v>45880</v>
      </c>
      <c r="E49" s="15">
        <f>IF(_xlfn.IFNA(IF(D49="  "," ",VLOOKUP(A49,'Actual Dates'!A:AE,20,0)),"")&lt;1,"-",_xlfn.IFNA(IF(D49="  "," ",VLOOKUP(A49,'Actual Dates'!A:AE,20,0)),""))</f>
        <v>45873</v>
      </c>
      <c r="F49" s="12">
        <f ca="1">IFERROR(IF(A49="","",D49-Date!$B$3),"")</f>
        <v>-235</v>
      </c>
      <c r="G49" s="20"/>
      <c r="I49" s="21" t="str">
        <f t="shared" si="0"/>
        <v xml:space="preserve">  </v>
      </c>
      <c r="J49" s="21" t="str">
        <f t="shared" si="2"/>
        <v>y</v>
      </c>
    </row>
    <row r="50" spans="1:10" ht="23.25" hidden="1" x14ac:dyDescent="0.25">
      <c r="A50" s="12" t="str">
        <f>'Drawing Submittal'!A50</f>
        <v>25-063</v>
      </c>
      <c r="B50" s="13" t="str">
        <f>_xlfn.IFNA(VLOOKUP(A50,'Date Calcs'!A:AG,2,),"")</f>
        <v>Reco</v>
      </c>
      <c r="C50" s="14">
        <f>_xlfn.IFNA(VLOOKUP(A50,'Actual Dates'!A:AE,6,),"")</f>
        <v>2</v>
      </c>
      <c r="D50" s="15">
        <f>IF(C50="  ","  ",IF(C50=0,VLOOKUP(A50,'Date Calcs'!A:AG,9,),IF(C50=1,VLOOKUP(A50,'Date Calcs'!A:AG,11,),IF(C50=2,VLOOKUP(A50,'Date Calcs'!A:AG,13,),IF(C50=3,VLOOKUP(A50,'Date Calcs'!A:AG,15,),4)))))</f>
        <v>45880</v>
      </c>
      <c r="E50" s="15">
        <f>IF(_xlfn.IFNA(IF(D50="  "," ",VLOOKUP(A50,'Actual Dates'!A:AE,20,0)),"")&lt;1,"-",_xlfn.IFNA(IF(D50="  "," ",VLOOKUP(A50,'Actual Dates'!A:AE,20,0)),""))</f>
        <v>45873</v>
      </c>
      <c r="F50" s="12">
        <f ca="1">IFERROR(IF(A50="","",D50-Date!$B$3),"")</f>
        <v>-235</v>
      </c>
      <c r="G50" s="20"/>
      <c r="I50" s="21" t="str">
        <f t="shared" si="0"/>
        <v xml:space="preserve">  </v>
      </c>
      <c r="J50" s="21" t="str">
        <f t="shared" si="2"/>
        <v>y</v>
      </c>
    </row>
    <row r="51" spans="1:10" ht="23.25" hidden="1" x14ac:dyDescent="0.25">
      <c r="A51" s="12" t="str">
        <f>'Drawing Submittal'!A51</f>
        <v>25-064</v>
      </c>
      <c r="B51" s="13" t="str">
        <f>_xlfn.IFNA(VLOOKUP(A51,'Date Calcs'!A:AG,2,),"")</f>
        <v>Reco</v>
      </c>
      <c r="C51" s="14">
        <f>_xlfn.IFNA(VLOOKUP(A51,'Actual Dates'!A:AE,6,),"")</f>
        <v>2</v>
      </c>
      <c r="D51" s="15">
        <f>IF(C51="  ","  ",IF(C51=0,VLOOKUP(A51,'Date Calcs'!A:AG,9,),IF(C51=1,VLOOKUP(A51,'Date Calcs'!A:AG,11,),IF(C51=2,VLOOKUP(A51,'Date Calcs'!A:AG,13,),IF(C51=3,VLOOKUP(A51,'Date Calcs'!A:AG,15,),4)))))</f>
        <v>45880</v>
      </c>
      <c r="E51" s="15">
        <f>IF(_xlfn.IFNA(IF(D51="  "," ",VLOOKUP(A51,'Actual Dates'!A:AE,20,0)),"")&lt;1,"-",_xlfn.IFNA(IF(D51="  "," ",VLOOKUP(A51,'Actual Dates'!A:AE,20,0)),""))</f>
        <v>45873</v>
      </c>
      <c r="F51" s="12">
        <f ca="1">IFERROR(IF(A51="","",D51-Date!$B$3),"")</f>
        <v>-235</v>
      </c>
      <c r="G51" s="20"/>
      <c r="I51" s="21" t="str">
        <f t="shared" si="0"/>
        <v xml:space="preserve">  </v>
      </c>
      <c r="J51" s="21" t="str">
        <f t="shared" si="2"/>
        <v>y</v>
      </c>
    </row>
    <row r="52" spans="1:10" ht="23.25" hidden="1" x14ac:dyDescent="0.25">
      <c r="A52" s="12" t="str">
        <f>'Drawing Submittal'!A52</f>
        <v>25-065</v>
      </c>
      <c r="B52" s="13" t="str">
        <f>_xlfn.IFNA(VLOOKUP(A52,'Date Calcs'!A:AG,2,),"")</f>
        <v>Reco</v>
      </c>
      <c r="C52" s="14">
        <f>_xlfn.IFNA(VLOOKUP(A52,'Actual Dates'!A:AE,6,),"")</f>
        <v>2</v>
      </c>
      <c r="D52" s="15">
        <f>IF(C52="  ","  ",IF(C52=0,VLOOKUP(A52,'Date Calcs'!A:AG,9,),IF(C52=1,VLOOKUP(A52,'Date Calcs'!A:AG,11,),IF(C52=2,VLOOKUP(A52,'Date Calcs'!A:AG,13,),IF(C52=3,VLOOKUP(A52,'Date Calcs'!A:AG,15,),4)))))</f>
        <v>45880</v>
      </c>
      <c r="E52" s="15">
        <f>IF(_xlfn.IFNA(IF(D52="  "," ",VLOOKUP(A52,'Actual Dates'!A:AE,20,0)),"")&lt;1,"-",_xlfn.IFNA(IF(D52="  "," ",VLOOKUP(A52,'Actual Dates'!A:AE,20,0)),""))</f>
        <v>45873</v>
      </c>
      <c r="F52" s="12">
        <f ca="1">IFERROR(IF(A52="","",D52-Date!$B$3),"")</f>
        <v>-235</v>
      </c>
      <c r="G52" s="20"/>
      <c r="I52" s="21" t="str">
        <f t="shared" si="0"/>
        <v xml:space="preserve">  </v>
      </c>
      <c r="J52" s="21" t="str">
        <f t="shared" si="2"/>
        <v>y</v>
      </c>
    </row>
    <row r="53" spans="1:10" ht="23.25" hidden="1" x14ac:dyDescent="0.25">
      <c r="A53" s="12" t="str">
        <f>'Drawing Submittal'!A53</f>
        <v>25-066</v>
      </c>
      <c r="B53" s="13" t="str">
        <f>_xlfn.IFNA(VLOOKUP(A53,'Date Calcs'!A:AG,2,),"")</f>
        <v>Reco</v>
      </c>
      <c r="C53" s="14">
        <f>_xlfn.IFNA(VLOOKUP(A53,'Actual Dates'!A:AE,6,),"")</f>
        <v>2</v>
      </c>
      <c r="D53" s="15">
        <f>IF(C53="  ","  ",IF(C53=0,VLOOKUP(A53,'Date Calcs'!A:AG,9,),IF(C53=1,VLOOKUP(A53,'Date Calcs'!A:AG,11,),IF(C53=2,VLOOKUP(A53,'Date Calcs'!A:AG,13,),IF(C53=3,VLOOKUP(A53,'Date Calcs'!A:AG,15,),4)))))</f>
        <v>45880</v>
      </c>
      <c r="E53" s="15">
        <f>IF(_xlfn.IFNA(IF(D53="  "," ",VLOOKUP(A53,'Actual Dates'!A:AE,20,0)),"")&lt;1,"-",_xlfn.IFNA(IF(D53="  "," ",VLOOKUP(A53,'Actual Dates'!A:AE,20,0)),""))</f>
        <v>45873</v>
      </c>
      <c r="F53" s="12">
        <f ca="1">IFERROR(IF(A53="","",D53-Date!$B$3),"")</f>
        <v>-235</v>
      </c>
      <c r="G53" s="20"/>
      <c r="I53" s="21" t="str">
        <f t="shared" si="0"/>
        <v xml:space="preserve">  </v>
      </c>
      <c r="J53" s="21" t="str">
        <f t="shared" si="2"/>
        <v>y</v>
      </c>
    </row>
    <row r="54" spans="1:10" ht="23.25" hidden="1" x14ac:dyDescent="0.25">
      <c r="A54" s="12" t="str">
        <f>'Drawing Submittal'!A54</f>
        <v>25-067</v>
      </c>
      <c r="B54" s="13" t="str">
        <f>_xlfn.IFNA(VLOOKUP(A54,'Date Calcs'!A:AG,2,),"")</f>
        <v>Reco</v>
      </c>
      <c r="C54" s="14">
        <f>_xlfn.IFNA(VLOOKUP(A54,'Actual Dates'!A:AE,6,),"")</f>
        <v>2</v>
      </c>
      <c r="D54" s="15">
        <f>IF(C54="  ","  ",IF(C54=0,VLOOKUP(A54,'Date Calcs'!A:AG,9,),IF(C54=1,VLOOKUP(A54,'Date Calcs'!A:AG,11,),IF(C54=2,VLOOKUP(A54,'Date Calcs'!A:AG,13,),IF(C54=3,VLOOKUP(A54,'Date Calcs'!A:AG,15,),4)))))</f>
        <v>45880</v>
      </c>
      <c r="E54" s="15">
        <f>IF(_xlfn.IFNA(IF(D54="  "," ",VLOOKUP(A54,'Actual Dates'!A:AE,20,0)),"")&lt;1,"-",_xlfn.IFNA(IF(D54="  "," ",VLOOKUP(A54,'Actual Dates'!A:AE,20,0)),""))</f>
        <v>45873</v>
      </c>
      <c r="F54" s="12">
        <f ca="1">IFERROR(IF(A54="","",D54-Date!$B$3),"")</f>
        <v>-235</v>
      </c>
      <c r="G54" s="20"/>
      <c r="I54" s="21" t="str">
        <f t="shared" si="0"/>
        <v xml:space="preserve">  </v>
      </c>
      <c r="J54" s="21" t="str">
        <f t="shared" si="2"/>
        <v>y</v>
      </c>
    </row>
    <row r="55" spans="1:10" ht="23.25" hidden="1" x14ac:dyDescent="0.25">
      <c r="A55" s="12" t="str">
        <f>'Drawing Submittal'!A55</f>
        <v>25-068</v>
      </c>
      <c r="B55" s="13" t="str">
        <f>_xlfn.IFNA(VLOOKUP(A55,'Date Calcs'!A:AG,2,),"")</f>
        <v>Reco</v>
      </c>
      <c r="C55" s="14">
        <f>_xlfn.IFNA(VLOOKUP(A55,'Actual Dates'!A:AE,6,),"")</f>
        <v>2</v>
      </c>
      <c r="D55" s="15">
        <f>IF(C55="  ","  ",IF(C55=0,VLOOKUP(A55,'Date Calcs'!A:AG,9,),IF(C55=1,VLOOKUP(A55,'Date Calcs'!A:AG,11,),IF(C55=2,VLOOKUP(A55,'Date Calcs'!A:AG,13,),IF(C55=3,VLOOKUP(A55,'Date Calcs'!A:AG,15,),4)))))</f>
        <v>45880</v>
      </c>
      <c r="E55" s="15">
        <f>IF(_xlfn.IFNA(IF(D55="  "," ",VLOOKUP(A55,'Actual Dates'!A:AE,20,0)),"")&lt;1,"-",_xlfn.IFNA(IF(D55="  "," ",VLOOKUP(A55,'Actual Dates'!A:AE,20,0)),""))</f>
        <v>45873</v>
      </c>
      <c r="F55" s="12">
        <f ca="1">IFERROR(IF(A55="","",D55-Date!$B$3),"")</f>
        <v>-235</v>
      </c>
      <c r="G55" s="20"/>
      <c r="I55" s="21" t="str">
        <f t="shared" si="0"/>
        <v xml:space="preserve">  </v>
      </c>
      <c r="J55" s="21" t="str">
        <f t="shared" si="2"/>
        <v>y</v>
      </c>
    </row>
    <row r="56" spans="1:10" ht="23.25" hidden="1" x14ac:dyDescent="0.25">
      <c r="A56" s="12" t="str">
        <f>'Drawing Submittal'!A56</f>
        <v>25-069</v>
      </c>
      <c r="B56" s="13" t="str">
        <f>_xlfn.IFNA(VLOOKUP(A56,'Date Calcs'!A:AG,2,),"")</f>
        <v>Reco</v>
      </c>
      <c r="C56" s="14">
        <f>_xlfn.IFNA(VLOOKUP(A56,'Actual Dates'!A:AE,6,),"")</f>
        <v>2</v>
      </c>
      <c r="D56" s="15">
        <f>IF(C56="  ","  ",IF(C56=0,VLOOKUP(A56,'Date Calcs'!A:AG,9,),IF(C56=1,VLOOKUP(A56,'Date Calcs'!A:AG,11,),IF(C56=2,VLOOKUP(A56,'Date Calcs'!A:AG,13,),IF(C56=3,VLOOKUP(A56,'Date Calcs'!A:AG,15,),4)))))</f>
        <v>45880</v>
      </c>
      <c r="E56" s="15">
        <f>IF(_xlfn.IFNA(IF(D56="  "," ",VLOOKUP(A56,'Actual Dates'!A:AE,20,0)),"")&lt;1,"-",_xlfn.IFNA(IF(D56="  "," ",VLOOKUP(A56,'Actual Dates'!A:AE,20,0)),""))</f>
        <v>45873</v>
      </c>
      <c r="F56" s="12">
        <f ca="1">IFERROR(IF(A56="","",D56-Date!$B$3),"")</f>
        <v>-235</v>
      </c>
      <c r="G56" s="20"/>
      <c r="I56" s="21" t="str">
        <f t="shared" si="0"/>
        <v xml:space="preserve">  </v>
      </c>
      <c r="J56" s="21" t="str">
        <f t="shared" si="2"/>
        <v>y</v>
      </c>
    </row>
    <row r="57" spans="1:10" ht="23.25" hidden="1" x14ac:dyDescent="0.25">
      <c r="A57" s="12" t="str">
        <f>'Drawing Submittal'!A57</f>
        <v>25-070</v>
      </c>
      <c r="B57" s="13" t="str">
        <f>_xlfn.IFNA(VLOOKUP(A57,'Date Calcs'!A:AG,2,),"")</f>
        <v>Reco</v>
      </c>
      <c r="C57" s="14">
        <f>_xlfn.IFNA(VLOOKUP(A57,'Actual Dates'!A:AE,6,),"")</f>
        <v>2</v>
      </c>
      <c r="D57" s="15">
        <f>IF(C57="  ","  ",IF(C57=0,VLOOKUP(A57,'Date Calcs'!A:AG,9,),IF(C57=1,VLOOKUP(A57,'Date Calcs'!A:AG,11,),IF(C57=2,VLOOKUP(A57,'Date Calcs'!A:AG,13,),IF(C57=3,VLOOKUP(A57,'Date Calcs'!A:AG,15,),4)))))</f>
        <v>45880</v>
      </c>
      <c r="E57" s="15">
        <f>IF(_xlfn.IFNA(IF(D57="  "," ",VLOOKUP(A57,'Actual Dates'!A:AE,20,0)),"")&lt;1,"-",_xlfn.IFNA(IF(D57="  "," ",VLOOKUP(A57,'Actual Dates'!A:AE,20,0)),""))</f>
        <v>45873</v>
      </c>
      <c r="F57" s="12">
        <f ca="1">IFERROR(IF(A57="","",D57-Date!$B$3),"")</f>
        <v>-235</v>
      </c>
      <c r="G57" s="20"/>
      <c r="I57" s="21" t="str">
        <f t="shared" si="0"/>
        <v xml:space="preserve">  </v>
      </c>
      <c r="J57" s="21" t="str">
        <f t="shared" si="2"/>
        <v>y</v>
      </c>
    </row>
    <row r="58" spans="1:10" ht="23.25" hidden="1" x14ac:dyDescent="0.25">
      <c r="A58" s="12" t="str">
        <f>'Drawing Submittal'!A58</f>
        <v>25-071</v>
      </c>
      <c r="B58" s="13" t="str">
        <f>_xlfn.IFNA(VLOOKUP(A58,'Date Calcs'!A:AG,2,),"")</f>
        <v>Reco</v>
      </c>
      <c r="C58" s="14">
        <f>_xlfn.IFNA(VLOOKUP(A58,'Actual Dates'!A:AE,6,),"")</f>
        <v>2</v>
      </c>
      <c r="D58" s="15">
        <f>IF(C58="  ","  ",IF(C58=0,VLOOKUP(A58,'Date Calcs'!A:AG,9,),IF(C58=1,VLOOKUP(A58,'Date Calcs'!A:AG,11,),IF(C58=2,VLOOKUP(A58,'Date Calcs'!A:AG,13,),IF(C58=3,VLOOKUP(A58,'Date Calcs'!A:AG,15,),4)))))</f>
        <v>45880</v>
      </c>
      <c r="E58" s="15">
        <f>IF(_xlfn.IFNA(IF(D58="  "," ",VLOOKUP(A58,'Actual Dates'!A:AE,20,0)),"")&lt;1,"-",_xlfn.IFNA(IF(D58="  "," ",VLOOKUP(A58,'Actual Dates'!A:AE,20,0)),""))</f>
        <v>45873</v>
      </c>
      <c r="F58" s="12">
        <f ca="1">IFERROR(IF(A58="","",D58-Date!$B$3),"")</f>
        <v>-235</v>
      </c>
      <c r="G58" s="20"/>
      <c r="I58" s="21" t="str">
        <f t="shared" si="0"/>
        <v xml:space="preserve">  </v>
      </c>
      <c r="J58" s="21" t="str">
        <f t="shared" si="2"/>
        <v>y</v>
      </c>
    </row>
    <row r="59" spans="1:10" ht="23.25" hidden="1" x14ac:dyDescent="0.25">
      <c r="A59" s="12" t="str">
        <f>'Drawing Submittal'!A59</f>
        <v>25-072</v>
      </c>
      <c r="B59" s="13" t="str">
        <f>_xlfn.IFNA(VLOOKUP(A59,'Date Calcs'!A:AG,2,),"")</f>
        <v>Burke Industrial</v>
      </c>
      <c r="C59" s="14">
        <f>_xlfn.IFNA(VLOOKUP(A59,'Actual Dates'!A:AE,6,),"")</f>
        <v>1</v>
      </c>
      <c r="D59" s="15">
        <f>IF(C59="  ","  ",IF(C59=0,VLOOKUP(A59,'Date Calcs'!A:AG,9,),IF(C59=1,VLOOKUP(A59,'Date Calcs'!A:AG,11,),IF(C59=2,VLOOKUP(A59,'Date Calcs'!A:AG,13,),IF(C59=3,VLOOKUP(A59,'Date Calcs'!A:AG,15,),4)))))</f>
        <v>45859</v>
      </c>
      <c r="E59" s="15">
        <f>IF(_xlfn.IFNA(IF(D59="  "," ",VLOOKUP(A59,'Actual Dates'!A:AE,20,0)),"")&lt;1,"-",_xlfn.IFNA(IF(D59="  "," ",VLOOKUP(A59,'Actual Dates'!A:AE,20,0)),""))</f>
        <v>45852</v>
      </c>
      <c r="F59" s="12">
        <f ca="1">IFERROR(IF(A59="","",D59-Date!$B$3),"")</f>
        <v>-256</v>
      </c>
      <c r="G59" s="20"/>
      <c r="I59" s="21" t="str">
        <f t="shared" si="0"/>
        <v xml:space="preserve">  </v>
      </c>
      <c r="J59" s="21" t="str">
        <f t="shared" si="2"/>
        <v>y</v>
      </c>
    </row>
    <row r="60" spans="1:10" ht="23.25" hidden="1" x14ac:dyDescent="0.25">
      <c r="A60" s="12" t="str">
        <f>'Drawing Submittal'!A60</f>
        <v>25-073</v>
      </c>
      <c r="B60" s="13" t="str">
        <f>_xlfn.IFNA(VLOOKUP(A60,'Date Calcs'!A:AG,2,),"")</f>
        <v>Burke Industrial</v>
      </c>
      <c r="C60" s="14">
        <f>_xlfn.IFNA(VLOOKUP(A60,'Actual Dates'!A:AE,6,),"")</f>
        <v>1</v>
      </c>
      <c r="D60" s="15">
        <f>IF(C60="  ","  ",IF(C60=0,VLOOKUP(A60,'Date Calcs'!A:AG,9,),IF(C60=1,VLOOKUP(A60,'Date Calcs'!A:AG,11,),IF(C60=2,VLOOKUP(A60,'Date Calcs'!A:AG,13,),IF(C60=3,VLOOKUP(A60,'Date Calcs'!A:AG,15,),4)))))</f>
        <v>45859</v>
      </c>
      <c r="E60" s="15">
        <f>IF(_xlfn.IFNA(IF(D60="  "," ",VLOOKUP(A60,'Actual Dates'!A:AE,20,0)),"")&lt;1,"-",_xlfn.IFNA(IF(D60="  "," ",VLOOKUP(A60,'Actual Dates'!A:AE,20,0)),""))</f>
        <v>45852</v>
      </c>
      <c r="F60" s="12">
        <f ca="1">IFERROR(IF(A60="","",D60-Date!$B$3),"")</f>
        <v>-256</v>
      </c>
      <c r="G60" s="20"/>
      <c r="I60" s="21" t="str">
        <f t="shared" si="0"/>
        <v xml:space="preserve">  </v>
      </c>
      <c r="J60" s="21" t="str">
        <f t="shared" si="2"/>
        <v>y</v>
      </c>
    </row>
    <row r="61" spans="1:10" ht="23.25" hidden="1" x14ac:dyDescent="0.25">
      <c r="A61" s="12" t="str">
        <f>'Drawing Submittal'!A61</f>
        <v>25-074</v>
      </c>
      <c r="B61" s="13" t="str">
        <f>_xlfn.IFNA(VLOOKUP(A61,'Date Calcs'!A:AG,2,),"")</f>
        <v>Kemira</v>
      </c>
      <c r="C61" s="14">
        <f>_xlfn.IFNA(VLOOKUP(A61,'Actual Dates'!A:AE,6,),"")</f>
        <v>1</v>
      </c>
      <c r="D61" s="15">
        <f>IF(C61="  ","  ",IF(C61=0,VLOOKUP(A61,'Date Calcs'!A:AG,9,),IF(C61=1,VLOOKUP(A61,'Date Calcs'!A:AG,11,),IF(C61=2,VLOOKUP(A61,'Date Calcs'!A:AG,13,),IF(C61=3,VLOOKUP(A61,'Date Calcs'!A:AG,15,),4)))))</f>
        <v>45867</v>
      </c>
      <c r="E61" s="15">
        <f>IF(_xlfn.IFNA(IF(D61="  "," ",VLOOKUP(A61,'Actual Dates'!A:AE,20,0)),"")&lt;1,"-",_xlfn.IFNA(IF(D61="  "," ",VLOOKUP(A61,'Actual Dates'!A:AE,20,0)),""))</f>
        <v>45860</v>
      </c>
      <c r="F61" s="12">
        <f ca="1">IFERROR(IF(A61="","",D61-Date!$B$3),"")</f>
        <v>-248</v>
      </c>
      <c r="G61" s="20"/>
      <c r="I61" s="21" t="str">
        <f t="shared" si="0"/>
        <v xml:space="preserve">  </v>
      </c>
      <c r="J61" s="21" t="str">
        <f t="shared" si="2"/>
        <v>y</v>
      </c>
    </row>
    <row r="62" spans="1:10" ht="23.25" hidden="1" x14ac:dyDescent="0.25">
      <c r="A62" s="12" t="str">
        <f>'Drawing Submittal'!A62</f>
        <v>25-075</v>
      </c>
      <c r="B62" s="13" t="str">
        <f>_xlfn.IFNA(VLOOKUP(A62,'Date Calcs'!A:AG,2,),"")</f>
        <v>Kemira</v>
      </c>
      <c r="C62" s="14">
        <f>_xlfn.IFNA(VLOOKUP(A62,'Actual Dates'!A:AE,6,),"")</f>
        <v>2</v>
      </c>
      <c r="D62" s="15">
        <f>IF(C62="  ","  ",IF(C62=0,VLOOKUP(A62,'Date Calcs'!A:AG,9,),IF(C62=1,VLOOKUP(A62,'Date Calcs'!A:AG,11,),IF(C62=2,VLOOKUP(A62,'Date Calcs'!A:AG,13,),IF(C62=3,VLOOKUP(A62,'Date Calcs'!A:AG,15,),4)))))</f>
        <v>45895</v>
      </c>
      <c r="E62" s="15">
        <f>IF(_xlfn.IFNA(IF(D62="  "," ",VLOOKUP(A62,'Actual Dates'!A:AE,20,0)),"")&lt;1,"-",_xlfn.IFNA(IF(D62="  "," ",VLOOKUP(A62,'Actual Dates'!A:AE,20,0)),""))</f>
        <v>45888</v>
      </c>
      <c r="F62" s="12">
        <f ca="1">IFERROR(IF(A62="","",D62-Date!$B$3),"")</f>
        <v>-220</v>
      </c>
      <c r="G62" s="20"/>
      <c r="I62" s="21" t="str">
        <f t="shared" si="0"/>
        <v xml:space="preserve">  </v>
      </c>
      <c r="J62" s="21" t="str">
        <f t="shared" si="2"/>
        <v>y</v>
      </c>
    </row>
    <row r="63" spans="1:10" ht="23.25" hidden="1" x14ac:dyDescent="0.25">
      <c r="A63" s="12" t="str">
        <f>'Drawing Submittal'!A63</f>
        <v>25-076</v>
      </c>
      <c r="B63" s="13" t="str">
        <f>_xlfn.IFNA(VLOOKUP(A63,'Date Calcs'!A:AG,2,),"")</f>
        <v>Irving tissue</v>
      </c>
      <c r="C63" s="14">
        <f>_xlfn.IFNA(VLOOKUP(A63,'Actual Dates'!A:AE,6,),"")</f>
        <v>1</v>
      </c>
      <c r="D63" s="15">
        <f>IF(C63="  ","  ",IF(C63=0,VLOOKUP(A63,'Date Calcs'!A:AG,9,),IF(C63=1,VLOOKUP(A63,'Date Calcs'!A:AG,11,),IF(C63=2,VLOOKUP(A63,'Date Calcs'!A:AG,13,),IF(C63=3,VLOOKUP(A63,'Date Calcs'!A:AG,15,),4)))))</f>
        <v>45895</v>
      </c>
      <c r="E63" s="15">
        <f>IF(_xlfn.IFNA(IF(D63="  "," ",VLOOKUP(A63,'Actual Dates'!A:AE,20,0)),"")&lt;1,"-",_xlfn.IFNA(IF(D63="  "," ",VLOOKUP(A63,'Actual Dates'!A:AE,20,0)),""))</f>
        <v>45888</v>
      </c>
      <c r="F63" s="12">
        <f ca="1">IFERROR(IF(A63="","",D63-Date!$B$3),"")</f>
        <v>-220</v>
      </c>
      <c r="G63" s="20"/>
      <c r="I63" s="21" t="str">
        <f t="shared" si="0"/>
        <v xml:space="preserve">  </v>
      </c>
      <c r="J63" s="21" t="str">
        <f t="shared" si="2"/>
        <v>y</v>
      </c>
    </row>
    <row r="64" spans="1:10" ht="23.25" hidden="1" x14ac:dyDescent="0.25">
      <c r="A64" s="12" t="str">
        <f>'Drawing Submittal'!A64</f>
        <v>25-077</v>
      </c>
      <c r="B64" s="13" t="str">
        <f>_xlfn.IFNA(VLOOKUP(A64,'Date Calcs'!A:AG,2,),"")</f>
        <v>Epic Systems</v>
      </c>
      <c r="C64" s="14">
        <f>_xlfn.IFNA(VLOOKUP(A64,'Actual Dates'!A:AE,6,),"")</f>
        <v>2</v>
      </c>
      <c r="D64" s="15">
        <f>IF(C64="  ","  ",IF(C64=0,VLOOKUP(A64,'Date Calcs'!A:AG,9,),IF(C64=1,VLOOKUP(A64,'Date Calcs'!A:AG,11,),IF(C64=2,VLOOKUP(A64,'Date Calcs'!A:AG,13,),IF(C64=3,VLOOKUP(A64,'Date Calcs'!A:AG,15,),4)))))</f>
        <v>45901</v>
      </c>
      <c r="E64" s="15">
        <f>IF(_xlfn.IFNA(IF(D64="  "," ",VLOOKUP(A64,'Actual Dates'!A:AE,20,0)),"")&lt;1,"-",_xlfn.IFNA(IF(D64="  "," ",VLOOKUP(A64,'Actual Dates'!A:AE,20,0)),""))</f>
        <v>45894</v>
      </c>
      <c r="F64" s="12">
        <f ca="1">IFERROR(IF(A64="","",D64-Date!$B$3),"")</f>
        <v>-214</v>
      </c>
      <c r="G64" s="20"/>
      <c r="I64" s="21" t="str">
        <f t="shared" si="0"/>
        <v xml:space="preserve">  </v>
      </c>
      <c r="J64" s="21" t="str">
        <f t="shared" si="2"/>
        <v>y</v>
      </c>
    </row>
    <row r="65" spans="1:10" ht="23.25" hidden="1" x14ac:dyDescent="0.25">
      <c r="A65" s="12" t="str">
        <f>'Drawing Submittal'!A65</f>
        <v>25-078</v>
      </c>
      <c r="B65" s="13" t="str">
        <f>_xlfn.IFNA(VLOOKUP(A65,'Date Calcs'!A:AG,2,),"")</f>
        <v>Epic Systems</v>
      </c>
      <c r="C65" s="14">
        <f>_xlfn.IFNA(VLOOKUP(A65,'Actual Dates'!A:AE,6,),"")</f>
        <v>2</v>
      </c>
      <c r="D65" s="15">
        <f>IF(C65="  ","  ",IF(C65=0,VLOOKUP(A65,'Date Calcs'!A:AG,9,),IF(C65=1,VLOOKUP(A65,'Date Calcs'!A:AG,11,),IF(C65=2,VLOOKUP(A65,'Date Calcs'!A:AG,13,),IF(C65=3,VLOOKUP(A65,'Date Calcs'!A:AG,15,),4)))))</f>
        <v>45901</v>
      </c>
      <c r="E65" s="15">
        <f>IF(_xlfn.IFNA(IF(D65="  "," ",VLOOKUP(A65,'Actual Dates'!A:AE,20,0)),"")&lt;1,"-",_xlfn.IFNA(IF(D65="  "," ",VLOOKUP(A65,'Actual Dates'!A:AE,20,0)),""))</f>
        <v>45894</v>
      </c>
      <c r="F65" s="12">
        <f ca="1">IFERROR(IF(A65="","",D65-Date!$B$3),"")</f>
        <v>-214</v>
      </c>
      <c r="G65" s="20"/>
      <c r="I65" s="21" t="str">
        <f t="shared" si="0"/>
        <v xml:space="preserve">  </v>
      </c>
      <c r="J65" s="21" t="str">
        <f t="shared" si="2"/>
        <v>y</v>
      </c>
    </row>
    <row r="66" spans="1:10" ht="23.25" hidden="1" x14ac:dyDescent="0.25">
      <c r="A66" s="12" t="str">
        <f>'Drawing Submittal'!A66</f>
        <v>25-079</v>
      </c>
      <c r="B66" s="13" t="str">
        <f>_xlfn.IFNA(VLOOKUP(A66,'Date Calcs'!A:AG,2,),"")</f>
        <v>Epic Systems</v>
      </c>
      <c r="C66" s="14">
        <f>_xlfn.IFNA(VLOOKUP(A66,'Actual Dates'!A:AE,6,),"")</f>
        <v>2</v>
      </c>
      <c r="D66" s="15">
        <f>IF(C66="  ","  ",IF(C66=0,VLOOKUP(A66,'Date Calcs'!A:AG,9,),IF(C66=1,VLOOKUP(A66,'Date Calcs'!A:AG,11,),IF(C66=2,VLOOKUP(A66,'Date Calcs'!A:AG,13,),IF(C66=3,VLOOKUP(A66,'Date Calcs'!A:AG,15,),4)))))</f>
        <v>45901</v>
      </c>
      <c r="E66" s="15">
        <f>IF(_xlfn.IFNA(IF(D66="  "," ",VLOOKUP(A66,'Actual Dates'!A:AE,20,0)),"")&lt;1,"-",_xlfn.IFNA(IF(D66="  "," ",VLOOKUP(A66,'Actual Dates'!A:AE,20,0)),""))</f>
        <v>45894</v>
      </c>
      <c r="F66" s="12">
        <f ca="1">IFERROR(IF(A66="","",D66-Date!$B$3),"")</f>
        <v>-214</v>
      </c>
      <c r="G66" s="20"/>
      <c r="I66" s="21" t="str">
        <f t="shared" si="0"/>
        <v xml:space="preserve">  </v>
      </c>
      <c r="J66" s="21" t="str">
        <f t="shared" si="2"/>
        <v>y</v>
      </c>
    </row>
    <row r="67" spans="1:10" ht="23.25" hidden="1" x14ac:dyDescent="0.25">
      <c r="A67" s="12" t="str">
        <f>'Drawing Submittal'!A67</f>
        <v>25-080</v>
      </c>
      <c r="B67" s="13" t="str">
        <f>_xlfn.IFNA(VLOOKUP(A67,'Date Calcs'!A:AG,2,),"")</f>
        <v>Domtar</v>
      </c>
      <c r="C67" s="14">
        <f>_xlfn.IFNA(VLOOKUP(A67,'Actual Dates'!A:AE,6,),"")</f>
        <v>1</v>
      </c>
      <c r="D67" s="15">
        <f>IF(C67="  ","  ",IF(C67=0,VLOOKUP(A67,'Date Calcs'!A:AG,9,),IF(C67=1,VLOOKUP(A67,'Date Calcs'!A:AG,11,),IF(C67=2,VLOOKUP(A67,'Date Calcs'!A:AG,13,),IF(C67=3,VLOOKUP(A67,'Date Calcs'!A:AG,15,),4)))))</f>
        <v>45897</v>
      </c>
      <c r="E67" s="15">
        <f>IF(_xlfn.IFNA(IF(D67="  "," ",VLOOKUP(A67,'Actual Dates'!A:AE,20,0)),"")&lt;1,"-",_xlfn.IFNA(IF(D67="  "," ",VLOOKUP(A67,'Actual Dates'!A:AE,20,0)),""))</f>
        <v>45890</v>
      </c>
      <c r="F67" s="12">
        <f ca="1">IFERROR(IF(A67="","",D67-Date!$B$3),"")</f>
        <v>-218</v>
      </c>
      <c r="G67" s="20"/>
      <c r="I67" s="21" t="str">
        <f t="shared" si="0"/>
        <v xml:space="preserve">  </v>
      </c>
      <c r="J67" s="21" t="str">
        <f t="shared" si="2"/>
        <v>y</v>
      </c>
    </row>
    <row r="68" spans="1:10" ht="23.25" hidden="1" x14ac:dyDescent="0.25">
      <c r="A68" s="12" t="str">
        <f>'Drawing Submittal'!A68</f>
        <v>25-083</v>
      </c>
      <c r="B68" s="13" t="str">
        <f>_xlfn.IFNA(VLOOKUP(A68,'Date Calcs'!A:AG,2,),"")</f>
        <v>Synthomer</v>
      </c>
      <c r="C68" s="14">
        <f>_xlfn.IFNA(VLOOKUP(A68,'Actual Dates'!A:AE,6,),"")</f>
        <v>2</v>
      </c>
      <c r="D68" s="15">
        <f>IF(C68="  ","  ",IF(C68=0,VLOOKUP(A68,'Date Calcs'!A:AG,9,),IF(C68=1,VLOOKUP(A68,'Date Calcs'!A:AG,11,),IF(C68=2,VLOOKUP(A68,'Date Calcs'!A:AG,13,),IF(C68=3,VLOOKUP(A68,'Date Calcs'!A:AG,15,),4)))))</f>
        <v>45972</v>
      </c>
      <c r="E68" s="15">
        <f>IF(_xlfn.IFNA(IF(D68="  "," ",VLOOKUP(A68,'Actual Dates'!A:AE,20,0)),"")&lt;1,"-",_xlfn.IFNA(IF(D68="  "," ",VLOOKUP(A68,'Actual Dates'!A:AE,20,0)),""))</f>
        <v>45965</v>
      </c>
      <c r="F68" s="12">
        <f ca="1">IFERROR(IF(A68="","",D68-Date!$B$3),"")</f>
        <v>-143</v>
      </c>
      <c r="G68" s="20"/>
      <c r="I68" s="21">
        <f t="shared" si="0"/>
        <v>1</v>
      </c>
      <c r="J68" s="21" t="str">
        <f t="shared" si="2"/>
        <v>y</v>
      </c>
    </row>
    <row r="69" spans="1:10" ht="23.25" hidden="1" x14ac:dyDescent="0.25">
      <c r="A69" s="12" t="str">
        <f>'Drawing Submittal'!A69</f>
        <v>25-084</v>
      </c>
      <c r="B69" s="13" t="str">
        <f>_xlfn.IFNA(VLOOKUP(A69,'Date Calcs'!A:AG,2,),"")</f>
        <v>Atlas Minerals</v>
      </c>
      <c r="C69" s="14">
        <f>_xlfn.IFNA(VLOOKUP(A69,'Actual Dates'!A:AE,6,),"")</f>
        <v>3</v>
      </c>
      <c r="D69" s="15">
        <f>IF(C69="  ","  ",IF(C69=0,VLOOKUP(A69,'Date Calcs'!A:AG,9,),IF(C69=1,VLOOKUP(A69,'Date Calcs'!A:AG,11,),IF(C69=2,VLOOKUP(A69,'Date Calcs'!A:AG,13,),IF(C69=3,VLOOKUP(A69,'Date Calcs'!A:AG,15,),4)))))</f>
        <v>45968</v>
      </c>
      <c r="E69" s="15">
        <f>IF(_xlfn.IFNA(IF(D69="  "," ",VLOOKUP(A69,'Actual Dates'!A:AE,20,0)),"")&lt;1,"-",_xlfn.IFNA(IF(D69="  "," ",VLOOKUP(A69,'Actual Dates'!A:AE,20,0)),""))</f>
        <v>45965</v>
      </c>
      <c r="F69" s="12">
        <f ca="1">IFERROR(IF(A69="","",D69-Date!$B$3),"")</f>
        <v>-147</v>
      </c>
      <c r="G69" s="20"/>
      <c r="I69" s="21">
        <f t="shared" si="0"/>
        <v>1</v>
      </c>
      <c r="J69" s="21" t="str">
        <f t="shared" si="2"/>
        <v>y</v>
      </c>
    </row>
    <row r="70" spans="1:10" ht="23.25" hidden="1" x14ac:dyDescent="0.25">
      <c r="A70" s="12" t="str">
        <f>'Drawing Submittal'!A70</f>
        <v>25-085</v>
      </c>
      <c r="B70" s="13" t="str">
        <f>_xlfn.IFNA(VLOOKUP(A70,'Date Calcs'!A:AG,2,),"")</f>
        <v>Noah Industrial</v>
      </c>
      <c r="C70" s="14">
        <f>_xlfn.IFNA(VLOOKUP(A70,'Actual Dates'!A:AE,6,),"")</f>
        <v>1</v>
      </c>
      <c r="D70" s="15">
        <f>IF(C70="  ","  ",IF(C70=0,VLOOKUP(A70,'Date Calcs'!A:AG,9,),IF(C70=1,VLOOKUP(A70,'Date Calcs'!A:AG,11,),IF(C70=2,VLOOKUP(A70,'Date Calcs'!A:AG,13,),IF(C70=3,VLOOKUP(A70,'Date Calcs'!A:AG,15,),4)))))</f>
        <v>45895</v>
      </c>
      <c r="E70" s="15">
        <f>IF(_xlfn.IFNA(IF(D70="  "," ",VLOOKUP(A70,'Actual Dates'!A:AE,20,0)),"")&lt;1,"-",_xlfn.IFNA(IF(D70="  "," ",VLOOKUP(A70,'Actual Dates'!A:AE,20,0)),""))</f>
        <v>45888</v>
      </c>
      <c r="F70" s="12">
        <f ca="1">IFERROR(IF(A70="","",D70-Date!$B$3),"")</f>
        <v>-220</v>
      </c>
      <c r="G70" s="20"/>
      <c r="I70" s="21" t="str">
        <f t="shared" ref="I70:I133" si="3">IF(C70=0,IF(VLOOKUP(A70,Dates,9,)&gt;0,1,"  "),IF(C70=1,IF(VLOOKUP(A70,Dates,11,)&gt;0,1,"  "),IF(C70=2,IF(VLOOKUP(A70,Dates,13,)&gt;0,1,"  "),IF(C70=3,IF(VLOOKUP(A70,Dates,15,)&gt;0,1,"  ")))))</f>
        <v xml:space="preserve">  </v>
      </c>
      <c r="J70" s="21" t="str">
        <f t="shared" si="2"/>
        <v>y</v>
      </c>
    </row>
    <row r="71" spans="1:10" ht="23.25" hidden="1" x14ac:dyDescent="0.25">
      <c r="A71" s="12" t="str">
        <f>'Drawing Submittal'!A71</f>
        <v>25-086</v>
      </c>
      <c r="B71" s="13" t="str">
        <f>_xlfn.IFNA(VLOOKUP(A71,'Date Calcs'!A:AG,2,),"")</f>
        <v>Tellus</v>
      </c>
      <c r="C71" s="14">
        <f>_xlfn.IFNA(VLOOKUP(A71,'Actual Dates'!A:AE,6,),"")</f>
        <v>3</v>
      </c>
      <c r="D71" s="15">
        <f>IF(C71="  ","  ",IF(C71=0,VLOOKUP(A71,'Date Calcs'!A:AG,9,),IF(C71=1,VLOOKUP(A71,'Date Calcs'!A:AG,11,),IF(C71=2,VLOOKUP(A71,'Date Calcs'!A:AG,13,),IF(C71=3,VLOOKUP(A71,'Date Calcs'!A:AG,15,),4)))))</f>
        <v>46029</v>
      </c>
      <c r="E71" s="15" t="str">
        <f>IF(_xlfn.IFNA(IF(D71="  "," ",VLOOKUP(A71,'Actual Dates'!A:AE,20,0)),"")&lt;1,"-",_xlfn.IFNA(IF(D71="  "," ",VLOOKUP(A71,'Actual Dates'!A:AE,20,0)),""))</f>
        <v>-</v>
      </c>
      <c r="F71" s="12">
        <f ca="1">IFERROR(IF(A71="","",D71-Date!$B$3),"")</f>
        <v>-86</v>
      </c>
      <c r="G71" s="20"/>
      <c r="I71" s="21">
        <f t="shared" si="3"/>
        <v>1</v>
      </c>
      <c r="J71" s="21" t="str">
        <f t="shared" si="2"/>
        <v xml:space="preserve">  </v>
      </c>
    </row>
    <row r="72" spans="1:10" ht="23.25" hidden="1" x14ac:dyDescent="0.25">
      <c r="A72" s="12" t="str">
        <f>'Drawing Submittal'!A72</f>
        <v>25-087</v>
      </c>
      <c r="B72" s="13" t="str">
        <f>_xlfn.IFNA(VLOOKUP(A72,'Date Calcs'!A:AG,2,),"")</f>
        <v>Solvay</v>
      </c>
      <c r="C72" s="14">
        <f>_xlfn.IFNA(VLOOKUP(A72,'Actual Dates'!A:AE,6,),"")</f>
        <v>1</v>
      </c>
      <c r="D72" s="15">
        <f>IF(C72="  ","  ",IF(C72=0,VLOOKUP(A72,'Date Calcs'!A:AG,9,),IF(C72=1,VLOOKUP(A72,'Date Calcs'!A:AG,11,),IF(C72=2,VLOOKUP(A72,'Date Calcs'!A:AG,13,),IF(C72=3,VLOOKUP(A72,'Date Calcs'!A:AG,15,),4)))))</f>
        <v>45922</v>
      </c>
      <c r="E72" s="15">
        <f>IF(_xlfn.IFNA(IF(D72="  "," ",VLOOKUP(A72,'Actual Dates'!A:AE,20,0)),"")&lt;1,"-",_xlfn.IFNA(IF(D72="  "," ",VLOOKUP(A72,'Actual Dates'!A:AE,20,0)),""))</f>
        <v>45915</v>
      </c>
      <c r="F72" s="12">
        <f ca="1">IFERROR(IF(A72="","",D72-Date!$B$3),"")</f>
        <v>-193</v>
      </c>
      <c r="G72" s="20"/>
      <c r="I72" s="21" t="str">
        <f t="shared" si="3"/>
        <v xml:space="preserve">  </v>
      </c>
      <c r="J72" s="21" t="str">
        <f t="shared" si="2"/>
        <v>y</v>
      </c>
    </row>
    <row r="73" spans="1:10" ht="23.25" hidden="1" x14ac:dyDescent="0.25">
      <c r="A73" s="12" t="str">
        <f>'Drawing Submittal'!A73</f>
        <v>25-088</v>
      </c>
      <c r="B73" s="13" t="str">
        <f>_xlfn.IFNA(VLOOKUP(A73,'Date Calcs'!A:AG,2,),"")</f>
        <v>CIL Isotopes</v>
      </c>
      <c r="C73" s="14">
        <f>_xlfn.IFNA(VLOOKUP(A73,'Actual Dates'!A:AE,6,),"")</f>
        <v>1</v>
      </c>
      <c r="D73" s="15">
        <f>IF(C73="  ","  ",IF(C73=0,VLOOKUP(A73,'Date Calcs'!A:AG,9,),IF(C73=1,VLOOKUP(A73,'Date Calcs'!A:AG,11,),IF(C73=2,VLOOKUP(A73,'Date Calcs'!A:AG,13,),IF(C73=3,VLOOKUP(A73,'Date Calcs'!A:AG,15,),4)))))</f>
        <v>45922</v>
      </c>
      <c r="E73" s="15">
        <f>IF(_xlfn.IFNA(IF(D73="  "," ",VLOOKUP(A73,'Actual Dates'!A:AE,20,0)),"")&lt;1,"-",_xlfn.IFNA(IF(D73="  "," ",VLOOKUP(A73,'Actual Dates'!A:AE,20,0)),""))</f>
        <v>45915</v>
      </c>
      <c r="F73" s="12">
        <f ca="1">IFERROR(IF(A73="","",D73-Date!$B$3),"")</f>
        <v>-193</v>
      </c>
      <c r="G73" s="20"/>
      <c r="I73" s="21" t="str">
        <f t="shared" si="3"/>
        <v xml:space="preserve">  </v>
      </c>
      <c r="J73" s="21" t="str">
        <f t="shared" si="2"/>
        <v>y</v>
      </c>
    </row>
    <row r="74" spans="1:10" ht="23.25" hidden="1" x14ac:dyDescent="0.25">
      <c r="A74" s="12" t="str">
        <f>'Drawing Submittal'!A74</f>
        <v>25-089</v>
      </c>
      <c r="B74" s="13" t="str">
        <f>_xlfn.IFNA(VLOOKUP(A74,'Date Calcs'!A:AG,2,),"")</f>
        <v>Valmet</v>
      </c>
      <c r="C74" s="14">
        <f>_xlfn.IFNA(VLOOKUP(A74,'Actual Dates'!A:AE,6,),"")</f>
        <v>1</v>
      </c>
      <c r="D74" s="15">
        <f>IF(C74="  ","  ",IF(C74=0,VLOOKUP(A74,'Date Calcs'!A:AG,9,),IF(C74=1,VLOOKUP(A74,'Date Calcs'!A:AG,11,),IF(C74=2,VLOOKUP(A74,'Date Calcs'!A:AG,13,),IF(C74=3,VLOOKUP(A74,'Date Calcs'!A:AG,15,),4)))))</f>
        <v>46002</v>
      </c>
      <c r="E74" s="15">
        <f>IF(_xlfn.IFNA(IF(D74="  "," ",VLOOKUP(A74,'Actual Dates'!A:AE,20,0)),"")&lt;1,"-",_xlfn.IFNA(IF(D74="  "," ",VLOOKUP(A74,'Actual Dates'!A:AE,20,0)),""))</f>
        <v>45995</v>
      </c>
      <c r="F74" s="12">
        <f ca="1">IFERROR(IF(A74="","",D74-Date!$B$3),"")</f>
        <v>-113</v>
      </c>
      <c r="G74" s="20"/>
      <c r="I74" s="21" t="str">
        <f t="shared" si="3"/>
        <v xml:space="preserve">  </v>
      </c>
      <c r="J74" s="21" t="str">
        <f t="shared" si="2"/>
        <v>y</v>
      </c>
    </row>
    <row r="75" spans="1:10" ht="23.25" hidden="1" x14ac:dyDescent="0.25">
      <c r="A75" s="12" t="str">
        <f>'Drawing Submittal'!A75</f>
        <v>25-090</v>
      </c>
      <c r="B75" s="13" t="str">
        <f>_xlfn.IFNA(VLOOKUP(A75,'Date Calcs'!A:AG,2,),"")</f>
        <v>GAF</v>
      </c>
      <c r="C75" s="14">
        <f>_xlfn.IFNA(VLOOKUP(A75,'Actual Dates'!A:AE,6,),"")</f>
        <v>0</v>
      </c>
      <c r="D75" s="15">
        <f>IF(C75="  ","  ",IF(C75=0,VLOOKUP(A75,'Date Calcs'!A:AG,9,),IF(C75=1,VLOOKUP(A75,'Date Calcs'!A:AG,11,),IF(C75=2,VLOOKUP(A75,'Date Calcs'!A:AG,13,),IF(C75=3,VLOOKUP(A75,'Date Calcs'!A:AG,15,),4)))))</f>
        <v>45905</v>
      </c>
      <c r="E75" s="15">
        <f>IF(_xlfn.IFNA(IF(D75="  "," ",VLOOKUP(A75,'Actual Dates'!A:AE,20,0)),"")&lt;1,"-",_xlfn.IFNA(IF(D75="  "," ",VLOOKUP(A75,'Actual Dates'!A:AE,20,0)),""))</f>
        <v>45891</v>
      </c>
      <c r="F75" s="12">
        <f ca="1">IFERROR(IF(A75="","",D75-Date!$B$3),"")</f>
        <v>-210</v>
      </c>
      <c r="G75" s="20"/>
      <c r="I75" s="21" t="str">
        <f t="shared" si="3"/>
        <v xml:space="preserve">  </v>
      </c>
      <c r="J75" s="21" t="str">
        <f t="shared" si="2"/>
        <v>y</v>
      </c>
    </row>
    <row r="76" spans="1:10" ht="23.25" hidden="1" x14ac:dyDescent="0.25">
      <c r="A76" s="12" t="str">
        <f>'Drawing Submittal'!A76</f>
        <v>25-091</v>
      </c>
      <c r="B76" s="13" t="str">
        <f>_xlfn.IFNA(VLOOKUP(A76,'Date Calcs'!A:AG,2,),"")</f>
        <v>US Sugar</v>
      </c>
      <c r="C76" s="14">
        <f>_xlfn.IFNA(VLOOKUP(A76,'Actual Dates'!A:AE,6,),"")</f>
        <v>3</v>
      </c>
      <c r="D76" s="15">
        <f>IF(C76="  ","  ",IF(C76=0,VLOOKUP(A76,'Date Calcs'!A:AG,9,),IF(C76=1,VLOOKUP(A76,'Date Calcs'!A:AG,11,),IF(C76=2,VLOOKUP(A76,'Date Calcs'!A:AG,13,),IF(C76=3,VLOOKUP(A76,'Date Calcs'!A:AG,15,),4)))))</f>
        <v>46029</v>
      </c>
      <c r="E76" s="15" t="str">
        <f>IF(_xlfn.IFNA(IF(D76="  "," ",VLOOKUP(A76,'Actual Dates'!A:AE,20,0)),"")&lt;1,"-",_xlfn.IFNA(IF(D76="  "," ",VLOOKUP(A76,'Actual Dates'!A:AE,20,0)),""))</f>
        <v>-</v>
      </c>
      <c r="F76" s="12">
        <f ca="1">IFERROR(IF(A76="","",D76-Date!$B$3),"")</f>
        <v>-86</v>
      </c>
      <c r="G76" s="20"/>
      <c r="I76" s="21">
        <f t="shared" si="3"/>
        <v>1</v>
      </c>
      <c r="J76" s="21" t="str">
        <f t="shared" si="2"/>
        <v xml:space="preserve">  </v>
      </c>
    </row>
    <row r="77" spans="1:10" ht="23.25" hidden="1" x14ac:dyDescent="0.25">
      <c r="A77" s="12" t="str">
        <f>'Drawing Submittal'!A77</f>
        <v>25-092</v>
      </c>
      <c r="B77" s="13" t="str">
        <f>_xlfn.IFNA(VLOOKUP(A77,'Date Calcs'!A:AG,2,),"")</f>
        <v>Symrise</v>
      </c>
      <c r="C77" s="14">
        <f>_xlfn.IFNA(VLOOKUP(A77,'Actual Dates'!A:AE,6,),"")</f>
        <v>2</v>
      </c>
      <c r="D77" s="15">
        <f>IF(C77="  ","  ",IF(C77=0,VLOOKUP(A77,'Date Calcs'!A:AG,9,),IF(C77=1,VLOOKUP(A77,'Date Calcs'!A:AG,11,),IF(C77=2,VLOOKUP(A77,'Date Calcs'!A:AG,13,),IF(C77=3,VLOOKUP(A77,'Date Calcs'!A:AG,15,),4)))))</f>
        <v>45964</v>
      </c>
      <c r="E77" s="15">
        <f>IF(_xlfn.IFNA(IF(D77="  "," ",VLOOKUP(A77,'Actual Dates'!A:AE,20,0)),"")&lt;1,"-",_xlfn.IFNA(IF(D77="  "," ",VLOOKUP(A77,'Actual Dates'!A:AE,20,0)),""))</f>
        <v>45957</v>
      </c>
      <c r="F77" s="12">
        <f ca="1">IFERROR(IF(A77="","",D77-Date!$B$3),"")</f>
        <v>-151</v>
      </c>
      <c r="G77" s="20"/>
      <c r="I77" s="21" t="str">
        <f t="shared" si="3"/>
        <v xml:space="preserve">  </v>
      </c>
      <c r="J77" s="21" t="str">
        <f t="shared" si="2"/>
        <v>y</v>
      </c>
    </row>
    <row r="78" spans="1:10" ht="23.25" hidden="1" x14ac:dyDescent="0.25">
      <c r="A78" s="12" t="str">
        <f>'Drawing Submittal'!A78</f>
        <v>25-093</v>
      </c>
      <c r="B78" s="13" t="str">
        <f>_xlfn.IFNA(VLOOKUP(A78,'Date Calcs'!A:AG,2,),"")</f>
        <v>Symrise</v>
      </c>
      <c r="C78" s="14">
        <f>_xlfn.IFNA(VLOOKUP(A78,'Actual Dates'!A:AE,6,),"")</f>
        <v>2</v>
      </c>
      <c r="D78" s="15">
        <f>IF(C78="  ","  ",IF(C78=0,VLOOKUP(A78,'Date Calcs'!A:AG,9,),IF(C78=1,VLOOKUP(A78,'Date Calcs'!A:AG,11,),IF(C78=2,VLOOKUP(A78,'Date Calcs'!A:AG,13,),IF(C78=3,VLOOKUP(A78,'Date Calcs'!A:AG,15,),4)))))</f>
        <v>45964</v>
      </c>
      <c r="E78" s="15">
        <f>IF(_xlfn.IFNA(IF(D78="  "," ",VLOOKUP(A78,'Actual Dates'!A:AE,20,0)),"")&lt;1,"-",_xlfn.IFNA(IF(D78="  "," ",VLOOKUP(A78,'Actual Dates'!A:AE,20,0)),""))</f>
        <v>45957</v>
      </c>
      <c r="F78" s="12">
        <f ca="1">IFERROR(IF(A78="","",D78-Date!$B$3),"")</f>
        <v>-151</v>
      </c>
      <c r="G78" s="20"/>
      <c r="I78" s="21" t="str">
        <f t="shared" si="3"/>
        <v xml:space="preserve">  </v>
      </c>
      <c r="J78" s="21" t="str">
        <f t="shared" si="2"/>
        <v>y</v>
      </c>
    </row>
    <row r="79" spans="1:10" ht="23.25" hidden="1" x14ac:dyDescent="0.25">
      <c r="A79" s="12" t="str">
        <f>'Drawing Submittal'!A79</f>
        <v>25-094</v>
      </c>
      <c r="B79" s="13" t="str">
        <f>_xlfn.IFNA(VLOOKUP(A79,'Date Calcs'!A:AG,2,),"")</f>
        <v>Kimberly Clark</v>
      </c>
      <c r="C79" s="14">
        <f>_xlfn.IFNA(VLOOKUP(A79,'Actual Dates'!A:AE,6,),"")</f>
        <v>1</v>
      </c>
      <c r="D79" s="15">
        <f>IF(C79="  ","  ",IF(C79=0,VLOOKUP(A79,'Date Calcs'!A:AG,9,),IF(C79=1,VLOOKUP(A79,'Date Calcs'!A:AG,11,),IF(C79=2,VLOOKUP(A79,'Date Calcs'!A:AG,13,),IF(C79=3,VLOOKUP(A79,'Date Calcs'!A:AG,15,),4)))))</f>
        <v>45986</v>
      </c>
      <c r="E79" s="15">
        <f>IF(_xlfn.IFNA(IF(D79="  "," ",VLOOKUP(A79,'Actual Dates'!A:AE,20,0)),"")&lt;1,"-",_xlfn.IFNA(IF(D79="  "," ",VLOOKUP(A79,'Actual Dates'!A:AE,20,0)),""))</f>
        <v>45979</v>
      </c>
      <c r="F79" s="12">
        <f ca="1">IFERROR(IF(A79="","",D79-Date!$B$3),"")</f>
        <v>-129</v>
      </c>
      <c r="G79" s="20"/>
      <c r="I79" s="21" t="str">
        <f t="shared" si="3"/>
        <v xml:space="preserve">  </v>
      </c>
      <c r="J79" s="21" t="str">
        <f t="shared" si="2"/>
        <v>y</v>
      </c>
    </row>
    <row r="80" spans="1:10" ht="23.25" x14ac:dyDescent="0.25">
      <c r="A80" s="12" t="str">
        <f>'Drawing Submittal'!A80</f>
        <v>25-095</v>
      </c>
      <c r="B80" s="13" t="str">
        <f>_xlfn.IFNA(VLOOKUP(A80,'Date Calcs'!A:AG,2,),"")</f>
        <v>Andritz</v>
      </c>
      <c r="C80" s="14">
        <f>_xlfn.IFNA(VLOOKUP(A80,'Actual Dates'!A:AE,6,),"")</f>
        <v>3</v>
      </c>
      <c r="D80" s="15">
        <f>IF(C80="  ","  ",IF(C80=0,VLOOKUP(A80,'Date Calcs'!A:AG,9,),IF(C80=1,VLOOKUP(A80,'Date Calcs'!A:AG,11,),IF(C80=2,VLOOKUP(A80,'Date Calcs'!A:AG,13,),IF(C80=3,VLOOKUP(A80,'Date Calcs'!A:AG,15,),4)))))</f>
        <v>46121</v>
      </c>
      <c r="E80" s="15" t="str">
        <f>IF(_xlfn.IFNA(IF(D80="  "," ",VLOOKUP(A80,'Actual Dates'!A:AE,20,0)),"")&lt;1,"-",_xlfn.IFNA(IF(D80="  "," ",VLOOKUP(A80,'Actual Dates'!A:AE,20,0)),""))</f>
        <v>-</v>
      </c>
      <c r="F80" s="12">
        <f ca="1">IFERROR(IF(A80="","",D80-Date!$B$3),"")</f>
        <v>6</v>
      </c>
      <c r="G80" s="20"/>
      <c r="I80" s="21" t="str">
        <f t="shared" ref="I80:I124" si="4">IF(C80=0,IF(VLOOKUP(A80,Dates,9,)&gt;0,1,"  "),IF(C80=1,IF(VLOOKUP(A80,Dates,11,)&gt;0,1,"  "),IF(C80=2,IF(VLOOKUP(A80,Dates,13,)&gt;0,1,"  "),IF(C80=3,IF(VLOOKUP(A80,Dates,15,)&gt;0,1,"  ")))))</f>
        <v xml:space="preserve">  </v>
      </c>
      <c r="J80" s="21" t="str">
        <f t="shared" ref="J80:J124" si="5">VLOOKUP(A80,Dates,7,)</f>
        <v xml:space="preserve">  </v>
      </c>
    </row>
    <row r="81" spans="1:10" ht="23.25" hidden="1" x14ac:dyDescent="0.25">
      <c r="A81" s="12" t="str">
        <f>'Drawing Submittal'!A81</f>
        <v>25-096</v>
      </c>
      <c r="B81" s="13" t="str">
        <f>_xlfn.IFNA(VLOOKUP(A81,'Date Calcs'!A:AG,2,),"")</f>
        <v>Milliken</v>
      </c>
      <c r="C81" s="14">
        <f>_xlfn.IFNA(VLOOKUP(A81,'Actual Dates'!A:AE,6,),"")</f>
        <v>1</v>
      </c>
      <c r="D81" s="15">
        <f>IF(C81="  ","  ",IF(C81=0,VLOOKUP(A81,'Date Calcs'!A:AG,9,),IF(C81=1,VLOOKUP(A81,'Date Calcs'!A:AG,11,),IF(C81=2,VLOOKUP(A81,'Date Calcs'!A:AG,13,),IF(C81=3,VLOOKUP(A81,'Date Calcs'!A:AG,15,),4)))))</f>
        <v>45960</v>
      </c>
      <c r="E81" s="15">
        <f>IF(_xlfn.IFNA(IF(D81="  "," ",VLOOKUP(A81,'Actual Dates'!A:AE,20,0)),"")&lt;1,"-",_xlfn.IFNA(IF(D81="  "," ",VLOOKUP(A81,'Actual Dates'!A:AE,20,0)),""))</f>
        <v>45953</v>
      </c>
      <c r="F81" s="12">
        <f ca="1">IFERROR(IF(A81="","",D81-Date!$B$3),"")</f>
        <v>-155</v>
      </c>
      <c r="G81" s="20"/>
      <c r="I81" s="21" t="str">
        <f t="shared" si="4"/>
        <v xml:space="preserve">  </v>
      </c>
      <c r="J81" s="21" t="str">
        <f t="shared" si="5"/>
        <v>y</v>
      </c>
    </row>
    <row r="82" spans="1:10" ht="23.25" hidden="1" x14ac:dyDescent="0.25">
      <c r="A82" s="12" t="str">
        <f>'Drawing Submittal'!A82</f>
        <v>25-097</v>
      </c>
      <c r="B82" s="13" t="str">
        <f>_xlfn.IFNA(VLOOKUP(A82,'Date Calcs'!A:AG,2,),"")</f>
        <v>Milliken</v>
      </c>
      <c r="C82" s="14">
        <f>_xlfn.IFNA(VLOOKUP(A82,'Actual Dates'!A:AE,6,),"")</f>
        <v>1</v>
      </c>
      <c r="D82" s="15">
        <f>IF(C82="  ","  ",IF(C82=0,VLOOKUP(A82,'Date Calcs'!A:AG,9,),IF(C82=1,VLOOKUP(A82,'Date Calcs'!A:AG,11,),IF(C82=2,VLOOKUP(A82,'Date Calcs'!A:AG,13,),IF(C82=3,VLOOKUP(A82,'Date Calcs'!A:AG,15,),4)))))</f>
        <v>45960</v>
      </c>
      <c r="E82" s="15">
        <f>IF(_xlfn.IFNA(IF(D82="  "," ",VLOOKUP(A82,'Actual Dates'!A:AE,20,0)),"")&lt;1,"-",_xlfn.IFNA(IF(D82="  "," ",VLOOKUP(A82,'Actual Dates'!A:AE,20,0)),""))</f>
        <v>45953</v>
      </c>
      <c r="F82" s="12">
        <f ca="1">IFERROR(IF(A82="","",D82-Date!$B$3),"")</f>
        <v>-155</v>
      </c>
      <c r="G82" s="20"/>
      <c r="I82" s="21" t="str">
        <f t="shared" si="4"/>
        <v xml:space="preserve">  </v>
      </c>
      <c r="J82" s="21" t="str">
        <f t="shared" si="5"/>
        <v>y</v>
      </c>
    </row>
    <row r="83" spans="1:10" ht="23.25" hidden="1" x14ac:dyDescent="0.25">
      <c r="A83" s="12" t="str">
        <f>'Drawing Submittal'!A83</f>
        <v>25-098</v>
      </c>
      <c r="B83" s="13" t="str">
        <f>_xlfn.IFNA(VLOOKUP(A83,'Date Calcs'!A:AG,2,),"")</f>
        <v>Coastal Technologies</v>
      </c>
      <c r="C83" s="14">
        <f>_xlfn.IFNA(VLOOKUP(A83,'Actual Dates'!A:AE,6,),"")</f>
        <v>1</v>
      </c>
      <c r="D83" s="15">
        <f>IF(C83="  ","  ",IF(C83=0,VLOOKUP(A83,'Date Calcs'!A:AG,9,),IF(C83=1,VLOOKUP(A83,'Date Calcs'!A:AG,11,),IF(C83=2,VLOOKUP(A83,'Date Calcs'!A:AG,13,),IF(C83=3,VLOOKUP(A83,'Date Calcs'!A:AG,15,),4)))))</f>
        <v>45967</v>
      </c>
      <c r="E83" s="15">
        <f>IF(_xlfn.IFNA(IF(D83="  "," ",VLOOKUP(A83,'Actual Dates'!A:AE,20,0)),"")&lt;1,"-",_xlfn.IFNA(IF(D83="  "," ",VLOOKUP(A83,'Actual Dates'!A:AE,20,0)),""))</f>
        <v>45960</v>
      </c>
      <c r="F83" s="12">
        <f ca="1">IFERROR(IF(A83="","",D83-Date!$B$3),"")</f>
        <v>-148</v>
      </c>
      <c r="G83" s="20"/>
      <c r="I83" s="21" t="str">
        <f t="shared" si="4"/>
        <v xml:space="preserve">  </v>
      </c>
      <c r="J83" s="21" t="str">
        <f t="shared" si="5"/>
        <v>y</v>
      </c>
    </row>
    <row r="84" spans="1:10" ht="23.25" hidden="1" x14ac:dyDescent="0.25">
      <c r="A84" s="12" t="str">
        <f>'Drawing Submittal'!A84</f>
        <v>25-099</v>
      </c>
      <c r="B84" s="13" t="str">
        <f>_xlfn.IFNA(VLOOKUP(A84,'Date Calcs'!A:AG,2,),"")</f>
        <v>Burke Industrial</v>
      </c>
      <c r="C84" s="14">
        <f>_xlfn.IFNA(VLOOKUP(A84,'Actual Dates'!A:AE,6,),"")</f>
        <v>1</v>
      </c>
      <c r="D84" s="15">
        <f>IF(C84="  ","  ",IF(C84=0,VLOOKUP(A84,'Date Calcs'!A:AG,9,),IF(C84=1,VLOOKUP(A84,'Date Calcs'!A:AG,11,),IF(C84=2,VLOOKUP(A84,'Date Calcs'!A:AG,13,),IF(C84=3,VLOOKUP(A84,'Date Calcs'!A:AG,15,),4)))))</f>
        <v>45973</v>
      </c>
      <c r="E84" s="15">
        <f>IF(_xlfn.IFNA(IF(D84="  "," ",VLOOKUP(A84,'Actual Dates'!A:AE,20,0)),"")&lt;1,"-",_xlfn.IFNA(IF(D84="  "," ",VLOOKUP(A84,'Actual Dates'!A:AE,20,0)),""))</f>
        <v>45966</v>
      </c>
      <c r="F84" s="12">
        <f ca="1">IFERROR(IF(A84="","",D84-Date!$B$3),"")</f>
        <v>-142</v>
      </c>
      <c r="G84" s="20"/>
      <c r="I84" s="21" t="str">
        <f t="shared" si="4"/>
        <v xml:space="preserve">  </v>
      </c>
      <c r="J84" s="21" t="str">
        <f t="shared" si="5"/>
        <v>y</v>
      </c>
    </row>
    <row r="85" spans="1:10" ht="23.25" hidden="1" x14ac:dyDescent="0.25">
      <c r="A85" s="12" t="str">
        <f>'Drawing Submittal'!A85</f>
        <v>25-101</v>
      </c>
      <c r="B85" s="13" t="str">
        <f>_xlfn.IFNA(VLOOKUP(A85,'Date Calcs'!A:AG,2,),"")</f>
        <v>Harper Love</v>
      </c>
      <c r="C85" s="14">
        <f>_xlfn.IFNA(VLOOKUP(A85,'Actual Dates'!A:AE,6,),"")</f>
        <v>1</v>
      </c>
      <c r="D85" s="15">
        <f>IF(C85="  ","  ",IF(C85=0,VLOOKUP(A85,'Date Calcs'!A:AG,9,),IF(C85=1,VLOOKUP(A85,'Date Calcs'!A:AG,11,),IF(C85=2,VLOOKUP(A85,'Date Calcs'!A:AG,13,),IF(C85=3,VLOOKUP(A85,'Date Calcs'!A:AG,15,),4)))))</f>
        <v>46006</v>
      </c>
      <c r="E85" s="15">
        <f>IF(_xlfn.IFNA(IF(D85="  "," ",VLOOKUP(A85,'Actual Dates'!A:AE,20,0)),"")&lt;1,"-",_xlfn.IFNA(IF(D85="  "," ",VLOOKUP(A85,'Actual Dates'!A:AE,20,0)),""))</f>
        <v>45999</v>
      </c>
      <c r="F85" s="12">
        <f ca="1">IFERROR(IF(A85="","",D85-Date!$B$3),"")</f>
        <v>-109</v>
      </c>
      <c r="G85" s="20"/>
      <c r="I85" s="21" t="str">
        <f t="shared" si="4"/>
        <v xml:space="preserve">  </v>
      </c>
      <c r="J85" s="21" t="str">
        <f t="shared" si="5"/>
        <v>y</v>
      </c>
    </row>
    <row r="86" spans="1:10" ht="23.25" hidden="1" x14ac:dyDescent="0.25">
      <c r="A86" s="12" t="str">
        <f>'Drawing Submittal'!A86</f>
        <v>25-102</v>
      </c>
      <c r="B86" s="13" t="str">
        <f>_xlfn.IFNA(VLOOKUP(A86,'Date Calcs'!A:AG,2,),"")</f>
        <v>Epic Systems</v>
      </c>
      <c r="C86" s="14">
        <f>_xlfn.IFNA(VLOOKUP(A86,'Actual Dates'!A:AE,6,),"")</f>
        <v>2</v>
      </c>
      <c r="D86" s="15">
        <f>IF(C86="  ","  ",IF(C86=0,VLOOKUP(A86,'Date Calcs'!A:AG,9,),IF(C86=1,VLOOKUP(A86,'Date Calcs'!A:AG,11,),IF(C86=2,VLOOKUP(A86,'Date Calcs'!A:AG,13,),IF(C86=3,VLOOKUP(A86,'Date Calcs'!A:AG,15,),4)))))</f>
        <v>46064</v>
      </c>
      <c r="E86" s="15">
        <f>IF(_xlfn.IFNA(IF(D86="  "," ",VLOOKUP(A86,'Actual Dates'!A:AE,20,0)),"")&lt;1,"-",_xlfn.IFNA(IF(D86="  "," ",VLOOKUP(A86,'Actual Dates'!A:AE,20,0)),""))</f>
        <v>46077</v>
      </c>
      <c r="F86" s="12">
        <f ca="1">IFERROR(IF(A86="","",D86-Date!$B$3),"")</f>
        <v>-51</v>
      </c>
      <c r="G86" s="20"/>
      <c r="I86" s="21">
        <f t="shared" si="4"/>
        <v>1</v>
      </c>
      <c r="J86" s="21" t="str">
        <f t="shared" si="5"/>
        <v>y</v>
      </c>
    </row>
    <row r="87" spans="1:10" ht="23.25" hidden="1" x14ac:dyDescent="0.25">
      <c r="A87" s="12" t="str">
        <f>'Drawing Submittal'!A87</f>
        <v>25-103</v>
      </c>
      <c r="B87" s="13" t="str">
        <f>_xlfn.IFNA(VLOOKUP(A87,'Date Calcs'!A:AG,2,),"")</f>
        <v>Epic Systems</v>
      </c>
      <c r="C87" s="14">
        <f>_xlfn.IFNA(VLOOKUP(A87,'Actual Dates'!A:AE,6,),"")</f>
        <v>2</v>
      </c>
      <c r="D87" s="15">
        <f>IF(C87="  ","  ",IF(C87=0,VLOOKUP(A87,'Date Calcs'!A:AG,9,),IF(C87=1,VLOOKUP(A87,'Date Calcs'!A:AG,11,),IF(C87=2,VLOOKUP(A87,'Date Calcs'!A:AG,13,),IF(C87=3,VLOOKUP(A87,'Date Calcs'!A:AG,15,),4)))))</f>
        <v>46064</v>
      </c>
      <c r="E87" s="15">
        <f>IF(_xlfn.IFNA(IF(D87="  "," ",VLOOKUP(A87,'Actual Dates'!A:AE,20,0)),"")&lt;1,"-",_xlfn.IFNA(IF(D87="  "," ",VLOOKUP(A87,'Actual Dates'!A:AE,20,0)),""))</f>
        <v>46072</v>
      </c>
      <c r="F87" s="12">
        <f ca="1">IFERROR(IF(A87="","",D87-Date!$B$3),"")</f>
        <v>-51</v>
      </c>
      <c r="G87" s="20"/>
      <c r="I87" s="21">
        <f t="shared" si="4"/>
        <v>1</v>
      </c>
      <c r="J87" s="21" t="str">
        <f t="shared" si="5"/>
        <v>y</v>
      </c>
    </row>
    <row r="88" spans="1:10" ht="23.25" hidden="1" x14ac:dyDescent="0.25">
      <c r="A88" s="12" t="str">
        <f>'Drawing Submittal'!A88</f>
        <v>25-104</v>
      </c>
      <c r="B88" s="13" t="str">
        <f>_xlfn.IFNA(VLOOKUP(A88,'Date Calcs'!A:AG,2,),"")</f>
        <v>Epic Systems</v>
      </c>
      <c r="C88" s="14">
        <f>_xlfn.IFNA(VLOOKUP(A88,'Actual Dates'!A:AE,6,),"")</f>
        <v>2</v>
      </c>
      <c r="D88" s="15">
        <f>IF(C88="  ","  ",IF(C88=0,VLOOKUP(A88,'Date Calcs'!A:AG,9,),IF(C88=1,VLOOKUP(A88,'Date Calcs'!A:AG,11,),IF(C88=2,VLOOKUP(A88,'Date Calcs'!A:AG,13,),IF(C88=3,VLOOKUP(A88,'Date Calcs'!A:AG,15,),4)))))</f>
        <v>46064</v>
      </c>
      <c r="E88" s="15">
        <f>IF(_xlfn.IFNA(IF(D88="  "," ",VLOOKUP(A88,'Actual Dates'!A:AE,20,0)),"")&lt;1,"-",_xlfn.IFNA(IF(D88="  "," ",VLOOKUP(A88,'Actual Dates'!A:AE,20,0)),""))</f>
        <v>46072</v>
      </c>
      <c r="F88" s="12">
        <f ca="1">IFERROR(IF(A88="","",D88-Date!$B$3),"")</f>
        <v>-51</v>
      </c>
      <c r="G88" s="20"/>
      <c r="I88" s="21">
        <f t="shared" si="4"/>
        <v>1</v>
      </c>
      <c r="J88" s="21" t="str">
        <f t="shared" si="5"/>
        <v>y</v>
      </c>
    </row>
    <row r="89" spans="1:10" ht="23.25" hidden="1" x14ac:dyDescent="0.25">
      <c r="A89" s="12" t="str">
        <f>'Drawing Submittal'!A89</f>
        <v>25-105</v>
      </c>
      <c r="B89" s="13" t="str">
        <f>_xlfn.IFNA(VLOOKUP(A89,'Date Calcs'!A:AG,2,),"")</f>
        <v>Epic Systems</v>
      </c>
      <c r="C89" s="14">
        <f>_xlfn.IFNA(VLOOKUP(A89,'Actual Dates'!A:AE,6,),"")</f>
        <v>2</v>
      </c>
      <c r="D89" s="15">
        <f>IF(C89="  ","  ",IF(C89=0,VLOOKUP(A89,'Date Calcs'!A:AG,9,),IF(C89=1,VLOOKUP(A89,'Date Calcs'!A:AG,11,),IF(C89=2,VLOOKUP(A89,'Date Calcs'!A:AG,13,),IF(C89=3,VLOOKUP(A89,'Date Calcs'!A:AG,15,),4)))))</f>
        <v>46064</v>
      </c>
      <c r="E89" s="15">
        <f>IF(_xlfn.IFNA(IF(D89="  "," ",VLOOKUP(A89,'Actual Dates'!A:AE,20,0)),"")&lt;1,"-",_xlfn.IFNA(IF(D89="  "," ",VLOOKUP(A89,'Actual Dates'!A:AE,20,0)),""))</f>
        <v>46072</v>
      </c>
      <c r="F89" s="12">
        <f ca="1">IFERROR(IF(A89="","",D89-Date!$B$3),"")</f>
        <v>-51</v>
      </c>
      <c r="G89" s="20"/>
      <c r="I89" s="21">
        <f t="shared" si="4"/>
        <v>1</v>
      </c>
      <c r="J89" s="21" t="str">
        <f t="shared" si="5"/>
        <v>y</v>
      </c>
    </row>
    <row r="90" spans="1:10" ht="23.25" hidden="1" x14ac:dyDescent="0.25">
      <c r="A90" s="12" t="str">
        <f>'Drawing Submittal'!A90</f>
        <v>25-106</v>
      </c>
      <c r="B90" s="13" t="str">
        <f>_xlfn.IFNA(VLOOKUP(A90,'Date Calcs'!A:AG,2,),"")</f>
        <v>Epic Systems</v>
      </c>
      <c r="C90" s="14">
        <f>_xlfn.IFNA(VLOOKUP(A90,'Actual Dates'!A:AE,6,),"")</f>
        <v>2</v>
      </c>
      <c r="D90" s="15">
        <f>IF(C90="  ","  ",IF(C90=0,VLOOKUP(A90,'Date Calcs'!A:AG,9,),IF(C90=1,VLOOKUP(A90,'Date Calcs'!A:AG,11,),IF(C90=2,VLOOKUP(A90,'Date Calcs'!A:AG,13,),IF(C90=3,VLOOKUP(A90,'Date Calcs'!A:AG,15,),4)))))</f>
        <v>46065</v>
      </c>
      <c r="E90" s="15">
        <f>IF(_xlfn.IFNA(IF(D90="  "," ",VLOOKUP(A90,'Actual Dates'!A:AE,20,0)),"")&lt;1,"-",_xlfn.IFNA(IF(D90="  "," ",VLOOKUP(A90,'Actual Dates'!A:AE,20,0)),""))</f>
        <v>46077</v>
      </c>
      <c r="F90" s="12">
        <f ca="1">IFERROR(IF(A90="","",D90-Date!$B$3),"")</f>
        <v>-50</v>
      </c>
      <c r="G90" s="20"/>
      <c r="I90" s="21">
        <f t="shared" si="4"/>
        <v>1</v>
      </c>
      <c r="J90" s="21" t="str">
        <f t="shared" si="5"/>
        <v>y</v>
      </c>
    </row>
    <row r="91" spans="1:10" ht="23.25" hidden="1" x14ac:dyDescent="0.25">
      <c r="A91" s="12" t="str">
        <f>'Drawing Submittal'!A91</f>
        <v>25-107</v>
      </c>
      <c r="B91" s="13" t="str">
        <f>_xlfn.IFNA(VLOOKUP(A91,'Date Calcs'!A:AG,2,),"")</f>
        <v>Epic Systems</v>
      </c>
      <c r="C91" s="14">
        <f>_xlfn.IFNA(VLOOKUP(A91,'Actual Dates'!A:AE,6,),"")</f>
        <v>3</v>
      </c>
      <c r="D91" s="15">
        <f>IF(C91="  ","  ",IF(C91=0,VLOOKUP(A91,'Date Calcs'!A:AG,9,),IF(C91=1,VLOOKUP(A91,'Date Calcs'!A:AG,11,),IF(C91=2,VLOOKUP(A91,'Date Calcs'!A:AG,13,),IF(C91=3,VLOOKUP(A91,'Date Calcs'!A:AG,15,),4)))))</f>
        <v>46118</v>
      </c>
      <c r="E91" s="15">
        <f>IF(_xlfn.IFNA(IF(D91="  "," ",VLOOKUP(A91,'Actual Dates'!A:AE,20,0)),"")&lt;1,"-",_xlfn.IFNA(IF(D91="  "," ",VLOOKUP(A91,'Actual Dates'!A:AE,20,0)),""))</f>
        <v>46111</v>
      </c>
      <c r="F91" s="12">
        <f ca="1">IFERROR(IF(A91="","",D91-Date!$B$3),"")</f>
        <v>3</v>
      </c>
      <c r="G91" s="20"/>
      <c r="I91" s="21" t="str">
        <f t="shared" si="4"/>
        <v xml:space="preserve">  </v>
      </c>
      <c r="J91" s="21" t="str">
        <f t="shared" si="5"/>
        <v>y</v>
      </c>
    </row>
    <row r="92" spans="1:10" ht="23.25" hidden="1" x14ac:dyDescent="0.25">
      <c r="A92" s="12" t="str">
        <f>'Drawing Submittal'!A92</f>
        <v>25-108</v>
      </c>
      <c r="B92" s="13" t="str">
        <f>_xlfn.IFNA(VLOOKUP(A92,'Date Calcs'!A:AG,2,),"")</f>
        <v>Epic Systems</v>
      </c>
      <c r="C92" s="14">
        <f>_xlfn.IFNA(VLOOKUP(A92,'Actual Dates'!A:AE,6,),"")</f>
        <v>1</v>
      </c>
      <c r="D92" s="15">
        <f>IF(C92="  ","  ",IF(C92=0,VLOOKUP(A92,'Date Calcs'!A:AG,9,),IF(C92=1,VLOOKUP(A92,'Date Calcs'!A:AG,11,),IF(C92=2,VLOOKUP(A92,'Date Calcs'!A:AG,13,),IF(C92=3,VLOOKUP(A92,'Date Calcs'!A:AG,15,),4)))))</f>
        <v>46071</v>
      </c>
      <c r="E92" s="15" t="str">
        <f>IF(_xlfn.IFNA(IF(D92="  "," ",VLOOKUP(A92,'Actual Dates'!A:AE,20,0)),"")&lt;1,"-",_xlfn.IFNA(IF(D92="  "," ",VLOOKUP(A92,'Actual Dates'!A:AE,20,0)),""))</f>
        <v>-</v>
      </c>
      <c r="F92" s="12">
        <f ca="1">IFERROR(IF(A92="","",D92-Date!$B$3),"")</f>
        <v>-44</v>
      </c>
      <c r="G92" s="20"/>
      <c r="I92" s="21">
        <f t="shared" si="4"/>
        <v>1</v>
      </c>
      <c r="J92" s="21" t="str">
        <f t="shared" si="5"/>
        <v xml:space="preserve">  </v>
      </c>
    </row>
    <row r="93" spans="1:10" ht="23.25" hidden="1" x14ac:dyDescent="0.25">
      <c r="A93" s="12" t="str">
        <f>'Drawing Submittal'!A93</f>
        <v>25-109</v>
      </c>
      <c r="B93" s="13" t="str">
        <f>_xlfn.IFNA(VLOOKUP(A93,'Date Calcs'!A:AG,2,),"")</f>
        <v>Epic Systems</v>
      </c>
      <c r="C93" s="14">
        <f>_xlfn.IFNA(VLOOKUP(A93,'Actual Dates'!A:AE,6,),"")</f>
        <v>3</v>
      </c>
      <c r="D93" s="15">
        <f>IF(C93="  ","  ",IF(C93=0,VLOOKUP(A93,'Date Calcs'!A:AG,9,),IF(C93=1,VLOOKUP(A93,'Date Calcs'!A:AG,11,),IF(C93=2,VLOOKUP(A93,'Date Calcs'!A:AG,13,),IF(C93=3,VLOOKUP(A93,'Date Calcs'!A:AG,15,),4)))))</f>
        <v>46059</v>
      </c>
      <c r="E93" s="15">
        <f>IF(_xlfn.IFNA(IF(D93="  "," ",VLOOKUP(A93,'Actual Dates'!A:AE,20,0)),"")&lt;1,"-",_xlfn.IFNA(IF(D93="  "," ",VLOOKUP(A93,'Actual Dates'!A:AE,20,0)),""))</f>
        <v>46072</v>
      </c>
      <c r="F93" s="12">
        <f ca="1">IFERROR(IF(A93="","",D93-Date!$B$3),"")</f>
        <v>-56</v>
      </c>
      <c r="G93" s="20"/>
      <c r="I93" s="21">
        <f t="shared" si="4"/>
        <v>1</v>
      </c>
      <c r="J93" s="21" t="str">
        <f t="shared" si="5"/>
        <v>y</v>
      </c>
    </row>
    <row r="94" spans="1:10" ht="23.25" hidden="1" x14ac:dyDescent="0.25">
      <c r="A94" s="12" t="str">
        <f>'Drawing Submittal'!A94</f>
        <v>25-110</v>
      </c>
      <c r="B94" s="13" t="str">
        <f>_xlfn.IFNA(VLOOKUP(A94,'Date Calcs'!A:AG,2,),"")</f>
        <v>Epic Systems</v>
      </c>
      <c r="C94" s="14">
        <f>_xlfn.IFNA(VLOOKUP(A94,'Actual Dates'!A:AE,6,),"")</f>
        <v>3</v>
      </c>
      <c r="D94" s="15">
        <f>IF(C94="  ","  ",IF(C94=0,VLOOKUP(A94,'Date Calcs'!A:AG,9,),IF(C94=1,VLOOKUP(A94,'Date Calcs'!A:AG,11,),IF(C94=2,VLOOKUP(A94,'Date Calcs'!A:AG,13,),IF(C94=3,VLOOKUP(A94,'Date Calcs'!A:AG,15,),4)))))</f>
        <v>46059</v>
      </c>
      <c r="E94" s="15">
        <f>IF(_xlfn.IFNA(IF(D94="  "," ",VLOOKUP(A94,'Actual Dates'!A:AE,20,0)),"")&lt;1,"-",_xlfn.IFNA(IF(D94="  "," ",VLOOKUP(A94,'Actual Dates'!A:AE,20,0)),""))</f>
        <v>46077</v>
      </c>
      <c r="F94" s="12">
        <f ca="1">IFERROR(IF(A94="","",D94-Date!$B$3),"")</f>
        <v>-56</v>
      </c>
      <c r="G94" s="20"/>
      <c r="I94" s="21" t="str">
        <f t="shared" si="4"/>
        <v xml:space="preserve">  </v>
      </c>
      <c r="J94" s="21" t="str">
        <f t="shared" si="5"/>
        <v>y</v>
      </c>
    </row>
    <row r="95" spans="1:10" ht="23.25" hidden="1" x14ac:dyDescent="0.25">
      <c r="A95" s="12" t="str">
        <f>'Drawing Submittal'!A95</f>
        <v>25-111</v>
      </c>
      <c r="B95" s="13" t="str">
        <f>_xlfn.IFNA(VLOOKUP(A95,'Date Calcs'!A:AG,2,),"")</f>
        <v>Epic Systems</v>
      </c>
      <c r="C95" s="14">
        <f>_xlfn.IFNA(VLOOKUP(A95,'Actual Dates'!A:AE,6,),"")</f>
        <v>3</v>
      </c>
      <c r="D95" s="15">
        <f>IF(C95="  ","  ",IF(C95=0,VLOOKUP(A95,'Date Calcs'!A:AG,9,),IF(C95=1,VLOOKUP(A95,'Date Calcs'!A:AG,11,),IF(C95=2,VLOOKUP(A95,'Date Calcs'!A:AG,13,),IF(C95=3,VLOOKUP(A95,'Date Calcs'!A:AG,15,),4)))))</f>
        <v>46059</v>
      </c>
      <c r="E95" s="15">
        <f>IF(_xlfn.IFNA(IF(D95="  "," ",VLOOKUP(A95,'Actual Dates'!A:AE,20,0)),"")&lt;1,"-",_xlfn.IFNA(IF(D95="  "," ",VLOOKUP(A95,'Actual Dates'!A:AE,20,0)),""))</f>
        <v>46077</v>
      </c>
      <c r="F95" s="12">
        <f ca="1">IFERROR(IF(A95="","",D95-Date!$B$3),"")</f>
        <v>-56</v>
      </c>
      <c r="G95" s="20"/>
      <c r="I95" s="21" t="str">
        <f t="shared" si="4"/>
        <v xml:space="preserve">  </v>
      </c>
      <c r="J95" s="21" t="str">
        <f t="shared" si="5"/>
        <v>y</v>
      </c>
    </row>
    <row r="96" spans="1:10" ht="23.25" hidden="1" x14ac:dyDescent="0.25">
      <c r="A96" s="12" t="str">
        <f>'Drawing Submittal'!A96</f>
        <v>25-112</v>
      </c>
      <c r="B96" s="13" t="str">
        <f>_xlfn.IFNA(VLOOKUP(A96,'Date Calcs'!A:AG,2,),"")</f>
        <v>Epic Systems</v>
      </c>
      <c r="C96" s="14">
        <f>_xlfn.IFNA(VLOOKUP(A96,'Actual Dates'!A:AE,6,),"")</f>
        <v>3</v>
      </c>
      <c r="D96" s="15">
        <f>IF(C96="  ","  ",IF(C96=0,VLOOKUP(A96,'Date Calcs'!A:AG,9,),IF(C96=1,VLOOKUP(A96,'Date Calcs'!A:AG,11,),IF(C96=2,VLOOKUP(A96,'Date Calcs'!A:AG,13,),IF(C96=3,VLOOKUP(A96,'Date Calcs'!A:AG,15,),4)))))</f>
        <v>46059</v>
      </c>
      <c r="E96" s="15">
        <f>IF(_xlfn.IFNA(IF(D96="  "," ",VLOOKUP(A96,'Actual Dates'!A:AE,20,0)),"")&lt;1,"-",_xlfn.IFNA(IF(D96="  "," ",VLOOKUP(A96,'Actual Dates'!A:AE,20,0)),""))</f>
        <v>46077</v>
      </c>
      <c r="F96" s="12">
        <f ca="1">IFERROR(IF(A96="","",D96-Date!$B$3),"")</f>
        <v>-56</v>
      </c>
      <c r="G96" s="20"/>
      <c r="I96" s="21" t="str">
        <f t="shared" si="4"/>
        <v xml:space="preserve">  </v>
      </c>
      <c r="J96" s="21" t="str">
        <f t="shared" si="5"/>
        <v>y</v>
      </c>
    </row>
    <row r="97" spans="1:10" ht="23.25" hidden="1" x14ac:dyDescent="0.25">
      <c r="A97" s="12" t="str">
        <f>'Drawing Submittal'!A97</f>
        <v>25-113</v>
      </c>
      <c r="B97" s="13" t="str">
        <f>_xlfn.IFNA(VLOOKUP(A97,'Date Calcs'!A:AG,2,),"")</f>
        <v>Epic Systems</v>
      </c>
      <c r="C97" s="14">
        <f>_xlfn.IFNA(VLOOKUP(A97,'Actual Dates'!A:AE,6,),"")</f>
        <v>2</v>
      </c>
      <c r="D97" s="15">
        <f>IF(C97="  ","  ",IF(C97=0,VLOOKUP(A97,'Date Calcs'!A:AG,9,),IF(C97=1,VLOOKUP(A97,'Date Calcs'!A:AG,11,),IF(C97=2,VLOOKUP(A97,'Date Calcs'!A:AG,13,),IF(C97=3,VLOOKUP(A97,'Date Calcs'!A:AG,15,),4)))))</f>
        <v>46065</v>
      </c>
      <c r="E97" s="15">
        <f>IF(_xlfn.IFNA(IF(D97="  "," ",VLOOKUP(A97,'Actual Dates'!A:AE,20,0)),"")&lt;1,"-",_xlfn.IFNA(IF(D97="  "," ",VLOOKUP(A97,'Actual Dates'!A:AE,20,0)),""))</f>
        <v>46100</v>
      </c>
      <c r="F97" s="12">
        <f ca="1">IFERROR(IF(A97="","",D97-Date!$B$3),"")</f>
        <v>-50</v>
      </c>
      <c r="G97" s="20"/>
      <c r="I97" s="21">
        <f t="shared" si="4"/>
        <v>1</v>
      </c>
      <c r="J97" s="21" t="str">
        <f t="shared" si="5"/>
        <v>y</v>
      </c>
    </row>
    <row r="98" spans="1:10" ht="23.25" hidden="1" x14ac:dyDescent="0.25">
      <c r="A98" s="12" t="str">
        <f>'Drawing Submittal'!A98</f>
        <v>25-115</v>
      </c>
      <c r="B98" s="13" t="str">
        <f>_xlfn.IFNA(VLOOKUP(A98,'Date Calcs'!A:AG,2,),"")</f>
        <v>Epic Systems</v>
      </c>
      <c r="C98" s="14">
        <f>_xlfn.IFNA(VLOOKUP(A98,'Actual Dates'!A:AE,6,),"")</f>
        <v>2</v>
      </c>
      <c r="D98" s="15">
        <f>IF(C98="  ","  ",IF(C98=0,VLOOKUP(A98,'Date Calcs'!A:AG,9,),IF(C98=1,VLOOKUP(A98,'Date Calcs'!A:AG,11,),IF(C98=2,VLOOKUP(A98,'Date Calcs'!A:AG,13,),IF(C98=3,VLOOKUP(A98,'Date Calcs'!A:AG,15,),4)))))</f>
        <v>46059</v>
      </c>
      <c r="E98" s="15">
        <f>IF(_xlfn.IFNA(IF(D98="  "," ",VLOOKUP(A98,'Actual Dates'!A:AE,20,0)),"")&lt;1,"-",_xlfn.IFNA(IF(D98="  "," ",VLOOKUP(A98,'Actual Dates'!A:AE,20,0)),""))</f>
        <v>46072</v>
      </c>
      <c r="F98" s="12">
        <f ca="1">IFERROR(IF(A98="","",D98-Date!$B$3),"")</f>
        <v>-56</v>
      </c>
      <c r="G98" s="20"/>
      <c r="I98" s="21">
        <f t="shared" si="4"/>
        <v>1</v>
      </c>
      <c r="J98" s="21" t="str">
        <f t="shared" si="5"/>
        <v>y</v>
      </c>
    </row>
    <row r="99" spans="1:10" ht="23.25" x14ac:dyDescent="0.25">
      <c r="A99" s="12" t="str">
        <f>'Drawing Submittal'!A99</f>
        <v>25-116</v>
      </c>
      <c r="B99" s="13" t="str">
        <f>_xlfn.IFNA(VLOOKUP(A99,'Date Calcs'!A:AG,2,),"")</f>
        <v>Polynt</v>
      </c>
      <c r="C99" s="14">
        <f>_xlfn.IFNA(VLOOKUP(A99,'Actual Dates'!A:AE,6,),"")</f>
        <v>3</v>
      </c>
      <c r="D99" s="15">
        <f>IF(C99="  ","  ",IF(C99=0,VLOOKUP(A99,'Date Calcs'!A:AG,9,),IF(C99=1,VLOOKUP(A99,'Date Calcs'!A:AG,11,),IF(C99=2,VLOOKUP(A99,'Date Calcs'!A:AG,13,),IF(C99=3,VLOOKUP(A99,'Date Calcs'!A:AG,15,),4)))))</f>
        <v>46120</v>
      </c>
      <c r="E99" s="15" t="str">
        <f>IF(_xlfn.IFNA(IF(D99="  "," ",VLOOKUP(A99,'Actual Dates'!A:AE,20,0)),"")&lt;1,"-",_xlfn.IFNA(IF(D99="  "," ",VLOOKUP(A99,'Actual Dates'!A:AE,20,0)),""))</f>
        <v>-</v>
      </c>
      <c r="F99" s="12">
        <f ca="1">IFERROR(IF(A99="","",D99-Date!$B$3),"")</f>
        <v>5</v>
      </c>
      <c r="G99" s="20"/>
      <c r="I99" s="21" t="str">
        <f t="shared" si="4"/>
        <v xml:space="preserve">  </v>
      </c>
      <c r="J99" s="21" t="str">
        <f t="shared" si="5"/>
        <v xml:space="preserve">  </v>
      </c>
    </row>
    <row r="100" spans="1:10" ht="23.25" hidden="1" x14ac:dyDescent="0.25">
      <c r="A100" s="12" t="str">
        <f>'Drawing Submittal'!A100</f>
        <v>25-117</v>
      </c>
      <c r="B100" s="13" t="str">
        <f>_xlfn.IFNA(VLOOKUP(A100,'Date Calcs'!A:AG,2,),"")</f>
        <v>Merrick</v>
      </c>
      <c r="C100" s="14">
        <f>_xlfn.IFNA(VLOOKUP(A100,'Actual Dates'!A:AE,6,),"")</f>
        <v>2</v>
      </c>
      <c r="D100" s="15">
        <f>IF(C100="  ","  ",IF(C100=0,VLOOKUP(A100,'Date Calcs'!A:AG,9,),IF(C100=1,VLOOKUP(A100,'Date Calcs'!A:AG,11,),IF(C100=2,VLOOKUP(A100,'Date Calcs'!A:AG,13,),IF(C100=3,VLOOKUP(A100,'Date Calcs'!A:AG,15,),4)))))</f>
        <v>46070</v>
      </c>
      <c r="E100" s="15">
        <f>IF(_xlfn.IFNA(IF(D100="  "," ",VLOOKUP(A100,'Actual Dates'!A:AE,20,0)),"")&lt;1,"-",_xlfn.IFNA(IF(D100="  "," ",VLOOKUP(A100,'Actual Dates'!A:AE,20,0)),""))</f>
        <v>46063</v>
      </c>
      <c r="F100" s="12">
        <f ca="1">IFERROR(IF(A100="","",D100-Date!$B$3),"")</f>
        <v>-45</v>
      </c>
      <c r="G100" s="20"/>
      <c r="I100" s="21" t="str">
        <f t="shared" si="4"/>
        <v xml:space="preserve">  </v>
      </c>
      <c r="J100" s="21" t="str">
        <f t="shared" si="5"/>
        <v>y</v>
      </c>
    </row>
    <row r="101" spans="1:10" ht="23.25" hidden="1" x14ac:dyDescent="0.25">
      <c r="A101" s="12" t="str">
        <f>'Drawing Submittal'!A101</f>
        <v>25-118</v>
      </c>
      <c r="B101" s="13" t="str">
        <f>_xlfn.IFNA(VLOOKUP(A101,'Date Calcs'!A:AG,2,),"")</f>
        <v>Merrick</v>
      </c>
      <c r="C101" s="14">
        <f>_xlfn.IFNA(VLOOKUP(A101,'Actual Dates'!A:AE,6,),"")</f>
        <v>2</v>
      </c>
      <c r="D101" s="15">
        <f>IF(C101="  ","  ",IF(C101=0,VLOOKUP(A101,'Date Calcs'!A:AG,9,),IF(C101=1,VLOOKUP(A101,'Date Calcs'!A:AG,11,),IF(C101=2,VLOOKUP(A101,'Date Calcs'!A:AG,13,),IF(C101=3,VLOOKUP(A101,'Date Calcs'!A:AG,15,),4)))))</f>
        <v>46076</v>
      </c>
      <c r="E101" s="15">
        <f>IF(_xlfn.IFNA(IF(D101="  "," ",VLOOKUP(A101,'Actual Dates'!A:AE,20,0)),"")&lt;1,"-",_xlfn.IFNA(IF(D101="  "," ",VLOOKUP(A101,'Actual Dates'!A:AE,20,0)),""))</f>
        <v>46069</v>
      </c>
      <c r="F101" s="12">
        <f ca="1">IFERROR(IF(A101="","",D101-Date!$B$3),"")</f>
        <v>-39</v>
      </c>
      <c r="G101" s="20"/>
      <c r="I101" s="21" t="str">
        <f t="shared" si="4"/>
        <v xml:space="preserve">  </v>
      </c>
      <c r="J101" s="21" t="str">
        <f t="shared" si="5"/>
        <v>y</v>
      </c>
    </row>
    <row r="102" spans="1:10" ht="23.25" hidden="1" x14ac:dyDescent="0.25">
      <c r="A102" s="12" t="str">
        <f>'Drawing Submittal'!A102</f>
        <v>25-119</v>
      </c>
      <c r="B102" s="13" t="str">
        <f>_xlfn.IFNA(VLOOKUP(A102,'Date Calcs'!A:AG,2,),"")</f>
        <v>Vertiv</v>
      </c>
      <c r="C102" s="14">
        <f>_xlfn.IFNA(VLOOKUP(A102,'Actual Dates'!A:AE,6,),"")</f>
        <v>1</v>
      </c>
      <c r="D102" s="15">
        <f>IF(C102="  ","  ",IF(C102=0,VLOOKUP(A102,'Date Calcs'!A:AG,9,),IF(C102=1,VLOOKUP(A102,'Date Calcs'!A:AG,11,),IF(C102=2,VLOOKUP(A102,'Date Calcs'!A:AG,13,),IF(C102=3,VLOOKUP(A102,'Date Calcs'!A:AG,15,),4)))))</f>
        <v>46001</v>
      </c>
      <c r="E102" s="15">
        <f>IF(_xlfn.IFNA(IF(D102="  "," ",VLOOKUP(A102,'Actual Dates'!A:AE,20,0)),"")&lt;1,"-",_xlfn.IFNA(IF(D102="  "," ",VLOOKUP(A102,'Actual Dates'!A:AE,20,0)),""))</f>
        <v>45994</v>
      </c>
      <c r="F102" s="12">
        <f ca="1">IFERROR(IF(A102="","",D102-Date!$B$3),"")</f>
        <v>-114</v>
      </c>
      <c r="G102" s="20"/>
      <c r="I102" s="21" t="str">
        <f t="shared" si="4"/>
        <v xml:space="preserve">  </v>
      </c>
      <c r="J102" s="21" t="str">
        <f t="shared" si="5"/>
        <v>y</v>
      </c>
    </row>
    <row r="103" spans="1:10" ht="23.25" hidden="1" x14ac:dyDescent="0.25">
      <c r="A103" s="12" t="str">
        <f>'Drawing Submittal'!A103</f>
        <v>25-120</v>
      </c>
      <c r="B103" s="13" t="str">
        <f>_xlfn.IFNA(VLOOKUP(A103,'Date Calcs'!A:AG,2,),"")</f>
        <v>Andritz</v>
      </c>
      <c r="C103" s="14">
        <f>_xlfn.IFNA(VLOOKUP(A103,'Actual Dates'!A:AE,6,),"")</f>
        <v>3</v>
      </c>
      <c r="D103" s="15">
        <f>IF(C103="  ","  ",IF(C103=0,VLOOKUP(A103,'Date Calcs'!A:AG,9,),IF(C103=1,VLOOKUP(A103,'Date Calcs'!A:AG,11,),IF(C103=2,VLOOKUP(A103,'Date Calcs'!A:AG,13,),IF(C103=3,VLOOKUP(A103,'Date Calcs'!A:AG,15,),4)))))</f>
        <v>46029</v>
      </c>
      <c r="E103" s="15" t="str">
        <f>IF(_xlfn.IFNA(IF(D103="  "," ",VLOOKUP(A103,'Actual Dates'!A:AE,20,0)),"")&lt;1,"-",_xlfn.IFNA(IF(D103="  "," ",VLOOKUP(A103,'Actual Dates'!A:AE,20,0)),""))</f>
        <v>-</v>
      </c>
      <c r="F103" s="12">
        <f ca="1">IFERROR(IF(A103="","",D103-Date!$B$3),"")</f>
        <v>-86</v>
      </c>
      <c r="G103" s="20"/>
      <c r="I103" s="21">
        <f t="shared" si="4"/>
        <v>1</v>
      </c>
      <c r="J103" s="21" t="str">
        <f t="shared" si="5"/>
        <v xml:space="preserve">  </v>
      </c>
    </row>
    <row r="104" spans="1:10" ht="23.25" x14ac:dyDescent="0.25">
      <c r="A104" s="12" t="str">
        <f>'Drawing Submittal'!A104</f>
        <v>25-121</v>
      </c>
      <c r="B104" s="13" t="str">
        <f>_xlfn.IFNA(VLOOKUP(A104,'Date Calcs'!A:AG,2,),"")</f>
        <v>Kimberly Clark</v>
      </c>
      <c r="C104" s="14">
        <f>_xlfn.IFNA(VLOOKUP(A104,'Actual Dates'!A:AE,6,),"")</f>
        <v>1</v>
      </c>
      <c r="D104" s="15">
        <f>IF(C104="  ","  ",IF(C104=0,VLOOKUP(A104,'Date Calcs'!A:AG,9,),IF(C104=1,VLOOKUP(A104,'Date Calcs'!A:AG,11,),IF(C104=2,VLOOKUP(A104,'Date Calcs'!A:AG,13,),IF(C104=3,VLOOKUP(A104,'Date Calcs'!A:AG,15,),4)))))</f>
        <v>46105</v>
      </c>
      <c r="E104" s="15" t="str">
        <f>IF(_xlfn.IFNA(IF(D104="  "," ",VLOOKUP(A104,'Actual Dates'!A:AE,20,0)),"")&lt;1,"-",_xlfn.IFNA(IF(D104="  "," ",VLOOKUP(A104,'Actual Dates'!A:AE,20,0)),""))</f>
        <v>-</v>
      </c>
      <c r="F104" s="12">
        <f ca="1">IFERROR(IF(A104="","",D104-Date!$B$3),"")</f>
        <v>-10</v>
      </c>
      <c r="G104" s="20"/>
      <c r="I104" s="21" t="str">
        <f t="shared" si="4"/>
        <v xml:space="preserve">  </v>
      </c>
      <c r="J104" s="21" t="str">
        <f t="shared" si="5"/>
        <v xml:space="preserve">  </v>
      </c>
    </row>
    <row r="105" spans="1:10" ht="23.25" x14ac:dyDescent="0.25">
      <c r="A105" s="12" t="str">
        <f>'Drawing Submittal'!A105</f>
        <v>25-122</v>
      </c>
      <c r="B105" s="13" t="str">
        <f>_xlfn.IFNA(VLOOKUP(A105,'Date Calcs'!A:AG,2,),"")</f>
        <v>Kimberly Clark</v>
      </c>
      <c r="C105" s="14">
        <f>_xlfn.IFNA(VLOOKUP(A105,'Actual Dates'!A:AE,6,),"")</f>
        <v>1</v>
      </c>
      <c r="D105" s="15">
        <f>IF(C105="  ","  ",IF(C105=0,VLOOKUP(A105,'Date Calcs'!A:AG,9,),IF(C105=1,VLOOKUP(A105,'Date Calcs'!A:AG,11,),IF(C105=2,VLOOKUP(A105,'Date Calcs'!A:AG,13,),IF(C105=3,VLOOKUP(A105,'Date Calcs'!A:AG,15,),4)))))</f>
        <v>46105</v>
      </c>
      <c r="E105" s="15" t="str">
        <f>IF(_xlfn.IFNA(IF(D105="  "," ",VLOOKUP(A105,'Actual Dates'!A:AE,20,0)),"")&lt;1,"-",_xlfn.IFNA(IF(D105="  "," ",VLOOKUP(A105,'Actual Dates'!A:AE,20,0)),""))</f>
        <v>-</v>
      </c>
      <c r="F105" s="12">
        <f ca="1">IFERROR(IF(A105="","",D105-Date!$B$3),"")</f>
        <v>-10</v>
      </c>
      <c r="G105" s="20"/>
      <c r="I105" s="21" t="str">
        <f t="shared" si="4"/>
        <v xml:space="preserve">  </v>
      </c>
      <c r="J105" s="21" t="str">
        <f t="shared" si="5"/>
        <v xml:space="preserve">  </v>
      </c>
    </row>
    <row r="106" spans="1:10" ht="23.25" x14ac:dyDescent="0.25">
      <c r="A106" s="12" t="str">
        <f>'Drawing Submittal'!A106</f>
        <v>25-123</v>
      </c>
      <c r="B106" s="13" t="str">
        <f>_xlfn.IFNA(VLOOKUP(A106,'Date Calcs'!A:AG,2,),"")</f>
        <v>Kimberly Clark</v>
      </c>
      <c r="C106" s="14">
        <f>_xlfn.IFNA(VLOOKUP(A106,'Actual Dates'!A:AE,6,),"")</f>
        <v>1</v>
      </c>
      <c r="D106" s="15">
        <f>IF(C106="  ","  ",IF(C106=0,VLOOKUP(A106,'Date Calcs'!A:AG,9,),IF(C106=1,VLOOKUP(A106,'Date Calcs'!A:AG,11,),IF(C106=2,VLOOKUP(A106,'Date Calcs'!A:AG,13,),IF(C106=3,VLOOKUP(A106,'Date Calcs'!A:AG,15,),4)))))</f>
        <v>46113</v>
      </c>
      <c r="E106" s="15" t="str">
        <f>IF(_xlfn.IFNA(IF(D106="  "," ",VLOOKUP(A106,'Actual Dates'!A:AE,20,0)),"")&lt;1,"-",_xlfn.IFNA(IF(D106="  "," ",VLOOKUP(A106,'Actual Dates'!A:AE,20,0)),""))</f>
        <v>-</v>
      </c>
      <c r="F106" s="12">
        <f ca="1">IFERROR(IF(A106="","",D106-Date!$B$3),"")</f>
        <v>-2</v>
      </c>
      <c r="G106" s="20"/>
      <c r="I106" s="21" t="str">
        <f t="shared" si="4"/>
        <v xml:space="preserve">  </v>
      </c>
      <c r="J106" s="21" t="str">
        <f t="shared" si="5"/>
        <v xml:space="preserve">  </v>
      </c>
    </row>
    <row r="107" spans="1:10" ht="23.25" hidden="1" x14ac:dyDescent="0.25">
      <c r="A107" s="12" t="str">
        <f>'Drawing Submittal'!A107</f>
        <v>25-124</v>
      </c>
      <c r="B107" s="13" t="str">
        <f>_xlfn.IFNA(VLOOKUP(A107,'Date Calcs'!A:AG,2,),"")</f>
        <v>Vertiv</v>
      </c>
      <c r="C107" s="14">
        <f>_xlfn.IFNA(VLOOKUP(A107,'Actual Dates'!A:AE,6,),"")</f>
        <v>3</v>
      </c>
      <c r="D107" s="15">
        <f>IF(C107="  ","  ",IF(C107=0,VLOOKUP(A107,'Date Calcs'!A:AG,9,),IF(C107=1,VLOOKUP(A107,'Date Calcs'!A:AG,11,),IF(C107=2,VLOOKUP(A107,'Date Calcs'!A:AG,13,),IF(C107=3,VLOOKUP(A107,'Date Calcs'!A:AG,15,),4)))))</f>
        <v>46029</v>
      </c>
      <c r="E107" s="15" t="str">
        <f>IF(_xlfn.IFNA(IF(D107="  "," ",VLOOKUP(A107,'Actual Dates'!A:AE,20,0)),"")&lt;1,"-",_xlfn.IFNA(IF(D107="  "," ",VLOOKUP(A107,'Actual Dates'!A:AE,20,0)),""))</f>
        <v>-</v>
      </c>
      <c r="F107" s="12">
        <f ca="1">IFERROR(IF(A107="","",D107-Date!$B$3),"")</f>
        <v>-86</v>
      </c>
      <c r="G107" s="20"/>
      <c r="I107" s="21">
        <f t="shared" si="4"/>
        <v>1</v>
      </c>
      <c r="J107" s="21" t="str">
        <f t="shared" si="5"/>
        <v xml:space="preserve">  </v>
      </c>
    </row>
    <row r="108" spans="1:10" ht="23.25" hidden="1" x14ac:dyDescent="0.25">
      <c r="A108" s="12" t="str">
        <f>'Drawing Submittal'!A108</f>
        <v>25-356</v>
      </c>
      <c r="B108" s="13" t="str">
        <f>_xlfn.IFNA(VLOOKUP(A108,'Date Calcs'!A:AG,2,),"")</f>
        <v>Synthomer</v>
      </c>
      <c r="C108" s="14">
        <f>_xlfn.IFNA(VLOOKUP(A108,'Actual Dates'!A:AE,6,),"")</f>
        <v>2</v>
      </c>
      <c r="D108" s="15">
        <f>IF(C108="  ","  ",IF(C108=0,VLOOKUP(A108,'Date Calcs'!A:AG,9,),IF(C108=1,VLOOKUP(A108,'Date Calcs'!A:AG,11,),IF(C108=2,VLOOKUP(A108,'Date Calcs'!A:AG,13,),IF(C108=3,VLOOKUP(A108,'Date Calcs'!A:AG,15,),4)))))</f>
        <v>46086</v>
      </c>
      <c r="E108" s="15">
        <f>IF(_xlfn.IFNA(IF(D108="  "," ",VLOOKUP(A108,'Actual Dates'!A:AE,20,0)),"")&lt;1,"-",_xlfn.IFNA(IF(D108="  "," ",VLOOKUP(A108,'Actual Dates'!A:AE,20,0)),""))</f>
        <v>46079</v>
      </c>
      <c r="F108" s="12">
        <f ca="1">IFERROR(IF(A108="","",D108-Date!$B$3),"")</f>
        <v>-29</v>
      </c>
      <c r="G108" s="20"/>
      <c r="I108" s="21" t="str">
        <f t="shared" si="4"/>
        <v xml:space="preserve">  </v>
      </c>
      <c r="J108" s="21" t="str">
        <f t="shared" si="5"/>
        <v>y</v>
      </c>
    </row>
    <row r="109" spans="1:10" ht="23.25" hidden="1" x14ac:dyDescent="0.25">
      <c r="A109" s="12" t="str">
        <f>'Drawing Submittal'!A109</f>
        <v>25-357</v>
      </c>
      <c r="B109" s="13" t="str">
        <f>_xlfn.IFNA(VLOOKUP(A109,'Date Calcs'!A:AG,2,),"")</f>
        <v>Sylvamo</v>
      </c>
      <c r="C109" s="14">
        <f>_xlfn.IFNA(VLOOKUP(A109,'Actual Dates'!A:AE,6,),"")</f>
        <v>2</v>
      </c>
      <c r="D109" s="15">
        <f>IF(C109="  ","  ",IF(C109=0,VLOOKUP(A109,'Date Calcs'!A:AG,9,),IF(C109=1,VLOOKUP(A109,'Date Calcs'!A:AG,11,),IF(C109=2,VLOOKUP(A109,'Date Calcs'!A:AG,13,),IF(C109=3,VLOOKUP(A109,'Date Calcs'!A:AG,15,),4)))))</f>
        <v>46120</v>
      </c>
      <c r="E109" s="15">
        <f>IF(_xlfn.IFNA(IF(D109="  "," ",VLOOKUP(A109,'Actual Dates'!A:AE,20,0)),"")&lt;1,"-",_xlfn.IFNA(IF(D109="  "," ",VLOOKUP(A109,'Actual Dates'!A:AE,20,0)),""))</f>
        <v>46113</v>
      </c>
      <c r="F109" s="12">
        <f ca="1">IFERROR(IF(A109="","",D109-Date!$B$3),"")</f>
        <v>5</v>
      </c>
      <c r="G109" s="20"/>
      <c r="I109" s="21" t="str">
        <f t="shared" si="4"/>
        <v xml:space="preserve">  </v>
      </c>
      <c r="J109" s="21" t="str">
        <f t="shared" si="5"/>
        <v>y</v>
      </c>
    </row>
    <row r="110" spans="1:10" ht="23.25" hidden="1" x14ac:dyDescent="0.25">
      <c r="A110" s="12" t="str">
        <f>'Drawing Submittal'!A110</f>
        <v>25-358</v>
      </c>
      <c r="B110" s="13" t="str">
        <f>_xlfn.IFNA(VLOOKUP(A110,'Date Calcs'!A:AG,2,),"")</f>
        <v>Sylvamo</v>
      </c>
      <c r="C110" s="14">
        <f>_xlfn.IFNA(VLOOKUP(A110,'Actual Dates'!A:AE,6,),"")</f>
        <v>2</v>
      </c>
      <c r="D110" s="15">
        <f>IF(C110="  ","  ",IF(C110=0,VLOOKUP(A110,'Date Calcs'!A:AG,9,),IF(C110=1,VLOOKUP(A110,'Date Calcs'!A:AG,11,),IF(C110=2,VLOOKUP(A110,'Date Calcs'!A:AG,13,),IF(C110=3,VLOOKUP(A110,'Date Calcs'!A:AG,15,),4)))))</f>
        <v>46120</v>
      </c>
      <c r="E110" s="15">
        <f>IF(_xlfn.IFNA(IF(D110="  "," ",VLOOKUP(A110,'Actual Dates'!A:AE,20,0)),"")&lt;1,"-",_xlfn.IFNA(IF(D110="  "," ",VLOOKUP(A110,'Actual Dates'!A:AE,20,0)),""))</f>
        <v>46113</v>
      </c>
      <c r="F110" s="12">
        <f ca="1">IFERROR(IF(A110="","",D110-Date!$B$3),"")</f>
        <v>5</v>
      </c>
      <c r="G110" s="20"/>
      <c r="I110" s="21" t="str">
        <f t="shared" si="4"/>
        <v xml:space="preserve">  </v>
      </c>
      <c r="J110" s="21" t="str">
        <f t="shared" si="5"/>
        <v>y</v>
      </c>
    </row>
    <row r="111" spans="1:10" ht="23.25" hidden="1" x14ac:dyDescent="0.25">
      <c r="A111" s="12" t="str">
        <f>'Drawing Submittal'!A111</f>
        <v>26-002</v>
      </c>
      <c r="B111" s="13" t="str">
        <f>_xlfn.IFNA(VLOOKUP(A111,'Date Calcs'!A:AG,2,),"")</f>
        <v>SNF</v>
      </c>
      <c r="C111" s="14">
        <f>_xlfn.IFNA(VLOOKUP(A111,'Actual Dates'!A:AE,6,),"")</f>
        <v>0</v>
      </c>
      <c r="D111" s="15">
        <f>IF(C111="  ","  ",IF(C111=0,VLOOKUP(A111,'Date Calcs'!A:AG,9,),IF(C111=1,VLOOKUP(A111,'Date Calcs'!A:AG,11,),IF(C111=2,VLOOKUP(A111,'Date Calcs'!A:AG,13,),IF(C111=3,VLOOKUP(A111,'Date Calcs'!A:AG,15,),4)))))</f>
        <v>46073</v>
      </c>
      <c r="E111" s="15" t="str">
        <f>IF(_xlfn.IFNA(IF(D111="  "," ",VLOOKUP(A111,'Actual Dates'!A:AE,20,0)),"")&lt;1,"-",_xlfn.IFNA(IF(D111="  "," ",VLOOKUP(A111,'Actual Dates'!A:AE,20,0)),""))</f>
        <v>-</v>
      </c>
      <c r="F111" s="12">
        <f ca="1">IFERROR(IF(A111="","",D111-Date!$B$3),"")</f>
        <v>-42</v>
      </c>
      <c r="G111" s="20"/>
      <c r="I111" s="21">
        <f t="shared" si="4"/>
        <v>1</v>
      </c>
      <c r="J111" s="21" t="str">
        <f t="shared" si="5"/>
        <v xml:space="preserve">  </v>
      </c>
    </row>
    <row r="112" spans="1:10" ht="23.25" hidden="1" x14ac:dyDescent="0.25">
      <c r="A112" s="12" t="str">
        <f>'Drawing Submittal'!A112</f>
        <v>26-003</v>
      </c>
      <c r="B112" s="13" t="str">
        <f>_xlfn.IFNA(VLOOKUP(A112,'Date Calcs'!A:AG,2,),"")</f>
        <v>SNF</v>
      </c>
      <c r="C112" s="14">
        <f>_xlfn.IFNA(VLOOKUP(A112,'Actual Dates'!A:AE,6,),"")</f>
        <v>0</v>
      </c>
      <c r="D112" s="15">
        <f>IF(C112="  ","  ",IF(C112=0,VLOOKUP(A112,'Date Calcs'!A:AG,9,),IF(C112=1,VLOOKUP(A112,'Date Calcs'!A:AG,11,),IF(C112=2,VLOOKUP(A112,'Date Calcs'!A:AG,13,),IF(C112=3,VLOOKUP(A112,'Date Calcs'!A:AG,15,),4)))))</f>
        <v>46073</v>
      </c>
      <c r="E112" s="15" t="str">
        <f>IF(_xlfn.IFNA(IF(D112="  "," ",VLOOKUP(A112,'Actual Dates'!A:AE,20,0)),"")&lt;1,"-",_xlfn.IFNA(IF(D112="  "," ",VLOOKUP(A112,'Actual Dates'!A:AE,20,0)),""))</f>
        <v>-</v>
      </c>
      <c r="F112" s="12">
        <f ca="1">IFERROR(IF(A112="","",D112-Date!$B$3),"")</f>
        <v>-42</v>
      </c>
      <c r="G112" s="20"/>
      <c r="I112" s="21">
        <f t="shared" si="4"/>
        <v>1</v>
      </c>
      <c r="J112" s="21" t="str">
        <f t="shared" si="5"/>
        <v xml:space="preserve">  </v>
      </c>
    </row>
    <row r="113" spans="1:10" ht="23.25" hidden="1" x14ac:dyDescent="0.25">
      <c r="A113" s="12" t="str">
        <f>'Drawing Submittal'!A113</f>
        <v>26-004</v>
      </c>
      <c r="B113" s="13" t="str">
        <f>_xlfn.IFNA(VLOOKUP(A113,'Date Calcs'!A:AG,2,),"")</f>
        <v>SNF</v>
      </c>
      <c r="C113" s="14">
        <f>_xlfn.IFNA(VLOOKUP(A113,'Actual Dates'!A:AE,6,),"")</f>
        <v>0</v>
      </c>
      <c r="D113" s="15">
        <f>IF(C113="  ","  ",IF(C113=0,VLOOKUP(A113,'Date Calcs'!A:AG,9,),IF(C113=1,VLOOKUP(A113,'Date Calcs'!A:AG,11,),IF(C113=2,VLOOKUP(A113,'Date Calcs'!A:AG,13,),IF(C113=3,VLOOKUP(A113,'Date Calcs'!A:AG,15,),4)))))</f>
        <v>46073</v>
      </c>
      <c r="E113" s="15" t="str">
        <f>IF(_xlfn.IFNA(IF(D113="  "," ",VLOOKUP(A113,'Actual Dates'!A:AE,20,0)),"")&lt;1,"-",_xlfn.IFNA(IF(D113="  "," ",VLOOKUP(A113,'Actual Dates'!A:AE,20,0)),""))</f>
        <v>-</v>
      </c>
      <c r="F113" s="12">
        <f ca="1">IFERROR(IF(A113="","",D113-Date!$B$3),"")</f>
        <v>-42</v>
      </c>
      <c r="G113" s="20"/>
      <c r="I113" s="21">
        <f t="shared" si="4"/>
        <v>1</v>
      </c>
      <c r="J113" s="21" t="str">
        <f t="shared" si="5"/>
        <v xml:space="preserve">  </v>
      </c>
    </row>
    <row r="114" spans="1:10" ht="23.25" hidden="1" x14ac:dyDescent="0.25">
      <c r="A114" s="12" t="str">
        <f>'Drawing Submittal'!A114</f>
        <v>26-005</v>
      </c>
      <c r="B114" s="13" t="str">
        <f>_xlfn.IFNA(VLOOKUP(A114,'Date Calcs'!A:AG,2,),"")</f>
        <v>US Sugar</v>
      </c>
      <c r="C114" s="14">
        <f>_xlfn.IFNA(VLOOKUP(A114,'Actual Dates'!A:AE,6,),"")</f>
        <v>1</v>
      </c>
      <c r="D114" s="15">
        <f>IF(C114="  ","  ",IF(C114=0,VLOOKUP(A114,'Date Calcs'!A:AG,9,),IF(C114=1,VLOOKUP(A114,'Date Calcs'!A:AG,11,),IF(C114=2,VLOOKUP(A114,'Date Calcs'!A:AG,13,),IF(C114=3,VLOOKUP(A114,'Date Calcs'!A:AG,15,),4)))))</f>
        <v>46092</v>
      </c>
      <c r="E114" s="15">
        <f>IF(_xlfn.IFNA(IF(D114="  "," ",VLOOKUP(A114,'Actual Dates'!A:AE,20,0)),"")&lt;1,"-",_xlfn.IFNA(IF(D114="  "," ",VLOOKUP(A114,'Actual Dates'!A:AE,20,0)),""))</f>
        <v>46085</v>
      </c>
      <c r="F114" s="12">
        <f ca="1">IFERROR(IF(A114="","",D114-Date!$B$3),"")</f>
        <v>-23</v>
      </c>
      <c r="G114" s="20"/>
      <c r="I114" s="21" t="str">
        <f t="shared" si="4"/>
        <v xml:space="preserve">  </v>
      </c>
      <c r="J114" s="21" t="str">
        <f t="shared" si="5"/>
        <v>y</v>
      </c>
    </row>
    <row r="115" spans="1:10" ht="23.25" hidden="1" x14ac:dyDescent="0.25">
      <c r="A115" s="12" t="str">
        <f>'Drawing Submittal'!A115</f>
        <v>26-014</v>
      </c>
      <c r="B115" s="13" t="str">
        <f>_xlfn.IFNA(VLOOKUP(A115,'Date Calcs'!A:AG,2,),"")</f>
        <v>SNF</v>
      </c>
      <c r="C115" s="14">
        <f>_xlfn.IFNA(VLOOKUP(A115,'Actual Dates'!A:AE,6,),"")</f>
        <v>0</v>
      </c>
      <c r="D115" s="15">
        <f>IF(C115="  ","  ",IF(C115=0,VLOOKUP(A115,'Date Calcs'!A:AG,9,),IF(C115=1,VLOOKUP(A115,'Date Calcs'!A:AG,11,),IF(C115=2,VLOOKUP(A115,'Date Calcs'!A:AG,13,),IF(C115=3,VLOOKUP(A115,'Date Calcs'!A:AG,15,),4)))))</f>
        <v>46078</v>
      </c>
      <c r="E115" s="15" t="str">
        <f>IF(_xlfn.IFNA(IF(D115="  "," ",VLOOKUP(A115,'Actual Dates'!A:AE,20,0)),"")&lt;1,"-",_xlfn.IFNA(IF(D115="  "," ",VLOOKUP(A115,'Actual Dates'!A:AE,20,0)),""))</f>
        <v>-</v>
      </c>
      <c r="F115" s="12">
        <f ca="1">IFERROR(IF(A115="","",D115-Date!$B$3),"")</f>
        <v>-37</v>
      </c>
      <c r="G115" s="20"/>
      <c r="I115" s="21">
        <f t="shared" si="4"/>
        <v>1</v>
      </c>
      <c r="J115" s="21" t="str">
        <f t="shared" si="5"/>
        <v xml:space="preserve">  </v>
      </c>
    </row>
    <row r="116" spans="1:10" ht="23.25" hidden="1" x14ac:dyDescent="0.25">
      <c r="A116" s="12" t="str">
        <f>'Drawing Submittal'!A116</f>
        <v>26-015</v>
      </c>
      <c r="B116" s="13" t="str">
        <f>_xlfn.IFNA(VLOOKUP(A116,'Date Calcs'!A:AG,2,),"")</f>
        <v>SNF</v>
      </c>
      <c r="C116" s="14">
        <f>_xlfn.IFNA(VLOOKUP(A116,'Actual Dates'!A:AE,6,),"")</f>
        <v>0</v>
      </c>
      <c r="D116" s="15">
        <f>IF(C116="  ","  ",IF(C116=0,VLOOKUP(A116,'Date Calcs'!A:AG,9,),IF(C116=1,VLOOKUP(A116,'Date Calcs'!A:AG,11,),IF(C116=2,VLOOKUP(A116,'Date Calcs'!A:AG,13,),IF(C116=3,VLOOKUP(A116,'Date Calcs'!A:AG,15,),4)))))</f>
        <v>46106</v>
      </c>
      <c r="E116" s="15" t="str">
        <f>IF(_xlfn.IFNA(IF(D116="  "," ",VLOOKUP(A116,'Actual Dates'!A:AE,20,0)),"")&lt;1,"-",_xlfn.IFNA(IF(D116="  "," ",VLOOKUP(A116,'Actual Dates'!A:AE,20,0)),""))</f>
        <v>-</v>
      </c>
      <c r="F116" s="12">
        <f ca="1">IFERROR(IF(A116="","",D116-Date!$B$3),"")</f>
        <v>-9</v>
      </c>
      <c r="G116" s="20"/>
      <c r="I116" s="21">
        <f t="shared" si="4"/>
        <v>1</v>
      </c>
      <c r="J116" s="21" t="str">
        <f t="shared" si="5"/>
        <v xml:space="preserve">  </v>
      </c>
    </row>
    <row r="117" spans="1:10" ht="23.25" x14ac:dyDescent="0.25">
      <c r="A117" s="12" t="str">
        <f>'Drawing Submittal'!A117</f>
        <v>26-016</v>
      </c>
      <c r="B117" s="13" t="str">
        <f>_xlfn.IFNA(VLOOKUP(A117,'Date Calcs'!A:AG,2,),"")</f>
        <v>SNF</v>
      </c>
      <c r="C117" s="14">
        <f>_xlfn.IFNA(VLOOKUP(A117,'Actual Dates'!A:AE,6,),"")</f>
        <v>0</v>
      </c>
      <c r="D117" s="15">
        <f>IF(C117="  ","  ",IF(C117=0,VLOOKUP(A117,'Date Calcs'!A:AG,9,),IF(C117=1,VLOOKUP(A117,'Date Calcs'!A:AG,11,),IF(C117=2,VLOOKUP(A117,'Date Calcs'!A:AG,13,),IF(C117=3,VLOOKUP(A117,'Date Calcs'!A:AG,15,),4)))))</f>
        <v>46104</v>
      </c>
      <c r="E117" s="15" t="str">
        <f>IF(_xlfn.IFNA(IF(D117="  "," ",VLOOKUP(A117,'Actual Dates'!A:AE,20,0)),"")&lt;1,"-",_xlfn.IFNA(IF(D117="  "," ",VLOOKUP(A117,'Actual Dates'!A:AE,20,0)),""))</f>
        <v>-</v>
      </c>
      <c r="F117" s="12">
        <f ca="1">IFERROR(IF(A117="","",D117-Date!$B$3),"")</f>
        <v>-11</v>
      </c>
      <c r="G117" s="20"/>
      <c r="I117" s="21" t="str">
        <f t="shared" si="4"/>
        <v xml:space="preserve">  </v>
      </c>
      <c r="J117" s="21" t="str">
        <f t="shared" si="5"/>
        <v xml:space="preserve">  </v>
      </c>
    </row>
    <row r="118" spans="1:10" ht="23.25" hidden="1" x14ac:dyDescent="0.25">
      <c r="A118" s="12" t="str">
        <f>'Drawing Submittal'!A118</f>
        <v>26-017</v>
      </c>
      <c r="B118" s="13" t="str">
        <f>_xlfn.IFNA(VLOOKUP(A118,'Date Calcs'!A:AG,2,),"")</f>
        <v>SNF</v>
      </c>
      <c r="C118" s="14">
        <f>_xlfn.IFNA(VLOOKUP(A118,'Actual Dates'!A:AE,6,),"")</f>
        <v>0</v>
      </c>
      <c r="D118" s="15">
        <f>IF(C118="  ","  ",IF(C118=0,VLOOKUP(A118,'Date Calcs'!A:AG,9,),IF(C118=1,VLOOKUP(A118,'Date Calcs'!A:AG,11,),IF(C118=2,VLOOKUP(A118,'Date Calcs'!A:AG,13,),IF(C118=3,VLOOKUP(A118,'Date Calcs'!A:AG,15,),4)))))</f>
        <v>46078</v>
      </c>
      <c r="E118" s="15" t="str">
        <f>IF(_xlfn.IFNA(IF(D118="  "," ",VLOOKUP(A118,'Actual Dates'!A:AE,20,0)),"")&lt;1,"-",_xlfn.IFNA(IF(D118="  "," ",VLOOKUP(A118,'Actual Dates'!A:AE,20,0)),""))</f>
        <v>-</v>
      </c>
      <c r="F118" s="12">
        <f ca="1">IFERROR(IF(A118="","",D118-Date!$B$3),"")</f>
        <v>-37</v>
      </c>
      <c r="G118" s="20"/>
      <c r="I118" s="21">
        <f t="shared" si="4"/>
        <v>1</v>
      </c>
      <c r="J118" s="21" t="str">
        <f t="shared" si="5"/>
        <v xml:space="preserve">  </v>
      </c>
    </row>
    <row r="119" spans="1:10" ht="23.25" hidden="1" x14ac:dyDescent="0.25">
      <c r="A119" s="12" t="str">
        <f>'Drawing Submittal'!A119</f>
        <v>26-018</v>
      </c>
      <c r="B119" s="13" t="str">
        <f>_xlfn.IFNA(VLOOKUP(A119,'Date Calcs'!A:AG,2,),"")</f>
        <v>SNF</v>
      </c>
      <c r="C119" s="14">
        <f>_xlfn.IFNA(VLOOKUP(A119,'Actual Dates'!A:AE,6,),"")</f>
        <v>0</v>
      </c>
      <c r="D119" s="15">
        <f>IF(C119="  ","  ",IF(C119=0,VLOOKUP(A119,'Date Calcs'!A:AG,9,),IF(C119=1,VLOOKUP(A119,'Date Calcs'!A:AG,11,),IF(C119=2,VLOOKUP(A119,'Date Calcs'!A:AG,13,),IF(C119=3,VLOOKUP(A119,'Date Calcs'!A:AG,15,),4)))))</f>
        <v>46078</v>
      </c>
      <c r="E119" s="15" t="str">
        <f>IF(_xlfn.IFNA(IF(D119="  "," ",VLOOKUP(A119,'Actual Dates'!A:AE,20,0)),"")&lt;1,"-",_xlfn.IFNA(IF(D119="  "," ",VLOOKUP(A119,'Actual Dates'!A:AE,20,0)),""))</f>
        <v>-</v>
      </c>
      <c r="F119" s="12">
        <f ca="1">IFERROR(IF(A119="","",D119-Date!$B$3),"")</f>
        <v>-37</v>
      </c>
      <c r="G119" s="20"/>
      <c r="I119" s="21">
        <f t="shared" si="4"/>
        <v>1</v>
      </c>
      <c r="J119" s="21" t="str">
        <f t="shared" si="5"/>
        <v xml:space="preserve">  </v>
      </c>
    </row>
    <row r="120" spans="1:10" ht="23.25" hidden="1" x14ac:dyDescent="0.25">
      <c r="A120" s="12" t="str">
        <f>'Drawing Submittal'!A120</f>
        <v>26-020</v>
      </c>
      <c r="B120" s="13" t="str">
        <f>_xlfn.IFNA(VLOOKUP(A120,'Date Calcs'!A:AG,2,),"")</f>
        <v>US Sugar</v>
      </c>
      <c r="C120" s="14">
        <f>_xlfn.IFNA(VLOOKUP(A120,'Actual Dates'!A:AE,6,),"")</f>
        <v>1</v>
      </c>
      <c r="D120" s="15">
        <f>IF(C120="  ","  ",IF(C120=0,VLOOKUP(A120,'Date Calcs'!A:AG,9,),IF(C120=1,VLOOKUP(A120,'Date Calcs'!A:AG,11,),IF(C120=2,VLOOKUP(A120,'Date Calcs'!A:AG,13,),IF(C120=3,VLOOKUP(A120,'Date Calcs'!A:AG,15,),4)))))</f>
        <v>46100</v>
      </c>
      <c r="E120" s="15">
        <f>IF(_xlfn.IFNA(IF(D120="  "," ",VLOOKUP(A120,'Actual Dates'!A:AE,20,0)),"")&lt;1,"-",_xlfn.IFNA(IF(D120="  "," ",VLOOKUP(A120,'Actual Dates'!A:AE,20,0)),""))</f>
        <v>46104</v>
      </c>
      <c r="F120" s="12">
        <f ca="1">IFERROR(IF(A120="","",D120-Date!$B$3),"")</f>
        <v>-15</v>
      </c>
      <c r="G120" s="20"/>
      <c r="I120" s="21" t="str">
        <f t="shared" si="4"/>
        <v xml:space="preserve">  </v>
      </c>
      <c r="J120" s="21" t="str">
        <f t="shared" si="5"/>
        <v>y</v>
      </c>
    </row>
    <row r="121" spans="1:10" ht="23.25" hidden="1" x14ac:dyDescent="0.25">
      <c r="A121" s="12" t="str">
        <f>'Drawing Submittal'!A121</f>
        <v>26-021</v>
      </c>
      <c r="B121" s="13" t="str">
        <f>_xlfn.IFNA(VLOOKUP(A121,'Date Calcs'!A:AG,2,),"")</f>
        <v>US Sugar</v>
      </c>
      <c r="C121" s="14">
        <f>_xlfn.IFNA(VLOOKUP(A121,'Actual Dates'!A:AE,6,),"")</f>
        <v>1</v>
      </c>
      <c r="D121" s="15">
        <f>IF(C121="  ","  ",IF(C121=0,VLOOKUP(A121,'Date Calcs'!A:AG,9,),IF(C121=1,VLOOKUP(A121,'Date Calcs'!A:AG,11,),IF(C121=2,VLOOKUP(A121,'Date Calcs'!A:AG,13,),IF(C121=3,VLOOKUP(A121,'Date Calcs'!A:AG,15,),4)))))</f>
        <v>46100</v>
      </c>
      <c r="E121" s="15">
        <f>IF(_xlfn.IFNA(IF(D121="  "," ",VLOOKUP(A121,'Actual Dates'!A:AE,20,0)),"")&lt;1,"-",_xlfn.IFNA(IF(D121="  "," ",VLOOKUP(A121,'Actual Dates'!A:AE,20,0)),""))</f>
        <v>46104</v>
      </c>
      <c r="F121" s="12">
        <f ca="1">IFERROR(IF(A121="","",D121-Date!$B$3),"")</f>
        <v>-15</v>
      </c>
      <c r="G121" s="20"/>
      <c r="I121" s="21" t="str">
        <f t="shared" si="4"/>
        <v xml:space="preserve">  </v>
      </c>
      <c r="J121" s="21" t="str">
        <f t="shared" si="5"/>
        <v>y</v>
      </c>
    </row>
    <row r="122" spans="1:10" ht="23.25" hidden="1" x14ac:dyDescent="0.25">
      <c r="A122" s="12" t="str">
        <f>'Drawing Submittal'!A122</f>
        <v>26-022</v>
      </c>
      <c r="B122" s="13" t="str">
        <f>_xlfn.IFNA(VLOOKUP(A122,'Date Calcs'!A:AG,2,),"")</f>
        <v>Andritz</v>
      </c>
      <c r="C122" s="14">
        <f>_xlfn.IFNA(VLOOKUP(A122,'Actual Dates'!A:AE,6,),"")</f>
        <v>1</v>
      </c>
      <c r="D122" s="15">
        <f>IF(C122="  ","  ",IF(C122=0,VLOOKUP(A122,'Date Calcs'!A:AG,9,),IF(C122=1,VLOOKUP(A122,'Date Calcs'!A:AG,11,),IF(C122=2,VLOOKUP(A122,'Date Calcs'!A:AG,13,),IF(C122=3,VLOOKUP(A122,'Date Calcs'!A:AG,15,),4)))))</f>
        <v>46114</v>
      </c>
      <c r="E122" s="15">
        <f>IF(_xlfn.IFNA(IF(D122="  "," ",VLOOKUP(A122,'Actual Dates'!A:AE,20,0)),"")&lt;1,"-",_xlfn.IFNA(IF(D122="  "," ",VLOOKUP(A122,'Actual Dates'!A:AE,20,0)),""))</f>
        <v>46107</v>
      </c>
      <c r="F122" s="12">
        <f ca="1">IFERROR(IF(A122="","",D122-Date!$B$3),"")</f>
        <v>-1</v>
      </c>
      <c r="G122" s="20"/>
      <c r="I122" s="21" t="str">
        <f t="shared" si="4"/>
        <v xml:space="preserve">  </v>
      </c>
      <c r="J122" s="21" t="str">
        <f t="shared" si="5"/>
        <v>y</v>
      </c>
    </row>
    <row r="123" spans="1:10" ht="23.25" hidden="1" x14ac:dyDescent="0.25">
      <c r="A123" s="12" t="str">
        <f>'Drawing Submittal'!A123</f>
        <v>26-024</v>
      </c>
      <c r="B123" s="13" t="str">
        <f>_xlfn.IFNA(VLOOKUP(A123,'Date Calcs'!A:AG,2,),"")</f>
        <v>Polynt</v>
      </c>
      <c r="C123" s="14">
        <f>_xlfn.IFNA(VLOOKUP(A123,'Actual Dates'!A:AE,6,),"")</f>
        <v>0</v>
      </c>
      <c r="D123" s="15">
        <f>IF(C123="  ","  ",IF(C123=0,VLOOKUP(A123,'Date Calcs'!A:AG,9,),IF(C123=1,VLOOKUP(A123,'Date Calcs'!A:AG,11,),IF(C123=2,VLOOKUP(A123,'Date Calcs'!A:AG,13,),IF(C123=3,VLOOKUP(A123,'Date Calcs'!A:AG,15,),4)))))</f>
        <v>46121</v>
      </c>
      <c r="E123" s="15" t="str">
        <f>IF(_xlfn.IFNA(IF(D123="  "," ",VLOOKUP(A123,'Actual Dates'!A:AE,20,0)),"")&lt;1,"-",_xlfn.IFNA(IF(D123="  "," ",VLOOKUP(A123,'Actual Dates'!A:AE,20,0)),""))</f>
        <v>-</v>
      </c>
      <c r="F123" s="12">
        <f ca="1">IFERROR(IF(A123="","",D123-Date!$B$3),"")</f>
        <v>6</v>
      </c>
      <c r="G123" s="20"/>
      <c r="I123" s="21">
        <f t="shared" si="4"/>
        <v>1</v>
      </c>
      <c r="J123" s="21" t="str">
        <f t="shared" si="5"/>
        <v xml:space="preserve">  </v>
      </c>
    </row>
    <row r="124" spans="1:10" ht="23.25" x14ac:dyDescent="0.25">
      <c r="A124" s="12" t="str">
        <f>'Drawing Submittal'!A124</f>
        <v>26-025</v>
      </c>
      <c r="B124" s="13" t="str">
        <f>_xlfn.IFNA(VLOOKUP(A124,'Date Calcs'!A:AG,2,),"")</f>
        <v>Blake &amp; Pendleton</v>
      </c>
      <c r="C124" s="14">
        <f>_xlfn.IFNA(VLOOKUP(A124,'Actual Dates'!A:AE,6,),"")</f>
        <v>0</v>
      </c>
      <c r="D124" s="15">
        <f>IF(C124="  ","  ",IF(C124=0,VLOOKUP(A124,'Date Calcs'!A:AG,9,),IF(C124=1,VLOOKUP(A124,'Date Calcs'!A:AG,11,),IF(C124=2,VLOOKUP(A124,'Date Calcs'!A:AG,13,),IF(C124=3,VLOOKUP(A124,'Date Calcs'!A:AG,15,),4)))))</f>
        <v>46127</v>
      </c>
      <c r="E124" s="15" t="str">
        <f>IF(_xlfn.IFNA(IF(D124="  "," ",VLOOKUP(A124,'Actual Dates'!A:AE,20,0)),"")&lt;1,"-",_xlfn.IFNA(IF(D124="  "," ",VLOOKUP(A124,'Actual Dates'!A:AE,20,0)),""))</f>
        <v>-</v>
      </c>
      <c r="F124" s="12">
        <f ca="1">IFERROR(IF(A124="","",D124-Date!$B$3),"")</f>
        <v>12</v>
      </c>
      <c r="G124" s="20"/>
      <c r="I124" s="21">
        <f t="shared" si="4"/>
        <v>1</v>
      </c>
      <c r="J124" s="21" t="str">
        <f t="shared" si="5"/>
        <v xml:space="preserve">  </v>
      </c>
    </row>
    <row r="125" spans="1:10" ht="23.25" hidden="1" x14ac:dyDescent="0.25">
      <c r="A125" s="12" t="str">
        <f>'Drawing Submittal'!A125</f>
        <v>26-026</v>
      </c>
      <c r="B125" s="13" t="str">
        <f>_xlfn.IFNA(VLOOKUP(A125,'Date Calcs'!A:AG,2,),"")</f>
        <v>Andritz</v>
      </c>
      <c r="C125" s="14" t="str">
        <f>_xlfn.IFNA(VLOOKUP(A125,'Actual Dates'!A:AE,6,),"")</f>
        <v xml:space="preserve">  </v>
      </c>
      <c r="D125" s="15" t="str">
        <f>IF(C125="  ","  ",IF(C125=0,VLOOKUP(A125,'Date Calcs'!A:AG,9,),IF(C125=1,VLOOKUP(A125,'Date Calcs'!A:AG,11,),IF(C125=2,VLOOKUP(A125,'Date Calcs'!A:AG,13,),IF(C125=3,VLOOKUP(A125,'Date Calcs'!A:AG,15,),4)))))</f>
        <v xml:space="preserve">  </v>
      </c>
      <c r="E125" s="15" t="str">
        <f>IF(_xlfn.IFNA(IF(D125="  "," ",VLOOKUP(A125,'Actual Dates'!A:AE,20,0)),"")&lt;1,"-",_xlfn.IFNA(IF(D125="  "," ",VLOOKUP(A125,'Actual Dates'!A:AE,20,0)),""))</f>
        <v xml:space="preserve"> </v>
      </c>
      <c r="F125" s="12" t="str">
        <f ca="1">IFERROR(IF(A125="","",D125-Date!$B$3),"")</f>
        <v/>
      </c>
      <c r="G125" s="20"/>
      <c r="I125" s="21" t="b">
        <f t="shared" ref="I125:I128" si="6">IF(C125=0,IF(VLOOKUP(A125,Dates,9,)&gt;0,1,"  "),IF(C125=1,IF(VLOOKUP(A125,Dates,11,)&gt;0,1,"  "),IF(C125=2,IF(VLOOKUP(A125,Dates,13,)&gt;0,1,"  "),IF(C125=3,IF(VLOOKUP(A125,Dates,15,)&gt;0,1,"  ")))))</f>
        <v>0</v>
      </c>
      <c r="J125" s="21" t="str">
        <f t="shared" ref="J125:J128" si="7">VLOOKUP(A125,Dates,7,)</f>
        <v>y</v>
      </c>
    </row>
    <row r="126" spans="1:10" ht="23.25" hidden="1" x14ac:dyDescent="0.25">
      <c r="A126" s="12" t="str">
        <f>'Drawing Submittal'!A126</f>
        <v>26-027</v>
      </c>
      <c r="B126" s="13" t="str">
        <f>_xlfn.IFNA(VLOOKUP(A126,'Date Calcs'!A:AG,2,),"")</f>
        <v>Kemira</v>
      </c>
      <c r="C126" s="14" t="str">
        <f>_xlfn.IFNA(VLOOKUP(A126,'Actual Dates'!A:AE,6,),"")</f>
        <v xml:space="preserve">  </v>
      </c>
      <c r="D126" s="15" t="str">
        <f>IF(C126="  ","  ",IF(C126=0,VLOOKUP(A126,'Date Calcs'!A:AG,9,),IF(C126=1,VLOOKUP(A126,'Date Calcs'!A:AG,11,),IF(C126=2,VLOOKUP(A126,'Date Calcs'!A:AG,13,),IF(C126=3,VLOOKUP(A126,'Date Calcs'!A:AG,15,),4)))))</f>
        <v xml:space="preserve">  </v>
      </c>
      <c r="E126" s="15" t="str">
        <f>IF(_xlfn.IFNA(IF(D126="  "," ",VLOOKUP(A126,'Actual Dates'!A:AE,20,0)),"")&lt;1,"-",_xlfn.IFNA(IF(D126="  "," ",VLOOKUP(A126,'Actual Dates'!A:AE,20,0)),""))</f>
        <v xml:space="preserve"> </v>
      </c>
      <c r="F126" s="12" t="str">
        <f ca="1">IFERROR(IF(A126="","",D126-Date!$B$3),"")</f>
        <v/>
      </c>
      <c r="G126" s="20"/>
      <c r="I126" s="21" t="b">
        <f t="shared" si="6"/>
        <v>0</v>
      </c>
      <c r="J126" s="21" t="str">
        <f t="shared" si="7"/>
        <v xml:space="preserve">  </v>
      </c>
    </row>
    <row r="127" spans="1:10" ht="23.25" hidden="1" x14ac:dyDescent="0.25">
      <c r="A127" s="12" t="str">
        <f>'Drawing Submittal'!A127</f>
        <v>26-028</v>
      </c>
      <c r="B127" s="13" t="str">
        <f>_xlfn.IFNA(VLOOKUP(A127,'Date Calcs'!A:AG,2,),"")</f>
        <v>Kemira</v>
      </c>
      <c r="C127" s="14" t="str">
        <f>_xlfn.IFNA(VLOOKUP(A127,'Actual Dates'!A:AE,6,),"")</f>
        <v xml:space="preserve">  </v>
      </c>
      <c r="D127" s="15" t="str">
        <f>IF(C127="  ","  ",IF(C127=0,VLOOKUP(A127,'Date Calcs'!A:AG,9,),IF(C127=1,VLOOKUP(A127,'Date Calcs'!A:AG,11,),IF(C127=2,VLOOKUP(A127,'Date Calcs'!A:AG,13,),IF(C127=3,VLOOKUP(A127,'Date Calcs'!A:AG,15,),4)))))</f>
        <v xml:space="preserve">  </v>
      </c>
      <c r="E127" s="15" t="str">
        <f>IF(_xlfn.IFNA(IF(D127="  "," ",VLOOKUP(A127,'Actual Dates'!A:AE,20,0)),"")&lt;1,"-",_xlfn.IFNA(IF(D127="  "," ",VLOOKUP(A127,'Actual Dates'!A:AE,20,0)),""))</f>
        <v xml:space="preserve"> </v>
      </c>
      <c r="F127" s="12" t="str">
        <f ca="1">IFERROR(IF(A127="","",D127-Date!$B$3),"")</f>
        <v/>
      </c>
      <c r="G127" s="20"/>
      <c r="I127" s="21" t="b">
        <f t="shared" si="6"/>
        <v>0</v>
      </c>
      <c r="J127" s="21" t="str">
        <f t="shared" si="7"/>
        <v xml:space="preserve">  </v>
      </c>
    </row>
    <row r="128" spans="1:10" ht="23.25" hidden="1" x14ac:dyDescent="0.25">
      <c r="A128" s="12" t="str">
        <f>'Drawing Submittal'!A128</f>
        <v>26-030</v>
      </c>
      <c r="B128" s="13" t="str">
        <f>_xlfn.IFNA(VLOOKUP(A128,'Date Calcs'!A:AG,2,),"")</f>
        <v>Symrise</v>
      </c>
      <c r="C128" s="14">
        <f>_xlfn.IFNA(VLOOKUP(A128,'Actual Dates'!A:AE,6,),"")</f>
        <v>0</v>
      </c>
      <c r="D128" s="15">
        <f>IF(C128="  ","  ",IF(C128=0,VLOOKUP(A128,'Date Calcs'!A:AG,9,),IF(C128=1,VLOOKUP(A128,'Date Calcs'!A:AG,11,),IF(C128=2,VLOOKUP(A128,'Date Calcs'!A:AG,13,),IF(C128=3,VLOOKUP(A128,'Date Calcs'!A:AG,15,),4)))))</f>
        <v>46119</v>
      </c>
      <c r="E128" s="15" t="str">
        <f>IF(_xlfn.IFNA(IF(D128="  "," ",VLOOKUP(A128,'Actual Dates'!A:AE,20,0)),"")&lt;1,"-",_xlfn.IFNA(IF(D128="  "," ",VLOOKUP(A128,'Actual Dates'!A:AE,20,0)),""))</f>
        <v>-</v>
      </c>
      <c r="F128" s="12">
        <f ca="1">IFERROR(IF(A128="","",D128-Date!$B$3),"")</f>
        <v>4</v>
      </c>
      <c r="G128" s="20"/>
      <c r="I128" s="21">
        <f t="shared" si="6"/>
        <v>1</v>
      </c>
      <c r="J128" s="21" t="str">
        <f t="shared" si="7"/>
        <v xml:space="preserve">  </v>
      </c>
    </row>
    <row r="129" spans="1:10" ht="23.25" hidden="1" x14ac:dyDescent="0.25">
      <c r="A129" s="12" t="str">
        <f>'Drawing Submittal'!A129</f>
        <v>26-031</v>
      </c>
      <c r="B129" s="13" t="str">
        <f>_xlfn.IFNA(VLOOKUP(A129,'Date Calcs'!A:AG,2,),"")</f>
        <v>Sysenqo</v>
      </c>
      <c r="C129" s="14" t="str">
        <f>_xlfn.IFNA(VLOOKUP(A129,'Actual Dates'!A:AE,6,),"")</f>
        <v xml:space="preserve">  </v>
      </c>
      <c r="D129" s="15" t="str">
        <f>IF(C129="  ","  ",IF(C129=0,VLOOKUP(A129,'Date Calcs'!A:AG,9,),IF(C129=1,VLOOKUP(A129,'Date Calcs'!A:AG,11,),IF(C129=2,VLOOKUP(A129,'Date Calcs'!A:AG,13,),IF(C129=3,VLOOKUP(A129,'Date Calcs'!A:AG,15,),4)))))</f>
        <v xml:space="preserve">  </v>
      </c>
      <c r="E129" s="15" t="str">
        <f>IF(_xlfn.IFNA(IF(D129="  "," ",VLOOKUP(A129,'Actual Dates'!A:AE,20,0)),"")&lt;1,"-",_xlfn.IFNA(IF(D129="  "," ",VLOOKUP(A129,'Actual Dates'!A:AE,20,0)),""))</f>
        <v xml:space="preserve"> </v>
      </c>
      <c r="F129" s="12" t="str">
        <f ca="1">IFERROR(IF(A129="","",D129-Date!$B$3),"")</f>
        <v/>
      </c>
      <c r="G129" s="20"/>
      <c r="I129" s="21" t="b">
        <f t="shared" si="3"/>
        <v>0</v>
      </c>
      <c r="J129" s="21" t="str">
        <f t="shared" ref="J129:J175" si="8">VLOOKUP(A129,Dates,7,)</f>
        <v xml:space="preserve">  </v>
      </c>
    </row>
    <row r="130" spans="1:10" ht="23.25" hidden="1" x14ac:dyDescent="0.25">
      <c r="A130" s="12" t="str">
        <f>'Drawing Submittal'!A130</f>
        <v>26-032</v>
      </c>
      <c r="B130" s="13" t="str">
        <f>_xlfn.IFNA(VLOOKUP(A130,'Date Calcs'!A:AG,2,),"")</f>
        <v>Kimberly-Clark</v>
      </c>
      <c r="C130" s="14" t="str">
        <f>_xlfn.IFNA(VLOOKUP(A130,'Actual Dates'!A:AE,6,),"")</f>
        <v xml:space="preserve">  </v>
      </c>
      <c r="D130" s="15" t="str">
        <f>IF(C130="  ","  ",IF(C130=0,VLOOKUP(A130,'Date Calcs'!A:AG,9,),IF(C130=1,VLOOKUP(A130,'Date Calcs'!A:AG,11,),IF(C130=2,VLOOKUP(A130,'Date Calcs'!A:AG,13,),IF(C130=3,VLOOKUP(A130,'Date Calcs'!A:AG,15,),4)))))</f>
        <v xml:space="preserve">  </v>
      </c>
      <c r="E130" s="15" t="str">
        <f>IF(_xlfn.IFNA(IF(D130="  "," ",VLOOKUP(A130,'Actual Dates'!A:AE,20,0)),"")&lt;1,"-",_xlfn.IFNA(IF(D130="  "," ",VLOOKUP(A130,'Actual Dates'!A:AE,20,0)),""))</f>
        <v xml:space="preserve"> </v>
      </c>
      <c r="F130" s="12" t="str">
        <f ca="1">IFERROR(IF(A130="","",D130-Date!$B$3),"")</f>
        <v/>
      </c>
      <c r="G130" s="20"/>
      <c r="I130" s="21" t="b">
        <f t="shared" si="3"/>
        <v>0</v>
      </c>
      <c r="J130" s="21" t="str">
        <f t="shared" si="8"/>
        <v xml:space="preserve">  </v>
      </c>
    </row>
    <row r="131" spans="1:10" ht="23.25" hidden="1" x14ac:dyDescent="0.25">
      <c r="A131" s="12" t="str">
        <f>'Drawing Submittal'!A131</f>
        <v>26-033</v>
      </c>
      <c r="B131" s="13" t="str">
        <f>_xlfn.IFNA(VLOOKUP(A131,'Date Calcs'!A:AG,2,),"")</f>
        <v>Kimberly-Clark</v>
      </c>
      <c r="C131" s="14" t="str">
        <f>_xlfn.IFNA(VLOOKUP(A131,'Actual Dates'!A:AE,6,),"")</f>
        <v xml:space="preserve">  </v>
      </c>
      <c r="D131" s="15" t="str">
        <f>IF(C131="  ","  ",IF(C131=0,VLOOKUP(A131,'Date Calcs'!A:AG,9,),IF(C131=1,VLOOKUP(A131,'Date Calcs'!A:AG,11,),IF(C131=2,VLOOKUP(A131,'Date Calcs'!A:AG,13,),IF(C131=3,VLOOKUP(A131,'Date Calcs'!A:AG,15,),4)))))</f>
        <v xml:space="preserve">  </v>
      </c>
      <c r="E131" s="15" t="str">
        <f>IF(_xlfn.IFNA(IF(D131="  "," ",VLOOKUP(A131,'Actual Dates'!A:AE,20,0)),"")&lt;1,"-",_xlfn.IFNA(IF(D131="  "," ",VLOOKUP(A131,'Actual Dates'!A:AE,20,0)),""))</f>
        <v xml:space="preserve"> </v>
      </c>
      <c r="F131" s="12" t="str">
        <f ca="1">IFERROR(IF(A131="","",D131-Date!$B$3),"")</f>
        <v/>
      </c>
      <c r="G131" s="20"/>
      <c r="I131" s="21" t="b">
        <f t="shared" si="3"/>
        <v>0</v>
      </c>
      <c r="J131" s="21" t="str">
        <f t="shared" si="8"/>
        <v xml:space="preserve">  </v>
      </c>
    </row>
    <row r="132" spans="1:10" ht="23.25" hidden="1" x14ac:dyDescent="0.25">
      <c r="A132" s="12">
        <f>'Drawing Submittal'!A132</f>
        <v>0</v>
      </c>
      <c r="B132" s="13" t="str">
        <f>_xlfn.IFNA(VLOOKUP(A132,'Date Calcs'!A:AG,2,),"")</f>
        <v/>
      </c>
      <c r="C132" s="14" t="str">
        <f>_xlfn.IFNA(VLOOKUP(A132,'Actual Dates'!A:AE,6,),"")</f>
        <v xml:space="preserve">  </v>
      </c>
      <c r="D132" s="15" t="str">
        <f>IF(C132="  ","  ",IF(C132=0,VLOOKUP(A132,'Date Calcs'!A:AG,9,),IF(C132=1,VLOOKUP(A132,'Date Calcs'!A:AG,11,),IF(C132=2,VLOOKUP(A132,'Date Calcs'!A:AG,13,),IF(C132=3,VLOOKUP(A132,'Date Calcs'!A:AG,15,),4)))))</f>
        <v xml:space="preserve">  </v>
      </c>
      <c r="E132" s="15" t="str">
        <f>IF(_xlfn.IFNA(IF(D132="  "," ",VLOOKUP(A132,'Actual Dates'!A:AE,20,0)),"")&lt;1,"-",_xlfn.IFNA(IF(D132="  "," ",VLOOKUP(A132,'Actual Dates'!A:AE,20,0)),""))</f>
        <v xml:space="preserve"> </v>
      </c>
      <c r="F132" s="12" t="str">
        <f ca="1">IFERROR(IF(A132="","",D132-Date!$B$3),"")</f>
        <v/>
      </c>
      <c r="G132" s="20"/>
      <c r="I132" s="21" t="b">
        <f t="shared" si="3"/>
        <v>0</v>
      </c>
      <c r="J132" s="21" t="str">
        <f t="shared" si="8"/>
        <v xml:space="preserve">  </v>
      </c>
    </row>
    <row r="133" spans="1:10" ht="23.25" hidden="1" x14ac:dyDescent="0.25">
      <c r="A133" s="12">
        <f>'Drawing Submittal'!A133</f>
        <v>0</v>
      </c>
      <c r="B133" s="13" t="str">
        <f>_xlfn.IFNA(VLOOKUP(A133,'Date Calcs'!A:AG,2,),"")</f>
        <v/>
      </c>
      <c r="C133" s="14" t="str">
        <f>_xlfn.IFNA(VLOOKUP(A133,'Actual Dates'!A:AE,6,),"")</f>
        <v xml:space="preserve">  </v>
      </c>
      <c r="D133" s="15" t="str">
        <f>IF(C133="  ","  ",IF(C133=0,VLOOKUP(A133,'Date Calcs'!A:AG,9,),IF(C133=1,VLOOKUP(A133,'Date Calcs'!A:AG,11,),IF(C133=2,VLOOKUP(A133,'Date Calcs'!A:AG,13,),IF(C133=3,VLOOKUP(A133,'Date Calcs'!A:AG,15,),4)))))</f>
        <v xml:space="preserve">  </v>
      </c>
      <c r="E133" s="15" t="str">
        <f>IF(_xlfn.IFNA(IF(D133="  "," ",VLOOKUP(A133,'Actual Dates'!A:AE,20,0)),"")&lt;1,"-",_xlfn.IFNA(IF(D133="  "," ",VLOOKUP(A133,'Actual Dates'!A:AE,20,0)),""))</f>
        <v xml:space="preserve"> </v>
      </c>
      <c r="F133" s="12" t="str">
        <f ca="1">IFERROR(IF(A133="","",D133-Date!$B$3),"")</f>
        <v/>
      </c>
      <c r="G133" s="20"/>
      <c r="I133" s="21" t="b">
        <f t="shared" si="3"/>
        <v>0</v>
      </c>
      <c r="J133" s="21" t="str">
        <f t="shared" si="8"/>
        <v xml:space="preserve">  </v>
      </c>
    </row>
    <row r="134" spans="1:10" ht="23.25" hidden="1" x14ac:dyDescent="0.25">
      <c r="A134" s="12">
        <f>'Drawing Submittal'!A134</f>
        <v>0</v>
      </c>
      <c r="B134" s="13" t="str">
        <f>_xlfn.IFNA(VLOOKUP(A134,'Date Calcs'!A:AG,2,),"")</f>
        <v/>
      </c>
      <c r="C134" s="14" t="str">
        <f>_xlfn.IFNA(VLOOKUP(A134,'Actual Dates'!A:AE,6,),"")</f>
        <v xml:space="preserve">  </v>
      </c>
      <c r="D134" s="15" t="str">
        <f>IF(C134="  ","  ",IF(C134=0,VLOOKUP(A134,'Date Calcs'!A:AG,9,),IF(C134=1,VLOOKUP(A134,'Date Calcs'!A:AG,11,),IF(C134=2,VLOOKUP(A134,'Date Calcs'!A:AG,13,),IF(C134=3,VLOOKUP(A134,'Date Calcs'!A:AG,15,),4)))))</f>
        <v xml:space="preserve">  </v>
      </c>
      <c r="E134" s="15" t="str">
        <f>IF(_xlfn.IFNA(IF(D134="  "," ",VLOOKUP(A134,'Actual Dates'!A:AE,20,0)),"")&lt;1,"-",_xlfn.IFNA(IF(D134="  "," ",VLOOKUP(A134,'Actual Dates'!A:AE,20,0)),""))</f>
        <v xml:space="preserve"> </v>
      </c>
      <c r="F134" s="12" t="str">
        <f ca="1">IFERROR(IF(A134="","",D134-Date!$B$3),"")</f>
        <v/>
      </c>
      <c r="G134" s="20"/>
      <c r="I134" s="21" t="b">
        <f t="shared" ref="I134:I197" si="9">IF(C134=0,IF(VLOOKUP(A134,Dates,9,)&gt;0,1,"  "),IF(C134=1,IF(VLOOKUP(A134,Dates,11,)&gt;0,1,"  "),IF(C134=2,IF(VLOOKUP(A134,Dates,13,)&gt;0,1,"  "),IF(C134=3,IF(VLOOKUP(A134,Dates,15,)&gt;0,1,"  ")))))</f>
        <v>0</v>
      </c>
      <c r="J134" s="21" t="str">
        <f t="shared" si="8"/>
        <v xml:space="preserve">  </v>
      </c>
    </row>
    <row r="135" spans="1:10" ht="23.25" hidden="1" x14ac:dyDescent="0.25">
      <c r="A135" s="12">
        <f>'Drawing Submittal'!A135</f>
        <v>0</v>
      </c>
      <c r="B135" s="13" t="str">
        <f>_xlfn.IFNA(VLOOKUP(A135,'Date Calcs'!A:AG,2,),"")</f>
        <v/>
      </c>
      <c r="C135" s="14" t="str">
        <f>_xlfn.IFNA(VLOOKUP(A135,'Actual Dates'!A:AE,6,),"")</f>
        <v xml:space="preserve">  </v>
      </c>
      <c r="D135" s="15" t="str">
        <f>IF(C135="  ","  ",IF(C135=0,VLOOKUP(A135,'Date Calcs'!A:AG,9,),IF(C135=1,VLOOKUP(A135,'Date Calcs'!A:AG,11,),IF(C135=2,VLOOKUP(A135,'Date Calcs'!A:AG,13,),IF(C135=3,VLOOKUP(A135,'Date Calcs'!A:AG,15,),4)))))</f>
        <v xml:space="preserve">  </v>
      </c>
      <c r="E135" s="15" t="str">
        <f>IF(_xlfn.IFNA(IF(D135="  "," ",VLOOKUP(A135,'Actual Dates'!A:AE,20,0)),"")&lt;1,"-",_xlfn.IFNA(IF(D135="  "," ",VLOOKUP(A135,'Actual Dates'!A:AE,20,0)),""))</f>
        <v xml:space="preserve"> </v>
      </c>
      <c r="F135" s="12" t="str">
        <f ca="1">IFERROR(IF(A135="","",D135-Date!$B$3),"")</f>
        <v/>
      </c>
      <c r="G135" s="20"/>
      <c r="I135" s="21" t="b">
        <f t="shared" si="9"/>
        <v>0</v>
      </c>
      <c r="J135" s="21" t="str">
        <f t="shared" si="8"/>
        <v xml:space="preserve">  </v>
      </c>
    </row>
    <row r="136" spans="1:10" ht="23.25" hidden="1" x14ac:dyDescent="0.25">
      <c r="A136" s="12">
        <f>'Drawing Submittal'!A136</f>
        <v>0</v>
      </c>
      <c r="B136" s="13" t="str">
        <f>_xlfn.IFNA(VLOOKUP(A136,'Date Calcs'!A:AG,2,),"")</f>
        <v/>
      </c>
      <c r="C136" s="14" t="str">
        <f>_xlfn.IFNA(VLOOKUP(A136,'Actual Dates'!A:AE,6,),"")</f>
        <v xml:space="preserve">  </v>
      </c>
      <c r="D136" s="15" t="str">
        <f>IF(C136="  ","  ",IF(C136=0,VLOOKUP(A136,'Date Calcs'!A:AG,9,),IF(C136=1,VLOOKUP(A136,'Date Calcs'!A:AG,11,),IF(C136=2,VLOOKUP(A136,'Date Calcs'!A:AG,13,),IF(C136=3,VLOOKUP(A136,'Date Calcs'!A:AG,15,),4)))))</f>
        <v xml:space="preserve">  </v>
      </c>
      <c r="E136" s="15" t="str">
        <f>IF(_xlfn.IFNA(IF(D136="  "," ",VLOOKUP(A136,'Actual Dates'!A:AE,20,0)),"")&lt;1,"-",_xlfn.IFNA(IF(D136="  "," ",VLOOKUP(A136,'Actual Dates'!A:AE,20,0)),""))</f>
        <v xml:space="preserve"> </v>
      </c>
      <c r="F136" s="12" t="str">
        <f ca="1">IFERROR(IF(A136="","",D136-Date!$B$3),"")</f>
        <v/>
      </c>
      <c r="G136" s="20"/>
      <c r="I136" s="21" t="b">
        <f t="shared" si="9"/>
        <v>0</v>
      </c>
      <c r="J136" s="21" t="str">
        <f t="shared" si="8"/>
        <v xml:space="preserve">  </v>
      </c>
    </row>
    <row r="137" spans="1:10" ht="23.25" hidden="1" x14ac:dyDescent="0.25">
      <c r="A137" s="12">
        <f>'Drawing Submittal'!A137</f>
        <v>0</v>
      </c>
      <c r="B137" s="13" t="str">
        <f>_xlfn.IFNA(VLOOKUP(A137,'Date Calcs'!A:AG,2,),"")</f>
        <v/>
      </c>
      <c r="C137" s="14" t="str">
        <f>_xlfn.IFNA(VLOOKUP(A137,'Actual Dates'!A:AE,6,),"")</f>
        <v xml:space="preserve">  </v>
      </c>
      <c r="D137" s="15" t="str">
        <f>IF(C137="  ","  ",IF(C137=0,VLOOKUP(A137,'Date Calcs'!A:AG,9,),IF(C137=1,VLOOKUP(A137,'Date Calcs'!A:AG,11,),IF(C137=2,VLOOKUP(A137,'Date Calcs'!A:AG,13,),IF(C137=3,VLOOKUP(A137,'Date Calcs'!A:AG,15,),4)))))</f>
        <v xml:space="preserve">  </v>
      </c>
      <c r="E137" s="15" t="str">
        <f>IF(_xlfn.IFNA(IF(D137="  "," ",VLOOKUP(A137,'Actual Dates'!A:AE,20,0)),"")&lt;1,"-",_xlfn.IFNA(IF(D137="  "," ",VLOOKUP(A137,'Actual Dates'!A:AE,20,0)),""))</f>
        <v xml:space="preserve"> </v>
      </c>
      <c r="F137" s="12" t="str">
        <f ca="1">IFERROR(IF(A137="","",D137-Date!$B$3),"")</f>
        <v/>
      </c>
      <c r="G137" s="20"/>
      <c r="I137" s="21" t="b">
        <f t="shared" si="9"/>
        <v>0</v>
      </c>
      <c r="J137" s="21" t="str">
        <f t="shared" si="8"/>
        <v xml:space="preserve">  </v>
      </c>
    </row>
    <row r="138" spans="1:10" ht="23.25" hidden="1" x14ac:dyDescent="0.25">
      <c r="A138" s="12">
        <f>'Drawing Submittal'!A138</f>
        <v>0</v>
      </c>
      <c r="B138" s="13" t="str">
        <f>_xlfn.IFNA(VLOOKUP(A138,'Date Calcs'!A:AG,2,),"")</f>
        <v/>
      </c>
      <c r="C138" s="14" t="str">
        <f>_xlfn.IFNA(VLOOKUP(A138,'Actual Dates'!A:AE,6,),"")</f>
        <v xml:space="preserve">  </v>
      </c>
      <c r="D138" s="15" t="str">
        <f>IF(C138="  ","  ",IF(C138=0,VLOOKUP(A138,'Date Calcs'!A:AG,9,),IF(C138=1,VLOOKUP(A138,'Date Calcs'!A:AG,11,),IF(C138=2,VLOOKUP(A138,'Date Calcs'!A:AG,13,),IF(C138=3,VLOOKUP(A138,'Date Calcs'!A:AG,15,),4)))))</f>
        <v xml:space="preserve">  </v>
      </c>
      <c r="E138" s="15" t="str">
        <f>IF(_xlfn.IFNA(IF(D138="  "," ",VLOOKUP(A138,'Actual Dates'!A:AE,20,0)),"")&lt;1,"-",_xlfn.IFNA(IF(D138="  "," ",VLOOKUP(A138,'Actual Dates'!A:AE,20,0)),""))</f>
        <v xml:space="preserve"> </v>
      </c>
      <c r="F138" s="12" t="str">
        <f ca="1">IFERROR(IF(A138="","",D138-Date!$B$3),"")</f>
        <v/>
      </c>
      <c r="G138" s="20"/>
      <c r="I138" s="21" t="b">
        <f t="shared" si="9"/>
        <v>0</v>
      </c>
      <c r="J138" s="21" t="str">
        <f t="shared" si="8"/>
        <v xml:space="preserve">  </v>
      </c>
    </row>
    <row r="139" spans="1:10" ht="23.25" hidden="1" x14ac:dyDescent="0.25">
      <c r="A139" s="12">
        <f>'Drawing Submittal'!A139</f>
        <v>0</v>
      </c>
      <c r="B139" s="13" t="str">
        <f>_xlfn.IFNA(VLOOKUP(A139,'Date Calcs'!A:AG,2,),"")</f>
        <v/>
      </c>
      <c r="C139" s="14" t="str">
        <f>_xlfn.IFNA(VLOOKUP(A139,'Actual Dates'!A:AE,6,),"")</f>
        <v xml:space="preserve">  </v>
      </c>
      <c r="D139" s="15" t="str">
        <f>IF(C139="  ","  ",IF(C139=0,VLOOKUP(A139,'Date Calcs'!A:AG,9,),IF(C139=1,VLOOKUP(A139,'Date Calcs'!A:AG,11,),IF(C139=2,VLOOKUP(A139,'Date Calcs'!A:AG,13,),IF(C139=3,VLOOKUP(A139,'Date Calcs'!A:AG,15,),4)))))</f>
        <v xml:space="preserve">  </v>
      </c>
      <c r="E139" s="15" t="str">
        <f>IF(_xlfn.IFNA(IF(D139="  "," ",VLOOKUP(A139,'Actual Dates'!A:AE,20,0)),"")&lt;1,"-",_xlfn.IFNA(IF(D139="  "," ",VLOOKUP(A139,'Actual Dates'!A:AE,20,0)),""))</f>
        <v xml:space="preserve"> </v>
      </c>
      <c r="F139" s="12" t="str">
        <f ca="1">IFERROR(IF(A139="","",D139-Date!$B$3),"")</f>
        <v/>
      </c>
      <c r="G139" s="20"/>
      <c r="I139" s="21" t="b">
        <f t="shared" si="9"/>
        <v>0</v>
      </c>
      <c r="J139" s="21" t="str">
        <f t="shared" si="8"/>
        <v xml:space="preserve">  </v>
      </c>
    </row>
    <row r="140" spans="1:10" ht="23.25" hidden="1" x14ac:dyDescent="0.25">
      <c r="A140" s="12">
        <f>'Drawing Submittal'!A140</f>
        <v>0</v>
      </c>
      <c r="B140" s="13" t="str">
        <f>_xlfn.IFNA(VLOOKUP(A140,'Date Calcs'!A:AG,2,),"")</f>
        <v/>
      </c>
      <c r="C140" s="14" t="str">
        <f>_xlfn.IFNA(VLOOKUP(A140,'Actual Dates'!A:AE,6,),"")</f>
        <v xml:space="preserve">  </v>
      </c>
      <c r="D140" s="15" t="str">
        <f>IF(C140="  ","  ",IF(C140=0,VLOOKUP(A140,'Date Calcs'!A:AG,9,),IF(C140=1,VLOOKUP(A140,'Date Calcs'!A:AG,11,),IF(C140=2,VLOOKUP(A140,'Date Calcs'!A:AG,13,),IF(C140=3,VLOOKUP(A140,'Date Calcs'!A:AG,15,),4)))))</f>
        <v xml:space="preserve">  </v>
      </c>
      <c r="E140" s="15" t="str">
        <f>IF(_xlfn.IFNA(IF(D140="  "," ",VLOOKUP(A140,'Actual Dates'!A:AE,20,0)),"")&lt;1,"-",_xlfn.IFNA(IF(D140="  "," ",VLOOKUP(A140,'Actual Dates'!A:AE,20,0)),""))</f>
        <v xml:space="preserve"> </v>
      </c>
      <c r="F140" s="12" t="str">
        <f ca="1">IFERROR(IF(A140="","",D140-Date!$B$3),"")</f>
        <v/>
      </c>
      <c r="G140" s="20"/>
      <c r="I140" s="21" t="b">
        <f t="shared" si="9"/>
        <v>0</v>
      </c>
      <c r="J140" s="21" t="str">
        <f t="shared" si="8"/>
        <v xml:space="preserve">  </v>
      </c>
    </row>
    <row r="141" spans="1:10" ht="23.25" hidden="1" x14ac:dyDescent="0.25">
      <c r="A141" s="12">
        <f>'Drawing Submittal'!A141</f>
        <v>0</v>
      </c>
      <c r="B141" s="13" t="str">
        <f>_xlfn.IFNA(VLOOKUP(A141,'Date Calcs'!A:AG,2,),"")</f>
        <v/>
      </c>
      <c r="C141" s="14" t="str">
        <f>_xlfn.IFNA(VLOOKUP(A141,'Actual Dates'!A:AE,6,),"")</f>
        <v xml:space="preserve">  </v>
      </c>
      <c r="D141" s="15" t="str">
        <f>IF(C141="  ","  ",IF(C141=0,VLOOKUP(A141,'Date Calcs'!A:AG,9,),IF(C141=1,VLOOKUP(A141,'Date Calcs'!A:AG,11,),IF(C141=2,VLOOKUP(A141,'Date Calcs'!A:AG,13,),IF(C141=3,VLOOKUP(A141,'Date Calcs'!A:AG,15,),4)))))</f>
        <v xml:space="preserve">  </v>
      </c>
      <c r="E141" s="15" t="str">
        <f>IF(_xlfn.IFNA(IF(D141="  "," ",VLOOKUP(A141,'Actual Dates'!A:AE,20,0)),"")&lt;1,"-",_xlfn.IFNA(IF(D141="  "," ",VLOOKUP(A141,'Actual Dates'!A:AE,20,0)),""))</f>
        <v xml:space="preserve"> </v>
      </c>
      <c r="F141" s="12" t="str">
        <f ca="1">IFERROR(IF(A141="","",D141-Date!$B$3),"")</f>
        <v/>
      </c>
      <c r="G141" s="20"/>
      <c r="I141" s="21" t="b">
        <f t="shared" si="9"/>
        <v>0</v>
      </c>
      <c r="J141" s="21" t="str">
        <f t="shared" si="8"/>
        <v xml:space="preserve">  </v>
      </c>
    </row>
    <row r="142" spans="1:10" ht="23.25" hidden="1" x14ac:dyDescent="0.25">
      <c r="A142" s="12">
        <f>'Drawing Submittal'!A142</f>
        <v>0</v>
      </c>
      <c r="B142" s="13" t="str">
        <f>_xlfn.IFNA(VLOOKUP(A142,'Date Calcs'!A:AG,2,),"")</f>
        <v/>
      </c>
      <c r="C142" s="14" t="str">
        <f>_xlfn.IFNA(VLOOKUP(A142,'Actual Dates'!A:AE,6,),"")</f>
        <v xml:space="preserve">  </v>
      </c>
      <c r="D142" s="15" t="str">
        <f>IF(C142="  ","  ",IF(C142=0,VLOOKUP(A142,'Date Calcs'!A:AG,9,),IF(C142=1,VLOOKUP(A142,'Date Calcs'!A:AG,11,),IF(C142=2,VLOOKUP(A142,'Date Calcs'!A:AG,13,),IF(C142=3,VLOOKUP(A142,'Date Calcs'!A:AG,15,),4)))))</f>
        <v xml:space="preserve">  </v>
      </c>
      <c r="E142" s="15" t="str">
        <f>IF(_xlfn.IFNA(IF(D142="  "," ",VLOOKUP(A142,'Actual Dates'!A:AE,20,0)),"")&lt;1,"-",_xlfn.IFNA(IF(D142="  "," ",VLOOKUP(A142,'Actual Dates'!A:AE,20,0)),""))</f>
        <v xml:space="preserve"> </v>
      </c>
      <c r="F142" s="12" t="str">
        <f ca="1">IFERROR(IF(A142="","",D142-Date!$B$3),"")</f>
        <v/>
      </c>
      <c r="G142" s="20"/>
      <c r="I142" s="21" t="b">
        <f t="shared" si="9"/>
        <v>0</v>
      </c>
      <c r="J142" s="21" t="str">
        <f t="shared" si="8"/>
        <v xml:space="preserve">  </v>
      </c>
    </row>
    <row r="143" spans="1:10" ht="23.25" hidden="1" x14ac:dyDescent="0.25">
      <c r="A143" s="12">
        <f>'Drawing Submittal'!A143</f>
        <v>0</v>
      </c>
      <c r="B143" s="13" t="str">
        <f>_xlfn.IFNA(VLOOKUP(A143,'Date Calcs'!A:AG,2,),"")</f>
        <v/>
      </c>
      <c r="C143" s="14" t="str">
        <f>_xlfn.IFNA(VLOOKUP(A143,'Actual Dates'!A:AE,6,),"")</f>
        <v xml:space="preserve">  </v>
      </c>
      <c r="D143" s="15" t="str">
        <f>IF(C143="  ","  ",IF(C143=0,VLOOKUP(A143,'Date Calcs'!A:AG,9,),IF(C143=1,VLOOKUP(A143,'Date Calcs'!A:AG,11,),IF(C143=2,VLOOKUP(A143,'Date Calcs'!A:AG,13,),IF(C143=3,VLOOKUP(A143,'Date Calcs'!A:AG,15,),4)))))</f>
        <v xml:space="preserve">  </v>
      </c>
      <c r="E143" s="15" t="str">
        <f>IF(_xlfn.IFNA(IF(D143="  "," ",VLOOKUP(A143,'Actual Dates'!A:AE,20,0)),"")&lt;1,"-",_xlfn.IFNA(IF(D143="  "," ",VLOOKUP(A143,'Actual Dates'!A:AE,20,0)),""))</f>
        <v xml:space="preserve"> </v>
      </c>
      <c r="F143" s="12" t="str">
        <f ca="1">IFERROR(IF(A143="","",D143-Date!$B$3),"")</f>
        <v/>
      </c>
      <c r="G143" s="20"/>
      <c r="I143" s="21" t="b">
        <f t="shared" si="9"/>
        <v>0</v>
      </c>
      <c r="J143" s="21" t="str">
        <f t="shared" si="8"/>
        <v xml:space="preserve">  </v>
      </c>
    </row>
    <row r="144" spans="1:10" ht="23.25" hidden="1" x14ac:dyDescent="0.25">
      <c r="A144" s="12">
        <f>'Drawing Submittal'!A144</f>
        <v>0</v>
      </c>
      <c r="B144" s="13" t="str">
        <f>_xlfn.IFNA(VLOOKUP(A144,'Date Calcs'!A:AG,2,),"")</f>
        <v/>
      </c>
      <c r="C144" s="14" t="str">
        <f>_xlfn.IFNA(VLOOKUP(A144,'Actual Dates'!A:AE,6,),"")</f>
        <v xml:space="preserve">  </v>
      </c>
      <c r="D144" s="15" t="str">
        <f>IF(C144="  ","  ",IF(C144=0,VLOOKUP(A144,'Date Calcs'!A:AG,9,),IF(C144=1,VLOOKUP(A144,'Date Calcs'!A:AG,11,),IF(C144=2,VLOOKUP(A144,'Date Calcs'!A:AG,13,),IF(C144=3,VLOOKUP(A144,'Date Calcs'!A:AG,15,),4)))))</f>
        <v xml:space="preserve">  </v>
      </c>
      <c r="E144" s="15" t="str">
        <f>IF(_xlfn.IFNA(IF(D144="  "," ",VLOOKUP(A144,'Actual Dates'!A:AE,20,0)),"")&lt;1,"-",_xlfn.IFNA(IF(D144="  "," ",VLOOKUP(A144,'Actual Dates'!A:AE,20,0)),""))</f>
        <v xml:space="preserve"> </v>
      </c>
      <c r="F144" s="12" t="str">
        <f ca="1">IFERROR(IF(A144="","",D144-Date!$B$3),"")</f>
        <v/>
      </c>
      <c r="G144" s="20"/>
      <c r="I144" s="21" t="b">
        <f t="shared" si="9"/>
        <v>0</v>
      </c>
      <c r="J144" s="21" t="str">
        <f t="shared" si="8"/>
        <v xml:space="preserve">  </v>
      </c>
    </row>
    <row r="145" spans="1:10" ht="23.25" hidden="1" x14ac:dyDescent="0.25">
      <c r="A145" s="12">
        <f>'Drawing Submittal'!A145</f>
        <v>0</v>
      </c>
      <c r="B145" s="13" t="str">
        <f>_xlfn.IFNA(VLOOKUP(A145,'Date Calcs'!A:AG,2,),"")</f>
        <v/>
      </c>
      <c r="C145" s="14" t="str">
        <f>_xlfn.IFNA(VLOOKUP(A145,'Actual Dates'!A:AE,6,),"")</f>
        <v xml:space="preserve">  </v>
      </c>
      <c r="D145" s="15" t="str">
        <f>IF(C145="  ","  ",IF(C145=0,VLOOKUP(A145,'Date Calcs'!A:AG,9,),IF(C145=1,VLOOKUP(A145,'Date Calcs'!A:AG,11,),IF(C145=2,VLOOKUP(A145,'Date Calcs'!A:AG,13,),IF(C145=3,VLOOKUP(A145,'Date Calcs'!A:AG,15,),4)))))</f>
        <v xml:space="preserve">  </v>
      </c>
      <c r="E145" s="15" t="str">
        <f>IF(_xlfn.IFNA(IF(D145="  "," ",VLOOKUP(A145,'Actual Dates'!A:AE,20,0)),"")&lt;1,"-",_xlfn.IFNA(IF(D145="  "," ",VLOOKUP(A145,'Actual Dates'!A:AE,20,0)),""))</f>
        <v xml:space="preserve"> </v>
      </c>
      <c r="F145" s="12" t="str">
        <f ca="1">IFERROR(IF(A145="","",D145-Date!$B$3),"")</f>
        <v/>
      </c>
      <c r="G145" s="20"/>
      <c r="I145" s="21" t="b">
        <f t="shared" si="9"/>
        <v>0</v>
      </c>
      <c r="J145" s="21" t="str">
        <f t="shared" si="8"/>
        <v xml:space="preserve">  </v>
      </c>
    </row>
    <row r="146" spans="1:10" ht="23.25" hidden="1" x14ac:dyDescent="0.25">
      <c r="A146" s="12">
        <f>'Drawing Submittal'!A146</f>
        <v>0</v>
      </c>
      <c r="B146" s="13" t="str">
        <f>_xlfn.IFNA(VLOOKUP(A146,'Date Calcs'!A:AG,2,),"")</f>
        <v/>
      </c>
      <c r="C146" s="14" t="str">
        <f>_xlfn.IFNA(VLOOKUP(A146,'Actual Dates'!A:AE,6,),"")</f>
        <v xml:space="preserve">  </v>
      </c>
      <c r="D146" s="15" t="str">
        <f>IF(C146="  ","  ",IF(C146=0,VLOOKUP(A146,'Date Calcs'!A:AG,9,),IF(C146=1,VLOOKUP(A146,'Date Calcs'!A:AG,11,),IF(C146=2,VLOOKUP(A146,'Date Calcs'!A:AG,13,),IF(C146=3,VLOOKUP(A146,'Date Calcs'!A:AG,15,),4)))))</f>
        <v xml:space="preserve">  </v>
      </c>
      <c r="E146" s="15" t="str">
        <f>IF(_xlfn.IFNA(IF(D146="  "," ",VLOOKUP(A146,'Actual Dates'!A:AE,20,0)),"")&lt;1,"-",_xlfn.IFNA(IF(D146="  "," ",VLOOKUP(A146,'Actual Dates'!A:AE,20,0)),""))</f>
        <v xml:space="preserve"> </v>
      </c>
      <c r="F146" s="12" t="str">
        <f ca="1">IFERROR(IF(A146="","",D146-Date!$B$3),"")</f>
        <v/>
      </c>
      <c r="G146" s="20"/>
      <c r="I146" s="21" t="b">
        <f t="shared" si="9"/>
        <v>0</v>
      </c>
      <c r="J146" s="21" t="str">
        <f t="shared" si="8"/>
        <v xml:space="preserve">  </v>
      </c>
    </row>
    <row r="147" spans="1:10" ht="23.25" hidden="1" x14ac:dyDescent="0.25">
      <c r="A147" s="12">
        <f>'Drawing Submittal'!A147</f>
        <v>0</v>
      </c>
      <c r="B147" s="13" t="str">
        <f>_xlfn.IFNA(VLOOKUP(A147,'Date Calcs'!A:AG,2,),"")</f>
        <v/>
      </c>
      <c r="C147" s="14" t="str">
        <f>_xlfn.IFNA(VLOOKUP(A147,'Actual Dates'!A:AE,6,),"")</f>
        <v xml:space="preserve">  </v>
      </c>
      <c r="D147" s="15" t="str">
        <f>IF(C147="  ","  ",IF(C147=0,VLOOKUP(A147,'Date Calcs'!A:AG,9,),IF(C147=1,VLOOKUP(A147,'Date Calcs'!A:AG,11,),IF(C147=2,VLOOKUP(A147,'Date Calcs'!A:AG,13,),IF(C147=3,VLOOKUP(A147,'Date Calcs'!A:AG,15,),4)))))</f>
        <v xml:space="preserve">  </v>
      </c>
      <c r="E147" s="15" t="str">
        <f>IF(_xlfn.IFNA(IF(D147="  "," ",VLOOKUP(A147,'Actual Dates'!A:AE,20,0)),"")&lt;1,"-",_xlfn.IFNA(IF(D147="  "," ",VLOOKUP(A147,'Actual Dates'!A:AE,20,0)),""))</f>
        <v xml:space="preserve"> </v>
      </c>
      <c r="F147" s="12" t="str">
        <f ca="1">IFERROR(IF(A147="","",D147-Date!$B$3),"")</f>
        <v/>
      </c>
      <c r="G147" s="20"/>
      <c r="I147" s="21" t="b">
        <f t="shared" si="9"/>
        <v>0</v>
      </c>
      <c r="J147" s="21" t="str">
        <f t="shared" si="8"/>
        <v xml:space="preserve">  </v>
      </c>
    </row>
    <row r="148" spans="1:10" ht="23.25" hidden="1" x14ac:dyDescent="0.25">
      <c r="A148" s="12">
        <f>'Drawing Submittal'!A148</f>
        <v>0</v>
      </c>
      <c r="B148" s="13" t="str">
        <f>_xlfn.IFNA(VLOOKUP(A148,'Date Calcs'!A:AG,2,),"")</f>
        <v/>
      </c>
      <c r="C148" s="14" t="str">
        <f>_xlfn.IFNA(VLOOKUP(A148,'Actual Dates'!A:AE,6,),"")</f>
        <v xml:space="preserve">  </v>
      </c>
      <c r="D148" s="15" t="str">
        <f>IF(C148="  ","  ",IF(C148=0,VLOOKUP(A148,'Date Calcs'!A:AG,9,),IF(C148=1,VLOOKUP(A148,'Date Calcs'!A:AG,11,),IF(C148=2,VLOOKUP(A148,'Date Calcs'!A:AG,13,),IF(C148=3,VLOOKUP(A148,'Date Calcs'!A:AG,15,),4)))))</f>
        <v xml:space="preserve">  </v>
      </c>
      <c r="E148" s="15" t="str">
        <f>IF(_xlfn.IFNA(IF(D148="  "," ",VLOOKUP(A148,'Actual Dates'!A:AE,20,0)),"")&lt;1,"-",_xlfn.IFNA(IF(D148="  "," ",VLOOKUP(A148,'Actual Dates'!A:AE,20,0)),""))</f>
        <v xml:space="preserve"> </v>
      </c>
      <c r="F148" s="12" t="str">
        <f ca="1">IFERROR(IF(A148="","",D148-Date!$B$3),"")</f>
        <v/>
      </c>
      <c r="G148" s="20"/>
      <c r="I148" s="21" t="b">
        <f t="shared" si="9"/>
        <v>0</v>
      </c>
      <c r="J148" s="21" t="str">
        <f t="shared" si="8"/>
        <v xml:space="preserve">  </v>
      </c>
    </row>
    <row r="149" spans="1:10" ht="23.25" hidden="1" x14ac:dyDescent="0.25">
      <c r="A149" s="12">
        <f>'Drawing Submittal'!A149</f>
        <v>0</v>
      </c>
      <c r="B149" s="13" t="str">
        <f>_xlfn.IFNA(VLOOKUP(A149,'Date Calcs'!A:AG,2,),"")</f>
        <v/>
      </c>
      <c r="C149" s="14" t="str">
        <f>_xlfn.IFNA(VLOOKUP(A149,'Actual Dates'!A:AE,6,),"")</f>
        <v xml:space="preserve">  </v>
      </c>
      <c r="D149" s="15" t="str">
        <f>IF(C149="  ","  ",IF(C149=0,VLOOKUP(A149,'Date Calcs'!A:AG,9,),IF(C149=1,VLOOKUP(A149,'Date Calcs'!A:AG,11,),IF(C149=2,VLOOKUP(A149,'Date Calcs'!A:AG,13,),IF(C149=3,VLOOKUP(A149,'Date Calcs'!A:AG,15,),4)))))</f>
        <v xml:space="preserve">  </v>
      </c>
      <c r="E149" s="15" t="str">
        <f>IF(_xlfn.IFNA(IF(D149="  "," ",VLOOKUP(A149,'Actual Dates'!A:AE,20,0)),"")&lt;1,"-",_xlfn.IFNA(IF(D149="  "," ",VLOOKUP(A149,'Actual Dates'!A:AE,20,0)),""))</f>
        <v xml:space="preserve"> </v>
      </c>
      <c r="F149" s="12" t="str">
        <f ca="1">IFERROR(IF(A149="","",D149-Date!$B$3),"")</f>
        <v/>
      </c>
      <c r="G149" s="20"/>
      <c r="I149" s="21" t="b">
        <f t="shared" si="9"/>
        <v>0</v>
      </c>
      <c r="J149" s="21" t="str">
        <f t="shared" si="8"/>
        <v xml:space="preserve">  </v>
      </c>
    </row>
    <row r="150" spans="1:10" ht="23.25" hidden="1" x14ac:dyDescent="0.25">
      <c r="A150" s="12">
        <f>'Drawing Submittal'!A150</f>
        <v>0</v>
      </c>
      <c r="B150" s="13" t="str">
        <f>_xlfn.IFNA(VLOOKUP(A150,'Date Calcs'!A:AG,2,),"")</f>
        <v/>
      </c>
      <c r="C150" s="14" t="str">
        <f>_xlfn.IFNA(VLOOKUP(A150,'Actual Dates'!A:AE,6,),"")</f>
        <v xml:space="preserve">  </v>
      </c>
      <c r="D150" s="15" t="str">
        <f>IF(C150="  ","  ",IF(C150=0,VLOOKUP(A150,'Date Calcs'!A:AG,9,),IF(C150=1,VLOOKUP(A150,'Date Calcs'!A:AG,11,),IF(C150=2,VLOOKUP(A150,'Date Calcs'!A:AG,13,),IF(C150=3,VLOOKUP(A150,'Date Calcs'!A:AG,15,),4)))))</f>
        <v xml:space="preserve">  </v>
      </c>
      <c r="E150" s="15" t="str">
        <f>IF(_xlfn.IFNA(IF(D150="  "," ",VLOOKUP(A150,'Actual Dates'!A:AE,20,0)),"")&lt;1,"-",_xlfn.IFNA(IF(D150="  "," ",VLOOKUP(A150,'Actual Dates'!A:AE,20,0)),""))</f>
        <v xml:space="preserve"> </v>
      </c>
      <c r="F150" s="12" t="str">
        <f ca="1">IFERROR(IF(A150="","",D150-Date!$B$3),"")</f>
        <v/>
      </c>
      <c r="G150" s="20"/>
      <c r="I150" s="21" t="b">
        <f t="shared" si="9"/>
        <v>0</v>
      </c>
      <c r="J150" s="21" t="str">
        <f t="shared" si="8"/>
        <v xml:space="preserve">  </v>
      </c>
    </row>
    <row r="151" spans="1:10" ht="23.25" hidden="1" x14ac:dyDescent="0.25">
      <c r="A151" s="12">
        <f>'Drawing Submittal'!A151</f>
        <v>0</v>
      </c>
      <c r="B151" s="13" t="str">
        <f>_xlfn.IFNA(VLOOKUP(A151,'Date Calcs'!A:AG,2,),"")</f>
        <v/>
      </c>
      <c r="C151" s="14" t="str">
        <f>_xlfn.IFNA(VLOOKUP(A151,'Actual Dates'!A:AE,6,),"")</f>
        <v xml:space="preserve">  </v>
      </c>
      <c r="D151" s="15" t="str">
        <f>IF(C151="  ","  ",IF(C151=0,VLOOKUP(A151,'Date Calcs'!A:AG,9,),IF(C151=1,VLOOKUP(A151,'Date Calcs'!A:AG,11,),IF(C151=2,VLOOKUP(A151,'Date Calcs'!A:AG,13,),IF(C151=3,VLOOKUP(A151,'Date Calcs'!A:AG,15,),4)))))</f>
        <v xml:space="preserve">  </v>
      </c>
      <c r="E151" s="15" t="str">
        <f>IF(_xlfn.IFNA(IF(D151="  "," ",VLOOKUP(A151,'Actual Dates'!A:AE,20,0)),"")&lt;1,"-",_xlfn.IFNA(IF(D151="  "," ",VLOOKUP(A151,'Actual Dates'!A:AE,20,0)),""))</f>
        <v xml:space="preserve"> </v>
      </c>
      <c r="F151" s="12" t="str">
        <f ca="1">IFERROR(IF(A151="","",D151-Date!$B$3),"")</f>
        <v/>
      </c>
      <c r="G151" s="20"/>
      <c r="I151" s="21" t="b">
        <f t="shared" si="9"/>
        <v>0</v>
      </c>
      <c r="J151" s="21" t="str">
        <f t="shared" si="8"/>
        <v xml:space="preserve">  </v>
      </c>
    </row>
    <row r="152" spans="1:10" ht="23.25" hidden="1" x14ac:dyDescent="0.25">
      <c r="A152" s="12">
        <f>'Drawing Submittal'!A152</f>
        <v>0</v>
      </c>
      <c r="B152" s="13" t="str">
        <f>_xlfn.IFNA(VLOOKUP(A152,'Date Calcs'!A:AG,2,),"")</f>
        <v/>
      </c>
      <c r="C152" s="14" t="str">
        <f>_xlfn.IFNA(VLOOKUP(A152,'Actual Dates'!A:AE,6,),"")</f>
        <v xml:space="preserve">  </v>
      </c>
      <c r="D152" s="15" t="str">
        <f>IF(C152="  ","  ",IF(C152=0,VLOOKUP(A152,'Date Calcs'!A:AG,9,),IF(C152=1,VLOOKUP(A152,'Date Calcs'!A:AG,11,),IF(C152=2,VLOOKUP(A152,'Date Calcs'!A:AG,13,),IF(C152=3,VLOOKUP(A152,'Date Calcs'!A:AG,15,),4)))))</f>
        <v xml:space="preserve">  </v>
      </c>
      <c r="E152" s="15" t="str">
        <f>IF(_xlfn.IFNA(IF(D152="  "," ",VLOOKUP(A152,'Actual Dates'!A:AE,20,0)),"")&lt;1,"-",_xlfn.IFNA(IF(D152="  "," ",VLOOKUP(A152,'Actual Dates'!A:AE,20,0)),""))</f>
        <v xml:space="preserve"> </v>
      </c>
      <c r="F152" s="12" t="str">
        <f ca="1">IFERROR(IF(A152="","",D152-Date!$B$3),"")</f>
        <v/>
      </c>
      <c r="G152" s="20"/>
      <c r="I152" s="21" t="b">
        <f t="shared" si="9"/>
        <v>0</v>
      </c>
      <c r="J152" s="21" t="str">
        <f t="shared" si="8"/>
        <v xml:space="preserve">  </v>
      </c>
    </row>
    <row r="153" spans="1:10" ht="23.25" hidden="1" x14ac:dyDescent="0.25">
      <c r="A153" s="12">
        <f>'Drawing Submittal'!A153</f>
        <v>0</v>
      </c>
      <c r="B153" s="13" t="str">
        <f>_xlfn.IFNA(VLOOKUP(A153,'Date Calcs'!A:AG,2,),"")</f>
        <v/>
      </c>
      <c r="C153" s="14" t="str">
        <f>_xlfn.IFNA(VLOOKUP(A153,'Actual Dates'!A:AE,6,),"")</f>
        <v xml:space="preserve">  </v>
      </c>
      <c r="D153" s="15" t="str">
        <f>IF(C153="  ","  ",IF(C153=0,VLOOKUP(A153,'Date Calcs'!A:AG,9,),IF(C153=1,VLOOKUP(A153,'Date Calcs'!A:AG,11,),IF(C153=2,VLOOKUP(A153,'Date Calcs'!A:AG,13,),IF(C153=3,VLOOKUP(A153,'Date Calcs'!A:AG,15,),4)))))</f>
        <v xml:space="preserve">  </v>
      </c>
      <c r="E153" s="15" t="str">
        <f>IF(_xlfn.IFNA(IF(D153="  "," ",VLOOKUP(A153,'Actual Dates'!A:AE,20,0)),"")&lt;1,"-",_xlfn.IFNA(IF(D153="  "," ",VLOOKUP(A153,'Actual Dates'!A:AE,20,0)),""))</f>
        <v xml:space="preserve"> </v>
      </c>
      <c r="F153" s="12" t="str">
        <f ca="1">IFERROR(IF(A153="","",D153-Date!$B$3),"")</f>
        <v/>
      </c>
      <c r="G153" s="20"/>
      <c r="I153" s="21" t="b">
        <f t="shared" si="9"/>
        <v>0</v>
      </c>
      <c r="J153" s="21" t="str">
        <f t="shared" si="8"/>
        <v xml:space="preserve">  </v>
      </c>
    </row>
    <row r="154" spans="1:10" ht="23.25" hidden="1" x14ac:dyDescent="0.25">
      <c r="A154" s="12">
        <f>'Drawing Submittal'!A154</f>
        <v>0</v>
      </c>
      <c r="B154" s="13" t="str">
        <f>_xlfn.IFNA(VLOOKUP(A154,'Date Calcs'!A:AG,2,),"")</f>
        <v/>
      </c>
      <c r="C154" s="14" t="str">
        <f>_xlfn.IFNA(VLOOKUP(A154,'Actual Dates'!A:AE,6,),"")</f>
        <v xml:space="preserve">  </v>
      </c>
      <c r="D154" s="15" t="str">
        <f>IF(C154="  ","  ",IF(C154=0,VLOOKUP(A154,'Date Calcs'!A:AG,9,),IF(C154=1,VLOOKUP(A154,'Date Calcs'!A:AG,11,),IF(C154=2,VLOOKUP(A154,'Date Calcs'!A:AG,13,),IF(C154=3,VLOOKUP(A154,'Date Calcs'!A:AG,15,),4)))))</f>
        <v xml:space="preserve">  </v>
      </c>
      <c r="E154" s="15" t="str">
        <f>IF(_xlfn.IFNA(IF(D154="  "," ",VLOOKUP(A154,'Actual Dates'!A:AE,20,0)),"")&lt;1,"-",_xlfn.IFNA(IF(D154="  "," ",VLOOKUP(A154,'Actual Dates'!A:AE,20,0)),""))</f>
        <v xml:space="preserve"> </v>
      </c>
      <c r="F154" s="12" t="str">
        <f ca="1">IFERROR(IF(A154="","",D154-Date!$B$3),"")</f>
        <v/>
      </c>
      <c r="G154" s="20"/>
      <c r="I154" s="21" t="b">
        <f t="shared" si="9"/>
        <v>0</v>
      </c>
      <c r="J154" s="21" t="str">
        <f t="shared" si="8"/>
        <v xml:space="preserve">  </v>
      </c>
    </row>
    <row r="155" spans="1:10" ht="23.25" hidden="1" x14ac:dyDescent="0.25">
      <c r="A155" s="12">
        <f>'Drawing Submittal'!A155</f>
        <v>0</v>
      </c>
      <c r="B155" s="13" t="str">
        <f>_xlfn.IFNA(VLOOKUP(A155,'Date Calcs'!A:AG,2,),"")</f>
        <v/>
      </c>
      <c r="C155" s="14" t="str">
        <f>_xlfn.IFNA(VLOOKUP(A155,'Actual Dates'!A:AE,6,),"")</f>
        <v xml:space="preserve">  </v>
      </c>
      <c r="D155" s="15" t="str">
        <f>IF(C155="  ","  ",IF(C155=0,VLOOKUP(A155,'Date Calcs'!A:AG,9,),IF(C155=1,VLOOKUP(A155,'Date Calcs'!A:AG,11,),IF(C155=2,VLOOKUP(A155,'Date Calcs'!A:AG,13,),IF(C155=3,VLOOKUP(A155,'Date Calcs'!A:AG,15,),4)))))</f>
        <v xml:space="preserve">  </v>
      </c>
      <c r="E155" s="15" t="str">
        <f>IF(_xlfn.IFNA(IF(D155="  "," ",VLOOKUP(A155,'Actual Dates'!A:AE,20,0)),"")&lt;1,"-",_xlfn.IFNA(IF(D155="  "," ",VLOOKUP(A155,'Actual Dates'!A:AE,20,0)),""))</f>
        <v xml:space="preserve"> </v>
      </c>
      <c r="F155" s="12" t="str">
        <f ca="1">IFERROR(IF(A155="","",D155-Date!$B$3),"")</f>
        <v/>
      </c>
      <c r="G155" s="20"/>
      <c r="I155" s="21" t="b">
        <f t="shared" si="9"/>
        <v>0</v>
      </c>
      <c r="J155" s="21" t="str">
        <f t="shared" si="8"/>
        <v xml:space="preserve">  </v>
      </c>
    </row>
    <row r="156" spans="1:10" ht="23.25" hidden="1" x14ac:dyDescent="0.25">
      <c r="A156" s="12">
        <f>'Drawing Submittal'!A156</f>
        <v>0</v>
      </c>
      <c r="B156" s="13" t="str">
        <f>_xlfn.IFNA(VLOOKUP(A156,'Date Calcs'!A:AG,2,),"")</f>
        <v/>
      </c>
      <c r="C156" s="14" t="str">
        <f>_xlfn.IFNA(VLOOKUP(A156,'Actual Dates'!A:AE,6,),"")</f>
        <v xml:space="preserve">  </v>
      </c>
      <c r="D156" s="15" t="str">
        <f>IF(C156="  ","  ",IF(C156=0,VLOOKUP(A156,'Date Calcs'!A:AG,9,),IF(C156=1,VLOOKUP(A156,'Date Calcs'!A:AG,11,),IF(C156=2,VLOOKUP(A156,'Date Calcs'!A:AG,13,),IF(C156=3,VLOOKUP(A156,'Date Calcs'!A:AG,15,),4)))))</f>
        <v xml:space="preserve">  </v>
      </c>
      <c r="E156" s="15" t="str">
        <f>IF(_xlfn.IFNA(IF(D156="  "," ",VLOOKUP(A156,'Actual Dates'!A:AE,20,0)),"")&lt;1,"-",_xlfn.IFNA(IF(D156="  "," ",VLOOKUP(A156,'Actual Dates'!A:AE,20,0)),""))</f>
        <v xml:space="preserve"> </v>
      </c>
      <c r="F156" s="12" t="str">
        <f ca="1">IFERROR(IF(A156="","",D156-Date!$B$3),"")</f>
        <v/>
      </c>
      <c r="G156" s="20"/>
      <c r="I156" s="21" t="b">
        <f t="shared" si="9"/>
        <v>0</v>
      </c>
      <c r="J156" s="21" t="str">
        <f t="shared" si="8"/>
        <v xml:space="preserve">  </v>
      </c>
    </row>
    <row r="157" spans="1:10" ht="23.25" hidden="1" x14ac:dyDescent="0.25">
      <c r="A157" s="12">
        <f>'Drawing Submittal'!A157</f>
        <v>0</v>
      </c>
      <c r="B157" s="13" t="str">
        <f>_xlfn.IFNA(VLOOKUP(A157,'Date Calcs'!A:AG,2,),"")</f>
        <v/>
      </c>
      <c r="C157" s="14" t="str">
        <f>_xlfn.IFNA(VLOOKUP(A157,'Actual Dates'!A:AE,6,),"")</f>
        <v xml:space="preserve">  </v>
      </c>
      <c r="D157" s="15" t="str">
        <f>IF(C157="  ","  ",IF(C157=0,VLOOKUP(A157,'Date Calcs'!A:AG,9,),IF(C157=1,VLOOKUP(A157,'Date Calcs'!A:AG,11,),IF(C157=2,VLOOKUP(A157,'Date Calcs'!A:AG,13,),IF(C157=3,VLOOKUP(A157,'Date Calcs'!A:AG,15,),4)))))</f>
        <v xml:space="preserve">  </v>
      </c>
      <c r="E157" s="15" t="str">
        <f>IF(_xlfn.IFNA(IF(D157="  "," ",VLOOKUP(A157,'Actual Dates'!A:AE,20,0)),"")&lt;1,"-",_xlfn.IFNA(IF(D157="  "," ",VLOOKUP(A157,'Actual Dates'!A:AE,20,0)),""))</f>
        <v xml:space="preserve"> </v>
      </c>
      <c r="F157" s="12" t="str">
        <f ca="1">IFERROR(IF(A157="","",D157-Date!$B$3),"")</f>
        <v/>
      </c>
      <c r="G157" s="20"/>
      <c r="I157" s="21" t="b">
        <f t="shared" si="9"/>
        <v>0</v>
      </c>
      <c r="J157" s="21" t="str">
        <f t="shared" si="8"/>
        <v xml:space="preserve">  </v>
      </c>
    </row>
    <row r="158" spans="1:10" ht="23.25" hidden="1" x14ac:dyDescent="0.25">
      <c r="A158" s="12">
        <f>'Drawing Submittal'!A158</f>
        <v>0</v>
      </c>
      <c r="B158" s="13" t="str">
        <f>_xlfn.IFNA(VLOOKUP(A158,'Date Calcs'!A:AG,2,),"")</f>
        <v/>
      </c>
      <c r="C158" s="14" t="str">
        <f>_xlfn.IFNA(VLOOKUP(A158,'Actual Dates'!A:AE,6,),"")</f>
        <v xml:space="preserve">  </v>
      </c>
      <c r="D158" s="15" t="str">
        <f>IF(C158="  ","  ",IF(C158=0,VLOOKUP(A158,'Date Calcs'!A:AG,9,),IF(C158=1,VLOOKUP(A158,'Date Calcs'!A:AG,11,),IF(C158=2,VLOOKUP(A158,'Date Calcs'!A:AG,13,),IF(C158=3,VLOOKUP(A158,'Date Calcs'!A:AG,15,),4)))))</f>
        <v xml:space="preserve">  </v>
      </c>
      <c r="E158" s="15" t="str">
        <f>IF(_xlfn.IFNA(IF(D158="  "," ",VLOOKUP(A158,'Actual Dates'!A:AE,20,0)),"")&lt;1,"-",_xlfn.IFNA(IF(D158="  "," ",VLOOKUP(A158,'Actual Dates'!A:AE,20,0)),""))</f>
        <v xml:space="preserve"> </v>
      </c>
      <c r="F158" s="12" t="str">
        <f ca="1">IFERROR(IF(A158="","",D158-Date!$B$3),"")</f>
        <v/>
      </c>
      <c r="G158" s="20"/>
      <c r="I158" s="21" t="b">
        <f t="shared" si="9"/>
        <v>0</v>
      </c>
      <c r="J158" s="21" t="str">
        <f t="shared" si="8"/>
        <v xml:space="preserve">  </v>
      </c>
    </row>
    <row r="159" spans="1:10" ht="23.25" hidden="1" x14ac:dyDescent="0.25">
      <c r="A159" s="12">
        <f>'Drawing Submittal'!A159</f>
        <v>0</v>
      </c>
      <c r="B159" s="13" t="str">
        <f>_xlfn.IFNA(VLOOKUP(A159,'Date Calcs'!A:AG,2,),"")</f>
        <v/>
      </c>
      <c r="C159" s="14" t="str">
        <f>_xlfn.IFNA(VLOOKUP(A159,'Actual Dates'!A:AE,6,),"")</f>
        <v xml:space="preserve">  </v>
      </c>
      <c r="D159" s="15" t="str">
        <f>IF(C159="  ","  ",IF(C159=0,VLOOKUP(A159,'Date Calcs'!A:AG,9,),IF(C159=1,VLOOKUP(A159,'Date Calcs'!A:AG,11,),IF(C159=2,VLOOKUP(A159,'Date Calcs'!A:AG,13,),IF(C159=3,VLOOKUP(A159,'Date Calcs'!A:AG,15,),4)))))</f>
        <v xml:space="preserve">  </v>
      </c>
      <c r="E159" s="15" t="str">
        <f>IF(_xlfn.IFNA(IF(D159="  "," ",VLOOKUP(A159,'Actual Dates'!A:AE,20,0)),"")&lt;1,"-",_xlfn.IFNA(IF(D159="  "," ",VLOOKUP(A159,'Actual Dates'!A:AE,20,0)),""))</f>
        <v xml:space="preserve"> </v>
      </c>
      <c r="F159" s="12" t="str">
        <f ca="1">IFERROR(IF(A159="","",D159-Date!$B$3),"")</f>
        <v/>
      </c>
      <c r="G159" s="20"/>
      <c r="I159" s="21" t="b">
        <f t="shared" si="9"/>
        <v>0</v>
      </c>
      <c r="J159" s="21" t="str">
        <f t="shared" si="8"/>
        <v xml:space="preserve">  </v>
      </c>
    </row>
    <row r="160" spans="1:10" ht="23.25" hidden="1" x14ac:dyDescent="0.25">
      <c r="A160" s="12">
        <f>'Drawing Submittal'!A160</f>
        <v>0</v>
      </c>
      <c r="B160" s="13" t="str">
        <f>_xlfn.IFNA(VLOOKUP(A160,'Date Calcs'!A:AG,2,),"")</f>
        <v/>
      </c>
      <c r="C160" s="14" t="str">
        <f>_xlfn.IFNA(VLOOKUP(A160,'Actual Dates'!A:AE,6,),"")</f>
        <v xml:space="preserve">  </v>
      </c>
      <c r="D160" s="15" t="str">
        <f>IF(C160="  ","  ",IF(C160=0,VLOOKUP(A160,'Date Calcs'!A:AG,9,),IF(C160=1,VLOOKUP(A160,'Date Calcs'!A:AG,11,),IF(C160=2,VLOOKUP(A160,'Date Calcs'!A:AG,13,),IF(C160=3,VLOOKUP(A160,'Date Calcs'!A:AG,15,),4)))))</f>
        <v xml:space="preserve">  </v>
      </c>
      <c r="E160" s="15" t="str">
        <f>IF(_xlfn.IFNA(IF(D160="  "," ",VLOOKUP(A160,'Actual Dates'!A:AE,20,0)),"")&lt;1,"-",_xlfn.IFNA(IF(D160="  "," ",VLOOKUP(A160,'Actual Dates'!A:AE,20,0)),""))</f>
        <v xml:space="preserve"> </v>
      </c>
      <c r="F160" s="12" t="str">
        <f ca="1">IFERROR(IF(A160="","",D160-Date!$B$3),"")</f>
        <v/>
      </c>
      <c r="G160" s="20"/>
      <c r="I160" s="21" t="b">
        <f t="shared" si="9"/>
        <v>0</v>
      </c>
      <c r="J160" s="21" t="str">
        <f t="shared" si="8"/>
        <v xml:space="preserve">  </v>
      </c>
    </row>
    <row r="161" spans="1:10" ht="23.25" hidden="1" x14ac:dyDescent="0.25">
      <c r="A161" s="12">
        <f>'Drawing Submittal'!A161</f>
        <v>0</v>
      </c>
      <c r="B161" s="13" t="str">
        <f>_xlfn.IFNA(VLOOKUP(A161,'Date Calcs'!A:AG,2,),"")</f>
        <v/>
      </c>
      <c r="C161" s="14" t="str">
        <f>_xlfn.IFNA(VLOOKUP(A161,'Actual Dates'!A:AE,6,),"")</f>
        <v xml:space="preserve">  </v>
      </c>
      <c r="D161" s="15" t="str">
        <f>IF(C161="  ","  ",IF(C161=0,VLOOKUP(A161,'Date Calcs'!A:AG,9,),IF(C161=1,VLOOKUP(A161,'Date Calcs'!A:AG,11,),IF(C161=2,VLOOKUP(A161,'Date Calcs'!A:AG,13,),IF(C161=3,VLOOKUP(A161,'Date Calcs'!A:AG,15,),4)))))</f>
        <v xml:space="preserve">  </v>
      </c>
      <c r="E161" s="15" t="str">
        <f>IF(_xlfn.IFNA(IF(D161="  "," ",VLOOKUP(A161,'Actual Dates'!A:AE,20,0)),"")&lt;1,"-",_xlfn.IFNA(IF(D161="  "," ",VLOOKUP(A161,'Actual Dates'!A:AE,20,0)),""))</f>
        <v xml:space="preserve"> </v>
      </c>
      <c r="F161" s="12" t="str">
        <f ca="1">IFERROR(IF(A161="","",D161-Date!$B$3),"")</f>
        <v/>
      </c>
      <c r="G161" s="20"/>
      <c r="I161" s="21" t="b">
        <f t="shared" si="9"/>
        <v>0</v>
      </c>
      <c r="J161" s="21" t="str">
        <f t="shared" si="8"/>
        <v xml:space="preserve">  </v>
      </c>
    </row>
    <row r="162" spans="1:10" ht="23.25" hidden="1" x14ac:dyDescent="0.25">
      <c r="A162" s="12">
        <f>'Drawing Submittal'!A162</f>
        <v>0</v>
      </c>
      <c r="B162" s="13" t="str">
        <f>_xlfn.IFNA(VLOOKUP(A162,'Date Calcs'!A:AG,2,),"")</f>
        <v/>
      </c>
      <c r="C162" s="14" t="str">
        <f>_xlfn.IFNA(VLOOKUP(A162,'Actual Dates'!A:AE,6,),"")</f>
        <v xml:space="preserve">  </v>
      </c>
      <c r="D162" s="15" t="str">
        <f>IF(C162="  ","  ",IF(C162=0,VLOOKUP(A162,'Date Calcs'!A:AG,9,),IF(C162=1,VLOOKUP(A162,'Date Calcs'!A:AG,11,),IF(C162=2,VLOOKUP(A162,'Date Calcs'!A:AG,13,),IF(C162=3,VLOOKUP(A162,'Date Calcs'!A:AG,15,),4)))))</f>
        <v xml:space="preserve">  </v>
      </c>
      <c r="E162" s="15" t="str">
        <f>IF(_xlfn.IFNA(IF(D162="  "," ",VLOOKUP(A162,'Actual Dates'!A:AE,20,0)),"")&lt;1,"-",_xlfn.IFNA(IF(D162="  "," ",VLOOKUP(A162,'Actual Dates'!A:AE,20,0)),""))</f>
        <v xml:space="preserve"> </v>
      </c>
      <c r="F162" s="12" t="str">
        <f ca="1">IFERROR(IF(A162="","",D162-Date!$B$3),"")</f>
        <v/>
      </c>
      <c r="G162" s="20"/>
      <c r="I162" s="21" t="b">
        <f t="shared" si="9"/>
        <v>0</v>
      </c>
      <c r="J162" s="21" t="str">
        <f t="shared" si="8"/>
        <v xml:space="preserve">  </v>
      </c>
    </row>
    <row r="163" spans="1:10" ht="23.25" hidden="1" x14ac:dyDescent="0.25">
      <c r="A163" s="12">
        <f>'Drawing Submittal'!A163</f>
        <v>0</v>
      </c>
      <c r="B163" s="13" t="str">
        <f>_xlfn.IFNA(VLOOKUP(A163,'Date Calcs'!A:AG,2,),"")</f>
        <v/>
      </c>
      <c r="C163" s="14" t="str">
        <f>_xlfn.IFNA(VLOOKUP(A163,'Actual Dates'!A:AE,6,),"")</f>
        <v xml:space="preserve">  </v>
      </c>
      <c r="D163" s="15" t="str">
        <f>IF(C163="  ","  ",IF(C163=0,VLOOKUP(A163,'Date Calcs'!A:AG,9,),IF(C163=1,VLOOKUP(A163,'Date Calcs'!A:AG,11,),IF(C163=2,VLOOKUP(A163,'Date Calcs'!A:AG,13,),IF(C163=3,VLOOKUP(A163,'Date Calcs'!A:AG,15,),4)))))</f>
        <v xml:space="preserve">  </v>
      </c>
      <c r="E163" s="15" t="str">
        <f>IF(_xlfn.IFNA(IF(D163="  "," ",VLOOKUP(A163,'Actual Dates'!A:AE,20,0)),"")&lt;1,"-",_xlfn.IFNA(IF(D163="  "," ",VLOOKUP(A163,'Actual Dates'!A:AE,20,0)),""))</f>
        <v xml:space="preserve"> </v>
      </c>
      <c r="F163" s="12" t="str">
        <f ca="1">IFERROR(IF(A163="","",D163-Date!$B$3),"")</f>
        <v/>
      </c>
      <c r="G163" s="20"/>
      <c r="I163" s="21" t="b">
        <f t="shared" si="9"/>
        <v>0</v>
      </c>
      <c r="J163" s="21" t="str">
        <f t="shared" si="8"/>
        <v xml:space="preserve">  </v>
      </c>
    </row>
    <row r="164" spans="1:10" ht="23.25" hidden="1" x14ac:dyDescent="0.25">
      <c r="A164" s="12">
        <f>'Drawing Submittal'!A164</f>
        <v>0</v>
      </c>
      <c r="B164" s="13" t="str">
        <f>_xlfn.IFNA(VLOOKUP(A164,'Date Calcs'!A:AG,2,),"")</f>
        <v/>
      </c>
      <c r="C164" s="14" t="str">
        <f>_xlfn.IFNA(VLOOKUP(A164,'Actual Dates'!A:AE,6,),"")</f>
        <v xml:space="preserve">  </v>
      </c>
      <c r="D164" s="15" t="str">
        <f>IF(C164="  ","  ",IF(C164=0,VLOOKUP(A164,'Date Calcs'!A:AG,9,),IF(C164=1,VLOOKUP(A164,'Date Calcs'!A:AG,11,),IF(C164=2,VLOOKUP(A164,'Date Calcs'!A:AG,13,),IF(C164=3,VLOOKUP(A164,'Date Calcs'!A:AG,15,),4)))))</f>
        <v xml:space="preserve">  </v>
      </c>
      <c r="E164" s="15" t="str">
        <f>IF(_xlfn.IFNA(IF(D164="  "," ",VLOOKUP(A164,'Actual Dates'!A:AE,20,0)),"")&lt;1,"-",_xlfn.IFNA(IF(D164="  "," ",VLOOKUP(A164,'Actual Dates'!A:AE,20,0)),""))</f>
        <v xml:space="preserve"> </v>
      </c>
      <c r="F164" s="12" t="str">
        <f ca="1">IFERROR(IF(A164="","",D164-Date!$B$3),"")</f>
        <v/>
      </c>
      <c r="G164" s="20"/>
      <c r="I164" s="21" t="b">
        <f t="shared" si="9"/>
        <v>0</v>
      </c>
      <c r="J164" s="21" t="str">
        <f t="shared" si="8"/>
        <v xml:space="preserve">  </v>
      </c>
    </row>
    <row r="165" spans="1:10" ht="23.25" hidden="1" x14ac:dyDescent="0.25">
      <c r="A165" s="12">
        <f>'Drawing Submittal'!A165</f>
        <v>0</v>
      </c>
      <c r="B165" s="13" t="str">
        <f>_xlfn.IFNA(VLOOKUP(A165,'Date Calcs'!A:AG,2,),"")</f>
        <v/>
      </c>
      <c r="C165" s="14" t="str">
        <f>_xlfn.IFNA(VLOOKUP(A165,'Actual Dates'!A:AE,6,),"")</f>
        <v xml:space="preserve">  </v>
      </c>
      <c r="D165" s="15" t="str">
        <f>IF(C165="  ","  ",IF(C165=0,VLOOKUP(A165,'Date Calcs'!A:AG,9,),IF(C165=1,VLOOKUP(A165,'Date Calcs'!A:AG,11,),IF(C165=2,VLOOKUP(A165,'Date Calcs'!A:AG,13,),IF(C165=3,VLOOKUP(A165,'Date Calcs'!A:AG,15,),4)))))</f>
        <v xml:space="preserve">  </v>
      </c>
      <c r="E165" s="15" t="str">
        <f>IF(_xlfn.IFNA(IF(D165="  "," ",VLOOKUP(A165,'Actual Dates'!A:AE,20,0)),"")&lt;1,"-",_xlfn.IFNA(IF(D165="  "," ",VLOOKUP(A165,'Actual Dates'!A:AE,20,0)),""))</f>
        <v xml:space="preserve"> </v>
      </c>
      <c r="F165" s="12" t="str">
        <f ca="1">IFERROR(IF(A165="","",D165-Date!$B$3),"")</f>
        <v/>
      </c>
      <c r="G165" s="20"/>
      <c r="I165" s="21" t="b">
        <f t="shared" si="9"/>
        <v>0</v>
      </c>
      <c r="J165" s="21" t="str">
        <f t="shared" si="8"/>
        <v xml:space="preserve">  </v>
      </c>
    </row>
    <row r="166" spans="1:10" ht="23.25" hidden="1" x14ac:dyDescent="0.25">
      <c r="A166" s="12">
        <f>'Drawing Submittal'!A166</f>
        <v>0</v>
      </c>
      <c r="B166" s="13" t="str">
        <f>_xlfn.IFNA(VLOOKUP(A166,'Date Calcs'!A:AG,2,),"")</f>
        <v/>
      </c>
      <c r="C166" s="14" t="str">
        <f>_xlfn.IFNA(VLOOKUP(A166,'Actual Dates'!A:AE,6,),"")</f>
        <v xml:space="preserve">  </v>
      </c>
      <c r="D166" s="15" t="str">
        <f>IF(C166="  ","  ",IF(C166=0,VLOOKUP(A166,'Date Calcs'!A:AG,9,),IF(C166=1,VLOOKUP(A166,'Date Calcs'!A:AG,11,),IF(C166=2,VLOOKUP(A166,'Date Calcs'!A:AG,13,),IF(C166=3,VLOOKUP(A166,'Date Calcs'!A:AG,15,),4)))))</f>
        <v xml:space="preserve">  </v>
      </c>
      <c r="E166" s="15" t="str">
        <f>IF(_xlfn.IFNA(IF(D166="  "," ",VLOOKUP(A166,'Actual Dates'!A:AE,20,0)),"")&lt;1,"-",_xlfn.IFNA(IF(D166="  "," ",VLOOKUP(A166,'Actual Dates'!A:AE,20,0)),""))</f>
        <v xml:space="preserve"> </v>
      </c>
      <c r="F166" s="12" t="str">
        <f ca="1">IFERROR(IF(A166="","",D166-Date!$B$3),"")</f>
        <v/>
      </c>
      <c r="G166" s="20"/>
      <c r="I166" s="21" t="b">
        <f t="shared" si="9"/>
        <v>0</v>
      </c>
      <c r="J166" s="21" t="str">
        <f t="shared" si="8"/>
        <v xml:space="preserve">  </v>
      </c>
    </row>
    <row r="167" spans="1:10" ht="23.25" hidden="1" x14ac:dyDescent="0.25">
      <c r="A167" s="12">
        <f>'Drawing Submittal'!A167</f>
        <v>0</v>
      </c>
      <c r="B167" s="13" t="str">
        <f>_xlfn.IFNA(VLOOKUP(A167,'Date Calcs'!A:AG,2,),"")</f>
        <v/>
      </c>
      <c r="C167" s="14" t="str">
        <f>_xlfn.IFNA(VLOOKUP(A167,'Actual Dates'!A:AE,6,),"")</f>
        <v xml:space="preserve">  </v>
      </c>
      <c r="D167" s="15" t="str">
        <f>IF(C167="  ","  ",IF(C167=0,VLOOKUP(A167,'Date Calcs'!A:AG,9,),IF(C167=1,VLOOKUP(A167,'Date Calcs'!A:AG,11,),IF(C167=2,VLOOKUP(A167,'Date Calcs'!A:AG,13,),IF(C167=3,VLOOKUP(A167,'Date Calcs'!A:AG,15,),4)))))</f>
        <v xml:space="preserve">  </v>
      </c>
      <c r="E167" s="15" t="str">
        <f>IF(_xlfn.IFNA(IF(D167="  "," ",VLOOKUP(A167,'Actual Dates'!A:AE,20,0)),"")&lt;1,"-",_xlfn.IFNA(IF(D167="  "," ",VLOOKUP(A167,'Actual Dates'!A:AE,20,0)),""))</f>
        <v xml:space="preserve"> </v>
      </c>
      <c r="F167" s="12" t="str">
        <f ca="1">IFERROR(IF(A167="","",D167-Date!$B$3),"")</f>
        <v/>
      </c>
      <c r="G167" s="20"/>
      <c r="I167" s="21" t="b">
        <f t="shared" si="9"/>
        <v>0</v>
      </c>
      <c r="J167" s="21" t="str">
        <f t="shared" si="8"/>
        <v xml:space="preserve">  </v>
      </c>
    </row>
    <row r="168" spans="1:10" ht="23.25" hidden="1" x14ac:dyDescent="0.25">
      <c r="A168" s="12">
        <f>'Drawing Submittal'!A168</f>
        <v>0</v>
      </c>
      <c r="B168" s="13" t="str">
        <f>_xlfn.IFNA(VLOOKUP(A168,'Date Calcs'!A:AG,2,),"")</f>
        <v/>
      </c>
      <c r="C168" s="14" t="str">
        <f>_xlfn.IFNA(VLOOKUP(A168,'Actual Dates'!A:AE,6,),"")</f>
        <v xml:space="preserve">  </v>
      </c>
      <c r="D168" s="15" t="str">
        <f>IF(C168="  ","  ",IF(C168=0,VLOOKUP(A168,'Date Calcs'!A:AG,9,),IF(C168=1,VLOOKUP(A168,'Date Calcs'!A:AG,11,),IF(C168=2,VLOOKUP(A168,'Date Calcs'!A:AG,13,),IF(C168=3,VLOOKUP(A168,'Date Calcs'!A:AG,15,),4)))))</f>
        <v xml:space="preserve">  </v>
      </c>
      <c r="E168" s="15" t="str">
        <f>IF(_xlfn.IFNA(IF(D168="  "," ",VLOOKUP(A168,'Actual Dates'!A:AE,20,0)),"")&lt;1,"-",_xlfn.IFNA(IF(D168="  "," ",VLOOKUP(A168,'Actual Dates'!A:AE,20,0)),""))</f>
        <v xml:space="preserve"> </v>
      </c>
      <c r="F168" s="12" t="str">
        <f ca="1">IFERROR(IF(A168="","",D168-Date!$B$3),"")</f>
        <v/>
      </c>
      <c r="G168" s="20"/>
      <c r="I168" s="21" t="b">
        <f t="shared" si="9"/>
        <v>0</v>
      </c>
      <c r="J168" s="21" t="str">
        <f t="shared" si="8"/>
        <v xml:space="preserve">  </v>
      </c>
    </row>
    <row r="169" spans="1:10" ht="23.25" hidden="1" x14ac:dyDescent="0.25">
      <c r="A169" s="12">
        <f>'Drawing Submittal'!A169</f>
        <v>0</v>
      </c>
      <c r="B169" s="13" t="str">
        <f>_xlfn.IFNA(VLOOKUP(A169,'Date Calcs'!A:AG,2,),"")</f>
        <v/>
      </c>
      <c r="C169" s="14" t="str">
        <f>_xlfn.IFNA(VLOOKUP(A169,'Actual Dates'!A:AE,6,),"")</f>
        <v xml:space="preserve">  </v>
      </c>
      <c r="D169" s="15" t="str">
        <f>IF(C169="  ","  ",IF(C169=0,VLOOKUP(A169,'Date Calcs'!A:AG,9,),IF(C169=1,VLOOKUP(A169,'Date Calcs'!A:AG,11,),IF(C169=2,VLOOKUP(A169,'Date Calcs'!A:AG,13,),IF(C169=3,VLOOKUP(A169,'Date Calcs'!A:AG,15,),4)))))</f>
        <v xml:space="preserve">  </v>
      </c>
      <c r="E169" s="15" t="str">
        <f>IF(_xlfn.IFNA(IF(D169="  "," ",VLOOKUP(A169,'Actual Dates'!A:AE,20,0)),"")&lt;1,"-",_xlfn.IFNA(IF(D169="  "," ",VLOOKUP(A169,'Actual Dates'!A:AE,20,0)),""))</f>
        <v xml:space="preserve"> </v>
      </c>
      <c r="F169" s="12" t="str">
        <f ca="1">IFERROR(IF(A169="","",D169-Date!$B$3),"")</f>
        <v/>
      </c>
      <c r="G169" s="20"/>
      <c r="I169" s="21" t="b">
        <f t="shared" si="9"/>
        <v>0</v>
      </c>
      <c r="J169" s="21" t="str">
        <f t="shared" si="8"/>
        <v xml:space="preserve">  </v>
      </c>
    </row>
    <row r="170" spans="1:10" ht="23.25" hidden="1" x14ac:dyDescent="0.25">
      <c r="A170" s="12">
        <f>'Drawing Submittal'!A170</f>
        <v>0</v>
      </c>
      <c r="B170" s="13" t="str">
        <f>_xlfn.IFNA(VLOOKUP(A170,'Date Calcs'!A:AG,2,),"")</f>
        <v/>
      </c>
      <c r="C170" s="14" t="str">
        <f>_xlfn.IFNA(VLOOKUP(A170,'Actual Dates'!A:AE,6,),"")</f>
        <v xml:space="preserve">  </v>
      </c>
      <c r="D170" s="15" t="str">
        <f>IF(C170="  ","  ",IF(C170=0,VLOOKUP(A170,'Date Calcs'!A:AG,9,),IF(C170=1,VLOOKUP(A170,'Date Calcs'!A:AG,11,),IF(C170=2,VLOOKUP(A170,'Date Calcs'!A:AG,13,),IF(C170=3,VLOOKUP(A170,'Date Calcs'!A:AG,15,),4)))))</f>
        <v xml:space="preserve">  </v>
      </c>
      <c r="E170" s="15" t="str">
        <f>IF(_xlfn.IFNA(IF(D170="  "," ",VLOOKUP(A170,'Actual Dates'!A:AE,20,0)),"")&lt;1,"-",_xlfn.IFNA(IF(D170="  "," ",VLOOKUP(A170,'Actual Dates'!A:AE,20,0)),""))</f>
        <v xml:space="preserve"> </v>
      </c>
      <c r="F170" s="12" t="str">
        <f ca="1">IFERROR(IF(A170="","",D170-Date!$B$3),"")</f>
        <v/>
      </c>
      <c r="G170" s="20"/>
      <c r="I170" s="21" t="b">
        <f t="shared" si="9"/>
        <v>0</v>
      </c>
      <c r="J170" s="21" t="str">
        <f t="shared" si="8"/>
        <v xml:space="preserve">  </v>
      </c>
    </row>
    <row r="171" spans="1:10" ht="23.25" hidden="1" x14ac:dyDescent="0.25">
      <c r="A171" s="12">
        <f>'Drawing Submittal'!A171</f>
        <v>0</v>
      </c>
      <c r="B171" s="13" t="str">
        <f>_xlfn.IFNA(VLOOKUP(A171,'Date Calcs'!A:AG,2,),"")</f>
        <v/>
      </c>
      <c r="C171" s="14" t="str">
        <f>_xlfn.IFNA(VLOOKUP(A171,'Actual Dates'!A:AE,6,),"")</f>
        <v xml:space="preserve">  </v>
      </c>
      <c r="D171" s="15" t="str">
        <f>IF(C171="  ","  ",IF(C171=0,VLOOKUP(A171,'Date Calcs'!A:AG,9,),IF(C171=1,VLOOKUP(A171,'Date Calcs'!A:AG,11,),IF(C171=2,VLOOKUP(A171,'Date Calcs'!A:AG,13,),IF(C171=3,VLOOKUP(A171,'Date Calcs'!A:AG,15,),4)))))</f>
        <v xml:space="preserve">  </v>
      </c>
      <c r="E171" s="15" t="str">
        <f>IF(_xlfn.IFNA(IF(D171="  "," ",VLOOKUP(A171,'Actual Dates'!A:AE,20,0)),"")&lt;1,"-",_xlfn.IFNA(IF(D171="  "," ",VLOOKUP(A171,'Actual Dates'!A:AE,20,0)),""))</f>
        <v xml:space="preserve"> </v>
      </c>
      <c r="F171" s="12" t="str">
        <f ca="1">IFERROR(IF(A171="","",D171-Date!$B$3),"")</f>
        <v/>
      </c>
      <c r="G171" s="20"/>
      <c r="I171" s="21" t="b">
        <f t="shared" si="9"/>
        <v>0</v>
      </c>
      <c r="J171" s="21" t="str">
        <f t="shared" si="8"/>
        <v xml:space="preserve">  </v>
      </c>
    </row>
    <row r="172" spans="1:10" ht="23.25" hidden="1" x14ac:dyDescent="0.25">
      <c r="A172" s="12">
        <f>'Drawing Submittal'!A172</f>
        <v>0</v>
      </c>
      <c r="B172" s="13" t="str">
        <f>_xlfn.IFNA(VLOOKUP(A172,'Date Calcs'!A:AG,2,),"")</f>
        <v/>
      </c>
      <c r="C172" s="14" t="str">
        <f>_xlfn.IFNA(VLOOKUP(A172,'Actual Dates'!A:AE,6,),"")</f>
        <v xml:space="preserve">  </v>
      </c>
      <c r="D172" s="15" t="str">
        <f>IF(C172="  ","  ",IF(C172=0,VLOOKUP(A172,'Date Calcs'!A:AG,9,),IF(C172=1,VLOOKUP(A172,'Date Calcs'!A:AG,11,),IF(C172=2,VLOOKUP(A172,'Date Calcs'!A:AG,13,),IF(C172=3,VLOOKUP(A172,'Date Calcs'!A:AG,15,),4)))))</f>
        <v xml:space="preserve">  </v>
      </c>
      <c r="E172" s="15" t="str">
        <f>IF(_xlfn.IFNA(IF(D172="  "," ",VLOOKUP(A172,'Actual Dates'!A:AE,20,0)),"")&lt;1,"-",_xlfn.IFNA(IF(D172="  "," ",VLOOKUP(A172,'Actual Dates'!A:AE,20,0)),""))</f>
        <v xml:space="preserve"> </v>
      </c>
      <c r="F172" s="12" t="str">
        <f ca="1">IFERROR(IF(A172="","",D172-Date!$B$3),"")</f>
        <v/>
      </c>
      <c r="G172" s="20"/>
      <c r="I172" s="21" t="b">
        <f t="shared" si="9"/>
        <v>0</v>
      </c>
      <c r="J172" s="21" t="str">
        <f t="shared" si="8"/>
        <v xml:space="preserve">  </v>
      </c>
    </row>
    <row r="173" spans="1:10" ht="23.25" hidden="1" x14ac:dyDescent="0.25">
      <c r="A173" s="12">
        <f>'Drawing Submittal'!A173</f>
        <v>0</v>
      </c>
      <c r="B173" s="13" t="str">
        <f>_xlfn.IFNA(VLOOKUP(A173,'Date Calcs'!A:AG,2,),"")</f>
        <v/>
      </c>
      <c r="C173" s="14" t="str">
        <f>_xlfn.IFNA(VLOOKUP(A173,'Actual Dates'!A:AE,6,),"")</f>
        <v xml:space="preserve">  </v>
      </c>
      <c r="D173" s="15" t="str">
        <f>IF(C173="  ","  ",IF(C173=0,VLOOKUP(A173,'Date Calcs'!A:AG,9,),IF(C173=1,VLOOKUP(A173,'Date Calcs'!A:AG,11,),IF(C173=2,VLOOKUP(A173,'Date Calcs'!A:AG,13,),IF(C173=3,VLOOKUP(A173,'Date Calcs'!A:AG,15,),4)))))</f>
        <v xml:space="preserve">  </v>
      </c>
      <c r="E173" s="15" t="str">
        <f>IF(_xlfn.IFNA(IF(D173="  "," ",VLOOKUP(A173,'Actual Dates'!A:AE,20,0)),"")&lt;1,"-",_xlfn.IFNA(IF(D173="  "," ",VLOOKUP(A173,'Actual Dates'!A:AE,20,0)),""))</f>
        <v xml:space="preserve"> </v>
      </c>
      <c r="F173" s="12" t="str">
        <f ca="1">IFERROR(IF(A173="","",D173-Date!$B$3),"")</f>
        <v/>
      </c>
      <c r="G173" s="20"/>
      <c r="I173" s="21" t="b">
        <f t="shared" si="9"/>
        <v>0</v>
      </c>
      <c r="J173" s="21" t="str">
        <f t="shared" si="8"/>
        <v xml:space="preserve">  </v>
      </c>
    </row>
    <row r="174" spans="1:10" ht="23.25" hidden="1" x14ac:dyDescent="0.25">
      <c r="A174" s="12">
        <f>'Drawing Submittal'!A174</f>
        <v>0</v>
      </c>
      <c r="B174" s="13" t="str">
        <f>_xlfn.IFNA(VLOOKUP(A174,'Date Calcs'!A:AG,2,),"")</f>
        <v/>
      </c>
      <c r="C174" s="14" t="str">
        <f>_xlfn.IFNA(VLOOKUP(A174,'Actual Dates'!A:AE,6,),"")</f>
        <v xml:space="preserve">  </v>
      </c>
      <c r="D174" s="15" t="str">
        <f>IF(C174="  ","  ",IF(C174=0,VLOOKUP(A174,'Date Calcs'!A:AG,9,),IF(C174=1,VLOOKUP(A174,'Date Calcs'!A:AG,11,),IF(C174=2,VLOOKUP(A174,'Date Calcs'!A:AG,13,),IF(C174=3,VLOOKUP(A174,'Date Calcs'!A:AG,15,),4)))))</f>
        <v xml:space="preserve">  </v>
      </c>
      <c r="E174" s="15" t="str">
        <f>IF(_xlfn.IFNA(IF(D174="  "," ",VLOOKUP(A174,'Actual Dates'!A:AE,20,0)),"")&lt;1,"-",_xlfn.IFNA(IF(D174="  "," ",VLOOKUP(A174,'Actual Dates'!A:AE,20,0)),""))</f>
        <v xml:space="preserve"> </v>
      </c>
      <c r="F174" s="12" t="str">
        <f ca="1">IFERROR(IF(A174="","",D174-Date!$B$3),"")</f>
        <v/>
      </c>
      <c r="G174" s="20"/>
      <c r="I174" s="21" t="b">
        <f t="shared" si="9"/>
        <v>0</v>
      </c>
      <c r="J174" s="21" t="str">
        <f t="shared" si="8"/>
        <v xml:space="preserve">  </v>
      </c>
    </row>
    <row r="175" spans="1:10" ht="23.25" hidden="1" x14ac:dyDescent="0.25">
      <c r="A175" s="12">
        <f>'Drawing Submittal'!A175</f>
        <v>0</v>
      </c>
      <c r="B175" s="13" t="str">
        <f>_xlfn.IFNA(VLOOKUP(A175,'Date Calcs'!A:AG,2,),"")</f>
        <v/>
      </c>
      <c r="C175" s="14" t="str">
        <f>_xlfn.IFNA(VLOOKUP(A175,'Actual Dates'!A:AE,6,),"")</f>
        <v xml:space="preserve">  </v>
      </c>
      <c r="D175" s="15" t="str">
        <f>IF(C175="  ","  ",IF(C175=0,VLOOKUP(A175,'Date Calcs'!A:AG,9,),IF(C175=1,VLOOKUP(A175,'Date Calcs'!A:AG,11,),IF(C175=2,VLOOKUP(A175,'Date Calcs'!A:AG,13,),IF(C175=3,VLOOKUP(A175,'Date Calcs'!A:AG,15,),4)))))</f>
        <v xml:space="preserve">  </v>
      </c>
      <c r="E175" s="15" t="str">
        <f>IF(_xlfn.IFNA(IF(D175="  "," ",VLOOKUP(A175,'Actual Dates'!A:AE,20,0)),"")&lt;1,"-",_xlfn.IFNA(IF(D175="  "," ",VLOOKUP(A175,'Actual Dates'!A:AE,20,0)),""))</f>
        <v xml:space="preserve"> </v>
      </c>
      <c r="F175" s="12" t="str">
        <f ca="1">IFERROR(IF(A175="","",D175-Date!$B$3),"")</f>
        <v/>
      </c>
      <c r="G175" s="20"/>
      <c r="I175" s="21" t="b">
        <f t="shared" si="9"/>
        <v>0</v>
      </c>
      <c r="J175" s="21" t="str">
        <f t="shared" si="8"/>
        <v xml:space="preserve">  </v>
      </c>
    </row>
    <row r="176" spans="1:10" ht="23.25" hidden="1" x14ac:dyDescent="0.25">
      <c r="A176" s="12">
        <f>'Drawing Submittal'!A176</f>
        <v>0</v>
      </c>
      <c r="B176" s="13" t="str">
        <f>_xlfn.IFNA(VLOOKUP(A176,'Date Calcs'!A:AG,2,),"")</f>
        <v/>
      </c>
      <c r="C176" s="14" t="str">
        <f>_xlfn.IFNA(VLOOKUP(A176,'Actual Dates'!A:AE,6,),"")</f>
        <v xml:space="preserve">  </v>
      </c>
      <c r="D176" s="15" t="str">
        <f>IF(C176="  ","  ",IF(C176=0,VLOOKUP(A176,'Date Calcs'!A:AG,9,),IF(C176=1,VLOOKUP(A176,'Date Calcs'!A:AG,11,),IF(C176=2,VLOOKUP(A176,'Date Calcs'!A:AG,13,),IF(C176=3,VLOOKUP(A176,'Date Calcs'!A:AG,15,),4)))))</f>
        <v xml:space="preserve">  </v>
      </c>
      <c r="E176" s="15" t="str">
        <f>IF(_xlfn.IFNA(IF(D176="  "," ",VLOOKUP(A176,'Actual Dates'!A:AE,20,0)),"")&lt;1,"-",_xlfn.IFNA(IF(D176="  "," ",VLOOKUP(A176,'Actual Dates'!A:AE,20,0)),""))</f>
        <v xml:space="preserve"> </v>
      </c>
      <c r="F176" s="12" t="str">
        <f ca="1">IFERROR(IF(A176="","",D176-Date!$B$3),"")</f>
        <v/>
      </c>
      <c r="G176" s="20"/>
      <c r="I176" s="21" t="b">
        <f t="shared" si="9"/>
        <v>0</v>
      </c>
      <c r="J176" s="21" t="str">
        <f t="shared" ref="J176:J239" si="10">VLOOKUP(A176,Dates,7,)</f>
        <v xml:space="preserve">  </v>
      </c>
    </row>
    <row r="177" spans="1:10" ht="23.25" hidden="1" x14ac:dyDescent="0.25">
      <c r="A177" s="12">
        <f>'Drawing Submittal'!A177</f>
        <v>0</v>
      </c>
      <c r="B177" s="13" t="str">
        <f>_xlfn.IFNA(VLOOKUP(A177,'Date Calcs'!A:AG,2,),"")</f>
        <v/>
      </c>
      <c r="C177" s="14" t="str">
        <f>_xlfn.IFNA(VLOOKUP(A177,'Actual Dates'!A:AE,6,),"")</f>
        <v xml:space="preserve">  </v>
      </c>
      <c r="D177" s="15" t="str">
        <f>IF(C177="  ","  ",IF(C177=0,VLOOKUP(A177,'Date Calcs'!A:AG,9,),IF(C177=1,VLOOKUP(A177,'Date Calcs'!A:AG,11,),IF(C177=2,VLOOKUP(A177,'Date Calcs'!A:AG,13,),IF(C177=3,VLOOKUP(A177,'Date Calcs'!A:AG,15,),4)))))</f>
        <v xml:space="preserve">  </v>
      </c>
      <c r="E177" s="15" t="str">
        <f>IF(_xlfn.IFNA(IF(D177="  "," ",VLOOKUP(A177,'Actual Dates'!A:AE,20,0)),"")&lt;1,"-",_xlfn.IFNA(IF(D177="  "," ",VLOOKUP(A177,'Actual Dates'!A:AE,20,0)),""))</f>
        <v xml:space="preserve"> </v>
      </c>
      <c r="F177" s="12" t="str">
        <f ca="1">IFERROR(IF(A177="","",D177-Date!$B$3),"")</f>
        <v/>
      </c>
      <c r="G177" s="20"/>
      <c r="I177" s="21" t="b">
        <f t="shared" si="9"/>
        <v>0</v>
      </c>
      <c r="J177" s="21" t="str">
        <f t="shared" si="10"/>
        <v xml:space="preserve">  </v>
      </c>
    </row>
    <row r="178" spans="1:10" ht="23.25" hidden="1" x14ac:dyDescent="0.25">
      <c r="A178" s="12">
        <f>'Drawing Submittal'!A178</f>
        <v>0</v>
      </c>
      <c r="B178" s="13" t="str">
        <f>_xlfn.IFNA(VLOOKUP(A178,'Date Calcs'!A:AG,2,),"")</f>
        <v/>
      </c>
      <c r="C178" s="14" t="str">
        <f>_xlfn.IFNA(VLOOKUP(A178,'Actual Dates'!A:AE,6,),"")</f>
        <v xml:space="preserve">  </v>
      </c>
      <c r="D178" s="15" t="str">
        <f>IF(C178="  ","  ",IF(C178=0,VLOOKUP(A178,'Date Calcs'!A:AG,9,),IF(C178=1,VLOOKUP(A178,'Date Calcs'!A:AG,11,),IF(C178=2,VLOOKUP(A178,'Date Calcs'!A:AG,13,),IF(C178=3,VLOOKUP(A178,'Date Calcs'!A:AG,15,),4)))))</f>
        <v xml:space="preserve">  </v>
      </c>
      <c r="E178" s="15" t="str">
        <f>IF(_xlfn.IFNA(IF(D178="  "," ",VLOOKUP(A178,'Actual Dates'!A:AE,20,0)),"")&lt;1,"-",_xlfn.IFNA(IF(D178="  "," ",VLOOKUP(A178,'Actual Dates'!A:AE,20,0)),""))</f>
        <v xml:space="preserve"> </v>
      </c>
      <c r="F178" s="12" t="str">
        <f ca="1">IFERROR(IF(A178="","",D178-Date!$B$3),"")</f>
        <v/>
      </c>
      <c r="G178" s="20"/>
      <c r="I178" s="21" t="b">
        <f t="shared" si="9"/>
        <v>0</v>
      </c>
      <c r="J178" s="21" t="str">
        <f t="shared" si="10"/>
        <v xml:space="preserve">  </v>
      </c>
    </row>
    <row r="179" spans="1:10" ht="23.25" hidden="1" x14ac:dyDescent="0.25">
      <c r="A179" s="12">
        <f>'Drawing Submittal'!A179</f>
        <v>0</v>
      </c>
      <c r="B179" s="13" t="str">
        <f>_xlfn.IFNA(VLOOKUP(A179,'Date Calcs'!A:AG,2,),"")</f>
        <v/>
      </c>
      <c r="C179" s="14" t="str">
        <f>_xlfn.IFNA(VLOOKUP(A179,'Actual Dates'!A:AE,6,),"")</f>
        <v xml:space="preserve">  </v>
      </c>
      <c r="D179" s="15" t="str">
        <f>IF(C179="  ","  ",IF(C179=0,VLOOKUP(A179,'Date Calcs'!A:AG,9,),IF(C179=1,VLOOKUP(A179,'Date Calcs'!A:AG,11,),IF(C179=2,VLOOKUP(A179,'Date Calcs'!A:AG,13,),IF(C179=3,VLOOKUP(A179,'Date Calcs'!A:AG,15,),4)))))</f>
        <v xml:space="preserve">  </v>
      </c>
      <c r="E179" s="15" t="str">
        <f>IF(_xlfn.IFNA(IF(D179="  "," ",VLOOKUP(A179,'Actual Dates'!A:AE,20,0)),"")&lt;1,"-",_xlfn.IFNA(IF(D179="  "," ",VLOOKUP(A179,'Actual Dates'!A:AE,20,0)),""))</f>
        <v xml:space="preserve"> </v>
      </c>
      <c r="F179" s="12" t="str">
        <f ca="1">IFERROR(IF(A179="","",D179-Date!$B$3),"")</f>
        <v/>
      </c>
      <c r="G179" s="20"/>
      <c r="I179" s="21" t="b">
        <f t="shared" si="9"/>
        <v>0</v>
      </c>
      <c r="J179" s="21" t="str">
        <f t="shared" si="10"/>
        <v xml:space="preserve">  </v>
      </c>
    </row>
    <row r="180" spans="1:10" ht="23.25" hidden="1" x14ac:dyDescent="0.25">
      <c r="A180" s="12">
        <f>'Drawing Submittal'!A180</f>
        <v>0</v>
      </c>
      <c r="B180" s="13" t="str">
        <f>_xlfn.IFNA(VLOOKUP(A180,'Date Calcs'!A:AG,2,),"")</f>
        <v/>
      </c>
      <c r="C180" s="14" t="str">
        <f>_xlfn.IFNA(VLOOKUP(A180,'Actual Dates'!A:AE,6,),"")</f>
        <v xml:space="preserve">  </v>
      </c>
      <c r="D180" s="15" t="str">
        <f>IF(C180="  ","  ",IF(C180=0,VLOOKUP(A180,'Date Calcs'!A:AG,9,),IF(C180=1,VLOOKUP(A180,'Date Calcs'!A:AG,11,),IF(C180=2,VLOOKUP(A180,'Date Calcs'!A:AG,13,),IF(C180=3,VLOOKUP(A180,'Date Calcs'!A:AG,15,),4)))))</f>
        <v xml:space="preserve">  </v>
      </c>
      <c r="E180" s="15" t="str">
        <f>IF(_xlfn.IFNA(IF(D180="  "," ",VLOOKUP(A180,'Actual Dates'!A:AE,20,0)),"")&lt;1,"-",_xlfn.IFNA(IF(D180="  "," ",VLOOKUP(A180,'Actual Dates'!A:AE,20,0)),""))</f>
        <v xml:space="preserve"> </v>
      </c>
      <c r="F180" s="12" t="str">
        <f ca="1">IFERROR(IF(A180="","",D180-Date!$B$3),"")</f>
        <v/>
      </c>
      <c r="G180" s="20"/>
      <c r="I180" s="21" t="b">
        <f t="shared" si="9"/>
        <v>0</v>
      </c>
      <c r="J180" s="21" t="str">
        <f t="shared" si="10"/>
        <v xml:space="preserve">  </v>
      </c>
    </row>
    <row r="181" spans="1:10" ht="23.25" hidden="1" x14ac:dyDescent="0.25">
      <c r="A181" s="12">
        <f>'Drawing Submittal'!A181</f>
        <v>0</v>
      </c>
      <c r="B181" s="13" t="str">
        <f>_xlfn.IFNA(VLOOKUP(A181,'Date Calcs'!A:AG,2,),"")</f>
        <v/>
      </c>
      <c r="C181" s="14" t="str">
        <f>_xlfn.IFNA(VLOOKUP(A181,'Actual Dates'!A:AE,6,),"")</f>
        <v xml:space="preserve">  </v>
      </c>
      <c r="D181" s="15" t="str">
        <f>IF(C181="  ","  ",IF(C181=0,VLOOKUP(A181,'Date Calcs'!A:AG,9,),IF(C181=1,VLOOKUP(A181,'Date Calcs'!A:AG,11,),IF(C181=2,VLOOKUP(A181,'Date Calcs'!A:AG,13,),IF(C181=3,VLOOKUP(A181,'Date Calcs'!A:AG,15,),4)))))</f>
        <v xml:space="preserve">  </v>
      </c>
      <c r="E181" s="15" t="str">
        <f>IF(_xlfn.IFNA(IF(D181="  "," ",VLOOKUP(A181,'Actual Dates'!A:AE,20,0)),"")&lt;1,"-",_xlfn.IFNA(IF(D181="  "," ",VLOOKUP(A181,'Actual Dates'!A:AE,20,0)),""))</f>
        <v xml:space="preserve"> </v>
      </c>
      <c r="F181" s="12" t="str">
        <f ca="1">IFERROR(IF(A181="","",D181-Date!$B$3),"")</f>
        <v/>
      </c>
      <c r="G181" s="20"/>
      <c r="I181" s="21" t="b">
        <f t="shared" si="9"/>
        <v>0</v>
      </c>
      <c r="J181" s="21" t="str">
        <f t="shared" si="10"/>
        <v xml:space="preserve">  </v>
      </c>
    </row>
    <row r="182" spans="1:10" ht="23.25" hidden="1" x14ac:dyDescent="0.25">
      <c r="A182" s="12">
        <f>'Drawing Submittal'!A182</f>
        <v>0</v>
      </c>
      <c r="B182" s="13" t="str">
        <f>_xlfn.IFNA(VLOOKUP(A182,'Date Calcs'!A:AG,2,),"")</f>
        <v/>
      </c>
      <c r="C182" s="14" t="str">
        <f>_xlfn.IFNA(VLOOKUP(A182,'Actual Dates'!A:AE,6,),"")</f>
        <v xml:space="preserve">  </v>
      </c>
      <c r="D182" s="15" t="str">
        <f>IF(C182="  ","  ",IF(C182=0,VLOOKUP(A182,'Date Calcs'!A:AG,9,),IF(C182=1,VLOOKUP(A182,'Date Calcs'!A:AG,11,),IF(C182=2,VLOOKUP(A182,'Date Calcs'!A:AG,13,),IF(C182=3,VLOOKUP(A182,'Date Calcs'!A:AG,15,),4)))))</f>
        <v xml:space="preserve">  </v>
      </c>
      <c r="E182" s="15" t="str">
        <f>IF(_xlfn.IFNA(IF(D182="  "," ",VLOOKUP(A182,'Actual Dates'!A:AE,20,0)),"")&lt;1,"-",_xlfn.IFNA(IF(D182="  "," ",VLOOKUP(A182,'Actual Dates'!A:AE,20,0)),""))</f>
        <v xml:space="preserve"> </v>
      </c>
      <c r="F182" s="12" t="str">
        <f ca="1">IFERROR(IF(A182="","",D182-Date!$B$3),"")</f>
        <v/>
      </c>
      <c r="G182" s="20"/>
      <c r="I182" s="21" t="b">
        <f t="shared" si="9"/>
        <v>0</v>
      </c>
      <c r="J182" s="21" t="str">
        <f t="shared" si="10"/>
        <v xml:space="preserve">  </v>
      </c>
    </row>
    <row r="183" spans="1:10" ht="23.25" hidden="1" x14ac:dyDescent="0.25">
      <c r="A183" s="12">
        <f>'Drawing Submittal'!A183</f>
        <v>0</v>
      </c>
      <c r="B183" s="13" t="str">
        <f>_xlfn.IFNA(VLOOKUP(A183,'Date Calcs'!A:AG,2,),"")</f>
        <v/>
      </c>
      <c r="C183" s="14" t="str">
        <f>_xlfn.IFNA(VLOOKUP(A183,'Actual Dates'!A:AE,6,),"")</f>
        <v xml:space="preserve">  </v>
      </c>
      <c r="D183" s="15" t="str">
        <f>IF(C183="  ","  ",IF(C183=0,VLOOKUP(A183,'Date Calcs'!A:AG,9,),IF(C183=1,VLOOKUP(A183,'Date Calcs'!A:AG,11,),IF(C183=2,VLOOKUP(A183,'Date Calcs'!A:AG,13,),IF(C183=3,VLOOKUP(A183,'Date Calcs'!A:AG,15,),4)))))</f>
        <v xml:space="preserve">  </v>
      </c>
      <c r="E183" s="15" t="str">
        <f>IF(_xlfn.IFNA(IF(D183="  "," ",VLOOKUP(A183,'Actual Dates'!A:AE,20,0)),"")&lt;1,"-",_xlfn.IFNA(IF(D183="  "," ",VLOOKUP(A183,'Actual Dates'!A:AE,20,0)),""))</f>
        <v xml:space="preserve"> </v>
      </c>
      <c r="F183" s="12" t="str">
        <f ca="1">IFERROR(IF(A183="","",D183-Date!$B$3),"")</f>
        <v/>
      </c>
      <c r="G183" s="20"/>
      <c r="I183" s="21" t="b">
        <f t="shared" si="9"/>
        <v>0</v>
      </c>
      <c r="J183" s="21" t="str">
        <f t="shared" si="10"/>
        <v xml:space="preserve">  </v>
      </c>
    </row>
    <row r="184" spans="1:10" ht="23.25" hidden="1" x14ac:dyDescent="0.25">
      <c r="A184" s="12">
        <f>'Drawing Submittal'!A184</f>
        <v>0</v>
      </c>
      <c r="B184" s="13" t="str">
        <f>_xlfn.IFNA(VLOOKUP(A184,'Date Calcs'!A:AG,2,),"")</f>
        <v/>
      </c>
      <c r="C184" s="14" t="str">
        <f>_xlfn.IFNA(VLOOKUP(A184,'Actual Dates'!A:AE,6,),"")</f>
        <v xml:space="preserve">  </v>
      </c>
      <c r="D184" s="15" t="str">
        <f>IF(C184="  ","  ",IF(C184=0,VLOOKUP(A184,'Date Calcs'!A:AG,9,),IF(C184=1,VLOOKUP(A184,'Date Calcs'!A:AG,11,),IF(C184=2,VLOOKUP(A184,'Date Calcs'!A:AG,13,),IF(C184=3,VLOOKUP(A184,'Date Calcs'!A:AG,15,),4)))))</f>
        <v xml:space="preserve">  </v>
      </c>
      <c r="E184" s="15" t="str">
        <f>IF(_xlfn.IFNA(IF(D184="  "," ",VLOOKUP(A184,'Actual Dates'!A:AE,20,0)),"")&lt;1,"-",_xlfn.IFNA(IF(D184="  "," ",VLOOKUP(A184,'Actual Dates'!A:AE,20,0)),""))</f>
        <v xml:space="preserve"> </v>
      </c>
      <c r="F184" s="12" t="str">
        <f ca="1">IFERROR(IF(A184="","",D184-Date!$B$3),"")</f>
        <v/>
      </c>
      <c r="G184" s="20"/>
      <c r="I184" s="21" t="b">
        <f t="shared" si="9"/>
        <v>0</v>
      </c>
      <c r="J184" s="21" t="str">
        <f t="shared" si="10"/>
        <v xml:space="preserve">  </v>
      </c>
    </row>
    <row r="185" spans="1:10" ht="23.25" hidden="1" x14ac:dyDescent="0.25">
      <c r="A185" s="12">
        <f>'Drawing Submittal'!A185</f>
        <v>0</v>
      </c>
      <c r="B185" s="13" t="str">
        <f>_xlfn.IFNA(VLOOKUP(A185,'Date Calcs'!A:AG,2,),"")</f>
        <v/>
      </c>
      <c r="C185" s="14" t="str">
        <f>_xlfn.IFNA(VLOOKUP(A185,'Actual Dates'!A:AE,6,),"")</f>
        <v xml:space="preserve">  </v>
      </c>
      <c r="D185" s="15" t="str">
        <f>IF(C185="  ","  ",IF(C185=0,VLOOKUP(A185,'Date Calcs'!A:AG,9,),IF(C185=1,VLOOKUP(A185,'Date Calcs'!A:AG,11,),IF(C185=2,VLOOKUP(A185,'Date Calcs'!A:AG,13,),IF(C185=3,VLOOKUP(A185,'Date Calcs'!A:AG,15,),4)))))</f>
        <v xml:space="preserve">  </v>
      </c>
      <c r="E185" s="15" t="str">
        <f>IF(_xlfn.IFNA(IF(D185="  "," ",VLOOKUP(A185,'Actual Dates'!A:AE,20,0)),"")&lt;1,"-",_xlfn.IFNA(IF(D185="  "," ",VLOOKUP(A185,'Actual Dates'!A:AE,20,0)),""))</f>
        <v xml:space="preserve"> </v>
      </c>
      <c r="F185" s="12" t="str">
        <f ca="1">IFERROR(IF(A185="","",D185-Date!$B$3),"")</f>
        <v/>
      </c>
      <c r="G185" s="20"/>
      <c r="I185" s="21" t="b">
        <f t="shared" si="9"/>
        <v>0</v>
      </c>
      <c r="J185" s="21" t="str">
        <f t="shared" si="10"/>
        <v xml:space="preserve">  </v>
      </c>
    </row>
    <row r="186" spans="1:10" ht="23.25" hidden="1" x14ac:dyDescent="0.25">
      <c r="A186" s="12">
        <f>'Drawing Submittal'!A186</f>
        <v>0</v>
      </c>
      <c r="B186" s="13" t="str">
        <f>_xlfn.IFNA(VLOOKUP(A186,'Date Calcs'!A:AG,2,),"")</f>
        <v/>
      </c>
      <c r="C186" s="14" t="str">
        <f>_xlfn.IFNA(VLOOKUP(A186,'Actual Dates'!A:AE,6,),"")</f>
        <v xml:space="preserve">  </v>
      </c>
      <c r="D186" s="15" t="str">
        <f>IF(C186="  ","  ",IF(C186=0,VLOOKUP(A186,'Date Calcs'!A:AG,9,),IF(C186=1,VLOOKUP(A186,'Date Calcs'!A:AG,11,),IF(C186=2,VLOOKUP(A186,'Date Calcs'!A:AG,13,),IF(C186=3,VLOOKUP(A186,'Date Calcs'!A:AG,15,),4)))))</f>
        <v xml:space="preserve">  </v>
      </c>
      <c r="E186" s="15" t="str">
        <f>IF(_xlfn.IFNA(IF(D186="  "," ",VLOOKUP(A186,'Actual Dates'!A:AE,20,0)),"")&lt;1,"-",_xlfn.IFNA(IF(D186="  "," ",VLOOKUP(A186,'Actual Dates'!A:AE,20,0)),""))</f>
        <v xml:space="preserve"> </v>
      </c>
      <c r="F186" s="12" t="str">
        <f ca="1">IFERROR(IF(A186="","",D186-Date!$B$3),"")</f>
        <v/>
      </c>
      <c r="G186" s="20"/>
      <c r="I186" s="21" t="b">
        <f t="shared" si="9"/>
        <v>0</v>
      </c>
      <c r="J186" s="21" t="str">
        <f t="shared" si="10"/>
        <v xml:space="preserve">  </v>
      </c>
    </row>
    <row r="187" spans="1:10" ht="23.25" hidden="1" x14ac:dyDescent="0.25">
      <c r="A187" s="12">
        <f>'Drawing Submittal'!A187</f>
        <v>0</v>
      </c>
      <c r="B187" s="13" t="str">
        <f>_xlfn.IFNA(VLOOKUP(A187,'Date Calcs'!A:AG,2,),"")</f>
        <v/>
      </c>
      <c r="C187" s="14" t="str">
        <f>_xlfn.IFNA(VLOOKUP(A187,'Actual Dates'!A:AE,6,),"")</f>
        <v xml:space="preserve">  </v>
      </c>
      <c r="D187" s="15" t="str">
        <f>IF(C187="  ","  ",IF(C187=0,VLOOKUP(A187,'Date Calcs'!A:AG,9,),IF(C187=1,VLOOKUP(A187,'Date Calcs'!A:AG,11,),IF(C187=2,VLOOKUP(A187,'Date Calcs'!A:AG,13,),IF(C187=3,VLOOKUP(A187,'Date Calcs'!A:AG,15,),4)))))</f>
        <v xml:space="preserve">  </v>
      </c>
      <c r="E187" s="15" t="str">
        <f>IF(_xlfn.IFNA(IF(D187="  "," ",VLOOKUP(A187,'Actual Dates'!A:AE,20,0)),"")&lt;1,"-",_xlfn.IFNA(IF(D187="  "," ",VLOOKUP(A187,'Actual Dates'!A:AE,20,0)),""))</f>
        <v xml:space="preserve"> </v>
      </c>
      <c r="F187" s="12" t="str">
        <f ca="1">IFERROR(IF(A187="","",D187-Date!$B$3),"")</f>
        <v/>
      </c>
      <c r="G187" s="20"/>
      <c r="I187" s="21" t="b">
        <f t="shared" si="9"/>
        <v>0</v>
      </c>
      <c r="J187" s="21" t="str">
        <f t="shared" si="10"/>
        <v xml:space="preserve">  </v>
      </c>
    </row>
    <row r="188" spans="1:10" ht="23.25" hidden="1" x14ac:dyDescent="0.25">
      <c r="A188" s="12">
        <f>'Drawing Submittal'!A188</f>
        <v>0</v>
      </c>
      <c r="B188" s="13" t="str">
        <f>_xlfn.IFNA(VLOOKUP(A188,'Date Calcs'!A:AG,2,),"")</f>
        <v/>
      </c>
      <c r="C188" s="14" t="str">
        <f>_xlfn.IFNA(VLOOKUP(A188,'Actual Dates'!A:AE,6,),"")</f>
        <v xml:space="preserve">  </v>
      </c>
      <c r="D188" s="15" t="str">
        <f>IF(C188="  ","  ",IF(C188=0,VLOOKUP(A188,'Date Calcs'!A:AG,9,),IF(C188=1,VLOOKUP(A188,'Date Calcs'!A:AG,11,),IF(C188=2,VLOOKUP(A188,'Date Calcs'!A:AG,13,),IF(C188=3,VLOOKUP(A188,'Date Calcs'!A:AG,15,),4)))))</f>
        <v xml:space="preserve">  </v>
      </c>
      <c r="E188" s="15" t="str">
        <f>IF(_xlfn.IFNA(IF(D188="  "," ",VLOOKUP(A188,'Actual Dates'!A:AE,20,0)),"")&lt;1,"-",_xlfn.IFNA(IF(D188="  "," ",VLOOKUP(A188,'Actual Dates'!A:AE,20,0)),""))</f>
        <v xml:space="preserve"> </v>
      </c>
      <c r="F188" s="12" t="str">
        <f ca="1">IFERROR(IF(A188="","",D188-Date!$B$3),"")</f>
        <v/>
      </c>
      <c r="G188" s="20"/>
      <c r="I188" s="21" t="b">
        <f t="shared" si="9"/>
        <v>0</v>
      </c>
      <c r="J188" s="21" t="str">
        <f t="shared" si="10"/>
        <v xml:space="preserve">  </v>
      </c>
    </row>
    <row r="189" spans="1:10" ht="23.25" hidden="1" x14ac:dyDescent="0.25">
      <c r="A189" s="12">
        <f>'Drawing Submittal'!A189</f>
        <v>0</v>
      </c>
      <c r="B189" s="13" t="str">
        <f>_xlfn.IFNA(VLOOKUP(A189,'Date Calcs'!A:AG,2,),"")</f>
        <v/>
      </c>
      <c r="C189" s="14" t="str">
        <f>_xlfn.IFNA(VLOOKUP(A189,'Actual Dates'!A:AE,6,),"")</f>
        <v xml:space="preserve">  </v>
      </c>
      <c r="D189" s="15" t="str">
        <f>IF(C189="  ","  ",IF(C189=0,VLOOKUP(A189,'Date Calcs'!A:AG,9,),IF(C189=1,VLOOKUP(A189,'Date Calcs'!A:AG,11,),IF(C189=2,VLOOKUP(A189,'Date Calcs'!A:AG,13,),IF(C189=3,VLOOKUP(A189,'Date Calcs'!A:AG,15,),4)))))</f>
        <v xml:space="preserve">  </v>
      </c>
      <c r="E189" s="15" t="str">
        <f>IF(_xlfn.IFNA(IF(D189="  "," ",VLOOKUP(A189,'Actual Dates'!A:AE,20,0)),"")&lt;1,"-",_xlfn.IFNA(IF(D189="  "," ",VLOOKUP(A189,'Actual Dates'!A:AE,20,0)),""))</f>
        <v xml:space="preserve"> </v>
      </c>
      <c r="F189" s="12" t="str">
        <f ca="1">IFERROR(IF(A189="","",D189-Date!$B$3),"")</f>
        <v/>
      </c>
      <c r="G189" s="20"/>
      <c r="I189" s="21" t="b">
        <f t="shared" si="9"/>
        <v>0</v>
      </c>
      <c r="J189" s="21" t="str">
        <f t="shared" si="10"/>
        <v xml:space="preserve">  </v>
      </c>
    </row>
    <row r="190" spans="1:10" ht="23.25" hidden="1" x14ac:dyDescent="0.25">
      <c r="A190" s="12">
        <f>'Drawing Submittal'!A190</f>
        <v>0</v>
      </c>
      <c r="B190" s="13" t="str">
        <f>_xlfn.IFNA(VLOOKUP(A190,'Date Calcs'!A:AG,2,),"")</f>
        <v/>
      </c>
      <c r="C190" s="14" t="str">
        <f>_xlfn.IFNA(VLOOKUP(A190,'Actual Dates'!A:AE,6,),"")</f>
        <v xml:space="preserve">  </v>
      </c>
      <c r="D190" s="15" t="str">
        <f>IF(C190="  ","  ",IF(C190=0,VLOOKUP(A190,'Date Calcs'!A:AG,9,),IF(C190=1,VLOOKUP(A190,'Date Calcs'!A:AG,11,),IF(C190=2,VLOOKUP(A190,'Date Calcs'!A:AG,13,),IF(C190=3,VLOOKUP(A190,'Date Calcs'!A:AG,15,),4)))))</f>
        <v xml:space="preserve">  </v>
      </c>
      <c r="E190" s="15" t="str">
        <f>IF(_xlfn.IFNA(IF(D190="  "," ",VLOOKUP(A190,'Actual Dates'!A:AE,20,0)),"")&lt;1,"-",_xlfn.IFNA(IF(D190="  "," ",VLOOKUP(A190,'Actual Dates'!A:AE,20,0)),""))</f>
        <v xml:space="preserve"> </v>
      </c>
      <c r="F190" s="12" t="str">
        <f ca="1">IFERROR(IF(A190="","",D190-Date!$B$3),"")</f>
        <v/>
      </c>
      <c r="G190" s="20"/>
      <c r="I190" s="21" t="b">
        <f t="shared" si="9"/>
        <v>0</v>
      </c>
      <c r="J190" s="21" t="str">
        <f t="shared" si="10"/>
        <v xml:space="preserve">  </v>
      </c>
    </row>
    <row r="191" spans="1:10" ht="23.25" hidden="1" x14ac:dyDescent="0.25">
      <c r="A191" s="12">
        <f>'Drawing Submittal'!A191</f>
        <v>0</v>
      </c>
      <c r="B191" s="13" t="str">
        <f>_xlfn.IFNA(VLOOKUP(A191,'Date Calcs'!A:AG,2,),"")</f>
        <v/>
      </c>
      <c r="C191" s="14" t="str">
        <f>_xlfn.IFNA(VLOOKUP(A191,'Actual Dates'!A:AE,6,),"")</f>
        <v xml:space="preserve">  </v>
      </c>
      <c r="D191" s="15" t="str">
        <f>IF(C191="  ","  ",IF(C191=0,VLOOKUP(A191,'Date Calcs'!A:AG,9,),IF(C191=1,VLOOKUP(A191,'Date Calcs'!A:AG,11,),IF(C191=2,VLOOKUP(A191,'Date Calcs'!A:AG,13,),IF(C191=3,VLOOKUP(A191,'Date Calcs'!A:AG,15,),4)))))</f>
        <v xml:space="preserve">  </v>
      </c>
      <c r="E191" s="15" t="str">
        <f>IF(_xlfn.IFNA(IF(D191="  "," ",VLOOKUP(A191,'Actual Dates'!A:AE,20,0)),"")&lt;1,"-",_xlfn.IFNA(IF(D191="  "," ",VLOOKUP(A191,'Actual Dates'!A:AE,20,0)),""))</f>
        <v xml:space="preserve"> </v>
      </c>
      <c r="F191" s="12" t="str">
        <f ca="1">IFERROR(IF(A191="","",D191-Date!$B$3),"")</f>
        <v/>
      </c>
      <c r="G191" s="20"/>
      <c r="I191" s="21" t="b">
        <f t="shared" si="9"/>
        <v>0</v>
      </c>
      <c r="J191" s="21" t="str">
        <f t="shared" si="10"/>
        <v xml:space="preserve">  </v>
      </c>
    </row>
    <row r="192" spans="1:10" ht="23.25" hidden="1" x14ac:dyDescent="0.25">
      <c r="A192" s="12">
        <f>'Drawing Submittal'!A192</f>
        <v>0</v>
      </c>
      <c r="B192" s="13" t="str">
        <f>_xlfn.IFNA(VLOOKUP(A192,'Date Calcs'!A:AG,2,),"")</f>
        <v/>
      </c>
      <c r="C192" s="14" t="str">
        <f>_xlfn.IFNA(VLOOKUP(A192,'Actual Dates'!A:AE,6,),"")</f>
        <v xml:space="preserve">  </v>
      </c>
      <c r="D192" s="15" t="str">
        <f>IF(C192="  ","  ",IF(C192=0,VLOOKUP(A192,'Date Calcs'!A:AG,9,),IF(C192=1,VLOOKUP(A192,'Date Calcs'!A:AG,11,),IF(C192=2,VLOOKUP(A192,'Date Calcs'!A:AG,13,),IF(C192=3,VLOOKUP(A192,'Date Calcs'!A:AG,15,),4)))))</f>
        <v xml:space="preserve">  </v>
      </c>
      <c r="E192" s="15" t="str">
        <f>IF(_xlfn.IFNA(IF(D192="  "," ",VLOOKUP(A192,'Actual Dates'!A:AE,20,0)),"")&lt;1,"-",_xlfn.IFNA(IF(D192="  "," ",VLOOKUP(A192,'Actual Dates'!A:AE,20,0)),""))</f>
        <v xml:space="preserve"> </v>
      </c>
      <c r="F192" s="12" t="str">
        <f ca="1">IFERROR(IF(A192="","",D192-Date!$B$3),"")</f>
        <v/>
      </c>
      <c r="G192" s="20"/>
      <c r="I192" s="21" t="b">
        <f t="shared" si="9"/>
        <v>0</v>
      </c>
      <c r="J192" s="21" t="str">
        <f t="shared" si="10"/>
        <v xml:space="preserve">  </v>
      </c>
    </row>
    <row r="193" spans="1:10" ht="23.25" hidden="1" x14ac:dyDescent="0.25">
      <c r="A193" s="12">
        <f>'Drawing Submittal'!A193</f>
        <v>0</v>
      </c>
      <c r="B193" s="13" t="str">
        <f>_xlfn.IFNA(VLOOKUP(A193,'Date Calcs'!A:AG,2,),"")</f>
        <v/>
      </c>
      <c r="C193" s="14" t="str">
        <f>_xlfn.IFNA(VLOOKUP(A193,'Actual Dates'!A:AE,6,),"")</f>
        <v xml:space="preserve">  </v>
      </c>
      <c r="D193" s="15" t="str">
        <f>IF(C193="  ","  ",IF(C193=0,VLOOKUP(A193,'Date Calcs'!A:AG,9,),IF(C193=1,VLOOKUP(A193,'Date Calcs'!A:AG,11,),IF(C193=2,VLOOKUP(A193,'Date Calcs'!A:AG,13,),IF(C193=3,VLOOKUP(A193,'Date Calcs'!A:AG,15,),4)))))</f>
        <v xml:space="preserve">  </v>
      </c>
      <c r="E193" s="15" t="str">
        <f>IF(_xlfn.IFNA(IF(D193="  "," ",VLOOKUP(A193,'Actual Dates'!A:AE,20,0)),"")&lt;1,"-",_xlfn.IFNA(IF(D193="  "," ",VLOOKUP(A193,'Actual Dates'!A:AE,20,0)),""))</f>
        <v xml:space="preserve"> </v>
      </c>
      <c r="F193" s="12" t="str">
        <f ca="1">IFERROR(IF(A193="","",D193-Date!$B$3),"")</f>
        <v/>
      </c>
      <c r="G193" s="20"/>
      <c r="I193" s="21" t="b">
        <f t="shared" si="9"/>
        <v>0</v>
      </c>
      <c r="J193" s="21" t="str">
        <f t="shared" si="10"/>
        <v xml:space="preserve">  </v>
      </c>
    </row>
    <row r="194" spans="1:10" ht="23.25" hidden="1" x14ac:dyDescent="0.25">
      <c r="A194" s="12">
        <f>'Drawing Submittal'!A194</f>
        <v>0</v>
      </c>
      <c r="B194" s="13" t="str">
        <f>_xlfn.IFNA(VLOOKUP(A194,'Date Calcs'!A:AG,2,),"")</f>
        <v/>
      </c>
      <c r="C194" s="14" t="str">
        <f>_xlfn.IFNA(VLOOKUP(A194,'Actual Dates'!A:AE,6,),"")</f>
        <v xml:space="preserve">  </v>
      </c>
      <c r="D194" s="15" t="str">
        <f>IF(C194="  ","  ",IF(C194=0,VLOOKUP(A194,'Date Calcs'!A:AG,9,),IF(C194=1,VLOOKUP(A194,'Date Calcs'!A:AG,11,),IF(C194=2,VLOOKUP(A194,'Date Calcs'!A:AG,13,),IF(C194=3,VLOOKUP(A194,'Date Calcs'!A:AG,15,),4)))))</f>
        <v xml:space="preserve">  </v>
      </c>
      <c r="E194" s="15" t="str">
        <f>IF(_xlfn.IFNA(IF(D194="  "," ",VLOOKUP(A194,'Actual Dates'!A:AE,20,0)),"")&lt;1,"-",_xlfn.IFNA(IF(D194="  "," ",VLOOKUP(A194,'Actual Dates'!A:AE,20,0)),""))</f>
        <v xml:space="preserve"> </v>
      </c>
      <c r="F194" s="12" t="str">
        <f ca="1">IFERROR(IF(A194="","",D194-Date!$B$3),"")</f>
        <v/>
      </c>
      <c r="G194" s="20"/>
      <c r="I194" s="21" t="b">
        <f t="shared" si="9"/>
        <v>0</v>
      </c>
      <c r="J194" s="21" t="str">
        <f t="shared" si="10"/>
        <v xml:space="preserve">  </v>
      </c>
    </row>
    <row r="195" spans="1:10" ht="23.25" hidden="1" x14ac:dyDescent="0.25">
      <c r="A195" s="12">
        <f>'Drawing Submittal'!A195</f>
        <v>0</v>
      </c>
      <c r="B195" s="13" t="str">
        <f>_xlfn.IFNA(VLOOKUP(A195,'Date Calcs'!A:AG,2,),"")</f>
        <v/>
      </c>
      <c r="C195" s="14" t="str">
        <f>_xlfn.IFNA(VLOOKUP(A195,'Actual Dates'!A:AE,6,),"")</f>
        <v xml:space="preserve">  </v>
      </c>
      <c r="D195" s="15" t="str">
        <f>IF(C195="  ","  ",IF(C195=0,VLOOKUP(A195,'Date Calcs'!A:AG,9,),IF(C195=1,VLOOKUP(A195,'Date Calcs'!A:AG,11,),IF(C195=2,VLOOKUP(A195,'Date Calcs'!A:AG,13,),IF(C195=3,VLOOKUP(A195,'Date Calcs'!A:AG,15,),4)))))</f>
        <v xml:space="preserve">  </v>
      </c>
      <c r="E195" s="15" t="str">
        <f>IF(_xlfn.IFNA(IF(D195="  "," ",VLOOKUP(A195,'Actual Dates'!A:AE,20,0)),"")&lt;1,"-",_xlfn.IFNA(IF(D195="  "," ",VLOOKUP(A195,'Actual Dates'!A:AE,20,0)),""))</f>
        <v xml:space="preserve"> </v>
      </c>
      <c r="F195" s="12" t="str">
        <f ca="1">IFERROR(IF(A195="","",D195-Date!$B$3),"")</f>
        <v/>
      </c>
      <c r="G195" s="20"/>
      <c r="I195" s="21" t="b">
        <f t="shared" si="9"/>
        <v>0</v>
      </c>
      <c r="J195" s="21" t="str">
        <f t="shared" si="10"/>
        <v xml:space="preserve">  </v>
      </c>
    </row>
    <row r="196" spans="1:10" ht="23.25" hidden="1" x14ac:dyDescent="0.25">
      <c r="A196" s="12">
        <f>'Drawing Submittal'!A196</f>
        <v>0</v>
      </c>
      <c r="B196" s="13" t="str">
        <f>_xlfn.IFNA(VLOOKUP(A196,'Date Calcs'!A:AG,2,),"")</f>
        <v/>
      </c>
      <c r="C196" s="14" t="str">
        <f>_xlfn.IFNA(VLOOKUP(A196,'Actual Dates'!A:AE,6,),"")</f>
        <v xml:space="preserve">  </v>
      </c>
      <c r="D196" s="15" t="str">
        <f>IF(C196="  ","  ",IF(C196=0,VLOOKUP(A196,'Date Calcs'!A:AG,9,),IF(C196=1,VLOOKUP(A196,'Date Calcs'!A:AG,11,),IF(C196=2,VLOOKUP(A196,'Date Calcs'!A:AG,13,),IF(C196=3,VLOOKUP(A196,'Date Calcs'!A:AG,15,),4)))))</f>
        <v xml:space="preserve">  </v>
      </c>
      <c r="E196" s="15" t="str">
        <f>IF(_xlfn.IFNA(IF(D196="  "," ",VLOOKUP(A196,'Actual Dates'!A:AE,20,0)),"")&lt;1,"-",_xlfn.IFNA(IF(D196="  "," ",VLOOKUP(A196,'Actual Dates'!A:AE,20,0)),""))</f>
        <v xml:space="preserve"> </v>
      </c>
      <c r="F196" s="12" t="str">
        <f ca="1">IFERROR(IF(A196="","",D196-Date!$B$3),"")</f>
        <v/>
      </c>
      <c r="G196" s="20"/>
      <c r="I196" s="21" t="b">
        <f t="shared" si="9"/>
        <v>0</v>
      </c>
      <c r="J196" s="21" t="str">
        <f t="shared" si="10"/>
        <v xml:space="preserve">  </v>
      </c>
    </row>
    <row r="197" spans="1:10" ht="23.25" hidden="1" x14ac:dyDescent="0.25">
      <c r="A197" s="12">
        <f>'Drawing Submittal'!A197</f>
        <v>0</v>
      </c>
      <c r="B197" s="13" t="str">
        <f>_xlfn.IFNA(VLOOKUP(A197,'Date Calcs'!A:AG,2,),"")</f>
        <v/>
      </c>
      <c r="C197" s="14" t="str">
        <f>_xlfn.IFNA(VLOOKUP(A197,'Actual Dates'!A:AE,6,),"")</f>
        <v xml:space="preserve">  </v>
      </c>
      <c r="D197" s="15" t="str">
        <f>IF(C197="  ","  ",IF(C197=0,VLOOKUP(A197,'Date Calcs'!A:AG,9,),IF(C197=1,VLOOKUP(A197,'Date Calcs'!A:AG,11,),IF(C197=2,VLOOKUP(A197,'Date Calcs'!A:AG,13,),IF(C197=3,VLOOKUP(A197,'Date Calcs'!A:AG,15,),4)))))</f>
        <v xml:space="preserve">  </v>
      </c>
      <c r="E197" s="15" t="str">
        <f>IF(_xlfn.IFNA(IF(D197="  "," ",VLOOKUP(A197,'Actual Dates'!A:AE,20,0)),"")&lt;1,"-",_xlfn.IFNA(IF(D197="  "," ",VLOOKUP(A197,'Actual Dates'!A:AE,20,0)),""))</f>
        <v xml:space="preserve"> </v>
      </c>
      <c r="F197" s="12" t="str">
        <f ca="1">IFERROR(IF(A197="","",D197-Date!$B$3),"")</f>
        <v/>
      </c>
      <c r="G197" s="20"/>
      <c r="I197" s="21" t="b">
        <f t="shared" si="9"/>
        <v>0</v>
      </c>
      <c r="J197" s="21" t="str">
        <f t="shared" si="10"/>
        <v xml:space="preserve">  </v>
      </c>
    </row>
    <row r="198" spans="1:10" ht="23.25" hidden="1" x14ac:dyDescent="0.25">
      <c r="A198" s="12">
        <f>'Drawing Submittal'!A198</f>
        <v>0</v>
      </c>
      <c r="B198" s="13" t="str">
        <f>_xlfn.IFNA(VLOOKUP(A198,'Date Calcs'!A:AG,2,),"")</f>
        <v/>
      </c>
      <c r="C198" s="14" t="str">
        <f>_xlfn.IFNA(VLOOKUP(A198,'Actual Dates'!A:AE,6,),"")</f>
        <v xml:space="preserve">  </v>
      </c>
      <c r="D198" s="15" t="str">
        <f>IF(C198="  ","  ",IF(C198=0,VLOOKUP(A198,'Date Calcs'!A:AG,9,),IF(C198=1,VLOOKUP(A198,'Date Calcs'!A:AG,11,),IF(C198=2,VLOOKUP(A198,'Date Calcs'!A:AG,13,),IF(C198=3,VLOOKUP(A198,'Date Calcs'!A:AG,15,),4)))))</f>
        <v xml:space="preserve">  </v>
      </c>
      <c r="E198" s="15" t="str">
        <f>IF(_xlfn.IFNA(IF(D198="  "," ",VLOOKUP(A198,'Actual Dates'!A:AE,20,0)),"")&lt;1,"-",_xlfn.IFNA(IF(D198="  "," ",VLOOKUP(A198,'Actual Dates'!A:AE,20,0)),""))</f>
        <v xml:space="preserve"> </v>
      </c>
      <c r="F198" s="12" t="str">
        <f ca="1">IFERROR(IF(A198="","",D198-Date!$B$3),"")</f>
        <v/>
      </c>
      <c r="G198" s="20"/>
      <c r="I198" s="21" t="b">
        <f t="shared" ref="I198:I261" si="11">IF(C198=0,IF(VLOOKUP(A198,Dates,9,)&gt;0,1,"  "),IF(C198=1,IF(VLOOKUP(A198,Dates,11,)&gt;0,1,"  "),IF(C198=2,IF(VLOOKUP(A198,Dates,13,)&gt;0,1,"  "),IF(C198=3,IF(VLOOKUP(A198,Dates,15,)&gt;0,1,"  ")))))</f>
        <v>0</v>
      </c>
      <c r="J198" s="21" t="str">
        <f t="shared" si="10"/>
        <v xml:space="preserve">  </v>
      </c>
    </row>
    <row r="199" spans="1:10" ht="23.25" hidden="1" x14ac:dyDescent="0.25">
      <c r="A199" s="12">
        <f>'Drawing Submittal'!A199</f>
        <v>0</v>
      </c>
      <c r="B199" s="13" t="str">
        <f>_xlfn.IFNA(VLOOKUP(A199,'Date Calcs'!A:AG,2,),"")</f>
        <v/>
      </c>
      <c r="C199" s="14" t="str">
        <f>_xlfn.IFNA(VLOOKUP(A199,'Actual Dates'!A:AE,6,),"")</f>
        <v xml:space="preserve">  </v>
      </c>
      <c r="D199" s="15" t="str">
        <f>IF(C199="  ","  ",IF(C199=0,VLOOKUP(A199,'Date Calcs'!A:AG,9,),IF(C199=1,VLOOKUP(A199,'Date Calcs'!A:AG,11,),IF(C199=2,VLOOKUP(A199,'Date Calcs'!A:AG,13,),IF(C199=3,VLOOKUP(A199,'Date Calcs'!A:AG,15,),4)))))</f>
        <v xml:space="preserve">  </v>
      </c>
      <c r="E199" s="15" t="str">
        <f>IF(_xlfn.IFNA(IF(D199="  "," ",VLOOKUP(A199,'Actual Dates'!A:AE,20,0)),"")&lt;1,"-",_xlfn.IFNA(IF(D199="  "," ",VLOOKUP(A199,'Actual Dates'!A:AE,20,0)),""))</f>
        <v xml:space="preserve"> </v>
      </c>
      <c r="F199" s="12" t="str">
        <f ca="1">IFERROR(IF(A199="","",D199-Date!$B$3),"")</f>
        <v/>
      </c>
      <c r="G199" s="20"/>
      <c r="I199" s="21" t="b">
        <f t="shared" si="11"/>
        <v>0</v>
      </c>
      <c r="J199" s="21" t="str">
        <f t="shared" si="10"/>
        <v xml:space="preserve">  </v>
      </c>
    </row>
    <row r="200" spans="1:10" ht="23.25" hidden="1" x14ac:dyDescent="0.25">
      <c r="A200" s="12">
        <f>'Drawing Submittal'!A200</f>
        <v>0</v>
      </c>
      <c r="B200" s="13" t="str">
        <f>_xlfn.IFNA(VLOOKUP(A200,'Date Calcs'!A:AG,2,),"")</f>
        <v/>
      </c>
      <c r="C200" s="14" t="str">
        <f>_xlfn.IFNA(VLOOKUP(A200,'Actual Dates'!A:AE,6,),"")</f>
        <v xml:space="preserve">  </v>
      </c>
      <c r="D200" s="15" t="str">
        <f>IF(C200="  ","  ",IF(C200=0,VLOOKUP(A200,'Date Calcs'!A:AG,9,),IF(C200=1,VLOOKUP(A200,'Date Calcs'!A:AG,11,),IF(C200=2,VLOOKUP(A200,'Date Calcs'!A:AG,13,),IF(C200=3,VLOOKUP(A200,'Date Calcs'!A:AG,15,),4)))))</f>
        <v xml:space="preserve">  </v>
      </c>
      <c r="E200" s="15" t="str">
        <f>IF(_xlfn.IFNA(IF(D200="  "," ",VLOOKUP(A200,'Actual Dates'!A:AE,20,0)),"")&lt;1,"-",_xlfn.IFNA(IF(D200="  "," ",VLOOKUP(A200,'Actual Dates'!A:AE,20,0)),""))</f>
        <v xml:space="preserve"> </v>
      </c>
      <c r="F200" s="12" t="str">
        <f ca="1">IFERROR(IF(A200="","",D200-Date!$B$3),"")</f>
        <v/>
      </c>
      <c r="G200" s="20"/>
      <c r="I200" s="21" t="b">
        <f t="shared" si="11"/>
        <v>0</v>
      </c>
      <c r="J200" s="21" t="str">
        <f t="shared" si="10"/>
        <v xml:space="preserve">  </v>
      </c>
    </row>
    <row r="201" spans="1:10" ht="23.25" hidden="1" x14ac:dyDescent="0.25">
      <c r="A201" s="12">
        <f>'Drawing Submittal'!A201</f>
        <v>0</v>
      </c>
      <c r="B201" s="13" t="str">
        <f>_xlfn.IFNA(VLOOKUP(A201,'Date Calcs'!A:AG,2,),"")</f>
        <v/>
      </c>
      <c r="C201" s="14" t="str">
        <f>_xlfn.IFNA(VLOOKUP(A201,'Actual Dates'!A:AE,6,),"")</f>
        <v xml:space="preserve">  </v>
      </c>
      <c r="D201" s="15" t="str">
        <f>IF(C201="  ","  ",IF(C201=0,VLOOKUP(A201,'Date Calcs'!A:AG,9,),IF(C201=1,VLOOKUP(A201,'Date Calcs'!A:AG,11,),IF(C201=2,VLOOKUP(A201,'Date Calcs'!A:AG,13,),IF(C201=3,VLOOKUP(A201,'Date Calcs'!A:AG,15,),4)))))</f>
        <v xml:space="preserve">  </v>
      </c>
      <c r="E201" s="15" t="str">
        <f>IF(_xlfn.IFNA(IF(D201="  "," ",VLOOKUP(A201,'Actual Dates'!A:AE,20,0)),"")&lt;1,"-",_xlfn.IFNA(IF(D201="  "," ",VLOOKUP(A201,'Actual Dates'!A:AE,20,0)),""))</f>
        <v xml:space="preserve"> </v>
      </c>
      <c r="F201" s="12" t="str">
        <f ca="1">IFERROR(IF(A201="","",D201-Date!$B$3),"")</f>
        <v/>
      </c>
      <c r="G201" s="20"/>
      <c r="I201" s="21" t="b">
        <f t="shared" si="11"/>
        <v>0</v>
      </c>
      <c r="J201" s="21" t="str">
        <f t="shared" si="10"/>
        <v xml:space="preserve">  </v>
      </c>
    </row>
    <row r="202" spans="1:10" ht="23.25" hidden="1" x14ac:dyDescent="0.25">
      <c r="A202" s="12">
        <f>'Drawing Submittal'!A202</f>
        <v>0</v>
      </c>
      <c r="B202" s="13" t="str">
        <f>_xlfn.IFNA(VLOOKUP(A202,'Date Calcs'!A:AG,2,),"")</f>
        <v/>
      </c>
      <c r="C202" s="14" t="str">
        <f>_xlfn.IFNA(VLOOKUP(A202,'Actual Dates'!A:AE,6,),"")</f>
        <v xml:space="preserve">  </v>
      </c>
      <c r="D202" s="15" t="str">
        <f>IF(C202="  ","  ",IF(C202=0,VLOOKUP(A202,'Date Calcs'!A:AG,9,),IF(C202=1,VLOOKUP(A202,'Date Calcs'!A:AG,11,),IF(C202=2,VLOOKUP(A202,'Date Calcs'!A:AG,13,),IF(C202=3,VLOOKUP(A202,'Date Calcs'!A:AG,15,),4)))))</f>
        <v xml:space="preserve">  </v>
      </c>
      <c r="E202" s="15" t="str">
        <f>IF(_xlfn.IFNA(IF(D202="  "," ",VLOOKUP(A202,'Actual Dates'!A:AE,20,0)),"")&lt;1,"-",_xlfn.IFNA(IF(D202="  "," ",VLOOKUP(A202,'Actual Dates'!A:AE,20,0)),""))</f>
        <v xml:space="preserve"> </v>
      </c>
      <c r="F202" s="12" t="str">
        <f ca="1">IFERROR(IF(A202="","",D202-Date!$B$3),"")</f>
        <v/>
      </c>
      <c r="G202" s="20"/>
      <c r="I202" s="21" t="b">
        <f t="shared" si="11"/>
        <v>0</v>
      </c>
      <c r="J202" s="21" t="str">
        <f t="shared" si="10"/>
        <v xml:space="preserve">  </v>
      </c>
    </row>
    <row r="203" spans="1:10" ht="23.25" hidden="1" x14ac:dyDescent="0.25">
      <c r="A203" s="12">
        <f>'Drawing Submittal'!A203</f>
        <v>0</v>
      </c>
      <c r="B203" s="13" t="str">
        <f>_xlfn.IFNA(VLOOKUP(A203,'Date Calcs'!A:AG,2,),"")</f>
        <v/>
      </c>
      <c r="C203" s="14" t="str">
        <f>_xlfn.IFNA(VLOOKUP(A203,'Actual Dates'!A:AE,6,),"")</f>
        <v xml:space="preserve">  </v>
      </c>
      <c r="D203" s="15" t="str">
        <f>IF(C203="  ","  ",IF(C203=0,VLOOKUP(A203,'Date Calcs'!A:AG,9,),IF(C203=1,VLOOKUP(A203,'Date Calcs'!A:AG,11,),IF(C203=2,VLOOKUP(A203,'Date Calcs'!A:AG,13,),IF(C203=3,VLOOKUP(A203,'Date Calcs'!A:AG,15,),4)))))</f>
        <v xml:space="preserve">  </v>
      </c>
      <c r="E203" s="15" t="str">
        <f>IF(_xlfn.IFNA(IF(D203="  "," ",VLOOKUP(A203,'Actual Dates'!A:AE,20,0)),"")&lt;1,"-",_xlfn.IFNA(IF(D203="  "," ",VLOOKUP(A203,'Actual Dates'!A:AE,20,0)),""))</f>
        <v xml:space="preserve"> </v>
      </c>
      <c r="F203" s="12" t="str">
        <f ca="1">IFERROR(IF(A203="","",D203-Date!$B$3),"")</f>
        <v/>
      </c>
      <c r="G203" s="20"/>
      <c r="I203" s="21" t="b">
        <f t="shared" si="11"/>
        <v>0</v>
      </c>
      <c r="J203" s="21" t="str">
        <f t="shared" si="10"/>
        <v xml:space="preserve">  </v>
      </c>
    </row>
    <row r="204" spans="1:10" ht="23.25" hidden="1" x14ac:dyDescent="0.25">
      <c r="A204" s="12">
        <f>'Drawing Submittal'!A204</f>
        <v>0</v>
      </c>
      <c r="B204" s="13" t="str">
        <f>_xlfn.IFNA(VLOOKUP(A204,'Date Calcs'!A:AG,2,),"")</f>
        <v/>
      </c>
      <c r="C204" s="14" t="str">
        <f>_xlfn.IFNA(VLOOKUP(A204,'Actual Dates'!A:AE,6,),"")</f>
        <v xml:space="preserve">  </v>
      </c>
      <c r="D204" s="15" t="str">
        <f>IF(C204="  ","  ",IF(C204=0,VLOOKUP(A204,'Date Calcs'!A:AG,9,),IF(C204=1,VLOOKUP(A204,'Date Calcs'!A:AG,11,),IF(C204=2,VLOOKUP(A204,'Date Calcs'!A:AG,13,),IF(C204=3,VLOOKUP(A204,'Date Calcs'!A:AG,15,),4)))))</f>
        <v xml:space="preserve">  </v>
      </c>
      <c r="E204" s="15" t="str">
        <f>IF(_xlfn.IFNA(IF(D204="  "," ",VLOOKUP(A204,'Actual Dates'!A:AE,20,0)),"")&lt;1,"-",_xlfn.IFNA(IF(D204="  "," ",VLOOKUP(A204,'Actual Dates'!A:AE,20,0)),""))</f>
        <v xml:space="preserve"> </v>
      </c>
      <c r="F204" s="12" t="str">
        <f ca="1">IFERROR(IF(A204="","",D204-Date!$B$3),"")</f>
        <v/>
      </c>
      <c r="G204" s="20"/>
      <c r="I204" s="21" t="b">
        <f t="shared" si="11"/>
        <v>0</v>
      </c>
      <c r="J204" s="21" t="str">
        <f t="shared" si="10"/>
        <v xml:space="preserve">  </v>
      </c>
    </row>
    <row r="205" spans="1:10" ht="23.25" hidden="1" x14ac:dyDescent="0.25">
      <c r="A205" s="12">
        <f>'Drawing Submittal'!A205</f>
        <v>0</v>
      </c>
      <c r="B205" s="13" t="str">
        <f>_xlfn.IFNA(VLOOKUP(A205,'Date Calcs'!A:AG,2,),"")</f>
        <v/>
      </c>
      <c r="C205" s="14" t="str">
        <f>_xlfn.IFNA(VLOOKUP(A205,'Actual Dates'!A:AE,6,),"")</f>
        <v xml:space="preserve">  </v>
      </c>
      <c r="D205" s="15" t="str">
        <f>IF(C205="  ","  ",IF(C205=0,VLOOKUP(A205,'Date Calcs'!A:AG,9,),IF(C205=1,VLOOKUP(A205,'Date Calcs'!A:AG,11,),IF(C205=2,VLOOKUP(A205,'Date Calcs'!A:AG,13,),IF(C205=3,VLOOKUP(A205,'Date Calcs'!A:AG,15,),4)))))</f>
        <v xml:space="preserve">  </v>
      </c>
      <c r="E205" s="15" t="str">
        <f>IF(_xlfn.IFNA(IF(D205="  "," ",VLOOKUP(A205,'Actual Dates'!A:AE,20,0)),"")&lt;1,"-",_xlfn.IFNA(IF(D205="  "," ",VLOOKUP(A205,'Actual Dates'!A:AE,20,0)),""))</f>
        <v xml:space="preserve"> </v>
      </c>
      <c r="F205" s="12" t="str">
        <f ca="1">IFERROR(IF(A205="","",D205-Date!$B$3),"")</f>
        <v/>
      </c>
      <c r="G205" s="20"/>
      <c r="I205" s="21" t="b">
        <f t="shared" si="11"/>
        <v>0</v>
      </c>
      <c r="J205" s="21" t="str">
        <f t="shared" si="10"/>
        <v xml:space="preserve">  </v>
      </c>
    </row>
    <row r="206" spans="1:10" ht="23.25" hidden="1" x14ac:dyDescent="0.25">
      <c r="A206" s="12">
        <f>'Drawing Submittal'!A206</f>
        <v>0</v>
      </c>
      <c r="B206" s="13" t="str">
        <f>_xlfn.IFNA(VLOOKUP(A206,'Date Calcs'!A:AG,2,),"")</f>
        <v/>
      </c>
      <c r="C206" s="14" t="str">
        <f>_xlfn.IFNA(VLOOKUP(A206,'Actual Dates'!A:AE,6,),"")</f>
        <v xml:space="preserve">  </v>
      </c>
      <c r="D206" s="15" t="str">
        <f>IF(C206="  ","  ",IF(C206=0,VLOOKUP(A206,'Date Calcs'!A:AG,9,),IF(C206=1,VLOOKUP(A206,'Date Calcs'!A:AG,11,),IF(C206=2,VLOOKUP(A206,'Date Calcs'!A:AG,13,),IF(C206=3,VLOOKUP(A206,'Date Calcs'!A:AG,15,),4)))))</f>
        <v xml:space="preserve">  </v>
      </c>
      <c r="E206" s="15" t="str">
        <f>IF(_xlfn.IFNA(IF(D206="  "," ",VLOOKUP(A206,'Actual Dates'!A:AE,20,0)),"")&lt;1,"-",_xlfn.IFNA(IF(D206="  "," ",VLOOKUP(A206,'Actual Dates'!A:AE,20,0)),""))</f>
        <v xml:space="preserve"> </v>
      </c>
      <c r="F206" s="12" t="str">
        <f ca="1">IFERROR(IF(A206="","",D206-Date!$B$3),"")</f>
        <v/>
      </c>
      <c r="G206" s="20"/>
      <c r="I206" s="21" t="b">
        <f t="shared" si="11"/>
        <v>0</v>
      </c>
      <c r="J206" s="21" t="str">
        <f t="shared" si="10"/>
        <v xml:space="preserve">  </v>
      </c>
    </row>
    <row r="207" spans="1:10" ht="23.25" hidden="1" x14ac:dyDescent="0.25">
      <c r="A207" s="12">
        <f>'Drawing Submittal'!A207</f>
        <v>0</v>
      </c>
      <c r="B207" s="13" t="str">
        <f>_xlfn.IFNA(VLOOKUP(A207,'Date Calcs'!A:AG,2,),"")</f>
        <v/>
      </c>
      <c r="C207" s="14" t="str">
        <f>_xlfn.IFNA(VLOOKUP(A207,'Actual Dates'!A:AE,6,),"")</f>
        <v xml:space="preserve">  </v>
      </c>
      <c r="D207" s="15" t="str">
        <f>IF(C207="  ","  ",IF(C207=0,VLOOKUP(A207,'Date Calcs'!A:AG,9,),IF(C207=1,VLOOKUP(A207,'Date Calcs'!A:AG,11,),IF(C207=2,VLOOKUP(A207,'Date Calcs'!A:AG,13,),IF(C207=3,VLOOKUP(A207,'Date Calcs'!A:AG,15,),4)))))</f>
        <v xml:space="preserve">  </v>
      </c>
      <c r="E207" s="15" t="str">
        <f>IF(_xlfn.IFNA(IF(D207="  "," ",VLOOKUP(A207,'Actual Dates'!A:AE,20,0)),"")&lt;1,"-",_xlfn.IFNA(IF(D207="  "," ",VLOOKUP(A207,'Actual Dates'!A:AE,20,0)),""))</f>
        <v xml:space="preserve"> </v>
      </c>
      <c r="F207" s="12" t="str">
        <f ca="1">IFERROR(IF(A207="","",D207-Date!$B$3),"")</f>
        <v/>
      </c>
      <c r="G207" s="20"/>
      <c r="I207" s="21" t="b">
        <f t="shared" si="11"/>
        <v>0</v>
      </c>
      <c r="J207" s="21" t="str">
        <f t="shared" si="10"/>
        <v xml:space="preserve">  </v>
      </c>
    </row>
    <row r="208" spans="1:10" ht="23.25" hidden="1" x14ac:dyDescent="0.25">
      <c r="A208" s="12">
        <f>'Drawing Submittal'!A208</f>
        <v>0</v>
      </c>
      <c r="B208" s="13" t="str">
        <f>_xlfn.IFNA(VLOOKUP(A208,'Date Calcs'!A:AG,2,),"")</f>
        <v/>
      </c>
      <c r="C208" s="14" t="str">
        <f>_xlfn.IFNA(VLOOKUP(A208,'Actual Dates'!A:AE,6,),"")</f>
        <v xml:space="preserve">  </v>
      </c>
      <c r="D208" s="15" t="str">
        <f>IF(C208="  ","  ",IF(C208=0,VLOOKUP(A208,'Date Calcs'!A:AG,9,),IF(C208=1,VLOOKUP(A208,'Date Calcs'!A:AG,11,),IF(C208=2,VLOOKUP(A208,'Date Calcs'!A:AG,13,),IF(C208=3,VLOOKUP(A208,'Date Calcs'!A:AG,15,),4)))))</f>
        <v xml:space="preserve">  </v>
      </c>
      <c r="E208" s="15" t="str">
        <f>IF(_xlfn.IFNA(IF(D208="  "," ",VLOOKUP(A208,'Actual Dates'!A:AE,20,0)),"")&lt;1,"-",_xlfn.IFNA(IF(D208="  "," ",VLOOKUP(A208,'Actual Dates'!A:AE,20,0)),""))</f>
        <v xml:space="preserve"> </v>
      </c>
      <c r="F208" s="12" t="str">
        <f ca="1">IFERROR(IF(A208="","",D208-Date!$B$3),"")</f>
        <v/>
      </c>
      <c r="G208" s="20"/>
      <c r="I208" s="21" t="b">
        <f t="shared" si="11"/>
        <v>0</v>
      </c>
      <c r="J208" s="21" t="str">
        <f t="shared" si="10"/>
        <v xml:space="preserve">  </v>
      </c>
    </row>
    <row r="209" spans="1:10" ht="23.25" hidden="1" x14ac:dyDescent="0.25">
      <c r="A209" s="12">
        <f>'Drawing Submittal'!A209</f>
        <v>0</v>
      </c>
      <c r="B209" s="13" t="str">
        <f>_xlfn.IFNA(VLOOKUP(A209,'Date Calcs'!A:AG,2,),"")</f>
        <v/>
      </c>
      <c r="C209" s="14" t="str">
        <f>_xlfn.IFNA(VLOOKUP(A209,'Actual Dates'!A:AE,6,),"")</f>
        <v xml:space="preserve">  </v>
      </c>
      <c r="D209" s="15" t="str">
        <f>IF(C209="  ","  ",IF(C209=0,VLOOKUP(A209,'Date Calcs'!A:AG,9,),IF(C209=1,VLOOKUP(A209,'Date Calcs'!A:AG,11,),IF(C209=2,VLOOKUP(A209,'Date Calcs'!A:AG,13,),IF(C209=3,VLOOKUP(A209,'Date Calcs'!A:AG,15,),4)))))</f>
        <v xml:space="preserve">  </v>
      </c>
      <c r="E209" s="15" t="str">
        <f>IF(_xlfn.IFNA(IF(D209="  "," ",VLOOKUP(A209,'Actual Dates'!A:AE,20,0)),"")&lt;1,"-",_xlfn.IFNA(IF(D209="  "," ",VLOOKUP(A209,'Actual Dates'!A:AE,20,0)),""))</f>
        <v xml:space="preserve"> </v>
      </c>
      <c r="F209" s="12" t="str">
        <f ca="1">IFERROR(IF(A209="","",D209-Date!$B$3),"")</f>
        <v/>
      </c>
      <c r="G209" s="20"/>
      <c r="I209" s="21" t="b">
        <f t="shared" si="11"/>
        <v>0</v>
      </c>
      <c r="J209" s="21" t="str">
        <f t="shared" si="10"/>
        <v xml:space="preserve">  </v>
      </c>
    </row>
    <row r="210" spans="1:10" ht="23.25" hidden="1" x14ac:dyDescent="0.25">
      <c r="A210" s="12">
        <f>'Drawing Submittal'!A210</f>
        <v>0</v>
      </c>
      <c r="B210" s="13" t="str">
        <f>_xlfn.IFNA(VLOOKUP(A210,'Date Calcs'!A:AG,2,),"")</f>
        <v/>
      </c>
      <c r="C210" s="14" t="str">
        <f>_xlfn.IFNA(VLOOKUP(A210,'Actual Dates'!A:AE,6,),"")</f>
        <v xml:space="preserve">  </v>
      </c>
      <c r="D210" s="15" t="str">
        <f>IF(C210="  ","  ",IF(C210=0,VLOOKUP(A210,'Date Calcs'!A:AG,9,),IF(C210=1,VLOOKUP(A210,'Date Calcs'!A:AG,11,),IF(C210=2,VLOOKUP(A210,'Date Calcs'!A:AG,13,),IF(C210=3,VLOOKUP(A210,'Date Calcs'!A:AG,15,),4)))))</f>
        <v xml:space="preserve">  </v>
      </c>
      <c r="E210" s="15" t="str">
        <f>IF(_xlfn.IFNA(IF(D210="  "," ",VLOOKUP(A210,'Actual Dates'!A:AE,20,0)),"")&lt;1,"-",_xlfn.IFNA(IF(D210="  "," ",VLOOKUP(A210,'Actual Dates'!A:AE,20,0)),""))</f>
        <v xml:space="preserve"> </v>
      </c>
      <c r="F210" s="12" t="str">
        <f ca="1">IFERROR(IF(A210="","",D210-Date!$B$3),"")</f>
        <v/>
      </c>
      <c r="G210" s="20"/>
      <c r="I210" s="21" t="b">
        <f t="shared" si="11"/>
        <v>0</v>
      </c>
      <c r="J210" s="21" t="str">
        <f t="shared" si="10"/>
        <v xml:space="preserve">  </v>
      </c>
    </row>
    <row r="211" spans="1:10" ht="23.25" hidden="1" x14ac:dyDescent="0.25">
      <c r="A211" s="12">
        <f>'Drawing Submittal'!A211</f>
        <v>0</v>
      </c>
      <c r="B211" s="13" t="str">
        <f>_xlfn.IFNA(VLOOKUP(A211,'Date Calcs'!A:AG,2,),"")</f>
        <v/>
      </c>
      <c r="C211" s="14" t="str">
        <f>_xlfn.IFNA(VLOOKUP(A211,'Actual Dates'!A:AE,6,),"")</f>
        <v xml:space="preserve">  </v>
      </c>
      <c r="D211" s="15" t="str">
        <f>IF(C211="  ","  ",IF(C211=0,VLOOKUP(A211,'Date Calcs'!A:AG,9,),IF(C211=1,VLOOKUP(A211,'Date Calcs'!A:AG,11,),IF(C211=2,VLOOKUP(A211,'Date Calcs'!A:AG,13,),IF(C211=3,VLOOKUP(A211,'Date Calcs'!A:AG,15,),4)))))</f>
        <v xml:space="preserve">  </v>
      </c>
      <c r="E211" s="15" t="str">
        <f>IF(_xlfn.IFNA(IF(D211="  "," ",VLOOKUP(A211,'Actual Dates'!A:AE,20,0)),"")&lt;1,"-",_xlfn.IFNA(IF(D211="  "," ",VLOOKUP(A211,'Actual Dates'!A:AE,20,0)),""))</f>
        <v xml:space="preserve"> </v>
      </c>
      <c r="F211" s="12" t="str">
        <f ca="1">IFERROR(IF(A211="","",D211-Date!$B$3),"")</f>
        <v/>
      </c>
      <c r="G211" s="20"/>
      <c r="I211" s="21" t="b">
        <f t="shared" si="11"/>
        <v>0</v>
      </c>
      <c r="J211" s="21" t="str">
        <f t="shared" si="10"/>
        <v xml:space="preserve">  </v>
      </c>
    </row>
    <row r="212" spans="1:10" ht="23.25" hidden="1" x14ac:dyDescent="0.25">
      <c r="A212" s="12">
        <f>'Drawing Submittal'!A212</f>
        <v>0</v>
      </c>
      <c r="B212" s="13" t="str">
        <f>_xlfn.IFNA(VLOOKUP(A212,'Date Calcs'!A:AG,2,),"")</f>
        <v/>
      </c>
      <c r="C212" s="14" t="str">
        <f>_xlfn.IFNA(VLOOKUP(A212,'Actual Dates'!A:AE,6,),"")</f>
        <v xml:space="preserve">  </v>
      </c>
      <c r="D212" s="15" t="str">
        <f>IF(C212="  ","  ",IF(C212=0,VLOOKUP(A212,'Date Calcs'!A:AG,9,),IF(C212=1,VLOOKUP(A212,'Date Calcs'!A:AG,11,),IF(C212=2,VLOOKUP(A212,'Date Calcs'!A:AG,13,),IF(C212=3,VLOOKUP(A212,'Date Calcs'!A:AG,15,),4)))))</f>
        <v xml:space="preserve">  </v>
      </c>
      <c r="E212" s="15" t="str">
        <f>IF(_xlfn.IFNA(IF(D212="  "," ",VLOOKUP(A212,'Actual Dates'!A:AE,20,0)),"")&lt;1,"-",_xlfn.IFNA(IF(D212="  "," ",VLOOKUP(A212,'Actual Dates'!A:AE,20,0)),""))</f>
        <v xml:space="preserve"> </v>
      </c>
      <c r="F212" s="12" t="str">
        <f ca="1">IFERROR(IF(A212="","",D212-Date!$B$3),"")</f>
        <v/>
      </c>
      <c r="G212" s="20"/>
      <c r="I212" s="21" t="b">
        <f t="shared" si="11"/>
        <v>0</v>
      </c>
      <c r="J212" s="21" t="str">
        <f t="shared" si="10"/>
        <v xml:space="preserve">  </v>
      </c>
    </row>
    <row r="213" spans="1:10" ht="23.25" hidden="1" x14ac:dyDescent="0.25">
      <c r="A213" s="12">
        <f>'Drawing Submittal'!A213</f>
        <v>0</v>
      </c>
      <c r="B213" s="13" t="str">
        <f>_xlfn.IFNA(VLOOKUP(A213,'Date Calcs'!A:AG,2,),"")</f>
        <v/>
      </c>
      <c r="C213" s="14" t="str">
        <f>_xlfn.IFNA(VLOOKUP(A213,'Actual Dates'!A:AE,6,),"")</f>
        <v xml:space="preserve">  </v>
      </c>
      <c r="D213" s="15" t="str">
        <f>IF(C213="  ","  ",IF(C213=0,VLOOKUP(A213,'Date Calcs'!A:AG,9,),IF(C213=1,VLOOKUP(A213,'Date Calcs'!A:AG,11,),IF(C213=2,VLOOKUP(A213,'Date Calcs'!A:AG,13,),IF(C213=3,VLOOKUP(A213,'Date Calcs'!A:AG,15,),4)))))</f>
        <v xml:space="preserve">  </v>
      </c>
      <c r="E213" s="15" t="str">
        <f>IF(_xlfn.IFNA(IF(D213="  "," ",VLOOKUP(A213,'Actual Dates'!A:AE,20,0)),"")&lt;1,"-",_xlfn.IFNA(IF(D213="  "," ",VLOOKUP(A213,'Actual Dates'!A:AE,20,0)),""))</f>
        <v xml:space="preserve"> </v>
      </c>
      <c r="F213" s="12" t="str">
        <f ca="1">IFERROR(IF(A213="","",D213-Date!$B$3),"")</f>
        <v/>
      </c>
      <c r="G213" s="20"/>
      <c r="I213" s="21" t="b">
        <f t="shared" si="11"/>
        <v>0</v>
      </c>
      <c r="J213" s="21" t="str">
        <f t="shared" si="10"/>
        <v xml:space="preserve">  </v>
      </c>
    </row>
    <row r="214" spans="1:10" ht="23.25" hidden="1" x14ac:dyDescent="0.25">
      <c r="A214" s="12">
        <f>'Drawing Submittal'!A214</f>
        <v>0</v>
      </c>
      <c r="B214" s="13" t="str">
        <f>_xlfn.IFNA(VLOOKUP(A214,'Date Calcs'!A:AG,2,),"")</f>
        <v/>
      </c>
      <c r="C214" s="14" t="str">
        <f>_xlfn.IFNA(VLOOKUP(A214,'Actual Dates'!A:AE,6,),"")</f>
        <v xml:space="preserve">  </v>
      </c>
      <c r="D214" s="15" t="str">
        <f>IF(C214="  ","  ",IF(C214=0,VLOOKUP(A214,'Date Calcs'!A:AG,9,),IF(C214=1,VLOOKUP(A214,'Date Calcs'!A:AG,11,),IF(C214=2,VLOOKUP(A214,'Date Calcs'!A:AG,13,),IF(C214=3,VLOOKUP(A214,'Date Calcs'!A:AG,15,),4)))))</f>
        <v xml:space="preserve">  </v>
      </c>
      <c r="E214" s="15" t="str">
        <f>IF(_xlfn.IFNA(IF(D214="  "," ",VLOOKUP(A214,'Actual Dates'!A:AE,20,0)),"")&lt;1,"-",_xlfn.IFNA(IF(D214="  "," ",VLOOKUP(A214,'Actual Dates'!A:AE,20,0)),""))</f>
        <v xml:space="preserve"> </v>
      </c>
      <c r="F214" s="12" t="str">
        <f ca="1">IFERROR(IF(A214="","",D214-Date!$B$3),"")</f>
        <v/>
      </c>
      <c r="G214" s="20"/>
      <c r="I214" s="21" t="b">
        <f t="shared" si="11"/>
        <v>0</v>
      </c>
      <c r="J214" s="21" t="str">
        <f t="shared" si="10"/>
        <v xml:space="preserve">  </v>
      </c>
    </row>
    <row r="215" spans="1:10" ht="23.25" hidden="1" x14ac:dyDescent="0.25">
      <c r="A215" s="12">
        <f>'Drawing Submittal'!A215</f>
        <v>0</v>
      </c>
      <c r="B215" s="13" t="str">
        <f>_xlfn.IFNA(VLOOKUP(A215,'Date Calcs'!A:AG,2,),"")</f>
        <v/>
      </c>
      <c r="C215" s="14" t="str">
        <f>_xlfn.IFNA(VLOOKUP(A215,'Actual Dates'!A:AE,6,),"")</f>
        <v xml:space="preserve">  </v>
      </c>
      <c r="D215" s="15" t="str">
        <f>IF(C215="  ","  ",IF(C215=0,VLOOKUP(A215,'Date Calcs'!A:AG,9,),IF(C215=1,VLOOKUP(A215,'Date Calcs'!A:AG,11,),IF(C215=2,VLOOKUP(A215,'Date Calcs'!A:AG,13,),IF(C215=3,VLOOKUP(A215,'Date Calcs'!A:AG,15,),4)))))</f>
        <v xml:space="preserve">  </v>
      </c>
      <c r="E215" s="15" t="str">
        <f>IF(_xlfn.IFNA(IF(D215="  "," ",VLOOKUP(A215,'Actual Dates'!A:AE,20,0)),"")&lt;1,"-",_xlfn.IFNA(IF(D215="  "," ",VLOOKUP(A215,'Actual Dates'!A:AE,20,0)),""))</f>
        <v xml:space="preserve"> </v>
      </c>
      <c r="F215" s="12" t="str">
        <f ca="1">IFERROR(IF(A215="","",D215-Date!$B$3),"")</f>
        <v/>
      </c>
      <c r="G215" s="20"/>
      <c r="I215" s="21" t="b">
        <f t="shared" si="11"/>
        <v>0</v>
      </c>
      <c r="J215" s="21" t="str">
        <f t="shared" si="10"/>
        <v xml:space="preserve">  </v>
      </c>
    </row>
    <row r="216" spans="1:10" ht="23.25" hidden="1" x14ac:dyDescent="0.25">
      <c r="A216" s="12">
        <f>'Drawing Submittal'!A216</f>
        <v>0</v>
      </c>
      <c r="B216" s="13" t="str">
        <f>_xlfn.IFNA(VLOOKUP(A216,'Date Calcs'!A:AG,2,),"")</f>
        <v/>
      </c>
      <c r="C216" s="14" t="str">
        <f>_xlfn.IFNA(VLOOKUP(A216,'Actual Dates'!A:AE,6,),"")</f>
        <v xml:space="preserve">  </v>
      </c>
      <c r="D216" s="15" t="str">
        <f>IF(C216="  ","  ",IF(C216=0,VLOOKUP(A216,'Date Calcs'!A:AG,9,),IF(C216=1,VLOOKUP(A216,'Date Calcs'!A:AG,11,),IF(C216=2,VLOOKUP(A216,'Date Calcs'!A:AG,13,),IF(C216=3,VLOOKUP(A216,'Date Calcs'!A:AG,15,),4)))))</f>
        <v xml:space="preserve">  </v>
      </c>
      <c r="E216" s="15" t="str">
        <f>IF(_xlfn.IFNA(IF(D216="  "," ",VLOOKUP(A216,'Actual Dates'!A:AE,20,0)),"")&lt;1,"-",_xlfn.IFNA(IF(D216="  "," ",VLOOKUP(A216,'Actual Dates'!A:AE,20,0)),""))</f>
        <v xml:space="preserve"> </v>
      </c>
      <c r="F216" s="12" t="str">
        <f ca="1">IFERROR(IF(A216="","",D216-Date!$B$3),"")</f>
        <v/>
      </c>
      <c r="G216" s="20"/>
      <c r="I216" s="21" t="b">
        <f t="shared" si="11"/>
        <v>0</v>
      </c>
      <c r="J216" s="21" t="str">
        <f t="shared" si="10"/>
        <v xml:space="preserve">  </v>
      </c>
    </row>
    <row r="217" spans="1:10" ht="23.25" hidden="1" x14ac:dyDescent="0.25">
      <c r="A217" s="12">
        <f>'Drawing Submittal'!A217</f>
        <v>0</v>
      </c>
      <c r="B217" s="13" t="str">
        <f>_xlfn.IFNA(VLOOKUP(A217,'Date Calcs'!A:AG,2,),"")</f>
        <v/>
      </c>
      <c r="C217" s="14" t="str">
        <f>_xlfn.IFNA(VLOOKUP(A217,'Actual Dates'!A:AE,6,),"")</f>
        <v xml:space="preserve">  </v>
      </c>
      <c r="D217" s="15" t="str">
        <f>IF(C217="  ","  ",IF(C217=0,VLOOKUP(A217,'Date Calcs'!A:AG,9,),IF(C217=1,VLOOKUP(A217,'Date Calcs'!A:AG,11,),IF(C217=2,VLOOKUP(A217,'Date Calcs'!A:AG,13,),IF(C217=3,VLOOKUP(A217,'Date Calcs'!A:AG,15,),4)))))</f>
        <v xml:space="preserve">  </v>
      </c>
      <c r="E217" s="15" t="str">
        <f>IF(_xlfn.IFNA(IF(D217="  "," ",VLOOKUP(A217,'Actual Dates'!A:AE,20,0)),"")&lt;1,"-",_xlfn.IFNA(IF(D217="  "," ",VLOOKUP(A217,'Actual Dates'!A:AE,20,0)),""))</f>
        <v xml:space="preserve"> </v>
      </c>
      <c r="F217" s="12" t="str">
        <f ca="1">IFERROR(IF(A217="","",D217-Date!$B$3),"")</f>
        <v/>
      </c>
      <c r="G217" s="20"/>
      <c r="I217" s="21" t="b">
        <f t="shared" si="11"/>
        <v>0</v>
      </c>
      <c r="J217" s="21" t="str">
        <f t="shared" si="10"/>
        <v xml:space="preserve">  </v>
      </c>
    </row>
    <row r="218" spans="1:10" ht="23.25" hidden="1" x14ac:dyDescent="0.25">
      <c r="A218" s="12">
        <f>'Drawing Submittal'!A218</f>
        <v>0</v>
      </c>
      <c r="B218" s="13" t="str">
        <f>_xlfn.IFNA(VLOOKUP(A218,'Date Calcs'!A:AG,2,),"")</f>
        <v/>
      </c>
      <c r="C218" s="14" t="str">
        <f>_xlfn.IFNA(VLOOKUP(A218,'Actual Dates'!A:AE,6,),"")</f>
        <v xml:space="preserve">  </v>
      </c>
      <c r="D218" s="15" t="str">
        <f>IF(C218="  ","  ",IF(C218=0,VLOOKUP(A218,'Date Calcs'!A:AG,9,),IF(C218=1,VLOOKUP(A218,'Date Calcs'!A:AG,11,),IF(C218=2,VLOOKUP(A218,'Date Calcs'!A:AG,13,),IF(C218=3,VLOOKUP(A218,'Date Calcs'!A:AG,15,),4)))))</f>
        <v xml:space="preserve">  </v>
      </c>
      <c r="E218" s="15" t="str">
        <f>IF(_xlfn.IFNA(IF(D218="  "," ",VLOOKUP(A218,'Actual Dates'!A:AE,20,0)),"")&lt;1,"-",_xlfn.IFNA(IF(D218="  "," ",VLOOKUP(A218,'Actual Dates'!A:AE,20,0)),""))</f>
        <v xml:space="preserve"> </v>
      </c>
      <c r="F218" s="12" t="str">
        <f ca="1">IFERROR(IF(A218="","",D218-Date!$B$3),"")</f>
        <v/>
      </c>
      <c r="G218" s="20"/>
      <c r="I218" s="21" t="b">
        <f t="shared" si="11"/>
        <v>0</v>
      </c>
      <c r="J218" s="21" t="str">
        <f t="shared" si="10"/>
        <v xml:space="preserve">  </v>
      </c>
    </row>
    <row r="219" spans="1:10" ht="23.25" hidden="1" x14ac:dyDescent="0.25">
      <c r="A219" s="12">
        <f>'Drawing Submittal'!A219</f>
        <v>0</v>
      </c>
      <c r="B219" s="13" t="str">
        <f>_xlfn.IFNA(VLOOKUP(A219,'Date Calcs'!A:AG,2,),"")</f>
        <v/>
      </c>
      <c r="C219" s="14" t="str">
        <f>_xlfn.IFNA(VLOOKUP(A219,'Actual Dates'!A:AE,6,),"")</f>
        <v xml:space="preserve">  </v>
      </c>
      <c r="D219" s="15" t="str">
        <f>IF(C219="  ","  ",IF(C219=0,VLOOKUP(A219,'Date Calcs'!A:AG,9,),IF(C219=1,VLOOKUP(A219,'Date Calcs'!A:AG,11,),IF(C219=2,VLOOKUP(A219,'Date Calcs'!A:AG,13,),IF(C219=3,VLOOKUP(A219,'Date Calcs'!A:AG,15,),4)))))</f>
        <v xml:space="preserve">  </v>
      </c>
      <c r="E219" s="15" t="str">
        <f>IF(_xlfn.IFNA(IF(D219="  "," ",VLOOKUP(A219,'Actual Dates'!A:AE,20,0)),"")&lt;1,"-",_xlfn.IFNA(IF(D219="  "," ",VLOOKUP(A219,'Actual Dates'!A:AE,20,0)),""))</f>
        <v xml:space="preserve"> </v>
      </c>
      <c r="F219" s="12" t="str">
        <f ca="1">IFERROR(IF(A219="","",D219-Date!$B$3),"")</f>
        <v/>
      </c>
      <c r="G219" s="20"/>
      <c r="I219" s="21" t="b">
        <f t="shared" si="11"/>
        <v>0</v>
      </c>
      <c r="J219" s="21" t="str">
        <f t="shared" si="10"/>
        <v xml:space="preserve">  </v>
      </c>
    </row>
    <row r="220" spans="1:10" ht="23.25" hidden="1" x14ac:dyDescent="0.25">
      <c r="A220" s="12">
        <f>'Drawing Submittal'!A220</f>
        <v>0</v>
      </c>
      <c r="B220" s="13" t="str">
        <f>_xlfn.IFNA(VLOOKUP(A220,'Date Calcs'!A:AG,2,),"")</f>
        <v/>
      </c>
      <c r="C220" s="14" t="str">
        <f>_xlfn.IFNA(VLOOKUP(A220,'Actual Dates'!A:AE,6,),"")</f>
        <v xml:space="preserve">  </v>
      </c>
      <c r="D220" s="15" t="str">
        <f>IF(C220="  ","  ",IF(C220=0,VLOOKUP(A220,'Date Calcs'!A:AG,9,),IF(C220=1,VLOOKUP(A220,'Date Calcs'!A:AG,11,),IF(C220=2,VLOOKUP(A220,'Date Calcs'!A:AG,13,),IF(C220=3,VLOOKUP(A220,'Date Calcs'!A:AG,15,),4)))))</f>
        <v xml:space="preserve">  </v>
      </c>
      <c r="E220" s="15" t="str">
        <f>IF(_xlfn.IFNA(IF(D220="  "," ",VLOOKUP(A220,'Actual Dates'!A:AE,20,0)),"")&lt;1,"-",_xlfn.IFNA(IF(D220="  "," ",VLOOKUP(A220,'Actual Dates'!A:AE,20,0)),""))</f>
        <v xml:space="preserve"> </v>
      </c>
      <c r="F220" s="12" t="str">
        <f ca="1">IFERROR(IF(A220="","",D220-Date!$B$3),"")</f>
        <v/>
      </c>
      <c r="G220" s="20"/>
      <c r="I220" s="21" t="b">
        <f t="shared" si="11"/>
        <v>0</v>
      </c>
      <c r="J220" s="21" t="str">
        <f t="shared" si="10"/>
        <v xml:space="preserve">  </v>
      </c>
    </row>
    <row r="221" spans="1:10" ht="23.25" hidden="1" x14ac:dyDescent="0.25">
      <c r="A221" s="12">
        <f>'Drawing Submittal'!A221</f>
        <v>0</v>
      </c>
      <c r="B221" s="13" t="str">
        <f>_xlfn.IFNA(VLOOKUP(A221,'Date Calcs'!A:AG,2,),"")</f>
        <v/>
      </c>
      <c r="C221" s="14" t="str">
        <f>_xlfn.IFNA(VLOOKUP(A221,'Actual Dates'!A:AE,6,),"")</f>
        <v xml:space="preserve">  </v>
      </c>
      <c r="D221" s="15" t="str">
        <f>IF(C221="  ","  ",IF(C221=0,VLOOKUP(A221,'Date Calcs'!A:AG,9,),IF(C221=1,VLOOKUP(A221,'Date Calcs'!A:AG,11,),IF(C221=2,VLOOKUP(A221,'Date Calcs'!A:AG,13,),IF(C221=3,VLOOKUP(A221,'Date Calcs'!A:AG,15,),4)))))</f>
        <v xml:space="preserve">  </v>
      </c>
      <c r="E221" s="15" t="str">
        <f>IF(_xlfn.IFNA(IF(D221="  "," ",VLOOKUP(A221,'Actual Dates'!A:AE,20,0)),"")&lt;1,"-",_xlfn.IFNA(IF(D221="  "," ",VLOOKUP(A221,'Actual Dates'!A:AE,20,0)),""))</f>
        <v xml:space="preserve"> </v>
      </c>
      <c r="F221" s="12" t="str">
        <f ca="1">IFERROR(IF(A221="","",D221-Date!$B$3),"")</f>
        <v/>
      </c>
      <c r="G221" s="20"/>
      <c r="I221" s="21" t="b">
        <f t="shared" si="11"/>
        <v>0</v>
      </c>
      <c r="J221" s="21" t="str">
        <f t="shared" si="10"/>
        <v xml:space="preserve">  </v>
      </c>
    </row>
    <row r="222" spans="1:10" ht="23.25" hidden="1" x14ac:dyDescent="0.25">
      <c r="A222" s="12">
        <f>'Drawing Submittal'!A222</f>
        <v>0</v>
      </c>
      <c r="B222" s="13" t="str">
        <f>_xlfn.IFNA(VLOOKUP(A222,'Date Calcs'!A:AG,2,),"")</f>
        <v/>
      </c>
      <c r="C222" s="14" t="str">
        <f>_xlfn.IFNA(VLOOKUP(A222,'Actual Dates'!A:AE,6,),"")</f>
        <v xml:space="preserve">  </v>
      </c>
      <c r="D222" s="15" t="str">
        <f>IF(C222="  ","  ",IF(C222=0,VLOOKUP(A222,'Date Calcs'!A:AG,9,),IF(C222=1,VLOOKUP(A222,'Date Calcs'!A:AG,11,),IF(C222=2,VLOOKUP(A222,'Date Calcs'!A:AG,13,),IF(C222=3,VLOOKUP(A222,'Date Calcs'!A:AG,15,),4)))))</f>
        <v xml:space="preserve">  </v>
      </c>
      <c r="E222" s="15" t="str">
        <f>IF(_xlfn.IFNA(IF(D222="  "," ",VLOOKUP(A222,'Actual Dates'!A:AE,20,0)),"")&lt;1,"-",_xlfn.IFNA(IF(D222="  "," ",VLOOKUP(A222,'Actual Dates'!A:AE,20,0)),""))</f>
        <v xml:space="preserve"> </v>
      </c>
      <c r="F222" s="12" t="str">
        <f ca="1">IFERROR(IF(A222="","",D222-Date!$B$3),"")</f>
        <v/>
      </c>
      <c r="G222" s="20"/>
      <c r="I222" s="21" t="b">
        <f t="shared" si="11"/>
        <v>0</v>
      </c>
      <c r="J222" s="21" t="str">
        <f t="shared" si="10"/>
        <v xml:space="preserve">  </v>
      </c>
    </row>
    <row r="223" spans="1:10" ht="23.25" hidden="1" x14ac:dyDescent="0.25">
      <c r="A223" s="12">
        <f>'Drawing Submittal'!A223</f>
        <v>0</v>
      </c>
      <c r="B223" s="13" t="str">
        <f>_xlfn.IFNA(VLOOKUP(A223,'Date Calcs'!A:AG,2,),"")</f>
        <v/>
      </c>
      <c r="C223" s="14" t="str">
        <f>_xlfn.IFNA(VLOOKUP(A223,'Actual Dates'!A:AE,6,),"")</f>
        <v xml:space="preserve">  </v>
      </c>
      <c r="D223" s="15" t="str">
        <f>IF(C223="  ","  ",IF(C223=0,VLOOKUP(A223,'Date Calcs'!A:AG,9,),IF(C223=1,VLOOKUP(A223,'Date Calcs'!A:AG,11,),IF(C223=2,VLOOKUP(A223,'Date Calcs'!A:AG,13,),IF(C223=3,VLOOKUP(A223,'Date Calcs'!A:AG,15,),4)))))</f>
        <v xml:space="preserve">  </v>
      </c>
      <c r="E223" s="15" t="str">
        <f>IF(_xlfn.IFNA(IF(D223="  "," ",VLOOKUP(A223,'Actual Dates'!A:AE,20,0)),"")&lt;1,"-",_xlfn.IFNA(IF(D223="  "," ",VLOOKUP(A223,'Actual Dates'!A:AE,20,0)),""))</f>
        <v xml:space="preserve"> </v>
      </c>
      <c r="F223" s="12" t="str">
        <f ca="1">IFERROR(IF(A223="","",D223-Date!$B$3),"")</f>
        <v/>
      </c>
      <c r="G223" s="20"/>
      <c r="I223" s="21" t="b">
        <f t="shared" si="11"/>
        <v>0</v>
      </c>
      <c r="J223" s="21" t="str">
        <f t="shared" si="10"/>
        <v xml:space="preserve">  </v>
      </c>
    </row>
    <row r="224" spans="1:10" ht="23.25" hidden="1" x14ac:dyDescent="0.25">
      <c r="A224" s="12">
        <f>'Drawing Submittal'!A224</f>
        <v>0</v>
      </c>
      <c r="B224" s="13" t="str">
        <f>_xlfn.IFNA(VLOOKUP(A224,'Date Calcs'!A:AG,2,),"")</f>
        <v/>
      </c>
      <c r="C224" s="14" t="str">
        <f>_xlfn.IFNA(VLOOKUP(A224,'Actual Dates'!A:AE,6,),"")</f>
        <v xml:space="preserve">  </v>
      </c>
      <c r="D224" s="15" t="str">
        <f>IF(C224="  ","  ",IF(C224=0,VLOOKUP(A224,'Date Calcs'!A:AG,9,),IF(C224=1,VLOOKUP(A224,'Date Calcs'!A:AG,11,),IF(C224=2,VLOOKUP(A224,'Date Calcs'!A:AG,13,),IF(C224=3,VLOOKUP(A224,'Date Calcs'!A:AG,15,),4)))))</f>
        <v xml:space="preserve">  </v>
      </c>
      <c r="E224" s="15" t="str">
        <f>IF(_xlfn.IFNA(IF(D224="  "," ",VLOOKUP(A224,'Actual Dates'!A:AE,20,0)),"")&lt;1,"-",_xlfn.IFNA(IF(D224="  "," ",VLOOKUP(A224,'Actual Dates'!A:AE,20,0)),""))</f>
        <v xml:space="preserve"> </v>
      </c>
      <c r="F224" s="12" t="str">
        <f ca="1">IFERROR(IF(A224="","",D224-Date!$B$3),"")</f>
        <v/>
      </c>
      <c r="G224" s="20"/>
      <c r="I224" s="21" t="b">
        <f t="shared" si="11"/>
        <v>0</v>
      </c>
      <c r="J224" s="21" t="str">
        <f t="shared" si="10"/>
        <v xml:space="preserve">  </v>
      </c>
    </row>
    <row r="225" spans="1:10" ht="23.25" hidden="1" x14ac:dyDescent="0.25">
      <c r="A225" s="12">
        <f>'Drawing Submittal'!A225</f>
        <v>0</v>
      </c>
      <c r="B225" s="13" t="str">
        <f>_xlfn.IFNA(VLOOKUP(A225,'Date Calcs'!A:AG,2,),"")</f>
        <v/>
      </c>
      <c r="C225" s="14" t="str">
        <f>_xlfn.IFNA(VLOOKUP(A225,'Actual Dates'!A:AE,6,),"")</f>
        <v xml:space="preserve">  </v>
      </c>
      <c r="D225" s="15" t="str">
        <f>IF(C225="  ","  ",IF(C225=0,VLOOKUP(A225,'Date Calcs'!A:AG,9,),IF(C225=1,VLOOKUP(A225,'Date Calcs'!A:AG,11,),IF(C225=2,VLOOKUP(A225,'Date Calcs'!A:AG,13,),IF(C225=3,VLOOKUP(A225,'Date Calcs'!A:AG,15,),4)))))</f>
        <v xml:space="preserve">  </v>
      </c>
      <c r="E225" s="15" t="str">
        <f>IF(_xlfn.IFNA(IF(D225="  "," ",VLOOKUP(A225,'Actual Dates'!A:AE,20,0)),"")&lt;1,"-",_xlfn.IFNA(IF(D225="  "," ",VLOOKUP(A225,'Actual Dates'!A:AE,20,0)),""))</f>
        <v xml:space="preserve"> </v>
      </c>
      <c r="F225" s="12" t="str">
        <f ca="1">IFERROR(IF(A225="","",D225-Date!$B$3),"")</f>
        <v/>
      </c>
      <c r="G225" s="20"/>
      <c r="I225" s="21" t="b">
        <f t="shared" si="11"/>
        <v>0</v>
      </c>
      <c r="J225" s="21" t="str">
        <f t="shared" si="10"/>
        <v xml:space="preserve">  </v>
      </c>
    </row>
    <row r="226" spans="1:10" ht="23.25" hidden="1" x14ac:dyDescent="0.25">
      <c r="A226" s="12">
        <f>'Drawing Submittal'!A226</f>
        <v>0</v>
      </c>
      <c r="B226" s="13" t="str">
        <f>_xlfn.IFNA(VLOOKUP(A226,'Date Calcs'!A:AG,2,),"")</f>
        <v/>
      </c>
      <c r="C226" s="14" t="str">
        <f>_xlfn.IFNA(VLOOKUP(A226,'Actual Dates'!A:AE,6,),"")</f>
        <v xml:space="preserve">  </v>
      </c>
      <c r="D226" s="15" t="str">
        <f>IF(C226="  ","  ",IF(C226=0,VLOOKUP(A226,'Date Calcs'!A:AG,9,),IF(C226=1,VLOOKUP(A226,'Date Calcs'!A:AG,11,),IF(C226=2,VLOOKUP(A226,'Date Calcs'!A:AG,13,),IF(C226=3,VLOOKUP(A226,'Date Calcs'!A:AG,15,),4)))))</f>
        <v xml:space="preserve">  </v>
      </c>
      <c r="E226" s="15" t="str">
        <f>IF(_xlfn.IFNA(IF(D226="  "," ",VLOOKUP(A226,'Actual Dates'!A:AE,20,0)),"")&lt;1,"-",_xlfn.IFNA(IF(D226="  "," ",VLOOKUP(A226,'Actual Dates'!A:AE,20,0)),""))</f>
        <v xml:space="preserve"> </v>
      </c>
      <c r="F226" s="12" t="str">
        <f ca="1">IFERROR(IF(A226="","",D226-Date!$B$3),"")</f>
        <v/>
      </c>
      <c r="G226" s="20"/>
      <c r="I226" s="21" t="b">
        <f t="shared" si="11"/>
        <v>0</v>
      </c>
      <c r="J226" s="21" t="str">
        <f t="shared" si="10"/>
        <v xml:space="preserve">  </v>
      </c>
    </row>
    <row r="227" spans="1:10" ht="23.25" hidden="1" x14ac:dyDescent="0.25">
      <c r="A227" s="12">
        <f>'Drawing Submittal'!A227</f>
        <v>0</v>
      </c>
      <c r="B227" s="13" t="str">
        <f>_xlfn.IFNA(VLOOKUP(A227,'Date Calcs'!A:AG,2,),"")</f>
        <v/>
      </c>
      <c r="C227" s="14" t="str">
        <f>_xlfn.IFNA(VLOOKUP(A227,'Actual Dates'!A:AE,6,),"")</f>
        <v xml:space="preserve">  </v>
      </c>
      <c r="D227" s="15" t="str">
        <f>IF(C227="  ","  ",IF(C227=0,VLOOKUP(A227,'Date Calcs'!A:AG,9,),IF(C227=1,VLOOKUP(A227,'Date Calcs'!A:AG,11,),IF(C227=2,VLOOKUP(A227,'Date Calcs'!A:AG,13,),IF(C227=3,VLOOKUP(A227,'Date Calcs'!A:AG,15,),4)))))</f>
        <v xml:space="preserve">  </v>
      </c>
      <c r="E227" s="15" t="str">
        <f>IF(_xlfn.IFNA(IF(D227="  "," ",VLOOKUP(A227,'Actual Dates'!A:AE,20,0)),"")&lt;1,"-",_xlfn.IFNA(IF(D227="  "," ",VLOOKUP(A227,'Actual Dates'!A:AE,20,0)),""))</f>
        <v xml:space="preserve"> </v>
      </c>
      <c r="F227" s="12" t="str">
        <f ca="1">IFERROR(IF(A227="","",D227-Date!$B$3),"")</f>
        <v/>
      </c>
      <c r="G227" s="20"/>
      <c r="I227" s="21" t="b">
        <f t="shared" si="11"/>
        <v>0</v>
      </c>
      <c r="J227" s="21" t="str">
        <f t="shared" si="10"/>
        <v xml:space="preserve">  </v>
      </c>
    </row>
    <row r="228" spans="1:10" ht="23.25" hidden="1" x14ac:dyDescent="0.25">
      <c r="A228" s="12">
        <f>'Drawing Submittal'!A228</f>
        <v>0</v>
      </c>
      <c r="B228" s="13" t="str">
        <f>_xlfn.IFNA(VLOOKUP(A228,'Date Calcs'!A:AG,2,),"")</f>
        <v/>
      </c>
      <c r="C228" s="14" t="str">
        <f>_xlfn.IFNA(VLOOKUP(A228,'Actual Dates'!A:AE,6,),"")</f>
        <v xml:space="preserve">  </v>
      </c>
      <c r="D228" s="15" t="str">
        <f>IF(C228="  ","  ",IF(C228=0,VLOOKUP(A228,'Date Calcs'!A:AG,9,),IF(C228=1,VLOOKUP(A228,'Date Calcs'!A:AG,11,),IF(C228=2,VLOOKUP(A228,'Date Calcs'!A:AG,13,),IF(C228=3,VLOOKUP(A228,'Date Calcs'!A:AG,15,),4)))))</f>
        <v xml:space="preserve">  </v>
      </c>
      <c r="E228" s="15" t="str">
        <f>IF(_xlfn.IFNA(IF(D228="  "," ",VLOOKUP(A228,'Actual Dates'!A:AE,20,0)),"")&lt;1,"-",_xlfn.IFNA(IF(D228="  "," ",VLOOKUP(A228,'Actual Dates'!A:AE,20,0)),""))</f>
        <v xml:space="preserve"> </v>
      </c>
      <c r="F228" s="12" t="str">
        <f ca="1">IFERROR(IF(A228="","",D228-Date!$B$3),"")</f>
        <v/>
      </c>
      <c r="G228" s="20"/>
      <c r="I228" s="21" t="b">
        <f t="shared" si="11"/>
        <v>0</v>
      </c>
      <c r="J228" s="21" t="str">
        <f t="shared" si="10"/>
        <v xml:space="preserve">  </v>
      </c>
    </row>
    <row r="229" spans="1:10" ht="23.25" hidden="1" x14ac:dyDescent="0.25">
      <c r="A229" s="12">
        <f>'Drawing Submittal'!A229</f>
        <v>0</v>
      </c>
      <c r="B229" s="13" t="str">
        <f>_xlfn.IFNA(VLOOKUP(A229,'Date Calcs'!A:AG,2,),"")</f>
        <v/>
      </c>
      <c r="C229" s="14" t="str">
        <f>_xlfn.IFNA(VLOOKUP(A229,'Actual Dates'!A:AE,6,),"")</f>
        <v xml:space="preserve">  </v>
      </c>
      <c r="D229" s="15" t="str">
        <f>IF(C229="  ","  ",IF(C229=0,VLOOKUP(A229,'Date Calcs'!A:AG,9,),IF(C229=1,VLOOKUP(A229,'Date Calcs'!A:AG,11,),IF(C229=2,VLOOKUP(A229,'Date Calcs'!A:AG,13,),IF(C229=3,VLOOKUP(A229,'Date Calcs'!A:AG,15,),4)))))</f>
        <v xml:space="preserve">  </v>
      </c>
      <c r="E229" s="15" t="str">
        <f>IF(_xlfn.IFNA(IF(D229="  "," ",VLOOKUP(A229,'Actual Dates'!A:AE,20,0)),"")&lt;1,"-",_xlfn.IFNA(IF(D229="  "," ",VLOOKUP(A229,'Actual Dates'!A:AE,20,0)),""))</f>
        <v xml:space="preserve"> </v>
      </c>
      <c r="F229" s="12" t="str">
        <f ca="1">IFERROR(IF(A229="","",D229-Date!$B$3),"")</f>
        <v/>
      </c>
      <c r="G229" s="20"/>
      <c r="I229" s="21" t="b">
        <f t="shared" si="11"/>
        <v>0</v>
      </c>
      <c r="J229" s="21" t="str">
        <f t="shared" si="10"/>
        <v xml:space="preserve">  </v>
      </c>
    </row>
    <row r="230" spans="1:10" ht="23.25" hidden="1" x14ac:dyDescent="0.25">
      <c r="A230" s="12">
        <f>'Drawing Submittal'!A230</f>
        <v>0</v>
      </c>
      <c r="B230" s="13" t="str">
        <f>_xlfn.IFNA(VLOOKUP(A230,'Date Calcs'!A:AG,2,),"")</f>
        <v/>
      </c>
      <c r="C230" s="14" t="str">
        <f>_xlfn.IFNA(VLOOKUP(A230,'Actual Dates'!A:AE,6,),"")</f>
        <v xml:space="preserve">  </v>
      </c>
      <c r="D230" s="15" t="str">
        <f>IF(C230="  ","  ",IF(C230=0,VLOOKUP(A230,'Date Calcs'!A:AG,9,),IF(C230=1,VLOOKUP(A230,'Date Calcs'!A:AG,11,),IF(C230=2,VLOOKUP(A230,'Date Calcs'!A:AG,13,),IF(C230=3,VLOOKUP(A230,'Date Calcs'!A:AG,15,),4)))))</f>
        <v xml:space="preserve">  </v>
      </c>
      <c r="E230" s="15" t="str">
        <f>IF(_xlfn.IFNA(IF(D230="  "," ",VLOOKUP(A230,'Actual Dates'!A:AE,20,0)),"")&lt;1,"-",_xlfn.IFNA(IF(D230="  "," ",VLOOKUP(A230,'Actual Dates'!A:AE,20,0)),""))</f>
        <v xml:space="preserve"> </v>
      </c>
      <c r="F230" s="12" t="str">
        <f ca="1">IFERROR(IF(A230="","",D230-Date!$B$3),"")</f>
        <v/>
      </c>
      <c r="G230" s="20"/>
      <c r="I230" s="21" t="b">
        <f t="shared" si="11"/>
        <v>0</v>
      </c>
      <c r="J230" s="21" t="str">
        <f t="shared" si="10"/>
        <v xml:space="preserve">  </v>
      </c>
    </row>
    <row r="231" spans="1:10" ht="23.25" hidden="1" x14ac:dyDescent="0.25">
      <c r="A231" s="12">
        <f>'Drawing Submittal'!A231</f>
        <v>0</v>
      </c>
      <c r="B231" s="13" t="str">
        <f>_xlfn.IFNA(VLOOKUP(A231,'Date Calcs'!A:AG,2,),"")</f>
        <v/>
      </c>
      <c r="C231" s="14" t="str">
        <f>_xlfn.IFNA(VLOOKUP(A231,'Actual Dates'!A:AE,6,),"")</f>
        <v xml:space="preserve">  </v>
      </c>
      <c r="D231" s="15" t="str">
        <f>IF(C231="  ","  ",IF(C231=0,VLOOKUP(A231,'Date Calcs'!A:AG,9,),IF(C231=1,VLOOKUP(A231,'Date Calcs'!A:AG,11,),IF(C231=2,VLOOKUP(A231,'Date Calcs'!A:AG,13,),IF(C231=3,VLOOKUP(A231,'Date Calcs'!A:AG,15,),4)))))</f>
        <v xml:space="preserve">  </v>
      </c>
      <c r="E231" s="15" t="str">
        <f>IF(_xlfn.IFNA(IF(D231="  "," ",VLOOKUP(A231,'Actual Dates'!A:AE,20,0)),"")&lt;1,"-",_xlfn.IFNA(IF(D231="  "," ",VLOOKUP(A231,'Actual Dates'!A:AE,20,0)),""))</f>
        <v xml:space="preserve"> </v>
      </c>
      <c r="F231" s="12" t="str">
        <f ca="1">IFERROR(IF(A231="","",D231-Date!$B$3),"")</f>
        <v/>
      </c>
      <c r="G231" s="20"/>
      <c r="I231" s="21" t="b">
        <f t="shared" si="11"/>
        <v>0</v>
      </c>
      <c r="J231" s="21" t="str">
        <f t="shared" si="10"/>
        <v xml:space="preserve">  </v>
      </c>
    </row>
    <row r="232" spans="1:10" ht="23.25" hidden="1" x14ac:dyDescent="0.25">
      <c r="A232" s="12">
        <f>'Drawing Submittal'!A232</f>
        <v>0</v>
      </c>
      <c r="B232" s="13" t="str">
        <f>_xlfn.IFNA(VLOOKUP(A232,'Date Calcs'!A:AG,2,),"")</f>
        <v/>
      </c>
      <c r="C232" s="14" t="str">
        <f>_xlfn.IFNA(VLOOKUP(A232,'Actual Dates'!A:AE,6,),"")</f>
        <v xml:space="preserve">  </v>
      </c>
      <c r="D232" s="15" t="str">
        <f>IF(C232="  ","  ",IF(C232=0,VLOOKUP(A232,'Date Calcs'!A:AG,9,),IF(C232=1,VLOOKUP(A232,'Date Calcs'!A:AG,11,),IF(C232=2,VLOOKUP(A232,'Date Calcs'!A:AG,13,),IF(C232=3,VLOOKUP(A232,'Date Calcs'!A:AG,15,),4)))))</f>
        <v xml:space="preserve">  </v>
      </c>
      <c r="E232" s="15" t="str">
        <f>IF(_xlfn.IFNA(IF(D232="  "," ",VLOOKUP(A232,'Actual Dates'!A:AE,20,0)),"")&lt;1,"-",_xlfn.IFNA(IF(D232="  "," ",VLOOKUP(A232,'Actual Dates'!A:AE,20,0)),""))</f>
        <v xml:space="preserve"> </v>
      </c>
      <c r="F232" s="12" t="str">
        <f ca="1">IFERROR(IF(A232="","",D232-Date!$B$3),"")</f>
        <v/>
      </c>
      <c r="G232" s="20"/>
      <c r="I232" s="21" t="b">
        <f t="shared" si="11"/>
        <v>0</v>
      </c>
      <c r="J232" s="21" t="str">
        <f t="shared" si="10"/>
        <v xml:space="preserve">  </v>
      </c>
    </row>
    <row r="233" spans="1:10" ht="23.25" hidden="1" x14ac:dyDescent="0.25">
      <c r="A233" s="12">
        <f>'Drawing Submittal'!A233</f>
        <v>0</v>
      </c>
      <c r="B233" s="13" t="str">
        <f>_xlfn.IFNA(VLOOKUP(A233,'Date Calcs'!A:AG,2,),"")</f>
        <v/>
      </c>
      <c r="C233" s="14" t="str">
        <f>_xlfn.IFNA(VLOOKUP(A233,'Actual Dates'!A:AE,6,),"")</f>
        <v xml:space="preserve">  </v>
      </c>
      <c r="D233" s="15" t="str">
        <f>IF(C233="  ","  ",IF(C233=0,VLOOKUP(A233,'Date Calcs'!A:AG,9,),IF(C233=1,VLOOKUP(A233,'Date Calcs'!A:AG,11,),IF(C233=2,VLOOKUP(A233,'Date Calcs'!A:AG,13,),IF(C233=3,VLOOKUP(A233,'Date Calcs'!A:AG,15,),4)))))</f>
        <v xml:space="preserve">  </v>
      </c>
      <c r="E233" s="15" t="str">
        <f>IF(_xlfn.IFNA(IF(D233="  "," ",VLOOKUP(A233,'Actual Dates'!A:AE,20,0)),"")&lt;1,"-",_xlfn.IFNA(IF(D233="  "," ",VLOOKUP(A233,'Actual Dates'!A:AE,20,0)),""))</f>
        <v xml:space="preserve"> </v>
      </c>
      <c r="F233" s="12" t="str">
        <f ca="1">IFERROR(IF(A233="","",D233-Date!$B$3),"")</f>
        <v/>
      </c>
      <c r="G233" s="20"/>
      <c r="I233" s="21" t="b">
        <f t="shared" si="11"/>
        <v>0</v>
      </c>
      <c r="J233" s="21" t="str">
        <f t="shared" si="10"/>
        <v xml:space="preserve">  </v>
      </c>
    </row>
    <row r="234" spans="1:10" ht="23.25" hidden="1" x14ac:dyDescent="0.25">
      <c r="A234" s="12">
        <f>'Drawing Submittal'!A234</f>
        <v>0</v>
      </c>
      <c r="B234" s="13" t="str">
        <f>_xlfn.IFNA(VLOOKUP(A234,'Date Calcs'!A:AG,2,),"")</f>
        <v/>
      </c>
      <c r="C234" s="14" t="str">
        <f>_xlfn.IFNA(VLOOKUP(A234,'Actual Dates'!A:AE,6,),"")</f>
        <v xml:space="preserve">  </v>
      </c>
      <c r="D234" s="15" t="str">
        <f>IF(C234="  ","  ",IF(C234=0,VLOOKUP(A234,'Date Calcs'!A:AG,9,),IF(C234=1,VLOOKUP(A234,'Date Calcs'!A:AG,11,),IF(C234=2,VLOOKUP(A234,'Date Calcs'!A:AG,13,),IF(C234=3,VLOOKUP(A234,'Date Calcs'!A:AG,15,),4)))))</f>
        <v xml:space="preserve">  </v>
      </c>
      <c r="E234" s="15" t="str">
        <f>IF(_xlfn.IFNA(IF(D234="  "," ",VLOOKUP(A234,'Actual Dates'!A:AE,20,0)),"")&lt;1,"-",_xlfn.IFNA(IF(D234="  "," ",VLOOKUP(A234,'Actual Dates'!A:AE,20,0)),""))</f>
        <v xml:space="preserve"> </v>
      </c>
      <c r="F234" s="12" t="str">
        <f ca="1">IFERROR(IF(A234="","",D234-Date!$B$3),"")</f>
        <v/>
      </c>
      <c r="G234" s="20"/>
      <c r="I234" s="21" t="b">
        <f t="shared" si="11"/>
        <v>0</v>
      </c>
      <c r="J234" s="21" t="str">
        <f t="shared" si="10"/>
        <v xml:space="preserve">  </v>
      </c>
    </row>
    <row r="235" spans="1:10" ht="23.25" hidden="1" x14ac:dyDescent="0.25">
      <c r="A235" s="12">
        <f>'Drawing Submittal'!A235</f>
        <v>0</v>
      </c>
      <c r="B235" s="13" t="str">
        <f>_xlfn.IFNA(VLOOKUP(A235,'Date Calcs'!A:AG,2,),"")</f>
        <v/>
      </c>
      <c r="C235" s="14" t="str">
        <f>_xlfn.IFNA(VLOOKUP(A235,'Actual Dates'!A:AE,6,),"")</f>
        <v xml:space="preserve">  </v>
      </c>
      <c r="D235" s="15" t="str">
        <f>IF(C235="  ","  ",IF(C235=0,VLOOKUP(A235,'Date Calcs'!A:AG,9,),IF(C235=1,VLOOKUP(A235,'Date Calcs'!A:AG,11,),IF(C235=2,VLOOKUP(A235,'Date Calcs'!A:AG,13,),IF(C235=3,VLOOKUP(A235,'Date Calcs'!A:AG,15,),4)))))</f>
        <v xml:space="preserve">  </v>
      </c>
      <c r="E235" s="15" t="str">
        <f>IF(_xlfn.IFNA(IF(D235="  "," ",VLOOKUP(A235,'Actual Dates'!A:AE,20,0)),"")&lt;1,"-",_xlfn.IFNA(IF(D235="  "," ",VLOOKUP(A235,'Actual Dates'!A:AE,20,0)),""))</f>
        <v xml:space="preserve"> </v>
      </c>
      <c r="F235" s="12" t="str">
        <f ca="1">IFERROR(IF(A235="","",D235-Date!$B$3),"")</f>
        <v/>
      </c>
      <c r="G235" s="20"/>
      <c r="I235" s="21" t="b">
        <f t="shared" si="11"/>
        <v>0</v>
      </c>
      <c r="J235" s="21" t="str">
        <f t="shared" si="10"/>
        <v xml:space="preserve">  </v>
      </c>
    </row>
    <row r="236" spans="1:10" ht="23.25" hidden="1" x14ac:dyDescent="0.25">
      <c r="A236" s="12">
        <f>'Drawing Submittal'!A236</f>
        <v>0</v>
      </c>
      <c r="B236" s="13" t="str">
        <f>_xlfn.IFNA(VLOOKUP(A236,'Date Calcs'!A:AG,2,),"")</f>
        <v/>
      </c>
      <c r="C236" s="14" t="str">
        <f>_xlfn.IFNA(VLOOKUP(A236,'Actual Dates'!A:AE,6,),"")</f>
        <v xml:space="preserve">  </v>
      </c>
      <c r="D236" s="15" t="str">
        <f>IF(C236="  ","  ",IF(C236=0,VLOOKUP(A236,'Date Calcs'!A:AG,9,),IF(C236=1,VLOOKUP(A236,'Date Calcs'!A:AG,11,),IF(C236=2,VLOOKUP(A236,'Date Calcs'!A:AG,13,),IF(C236=3,VLOOKUP(A236,'Date Calcs'!A:AG,15,),4)))))</f>
        <v xml:space="preserve">  </v>
      </c>
      <c r="E236" s="15" t="str">
        <f>IF(_xlfn.IFNA(IF(D236="  "," ",VLOOKUP(A236,'Actual Dates'!A:AE,20,0)),"")&lt;1,"-",_xlfn.IFNA(IF(D236="  "," ",VLOOKUP(A236,'Actual Dates'!A:AE,20,0)),""))</f>
        <v xml:space="preserve"> </v>
      </c>
      <c r="F236" s="12" t="str">
        <f ca="1">IFERROR(IF(A236="","",D236-Date!$B$3),"")</f>
        <v/>
      </c>
      <c r="G236" s="20"/>
      <c r="I236" s="21" t="b">
        <f t="shared" si="11"/>
        <v>0</v>
      </c>
      <c r="J236" s="21" t="str">
        <f t="shared" si="10"/>
        <v xml:space="preserve">  </v>
      </c>
    </row>
    <row r="237" spans="1:10" ht="23.25" hidden="1" x14ac:dyDescent="0.25">
      <c r="A237" s="12">
        <f>'Drawing Submittal'!A237</f>
        <v>0</v>
      </c>
      <c r="B237" s="13" t="str">
        <f>_xlfn.IFNA(VLOOKUP(A237,'Date Calcs'!A:AG,2,),"")</f>
        <v/>
      </c>
      <c r="C237" s="14" t="str">
        <f>_xlfn.IFNA(VLOOKUP(A237,'Actual Dates'!A:AE,6,),"")</f>
        <v xml:space="preserve">  </v>
      </c>
      <c r="D237" s="15" t="str">
        <f>IF(C237="  ","  ",IF(C237=0,VLOOKUP(A237,'Date Calcs'!A:AG,9,),IF(C237=1,VLOOKUP(A237,'Date Calcs'!A:AG,11,),IF(C237=2,VLOOKUP(A237,'Date Calcs'!A:AG,13,),IF(C237=3,VLOOKUP(A237,'Date Calcs'!A:AG,15,),4)))))</f>
        <v xml:space="preserve">  </v>
      </c>
      <c r="E237" s="15" t="str">
        <f>IF(_xlfn.IFNA(IF(D237="  "," ",VLOOKUP(A237,'Actual Dates'!A:AE,20,0)),"")&lt;1,"-",_xlfn.IFNA(IF(D237="  "," ",VLOOKUP(A237,'Actual Dates'!A:AE,20,0)),""))</f>
        <v xml:space="preserve"> </v>
      </c>
      <c r="F237" s="12" t="str">
        <f ca="1">IFERROR(IF(A237="","",D237-Date!$B$3),"")</f>
        <v/>
      </c>
      <c r="G237" s="20"/>
      <c r="I237" s="21" t="b">
        <f t="shared" si="11"/>
        <v>0</v>
      </c>
      <c r="J237" s="21" t="str">
        <f t="shared" si="10"/>
        <v xml:space="preserve">  </v>
      </c>
    </row>
    <row r="238" spans="1:10" ht="23.25" hidden="1" x14ac:dyDescent="0.25">
      <c r="A238" s="12">
        <f>'Drawing Submittal'!A238</f>
        <v>0</v>
      </c>
      <c r="B238" s="13" t="str">
        <f>_xlfn.IFNA(VLOOKUP(A238,'Date Calcs'!A:AG,2,),"")</f>
        <v/>
      </c>
      <c r="C238" s="14" t="str">
        <f>_xlfn.IFNA(VLOOKUP(A238,'Actual Dates'!A:AE,6,),"")</f>
        <v xml:space="preserve">  </v>
      </c>
      <c r="D238" s="15" t="str">
        <f>IF(C238="  ","  ",IF(C238=0,VLOOKUP(A238,'Date Calcs'!A:AG,9,),IF(C238=1,VLOOKUP(A238,'Date Calcs'!A:AG,11,),IF(C238=2,VLOOKUP(A238,'Date Calcs'!A:AG,13,),IF(C238=3,VLOOKUP(A238,'Date Calcs'!A:AG,15,),4)))))</f>
        <v xml:space="preserve">  </v>
      </c>
      <c r="E238" s="15" t="str">
        <f>IF(_xlfn.IFNA(IF(D238="  "," ",VLOOKUP(A238,'Actual Dates'!A:AE,20,0)),"")&lt;1,"-",_xlfn.IFNA(IF(D238="  "," ",VLOOKUP(A238,'Actual Dates'!A:AE,20,0)),""))</f>
        <v xml:space="preserve"> </v>
      </c>
      <c r="F238" s="12" t="str">
        <f ca="1">IFERROR(IF(A238="","",D238-Date!$B$3),"")</f>
        <v/>
      </c>
      <c r="G238" s="20"/>
      <c r="I238" s="21" t="b">
        <f t="shared" si="11"/>
        <v>0</v>
      </c>
      <c r="J238" s="21" t="str">
        <f t="shared" si="10"/>
        <v xml:space="preserve">  </v>
      </c>
    </row>
    <row r="239" spans="1:10" ht="23.25" hidden="1" x14ac:dyDescent="0.25">
      <c r="A239" s="12">
        <f>'Drawing Submittal'!A239</f>
        <v>0</v>
      </c>
      <c r="B239" s="13" t="str">
        <f>_xlfn.IFNA(VLOOKUP(A239,'Date Calcs'!A:AG,2,),"")</f>
        <v/>
      </c>
      <c r="C239" s="14" t="str">
        <f>_xlfn.IFNA(VLOOKUP(A239,'Actual Dates'!A:AE,6,),"")</f>
        <v xml:space="preserve">  </v>
      </c>
      <c r="D239" s="15" t="str">
        <f>IF(C239="  ","  ",IF(C239=0,VLOOKUP(A239,'Date Calcs'!A:AG,9,),IF(C239=1,VLOOKUP(A239,'Date Calcs'!A:AG,11,),IF(C239=2,VLOOKUP(A239,'Date Calcs'!A:AG,13,),IF(C239=3,VLOOKUP(A239,'Date Calcs'!A:AG,15,),4)))))</f>
        <v xml:space="preserve">  </v>
      </c>
      <c r="E239" s="15" t="str">
        <f>IF(_xlfn.IFNA(IF(D239="  "," ",VLOOKUP(A239,'Actual Dates'!A:AE,20,0)),"")&lt;1,"-",_xlfn.IFNA(IF(D239="  "," ",VLOOKUP(A239,'Actual Dates'!A:AE,20,0)),""))</f>
        <v xml:space="preserve"> </v>
      </c>
      <c r="F239" s="12" t="str">
        <f ca="1">IFERROR(IF(A239="","",D239-Date!$B$3),"")</f>
        <v/>
      </c>
      <c r="G239" s="20"/>
      <c r="I239" s="21" t="b">
        <f t="shared" si="11"/>
        <v>0</v>
      </c>
      <c r="J239" s="21" t="str">
        <f t="shared" si="10"/>
        <v xml:space="preserve">  </v>
      </c>
    </row>
    <row r="240" spans="1:10" ht="23.25" hidden="1" x14ac:dyDescent="0.25">
      <c r="A240" s="12">
        <f>'Drawing Submittal'!A240</f>
        <v>0</v>
      </c>
      <c r="B240" s="13" t="str">
        <f>_xlfn.IFNA(VLOOKUP(A240,'Date Calcs'!A:AG,2,),"")</f>
        <v/>
      </c>
      <c r="C240" s="14" t="str">
        <f>_xlfn.IFNA(VLOOKUP(A240,'Actual Dates'!A:AE,6,),"")</f>
        <v xml:space="preserve">  </v>
      </c>
      <c r="D240" s="15" t="str">
        <f>IF(C240="  ","  ",IF(C240=0,VLOOKUP(A240,'Date Calcs'!A:AG,9,),IF(C240=1,VLOOKUP(A240,'Date Calcs'!A:AG,11,),IF(C240=2,VLOOKUP(A240,'Date Calcs'!A:AG,13,),IF(C240=3,VLOOKUP(A240,'Date Calcs'!A:AG,15,),4)))))</f>
        <v xml:space="preserve">  </v>
      </c>
      <c r="E240" s="15" t="str">
        <f>IF(_xlfn.IFNA(IF(D240="  "," ",VLOOKUP(A240,'Actual Dates'!A:AE,20,0)),"")&lt;1,"-",_xlfn.IFNA(IF(D240="  "," ",VLOOKUP(A240,'Actual Dates'!A:AE,20,0)),""))</f>
        <v xml:space="preserve"> </v>
      </c>
      <c r="F240" s="12" t="str">
        <f ca="1">IFERROR(IF(A240="","",D240-Date!$B$3),"")</f>
        <v/>
      </c>
      <c r="G240" s="20"/>
      <c r="I240" s="21" t="b">
        <f t="shared" si="11"/>
        <v>0</v>
      </c>
      <c r="J240" s="21" t="str">
        <f t="shared" ref="J240:J303" si="12">VLOOKUP(A240,Dates,7,)</f>
        <v xml:space="preserve">  </v>
      </c>
    </row>
    <row r="241" spans="1:10" ht="23.25" hidden="1" x14ac:dyDescent="0.25">
      <c r="A241" s="12">
        <f>'Drawing Submittal'!A241</f>
        <v>0</v>
      </c>
      <c r="B241" s="13" t="str">
        <f>_xlfn.IFNA(VLOOKUP(A241,'Date Calcs'!A:AG,2,),"")</f>
        <v/>
      </c>
      <c r="C241" s="14" t="str">
        <f>_xlfn.IFNA(VLOOKUP(A241,'Actual Dates'!A:AE,6,),"")</f>
        <v xml:space="preserve">  </v>
      </c>
      <c r="D241" s="15" t="str">
        <f>IF(C241="  ","  ",IF(C241=0,VLOOKUP(A241,'Date Calcs'!A:AG,9,),IF(C241=1,VLOOKUP(A241,'Date Calcs'!A:AG,11,),IF(C241=2,VLOOKUP(A241,'Date Calcs'!A:AG,13,),IF(C241=3,VLOOKUP(A241,'Date Calcs'!A:AG,15,),4)))))</f>
        <v xml:space="preserve">  </v>
      </c>
      <c r="E241" s="15" t="str">
        <f>IF(_xlfn.IFNA(IF(D241="  "," ",VLOOKUP(A241,'Actual Dates'!A:AE,20,0)),"")&lt;1,"-",_xlfn.IFNA(IF(D241="  "," ",VLOOKUP(A241,'Actual Dates'!A:AE,20,0)),""))</f>
        <v xml:space="preserve"> </v>
      </c>
      <c r="F241" s="12" t="str">
        <f ca="1">IFERROR(IF(A241="","",D241-Date!$B$3),"")</f>
        <v/>
      </c>
      <c r="G241" s="20"/>
      <c r="I241" s="21" t="b">
        <f t="shared" si="11"/>
        <v>0</v>
      </c>
      <c r="J241" s="21" t="str">
        <f t="shared" si="12"/>
        <v xml:space="preserve">  </v>
      </c>
    </row>
    <row r="242" spans="1:10" ht="23.25" hidden="1" x14ac:dyDescent="0.25">
      <c r="A242" s="12">
        <f>'Drawing Submittal'!A242</f>
        <v>0</v>
      </c>
      <c r="B242" s="13" t="str">
        <f>_xlfn.IFNA(VLOOKUP(A242,'Date Calcs'!A:AG,2,),"")</f>
        <v/>
      </c>
      <c r="C242" s="14" t="str">
        <f>_xlfn.IFNA(VLOOKUP(A242,'Actual Dates'!A:AE,6,),"")</f>
        <v xml:space="preserve">  </v>
      </c>
      <c r="D242" s="15" t="str">
        <f>IF(C242="  ","  ",IF(C242=0,VLOOKUP(A242,'Date Calcs'!A:AG,9,),IF(C242=1,VLOOKUP(A242,'Date Calcs'!A:AG,11,),IF(C242=2,VLOOKUP(A242,'Date Calcs'!A:AG,13,),IF(C242=3,VLOOKUP(A242,'Date Calcs'!A:AG,15,),4)))))</f>
        <v xml:space="preserve">  </v>
      </c>
      <c r="E242" s="15" t="str">
        <f>IF(_xlfn.IFNA(IF(D242="  "," ",VLOOKUP(A242,'Actual Dates'!A:AE,20,0)),"")&lt;1,"-",_xlfn.IFNA(IF(D242="  "," ",VLOOKUP(A242,'Actual Dates'!A:AE,20,0)),""))</f>
        <v xml:space="preserve"> </v>
      </c>
      <c r="F242" s="12" t="str">
        <f ca="1">IFERROR(IF(A242="","",D242-Date!$B$3),"")</f>
        <v/>
      </c>
      <c r="G242" s="20"/>
      <c r="I242" s="21" t="b">
        <f t="shared" si="11"/>
        <v>0</v>
      </c>
      <c r="J242" s="21" t="str">
        <f t="shared" si="12"/>
        <v xml:space="preserve">  </v>
      </c>
    </row>
    <row r="243" spans="1:10" ht="23.25" hidden="1" x14ac:dyDescent="0.25">
      <c r="A243" s="12">
        <f>'Drawing Submittal'!A243</f>
        <v>0</v>
      </c>
      <c r="B243" s="13" t="str">
        <f>_xlfn.IFNA(VLOOKUP(A243,'Date Calcs'!A:AG,2,),"")</f>
        <v/>
      </c>
      <c r="C243" s="14" t="str">
        <f>_xlfn.IFNA(VLOOKUP(A243,'Actual Dates'!A:AE,6,),"")</f>
        <v xml:space="preserve">  </v>
      </c>
      <c r="D243" s="15" t="str">
        <f>IF(C243="  ","  ",IF(C243=0,VLOOKUP(A243,'Date Calcs'!A:AG,9,),IF(C243=1,VLOOKUP(A243,'Date Calcs'!A:AG,11,),IF(C243=2,VLOOKUP(A243,'Date Calcs'!A:AG,13,),IF(C243=3,VLOOKUP(A243,'Date Calcs'!A:AG,15,),4)))))</f>
        <v xml:space="preserve">  </v>
      </c>
      <c r="E243" s="15" t="str">
        <f>IF(_xlfn.IFNA(IF(D243="  "," ",VLOOKUP(A243,'Actual Dates'!A:AE,20,0)),"")&lt;1,"-",_xlfn.IFNA(IF(D243="  "," ",VLOOKUP(A243,'Actual Dates'!A:AE,20,0)),""))</f>
        <v xml:space="preserve"> </v>
      </c>
      <c r="F243" s="12" t="str">
        <f ca="1">IFERROR(IF(A243="","",D243-Date!$B$3),"")</f>
        <v/>
      </c>
      <c r="G243" s="20"/>
      <c r="I243" s="21" t="b">
        <f t="shared" si="11"/>
        <v>0</v>
      </c>
      <c r="J243" s="21" t="str">
        <f t="shared" si="12"/>
        <v xml:space="preserve">  </v>
      </c>
    </row>
    <row r="244" spans="1:10" ht="23.25" hidden="1" x14ac:dyDescent="0.25">
      <c r="A244" s="12">
        <f>'Drawing Submittal'!A244</f>
        <v>0</v>
      </c>
      <c r="B244" s="13" t="str">
        <f>_xlfn.IFNA(VLOOKUP(A244,'Date Calcs'!A:AG,2,),"")</f>
        <v/>
      </c>
      <c r="C244" s="14" t="str">
        <f>_xlfn.IFNA(VLOOKUP(A244,'Actual Dates'!A:AE,6,),"")</f>
        <v xml:space="preserve">  </v>
      </c>
      <c r="D244" s="15" t="str">
        <f>IF(C244="  ","  ",IF(C244=0,VLOOKUP(A244,'Date Calcs'!A:AG,9,),IF(C244=1,VLOOKUP(A244,'Date Calcs'!A:AG,11,),IF(C244=2,VLOOKUP(A244,'Date Calcs'!A:AG,13,),IF(C244=3,VLOOKUP(A244,'Date Calcs'!A:AG,15,),4)))))</f>
        <v xml:space="preserve">  </v>
      </c>
      <c r="E244" s="15" t="str">
        <f>IF(_xlfn.IFNA(IF(D244="  "," ",VLOOKUP(A244,'Actual Dates'!A:AE,20,0)),"")&lt;1,"-",_xlfn.IFNA(IF(D244="  "," ",VLOOKUP(A244,'Actual Dates'!A:AE,20,0)),""))</f>
        <v xml:space="preserve"> </v>
      </c>
      <c r="F244" s="12" t="str">
        <f ca="1">IFERROR(IF(A244="","",D244-Date!$B$3),"")</f>
        <v/>
      </c>
      <c r="G244" s="20"/>
      <c r="I244" s="21" t="b">
        <f t="shared" si="11"/>
        <v>0</v>
      </c>
      <c r="J244" s="21" t="str">
        <f t="shared" si="12"/>
        <v xml:space="preserve">  </v>
      </c>
    </row>
    <row r="245" spans="1:10" ht="23.25" hidden="1" x14ac:dyDescent="0.25">
      <c r="A245" s="12">
        <f>'Drawing Submittal'!A245</f>
        <v>0</v>
      </c>
      <c r="B245" s="13" t="str">
        <f>_xlfn.IFNA(VLOOKUP(A245,'Date Calcs'!A:AG,2,),"")</f>
        <v/>
      </c>
      <c r="C245" s="14" t="str">
        <f>_xlfn.IFNA(VLOOKUP(A245,'Actual Dates'!A:AE,6,),"")</f>
        <v xml:space="preserve">  </v>
      </c>
      <c r="D245" s="15" t="str">
        <f>IF(C245="  ","  ",IF(C245=0,VLOOKUP(A245,'Date Calcs'!A:AG,9,),IF(C245=1,VLOOKUP(A245,'Date Calcs'!A:AG,11,),IF(C245=2,VLOOKUP(A245,'Date Calcs'!A:AG,13,),IF(C245=3,VLOOKUP(A245,'Date Calcs'!A:AG,15,),4)))))</f>
        <v xml:space="preserve">  </v>
      </c>
      <c r="E245" s="15" t="str">
        <f>IF(_xlfn.IFNA(IF(D245="  "," ",VLOOKUP(A245,'Actual Dates'!A:AE,20,0)),"")&lt;1,"-",_xlfn.IFNA(IF(D245="  "," ",VLOOKUP(A245,'Actual Dates'!A:AE,20,0)),""))</f>
        <v xml:space="preserve"> </v>
      </c>
      <c r="F245" s="12" t="str">
        <f ca="1">IFERROR(IF(A245="","",D245-Date!$B$3),"")</f>
        <v/>
      </c>
      <c r="G245" s="20"/>
      <c r="I245" s="21" t="b">
        <f t="shared" si="11"/>
        <v>0</v>
      </c>
      <c r="J245" s="21" t="str">
        <f t="shared" si="12"/>
        <v xml:space="preserve">  </v>
      </c>
    </row>
    <row r="246" spans="1:10" ht="23.25" hidden="1" x14ac:dyDescent="0.25">
      <c r="A246" s="12">
        <f>'Drawing Submittal'!A246</f>
        <v>0</v>
      </c>
      <c r="B246" s="13" t="str">
        <f>_xlfn.IFNA(VLOOKUP(A246,'Date Calcs'!A:AG,2,),"")</f>
        <v/>
      </c>
      <c r="C246" s="14" t="str">
        <f>_xlfn.IFNA(VLOOKUP(A246,'Actual Dates'!A:AE,6,),"")</f>
        <v xml:space="preserve">  </v>
      </c>
      <c r="D246" s="15" t="str">
        <f>IF(C246="  ","  ",IF(C246=0,VLOOKUP(A246,'Date Calcs'!A:AG,9,),IF(C246=1,VLOOKUP(A246,'Date Calcs'!A:AG,11,),IF(C246=2,VLOOKUP(A246,'Date Calcs'!A:AG,13,),IF(C246=3,VLOOKUP(A246,'Date Calcs'!A:AG,15,),4)))))</f>
        <v xml:space="preserve">  </v>
      </c>
      <c r="E246" s="15" t="str">
        <f>IF(_xlfn.IFNA(IF(D246="  "," ",VLOOKUP(A246,'Actual Dates'!A:AE,20,0)),"")&lt;1,"-",_xlfn.IFNA(IF(D246="  "," ",VLOOKUP(A246,'Actual Dates'!A:AE,20,0)),""))</f>
        <v xml:space="preserve"> </v>
      </c>
      <c r="F246" s="12" t="str">
        <f ca="1">IFERROR(IF(A246="","",D246-Date!$B$3),"")</f>
        <v/>
      </c>
      <c r="G246" s="20"/>
      <c r="I246" s="21" t="b">
        <f t="shared" si="11"/>
        <v>0</v>
      </c>
      <c r="J246" s="21" t="str">
        <f t="shared" si="12"/>
        <v xml:space="preserve">  </v>
      </c>
    </row>
    <row r="247" spans="1:10" ht="23.25" hidden="1" x14ac:dyDescent="0.25">
      <c r="A247" s="12">
        <f>'Drawing Submittal'!A247</f>
        <v>0</v>
      </c>
      <c r="B247" s="13" t="str">
        <f>_xlfn.IFNA(VLOOKUP(A247,'Date Calcs'!A:AG,2,),"")</f>
        <v/>
      </c>
      <c r="C247" s="14" t="str">
        <f>_xlfn.IFNA(VLOOKUP(A247,'Actual Dates'!A:AE,6,),"")</f>
        <v xml:space="preserve">  </v>
      </c>
      <c r="D247" s="15" t="str">
        <f>IF(C247="  ","  ",IF(C247=0,VLOOKUP(A247,'Date Calcs'!A:AG,9,),IF(C247=1,VLOOKUP(A247,'Date Calcs'!A:AG,11,),IF(C247=2,VLOOKUP(A247,'Date Calcs'!A:AG,13,),IF(C247=3,VLOOKUP(A247,'Date Calcs'!A:AG,15,),4)))))</f>
        <v xml:space="preserve">  </v>
      </c>
      <c r="E247" s="15" t="str">
        <f>IF(_xlfn.IFNA(IF(D247="  "," ",VLOOKUP(A247,'Actual Dates'!A:AE,20,0)),"")&lt;1,"-",_xlfn.IFNA(IF(D247="  "," ",VLOOKUP(A247,'Actual Dates'!A:AE,20,0)),""))</f>
        <v xml:space="preserve"> </v>
      </c>
      <c r="F247" s="12" t="str">
        <f ca="1">IFERROR(IF(A247="","",D247-Date!$B$3),"")</f>
        <v/>
      </c>
      <c r="G247" s="20"/>
      <c r="I247" s="21" t="b">
        <f t="shared" si="11"/>
        <v>0</v>
      </c>
      <c r="J247" s="21" t="str">
        <f t="shared" si="12"/>
        <v xml:space="preserve">  </v>
      </c>
    </row>
    <row r="248" spans="1:10" ht="23.25" hidden="1" x14ac:dyDescent="0.25">
      <c r="A248" s="12">
        <f>'Drawing Submittal'!A248</f>
        <v>0</v>
      </c>
      <c r="B248" s="13" t="str">
        <f>_xlfn.IFNA(VLOOKUP(A248,'Date Calcs'!A:AG,2,),"")</f>
        <v/>
      </c>
      <c r="C248" s="14" t="str">
        <f>_xlfn.IFNA(VLOOKUP(A248,'Actual Dates'!A:AE,6,),"")</f>
        <v xml:space="preserve">  </v>
      </c>
      <c r="D248" s="15" t="str">
        <f>IF(C248="  ","  ",IF(C248=0,VLOOKUP(A248,'Date Calcs'!A:AG,9,),IF(C248=1,VLOOKUP(A248,'Date Calcs'!A:AG,11,),IF(C248=2,VLOOKUP(A248,'Date Calcs'!A:AG,13,),IF(C248=3,VLOOKUP(A248,'Date Calcs'!A:AG,15,),4)))))</f>
        <v xml:space="preserve">  </v>
      </c>
      <c r="E248" s="15" t="str">
        <f>IF(_xlfn.IFNA(IF(D248="  "," ",VLOOKUP(A248,'Actual Dates'!A:AE,20,0)),"")&lt;1,"-",_xlfn.IFNA(IF(D248="  "," ",VLOOKUP(A248,'Actual Dates'!A:AE,20,0)),""))</f>
        <v xml:space="preserve"> </v>
      </c>
      <c r="F248" s="12" t="str">
        <f ca="1">IFERROR(IF(A248="","",D248-Date!$B$3),"")</f>
        <v/>
      </c>
      <c r="G248" s="20"/>
      <c r="I248" s="21" t="b">
        <f t="shared" si="11"/>
        <v>0</v>
      </c>
      <c r="J248" s="21" t="str">
        <f t="shared" si="12"/>
        <v xml:space="preserve">  </v>
      </c>
    </row>
    <row r="249" spans="1:10" ht="23.25" hidden="1" x14ac:dyDescent="0.25">
      <c r="A249" s="12">
        <f>'Drawing Submittal'!A249</f>
        <v>0</v>
      </c>
      <c r="B249" s="13" t="str">
        <f>_xlfn.IFNA(VLOOKUP(A249,'Date Calcs'!A:AG,2,),"")</f>
        <v/>
      </c>
      <c r="C249" s="14" t="str">
        <f>_xlfn.IFNA(VLOOKUP(A249,'Actual Dates'!A:AE,6,),"")</f>
        <v xml:space="preserve">  </v>
      </c>
      <c r="D249" s="15" t="str">
        <f>IF(C249="  ","  ",IF(C249=0,VLOOKUP(A249,'Date Calcs'!A:AG,9,),IF(C249=1,VLOOKUP(A249,'Date Calcs'!A:AG,11,),IF(C249=2,VLOOKUP(A249,'Date Calcs'!A:AG,13,),IF(C249=3,VLOOKUP(A249,'Date Calcs'!A:AG,15,),4)))))</f>
        <v xml:space="preserve">  </v>
      </c>
      <c r="E249" s="15" t="str">
        <f>IF(_xlfn.IFNA(IF(D249="  "," ",VLOOKUP(A249,'Actual Dates'!A:AE,20,0)),"")&lt;1,"-",_xlfn.IFNA(IF(D249="  "," ",VLOOKUP(A249,'Actual Dates'!A:AE,20,0)),""))</f>
        <v xml:space="preserve"> </v>
      </c>
      <c r="F249" s="12" t="str">
        <f ca="1">IFERROR(IF(A249="","",D249-Date!$B$3),"")</f>
        <v/>
      </c>
      <c r="G249" s="20"/>
      <c r="I249" s="21" t="b">
        <f t="shared" si="11"/>
        <v>0</v>
      </c>
      <c r="J249" s="21" t="str">
        <f t="shared" si="12"/>
        <v xml:space="preserve">  </v>
      </c>
    </row>
    <row r="250" spans="1:10" ht="23.25" hidden="1" x14ac:dyDescent="0.25">
      <c r="A250" s="12">
        <f>'Drawing Submittal'!A250</f>
        <v>0</v>
      </c>
      <c r="B250" s="13" t="str">
        <f>_xlfn.IFNA(VLOOKUP(A250,'Date Calcs'!A:AG,2,),"")</f>
        <v/>
      </c>
      <c r="C250" s="14" t="str">
        <f>_xlfn.IFNA(VLOOKUP(A250,'Actual Dates'!A:AE,6,),"")</f>
        <v xml:space="preserve">  </v>
      </c>
      <c r="D250" s="15" t="str">
        <f>IF(C250="  ","  ",IF(C250=0,VLOOKUP(A250,'Date Calcs'!A:AG,9,),IF(C250=1,VLOOKUP(A250,'Date Calcs'!A:AG,11,),IF(C250=2,VLOOKUP(A250,'Date Calcs'!A:AG,13,),IF(C250=3,VLOOKUP(A250,'Date Calcs'!A:AG,15,),4)))))</f>
        <v xml:space="preserve">  </v>
      </c>
      <c r="E250" s="15" t="str">
        <f>IF(_xlfn.IFNA(IF(D250="  "," ",VLOOKUP(A250,'Actual Dates'!A:AE,20,0)),"")&lt;1,"-",_xlfn.IFNA(IF(D250="  "," ",VLOOKUP(A250,'Actual Dates'!A:AE,20,0)),""))</f>
        <v xml:space="preserve"> </v>
      </c>
      <c r="F250" s="12" t="str">
        <f ca="1">IFERROR(IF(A250="","",D250-Date!$B$3),"")</f>
        <v/>
      </c>
      <c r="G250" s="20"/>
      <c r="I250" s="21" t="b">
        <f t="shared" si="11"/>
        <v>0</v>
      </c>
      <c r="J250" s="21" t="str">
        <f t="shared" si="12"/>
        <v xml:space="preserve">  </v>
      </c>
    </row>
    <row r="251" spans="1:10" ht="23.25" hidden="1" x14ac:dyDescent="0.25">
      <c r="A251" s="12">
        <f>'Drawing Submittal'!A251</f>
        <v>0</v>
      </c>
      <c r="B251" s="13" t="str">
        <f>_xlfn.IFNA(VLOOKUP(A251,'Date Calcs'!A:AG,2,),"")</f>
        <v/>
      </c>
      <c r="C251" s="14" t="str">
        <f>_xlfn.IFNA(VLOOKUP(A251,'Actual Dates'!A:AE,6,),"")</f>
        <v xml:space="preserve">  </v>
      </c>
      <c r="D251" s="15" t="str">
        <f>IF(C251="  ","  ",IF(C251=0,VLOOKUP(A251,'Date Calcs'!A:AG,9,),IF(C251=1,VLOOKUP(A251,'Date Calcs'!A:AG,11,),IF(C251=2,VLOOKUP(A251,'Date Calcs'!A:AG,13,),IF(C251=3,VLOOKUP(A251,'Date Calcs'!A:AG,15,),4)))))</f>
        <v xml:space="preserve">  </v>
      </c>
      <c r="E251" s="15" t="str">
        <f>IF(_xlfn.IFNA(IF(D251="  "," ",VLOOKUP(A251,'Actual Dates'!A:AE,20,0)),"")&lt;1,"-",_xlfn.IFNA(IF(D251="  "," ",VLOOKUP(A251,'Actual Dates'!A:AE,20,0)),""))</f>
        <v xml:space="preserve"> </v>
      </c>
      <c r="F251" s="12" t="str">
        <f ca="1">IFERROR(IF(A251="","",D251-Date!$B$3),"")</f>
        <v/>
      </c>
      <c r="G251" s="20"/>
      <c r="I251" s="21" t="b">
        <f t="shared" si="11"/>
        <v>0</v>
      </c>
      <c r="J251" s="21" t="str">
        <f t="shared" si="12"/>
        <v xml:space="preserve">  </v>
      </c>
    </row>
    <row r="252" spans="1:10" ht="23.25" hidden="1" x14ac:dyDescent="0.25">
      <c r="A252" s="12">
        <f>'Drawing Submittal'!A252</f>
        <v>0</v>
      </c>
      <c r="B252" s="13" t="str">
        <f>_xlfn.IFNA(VLOOKUP(A252,'Date Calcs'!A:AG,2,),"")</f>
        <v/>
      </c>
      <c r="C252" s="14" t="str">
        <f>_xlfn.IFNA(VLOOKUP(A252,'Actual Dates'!A:AE,6,),"")</f>
        <v xml:space="preserve">  </v>
      </c>
      <c r="D252" s="15" t="str">
        <f>IF(C252="  ","  ",IF(C252=0,VLOOKUP(A252,'Date Calcs'!A:AG,9,),IF(C252=1,VLOOKUP(A252,'Date Calcs'!A:AG,11,),IF(C252=2,VLOOKUP(A252,'Date Calcs'!A:AG,13,),IF(C252=3,VLOOKUP(A252,'Date Calcs'!A:AG,15,),4)))))</f>
        <v xml:space="preserve">  </v>
      </c>
      <c r="E252" s="15" t="str">
        <f>IF(_xlfn.IFNA(IF(D252="  "," ",VLOOKUP(A252,'Actual Dates'!A:AE,20,0)),"")&lt;1,"-",_xlfn.IFNA(IF(D252="  "," ",VLOOKUP(A252,'Actual Dates'!A:AE,20,0)),""))</f>
        <v xml:space="preserve"> </v>
      </c>
      <c r="F252" s="12" t="str">
        <f ca="1">IFERROR(IF(A252="","",D252-Date!$B$3),"")</f>
        <v/>
      </c>
      <c r="G252" s="20"/>
      <c r="I252" s="21" t="b">
        <f t="shared" si="11"/>
        <v>0</v>
      </c>
      <c r="J252" s="21" t="str">
        <f t="shared" si="12"/>
        <v xml:space="preserve">  </v>
      </c>
    </row>
    <row r="253" spans="1:10" ht="23.25" hidden="1" x14ac:dyDescent="0.25">
      <c r="A253" s="12">
        <f>'Drawing Submittal'!A253</f>
        <v>0</v>
      </c>
      <c r="B253" s="13" t="str">
        <f>_xlfn.IFNA(VLOOKUP(A253,'Date Calcs'!A:AG,2,),"")</f>
        <v/>
      </c>
      <c r="C253" s="14" t="str">
        <f>_xlfn.IFNA(VLOOKUP(A253,'Actual Dates'!A:AE,6,),"")</f>
        <v xml:space="preserve">  </v>
      </c>
      <c r="D253" s="15" t="str">
        <f>IF(C253="  ","  ",IF(C253=0,VLOOKUP(A253,'Date Calcs'!A:AG,9,),IF(C253=1,VLOOKUP(A253,'Date Calcs'!A:AG,11,),IF(C253=2,VLOOKUP(A253,'Date Calcs'!A:AG,13,),IF(C253=3,VLOOKUP(A253,'Date Calcs'!A:AG,15,),4)))))</f>
        <v xml:space="preserve">  </v>
      </c>
      <c r="E253" s="15" t="str">
        <f>IF(_xlfn.IFNA(IF(D253="  "," ",VLOOKUP(A253,'Actual Dates'!A:AE,20,0)),"")&lt;1,"-",_xlfn.IFNA(IF(D253="  "," ",VLOOKUP(A253,'Actual Dates'!A:AE,20,0)),""))</f>
        <v xml:space="preserve"> </v>
      </c>
      <c r="F253" s="12" t="str">
        <f ca="1">IFERROR(IF(A253="","",D253-Date!$B$3),"")</f>
        <v/>
      </c>
      <c r="G253" s="20"/>
      <c r="I253" s="21" t="b">
        <f t="shared" si="11"/>
        <v>0</v>
      </c>
      <c r="J253" s="21" t="str">
        <f t="shared" si="12"/>
        <v xml:space="preserve">  </v>
      </c>
    </row>
    <row r="254" spans="1:10" ht="23.25" hidden="1" x14ac:dyDescent="0.25">
      <c r="A254" s="12">
        <f>'Drawing Submittal'!A254</f>
        <v>0</v>
      </c>
      <c r="B254" s="13" t="str">
        <f>_xlfn.IFNA(VLOOKUP(A254,'Date Calcs'!A:AG,2,),"")</f>
        <v/>
      </c>
      <c r="C254" s="14" t="str">
        <f>_xlfn.IFNA(VLOOKUP(A254,'Actual Dates'!A:AE,6,),"")</f>
        <v xml:space="preserve">  </v>
      </c>
      <c r="D254" s="15" t="str">
        <f>IF(C254="  ","  ",IF(C254=0,VLOOKUP(A254,'Date Calcs'!A:AG,9,),IF(C254=1,VLOOKUP(A254,'Date Calcs'!A:AG,11,),IF(C254=2,VLOOKUP(A254,'Date Calcs'!A:AG,13,),IF(C254=3,VLOOKUP(A254,'Date Calcs'!A:AG,15,),4)))))</f>
        <v xml:space="preserve">  </v>
      </c>
      <c r="E254" s="15" t="str">
        <f>IF(_xlfn.IFNA(IF(D254="  "," ",VLOOKUP(A254,'Actual Dates'!A:AE,20,0)),"")&lt;1,"-",_xlfn.IFNA(IF(D254="  "," ",VLOOKUP(A254,'Actual Dates'!A:AE,20,0)),""))</f>
        <v xml:space="preserve"> </v>
      </c>
      <c r="F254" s="12" t="str">
        <f ca="1">IFERROR(IF(A254="","",D254-Date!$B$3),"")</f>
        <v/>
      </c>
      <c r="G254" s="20"/>
      <c r="I254" s="21" t="b">
        <f t="shared" si="11"/>
        <v>0</v>
      </c>
      <c r="J254" s="21" t="str">
        <f t="shared" si="12"/>
        <v xml:space="preserve">  </v>
      </c>
    </row>
    <row r="255" spans="1:10" ht="23.25" hidden="1" x14ac:dyDescent="0.25">
      <c r="A255" s="12">
        <f>'Drawing Submittal'!A255</f>
        <v>0</v>
      </c>
      <c r="B255" s="13" t="str">
        <f>_xlfn.IFNA(VLOOKUP(A255,'Date Calcs'!A:AG,2,),"")</f>
        <v/>
      </c>
      <c r="C255" s="14" t="str">
        <f>_xlfn.IFNA(VLOOKUP(A255,'Actual Dates'!A:AE,6,),"")</f>
        <v xml:space="preserve">  </v>
      </c>
      <c r="D255" s="15" t="str">
        <f>IF(C255="  ","  ",IF(C255=0,VLOOKUP(A255,'Date Calcs'!A:AG,9,),IF(C255=1,VLOOKUP(A255,'Date Calcs'!A:AG,11,),IF(C255=2,VLOOKUP(A255,'Date Calcs'!A:AG,13,),IF(C255=3,VLOOKUP(A255,'Date Calcs'!A:AG,15,),4)))))</f>
        <v xml:space="preserve">  </v>
      </c>
      <c r="E255" s="15" t="str">
        <f>IF(_xlfn.IFNA(IF(D255="  "," ",VLOOKUP(A255,'Actual Dates'!A:AE,20,0)),"")&lt;1,"-",_xlfn.IFNA(IF(D255="  "," ",VLOOKUP(A255,'Actual Dates'!A:AE,20,0)),""))</f>
        <v xml:space="preserve"> </v>
      </c>
      <c r="F255" s="12" t="str">
        <f ca="1">IFERROR(IF(A255="","",D255-Date!$B$3),"")</f>
        <v/>
      </c>
      <c r="G255" s="20"/>
      <c r="I255" s="21" t="b">
        <f t="shared" si="11"/>
        <v>0</v>
      </c>
      <c r="J255" s="21" t="str">
        <f t="shared" si="12"/>
        <v xml:space="preserve">  </v>
      </c>
    </row>
    <row r="256" spans="1:10" ht="23.25" hidden="1" x14ac:dyDescent="0.25">
      <c r="A256" s="12">
        <f>'Drawing Submittal'!A256</f>
        <v>0</v>
      </c>
      <c r="B256" s="13" t="str">
        <f>_xlfn.IFNA(VLOOKUP(A256,'Date Calcs'!A:AG,2,),"")</f>
        <v/>
      </c>
      <c r="C256" s="14" t="str">
        <f>_xlfn.IFNA(VLOOKUP(A256,'Actual Dates'!A:AE,6,),"")</f>
        <v xml:space="preserve">  </v>
      </c>
      <c r="D256" s="15" t="str">
        <f>IF(C256="  ","  ",IF(C256=0,VLOOKUP(A256,'Date Calcs'!A:AG,9,),IF(C256=1,VLOOKUP(A256,'Date Calcs'!A:AG,11,),IF(C256=2,VLOOKUP(A256,'Date Calcs'!A:AG,13,),IF(C256=3,VLOOKUP(A256,'Date Calcs'!A:AG,15,),4)))))</f>
        <v xml:space="preserve">  </v>
      </c>
      <c r="E256" s="15" t="str">
        <f>IF(_xlfn.IFNA(IF(D256="  "," ",VLOOKUP(A256,'Actual Dates'!A:AE,20,0)),"")&lt;1,"-",_xlfn.IFNA(IF(D256="  "," ",VLOOKUP(A256,'Actual Dates'!A:AE,20,0)),""))</f>
        <v xml:space="preserve"> </v>
      </c>
      <c r="F256" s="12" t="str">
        <f ca="1">IFERROR(IF(A256="","",D256-Date!$B$3),"")</f>
        <v/>
      </c>
      <c r="G256" s="20"/>
      <c r="I256" s="21" t="b">
        <f t="shared" si="11"/>
        <v>0</v>
      </c>
      <c r="J256" s="21" t="str">
        <f t="shared" si="12"/>
        <v xml:space="preserve">  </v>
      </c>
    </row>
    <row r="257" spans="1:10" ht="23.25" hidden="1" x14ac:dyDescent="0.25">
      <c r="A257" s="12">
        <f>'Drawing Submittal'!A257</f>
        <v>0</v>
      </c>
      <c r="B257" s="13" t="str">
        <f>_xlfn.IFNA(VLOOKUP(A257,'Date Calcs'!A:AG,2,),"")</f>
        <v/>
      </c>
      <c r="C257" s="14" t="str">
        <f>_xlfn.IFNA(VLOOKUP(A257,'Actual Dates'!A:AE,6,),"")</f>
        <v xml:space="preserve">  </v>
      </c>
      <c r="D257" s="15" t="str">
        <f>IF(C257="  ","  ",IF(C257=0,VLOOKUP(A257,'Date Calcs'!A:AG,9,),IF(C257=1,VLOOKUP(A257,'Date Calcs'!A:AG,11,),IF(C257=2,VLOOKUP(A257,'Date Calcs'!A:AG,13,),IF(C257=3,VLOOKUP(A257,'Date Calcs'!A:AG,15,),4)))))</f>
        <v xml:space="preserve">  </v>
      </c>
      <c r="E257" s="15" t="str">
        <f>IF(_xlfn.IFNA(IF(D257="  "," ",VLOOKUP(A257,'Actual Dates'!A:AE,20,0)),"")&lt;1,"-",_xlfn.IFNA(IF(D257="  "," ",VLOOKUP(A257,'Actual Dates'!A:AE,20,0)),""))</f>
        <v xml:space="preserve"> </v>
      </c>
      <c r="F257" s="12" t="str">
        <f ca="1">IFERROR(IF(A257="","",D257-Date!$B$3),"")</f>
        <v/>
      </c>
      <c r="G257" s="20"/>
      <c r="I257" s="21" t="b">
        <f t="shared" si="11"/>
        <v>0</v>
      </c>
      <c r="J257" s="21" t="str">
        <f t="shared" si="12"/>
        <v xml:space="preserve">  </v>
      </c>
    </row>
    <row r="258" spans="1:10" ht="23.25" hidden="1" x14ac:dyDescent="0.25">
      <c r="A258" s="12">
        <f>'Drawing Submittal'!A258</f>
        <v>0</v>
      </c>
      <c r="B258" s="13" t="str">
        <f>_xlfn.IFNA(VLOOKUP(A258,'Date Calcs'!A:AG,2,),"")</f>
        <v/>
      </c>
      <c r="C258" s="14" t="str">
        <f>_xlfn.IFNA(VLOOKUP(A258,'Actual Dates'!A:AE,6,),"")</f>
        <v xml:space="preserve">  </v>
      </c>
      <c r="D258" s="15" t="str">
        <f>IF(C258="  ","  ",IF(C258=0,VLOOKUP(A258,'Date Calcs'!A:AG,9,),IF(C258=1,VLOOKUP(A258,'Date Calcs'!A:AG,11,),IF(C258=2,VLOOKUP(A258,'Date Calcs'!A:AG,13,),IF(C258=3,VLOOKUP(A258,'Date Calcs'!A:AG,15,),4)))))</f>
        <v xml:space="preserve">  </v>
      </c>
      <c r="E258" s="15" t="str">
        <f>IF(_xlfn.IFNA(IF(D258="  "," ",VLOOKUP(A258,'Actual Dates'!A:AE,20,0)),"")&lt;1,"-",_xlfn.IFNA(IF(D258="  "," ",VLOOKUP(A258,'Actual Dates'!A:AE,20,0)),""))</f>
        <v xml:space="preserve"> </v>
      </c>
      <c r="F258" s="12" t="str">
        <f ca="1">IFERROR(IF(A258="","",D258-Date!$B$3),"")</f>
        <v/>
      </c>
      <c r="G258" s="20"/>
      <c r="I258" s="21" t="b">
        <f t="shared" si="11"/>
        <v>0</v>
      </c>
      <c r="J258" s="21" t="str">
        <f t="shared" si="12"/>
        <v xml:space="preserve">  </v>
      </c>
    </row>
    <row r="259" spans="1:10" ht="23.25" hidden="1" x14ac:dyDescent="0.25">
      <c r="A259" s="12">
        <f>'Drawing Submittal'!A259</f>
        <v>0</v>
      </c>
      <c r="B259" s="13" t="str">
        <f>_xlfn.IFNA(VLOOKUP(A259,'Date Calcs'!A:AG,2,),"")</f>
        <v/>
      </c>
      <c r="C259" s="14" t="str">
        <f>_xlfn.IFNA(VLOOKUP(A259,'Actual Dates'!A:AE,6,),"")</f>
        <v xml:space="preserve">  </v>
      </c>
      <c r="D259" s="15" t="str">
        <f>IF(C259="  ","  ",IF(C259=0,VLOOKUP(A259,'Date Calcs'!A:AG,9,),IF(C259=1,VLOOKUP(A259,'Date Calcs'!A:AG,11,),IF(C259=2,VLOOKUP(A259,'Date Calcs'!A:AG,13,),IF(C259=3,VLOOKUP(A259,'Date Calcs'!A:AG,15,),4)))))</f>
        <v xml:space="preserve">  </v>
      </c>
      <c r="E259" s="15" t="str">
        <f>IF(_xlfn.IFNA(IF(D259="  "," ",VLOOKUP(A259,'Actual Dates'!A:AE,20,0)),"")&lt;1,"-",_xlfn.IFNA(IF(D259="  "," ",VLOOKUP(A259,'Actual Dates'!A:AE,20,0)),""))</f>
        <v xml:space="preserve"> </v>
      </c>
      <c r="F259" s="12" t="str">
        <f ca="1">IFERROR(IF(A259="","",D259-Date!$B$3),"")</f>
        <v/>
      </c>
      <c r="G259" s="20"/>
      <c r="I259" s="21" t="b">
        <f t="shared" si="11"/>
        <v>0</v>
      </c>
      <c r="J259" s="21" t="str">
        <f t="shared" si="12"/>
        <v xml:space="preserve">  </v>
      </c>
    </row>
    <row r="260" spans="1:10" ht="23.25" hidden="1" x14ac:dyDescent="0.25">
      <c r="A260" s="12">
        <f>'Drawing Submittal'!A260</f>
        <v>0</v>
      </c>
      <c r="B260" s="13" t="str">
        <f>_xlfn.IFNA(VLOOKUP(A260,'Date Calcs'!A:AG,2,),"")</f>
        <v/>
      </c>
      <c r="C260" s="14" t="str">
        <f>_xlfn.IFNA(VLOOKUP(A260,'Actual Dates'!A:AE,6,),"")</f>
        <v xml:space="preserve">  </v>
      </c>
      <c r="D260" s="15" t="str">
        <f>IF(C260="  ","  ",IF(C260=0,VLOOKUP(A260,'Date Calcs'!A:AG,9,),IF(C260=1,VLOOKUP(A260,'Date Calcs'!A:AG,11,),IF(C260=2,VLOOKUP(A260,'Date Calcs'!A:AG,13,),IF(C260=3,VLOOKUP(A260,'Date Calcs'!A:AG,15,),4)))))</f>
        <v xml:space="preserve">  </v>
      </c>
      <c r="E260" s="15" t="str">
        <f>IF(_xlfn.IFNA(IF(D260="  "," ",VLOOKUP(A260,'Actual Dates'!A:AE,20,0)),"")&lt;1,"-",_xlfn.IFNA(IF(D260="  "," ",VLOOKUP(A260,'Actual Dates'!A:AE,20,0)),""))</f>
        <v xml:space="preserve"> </v>
      </c>
      <c r="F260" s="12" t="str">
        <f ca="1">IFERROR(IF(A260="","",D260-Date!$B$3),"")</f>
        <v/>
      </c>
      <c r="G260" s="20"/>
      <c r="I260" s="21" t="b">
        <f t="shared" si="11"/>
        <v>0</v>
      </c>
      <c r="J260" s="21" t="str">
        <f t="shared" si="12"/>
        <v xml:space="preserve">  </v>
      </c>
    </row>
    <row r="261" spans="1:10" ht="23.25" hidden="1" x14ac:dyDescent="0.25">
      <c r="A261" s="12">
        <f>'Drawing Submittal'!A261</f>
        <v>0</v>
      </c>
      <c r="B261" s="13" t="str">
        <f>_xlfn.IFNA(VLOOKUP(A261,'Date Calcs'!A:AG,2,),"")</f>
        <v/>
      </c>
      <c r="C261" s="14" t="str">
        <f>_xlfn.IFNA(VLOOKUP(A261,'Actual Dates'!A:AE,6,),"")</f>
        <v xml:space="preserve">  </v>
      </c>
      <c r="D261" s="15" t="str">
        <f>IF(C261="  ","  ",IF(C261=0,VLOOKUP(A261,'Date Calcs'!A:AG,9,),IF(C261=1,VLOOKUP(A261,'Date Calcs'!A:AG,11,),IF(C261=2,VLOOKUP(A261,'Date Calcs'!A:AG,13,),IF(C261=3,VLOOKUP(A261,'Date Calcs'!A:AG,15,),4)))))</f>
        <v xml:space="preserve">  </v>
      </c>
      <c r="E261" s="15" t="str">
        <f>IF(_xlfn.IFNA(IF(D261="  "," ",VLOOKUP(A261,'Actual Dates'!A:AE,20,0)),"")&lt;1,"-",_xlfn.IFNA(IF(D261="  "," ",VLOOKUP(A261,'Actual Dates'!A:AE,20,0)),""))</f>
        <v xml:space="preserve"> </v>
      </c>
      <c r="F261" s="12" t="str">
        <f ca="1">IFERROR(IF(A261="","",D261-Date!$B$3),"")</f>
        <v/>
      </c>
      <c r="G261" s="20"/>
      <c r="I261" s="21" t="b">
        <f t="shared" si="11"/>
        <v>0</v>
      </c>
      <c r="J261" s="21" t="str">
        <f t="shared" si="12"/>
        <v xml:space="preserve">  </v>
      </c>
    </row>
    <row r="262" spans="1:10" ht="23.25" hidden="1" x14ac:dyDescent="0.25">
      <c r="A262" s="12">
        <f>'Drawing Submittal'!A262</f>
        <v>0</v>
      </c>
      <c r="B262" s="13" t="str">
        <f>_xlfn.IFNA(VLOOKUP(A262,'Date Calcs'!A:AG,2,),"")</f>
        <v/>
      </c>
      <c r="C262" s="14" t="str">
        <f>_xlfn.IFNA(VLOOKUP(A262,'Actual Dates'!A:AE,6,),"")</f>
        <v xml:space="preserve">  </v>
      </c>
      <c r="D262" s="15" t="str">
        <f>IF(C262="  ","  ",IF(C262=0,VLOOKUP(A262,'Date Calcs'!A:AG,9,),IF(C262=1,VLOOKUP(A262,'Date Calcs'!A:AG,11,),IF(C262=2,VLOOKUP(A262,'Date Calcs'!A:AG,13,),IF(C262=3,VLOOKUP(A262,'Date Calcs'!A:AG,15,),4)))))</f>
        <v xml:space="preserve">  </v>
      </c>
      <c r="E262" s="15" t="str">
        <f>IF(_xlfn.IFNA(IF(D262="  "," ",VLOOKUP(A262,'Actual Dates'!A:AE,20,0)),"")&lt;1,"-",_xlfn.IFNA(IF(D262="  "," ",VLOOKUP(A262,'Actual Dates'!A:AE,20,0)),""))</f>
        <v xml:space="preserve"> </v>
      </c>
      <c r="F262" s="12" t="str">
        <f ca="1">IFERROR(IF(A262="","",D262-Date!$B$3),"")</f>
        <v/>
      </c>
      <c r="G262" s="20"/>
      <c r="I262" s="21" t="b">
        <f t="shared" ref="I262:I325" si="13">IF(C262=0,IF(VLOOKUP(A262,Dates,9,)&gt;0,1,"  "),IF(C262=1,IF(VLOOKUP(A262,Dates,11,)&gt;0,1,"  "),IF(C262=2,IF(VLOOKUP(A262,Dates,13,)&gt;0,1,"  "),IF(C262=3,IF(VLOOKUP(A262,Dates,15,)&gt;0,1,"  ")))))</f>
        <v>0</v>
      </c>
      <c r="J262" s="21" t="str">
        <f t="shared" si="12"/>
        <v xml:space="preserve">  </v>
      </c>
    </row>
    <row r="263" spans="1:10" ht="23.25" hidden="1" x14ac:dyDescent="0.25">
      <c r="A263" s="12">
        <f>'Drawing Submittal'!A263</f>
        <v>0</v>
      </c>
      <c r="B263" s="13" t="str">
        <f>_xlfn.IFNA(VLOOKUP(A263,'Date Calcs'!A:AG,2,),"")</f>
        <v/>
      </c>
      <c r="C263" s="14" t="str">
        <f>_xlfn.IFNA(VLOOKUP(A263,'Actual Dates'!A:AE,6,),"")</f>
        <v xml:space="preserve">  </v>
      </c>
      <c r="D263" s="15" t="str">
        <f>IF(C263="  ","  ",IF(C263=0,VLOOKUP(A263,'Date Calcs'!A:AG,9,),IF(C263=1,VLOOKUP(A263,'Date Calcs'!A:AG,11,),IF(C263=2,VLOOKUP(A263,'Date Calcs'!A:AG,13,),IF(C263=3,VLOOKUP(A263,'Date Calcs'!A:AG,15,),4)))))</f>
        <v xml:space="preserve">  </v>
      </c>
      <c r="E263" s="15" t="str">
        <f>IF(_xlfn.IFNA(IF(D263="  "," ",VLOOKUP(A263,'Actual Dates'!A:AE,20,0)),"")&lt;1,"-",_xlfn.IFNA(IF(D263="  "," ",VLOOKUP(A263,'Actual Dates'!A:AE,20,0)),""))</f>
        <v xml:space="preserve"> </v>
      </c>
      <c r="F263" s="12" t="str">
        <f ca="1">IFERROR(IF(A263="","",D263-Date!$B$3),"")</f>
        <v/>
      </c>
      <c r="G263" s="20"/>
      <c r="I263" s="21" t="b">
        <f t="shared" si="13"/>
        <v>0</v>
      </c>
      <c r="J263" s="21" t="str">
        <f t="shared" si="12"/>
        <v xml:space="preserve">  </v>
      </c>
    </row>
    <row r="264" spans="1:10" ht="23.25" hidden="1" x14ac:dyDescent="0.25">
      <c r="A264" s="12">
        <f>'Drawing Submittal'!A264</f>
        <v>0</v>
      </c>
      <c r="B264" s="13" t="str">
        <f>_xlfn.IFNA(VLOOKUP(A264,'Date Calcs'!A:AG,2,),"")</f>
        <v/>
      </c>
      <c r="C264" s="14" t="str">
        <f>_xlfn.IFNA(VLOOKUP(A264,'Actual Dates'!A:AE,6,),"")</f>
        <v xml:space="preserve">  </v>
      </c>
      <c r="D264" s="15" t="str">
        <f>IF(C264="  ","  ",IF(C264=0,VLOOKUP(A264,'Date Calcs'!A:AG,9,),IF(C264=1,VLOOKUP(A264,'Date Calcs'!A:AG,11,),IF(C264=2,VLOOKUP(A264,'Date Calcs'!A:AG,13,),IF(C264=3,VLOOKUP(A264,'Date Calcs'!A:AG,15,),4)))))</f>
        <v xml:space="preserve">  </v>
      </c>
      <c r="E264" s="15" t="str">
        <f>IF(_xlfn.IFNA(IF(D264="  "," ",VLOOKUP(A264,'Actual Dates'!A:AE,20,0)),"")&lt;1,"-",_xlfn.IFNA(IF(D264="  "," ",VLOOKUP(A264,'Actual Dates'!A:AE,20,0)),""))</f>
        <v xml:space="preserve"> </v>
      </c>
      <c r="F264" s="12" t="str">
        <f ca="1">IFERROR(IF(A264="","",D264-Date!$B$3),"")</f>
        <v/>
      </c>
      <c r="G264" s="20"/>
      <c r="I264" s="21" t="b">
        <f t="shared" si="13"/>
        <v>0</v>
      </c>
      <c r="J264" s="21" t="str">
        <f t="shared" si="12"/>
        <v xml:space="preserve">  </v>
      </c>
    </row>
    <row r="265" spans="1:10" ht="23.25" hidden="1" x14ac:dyDescent="0.25">
      <c r="A265" s="12">
        <f>'Drawing Submittal'!A265</f>
        <v>0</v>
      </c>
      <c r="B265" s="13" t="str">
        <f>_xlfn.IFNA(VLOOKUP(A265,'Date Calcs'!A:AG,2,),"")</f>
        <v/>
      </c>
      <c r="C265" s="14" t="str">
        <f>_xlfn.IFNA(VLOOKUP(A265,'Actual Dates'!A:AE,6,),"")</f>
        <v xml:space="preserve">  </v>
      </c>
      <c r="D265" s="15" t="str">
        <f>IF(C265="  ","  ",IF(C265=0,VLOOKUP(A265,'Date Calcs'!A:AG,9,),IF(C265=1,VLOOKUP(A265,'Date Calcs'!A:AG,11,),IF(C265=2,VLOOKUP(A265,'Date Calcs'!A:AG,13,),IF(C265=3,VLOOKUP(A265,'Date Calcs'!A:AG,15,),4)))))</f>
        <v xml:space="preserve">  </v>
      </c>
      <c r="E265" s="15" t="str">
        <f>IF(_xlfn.IFNA(IF(D265="  "," ",VLOOKUP(A265,'Actual Dates'!A:AE,20,0)),"")&lt;1,"-",_xlfn.IFNA(IF(D265="  "," ",VLOOKUP(A265,'Actual Dates'!A:AE,20,0)),""))</f>
        <v xml:space="preserve"> </v>
      </c>
      <c r="F265" s="12" t="str">
        <f ca="1">IFERROR(IF(A265="","",D265-Date!$B$3),"")</f>
        <v/>
      </c>
      <c r="G265" s="20"/>
      <c r="I265" s="21" t="b">
        <f t="shared" si="13"/>
        <v>0</v>
      </c>
      <c r="J265" s="21" t="str">
        <f t="shared" si="12"/>
        <v xml:space="preserve">  </v>
      </c>
    </row>
    <row r="266" spans="1:10" ht="23.25" hidden="1" x14ac:dyDescent="0.25">
      <c r="A266" s="12">
        <f>'Drawing Submittal'!A266</f>
        <v>0</v>
      </c>
      <c r="B266" s="13" t="str">
        <f>_xlfn.IFNA(VLOOKUP(A266,'Date Calcs'!A:AG,2,),"")</f>
        <v/>
      </c>
      <c r="C266" s="14" t="str">
        <f>_xlfn.IFNA(VLOOKUP(A266,'Actual Dates'!A:AE,6,),"")</f>
        <v xml:space="preserve">  </v>
      </c>
      <c r="D266" s="15" t="str">
        <f>IF(C266="  ","  ",IF(C266=0,VLOOKUP(A266,'Date Calcs'!A:AG,9,),IF(C266=1,VLOOKUP(A266,'Date Calcs'!A:AG,11,),IF(C266=2,VLOOKUP(A266,'Date Calcs'!A:AG,13,),IF(C266=3,VLOOKUP(A266,'Date Calcs'!A:AG,15,),4)))))</f>
        <v xml:space="preserve">  </v>
      </c>
      <c r="E266" s="15" t="str">
        <f>IF(_xlfn.IFNA(IF(D266="  "," ",VLOOKUP(A266,'Actual Dates'!A:AE,20,0)),"")&lt;1,"-",_xlfn.IFNA(IF(D266="  "," ",VLOOKUP(A266,'Actual Dates'!A:AE,20,0)),""))</f>
        <v xml:space="preserve"> </v>
      </c>
      <c r="F266" s="12" t="str">
        <f ca="1">IFERROR(IF(A266="","",D266-Date!$B$3),"")</f>
        <v/>
      </c>
      <c r="G266" s="20"/>
      <c r="I266" s="21" t="b">
        <f t="shared" si="13"/>
        <v>0</v>
      </c>
      <c r="J266" s="21" t="str">
        <f t="shared" si="12"/>
        <v xml:space="preserve">  </v>
      </c>
    </row>
    <row r="267" spans="1:10" ht="23.25" hidden="1" x14ac:dyDescent="0.25">
      <c r="A267" s="12">
        <f>'Drawing Submittal'!A267</f>
        <v>0</v>
      </c>
      <c r="B267" s="13" t="str">
        <f>_xlfn.IFNA(VLOOKUP(A267,'Date Calcs'!A:AG,2,),"")</f>
        <v/>
      </c>
      <c r="C267" s="14" t="str">
        <f>_xlfn.IFNA(VLOOKUP(A267,'Actual Dates'!A:AE,6,),"")</f>
        <v xml:space="preserve">  </v>
      </c>
      <c r="D267" s="15" t="str">
        <f>IF(C267="  ","  ",IF(C267=0,VLOOKUP(A267,'Date Calcs'!A:AG,9,),IF(C267=1,VLOOKUP(A267,'Date Calcs'!A:AG,11,),IF(C267=2,VLOOKUP(A267,'Date Calcs'!A:AG,13,),IF(C267=3,VLOOKUP(A267,'Date Calcs'!A:AG,15,),4)))))</f>
        <v xml:space="preserve">  </v>
      </c>
      <c r="E267" s="15" t="str">
        <f>IF(_xlfn.IFNA(IF(D267="  "," ",VLOOKUP(A267,'Actual Dates'!A:AE,20,0)),"")&lt;1,"-",_xlfn.IFNA(IF(D267="  "," ",VLOOKUP(A267,'Actual Dates'!A:AE,20,0)),""))</f>
        <v xml:space="preserve"> </v>
      </c>
      <c r="F267" s="12" t="str">
        <f ca="1">IFERROR(IF(A267="","",D267-Date!$B$3),"")</f>
        <v/>
      </c>
      <c r="G267" s="20"/>
      <c r="I267" s="21" t="b">
        <f t="shared" si="13"/>
        <v>0</v>
      </c>
      <c r="J267" s="21" t="str">
        <f t="shared" si="12"/>
        <v xml:space="preserve">  </v>
      </c>
    </row>
    <row r="268" spans="1:10" ht="23.25" hidden="1" x14ac:dyDescent="0.25">
      <c r="A268" s="12">
        <f>'Drawing Submittal'!A268</f>
        <v>0</v>
      </c>
      <c r="B268" s="13" t="str">
        <f>_xlfn.IFNA(VLOOKUP(A268,'Date Calcs'!A:AG,2,),"")</f>
        <v/>
      </c>
      <c r="C268" s="14" t="str">
        <f>_xlfn.IFNA(VLOOKUP(A268,'Actual Dates'!A:AE,6,),"")</f>
        <v xml:space="preserve">  </v>
      </c>
      <c r="D268" s="15" t="str">
        <f>IF(C268="  ","  ",IF(C268=0,VLOOKUP(A268,'Date Calcs'!A:AG,9,),IF(C268=1,VLOOKUP(A268,'Date Calcs'!A:AG,11,),IF(C268=2,VLOOKUP(A268,'Date Calcs'!A:AG,13,),IF(C268=3,VLOOKUP(A268,'Date Calcs'!A:AG,15,),4)))))</f>
        <v xml:space="preserve">  </v>
      </c>
      <c r="E268" s="15" t="str">
        <f>IF(_xlfn.IFNA(IF(D268="  "," ",VLOOKUP(A268,'Actual Dates'!A:AE,20,0)),"")&lt;1,"-",_xlfn.IFNA(IF(D268="  "," ",VLOOKUP(A268,'Actual Dates'!A:AE,20,0)),""))</f>
        <v xml:space="preserve"> </v>
      </c>
      <c r="F268" s="12" t="str">
        <f ca="1">IFERROR(IF(A268="","",D268-Date!$B$3),"")</f>
        <v/>
      </c>
      <c r="G268" s="20"/>
      <c r="I268" s="21" t="b">
        <f t="shared" si="13"/>
        <v>0</v>
      </c>
      <c r="J268" s="21" t="str">
        <f t="shared" si="12"/>
        <v xml:space="preserve">  </v>
      </c>
    </row>
    <row r="269" spans="1:10" ht="23.25" hidden="1" x14ac:dyDescent="0.25">
      <c r="A269" s="12">
        <f>'Drawing Submittal'!A269</f>
        <v>0</v>
      </c>
      <c r="B269" s="13" t="str">
        <f>_xlfn.IFNA(VLOOKUP(A269,'Date Calcs'!A:AG,2,),"")</f>
        <v/>
      </c>
      <c r="C269" s="14" t="str">
        <f>_xlfn.IFNA(VLOOKUP(A269,'Actual Dates'!A:AE,6,),"")</f>
        <v xml:space="preserve">  </v>
      </c>
      <c r="D269" s="15" t="str">
        <f>IF(C269="  ","  ",IF(C269=0,VLOOKUP(A269,'Date Calcs'!A:AG,9,),IF(C269=1,VLOOKUP(A269,'Date Calcs'!A:AG,11,),IF(C269=2,VLOOKUP(A269,'Date Calcs'!A:AG,13,),IF(C269=3,VLOOKUP(A269,'Date Calcs'!A:AG,15,),4)))))</f>
        <v xml:space="preserve">  </v>
      </c>
      <c r="E269" s="15" t="str">
        <f>IF(_xlfn.IFNA(IF(D269="  "," ",VLOOKUP(A269,'Actual Dates'!A:AE,20,0)),"")&lt;1,"-",_xlfn.IFNA(IF(D269="  "," ",VLOOKUP(A269,'Actual Dates'!A:AE,20,0)),""))</f>
        <v xml:space="preserve"> </v>
      </c>
      <c r="F269" s="12" t="str">
        <f ca="1">IFERROR(IF(A269="","",D269-Date!$B$3),"")</f>
        <v/>
      </c>
      <c r="G269" s="20"/>
      <c r="I269" s="21" t="b">
        <f t="shared" si="13"/>
        <v>0</v>
      </c>
      <c r="J269" s="21" t="str">
        <f t="shared" si="12"/>
        <v xml:space="preserve">  </v>
      </c>
    </row>
    <row r="270" spans="1:10" ht="23.25" hidden="1" x14ac:dyDescent="0.25">
      <c r="A270" s="12">
        <f>'Drawing Submittal'!A270</f>
        <v>0</v>
      </c>
      <c r="B270" s="13" t="str">
        <f>_xlfn.IFNA(VLOOKUP(A270,'Date Calcs'!A:AG,2,),"")</f>
        <v/>
      </c>
      <c r="C270" s="14" t="str">
        <f>_xlfn.IFNA(VLOOKUP(A270,'Actual Dates'!A:AE,6,),"")</f>
        <v xml:space="preserve">  </v>
      </c>
      <c r="D270" s="15" t="str">
        <f>IF(C270="  ","  ",IF(C270=0,VLOOKUP(A270,'Date Calcs'!A:AG,9,),IF(C270=1,VLOOKUP(A270,'Date Calcs'!A:AG,11,),IF(C270=2,VLOOKUP(A270,'Date Calcs'!A:AG,13,),IF(C270=3,VLOOKUP(A270,'Date Calcs'!A:AG,15,),4)))))</f>
        <v xml:space="preserve">  </v>
      </c>
      <c r="E270" s="15" t="str">
        <f>IF(_xlfn.IFNA(IF(D270="  "," ",VLOOKUP(A270,'Actual Dates'!A:AE,20,0)),"")&lt;1,"-",_xlfn.IFNA(IF(D270="  "," ",VLOOKUP(A270,'Actual Dates'!A:AE,20,0)),""))</f>
        <v xml:space="preserve"> </v>
      </c>
      <c r="F270" s="12" t="str">
        <f ca="1">IFERROR(IF(A270="","",D270-Date!$B$3),"")</f>
        <v/>
      </c>
      <c r="G270" s="20"/>
      <c r="I270" s="21" t="b">
        <f t="shared" si="13"/>
        <v>0</v>
      </c>
      <c r="J270" s="21" t="str">
        <f t="shared" si="12"/>
        <v xml:space="preserve">  </v>
      </c>
    </row>
    <row r="271" spans="1:10" ht="23.25" hidden="1" x14ac:dyDescent="0.25">
      <c r="A271" s="12">
        <f>'Drawing Submittal'!A271</f>
        <v>0</v>
      </c>
      <c r="B271" s="13" t="str">
        <f>_xlfn.IFNA(VLOOKUP(A271,'Date Calcs'!A:AG,2,),"")</f>
        <v/>
      </c>
      <c r="C271" s="14" t="str">
        <f>_xlfn.IFNA(VLOOKUP(A271,'Actual Dates'!A:AE,6,),"")</f>
        <v xml:space="preserve">  </v>
      </c>
      <c r="D271" s="15" t="str">
        <f>IF(C271="  ","  ",IF(C271=0,VLOOKUP(A271,'Date Calcs'!A:AG,9,),IF(C271=1,VLOOKUP(A271,'Date Calcs'!A:AG,11,),IF(C271=2,VLOOKUP(A271,'Date Calcs'!A:AG,13,),IF(C271=3,VLOOKUP(A271,'Date Calcs'!A:AG,15,),4)))))</f>
        <v xml:space="preserve">  </v>
      </c>
      <c r="E271" s="15" t="str">
        <f>IF(_xlfn.IFNA(IF(D271="  "," ",VLOOKUP(A271,'Actual Dates'!A:AE,20,0)),"")&lt;1,"-",_xlfn.IFNA(IF(D271="  "," ",VLOOKUP(A271,'Actual Dates'!A:AE,20,0)),""))</f>
        <v xml:space="preserve"> </v>
      </c>
      <c r="F271" s="12" t="str">
        <f ca="1">IFERROR(IF(A271="","",D271-Date!$B$3),"")</f>
        <v/>
      </c>
      <c r="G271" s="20"/>
      <c r="I271" s="21" t="b">
        <f t="shared" si="13"/>
        <v>0</v>
      </c>
      <c r="J271" s="21" t="str">
        <f t="shared" si="12"/>
        <v xml:space="preserve">  </v>
      </c>
    </row>
    <row r="272" spans="1:10" ht="23.25" hidden="1" x14ac:dyDescent="0.25">
      <c r="A272" s="12">
        <f>'Drawing Submittal'!A272</f>
        <v>0</v>
      </c>
      <c r="B272" s="13" t="str">
        <f>_xlfn.IFNA(VLOOKUP(A272,'Date Calcs'!A:AG,2,),"")</f>
        <v/>
      </c>
      <c r="C272" s="14" t="str">
        <f>_xlfn.IFNA(VLOOKUP(A272,'Actual Dates'!A:AE,6,),"")</f>
        <v xml:space="preserve">  </v>
      </c>
      <c r="D272" s="15" t="str">
        <f>IF(C272="  ","  ",IF(C272=0,VLOOKUP(A272,'Date Calcs'!A:AG,9,),IF(C272=1,VLOOKUP(A272,'Date Calcs'!A:AG,11,),IF(C272=2,VLOOKUP(A272,'Date Calcs'!A:AG,13,),IF(C272=3,VLOOKUP(A272,'Date Calcs'!A:AG,15,),4)))))</f>
        <v xml:space="preserve">  </v>
      </c>
      <c r="E272" s="15" t="str">
        <f>IF(_xlfn.IFNA(IF(D272="  "," ",VLOOKUP(A272,'Actual Dates'!A:AE,20,0)),"")&lt;1,"-",_xlfn.IFNA(IF(D272="  "," ",VLOOKUP(A272,'Actual Dates'!A:AE,20,0)),""))</f>
        <v xml:space="preserve"> </v>
      </c>
      <c r="F272" s="12" t="str">
        <f ca="1">IFERROR(IF(A272="","",D272-Date!$B$3),"")</f>
        <v/>
      </c>
      <c r="G272" s="20"/>
      <c r="I272" s="21" t="b">
        <f t="shared" si="13"/>
        <v>0</v>
      </c>
      <c r="J272" s="21" t="str">
        <f t="shared" si="12"/>
        <v xml:space="preserve">  </v>
      </c>
    </row>
    <row r="273" spans="1:10" ht="23.25" hidden="1" x14ac:dyDescent="0.25">
      <c r="A273" s="12">
        <f>'Drawing Submittal'!A273</f>
        <v>0</v>
      </c>
      <c r="B273" s="13" t="str">
        <f>_xlfn.IFNA(VLOOKUP(A273,'Date Calcs'!A:AG,2,),"")</f>
        <v/>
      </c>
      <c r="C273" s="14" t="str">
        <f>_xlfn.IFNA(VLOOKUP(A273,'Actual Dates'!A:AE,6,),"")</f>
        <v xml:space="preserve">  </v>
      </c>
      <c r="D273" s="15" t="str">
        <f>IF(C273="  ","  ",IF(C273=0,VLOOKUP(A273,'Date Calcs'!A:AG,9,),IF(C273=1,VLOOKUP(A273,'Date Calcs'!A:AG,11,),IF(C273=2,VLOOKUP(A273,'Date Calcs'!A:AG,13,),IF(C273=3,VLOOKUP(A273,'Date Calcs'!A:AG,15,),4)))))</f>
        <v xml:space="preserve">  </v>
      </c>
      <c r="E273" s="15" t="str">
        <f>IF(_xlfn.IFNA(IF(D273="  "," ",VLOOKUP(A273,'Actual Dates'!A:AE,20,0)),"")&lt;1,"-",_xlfn.IFNA(IF(D273="  "," ",VLOOKUP(A273,'Actual Dates'!A:AE,20,0)),""))</f>
        <v xml:space="preserve"> </v>
      </c>
      <c r="F273" s="12" t="str">
        <f ca="1">IFERROR(IF(A273="","",D273-Date!$B$3),"")</f>
        <v/>
      </c>
      <c r="G273" s="20"/>
      <c r="I273" s="21" t="b">
        <f t="shared" si="13"/>
        <v>0</v>
      </c>
      <c r="J273" s="21" t="str">
        <f t="shared" si="12"/>
        <v xml:space="preserve">  </v>
      </c>
    </row>
    <row r="274" spans="1:10" ht="23.25" hidden="1" x14ac:dyDescent="0.25">
      <c r="A274" s="12">
        <f>'Drawing Submittal'!A274</f>
        <v>0</v>
      </c>
      <c r="B274" s="13" t="str">
        <f>_xlfn.IFNA(VLOOKUP(A274,'Date Calcs'!A:AG,2,),"")</f>
        <v/>
      </c>
      <c r="C274" s="14" t="str">
        <f>_xlfn.IFNA(VLOOKUP(A274,'Actual Dates'!A:AE,6,),"")</f>
        <v xml:space="preserve">  </v>
      </c>
      <c r="D274" s="15" t="str">
        <f>IF(C274="  ","  ",IF(C274=0,VLOOKUP(A274,'Date Calcs'!A:AG,9,),IF(C274=1,VLOOKUP(A274,'Date Calcs'!A:AG,11,),IF(C274=2,VLOOKUP(A274,'Date Calcs'!A:AG,13,),IF(C274=3,VLOOKUP(A274,'Date Calcs'!A:AG,15,),4)))))</f>
        <v xml:space="preserve">  </v>
      </c>
      <c r="E274" s="15" t="str">
        <f>IF(_xlfn.IFNA(IF(D274="  "," ",VLOOKUP(A274,'Actual Dates'!A:AE,20,0)),"")&lt;1,"-",_xlfn.IFNA(IF(D274="  "," ",VLOOKUP(A274,'Actual Dates'!A:AE,20,0)),""))</f>
        <v xml:space="preserve"> </v>
      </c>
      <c r="F274" s="12" t="str">
        <f ca="1">IFERROR(IF(A274="","",D274-Date!$B$3),"")</f>
        <v/>
      </c>
      <c r="G274" s="20"/>
      <c r="I274" s="21" t="b">
        <f t="shared" si="13"/>
        <v>0</v>
      </c>
      <c r="J274" s="21" t="str">
        <f t="shared" si="12"/>
        <v xml:space="preserve">  </v>
      </c>
    </row>
    <row r="275" spans="1:10" ht="23.25" hidden="1" x14ac:dyDescent="0.25">
      <c r="A275" s="12">
        <f>'Drawing Submittal'!A275</f>
        <v>0</v>
      </c>
      <c r="B275" s="13" t="str">
        <f>_xlfn.IFNA(VLOOKUP(A275,'Date Calcs'!A:AG,2,),"")</f>
        <v/>
      </c>
      <c r="C275" s="14" t="str">
        <f>_xlfn.IFNA(VLOOKUP(A275,'Actual Dates'!A:AE,6,),"")</f>
        <v xml:space="preserve">  </v>
      </c>
      <c r="D275" s="15" t="str">
        <f>IF(C275="  ","  ",IF(C275=0,VLOOKUP(A275,'Date Calcs'!A:AG,9,),IF(C275=1,VLOOKUP(A275,'Date Calcs'!A:AG,11,),IF(C275=2,VLOOKUP(A275,'Date Calcs'!A:AG,13,),IF(C275=3,VLOOKUP(A275,'Date Calcs'!A:AG,15,),4)))))</f>
        <v xml:space="preserve">  </v>
      </c>
      <c r="E275" s="15" t="str">
        <f>IF(_xlfn.IFNA(IF(D275="  "," ",VLOOKUP(A275,'Actual Dates'!A:AE,20,0)),"")&lt;1,"-",_xlfn.IFNA(IF(D275="  "," ",VLOOKUP(A275,'Actual Dates'!A:AE,20,0)),""))</f>
        <v xml:space="preserve"> </v>
      </c>
      <c r="F275" s="12" t="str">
        <f ca="1">IFERROR(IF(A275="","",D275-Date!$B$3),"")</f>
        <v/>
      </c>
      <c r="G275" s="20"/>
      <c r="I275" s="21" t="b">
        <f t="shared" si="13"/>
        <v>0</v>
      </c>
      <c r="J275" s="21" t="str">
        <f t="shared" si="12"/>
        <v xml:space="preserve">  </v>
      </c>
    </row>
    <row r="276" spans="1:10" ht="23.25" hidden="1" x14ac:dyDescent="0.25">
      <c r="A276" s="12">
        <f>'Drawing Submittal'!A276</f>
        <v>0</v>
      </c>
      <c r="B276" s="13" t="str">
        <f>_xlfn.IFNA(VLOOKUP(A276,'Date Calcs'!A:AG,2,),"")</f>
        <v/>
      </c>
      <c r="C276" s="14" t="str">
        <f>_xlfn.IFNA(VLOOKUP(A276,'Actual Dates'!A:AE,6,),"")</f>
        <v xml:space="preserve">  </v>
      </c>
      <c r="D276" s="15" t="str">
        <f>IF(C276="  ","  ",IF(C276=0,VLOOKUP(A276,'Date Calcs'!A:AG,9,),IF(C276=1,VLOOKUP(A276,'Date Calcs'!A:AG,11,),IF(C276=2,VLOOKUP(A276,'Date Calcs'!A:AG,13,),IF(C276=3,VLOOKUP(A276,'Date Calcs'!A:AG,15,),4)))))</f>
        <v xml:space="preserve">  </v>
      </c>
      <c r="E276" s="15" t="str">
        <f>IF(_xlfn.IFNA(IF(D276="  "," ",VLOOKUP(A276,'Actual Dates'!A:AE,20,0)),"")&lt;1,"-",_xlfn.IFNA(IF(D276="  "," ",VLOOKUP(A276,'Actual Dates'!A:AE,20,0)),""))</f>
        <v xml:space="preserve"> </v>
      </c>
      <c r="F276" s="12" t="str">
        <f ca="1">IFERROR(IF(A276="","",D276-Date!$B$3),"")</f>
        <v/>
      </c>
      <c r="G276" s="20"/>
      <c r="I276" s="21" t="b">
        <f t="shared" si="13"/>
        <v>0</v>
      </c>
      <c r="J276" s="21" t="str">
        <f t="shared" si="12"/>
        <v xml:space="preserve">  </v>
      </c>
    </row>
    <row r="277" spans="1:10" ht="23.25" hidden="1" x14ac:dyDescent="0.25">
      <c r="A277" s="12">
        <f>'Drawing Submittal'!A277</f>
        <v>0</v>
      </c>
      <c r="B277" s="13" t="str">
        <f>_xlfn.IFNA(VLOOKUP(A277,'Date Calcs'!A:AG,2,),"")</f>
        <v/>
      </c>
      <c r="C277" s="14" t="str">
        <f>_xlfn.IFNA(VLOOKUP(A277,'Actual Dates'!A:AE,6,),"")</f>
        <v xml:space="preserve">  </v>
      </c>
      <c r="D277" s="15" t="str">
        <f>IF(C277="  ","  ",IF(C277=0,VLOOKUP(A277,'Date Calcs'!A:AG,9,),IF(C277=1,VLOOKUP(A277,'Date Calcs'!A:AG,11,),IF(C277=2,VLOOKUP(A277,'Date Calcs'!A:AG,13,),IF(C277=3,VLOOKUP(A277,'Date Calcs'!A:AG,15,),4)))))</f>
        <v xml:space="preserve">  </v>
      </c>
      <c r="E277" s="15" t="str">
        <f>IF(_xlfn.IFNA(IF(D277="  "," ",VLOOKUP(A277,'Actual Dates'!A:AE,20,0)),"")&lt;1,"-",_xlfn.IFNA(IF(D277="  "," ",VLOOKUP(A277,'Actual Dates'!A:AE,20,0)),""))</f>
        <v xml:space="preserve"> </v>
      </c>
      <c r="F277" s="12" t="str">
        <f ca="1">IFERROR(IF(A277="","",D277-Date!$B$3),"")</f>
        <v/>
      </c>
      <c r="G277" s="20"/>
      <c r="I277" s="21" t="b">
        <f t="shared" si="13"/>
        <v>0</v>
      </c>
      <c r="J277" s="21" t="str">
        <f t="shared" si="12"/>
        <v xml:space="preserve">  </v>
      </c>
    </row>
    <row r="278" spans="1:10" ht="23.25" hidden="1" x14ac:dyDescent="0.25">
      <c r="A278" s="12">
        <f>'Drawing Submittal'!A278</f>
        <v>0</v>
      </c>
      <c r="B278" s="13" t="str">
        <f>_xlfn.IFNA(VLOOKUP(A278,'Date Calcs'!A:AG,2,),"")</f>
        <v/>
      </c>
      <c r="C278" s="14" t="str">
        <f>_xlfn.IFNA(VLOOKUP(A278,'Actual Dates'!A:AE,6,),"")</f>
        <v xml:space="preserve">  </v>
      </c>
      <c r="D278" s="15" t="str">
        <f>IF(C278="  ","  ",IF(C278=0,VLOOKUP(A278,'Date Calcs'!A:AG,9,),IF(C278=1,VLOOKUP(A278,'Date Calcs'!A:AG,11,),IF(C278=2,VLOOKUP(A278,'Date Calcs'!A:AG,13,),IF(C278=3,VLOOKUP(A278,'Date Calcs'!A:AG,15,),4)))))</f>
        <v xml:space="preserve">  </v>
      </c>
      <c r="E278" s="15" t="str">
        <f>IF(_xlfn.IFNA(IF(D278="  "," ",VLOOKUP(A278,'Actual Dates'!A:AE,20,0)),"")&lt;1,"-",_xlfn.IFNA(IF(D278="  "," ",VLOOKUP(A278,'Actual Dates'!A:AE,20,0)),""))</f>
        <v xml:space="preserve"> </v>
      </c>
      <c r="F278" s="12" t="str">
        <f ca="1">IFERROR(IF(A278="","",D278-Date!$B$3),"")</f>
        <v/>
      </c>
      <c r="G278" s="20"/>
      <c r="I278" s="21" t="b">
        <f t="shared" si="13"/>
        <v>0</v>
      </c>
      <c r="J278" s="21" t="str">
        <f t="shared" si="12"/>
        <v xml:space="preserve">  </v>
      </c>
    </row>
    <row r="279" spans="1:10" ht="23.25" hidden="1" x14ac:dyDescent="0.25">
      <c r="A279" s="12">
        <f>'Drawing Submittal'!A279</f>
        <v>0</v>
      </c>
      <c r="B279" s="13" t="str">
        <f>_xlfn.IFNA(VLOOKUP(A279,'Date Calcs'!A:AG,2,),"")</f>
        <v/>
      </c>
      <c r="C279" s="14" t="str">
        <f>_xlfn.IFNA(VLOOKUP(A279,'Actual Dates'!A:AE,6,),"")</f>
        <v xml:space="preserve">  </v>
      </c>
      <c r="D279" s="15" t="str">
        <f>IF(C279="  ","  ",IF(C279=0,VLOOKUP(A279,'Date Calcs'!A:AG,9,),IF(C279=1,VLOOKUP(A279,'Date Calcs'!A:AG,11,),IF(C279=2,VLOOKUP(A279,'Date Calcs'!A:AG,13,),IF(C279=3,VLOOKUP(A279,'Date Calcs'!A:AG,15,),4)))))</f>
        <v xml:space="preserve">  </v>
      </c>
      <c r="E279" s="15" t="str">
        <f>IF(_xlfn.IFNA(IF(D279="  "," ",VLOOKUP(A279,'Actual Dates'!A:AE,20,0)),"")&lt;1,"-",_xlfn.IFNA(IF(D279="  "," ",VLOOKUP(A279,'Actual Dates'!A:AE,20,0)),""))</f>
        <v xml:space="preserve"> </v>
      </c>
      <c r="F279" s="12" t="str">
        <f ca="1">IFERROR(IF(A279="","",D279-Date!$B$3),"")</f>
        <v/>
      </c>
      <c r="G279" s="20"/>
      <c r="I279" s="21" t="b">
        <f t="shared" si="13"/>
        <v>0</v>
      </c>
      <c r="J279" s="21" t="str">
        <f t="shared" si="12"/>
        <v xml:space="preserve">  </v>
      </c>
    </row>
    <row r="280" spans="1:10" ht="23.25" hidden="1" x14ac:dyDescent="0.25">
      <c r="A280" s="12">
        <f>'Drawing Submittal'!A280</f>
        <v>0</v>
      </c>
      <c r="B280" s="13" t="str">
        <f>_xlfn.IFNA(VLOOKUP(A280,'Date Calcs'!A:AG,2,),"")</f>
        <v/>
      </c>
      <c r="C280" s="14" t="str">
        <f>_xlfn.IFNA(VLOOKUP(A280,'Actual Dates'!A:AE,6,),"")</f>
        <v xml:space="preserve">  </v>
      </c>
      <c r="D280" s="15" t="str">
        <f>IF(C280="  ","  ",IF(C280=0,VLOOKUP(A280,'Date Calcs'!A:AG,9,),IF(C280=1,VLOOKUP(A280,'Date Calcs'!A:AG,11,),IF(C280=2,VLOOKUP(A280,'Date Calcs'!A:AG,13,),IF(C280=3,VLOOKUP(A280,'Date Calcs'!A:AG,15,),4)))))</f>
        <v xml:space="preserve">  </v>
      </c>
      <c r="E280" s="15" t="str">
        <f>IF(_xlfn.IFNA(IF(D280="  "," ",VLOOKUP(A280,'Actual Dates'!A:AE,20,0)),"")&lt;1,"-",_xlfn.IFNA(IF(D280="  "," ",VLOOKUP(A280,'Actual Dates'!A:AE,20,0)),""))</f>
        <v xml:space="preserve"> </v>
      </c>
      <c r="F280" s="12" t="str">
        <f ca="1">IFERROR(IF(A280="","",D280-Date!$B$3),"")</f>
        <v/>
      </c>
      <c r="G280" s="20"/>
      <c r="I280" s="21" t="b">
        <f t="shared" si="13"/>
        <v>0</v>
      </c>
      <c r="J280" s="21" t="str">
        <f t="shared" si="12"/>
        <v xml:space="preserve">  </v>
      </c>
    </row>
    <row r="281" spans="1:10" ht="23.25" hidden="1" x14ac:dyDescent="0.25">
      <c r="A281" s="12">
        <f>'Drawing Submittal'!A281</f>
        <v>0</v>
      </c>
      <c r="B281" s="13" t="str">
        <f>_xlfn.IFNA(VLOOKUP(A281,'Date Calcs'!A:AG,2,),"")</f>
        <v/>
      </c>
      <c r="C281" s="14" t="str">
        <f>_xlfn.IFNA(VLOOKUP(A281,'Actual Dates'!A:AE,6,),"")</f>
        <v xml:space="preserve">  </v>
      </c>
      <c r="D281" s="15" t="str">
        <f>IF(C281="  ","  ",IF(C281=0,VLOOKUP(A281,'Date Calcs'!A:AG,9,),IF(C281=1,VLOOKUP(A281,'Date Calcs'!A:AG,11,),IF(C281=2,VLOOKUP(A281,'Date Calcs'!A:AG,13,),IF(C281=3,VLOOKUP(A281,'Date Calcs'!A:AG,15,),4)))))</f>
        <v xml:space="preserve">  </v>
      </c>
      <c r="E281" s="15" t="str">
        <f>IF(_xlfn.IFNA(IF(D281="  "," ",VLOOKUP(A281,'Actual Dates'!A:AE,20,0)),"")&lt;1,"-",_xlfn.IFNA(IF(D281="  "," ",VLOOKUP(A281,'Actual Dates'!A:AE,20,0)),""))</f>
        <v xml:space="preserve"> </v>
      </c>
      <c r="F281" s="12" t="str">
        <f ca="1">IFERROR(IF(A281="","",D281-Date!$B$3),"")</f>
        <v/>
      </c>
      <c r="G281" s="20"/>
      <c r="I281" s="21" t="b">
        <f t="shared" si="13"/>
        <v>0</v>
      </c>
      <c r="J281" s="21" t="str">
        <f t="shared" si="12"/>
        <v xml:space="preserve">  </v>
      </c>
    </row>
    <row r="282" spans="1:10" ht="23.25" hidden="1" x14ac:dyDescent="0.25">
      <c r="A282" s="12">
        <f>'Drawing Submittal'!A282</f>
        <v>0</v>
      </c>
      <c r="B282" s="13" t="str">
        <f>_xlfn.IFNA(VLOOKUP(A282,'Date Calcs'!A:AG,2,),"")</f>
        <v/>
      </c>
      <c r="C282" s="14" t="str">
        <f>_xlfn.IFNA(VLOOKUP(A282,'Actual Dates'!A:AE,6,),"")</f>
        <v xml:space="preserve">  </v>
      </c>
      <c r="D282" s="15" t="str">
        <f>IF(C282="  ","  ",IF(C282=0,VLOOKUP(A282,'Date Calcs'!A:AG,9,),IF(C282=1,VLOOKUP(A282,'Date Calcs'!A:AG,11,),IF(C282=2,VLOOKUP(A282,'Date Calcs'!A:AG,13,),IF(C282=3,VLOOKUP(A282,'Date Calcs'!A:AG,15,),4)))))</f>
        <v xml:space="preserve">  </v>
      </c>
      <c r="E282" s="15" t="str">
        <f>IF(_xlfn.IFNA(IF(D282="  "," ",VLOOKUP(A282,'Actual Dates'!A:AE,20,0)),"")&lt;1,"-",_xlfn.IFNA(IF(D282="  "," ",VLOOKUP(A282,'Actual Dates'!A:AE,20,0)),""))</f>
        <v xml:space="preserve"> </v>
      </c>
      <c r="F282" s="12" t="str">
        <f ca="1">IFERROR(IF(A282="","",D282-Date!$B$3),"")</f>
        <v/>
      </c>
      <c r="G282" s="20"/>
      <c r="I282" s="21" t="b">
        <f t="shared" si="13"/>
        <v>0</v>
      </c>
      <c r="J282" s="21" t="str">
        <f t="shared" si="12"/>
        <v xml:space="preserve">  </v>
      </c>
    </row>
    <row r="283" spans="1:10" ht="23.25" hidden="1" x14ac:dyDescent="0.25">
      <c r="A283" s="12">
        <f>'Drawing Submittal'!A283</f>
        <v>0</v>
      </c>
      <c r="B283" s="13" t="str">
        <f>_xlfn.IFNA(VLOOKUP(A283,'Date Calcs'!A:AG,2,),"")</f>
        <v/>
      </c>
      <c r="C283" s="14" t="str">
        <f>_xlfn.IFNA(VLOOKUP(A283,'Actual Dates'!A:AE,6,),"")</f>
        <v xml:space="preserve">  </v>
      </c>
      <c r="D283" s="15" t="str">
        <f>IF(C283="  ","  ",IF(C283=0,VLOOKUP(A283,'Date Calcs'!A:AG,9,),IF(C283=1,VLOOKUP(A283,'Date Calcs'!A:AG,11,),IF(C283=2,VLOOKUP(A283,'Date Calcs'!A:AG,13,),IF(C283=3,VLOOKUP(A283,'Date Calcs'!A:AG,15,),4)))))</f>
        <v xml:space="preserve">  </v>
      </c>
      <c r="E283" s="15" t="str">
        <f>IF(_xlfn.IFNA(IF(D283="  "," ",VLOOKUP(A283,'Actual Dates'!A:AE,20,0)),"")&lt;1,"-",_xlfn.IFNA(IF(D283="  "," ",VLOOKUP(A283,'Actual Dates'!A:AE,20,0)),""))</f>
        <v xml:space="preserve"> </v>
      </c>
      <c r="F283" s="12" t="str">
        <f ca="1">IFERROR(IF(A283="","",D283-Date!$B$3),"")</f>
        <v/>
      </c>
      <c r="G283" s="20"/>
      <c r="I283" s="21" t="b">
        <f t="shared" si="13"/>
        <v>0</v>
      </c>
      <c r="J283" s="21" t="str">
        <f t="shared" si="12"/>
        <v xml:space="preserve">  </v>
      </c>
    </row>
    <row r="284" spans="1:10" ht="23.25" hidden="1" x14ac:dyDescent="0.25">
      <c r="A284" s="12">
        <f>'Drawing Submittal'!A284</f>
        <v>0</v>
      </c>
      <c r="B284" s="13" t="str">
        <f>_xlfn.IFNA(VLOOKUP(A284,'Date Calcs'!A:AG,2,),"")</f>
        <v/>
      </c>
      <c r="C284" s="14" t="str">
        <f>_xlfn.IFNA(VLOOKUP(A284,'Actual Dates'!A:AE,6,),"")</f>
        <v xml:space="preserve">  </v>
      </c>
      <c r="D284" s="15" t="str">
        <f>IF(C284="  ","  ",IF(C284=0,VLOOKUP(A284,'Date Calcs'!A:AG,9,),IF(C284=1,VLOOKUP(A284,'Date Calcs'!A:AG,11,),IF(C284=2,VLOOKUP(A284,'Date Calcs'!A:AG,13,),IF(C284=3,VLOOKUP(A284,'Date Calcs'!A:AG,15,),4)))))</f>
        <v xml:space="preserve">  </v>
      </c>
      <c r="E284" s="15" t="str">
        <f>IF(_xlfn.IFNA(IF(D284="  "," ",VLOOKUP(A284,'Actual Dates'!A:AE,20,0)),"")&lt;1,"-",_xlfn.IFNA(IF(D284="  "," ",VLOOKUP(A284,'Actual Dates'!A:AE,20,0)),""))</f>
        <v xml:space="preserve"> </v>
      </c>
      <c r="F284" s="12" t="str">
        <f ca="1">IFERROR(IF(A284="","",D284-Date!$B$3),"")</f>
        <v/>
      </c>
      <c r="G284" s="20"/>
      <c r="I284" s="21" t="b">
        <f t="shared" si="13"/>
        <v>0</v>
      </c>
      <c r="J284" s="21" t="str">
        <f t="shared" si="12"/>
        <v xml:space="preserve">  </v>
      </c>
    </row>
    <row r="285" spans="1:10" ht="23.25" hidden="1" x14ac:dyDescent="0.25">
      <c r="A285" s="12">
        <f>'Drawing Submittal'!A285</f>
        <v>0</v>
      </c>
      <c r="B285" s="13" t="str">
        <f>_xlfn.IFNA(VLOOKUP(A285,'Date Calcs'!A:AG,2,),"")</f>
        <v/>
      </c>
      <c r="C285" s="14" t="str">
        <f>_xlfn.IFNA(VLOOKUP(A285,'Actual Dates'!A:AE,6,),"")</f>
        <v xml:space="preserve">  </v>
      </c>
      <c r="D285" s="15" t="str">
        <f>IF(C285="  ","  ",IF(C285=0,VLOOKUP(A285,'Date Calcs'!A:AG,9,),IF(C285=1,VLOOKUP(A285,'Date Calcs'!A:AG,11,),IF(C285=2,VLOOKUP(A285,'Date Calcs'!A:AG,13,),IF(C285=3,VLOOKUP(A285,'Date Calcs'!A:AG,15,),4)))))</f>
        <v xml:space="preserve">  </v>
      </c>
      <c r="E285" s="15" t="str">
        <f>IF(_xlfn.IFNA(IF(D285="  "," ",VLOOKUP(A285,'Actual Dates'!A:AE,20,0)),"")&lt;1,"-",_xlfn.IFNA(IF(D285="  "," ",VLOOKUP(A285,'Actual Dates'!A:AE,20,0)),""))</f>
        <v xml:space="preserve"> </v>
      </c>
      <c r="F285" s="12" t="str">
        <f ca="1">IFERROR(IF(A285="","",D285-Date!$B$3),"")</f>
        <v/>
      </c>
      <c r="G285" s="20"/>
      <c r="I285" s="21" t="b">
        <f t="shared" si="13"/>
        <v>0</v>
      </c>
      <c r="J285" s="21" t="str">
        <f t="shared" si="12"/>
        <v xml:space="preserve">  </v>
      </c>
    </row>
    <row r="286" spans="1:10" ht="23.25" hidden="1" x14ac:dyDescent="0.25">
      <c r="A286" s="12">
        <f>'Drawing Submittal'!A286</f>
        <v>0</v>
      </c>
      <c r="B286" s="13" t="str">
        <f>_xlfn.IFNA(VLOOKUP(A286,'Date Calcs'!A:AG,2,),"")</f>
        <v/>
      </c>
      <c r="C286" s="14" t="str">
        <f>_xlfn.IFNA(VLOOKUP(A286,'Actual Dates'!A:AE,6,),"")</f>
        <v xml:space="preserve">  </v>
      </c>
      <c r="D286" s="15" t="str">
        <f>IF(C286="  ","  ",IF(C286=0,VLOOKUP(A286,'Date Calcs'!A:AG,9,),IF(C286=1,VLOOKUP(A286,'Date Calcs'!A:AG,11,),IF(C286=2,VLOOKUP(A286,'Date Calcs'!A:AG,13,),IF(C286=3,VLOOKUP(A286,'Date Calcs'!A:AG,15,),4)))))</f>
        <v xml:space="preserve">  </v>
      </c>
      <c r="E286" s="15" t="str">
        <f>IF(_xlfn.IFNA(IF(D286="  "," ",VLOOKUP(A286,'Actual Dates'!A:AE,20,0)),"")&lt;1,"-",_xlfn.IFNA(IF(D286="  "," ",VLOOKUP(A286,'Actual Dates'!A:AE,20,0)),""))</f>
        <v xml:space="preserve"> </v>
      </c>
      <c r="F286" s="12" t="str">
        <f ca="1">IFERROR(IF(A286="","",D286-Date!$B$3),"")</f>
        <v/>
      </c>
      <c r="G286" s="20"/>
      <c r="I286" s="21" t="b">
        <f t="shared" si="13"/>
        <v>0</v>
      </c>
      <c r="J286" s="21" t="str">
        <f t="shared" si="12"/>
        <v xml:space="preserve">  </v>
      </c>
    </row>
    <row r="287" spans="1:10" ht="23.25" hidden="1" x14ac:dyDescent="0.25">
      <c r="A287" s="12">
        <f>'Drawing Submittal'!A287</f>
        <v>0</v>
      </c>
      <c r="B287" s="13" t="str">
        <f>_xlfn.IFNA(VLOOKUP(A287,'Date Calcs'!A:AG,2,),"")</f>
        <v/>
      </c>
      <c r="C287" s="14" t="str">
        <f>_xlfn.IFNA(VLOOKUP(A287,'Actual Dates'!A:AE,6,),"")</f>
        <v xml:space="preserve">  </v>
      </c>
      <c r="D287" s="15" t="str">
        <f>IF(C287="  ","  ",IF(C287=0,VLOOKUP(A287,'Date Calcs'!A:AG,9,),IF(C287=1,VLOOKUP(A287,'Date Calcs'!A:AG,11,),IF(C287=2,VLOOKUP(A287,'Date Calcs'!A:AG,13,),IF(C287=3,VLOOKUP(A287,'Date Calcs'!A:AG,15,),4)))))</f>
        <v xml:space="preserve">  </v>
      </c>
      <c r="E287" s="15" t="str">
        <f>IF(_xlfn.IFNA(IF(D287="  "," ",VLOOKUP(A287,'Actual Dates'!A:AE,20,0)),"")&lt;1,"-",_xlfn.IFNA(IF(D287="  "," ",VLOOKUP(A287,'Actual Dates'!A:AE,20,0)),""))</f>
        <v xml:space="preserve"> </v>
      </c>
      <c r="F287" s="12" t="str">
        <f ca="1">IFERROR(IF(A287="","",D287-Date!$B$3),"")</f>
        <v/>
      </c>
      <c r="G287" s="20"/>
      <c r="I287" s="21" t="b">
        <f t="shared" si="13"/>
        <v>0</v>
      </c>
      <c r="J287" s="21" t="str">
        <f t="shared" si="12"/>
        <v xml:space="preserve">  </v>
      </c>
    </row>
    <row r="288" spans="1:10" ht="23.25" hidden="1" x14ac:dyDescent="0.25">
      <c r="A288" s="12">
        <f>'Drawing Submittal'!A288</f>
        <v>0</v>
      </c>
      <c r="B288" s="13" t="str">
        <f>_xlfn.IFNA(VLOOKUP(A288,'Date Calcs'!A:AG,2,),"")</f>
        <v/>
      </c>
      <c r="C288" s="14" t="str">
        <f>_xlfn.IFNA(VLOOKUP(A288,'Actual Dates'!A:AE,6,),"")</f>
        <v xml:space="preserve">  </v>
      </c>
      <c r="D288" s="15" t="str">
        <f>IF(C288="  ","  ",IF(C288=0,VLOOKUP(A288,'Date Calcs'!A:AG,9,),IF(C288=1,VLOOKUP(A288,'Date Calcs'!A:AG,11,),IF(C288=2,VLOOKUP(A288,'Date Calcs'!A:AG,13,),IF(C288=3,VLOOKUP(A288,'Date Calcs'!A:AG,15,),4)))))</f>
        <v xml:space="preserve">  </v>
      </c>
      <c r="E288" s="15" t="str">
        <f>IF(_xlfn.IFNA(IF(D288="  "," ",VLOOKUP(A288,'Actual Dates'!A:AE,20,0)),"")&lt;1,"-",_xlfn.IFNA(IF(D288="  "," ",VLOOKUP(A288,'Actual Dates'!A:AE,20,0)),""))</f>
        <v xml:space="preserve"> </v>
      </c>
      <c r="F288" s="12" t="str">
        <f ca="1">IFERROR(IF(A288="","",D288-Date!$B$3),"")</f>
        <v/>
      </c>
      <c r="G288" s="20"/>
      <c r="I288" s="21" t="b">
        <f t="shared" si="13"/>
        <v>0</v>
      </c>
      <c r="J288" s="21" t="str">
        <f t="shared" si="12"/>
        <v xml:space="preserve">  </v>
      </c>
    </row>
    <row r="289" spans="1:10" ht="23.25" hidden="1" x14ac:dyDescent="0.25">
      <c r="A289" s="12">
        <f>'Drawing Submittal'!A289</f>
        <v>0</v>
      </c>
      <c r="B289" s="13" t="str">
        <f>_xlfn.IFNA(VLOOKUP(A289,'Date Calcs'!A:AG,2,),"")</f>
        <v/>
      </c>
      <c r="C289" s="14" t="str">
        <f>_xlfn.IFNA(VLOOKUP(A289,'Actual Dates'!A:AE,6,),"")</f>
        <v xml:space="preserve">  </v>
      </c>
      <c r="D289" s="15" t="str">
        <f>IF(C289="  ","  ",IF(C289=0,VLOOKUP(A289,'Date Calcs'!A:AG,9,),IF(C289=1,VLOOKUP(A289,'Date Calcs'!A:AG,11,),IF(C289=2,VLOOKUP(A289,'Date Calcs'!A:AG,13,),IF(C289=3,VLOOKUP(A289,'Date Calcs'!A:AG,15,),4)))))</f>
        <v xml:space="preserve">  </v>
      </c>
      <c r="E289" s="15" t="str">
        <f>IF(_xlfn.IFNA(IF(D289="  "," ",VLOOKUP(A289,'Actual Dates'!A:AE,20,0)),"")&lt;1,"-",_xlfn.IFNA(IF(D289="  "," ",VLOOKUP(A289,'Actual Dates'!A:AE,20,0)),""))</f>
        <v xml:space="preserve"> </v>
      </c>
      <c r="F289" s="12" t="str">
        <f ca="1">IFERROR(IF(A289="","",D289-Date!$B$3),"")</f>
        <v/>
      </c>
      <c r="G289" s="20"/>
      <c r="I289" s="21" t="b">
        <f t="shared" si="13"/>
        <v>0</v>
      </c>
      <c r="J289" s="21" t="str">
        <f t="shared" si="12"/>
        <v xml:space="preserve">  </v>
      </c>
    </row>
    <row r="290" spans="1:10" ht="23.25" hidden="1" x14ac:dyDescent="0.25">
      <c r="A290" s="12">
        <f>'Drawing Submittal'!A290</f>
        <v>0</v>
      </c>
      <c r="B290" s="13" t="str">
        <f>_xlfn.IFNA(VLOOKUP(A290,'Date Calcs'!A:AG,2,),"")</f>
        <v/>
      </c>
      <c r="C290" s="14" t="str">
        <f>_xlfn.IFNA(VLOOKUP(A290,'Actual Dates'!A:AE,6,),"")</f>
        <v xml:space="preserve">  </v>
      </c>
      <c r="D290" s="15" t="str">
        <f>IF(C290="  ","  ",IF(C290=0,VLOOKUP(A290,'Date Calcs'!A:AG,9,),IF(C290=1,VLOOKUP(A290,'Date Calcs'!A:AG,11,),IF(C290=2,VLOOKUP(A290,'Date Calcs'!A:AG,13,),IF(C290=3,VLOOKUP(A290,'Date Calcs'!A:AG,15,),4)))))</f>
        <v xml:space="preserve">  </v>
      </c>
      <c r="E290" s="15" t="str">
        <f>IF(_xlfn.IFNA(IF(D290="  "," ",VLOOKUP(A290,'Actual Dates'!A:AE,20,0)),"")&lt;1,"-",_xlfn.IFNA(IF(D290="  "," ",VLOOKUP(A290,'Actual Dates'!A:AE,20,0)),""))</f>
        <v xml:space="preserve"> </v>
      </c>
      <c r="F290" s="12" t="str">
        <f ca="1">IFERROR(IF(A290="","",D290-Date!$B$3),"")</f>
        <v/>
      </c>
      <c r="G290" s="20"/>
      <c r="I290" s="21" t="b">
        <f t="shared" si="13"/>
        <v>0</v>
      </c>
      <c r="J290" s="21" t="str">
        <f t="shared" si="12"/>
        <v xml:space="preserve">  </v>
      </c>
    </row>
    <row r="291" spans="1:10" ht="23.25" hidden="1" x14ac:dyDescent="0.25">
      <c r="A291" s="12">
        <f>'Drawing Submittal'!A291</f>
        <v>0</v>
      </c>
      <c r="B291" s="13" t="str">
        <f>_xlfn.IFNA(VLOOKUP(A291,'Date Calcs'!A:AG,2,),"")</f>
        <v/>
      </c>
      <c r="C291" s="14" t="str">
        <f>_xlfn.IFNA(VLOOKUP(A291,'Actual Dates'!A:AE,6,),"")</f>
        <v xml:space="preserve">  </v>
      </c>
      <c r="D291" s="15" t="str">
        <f>IF(C291="  ","  ",IF(C291=0,VLOOKUP(A291,'Date Calcs'!A:AG,9,),IF(C291=1,VLOOKUP(A291,'Date Calcs'!A:AG,11,),IF(C291=2,VLOOKUP(A291,'Date Calcs'!A:AG,13,),IF(C291=3,VLOOKUP(A291,'Date Calcs'!A:AG,15,),4)))))</f>
        <v xml:space="preserve">  </v>
      </c>
      <c r="E291" s="15" t="str">
        <f>IF(_xlfn.IFNA(IF(D291="  "," ",VLOOKUP(A291,'Actual Dates'!A:AE,20,0)),"")&lt;1,"-",_xlfn.IFNA(IF(D291="  "," ",VLOOKUP(A291,'Actual Dates'!A:AE,20,0)),""))</f>
        <v xml:space="preserve"> </v>
      </c>
      <c r="F291" s="12" t="str">
        <f ca="1">IFERROR(IF(A291="","",D291-Date!$B$3),"")</f>
        <v/>
      </c>
      <c r="G291" s="20"/>
      <c r="I291" s="21" t="b">
        <f t="shared" si="13"/>
        <v>0</v>
      </c>
      <c r="J291" s="21" t="str">
        <f t="shared" si="12"/>
        <v xml:space="preserve">  </v>
      </c>
    </row>
    <row r="292" spans="1:10" ht="23.25" hidden="1" x14ac:dyDescent="0.25">
      <c r="A292" s="12">
        <f>'Drawing Submittal'!A292</f>
        <v>0</v>
      </c>
      <c r="B292" s="13" t="str">
        <f>_xlfn.IFNA(VLOOKUP(A292,'Date Calcs'!A:AG,2,),"")</f>
        <v/>
      </c>
      <c r="C292" s="14" t="str">
        <f>_xlfn.IFNA(VLOOKUP(A292,'Actual Dates'!A:AE,6,),"")</f>
        <v xml:space="preserve">  </v>
      </c>
      <c r="D292" s="15" t="str">
        <f>IF(C292="  ","  ",IF(C292=0,VLOOKUP(A292,'Date Calcs'!A:AG,9,),IF(C292=1,VLOOKUP(A292,'Date Calcs'!A:AG,11,),IF(C292=2,VLOOKUP(A292,'Date Calcs'!A:AG,13,),IF(C292=3,VLOOKUP(A292,'Date Calcs'!A:AG,15,),4)))))</f>
        <v xml:space="preserve">  </v>
      </c>
      <c r="E292" s="15" t="str">
        <f>IF(_xlfn.IFNA(IF(D292="  "," ",VLOOKUP(A292,'Actual Dates'!A:AE,20,0)),"")&lt;1,"-",_xlfn.IFNA(IF(D292="  "," ",VLOOKUP(A292,'Actual Dates'!A:AE,20,0)),""))</f>
        <v xml:space="preserve"> </v>
      </c>
      <c r="F292" s="12" t="str">
        <f ca="1">IFERROR(IF(A292="","",D292-Date!$B$3),"")</f>
        <v/>
      </c>
      <c r="G292" s="20"/>
      <c r="I292" s="21" t="b">
        <f t="shared" si="13"/>
        <v>0</v>
      </c>
      <c r="J292" s="21" t="str">
        <f t="shared" si="12"/>
        <v xml:space="preserve">  </v>
      </c>
    </row>
    <row r="293" spans="1:10" ht="23.25" hidden="1" x14ac:dyDescent="0.25">
      <c r="A293" s="12">
        <f>'Drawing Submittal'!A293</f>
        <v>0</v>
      </c>
      <c r="B293" s="13" t="str">
        <f>_xlfn.IFNA(VLOOKUP(A293,'Date Calcs'!A:AG,2,),"")</f>
        <v/>
      </c>
      <c r="C293" s="14" t="str">
        <f>_xlfn.IFNA(VLOOKUP(A293,'Actual Dates'!A:AE,6,),"")</f>
        <v xml:space="preserve">  </v>
      </c>
      <c r="D293" s="15" t="str">
        <f>IF(C293="  ","  ",IF(C293=0,VLOOKUP(A293,'Date Calcs'!A:AG,9,),IF(C293=1,VLOOKUP(A293,'Date Calcs'!A:AG,11,),IF(C293=2,VLOOKUP(A293,'Date Calcs'!A:AG,13,),IF(C293=3,VLOOKUP(A293,'Date Calcs'!A:AG,15,),4)))))</f>
        <v xml:space="preserve">  </v>
      </c>
      <c r="E293" s="15" t="str">
        <f>IF(_xlfn.IFNA(IF(D293="  "," ",VLOOKUP(A293,'Actual Dates'!A:AE,20,0)),"")&lt;1,"-",_xlfn.IFNA(IF(D293="  "," ",VLOOKUP(A293,'Actual Dates'!A:AE,20,0)),""))</f>
        <v xml:space="preserve"> </v>
      </c>
      <c r="F293" s="12" t="str">
        <f ca="1">IFERROR(IF(A293="","",D293-Date!$B$3),"")</f>
        <v/>
      </c>
      <c r="G293" s="20"/>
      <c r="I293" s="21" t="b">
        <f t="shared" si="13"/>
        <v>0</v>
      </c>
      <c r="J293" s="21" t="str">
        <f t="shared" si="12"/>
        <v xml:space="preserve">  </v>
      </c>
    </row>
    <row r="294" spans="1:10" ht="23.25" hidden="1" x14ac:dyDescent="0.25">
      <c r="A294" s="12">
        <f>'Drawing Submittal'!A294</f>
        <v>0</v>
      </c>
      <c r="B294" s="13" t="str">
        <f>_xlfn.IFNA(VLOOKUP(A294,'Date Calcs'!A:AG,2,),"")</f>
        <v/>
      </c>
      <c r="C294" s="14" t="str">
        <f>_xlfn.IFNA(VLOOKUP(A294,'Actual Dates'!A:AE,6,),"")</f>
        <v xml:space="preserve">  </v>
      </c>
      <c r="D294" s="15" t="str">
        <f>IF(C294="  ","  ",IF(C294=0,VLOOKUP(A294,'Date Calcs'!A:AG,9,),IF(C294=1,VLOOKUP(A294,'Date Calcs'!A:AG,11,),IF(C294=2,VLOOKUP(A294,'Date Calcs'!A:AG,13,),IF(C294=3,VLOOKUP(A294,'Date Calcs'!A:AG,15,),4)))))</f>
        <v xml:space="preserve">  </v>
      </c>
      <c r="E294" s="15" t="str">
        <f>IF(_xlfn.IFNA(IF(D294="  "," ",VLOOKUP(A294,'Actual Dates'!A:AE,20,0)),"")&lt;1,"-",_xlfn.IFNA(IF(D294="  "," ",VLOOKUP(A294,'Actual Dates'!A:AE,20,0)),""))</f>
        <v xml:space="preserve"> </v>
      </c>
      <c r="F294" s="12" t="str">
        <f ca="1">IFERROR(IF(A294="","",D294-Date!$B$3),"")</f>
        <v/>
      </c>
      <c r="G294" s="20"/>
      <c r="I294" s="21" t="b">
        <f t="shared" si="13"/>
        <v>0</v>
      </c>
      <c r="J294" s="21" t="str">
        <f t="shared" si="12"/>
        <v xml:space="preserve">  </v>
      </c>
    </row>
    <row r="295" spans="1:10" ht="23.25" hidden="1" x14ac:dyDescent="0.25">
      <c r="A295" s="12">
        <f>'Drawing Submittal'!A295</f>
        <v>0</v>
      </c>
      <c r="B295" s="13" t="str">
        <f>_xlfn.IFNA(VLOOKUP(A295,'Date Calcs'!A:AG,2,),"")</f>
        <v/>
      </c>
      <c r="C295" s="14" t="str">
        <f>_xlfn.IFNA(VLOOKUP(A295,'Actual Dates'!A:AE,6,),"")</f>
        <v xml:space="preserve">  </v>
      </c>
      <c r="D295" s="15" t="str">
        <f>IF(C295="  ","  ",IF(C295=0,VLOOKUP(A295,'Date Calcs'!A:AG,9,),IF(C295=1,VLOOKUP(A295,'Date Calcs'!A:AG,11,),IF(C295=2,VLOOKUP(A295,'Date Calcs'!A:AG,13,),IF(C295=3,VLOOKUP(A295,'Date Calcs'!A:AG,15,),4)))))</f>
        <v xml:space="preserve">  </v>
      </c>
      <c r="E295" s="15" t="str">
        <f>IF(_xlfn.IFNA(IF(D295="  "," ",VLOOKUP(A295,'Actual Dates'!A:AE,20,0)),"")&lt;1,"-",_xlfn.IFNA(IF(D295="  "," ",VLOOKUP(A295,'Actual Dates'!A:AE,20,0)),""))</f>
        <v xml:space="preserve"> </v>
      </c>
      <c r="F295" s="12" t="str">
        <f ca="1">IFERROR(IF(A295="","",D295-Date!$B$3),"")</f>
        <v/>
      </c>
      <c r="G295" s="20"/>
      <c r="I295" s="21" t="b">
        <f t="shared" si="13"/>
        <v>0</v>
      </c>
      <c r="J295" s="21" t="str">
        <f t="shared" si="12"/>
        <v xml:space="preserve">  </v>
      </c>
    </row>
    <row r="296" spans="1:10" ht="23.25" hidden="1" x14ac:dyDescent="0.25">
      <c r="A296" s="12">
        <f>'Drawing Submittal'!A296</f>
        <v>0</v>
      </c>
      <c r="B296" s="13" t="str">
        <f>_xlfn.IFNA(VLOOKUP(A296,'Date Calcs'!A:AG,2,),"")</f>
        <v/>
      </c>
      <c r="C296" s="14" t="str">
        <f>_xlfn.IFNA(VLOOKUP(A296,'Actual Dates'!A:AE,6,),"")</f>
        <v xml:space="preserve">  </v>
      </c>
      <c r="D296" s="15" t="str">
        <f>IF(C296="  ","  ",IF(C296=0,VLOOKUP(A296,'Date Calcs'!A:AG,9,),IF(C296=1,VLOOKUP(A296,'Date Calcs'!A:AG,11,),IF(C296=2,VLOOKUP(A296,'Date Calcs'!A:AG,13,),IF(C296=3,VLOOKUP(A296,'Date Calcs'!A:AG,15,),4)))))</f>
        <v xml:space="preserve">  </v>
      </c>
      <c r="E296" s="15" t="str">
        <f>IF(_xlfn.IFNA(IF(D296="  "," ",VLOOKUP(A296,'Actual Dates'!A:AE,20,0)),"")&lt;1,"-",_xlfn.IFNA(IF(D296="  "," ",VLOOKUP(A296,'Actual Dates'!A:AE,20,0)),""))</f>
        <v xml:space="preserve"> </v>
      </c>
      <c r="F296" s="12" t="str">
        <f ca="1">IFERROR(IF(A296="","",D296-Date!$B$3),"")</f>
        <v/>
      </c>
      <c r="G296" s="20"/>
      <c r="I296" s="21" t="b">
        <f t="shared" si="13"/>
        <v>0</v>
      </c>
      <c r="J296" s="21" t="str">
        <f t="shared" si="12"/>
        <v xml:space="preserve">  </v>
      </c>
    </row>
    <row r="297" spans="1:10" ht="23.25" hidden="1" x14ac:dyDescent="0.25">
      <c r="A297" s="12">
        <f>'Drawing Submittal'!A297</f>
        <v>0</v>
      </c>
      <c r="B297" s="13" t="str">
        <f>_xlfn.IFNA(VLOOKUP(A297,'Date Calcs'!A:AG,2,),"")</f>
        <v/>
      </c>
      <c r="C297" s="14" t="str">
        <f>_xlfn.IFNA(VLOOKUP(A297,'Actual Dates'!A:AE,6,),"")</f>
        <v xml:space="preserve">  </v>
      </c>
      <c r="D297" s="15" t="str">
        <f>IF(C297="  ","  ",IF(C297=0,VLOOKUP(A297,'Date Calcs'!A:AG,9,),IF(C297=1,VLOOKUP(A297,'Date Calcs'!A:AG,11,),IF(C297=2,VLOOKUP(A297,'Date Calcs'!A:AG,13,),IF(C297=3,VLOOKUP(A297,'Date Calcs'!A:AG,15,),4)))))</f>
        <v xml:space="preserve">  </v>
      </c>
      <c r="E297" s="15" t="str">
        <f>IF(_xlfn.IFNA(IF(D297="  "," ",VLOOKUP(A297,'Actual Dates'!A:AE,20,0)),"")&lt;1,"-",_xlfn.IFNA(IF(D297="  "," ",VLOOKUP(A297,'Actual Dates'!A:AE,20,0)),""))</f>
        <v xml:space="preserve"> </v>
      </c>
      <c r="F297" s="12" t="str">
        <f ca="1">IFERROR(IF(A297="","",D297-Date!$B$3),"")</f>
        <v/>
      </c>
      <c r="G297" s="20"/>
      <c r="I297" s="21" t="b">
        <f t="shared" si="13"/>
        <v>0</v>
      </c>
      <c r="J297" s="21" t="str">
        <f t="shared" si="12"/>
        <v xml:space="preserve">  </v>
      </c>
    </row>
    <row r="298" spans="1:10" ht="23.25" hidden="1" x14ac:dyDescent="0.25">
      <c r="A298" s="12">
        <f>'Drawing Submittal'!A298</f>
        <v>0</v>
      </c>
      <c r="B298" s="13" t="str">
        <f>_xlfn.IFNA(VLOOKUP(A298,'Date Calcs'!A:AG,2,),"")</f>
        <v/>
      </c>
      <c r="C298" s="14" t="str">
        <f>_xlfn.IFNA(VLOOKUP(A298,'Actual Dates'!A:AE,6,),"")</f>
        <v xml:space="preserve">  </v>
      </c>
      <c r="D298" s="15" t="str">
        <f>IF(C298="  ","  ",IF(C298=0,VLOOKUP(A298,'Date Calcs'!A:AG,9,),IF(C298=1,VLOOKUP(A298,'Date Calcs'!A:AG,11,),IF(C298=2,VLOOKUP(A298,'Date Calcs'!A:AG,13,),IF(C298=3,VLOOKUP(A298,'Date Calcs'!A:AG,15,),4)))))</f>
        <v xml:space="preserve">  </v>
      </c>
      <c r="E298" s="15" t="str">
        <f>IF(_xlfn.IFNA(IF(D298="  "," ",VLOOKUP(A298,'Actual Dates'!A:AE,20,0)),"")&lt;1,"-",_xlfn.IFNA(IF(D298="  "," ",VLOOKUP(A298,'Actual Dates'!A:AE,20,0)),""))</f>
        <v xml:space="preserve"> </v>
      </c>
      <c r="F298" s="12" t="str">
        <f ca="1">IFERROR(IF(A298="","",D298-Date!$B$3),"")</f>
        <v/>
      </c>
      <c r="G298" s="20"/>
      <c r="I298" s="21" t="b">
        <f t="shared" si="13"/>
        <v>0</v>
      </c>
      <c r="J298" s="21" t="str">
        <f t="shared" si="12"/>
        <v xml:space="preserve">  </v>
      </c>
    </row>
    <row r="299" spans="1:10" ht="23.25" hidden="1" x14ac:dyDescent="0.25">
      <c r="A299" s="12">
        <f>'Drawing Submittal'!A299</f>
        <v>0</v>
      </c>
      <c r="B299" s="13" t="str">
        <f>_xlfn.IFNA(VLOOKUP(A299,'Date Calcs'!A:AG,2,),"")</f>
        <v/>
      </c>
      <c r="C299" s="14" t="str">
        <f>_xlfn.IFNA(VLOOKUP(A299,'Actual Dates'!A:AE,6,),"")</f>
        <v xml:space="preserve">  </v>
      </c>
      <c r="D299" s="15" t="str">
        <f>IF(C299="  ","  ",IF(C299=0,VLOOKUP(A299,'Date Calcs'!A:AG,9,),IF(C299=1,VLOOKUP(A299,'Date Calcs'!A:AG,11,),IF(C299=2,VLOOKUP(A299,'Date Calcs'!A:AG,13,),IF(C299=3,VLOOKUP(A299,'Date Calcs'!A:AG,15,),4)))))</f>
        <v xml:space="preserve">  </v>
      </c>
      <c r="E299" s="15" t="str">
        <f>IF(_xlfn.IFNA(IF(D299="  "," ",VLOOKUP(A299,'Actual Dates'!A:AE,20,0)),"")&lt;1,"-",_xlfn.IFNA(IF(D299="  "," ",VLOOKUP(A299,'Actual Dates'!A:AE,20,0)),""))</f>
        <v xml:space="preserve"> </v>
      </c>
      <c r="F299" s="12" t="str">
        <f ca="1">IFERROR(IF(A299="","",D299-Date!$B$3),"")</f>
        <v/>
      </c>
      <c r="G299" s="20"/>
      <c r="I299" s="21" t="b">
        <f t="shared" si="13"/>
        <v>0</v>
      </c>
      <c r="J299" s="21" t="str">
        <f t="shared" si="12"/>
        <v xml:space="preserve">  </v>
      </c>
    </row>
    <row r="300" spans="1:10" ht="23.25" hidden="1" x14ac:dyDescent="0.25">
      <c r="A300" s="12">
        <f>'Drawing Submittal'!A300</f>
        <v>0</v>
      </c>
      <c r="B300" s="13" t="str">
        <f>_xlfn.IFNA(VLOOKUP(A300,'Date Calcs'!A:AG,2,),"")</f>
        <v/>
      </c>
      <c r="C300" s="14" t="str">
        <f>_xlfn.IFNA(VLOOKUP(A300,'Actual Dates'!A:AE,6,),"")</f>
        <v xml:space="preserve">  </v>
      </c>
      <c r="D300" s="15" t="str">
        <f>IF(C300="  ","  ",IF(C300=0,VLOOKUP(A300,'Date Calcs'!A:AG,9,),IF(C300=1,VLOOKUP(A300,'Date Calcs'!A:AG,11,),IF(C300=2,VLOOKUP(A300,'Date Calcs'!A:AG,13,),IF(C300=3,VLOOKUP(A300,'Date Calcs'!A:AG,15,),4)))))</f>
        <v xml:space="preserve">  </v>
      </c>
      <c r="E300" s="15" t="str">
        <f>IF(_xlfn.IFNA(IF(D300="  "," ",VLOOKUP(A300,'Actual Dates'!A:AE,20,0)),"")&lt;1,"-",_xlfn.IFNA(IF(D300="  "," ",VLOOKUP(A300,'Actual Dates'!A:AE,20,0)),""))</f>
        <v xml:space="preserve"> </v>
      </c>
      <c r="F300" s="12" t="str">
        <f ca="1">IFERROR(IF(A300="","",D300-Date!$B$3),"")</f>
        <v/>
      </c>
      <c r="G300" s="20"/>
      <c r="I300" s="21" t="b">
        <f t="shared" si="13"/>
        <v>0</v>
      </c>
      <c r="J300" s="21" t="str">
        <f t="shared" si="12"/>
        <v xml:space="preserve">  </v>
      </c>
    </row>
    <row r="301" spans="1:10" ht="23.25" hidden="1" x14ac:dyDescent="0.25">
      <c r="A301" s="12">
        <f>'Drawing Submittal'!A301</f>
        <v>0</v>
      </c>
      <c r="B301" s="13" t="str">
        <f>_xlfn.IFNA(VLOOKUP(A301,'Date Calcs'!A:AG,2,),"")</f>
        <v/>
      </c>
      <c r="C301" s="14" t="str">
        <f>_xlfn.IFNA(VLOOKUP(A301,'Actual Dates'!A:AE,6,),"")</f>
        <v xml:space="preserve">  </v>
      </c>
      <c r="D301" s="15" t="str">
        <f>IF(C301="  ","  ",IF(C301=0,VLOOKUP(A301,'Date Calcs'!A:AG,9,),IF(C301=1,VLOOKUP(A301,'Date Calcs'!A:AG,11,),IF(C301=2,VLOOKUP(A301,'Date Calcs'!A:AG,13,),IF(C301=3,VLOOKUP(A301,'Date Calcs'!A:AG,15,),4)))))</f>
        <v xml:space="preserve">  </v>
      </c>
      <c r="E301" s="15" t="str">
        <f>IF(_xlfn.IFNA(IF(D301="  "," ",VLOOKUP(A301,'Actual Dates'!A:AE,20,0)),"")&lt;1,"-",_xlfn.IFNA(IF(D301="  "," ",VLOOKUP(A301,'Actual Dates'!A:AE,20,0)),""))</f>
        <v xml:space="preserve"> </v>
      </c>
      <c r="F301" s="12" t="str">
        <f ca="1">IFERROR(IF(A301="","",D301-Date!$B$3),"")</f>
        <v/>
      </c>
      <c r="G301" s="20"/>
      <c r="I301" s="21" t="b">
        <f t="shared" si="13"/>
        <v>0</v>
      </c>
      <c r="J301" s="21" t="str">
        <f t="shared" si="12"/>
        <v xml:space="preserve">  </v>
      </c>
    </row>
    <row r="302" spans="1:10" ht="23.25" hidden="1" x14ac:dyDescent="0.25">
      <c r="A302" s="12">
        <f>'Drawing Submittal'!A302</f>
        <v>0</v>
      </c>
      <c r="B302" s="13" t="str">
        <f>_xlfn.IFNA(VLOOKUP(A302,'Date Calcs'!A:AG,2,),"")</f>
        <v/>
      </c>
      <c r="C302" s="14" t="str">
        <f>_xlfn.IFNA(VLOOKUP(A302,'Actual Dates'!A:AE,6,),"")</f>
        <v xml:space="preserve">  </v>
      </c>
      <c r="D302" s="15" t="str">
        <f>IF(C302="  ","  ",IF(C302=0,VLOOKUP(A302,'Date Calcs'!A:AG,9,),IF(C302=1,VLOOKUP(A302,'Date Calcs'!A:AG,11,),IF(C302=2,VLOOKUP(A302,'Date Calcs'!A:AG,13,),IF(C302=3,VLOOKUP(A302,'Date Calcs'!A:AG,15,),4)))))</f>
        <v xml:space="preserve">  </v>
      </c>
      <c r="E302" s="15" t="str">
        <f>IF(_xlfn.IFNA(IF(D302="  "," ",VLOOKUP(A302,'Actual Dates'!A:AE,20,0)),"")&lt;1,"-",_xlfn.IFNA(IF(D302="  "," ",VLOOKUP(A302,'Actual Dates'!A:AE,20,0)),""))</f>
        <v xml:space="preserve"> </v>
      </c>
      <c r="F302" s="12" t="str">
        <f ca="1">IFERROR(IF(A302="","",D302-Date!$B$3),"")</f>
        <v/>
      </c>
      <c r="G302" s="20"/>
      <c r="I302" s="21" t="b">
        <f t="shared" si="13"/>
        <v>0</v>
      </c>
      <c r="J302" s="21" t="str">
        <f t="shared" si="12"/>
        <v xml:space="preserve">  </v>
      </c>
    </row>
    <row r="303" spans="1:10" ht="23.25" hidden="1" x14ac:dyDescent="0.25">
      <c r="A303" s="12">
        <f>'Drawing Submittal'!A303</f>
        <v>0</v>
      </c>
      <c r="B303" s="13" t="str">
        <f>_xlfn.IFNA(VLOOKUP(A303,'Date Calcs'!A:AG,2,),"")</f>
        <v/>
      </c>
      <c r="C303" s="14" t="str">
        <f>_xlfn.IFNA(VLOOKUP(A303,'Actual Dates'!A:AE,6,),"")</f>
        <v xml:space="preserve">  </v>
      </c>
      <c r="D303" s="15" t="str">
        <f>IF(C303="  ","  ",IF(C303=0,VLOOKUP(A303,'Date Calcs'!A:AG,9,),IF(C303=1,VLOOKUP(A303,'Date Calcs'!A:AG,11,),IF(C303=2,VLOOKUP(A303,'Date Calcs'!A:AG,13,),IF(C303=3,VLOOKUP(A303,'Date Calcs'!A:AG,15,),4)))))</f>
        <v xml:space="preserve">  </v>
      </c>
      <c r="E303" s="15" t="str">
        <f>IF(_xlfn.IFNA(IF(D303="  "," ",VLOOKUP(A303,'Actual Dates'!A:AE,20,0)),"")&lt;1,"-",_xlfn.IFNA(IF(D303="  "," ",VLOOKUP(A303,'Actual Dates'!A:AE,20,0)),""))</f>
        <v xml:space="preserve"> </v>
      </c>
      <c r="F303" s="12" t="str">
        <f ca="1">IFERROR(IF(A303="","",D303-Date!$B$3),"")</f>
        <v/>
      </c>
      <c r="G303" s="20"/>
      <c r="I303" s="21" t="b">
        <f t="shared" si="13"/>
        <v>0</v>
      </c>
      <c r="J303" s="21" t="str">
        <f t="shared" si="12"/>
        <v xml:space="preserve">  </v>
      </c>
    </row>
    <row r="304" spans="1:10" ht="23.25" hidden="1" x14ac:dyDescent="0.25">
      <c r="A304" s="12">
        <f>'Drawing Submittal'!A304</f>
        <v>0</v>
      </c>
      <c r="B304" s="13" t="str">
        <f>_xlfn.IFNA(VLOOKUP(A304,'Date Calcs'!A:AG,2,),"")</f>
        <v/>
      </c>
      <c r="C304" s="14" t="str">
        <f>_xlfn.IFNA(VLOOKUP(A304,'Actual Dates'!A:AE,6,),"")</f>
        <v xml:space="preserve">  </v>
      </c>
      <c r="D304" s="15" t="str">
        <f>IF(C304="  ","  ",IF(C304=0,VLOOKUP(A304,'Date Calcs'!A:AG,9,),IF(C304=1,VLOOKUP(A304,'Date Calcs'!A:AG,11,),IF(C304=2,VLOOKUP(A304,'Date Calcs'!A:AG,13,),IF(C304=3,VLOOKUP(A304,'Date Calcs'!A:AG,15,),4)))))</f>
        <v xml:space="preserve">  </v>
      </c>
      <c r="E304" s="15" t="str">
        <f>IF(_xlfn.IFNA(IF(D304="  "," ",VLOOKUP(A304,'Actual Dates'!A:AE,20,0)),"")&lt;1,"-",_xlfn.IFNA(IF(D304="  "," ",VLOOKUP(A304,'Actual Dates'!A:AE,20,0)),""))</f>
        <v xml:space="preserve"> </v>
      </c>
      <c r="F304" s="12" t="str">
        <f ca="1">IFERROR(IF(A304="","",D304-Date!$B$3),"")</f>
        <v/>
      </c>
      <c r="G304" s="20"/>
      <c r="I304" s="21" t="b">
        <f t="shared" si="13"/>
        <v>0</v>
      </c>
      <c r="J304" s="21" t="str">
        <f t="shared" ref="J304:J361" si="14">VLOOKUP(A304,Dates,7,)</f>
        <v xml:space="preserve">  </v>
      </c>
    </row>
    <row r="305" spans="1:10" ht="23.25" hidden="1" x14ac:dyDescent="0.25">
      <c r="A305" s="12">
        <f>'Drawing Submittal'!A305</f>
        <v>0</v>
      </c>
      <c r="B305" s="13" t="str">
        <f>_xlfn.IFNA(VLOOKUP(A305,'Date Calcs'!A:AG,2,),"")</f>
        <v/>
      </c>
      <c r="C305" s="14" t="str">
        <f>_xlfn.IFNA(VLOOKUP(A305,'Actual Dates'!A:AE,6,),"")</f>
        <v xml:space="preserve">  </v>
      </c>
      <c r="D305" s="15" t="str">
        <f>IF(C305="  ","  ",IF(C305=0,VLOOKUP(A305,'Date Calcs'!A:AG,9,),IF(C305=1,VLOOKUP(A305,'Date Calcs'!A:AG,11,),IF(C305=2,VLOOKUP(A305,'Date Calcs'!A:AG,13,),IF(C305=3,VLOOKUP(A305,'Date Calcs'!A:AG,15,),4)))))</f>
        <v xml:space="preserve">  </v>
      </c>
      <c r="E305" s="15" t="str">
        <f>IF(_xlfn.IFNA(IF(D305="  "," ",VLOOKUP(A305,'Actual Dates'!A:AE,20,0)),"")&lt;1,"-",_xlfn.IFNA(IF(D305="  "," ",VLOOKUP(A305,'Actual Dates'!A:AE,20,0)),""))</f>
        <v xml:space="preserve"> </v>
      </c>
      <c r="F305" s="12" t="str">
        <f ca="1">IFERROR(IF(A305="","",D305-Date!$B$3),"")</f>
        <v/>
      </c>
      <c r="G305" s="20"/>
      <c r="I305" s="21" t="b">
        <f t="shared" si="13"/>
        <v>0</v>
      </c>
      <c r="J305" s="21" t="str">
        <f t="shared" si="14"/>
        <v xml:space="preserve">  </v>
      </c>
    </row>
    <row r="306" spans="1:10" ht="23.25" hidden="1" x14ac:dyDescent="0.25">
      <c r="A306" s="12">
        <f>'Drawing Submittal'!A306</f>
        <v>0</v>
      </c>
      <c r="B306" s="13" t="str">
        <f>_xlfn.IFNA(VLOOKUP(A306,'Date Calcs'!A:AG,2,),"")</f>
        <v/>
      </c>
      <c r="C306" s="14" t="str">
        <f>_xlfn.IFNA(VLOOKUP(A306,'Actual Dates'!A:AE,6,),"")</f>
        <v xml:space="preserve">  </v>
      </c>
      <c r="D306" s="15" t="str">
        <f>IF(C306="  ","  ",IF(C306=0,VLOOKUP(A306,'Date Calcs'!A:AG,9,),IF(C306=1,VLOOKUP(A306,'Date Calcs'!A:AG,11,),IF(C306=2,VLOOKUP(A306,'Date Calcs'!A:AG,13,),IF(C306=3,VLOOKUP(A306,'Date Calcs'!A:AG,15,),4)))))</f>
        <v xml:space="preserve">  </v>
      </c>
      <c r="E306" s="15" t="str">
        <f>IF(_xlfn.IFNA(IF(D306="  "," ",VLOOKUP(A306,'Actual Dates'!A:AE,20,0)),"")&lt;1,"-",_xlfn.IFNA(IF(D306="  "," ",VLOOKUP(A306,'Actual Dates'!A:AE,20,0)),""))</f>
        <v xml:space="preserve"> </v>
      </c>
      <c r="F306" s="12" t="str">
        <f ca="1">IFERROR(IF(A306="","",D306-Date!$B$3),"")</f>
        <v/>
      </c>
      <c r="G306" s="20"/>
      <c r="I306" s="21" t="b">
        <f t="shared" si="13"/>
        <v>0</v>
      </c>
      <c r="J306" s="21" t="str">
        <f t="shared" si="14"/>
        <v xml:space="preserve">  </v>
      </c>
    </row>
    <row r="307" spans="1:10" ht="23.25" hidden="1" x14ac:dyDescent="0.25">
      <c r="A307" s="12">
        <f>'Drawing Submittal'!A307</f>
        <v>0</v>
      </c>
      <c r="B307" s="13" t="str">
        <f>_xlfn.IFNA(VLOOKUP(A307,'Date Calcs'!A:AG,2,),"")</f>
        <v/>
      </c>
      <c r="C307" s="14" t="str">
        <f>_xlfn.IFNA(VLOOKUP(A307,'Actual Dates'!A:AE,6,),"")</f>
        <v xml:space="preserve">  </v>
      </c>
      <c r="D307" s="15" t="str">
        <f>IF(C307="  ","  ",IF(C307=0,VLOOKUP(A307,'Date Calcs'!A:AG,9,),IF(C307=1,VLOOKUP(A307,'Date Calcs'!A:AG,11,),IF(C307=2,VLOOKUP(A307,'Date Calcs'!A:AG,13,),IF(C307=3,VLOOKUP(A307,'Date Calcs'!A:AG,15,),4)))))</f>
        <v xml:space="preserve">  </v>
      </c>
      <c r="E307" s="15" t="str">
        <f>IF(_xlfn.IFNA(IF(D307="  "," ",VLOOKUP(A307,'Actual Dates'!A:AE,20,0)),"")&lt;1,"-",_xlfn.IFNA(IF(D307="  "," ",VLOOKUP(A307,'Actual Dates'!A:AE,20,0)),""))</f>
        <v xml:space="preserve"> </v>
      </c>
      <c r="F307" s="12" t="str">
        <f ca="1">IFERROR(IF(A307="","",D307-Date!$B$3),"")</f>
        <v/>
      </c>
      <c r="G307" s="20"/>
      <c r="I307" s="21" t="b">
        <f t="shared" si="13"/>
        <v>0</v>
      </c>
      <c r="J307" s="21" t="str">
        <f t="shared" si="14"/>
        <v xml:space="preserve">  </v>
      </c>
    </row>
    <row r="308" spans="1:10" ht="23.25" hidden="1" x14ac:dyDescent="0.25">
      <c r="A308" s="12">
        <f>'Drawing Submittal'!A308</f>
        <v>0</v>
      </c>
      <c r="B308" s="13" t="str">
        <f>_xlfn.IFNA(VLOOKUP(A308,'Date Calcs'!A:AG,2,),"")</f>
        <v/>
      </c>
      <c r="C308" s="14" t="str">
        <f>_xlfn.IFNA(VLOOKUP(A308,'Actual Dates'!A:AE,6,),"")</f>
        <v xml:space="preserve">  </v>
      </c>
      <c r="D308" s="15" t="str">
        <f>IF(C308="  ","  ",IF(C308=0,VLOOKUP(A308,'Date Calcs'!A:AG,9,),IF(C308=1,VLOOKUP(A308,'Date Calcs'!A:AG,11,),IF(C308=2,VLOOKUP(A308,'Date Calcs'!A:AG,13,),IF(C308=3,VLOOKUP(A308,'Date Calcs'!A:AG,15,),4)))))</f>
        <v xml:space="preserve">  </v>
      </c>
      <c r="E308" s="15" t="str">
        <f>IF(_xlfn.IFNA(IF(D308="  "," ",VLOOKUP(A308,'Actual Dates'!A:AE,20,0)),"")&lt;1,"-",_xlfn.IFNA(IF(D308="  "," ",VLOOKUP(A308,'Actual Dates'!A:AE,20,0)),""))</f>
        <v xml:space="preserve"> </v>
      </c>
      <c r="F308" s="12" t="str">
        <f ca="1">IFERROR(IF(A308="","",D308-Date!$B$3),"")</f>
        <v/>
      </c>
      <c r="G308" s="20"/>
      <c r="I308" s="21" t="b">
        <f t="shared" si="13"/>
        <v>0</v>
      </c>
      <c r="J308" s="21" t="str">
        <f t="shared" si="14"/>
        <v xml:space="preserve">  </v>
      </c>
    </row>
    <row r="309" spans="1:10" ht="23.25" hidden="1" x14ac:dyDescent="0.25">
      <c r="A309" s="12">
        <f>'Drawing Submittal'!A309</f>
        <v>0</v>
      </c>
      <c r="B309" s="13" t="str">
        <f>_xlfn.IFNA(VLOOKUP(A309,'Date Calcs'!A:AG,2,),"")</f>
        <v/>
      </c>
      <c r="C309" s="14" t="str">
        <f>_xlfn.IFNA(VLOOKUP(A309,'Actual Dates'!A:AE,6,),"")</f>
        <v xml:space="preserve">  </v>
      </c>
      <c r="D309" s="15" t="str">
        <f>IF(C309="  ","  ",IF(C309=0,VLOOKUP(A309,'Date Calcs'!A:AG,9,),IF(C309=1,VLOOKUP(A309,'Date Calcs'!A:AG,11,),IF(C309=2,VLOOKUP(A309,'Date Calcs'!A:AG,13,),IF(C309=3,VLOOKUP(A309,'Date Calcs'!A:AG,15,),4)))))</f>
        <v xml:space="preserve">  </v>
      </c>
      <c r="E309" s="15" t="str">
        <f>IF(_xlfn.IFNA(IF(D309="  "," ",VLOOKUP(A309,'Actual Dates'!A:AE,20,0)),"")&lt;1,"-",_xlfn.IFNA(IF(D309="  "," ",VLOOKUP(A309,'Actual Dates'!A:AE,20,0)),""))</f>
        <v xml:space="preserve"> </v>
      </c>
      <c r="F309" s="12" t="str">
        <f ca="1">IFERROR(IF(A309="","",D309-Date!$B$3),"")</f>
        <v/>
      </c>
      <c r="G309" s="20"/>
      <c r="I309" s="21" t="b">
        <f t="shared" si="13"/>
        <v>0</v>
      </c>
      <c r="J309" s="21" t="str">
        <f t="shared" si="14"/>
        <v xml:space="preserve">  </v>
      </c>
    </row>
    <row r="310" spans="1:10" ht="23.25" hidden="1" x14ac:dyDescent="0.25">
      <c r="A310" s="12">
        <f>'Drawing Submittal'!A310</f>
        <v>0</v>
      </c>
      <c r="B310" s="13" t="str">
        <f>_xlfn.IFNA(VLOOKUP(A310,'Date Calcs'!A:AG,2,),"")</f>
        <v/>
      </c>
      <c r="C310" s="14" t="str">
        <f>_xlfn.IFNA(VLOOKUP(A310,'Actual Dates'!A:AE,6,),"")</f>
        <v xml:space="preserve">  </v>
      </c>
      <c r="D310" s="15" t="str">
        <f>IF(C310="  ","  ",IF(C310=0,VLOOKUP(A310,'Date Calcs'!A:AG,9,),IF(C310=1,VLOOKUP(A310,'Date Calcs'!A:AG,11,),IF(C310=2,VLOOKUP(A310,'Date Calcs'!A:AG,13,),IF(C310=3,VLOOKUP(A310,'Date Calcs'!A:AG,15,),4)))))</f>
        <v xml:space="preserve">  </v>
      </c>
      <c r="E310" s="15" t="str">
        <f>IF(_xlfn.IFNA(IF(D310="  "," ",VLOOKUP(A310,'Actual Dates'!A:AE,20,0)),"")&lt;1,"-",_xlfn.IFNA(IF(D310="  "," ",VLOOKUP(A310,'Actual Dates'!A:AE,20,0)),""))</f>
        <v xml:space="preserve"> </v>
      </c>
      <c r="F310" s="12" t="str">
        <f ca="1">IFERROR(IF(A310="","",D310-Date!$B$3),"")</f>
        <v/>
      </c>
      <c r="G310" s="20"/>
      <c r="I310" s="21" t="b">
        <f t="shared" si="13"/>
        <v>0</v>
      </c>
      <c r="J310" s="21" t="str">
        <f t="shared" si="14"/>
        <v xml:space="preserve">  </v>
      </c>
    </row>
    <row r="311" spans="1:10" ht="23.25" hidden="1" x14ac:dyDescent="0.25">
      <c r="A311" s="12">
        <f>'Drawing Submittal'!A311</f>
        <v>0</v>
      </c>
      <c r="B311" s="13" t="str">
        <f>_xlfn.IFNA(VLOOKUP(A311,'Date Calcs'!A:AG,2,),"")</f>
        <v/>
      </c>
      <c r="C311" s="14" t="str">
        <f>_xlfn.IFNA(VLOOKUP(A311,'Actual Dates'!A:AE,6,),"")</f>
        <v xml:space="preserve">  </v>
      </c>
      <c r="D311" s="15" t="str">
        <f>IF(C311="  ","  ",IF(C311=0,VLOOKUP(A311,'Date Calcs'!A:AG,9,),IF(C311=1,VLOOKUP(A311,'Date Calcs'!A:AG,11,),IF(C311=2,VLOOKUP(A311,'Date Calcs'!A:AG,13,),IF(C311=3,VLOOKUP(A311,'Date Calcs'!A:AG,15,),4)))))</f>
        <v xml:space="preserve">  </v>
      </c>
      <c r="E311" s="15" t="str">
        <f>IF(_xlfn.IFNA(IF(D311="  "," ",VLOOKUP(A311,'Actual Dates'!A:AE,20,0)),"")&lt;1,"-",_xlfn.IFNA(IF(D311="  "," ",VLOOKUP(A311,'Actual Dates'!A:AE,20,0)),""))</f>
        <v xml:space="preserve"> </v>
      </c>
      <c r="F311" s="12" t="str">
        <f ca="1">IFERROR(IF(A311="","",D311-Date!$B$3),"")</f>
        <v/>
      </c>
      <c r="G311" s="20"/>
      <c r="I311" s="21" t="b">
        <f t="shared" si="13"/>
        <v>0</v>
      </c>
      <c r="J311" s="21" t="str">
        <f t="shared" si="14"/>
        <v xml:space="preserve">  </v>
      </c>
    </row>
    <row r="312" spans="1:10" ht="23.25" hidden="1" x14ac:dyDescent="0.25">
      <c r="A312" s="12">
        <f>'Drawing Submittal'!A312</f>
        <v>0</v>
      </c>
      <c r="B312" s="13" t="str">
        <f>_xlfn.IFNA(VLOOKUP(A312,'Date Calcs'!A:AG,2,),"")</f>
        <v/>
      </c>
      <c r="C312" s="14" t="str">
        <f>_xlfn.IFNA(VLOOKUP(A312,'Actual Dates'!A:AE,6,),"")</f>
        <v xml:space="preserve">  </v>
      </c>
      <c r="D312" s="15" t="str">
        <f>IF(C312="  ","  ",IF(C312=0,VLOOKUP(A312,'Date Calcs'!A:AG,9,),IF(C312=1,VLOOKUP(A312,'Date Calcs'!A:AG,11,),IF(C312=2,VLOOKUP(A312,'Date Calcs'!A:AG,13,),IF(C312=3,VLOOKUP(A312,'Date Calcs'!A:AG,15,),4)))))</f>
        <v xml:space="preserve">  </v>
      </c>
      <c r="E312" s="15" t="str">
        <f>IF(_xlfn.IFNA(IF(D312="  "," ",VLOOKUP(A312,'Actual Dates'!A:AE,20,0)),"")&lt;1,"-",_xlfn.IFNA(IF(D312="  "," ",VLOOKUP(A312,'Actual Dates'!A:AE,20,0)),""))</f>
        <v xml:space="preserve"> </v>
      </c>
      <c r="F312" s="12" t="str">
        <f ca="1">IFERROR(IF(A312="","",D312-Date!$B$3),"")</f>
        <v/>
      </c>
      <c r="G312" s="20"/>
      <c r="I312" s="21" t="b">
        <f t="shared" si="13"/>
        <v>0</v>
      </c>
      <c r="J312" s="21" t="str">
        <f t="shared" si="14"/>
        <v xml:space="preserve">  </v>
      </c>
    </row>
    <row r="313" spans="1:10" ht="23.25" hidden="1" x14ac:dyDescent="0.25">
      <c r="A313" s="12">
        <f>'Drawing Submittal'!A313</f>
        <v>0</v>
      </c>
      <c r="B313" s="13" t="str">
        <f>_xlfn.IFNA(VLOOKUP(A313,'Date Calcs'!A:AG,2,),"")</f>
        <v/>
      </c>
      <c r="C313" s="14" t="str">
        <f>_xlfn.IFNA(VLOOKUP(A313,'Actual Dates'!A:AE,6,),"")</f>
        <v xml:space="preserve">  </v>
      </c>
      <c r="D313" s="15" t="str">
        <f>IF(C313="  ","  ",IF(C313=0,VLOOKUP(A313,'Date Calcs'!A:AG,9,),IF(C313=1,VLOOKUP(A313,'Date Calcs'!A:AG,11,),IF(C313=2,VLOOKUP(A313,'Date Calcs'!A:AG,13,),IF(C313=3,VLOOKUP(A313,'Date Calcs'!A:AG,15,),4)))))</f>
        <v xml:space="preserve">  </v>
      </c>
      <c r="E313" s="15" t="str">
        <f>IF(_xlfn.IFNA(IF(D313="  "," ",VLOOKUP(A313,'Actual Dates'!A:AE,20,0)),"")&lt;1,"-",_xlfn.IFNA(IF(D313="  "," ",VLOOKUP(A313,'Actual Dates'!A:AE,20,0)),""))</f>
        <v xml:space="preserve"> </v>
      </c>
      <c r="F313" s="12" t="str">
        <f ca="1">IFERROR(IF(A313="","",D313-Date!$B$3),"")</f>
        <v/>
      </c>
      <c r="G313" s="20"/>
      <c r="I313" s="21" t="b">
        <f t="shared" si="13"/>
        <v>0</v>
      </c>
      <c r="J313" s="21" t="str">
        <f t="shared" si="14"/>
        <v xml:space="preserve">  </v>
      </c>
    </row>
    <row r="314" spans="1:10" ht="23.25" hidden="1" x14ac:dyDescent="0.25">
      <c r="A314" s="12">
        <f>'Drawing Submittal'!A314</f>
        <v>0</v>
      </c>
      <c r="B314" s="13" t="str">
        <f>_xlfn.IFNA(VLOOKUP(A314,'Date Calcs'!A:AG,2,),"")</f>
        <v/>
      </c>
      <c r="C314" s="14" t="str">
        <f>_xlfn.IFNA(VLOOKUP(A314,'Actual Dates'!A:AE,6,),"")</f>
        <v xml:space="preserve">  </v>
      </c>
      <c r="D314" s="15" t="str">
        <f>IF(C314="  ","  ",IF(C314=0,VLOOKUP(A314,'Date Calcs'!A:AG,9,),IF(C314=1,VLOOKUP(A314,'Date Calcs'!A:AG,11,),IF(C314=2,VLOOKUP(A314,'Date Calcs'!A:AG,13,),IF(C314=3,VLOOKUP(A314,'Date Calcs'!A:AG,15,),4)))))</f>
        <v xml:space="preserve">  </v>
      </c>
      <c r="E314" s="15" t="str">
        <f>IF(_xlfn.IFNA(IF(D314="  "," ",VLOOKUP(A314,'Actual Dates'!A:AE,20,0)),"")&lt;1,"-",_xlfn.IFNA(IF(D314="  "," ",VLOOKUP(A314,'Actual Dates'!A:AE,20,0)),""))</f>
        <v xml:space="preserve"> </v>
      </c>
      <c r="F314" s="12" t="str">
        <f ca="1">IFERROR(IF(A314="","",D314-Date!$B$3),"")</f>
        <v/>
      </c>
      <c r="G314" s="20"/>
      <c r="I314" s="21" t="b">
        <f t="shared" si="13"/>
        <v>0</v>
      </c>
      <c r="J314" s="21" t="str">
        <f t="shared" si="14"/>
        <v xml:space="preserve">  </v>
      </c>
    </row>
    <row r="315" spans="1:10" ht="23.25" hidden="1" x14ac:dyDescent="0.25">
      <c r="A315" s="12">
        <f>'Drawing Submittal'!A315</f>
        <v>0</v>
      </c>
      <c r="B315" s="13" t="str">
        <f>_xlfn.IFNA(VLOOKUP(A315,'Date Calcs'!A:AG,2,),"")</f>
        <v/>
      </c>
      <c r="C315" s="14" t="str">
        <f>_xlfn.IFNA(VLOOKUP(A315,'Actual Dates'!A:AE,6,),"")</f>
        <v xml:space="preserve">  </v>
      </c>
      <c r="D315" s="15" t="str">
        <f>IF(C315="  ","  ",IF(C315=0,VLOOKUP(A315,'Date Calcs'!A:AG,9,),IF(C315=1,VLOOKUP(A315,'Date Calcs'!A:AG,11,),IF(C315=2,VLOOKUP(A315,'Date Calcs'!A:AG,13,),IF(C315=3,VLOOKUP(A315,'Date Calcs'!A:AG,15,),4)))))</f>
        <v xml:space="preserve">  </v>
      </c>
      <c r="E315" s="15" t="str">
        <f>IF(_xlfn.IFNA(IF(D315="  "," ",VLOOKUP(A315,'Actual Dates'!A:AE,20,0)),"")&lt;1,"-",_xlfn.IFNA(IF(D315="  "," ",VLOOKUP(A315,'Actual Dates'!A:AE,20,0)),""))</f>
        <v xml:space="preserve"> </v>
      </c>
      <c r="F315" s="12" t="str">
        <f ca="1">IFERROR(IF(A315="","",D315-Date!$B$3),"")</f>
        <v/>
      </c>
      <c r="G315" s="20"/>
      <c r="I315" s="21" t="b">
        <f t="shared" si="13"/>
        <v>0</v>
      </c>
      <c r="J315" s="21" t="str">
        <f t="shared" si="14"/>
        <v xml:space="preserve">  </v>
      </c>
    </row>
    <row r="316" spans="1:10" ht="23.25" hidden="1" x14ac:dyDescent="0.25">
      <c r="A316" s="12">
        <f>'Drawing Submittal'!A316</f>
        <v>0</v>
      </c>
      <c r="B316" s="13" t="str">
        <f>_xlfn.IFNA(VLOOKUP(A316,'Date Calcs'!A:AG,2,),"")</f>
        <v/>
      </c>
      <c r="C316" s="14" t="str">
        <f>_xlfn.IFNA(VLOOKUP(A316,'Actual Dates'!A:AE,6,),"")</f>
        <v xml:space="preserve">  </v>
      </c>
      <c r="D316" s="15" t="str">
        <f>IF(C316="  ","  ",IF(C316=0,VLOOKUP(A316,'Date Calcs'!A:AG,9,),IF(C316=1,VLOOKUP(A316,'Date Calcs'!A:AG,11,),IF(C316=2,VLOOKUP(A316,'Date Calcs'!A:AG,13,),IF(C316=3,VLOOKUP(A316,'Date Calcs'!A:AG,15,),4)))))</f>
        <v xml:space="preserve">  </v>
      </c>
      <c r="E316" s="15" t="str">
        <f>IF(_xlfn.IFNA(IF(D316="  "," ",VLOOKUP(A316,'Actual Dates'!A:AE,20,0)),"")&lt;1,"-",_xlfn.IFNA(IF(D316="  "," ",VLOOKUP(A316,'Actual Dates'!A:AE,20,0)),""))</f>
        <v xml:space="preserve"> </v>
      </c>
      <c r="F316" s="12" t="str">
        <f ca="1">IFERROR(IF(A316="","",D316-Date!$B$3),"")</f>
        <v/>
      </c>
      <c r="G316" s="20"/>
      <c r="I316" s="21" t="b">
        <f t="shared" si="13"/>
        <v>0</v>
      </c>
      <c r="J316" s="21" t="str">
        <f t="shared" si="14"/>
        <v xml:space="preserve">  </v>
      </c>
    </row>
    <row r="317" spans="1:10" ht="23.25" hidden="1" x14ac:dyDescent="0.25">
      <c r="A317" s="12">
        <f>'Drawing Submittal'!A317</f>
        <v>0</v>
      </c>
      <c r="B317" s="13" t="str">
        <f>_xlfn.IFNA(VLOOKUP(A317,'Date Calcs'!A:AG,2,),"")</f>
        <v/>
      </c>
      <c r="C317" s="14" t="str">
        <f>_xlfn.IFNA(VLOOKUP(A317,'Actual Dates'!A:AE,6,),"")</f>
        <v xml:space="preserve">  </v>
      </c>
      <c r="D317" s="15" t="str">
        <f>IF(C317="  ","  ",IF(C317=0,VLOOKUP(A317,'Date Calcs'!A:AG,9,),IF(C317=1,VLOOKUP(A317,'Date Calcs'!A:AG,11,),IF(C317=2,VLOOKUP(A317,'Date Calcs'!A:AG,13,),IF(C317=3,VLOOKUP(A317,'Date Calcs'!A:AG,15,),4)))))</f>
        <v xml:space="preserve">  </v>
      </c>
      <c r="E317" s="15" t="str">
        <f>IF(_xlfn.IFNA(IF(D317="  "," ",VLOOKUP(A317,'Actual Dates'!A:AE,20,0)),"")&lt;1,"-",_xlfn.IFNA(IF(D317="  "," ",VLOOKUP(A317,'Actual Dates'!A:AE,20,0)),""))</f>
        <v xml:space="preserve"> </v>
      </c>
      <c r="F317" s="12" t="str">
        <f ca="1">IFERROR(IF(A317="","",D317-Date!$B$3),"")</f>
        <v/>
      </c>
      <c r="G317" s="20"/>
      <c r="I317" s="21" t="b">
        <f t="shared" si="13"/>
        <v>0</v>
      </c>
      <c r="J317" s="21" t="str">
        <f t="shared" si="14"/>
        <v xml:space="preserve">  </v>
      </c>
    </row>
    <row r="318" spans="1:10" ht="23.25" hidden="1" x14ac:dyDescent="0.25">
      <c r="A318" s="12">
        <f>'Drawing Submittal'!A318</f>
        <v>0</v>
      </c>
      <c r="B318" s="13" t="str">
        <f>_xlfn.IFNA(VLOOKUP(A318,'Date Calcs'!A:AG,2,),"")</f>
        <v/>
      </c>
      <c r="C318" s="14" t="str">
        <f>_xlfn.IFNA(VLOOKUP(A318,'Actual Dates'!A:AE,6,),"")</f>
        <v xml:space="preserve">  </v>
      </c>
      <c r="D318" s="15" t="str">
        <f>IF(C318="  ","  ",IF(C318=0,VLOOKUP(A318,'Date Calcs'!A:AG,9,),IF(C318=1,VLOOKUP(A318,'Date Calcs'!A:AG,11,),IF(C318=2,VLOOKUP(A318,'Date Calcs'!A:AG,13,),IF(C318=3,VLOOKUP(A318,'Date Calcs'!A:AG,15,),4)))))</f>
        <v xml:space="preserve">  </v>
      </c>
      <c r="E318" s="15" t="str">
        <f>IF(_xlfn.IFNA(IF(D318="  "," ",VLOOKUP(A318,'Actual Dates'!A:AE,20,0)),"")&lt;1,"-",_xlfn.IFNA(IF(D318="  "," ",VLOOKUP(A318,'Actual Dates'!A:AE,20,0)),""))</f>
        <v xml:space="preserve"> </v>
      </c>
      <c r="F318" s="12" t="str">
        <f ca="1">IFERROR(IF(A318="","",D318-Date!$B$3),"")</f>
        <v/>
      </c>
      <c r="G318" s="20"/>
      <c r="I318" s="21" t="b">
        <f t="shared" si="13"/>
        <v>0</v>
      </c>
      <c r="J318" s="21" t="str">
        <f t="shared" si="14"/>
        <v xml:space="preserve">  </v>
      </c>
    </row>
    <row r="319" spans="1:10" ht="23.25" hidden="1" x14ac:dyDescent="0.25">
      <c r="A319" s="12">
        <f>'Drawing Submittal'!A319</f>
        <v>0</v>
      </c>
      <c r="B319" s="13" t="str">
        <f>_xlfn.IFNA(VLOOKUP(A319,'Date Calcs'!A:AG,2,),"")</f>
        <v/>
      </c>
      <c r="C319" s="14" t="str">
        <f>_xlfn.IFNA(VLOOKUP(A319,'Actual Dates'!A:AE,6,),"")</f>
        <v xml:space="preserve">  </v>
      </c>
      <c r="D319" s="15" t="str">
        <f>IF(C319="  ","  ",IF(C319=0,VLOOKUP(A319,'Date Calcs'!A:AG,9,),IF(C319=1,VLOOKUP(A319,'Date Calcs'!A:AG,11,),IF(C319=2,VLOOKUP(A319,'Date Calcs'!A:AG,13,),IF(C319=3,VLOOKUP(A319,'Date Calcs'!A:AG,15,),4)))))</f>
        <v xml:space="preserve">  </v>
      </c>
      <c r="E319" s="15" t="str">
        <f>IF(_xlfn.IFNA(IF(D319="  "," ",VLOOKUP(A319,'Actual Dates'!A:AE,20,0)),"")&lt;1,"-",_xlfn.IFNA(IF(D319="  "," ",VLOOKUP(A319,'Actual Dates'!A:AE,20,0)),""))</f>
        <v xml:space="preserve"> </v>
      </c>
      <c r="F319" s="12" t="str">
        <f ca="1">IFERROR(IF(A319="","",D319-Date!$B$3),"")</f>
        <v/>
      </c>
      <c r="G319" s="20"/>
      <c r="I319" s="21" t="b">
        <f t="shared" si="13"/>
        <v>0</v>
      </c>
      <c r="J319" s="21" t="str">
        <f t="shared" si="14"/>
        <v xml:space="preserve">  </v>
      </c>
    </row>
    <row r="320" spans="1:10" ht="23.25" hidden="1" x14ac:dyDescent="0.25">
      <c r="A320" s="12">
        <f>'Drawing Submittal'!A320</f>
        <v>0</v>
      </c>
      <c r="B320" s="13" t="str">
        <f>_xlfn.IFNA(VLOOKUP(A320,'Date Calcs'!A:AG,2,),"")</f>
        <v/>
      </c>
      <c r="C320" s="14" t="str">
        <f>_xlfn.IFNA(VLOOKUP(A320,'Actual Dates'!A:AE,6,),"")</f>
        <v xml:space="preserve">  </v>
      </c>
      <c r="D320" s="15" t="str">
        <f>IF(C320="  ","  ",IF(C320=0,VLOOKUP(A320,'Date Calcs'!A:AG,9,),IF(C320=1,VLOOKUP(A320,'Date Calcs'!A:AG,11,),IF(C320=2,VLOOKUP(A320,'Date Calcs'!A:AG,13,),IF(C320=3,VLOOKUP(A320,'Date Calcs'!A:AG,15,),4)))))</f>
        <v xml:space="preserve">  </v>
      </c>
      <c r="E320" s="15" t="str">
        <f>IF(_xlfn.IFNA(IF(D320="  "," ",VLOOKUP(A320,'Actual Dates'!A:AE,20,0)),"")&lt;1,"-",_xlfn.IFNA(IF(D320="  "," ",VLOOKUP(A320,'Actual Dates'!A:AE,20,0)),""))</f>
        <v xml:space="preserve"> </v>
      </c>
      <c r="F320" s="12" t="str">
        <f ca="1">IFERROR(IF(A320="","",D320-Date!$B$3),"")</f>
        <v/>
      </c>
      <c r="G320" s="20"/>
      <c r="I320" s="21" t="b">
        <f t="shared" si="13"/>
        <v>0</v>
      </c>
      <c r="J320" s="21" t="str">
        <f t="shared" si="14"/>
        <v xml:space="preserve">  </v>
      </c>
    </row>
    <row r="321" spans="1:10" ht="23.25" hidden="1" x14ac:dyDescent="0.25">
      <c r="A321" s="12">
        <f>'Drawing Submittal'!A321</f>
        <v>0</v>
      </c>
      <c r="B321" s="13" t="str">
        <f>_xlfn.IFNA(VLOOKUP(A321,'Date Calcs'!A:AG,2,),"")</f>
        <v/>
      </c>
      <c r="C321" s="14" t="str">
        <f>_xlfn.IFNA(VLOOKUP(A321,'Actual Dates'!A:AE,6,),"")</f>
        <v xml:space="preserve">  </v>
      </c>
      <c r="D321" s="15" t="str">
        <f>IF(C321="  ","  ",IF(C321=0,VLOOKUP(A321,'Date Calcs'!A:AG,9,),IF(C321=1,VLOOKUP(A321,'Date Calcs'!A:AG,11,),IF(C321=2,VLOOKUP(A321,'Date Calcs'!A:AG,13,),IF(C321=3,VLOOKUP(A321,'Date Calcs'!A:AG,15,),4)))))</f>
        <v xml:space="preserve">  </v>
      </c>
      <c r="E321" s="15" t="str">
        <f>IF(_xlfn.IFNA(IF(D321="  "," ",VLOOKUP(A321,'Actual Dates'!A:AE,20,0)),"")&lt;1,"-",_xlfn.IFNA(IF(D321="  "," ",VLOOKUP(A321,'Actual Dates'!A:AE,20,0)),""))</f>
        <v xml:space="preserve"> </v>
      </c>
      <c r="F321" s="12" t="str">
        <f ca="1">IFERROR(IF(A321="","",D321-Date!$B$3),"")</f>
        <v/>
      </c>
      <c r="G321" s="20"/>
      <c r="I321" s="21" t="b">
        <f t="shared" si="13"/>
        <v>0</v>
      </c>
      <c r="J321" s="21" t="str">
        <f t="shared" si="14"/>
        <v xml:space="preserve">  </v>
      </c>
    </row>
    <row r="322" spans="1:10" ht="23.25" hidden="1" x14ac:dyDescent="0.25">
      <c r="A322" s="12">
        <f>'Drawing Submittal'!A322</f>
        <v>0</v>
      </c>
      <c r="B322" s="13" t="str">
        <f>_xlfn.IFNA(VLOOKUP(A322,'Date Calcs'!A:AG,2,),"")</f>
        <v/>
      </c>
      <c r="C322" s="14" t="str">
        <f>_xlfn.IFNA(VLOOKUP(A322,'Actual Dates'!A:AE,6,),"")</f>
        <v xml:space="preserve">  </v>
      </c>
      <c r="D322" s="15" t="str">
        <f>IF(C322="  ","  ",IF(C322=0,VLOOKUP(A322,'Date Calcs'!A:AG,9,),IF(C322=1,VLOOKUP(A322,'Date Calcs'!A:AG,11,),IF(C322=2,VLOOKUP(A322,'Date Calcs'!A:AG,13,),IF(C322=3,VLOOKUP(A322,'Date Calcs'!A:AG,15,),4)))))</f>
        <v xml:space="preserve">  </v>
      </c>
      <c r="E322" s="15" t="str">
        <f>IF(_xlfn.IFNA(IF(D322="  "," ",VLOOKUP(A322,'Actual Dates'!A:AE,20,0)),"")&lt;1,"-",_xlfn.IFNA(IF(D322="  "," ",VLOOKUP(A322,'Actual Dates'!A:AE,20,0)),""))</f>
        <v xml:space="preserve"> </v>
      </c>
      <c r="F322" s="12" t="str">
        <f ca="1">IFERROR(IF(A322="","",D322-Date!$B$3),"")</f>
        <v/>
      </c>
      <c r="G322" s="20"/>
      <c r="I322" s="21" t="b">
        <f t="shared" si="13"/>
        <v>0</v>
      </c>
      <c r="J322" s="21" t="str">
        <f t="shared" si="14"/>
        <v xml:space="preserve">  </v>
      </c>
    </row>
    <row r="323" spans="1:10" ht="23.25" hidden="1" x14ac:dyDescent="0.25">
      <c r="A323" s="12">
        <f>'Drawing Submittal'!A323</f>
        <v>0</v>
      </c>
      <c r="B323" s="13" t="str">
        <f>_xlfn.IFNA(VLOOKUP(A323,'Date Calcs'!A:AG,2,),"")</f>
        <v/>
      </c>
      <c r="C323" s="14" t="str">
        <f>_xlfn.IFNA(VLOOKUP(A323,'Actual Dates'!A:AE,6,),"")</f>
        <v xml:space="preserve">  </v>
      </c>
      <c r="D323" s="15" t="str">
        <f>IF(C323="  ","  ",IF(C323=0,VLOOKUP(A323,'Date Calcs'!A:AG,9,),IF(C323=1,VLOOKUP(A323,'Date Calcs'!A:AG,11,),IF(C323=2,VLOOKUP(A323,'Date Calcs'!A:AG,13,),IF(C323=3,VLOOKUP(A323,'Date Calcs'!A:AG,15,),4)))))</f>
        <v xml:space="preserve">  </v>
      </c>
      <c r="E323" s="15" t="str">
        <f>IF(_xlfn.IFNA(IF(D323="  "," ",VLOOKUP(A323,'Actual Dates'!A:AE,20,0)),"")&lt;1,"-",_xlfn.IFNA(IF(D323="  "," ",VLOOKUP(A323,'Actual Dates'!A:AE,20,0)),""))</f>
        <v xml:space="preserve"> </v>
      </c>
      <c r="F323" s="12" t="str">
        <f ca="1">IFERROR(IF(A323="","",D323-Date!$B$3),"")</f>
        <v/>
      </c>
      <c r="G323" s="20"/>
      <c r="I323" s="21" t="b">
        <f t="shared" si="13"/>
        <v>0</v>
      </c>
      <c r="J323" s="21" t="str">
        <f t="shared" si="14"/>
        <v xml:space="preserve">  </v>
      </c>
    </row>
    <row r="324" spans="1:10" ht="23.25" hidden="1" x14ac:dyDescent="0.25">
      <c r="A324" s="12">
        <f>'Drawing Submittal'!A324</f>
        <v>0</v>
      </c>
      <c r="B324" s="13" t="str">
        <f>_xlfn.IFNA(VLOOKUP(A324,'Date Calcs'!A:AG,2,),"")</f>
        <v/>
      </c>
      <c r="C324" s="14" t="str">
        <f>_xlfn.IFNA(VLOOKUP(A324,'Actual Dates'!A:AE,6,),"")</f>
        <v xml:space="preserve">  </v>
      </c>
      <c r="D324" s="15" t="str">
        <f>IF(C324="  ","  ",IF(C324=0,VLOOKUP(A324,'Date Calcs'!A:AG,9,),IF(C324=1,VLOOKUP(A324,'Date Calcs'!A:AG,11,),IF(C324=2,VLOOKUP(A324,'Date Calcs'!A:AG,13,),IF(C324=3,VLOOKUP(A324,'Date Calcs'!A:AG,15,),4)))))</f>
        <v xml:space="preserve">  </v>
      </c>
      <c r="E324" s="15" t="str">
        <f>IF(_xlfn.IFNA(IF(D324="  "," ",VLOOKUP(A324,'Actual Dates'!A:AE,20,0)),"")&lt;1,"-",_xlfn.IFNA(IF(D324="  "," ",VLOOKUP(A324,'Actual Dates'!A:AE,20,0)),""))</f>
        <v xml:space="preserve"> </v>
      </c>
      <c r="F324" s="12" t="str">
        <f ca="1">IFERROR(IF(A324="","",D324-Date!$B$3),"")</f>
        <v/>
      </c>
      <c r="G324" s="20"/>
      <c r="I324" s="21" t="b">
        <f t="shared" si="13"/>
        <v>0</v>
      </c>
      <c r="J324" s="21" t="str">
        <f t="shared" si="14"/>
        <v xml:space="preserve">  </v>
      </c>
    </row>
    <row r="325" spans="1:10" ht="23.25" hidden="1" x14ac:dyDescent="0.25">
      <c r="A325" s="12">
        <f>'Drawing Submittal'!A325</f>
        <v>0</v>
      </c>
      <c r="B325" s="13" t="str">
        <f>_xlfn.IFNA(VLOOKUP(A325,'Date Calcs'!A:AG,2,),"")</f>
        <v/>
      </c>
      <c r="C325" s="14" t="str">
        <f>_xlfn.IFNA(VLOOKUP(A325,'Actual Dates'!A:AE,6,),"")</f>
        <v xml:space="preserve">  </v>
      </c>
      <c r="D325" s="15" t="str">
        <f>IF(C325="  ","  ",IF(C325=0,VLOOKUP(A325,'Date Calcs'!A:AG,9,),IF(C325=1,VLOOKUP(A325,'Date Calcs'!A:AG,11,),IF(C325=2,VLOOKUP(A325,'Date Calcs'!A:AG,13,),IF(C325=3,VLOOKUP(A325,'Date Calcs'!A:AG,15,),4)))))</f>
        <v xml:space="preserve">  </v>
      </c>
      <c r="E325" s="15" t="str">
        <f>IF(_xlfn.IFNA(IF(D325="  "," ",VLOOKUP(A325,'Actual Dates'!A:AE,20,0)),"")&lt;1,"-",_xlfn.IFNA(IF(D325="  "," ",VLOOKUP(A325,'Actual Dates'!A:AE,20,0)),""))</f>
        <v xml:space="preserve"> </v>
      </c>
      <c r="F325" s="12" t="str">
        <f ca="1">IFERROR(IF(A325="","",D325-Date!$B$3),"")</f>
        <v/>
      </c>
      <c r="G325" s="20"/>
      <c r="I325" s="21" t="b">
        <f t="shared" si="13"/>
        <v>0</v>
      </c>
      <c r="J325" s="21" t="str">
        <f t="shared" si="14"/>
        <v xml:space="preserve">  </v>
      </c>
    </row>
    <row r="326" spans="1:10" ht="23.25" hidden="1" x14ac:dyDescent="0.25">
      <c r="A326" s="12">
        <f>'Drawing Submittal'!A326</f>
        <v>0</v>
      </c>
      <c r="B326" s="13" t="str">
        <f>_xlfn.IFNA(VLOOKUP(A326,'Date Calcs'!A:AG,2,),"")</f>
        <v/>
      </c>
      <c r="C326" s="14" t="str">
        <f>_xlfn.IFNA(VLOOKUP(A326,'Actual Dates'!A:AE,6,),"")</f>
        <v xml:space="preserve">  </v>
      </c>
      <c r="D326" s="15" t="str">
        <f>IF(C326="  ","  ",IF(C326=0,VLOOKUP(A326,'Date Calcs'!A:AG,9,),IF(C326=1,VLOOKUP(A326,'Date Calcs'!A:AG,11,),IF(C326=2,VLOOKUP(A326,'Date Calcs'!A:AG,13,),IF(C326=3,VLOOKUP(A326,'Date Calcs'!A:AG,15,),4)))))</f>
        <v xml:space="preserve">  </v>
      </c>
      <c r="E326" s="15" t="str">
        <f>IF(_xlfn.IFNA(IF(D326="  "," ",VLOOKUP(A326,'Actual Dates'!A:AE,20,0)),"")&lt;1,"-",_xlfn.IFNA(IF(D326="  "," ",VLOOKUP(A326,'Actual Dates'!A:AE,20,0)),""))</f>
        <v xml:space="preserve"> </v>
      </c>
      <c r="F326" s="12" t="str">
        <f ca="1">IFERROR(IF(A326="","",D326-Date!$B$3),"")</f>
        <v/>
      </c>
      <c r="G326" s="20"/>
      <c r="I326" s="21" t="b">
        <f t="shared" ref="I326:I361" si="15">IF(C326=0,IF(VLOOKUP(A326,Dates,9,)&gt;0,1,"  "),IF(C326=1,IF(VLOOKUP(A326,Dates,11,)&gt;0,1,"  "),IF(C326=2,IF(VLOOKUP(A326,Dates,13,)&gt;0,1,"  "),IF(C326=3,IF(VLOOKUP(A326,Dates,15,)&gt;0,1,"  ")))))</f>
        <v>0</v>
      </c>
      <c r="J326" s="21" t="str">
        <f t="shared" si="14"/>
        <v xml:space="preserve">  </v>
      </c>
    </row>
    <row r="327" spans="1:10" ht="23.25" hidden="1" x14ac:dyDescent="0.25">
      <c r="A327" s="12">
        <f>'Drawing Submittal'!A327</f>
        <v>0</v>
      </c>
      <c r="B327" s="13" t="str">
        <f>_xlfn.IFNA(VLOOKUP(A327,'Date Calcs'!A:AG,2,),"")</f>
        <v/>
      </c>
      <c r="C327" s="14" t="str">
        <f>_xlfn.IFNA(VLOOKUP(A327,'Actual Dates'!A:AE,6,),"")</f>
        <v xml:space="preserve">  </v>
      </c>
      <c r="D327" s="15" t="str">
        <f>IF(C327="  ","  ",IF(C327=0,VLOOKUP(A327,'Date Calcs'!A:AG,9,),IF(C327=1,VLOOKUP(A327,'Date Calcs'!A:AG,11,),IF(C327=2,VLOOKUP(A327,'Date Calcs'!A:AG,13,),IF(C327=3,VLOOKUP(A327,'Date Calcs'!A:AG,15,),4)))))</f>
        <v xml:space="preserve">  </v>
      </c>
      <c r="E327" s="15" t="str">
        <f>IF(_xlfn.IFNA(IF(D327="  "," ",VLOOKUP(A327,'Actual Dates'!A:AE,20,0)),"")&lt;1,"-",_xlfn.IFNA(IF(D327="  "," ",VLOOKUP(A327,'Actual Dates'!A:AE,20,0)),""))</f>
        <v xml:space="preserve"> </v>
      </c>
      <c r="F327" s="12" t="str">
        <f ca="1">IFERROR(IF(A327="","",D327-Date!$B$3),"")</f>
        <v/>
      </c>
      <c r="G327" s="20"/>
      <c r="I327" s="21" t="b">
        <f t="shared" si="15"/>
        <v>0</v>
      </c>
      <c r="J327" s="21" t="str">
        <f t="shared" si="14"/>
        <v xml:space="preserve">  </v>
      </c>
    </row>
    <row r="328" spans="1:10" ht="23.25" hidden="1" x14ac:dyDescent="0.25">
      <c r="A328" s="12">
        <f>'Drawing Submittal'!A328</f>
        <v>0</v>
      </c>
      <c r="B328" s="13" t="str">
        <f>_xlfn.IFNA(VLOOKUP(A328,'Date Calcs'!A:AG,2,),"")</f>
        <v/>
      </c>
      <c r="C328" s="14" t="str">
        <f>_xlfn.IFNA(VLOOKUP(A328,'Actual Dates'!A:AE,6,),"")</f>
        <v xml:space="preserve">  </v>
      </c>
      <c r="D328" s="15" t="str">
        <f>IF(C328="  ","  ",IF(C328=0,VLOOKUP(A328,'Date Calcs'!A:AG,9,),IF(C328=1,VLOOKUP(A328,'Date Calcs'!A:AG,11,),IF(C328=2,VLOOKUP(A328,'Date Calcs'!A:AG,13,),IF(C328=3,VLOOKUP(A328,'Date Calcs'!A:AG,15,),4)))))</f>
        <v xml:space="preserve">  </v>
      </c>
      <c r="E328" s="15" t="str">
        <f>IF(_xlfn.IFNA(IF(D328="  "," ",VLOOKUP(A328,'Actual Dates'!A:AE,20,0)),"")&lt;1,"-",_xlfn.IFNA(IF(D328="  "," ",VLOOKUP(A328,'Actual Dates'!A:AE,20,0)),""))</f>
        <v xml:space="preserve"> </v>
      </c>
      <c r="F328" s="12" t="str">
        <f ca="1">IFERROR(IF(A328="","",D328-Date!$B$3),"")</f>
        <v/>
      </c>
      <c r="G328" s="20"/>
      <c r="I328" s="21" t="b">
        <f t="shared" si="15"/>
        <v>0</v>
      </c>
      <c r="J328" s="21" t="str">
        <f t="shared" si="14"/>
        <v xml:space="preserve">  </v>
      </c>
    </row>
    <row r="329" spans="1:10" ht="23.25" hidden="1" x14ac:dyDescent="0.25">
      <c r="A329" s="12">
        <f>'Drawing Submittal'!A329</f>
        <v>0</v>
      </c>
      <c r="B329" s="13" t="str">
        <f>_xlfn.IFNA(VLOOKUP(A329,'Date Calcs'!A:AG,2,),"")</f>
        <v/>
      </c>
      <c r="C329" s="14" t="str">
        <f>_xlfn.IFNA(VLOOKUP(A329,'Actual Dates'!A:AE,6,),"")</f>
        <v xml:space="preserve">  </v>
      </c>
      <c r="D329" s="15" t="str">
        <f>IF(C329="  ","  ",IF(C329=0,VLOOKUP(A329,'Date Calcs'!A:AG,9,),IF(C329=1,VLOOKUP(A329,'Date Calcs'!A:AG,11,),IF(C329=2,VLOOKUP(A329,'Date Calcs'!A:AG,13,),IF(C329=3,VLOOKUP(A329,'Date Calcs'!A:AG,15,),4)))))</f>
        <v xml:space="preserve">  </v>
      </c>
      <c r="E329" s="15" t="str">
        <f>IF(_xlfn.IFNA(IF(D329="  "," ",VLOOKUP(A329,'Actual Dates'!A:AE,20,0)),"")&lt;1,"-",_xlfn.IFNA(IF(D329="  "," ",VLOOKUP(A329,'Actual Dates'!A:AE,20,0)),""))</f>
        <v xml:space="preserve"> </v>
      </c>
      <c r="F329" s="12" t="str">
        <f ca="1">IFERROR(IF(A329="","",D329-Date!$B$3),"")</f>
        <v/>
      </c>
      <c r="G329" s="20"/>
      <c r="I329" s="21" t="b">
        <f t="shared" si="15"/>
        <v>0</v>
      </c>
      <c r="J329" s="21" t="str">
        <f t="shared" si="14"/>
        <v xml:space="preserve">  </v>
      </c>
    </row>
    <row r="330" spans="1:10" ht="23.25" hidden="1" x14ac:dyDescent="0.25">
      <c r="A330" s="12">
        <f>'Drawing Submittal'!A330</f>
        <v>0</v>
      </c>
      <c r="B330" s="13" t="str">
        <f>_xlfn.IFNA(VLOOKUP(A330,'Date Calcs'!A:AG,2,),"")</f>
        <v/>
      </c>
      <c r="C330" s="14" t="str">
        <f>_xlfn.IFNA(VLOOKUP(A330,'Actual Dates'!A:AE,6,),"")</f>
        <v xml:space="preserve">  </v>
      </c>
      <c r="D330" s="15" t="str">
        <f>IF(C330="  ","  ",IF(C330=0,VLOOKUP(A330,'Date Calcs'!A:AG,9,),IF(C330=1,VLOOKUP(A330,'Date Calcs'!A:AG,11,),IF(C330=2,VLOOKUP(A330,'Date Calcs'!A:AG,13,),IF(C330=3,VLOOKUP(A330,'Date Calcs'!A:AG,15,),4)))))</f>
        <v xml:space="preserve">  </v>
      </c>
      <c r="E330" s="15" t="str">
        <f>IF(_xlfn.IFNA(IF(D330="  "," ",VLOOKUP(A330,'Actual Dates'!A:AE,20,0)),"")&lt;1,"-",_xlfn.IFNA(IF(D330="  "," ",VLOOKUP(A330,'Actual Dates'!A:AE,20,0)),""))</f>
        <v xml:space="preserve"> </v>
      </c>
      <c r="F330" s="12" t="str">
        <f ca="1">IFERROR(IF(A330="","",D330-Date!$B$3),"")</f>
        <v/>
      </c>
      <c r="G330" s="20"/>
      <c r="I330" s="21" t="b">
        <f t="shared" si="15"/>
        <v>0</v>
      </c>
      <c r="J330" s="21" t="str">
        <f t="shared" si="14"/>
        <v xml:space="preserve">  </v>
      </c>
    </row>
    <row r="331" spans="1:10" ht="23.25" hidden="1" x14ac:dyDescent="0.25">
      <c r="A331" s="12">
        <f>'Drawing Submittal'!A331</f>
        <v>0</v>
      </c>
      <c r="B331" s="13" t="str">
        <f>_xlfn.IFNA(VLOOKUP(A331,'Date Calcs'!A:AG,2,),"")</f>
        <v/>
      </c>
      <c r="C331" s="14" t="str">
        <f>_xlfn.IFNA(VLOOKUP(A331,'Actual Dates'!A:AE,6,),"")</f>
        <v xml:space="preserve">  </v>
      </c>
      <c r="D331" s="15" t="str">
        <f>IF(C331="  ","  ",IF(C331=0,VLOOKUP(A331,'Date Calcs'!A:AG,9,),IF(C331=1,VLOOKUP(A331,'Date Calcs'!A:AG,11,),IF(C331=2,VLOOKUP(A331,'Date Calcs'!A:AG,13,),IF(C331=3,VLOOKUP(A331,'Date Calcs'!A:AG,15,),4)))))</f>
        <v xml:space="preserve">  </v>
      </c>
      <c r="E331" s="15" t="str">
        <f>IF(_xlfn.IFNA(IF(D331="  "," ",VLOOKUP(A331,'Actual Dates'!A:AE,20,0)),"")&lt;1,"-",_xlfn.IFNA(IF(D331="  "," ",VLOOKUP(A331,'Actual Dates'!A:AE,20,0)),""))</f>
        <v xml:space="preserve"> </v>
      </c>
      <c r="F331" s="12" t="str">
        <f ca="1">IFERROR(IF(A331="","",D331-Date!$B$3),"")</f>
        <v/>
      </c>
      <c r="G331" s="20"/>
      <c r="I331" s="21" t="b">
        <f t="shared" si="15"/>
        <v>0</v>
      </c>
      <c r="J331" s="21" t="str">
        <f t="shared" si="14"/>
        <v xml:space="preserve">  </v>
      </c>
    </row>
    <row r="332" spans="1:10" ht="23.25" hidden="1" x14ac:dyDescent="0.25">
      <c r="A332" s="12">
        <f>'Drawing Submittal'!A332</f>
        <v>0</v>
      </c>
      <c r="B332" s="13" t="str">
        <f>_xlfn.IFNA(VLOOKUP(A332,'Date Calcs'!A:AG,2,),"")</f>
        <v/>
      </c>
      <c r="C332" s="14" t="str">
        <f>_xlfn.IFNA(VLOOKUP(A332,'Actual Dates'!A:AE,6,),"")</f>
        <v xml:space="preserve">  </v>
      </c>
      <c r="D332" s="15" t="str">
        <f>IF(C332="  ","  ",IF(C332=0,VLOOKUP(A332,'Date Calcs'!A:AG,9,),IF(C332=1,VLOOKUP(A332,'Date Calcs'!A:AG,11,),IF(C332=2,VLOOKUP(A332,'Date Calcs'!A:AG,13,),IF(C332=3,VLOOKUP(A332,'Date Calcs'!A:AG,15,),4)))))</f>
        <v xml:space="preserve">  </v>
      </c>
      <c r="E332" s="15" t="str">
        <f>IF(_xlfn.IFNA(IF(D332="  "," ",VLOOKUP(A332,'Actual Dates'!A:AE,20,0)),"")&lt;1,"-",_xlfn.IFNA(IF(D332="  "," ",VLOOKUP(A332,'Actual Dates'!A:AE,20,0)),""))</f>
        <v xml:space="preserve"> </v>
      </c>
      <c r="F332" s="12" t="str">
        <f ca="1">IFERROR(IF(A332="","",D332-Date!$B$3),"")</f>
        <v/>
      </c>
      <c r="G332" s="20"/>
      <c r="I332" s="21" t="b">
        <f t="shared" si="15"/>
        <v>0</v>
      </c>
      <c r="J332" s="21" t="str">
        <f t="shared" si="14"/>
        <v xml:space="preserve">  </v>
      </c>
    </row>
    <row r="333" spans="1:10" ht="23.25" hidden="1" x14ac:dyDescent="0.25">
      <c r="A333" s="12">
        <f>'Drawing Submittal'!A333</f>
        <v>0</v>
      </c>
      <c r="B333" s="13" t="str">
        <f>_xlfn.IFNA(VLOOKUP(A333,'Date Calcs'!A:AG,2,),"")</f>
        <v/>
      </c>
      <c r="C333" s="14" t="str">
        <f>_xlfn.IFNA(VLOOKUP(A333,'Actual Dates'!A:AE,6,),"")</f>
        <v xml:space="preserve">  </v>
      </c>
      <c r="D333" s="15" t="str">
        <f>IF(C333="  ","  ",IF(C333=0,VLOOKUP(A333,'Date Calcs'!A:AG,9,),IF(C333=1,VLOOKUP(A333,'Date Calcs'!A:AG,11,),IF(C333=2,VLOOKUP(A333,'Date Calcs'!A:AG,13,),IF(C333=3,VLOOKUP(A333,'Date Calcs'!A:AG,15,),4)))))</f>
        <v xml:space="preserve">  </v>
      </c>
      <c r="E333" s="15" t="str">
        <f>IF(_xlfn.IFNA(IF(D333="  "," ",VLOOKUP(A333,'Actual Dates'!A:AE,20,0)),"")&lt;1,"-",_xlfn.IFNA(IF(D333="  "," ",VLOOKUP(A333,'Actual Dates'!A:AE,20,0)),""))</f>
        <v xml:space="preserve"> </v>
      </c>
      <c r="F333" s="12" t="str">
        <f ca="1">IFERROR(IF(A333="","",D333-Date!$B$3),"")</f>
        <v/>
      </c>
      <c r="G333" s="20"/>
      <c r="I333" s="21" t="b">
        <f t="shared" si="15"/>
        <v>0</v>
      </c>
      <c r="J333" s="21" t="str">
        <f t="shared" si="14"/>
        <v xml:space="preserve">  </v>
      </c>
    </row>
    <row r="334" spans="1:10" ht="23.25" hidden="1" x14ac:dyDescent="0.25">
      <c r="A334" s="12">
        <f>'Drawing Submittal'!A334</f>
        <v>0</v>
      </c>
      <c r="B334" s="13" t="str">
        <f>_xlfn.IFNA(VLOOKUP(A334,'Date Calcs'!A:AG,2,),"")</f>
        <v/>
      </c>
      <c r="C334" s="14" t="str">
        <f>_xlfn.IFNA(VLOOKUP(A334,'Actual Dates'!A:AE,6,),"")</f>
        <v xml:space="preserve">  </v>
      </c>
      <c r="D334" s="15" t="str">
        <f>IF(C334="  ","  ",IF(C334=0,VLOOKUP(A334,'Date Calcs'!A:AG,9,),IF(C334=1,VLOOKUP(A334,'Date Calcs'!A:AG,11,),IF(C334=2,VLOOKUP(A334,'Date Calcs'!A:AG,13,),IF(C334=3,VLOOKUP(A334,'Date Calcs'!A:AG,15,),4)))))</f>
        <v xml:space="preserve">  </v>
      </c>
      <c r="E334" s="15" t="str">
        <f>IF(_xlfn.IFNA(IF(D334="  "," ",VLOOKUP(A334,'Actual Dates'!A:AE,20,0)),"")&lt;1,"-",_xlfn.IFNA(IF(D334="  "," ",VLOOKUP(A334,'Actual Dates'!A:AE,20,0)),""))</f>
        <v xml:space="preserve"> </v>
      </c>
      <c r="F334" s="12" t="str">
        <f ca="1">IFERROR(IF(A334="","",D334-Date!$B$3),"")</f>
        <v/>
      </c>
      <c r="G334" s="20"/>
      <c r="I334" s="21" t="b">
        <f t="shared" si="15"/>
        <v>0</v>
      </c>
      <c r="J334" s="21" t="str">
        <f t="shared" si="14"/>
        <v xml:space="preserve">  </v>
      </c>
    </row>
    <row r="335" spans="1:10" ht="23.25" hidden="1" x14ac:dyDescent="0.25">
      <c r="A335" s="12">
        <f>'Drawing Submittal'!A335</f>
        <v>0</v>
      </c>
      <c r="B335" s="13" t="str">
        <f>_xlfn.IFNA(VLOOKUP(A335,'Date Calcs'!A:AG,2,),"")</f>
        <v/>
      </c>
      <c r="C335" s="14" t="str">
        <f>_xlfn.IFNA(VLOOKUP(A335,'Actual Dates'!A:AE,6,),"")</f>
        <v xml:space="preserve">  </v>
      </c>
      <c r="D335" s="15" t="str">
        <f>IF(C335="  ","  ",IF(C335=0,VLOOKUP(A335,'Date Calcs'!A:AG,9,),IF(C335=1,VLOOKUP(A335,'Date Calcs'!A:AG,11,),IF(C335=2,VLOOKUP(A335,'Date Calcs'!A:AG,13,),IF(C335=3,VLOOKUP(A335,'Date Calcs'!A:AG,15,),4)))))</f>
        <v xml:space="preserve">  </v>
      </c>
      <c r="E335" s="15" t="str">
        <f>IF(_xlfn.IFNA(IF(D335="  "," ",VLOOKUP(A335,'Actual Dates'!A:AE,20,0)),"")&lt;1,"-",_xlfn.IFNA(IF(D335="  "," ",VLOOKUP(A335,'Actual Dates'!A:AE,20,0)),""))</f>
        <v xml:space="preserve"> </v>
      </c>
      <c r="F335" s="12" t="str">
        <f ca="1">IFERROR(IF(A335="","",D335-Date!$B$3),"")</f>
        <v/>
      </c>
      <c r="G335" s="20"/>
      <c r="I335" s="21" t="b">
        <f t="shared" si="15"/>
        <v>0</v>
      </c>
      <c r="J335" s="21" t="str">
        <f t="shared" si="14"/>
        <v xml:space="preserve">  </v>
      </c>
    </row>
    <row r="336" spans="1:10" ht="23.25" hidden="1" x14ac:dyDescent="0.25">
      <c r="A336" s="12">
        <f>'Drawing Submittal'!A336</f>
        <v>0</v>
      </c>
      <c r="B336" s="13" t="str">
        <f>_xlfn.IFNA(VLOOKUP(A336,'Date Calcs'!A:AG,2,),"")</f>
        <v/>
      </c>
      <c r="C336" s="14" t="str">
        <f>_xlfn.IFNA(VLOOKUP(A336,'Actual Dates'!A:AE,6,),"")</f>
        <v xml:space="preserve">  </v>
      </c>
      <c r="D336" s="15" t="str">
        <f>IF(C336="  ","  ",IF(C336=0,VLOOKUP(A336,'Date Calcs'!A:AG,9,),IF(C336=1,VLOOKUP(A336,'Date Calcs'!A:AG,11,),IF(C336=2,VLOOKUP(A336,'Date Calcs'!A:AG,13,),IF(C336=3,VLOOKUP(A336,'Date Calcs'!A:AG,15,),4)))))</f>
        <v xml:space="preserve">  </v>
      </c>
      <c r="E336" s="15" t="str">
        <f>IF(_xlfn.IFNA(IF(D336="  "," ",VLOOKUP(A336,'Actual Dates'!A:AE,20,0)),"")&lt;1,"-",_xlfn.IFNA(IF(D336="  "," ",VLOOKUP(A336,'Actual Dates'!A:AE,20,0)),""))</f>
        <v xml:space="preserve"> </v>
      </c>
      <c r="F336" s="12" t="str">
        <f ca="1">IFERROR(IF(A336="","",D336-Date!$B$3),"")</f>
        <v/>
      </c>
      <c r="G336" s="20"/>
      <c r="I336" s="21" t="b">
        <f t="shared" si="15"/>
        <v>0</v>
      </c>
      <c r="J336" s="21" t="str">
        <f t="shared" si="14"/>
        <v xml:space="preserve">  </v>
      </c>
    </row>
    <row r="337" spans="1:10" ht="23.25" hidden="1" x14ac:dyDescent="0.25">
      <c r="A337" s="12">
        <f>'Drawing Submittal'!A337</f>
        <v>0</v>
      </c>
      <c r="B337" s="13" t="str">
        <f>_xlfn.IFNA(VLOOKUP(A337,'Date Calcs'!A:AG,2,),"")</f>
        <v/>
      </c>
      <c r="C337" s="14" t="str">
        <f>_xlfn.IFNA(VLOOKUP(A337,'Actual Dates'!A:AE,6,),"")</f>
        <v xml:space="preserve">  </v>
      </c>
      <c r="D337" s="15" t="str">
        <f>IF(C337="  ","  ",IF(C337=0,VLOOKUP(A337,'Date Calcs'!A:AG,9,),IF(C337=1,VLOOKUP(A337,'Date Calcs'!A:AG,11,),IF(C337=2,VLOOKUP(A337,'Date Calcs'!A:AG,13,),IF(C337=3,VLOOKUP(A337,'Date Calcs'!A:AG,15,),4)))))</f>
        <v xml:space="preserve">  </v>
      </c>
      <c r="E337" s="15" t="str">
        <f>IF(_xlfn.IFNA(IF(D337="  "," ",VLOOKUP(A337,'Actual Dates'!A:AE,20,0)),"")&lt;1,"-",_xlfn.IFNA(IF(D337="  "," ",VLOOKUP(A337,'Actual Dates'!A:AE,20,0)),""))</f>
        <v xml:space="preserve"> </v>
      </c>
      <c r="F337" s="12" t="str">
        <f ca="1">IFERROR(IF(A337="","",D337-Date!$B$3),"")</f>
        <v/>
      </c>
      <c r="G337" s="20"/>
      <c r="I337" s="21" t="b">
        <f t="shared" si="15"/>
        <v>0</v>
      </c>
      <c r="J337" s="21" t="str">
        <f t="shared" si="14"/>
        <v xml:space="preserve">  </v>
      </c>
    </row>
    <row r="338" spans="1:10" ht="23.25" hidden="1" x14ac:dyDescent="0.25">
      <c r="A338" s="12">
        <f>'Drawing Submittal'!A338</f>
        <v>0</v>
      </c>
      <c r="B338" s="13" t="str">
        <f>_xlfn.IFNA(VLOOKUP(A338,'Date Calcs'!A:AG,2,),"")</f>
        <v/>
      </c>
      <c r="C338" s="14" t="str">
        <f>_xlfn.IFNA(VLOOKUP(A338,'Actual Dates'!A:AE,6,),"")</f>
        <v xml:space="preserve">  </v>
      </c>
      <c r="D338" s="15" t="str">
        <f>IF(C338="  ","  ",IF(C338=0,VLOOKUP(A338,'Date Calcs'!A:AG,9,),IF(C338=1,VLOOKUP(A338,'Date Calcs'!A:AG,11,),IF(C338=2,VLOOKUP(A338,'Date Calcs'!A:AG,13,),IF(C338=3,VLOOKUP(A338,'Date Calcs'!A:AG,15,),4)))))</f>
        <v xml:space="preserve">  </v>
      </c>
      <c r="E338" s="15" t="str">
        <f>IF(_xlfn.IFNA(IF(D338="  "," ",VLOOKUP(A338,'Actual Dates'!A:AE,20,0)),"")&lt;1,"-",_xlfn.IFNA(IF(D338="  "," ",VLOOKUP(A338,'Actual Dates'!A:AE,20,0)),""))</f>
        <v xml:space="preserve"> </v>
      </c>
      <c r="F338" s="12" t="str">
        <f ca="1">IFERROR(IF(A338="","",D338-Date!$B$3),"")</f>
        <v/>
      </c>
      <c r="G338" s="20"/>
      <c r="I338" s="21" t="b">
        <f t="shared" si="15"/>
        <v>0</v>
      </c>
      <c r="J338" s="21" t="str">
        <f t="shared" si="14"/>
        <v xml:space="preserve">  </v>
      </c>
    </row>
    <row r="339" spans="1:10" ht="23.25" hidden="1" x14ac:dyDescent="0.25">
      <c r="A339" s="12">
        <f>'Drawing Submittal'!A339</f>
        <v>0</v>
      </c>
      <c r="B339" s="13" t="str">
        <f>_xlfn.IFNA(VLOOKUP(A339,'Date Calcs'!A:AG,2,),"")</f>
        <v/>
      </c>
      <c r="C339" s="14" t="str">
        <f>_xlfn.IFNA(VLOOKUP(A339,'Actual Dates'!A:AE,6,),"")</f>
        <v xml:space="preserve">  </v>
      </c>
      <c r="D339" s="15" t="str">
        <f>IF(C339="  ","  ",IF(C339=0,VLOOKUP(A339,'Date Calcs'!A:AG,9,),IF(C339=1,VLOOKUP(A339,'Date Calcs'!A:AG,11,),IF(C339=2,VLOOKUP(A339,'Date Calcs'!A:AG,13,),IF(C339=3,VLOOKUP(A339,'Date Calcs'!A:AG,15,),4)))))</f>
        <v xml:space="preserve">  </v>
      </c>
      <c r="E339" s="15" t="str">
        <f>IF(_xlfn.IFNA(IF(D339="  "," ",VLOOKUP(A339,'Actual Dates'!A:AE,20,0)),"")&lt;1,"-",_xlfn.IFNA(IF(D339="  "," ",VLOOKUP(A339,'Actual Dates'!A:AE,20,0)),""))</f>
        <v xml:space="preserve"> </v>
      </c>
      <c r="F339" s="12" t="str">
        <f ca="1">IFERROR(IF(A339="","",D339-Date!$B$3),"")</f>
        <v/>
      </c>
      <c r="G339" s="20"/>
      <c r="I339" s="21" t="b">
        <f t="shared" si="15"/>
        <v>0</v>
      </c>
      <c r="J339" s="21" t="str">
        <f t="shared" si="14"/>
        <v xml:space="preserve">  </v>
      </c>
    </row>
    <row r="340" spans="1:10" ht="23.25" hidden="1" x14ac:dyDescent="0.25">
      <c r="A340" s="12">
        <f>'Drawing Submittal'!A340</f>
        <v>0</v>
      </c>
      <c r="B340" s="13" t="str">
        <f>_xlfn.IFNA(VLOOKUP(A340,'Date Calcs'!A:AG,2,),"")</f>
        <v/>
      </c>
      <c r="C340" s="14" t="str">
        <f>_xlfn.IFNA(VLOOKUP(A340,'Actual Dates'!A:AE,6,),"")</f>
        <v xml:space="preserve">  </v>
      </c>
      <c r="D340" s="15" t="str">
        <f>IF(C340="  ","  ",IF(C340=0,VLOOKUP(A340,'Date Calcs'!A:AG,9,),IF(C340=1,VLOOKUP(A340,'Date Calcs'!A:AG,11,),IF(C340=2,VLOOKUP(A340,'Date Calcs'!A:AG,13,),IF(C340=3,VLOOKUP(A340,'Date Calcs'!A:AG,15,),4)))))</f>
        <v xml:space="preserve">  </v>
      </c>
      <c r="E340" s="15" t="str">
        <f>IF(_xlfn.IFNA(IF(D340="  "," ",VLOOKUP(A340,'Actual Dates'!A:AE,20,0)),"")&lt;1,"-",_xlfn.IFNA(IF(D340="  "," ",VLOOKUP(A340,'Actual Dates'!A:AE,20,0)),""))</f>
        <v xml:space="preserve"> </v>
      </c>
      <c r="F340" s="12" t="str">
        <f ca="1">IFERROR(IF(A340="","",D340-Date!$B$3),"")</f>
        <v/>
      </c>
      <c r="G340" s="20"/>
      <c r="I340" s="21" t="b">
        <f t="shared" si="15"/>
        <v>0</v>
      </c>
      <c r="J340" s="21" t="str">
        <f t="shared" si="14"/>
        <v xml:space="preserve">  </v>
      </c>
    </row>
    <row r="341" spans="1:10" ht="23.25" hidden="1" x14ac:dyDescent="0.25">
      <c r="A341" s="12">
        <f>'Drawing Submittal'!A341</f>
        <v>0</v>
      </c>
      <c r="B341" s="13" t="str">
        <f>_xlfn.IFNA(VLOOKUP(A341,'Date Calcs'!A:AG,2,),"")</f>
        <v/>
      </c>
      <c r="C341" s="14" t="str">
        <f>_xlfn.IFNA(VLOOKUP(A341,'Actual Dates'!A:AE,6,),"")</f>
        <v xml:space="preserve">  </v>
      </c>
      <c r="D341" s="15" t="str">
        <f>IF(C341="  ","  ",IF(C341=0,VLOOKUP(A341,'Date Calcs'!A:AG,9,),IF(C341=1,VLOOKUP(A341,'Date Calcs'!A:AG,11,),IF(C341=2,VLOOKUP(A341,'Date Calcs'!A:AG,13,),IF(C341=3,VLOOKUP(A341,'Date Calcs'!A:AG,15,),4)))))</f>
        <v xml:space="preserve">  </v>
      </c>
      <c r="E341" s="15" t="str">
        <f>IF(_xlfn.IFNA(IF(D341="  "," ",VLOOKUP(A341,'Actual Dates'!A:AE,20,0)),"")&lt;1,"-",_xlfn.IFNA(IF(D341="  "," ",VLOOKUP(A341,'Actual Dates'!A:AE,20,0)),""))</f>
        <v xml:space="preserve"> </v>
      </c>
      <c r="F341" s="12" t="str">
        <f ca="1">IFERROR(IF(A341="","",D341-Date!$B$3),"")</f>
        <v/>
      </c>
      <c r="G341" s="20"/>
      <c r="I341" s="21" t="b">
        <f t="shared" si="15"/>
        <v>0</v>
      </c>
      <c r="J341" s="21" t="str">
        <f t="shared" si="14"/>
        <v xml:space="preserve">  </v>
      </c>
    </row>
    <row r="342" spans="1:10" ht="23.25" hidden="1" x14ac:dyDescent="0.25">
      <c r="A342" s="12">
        <f>'Drawing Submittal'!A342</f>
        <v>0</v>
      </c>
      <c r="B342" s="13" t="str">
        <f>_xlfn.IFNA(VLOOKUP(A342,'Date Calcs'!A:AG,2,),"")</f>
        <v/>
      </c>
      <c r="C342" s="14" t="str">
        <f>_xlfn.IFNA(VLOOKUP(A342,'Actual Dates'!A:AE,6,),"")</f>
        <v xml:space="preserve">  </v>
      </c>
      <c r="D342" s="15" t="str">
        <f>IF(C342="  ","  ",IF(C342=0,VLOOKUP(A342,'Date Calcs'!A:AG,9,),IF(C342=1,VLOOKUP(A342,'Date Calcs'!A:AG,11,),IF(C342=2,VLOOKUP(A342,'Date Calcs'!A:AG,13,),IF(C342=3,VLOOKUP(A342,'Date Calcs'!A:AG,15,),4)))))</f>
        <v xml:space="preserve">  </v>
      </c>
      <c r="E342" s="15" t="str">
        <f>IF(_xlfn.IFNA(IF(D342="  "," ",VLOOKUP(A342,'Actual Dates'!A:AE,20,0)),"")&lt;1,"-",_xlfn.IFNA(IF(D342="  "," ",VLOOKUP(A342,'Actual Dates'!A:AE,20,0)),""))</f>
        <v xml:space="preserve"> </v>
      </c>
      <c r="F342" s="12" t="str">
        <f ca="1">IFERROR(IF(A342="","",D342-Date!$B$3),"")</f>
        <v/>
      </c>
      <c r="G342" s="20"/>
      <c r="I342" s="21" t="b">
        <f t="shared" si="15"/>
        <v>0</v>
      </c>
      <c r="J342" s="21" t="str">
        <f t="shared" si="14"/>
        <v xml:space="preserve">  </v>
      </c>
    </row>
    <row r="343" spans="1:10" ht="23.25" hidden="1" x14ac:dyDescent="0.25">
      <c r="A343" s="12">
        <f>'Drawing Submittal'!A343</f>
        <v>0</v>
      </c>
      <c r="B343" s="13" t="str">
        <f>_xlfn.IFNA(VLOOKUP(A343,'Date Calcs'!A:AG,2,),"")</f>
        <v/>
      </c>
      <c r="C343" s="14" t="str">
        <f>_xlfn.IFNA(VLOOKUP(A343,'Actual Dates'!A:AE,6,),"")</f>
        <v xml:space="preserve">  </v>
      </c>
      <c r="D343" s="15" t="str">
        <f>IF(C343="  ","  ",IF(C343=0,VLOOKUP(A343,'Date Calcs'!A:AG,9,),IF(C343=1,VLOOKUP(A343,'Date Calcs'!A:AG,11,),IF(C343=2,VLOOKUP(A343,'Date Calcs'!A:AG,13,),IF(C343=3,VLOOKUP(A343,'Date Calcs'!A:AG,15,),4)))))</f>
        <v xml:space="preserve">  </v>
      </c>
      <c r="E343" s="15" t="str">
        <f>IF(_xlfn.IFNA(IF(D343="  "," ",VLOOKUP(A343,'Actual Dates'!A:AE,20,0)),"")&lt;1,"-",_xlfn.IFNA(IF(D343="  "," ",VLOOKUP(A343,'Actual Dates'!A:AE,20,0)),""))</f>
        <v xml:space="preserve"> </v>
      </c>
      <c r="F343" s="12" t="str">
        <f ca="1">IFERROR(IF(A343="","",D343-Date!$B$3),"")</f>
        <v/>
      </c>
      <c r="G343" s="20"/>
      <c r="I343" s="21" t="b">
        <f t="shared" si="15"/>
        <v>0</v>
      </c>
      <c r="J343" s="21" t="str">
        <f t="shared" si="14"/>
        <v xml:space="preserve">  </v>
      </c>
    </row>
    <row r="344" spans="1:10" ht="23.25" hidden="1" x14ac:dyDescent="0.25">
      <c r="A344" s="12">
        <f>'Drawing Submittal'!A344</f>
        <v>0</v>
      </c>
      <c r="B344" s="13" t="str">
        <f>_xlfn.IFNA(VLOOKUP(A344,'Date Calcs'!A:AG,2,),"")</f>
        <v/>
      </c>
      <c r="C344" s="14" t="str">
        <f>_xlfn.IFNA(VLOOKUP(A344,'Actual Dates'!A:AE,6,),"")</f>
        <v xml:space="preserve">  </v>
      </c>
      <c r="D344" s="15" t="str">
        <f>IF(C344="  ","  ",IF(C344=0,VLOOKUP(A344,'Date Calcs'!A:AG,9,),IF(C344=1,VLOOKUP(A344,'Date Calcs'!A:AG,11,),IF(C344=2,VLOOKUP(A344,'Date Calcs'!A:AG,13,),IF(C344=3,VLOOKUP(A344,'Date Calcs'!A:AG,15,),4)))))</f>
        <v xml:space="preserve">  </v>
      </c>
      <c r="E344" s="15" t="str">
        <f>IF(_xlfn.IFNA(IF(D344="  "," ",VLOOKUP(A344,'Actual Dates'!A:AE,20,0)),"")&lt;1,"-",_xlfn.IFNA(IF(D344="  "," ",VLOOKUP(A344,'Actual Dates'!A:AE,20,0)),""))</f>
        <v xml:space="preserve"> </v>
      </c>
      <c r="F344" s="12" t="str">
        <f ca="1">IFERROR(IF(A344="","",D344-Date!$B$3),"")</f>
        <v/>
      </c>
      <c r="G344" s="20"/>
      <c r="I344" s="21" t="b">
        <f t="shared" si="15"/>
        <v>0</v>
      </c>
      <c r="J344" s="21" t="str">
        <f t="shared" si="14"/>
        <v xml:space="preserve">  </v>
      </c>
    </row>
    <row r="345" spans="1:10" ht="23.25" hidden="1" x14ac:dyDescent="0.25">
      <c r="A345" s="12">
        <f>'Drawing Submittal'!A345</f>
        <v>0</v>
      </c>
      <c r="B345" s="13" t="str">
        <f>_xlfn.IFNA(VLOOKUP(A345,'Date Calcs'!A:AG,2,),"")</f>
        <v/>
      </c>
      <c r="C345" s="14" t="str">
        <f>_xlfn.IFNA(VLOOKUP(A345,'Actual Dates'!A:AE,6,),"")</f>
        <v xml:space="preserve">  </v>
      </c>
      <c r="D345" s="15" t="str">
        <f>IF(C345="  ","  ",IF(C345=0,VLOOKUP(A345,'Date Calcs'!A:AG,9,),IF(C345=1,VLOOKUP(A345,'Date Calcs'!A:AG,11,),IF(C345=2,VLOOKUP(A345,'Date Calcs'!A:AG,13,),IF(C345=3,VLOOKUP(A345,'Date Calcs'!A:AG,15,),4)))))</f>
        <v xml:space="preserve">  </v>
      </c>
      <c r="E345" s="15" t="str">
        <f>IF(_xlfn.IFNA(IF(D345="  "," ",VLOOKUP(A345,'Actual Dates'!A:AE,20,0)),"")&lt;1,"-",_xlfn.IFNA(IF(D345="  "," ",VLOOKUP(A345,'Actual Dates'!A:AE,20,0)),""))</f>
        <v xml:space="preserve"> </v>
      </c>
      <c r="F345" s="12" t="str">
        <f ca="1">IFERROR(IF(A345="","",D345-Date!$B$3),"")</f>
        <v/>
      </c>
      <c r="G345" s="20"/>
      <c r="I345" s="21" t="b">
        <f t="shared" si="15"/>
        <v>0</v>
      </c>
      <c r="J345" s="21" t="str">
        <f t="shared" si="14"/>
        <v xml:space="preserve">  </v>
      </c>
    </row>
    <row r="346" spans="1:10" ht="23.25" hidden="1" x14ac:dyDescent="0.25">
      <c r="A346" s="12">
        <f>'Drawing Submittal'!A346</f>
        <v>0</v>
      </c>
      <c r="B346" s="13" t="str">
        <f>_xlfn.IFNA(VLOOKUP(A346,'Date Calcs'!A:AG,2,),"")</f>
        <v/>
      </c>
      <c r="C346" s="14" t="str">
        <f>_xlfn.IFNA(VLOOKUP(A346,'Actual Dates'!A:AE,6,),"")</f>
        <v xml:space="preserve">  </v>
      </c>
      <c r="D346" s="15" t="str">
        <f>IF(C346="  ","  ",IF(C346=0,VLOOKUP(A346,'Date Calcs'!A:AG,9,),IF(C346=1,VLOOKUP(A346,'Date Calcs'!A:AG,11,),IF(C346=2,VLOOKUP(A346,'Date Calcs'!A:AG,13,),IF(C346=3,VLOOKUP(A346,'Date Calcs'!A:AG,15,),4)))))</f>
        <v xml:space="preserve">  </v>
      </c>
      <c r="E346" s="15" t="str">
        <f>IF(_xlfn.IFNA(IF(D346="  "," ",VLOOKUP(A346,'Actual Dates'!A:AE,20,0)),"")&lt;1,"-",_xlfn.IFNA(IF(D346="  "," ",VLOOKUP(A346,'Actual Dates'!A:AE,20,0)),""))</f>
        <v xml:space="preserve"> </v>
      </c>
      <c r="F346" s="12" t="str">
        <f ca="1">IFERROR(IF(A346="","",D346-Date!$B$3),"")</f>
        <v/>
      </c>
      <c r="G346" s="20"/>
      <c r="I346" s="21" t="b">
        <f t="shared" si="15"/>
        <v>0</v>
      </c>
      <c r="J346" s="21" t="str">
        <f t="shared" si="14"/>
        <v xml:space="preserve">  </v>
      </c>
    </row>
    <row r="347" spans="1:10" ht="23.25" hidden="1" x14ac:dyDescent="0.25">
      <c r="A347" s="12">
        <f>'Drawing Submittal'!A347</f>
        <v>0</v>
      </c>
      <c r="B347" s="13" t="str">
        <f>_xlfn.IFNA(VLOOKUP(A347,'Date Calcs'!A:AG,2,),"")</f>
        <v/>
      </c>
      <c r="C347" s="14" t="str">
        <f>_xlfn.IFNA(VLOOKUP(A347,'Actual Dates'!A:AE,6,),"")</f>
        <v xml:space="preserve">  </v>
      </c>
      <c r="D347" s="15" t="str">
        <f>IF(C347="  ","  ",IF(C347=0,VLOOKUP(A347,'Date Calcs'!A:AG,9,),IF(C347=1,VLOOKUP(A347,'Date Calcs'!A:AG,11,),IF(C347=2,VLOOKUP(A347,'Date Calcs'!A:AG,13,),IF(C347=3,VLOOKUP(A347,'Date Calcs'!A:AG,15,),4)))))</f>
        <v xml:space="preserve">  </v>
      </c>
      <c r="E347" s="15" t="str">
        <f>IF(_xlfn.IFNA(IF(D347="  "," ",VLOOKUP(A347,'Actual Dates'!A:AE,20,0)),"")&lt;1,"-",_xlfn.IFNA(IF(D347="  "," ",VLOOKUP(A347,'Actual Dates'!A:AE,20,0)),""))</f>
        <v xml:space="preserve"> </v>
      </c>
      <c r="F347" s="12" t="str">
        <f ca="1">IFERROR(IF(A347="","",D347-Date!$B$3),"")</f>
        <v/>
      </c>
      <c r="G347" s="20"/>
      <c r="I347" s="21" t="b">
        <f t="shared" si="15"/>
        <v>0</v>
      </c>
      <c r="J347" s="21" t="str">
        <f t="shared" si="14"/>
        <v xml:space="preserve">  </v>
      </c>
    </row>
    <row r="348" spans="1:10" ht="23.25" hidden="1" x14ac:dyDescent="0.25">
      <c r="A348" s="12">
        <f>'Drawing Submittal'!A348</f>
        <v>0</v>
      </c>
      <c r="B348" s="13" t="str">
        <f>_xlfn.IFNA(VLOOKUP(A348,'Date Calcs'!A:AG,2,),"")</f>
        <v/>
      </c>
      <c r="C348" s="14" t="str">
        <f>_xlfn.IFNA(VLOOKUP(A348,'Actual Dates'!A:AE,6,),"")</f>
        <v xml:space="preserve">  </v>
      </c>
      <c r="D348" s="15" t="str">
        <f>IF(C348="  ","  ",IF(C348=0,VLOOKUP(A348,'Date Calcs'!A:AG,9,),IF(C348=1,VLOOKUP(A348,'Date Calcs'!A:AG,11,),IF(C348=2,VLOOKUP(A348,'Date Calcs'!A:AG,13,),IF(C348=3,VLOOKUP(A348,'Date Calcs'!A:AG,15,),4)))))</f>
        <v xml:space="preserve">  </v>
      </c>
      <c r="E348" s="15" t="str">
        <f>IF(_xlfn.IFNA(IF(D348="  "," ",VLOOKUP(A348,'Actual Dates'!A:AE,20,0)),"")&lt;1,"-",_xlfn.IFNA(IF(D348="  "," ",VLOOKUP(A348,'Actual Dates'!A:AE,20,0)),""))</f>
        <v xml:space="preserve"> </v>
      </c>
      <c r="F348" s="12" t="str">
        <f ca="1">IFERROR(IF(A348="","",D348-Date!$B$3),"")</f>
        <v/>
      </c>
      <c r="G348" s="20"/>
      <c r="I348" s="21" t="b">
        <f t="shared" si="15"/>
        <v>0</v>
      </c>
      <c r="J348" s="21" t="str">
        <f t="shared" si="14"/>
        <v xml:space="preserve">  </v>
      </c>
    </row>
    <row r="349" spans="1:10" ht="23.25" hidden="1" x14ac:dyDescent="0.25">
      <c r="A349" s="12">
        <f>'Drawing Submittal'!A349</f>
        <v>0</v>
      </c>
      <c r="B349" s="13" t="str">
        <f>_xlfn.IFNA(VLOOKUP(A349,'Date Calcs'!A:AG,2,),"")</f>
        <v/>
      </c>
      <c r="C349" s="14" t="str">
        <f>_xlfn.IFNA(VLOOKUP(A349,'Actual Dates'!A:AE,6,),"")</f>
        <v xml:space="preserve">  </v>
      </c>
      <c r="D349" s="15" t="str">
        <f>IF(C349="  ","  ",IF(C349=0,VLOOKUP(A349,'Date Calcs'!A:AG,9,),IF(C349=1,VLOOKUP(A349,'Date Calcs'!A:AG,11,),IF(C349=2,VLOOKUP(A349,'Date Calcs'!A:AG,13,),IF(C349=3,VLOOKUP(A349,'Date Calcs'!A:AG,15,),4)))))</f>
        <v xml:space="preserve">  </v>
      </c>
      <c r="E349" s="15" t="str">
        <f>IF(_xlfn.IFNA(IF(D349="  "," ",VLOOKUP(A349,'Actual Dates'!A:AE,20,0)),"")&lt;1,"-",_xlfn.IFNA(IF(D349="  "," ",VLOOKUP(A349,'Actual Dates'!A:AE,20,0)),""))</f>
        <v xml:space="preserve"> </v>
      </c>
      <c r="F349" s="12" t="str">
        <f ca="1">IFERROR(IF(A349="","",D349-Date!$B$3),"")</f>
        <v/>
      </c>
      <c r="G349" s="20"/>
      <c r="I349" s="21" t="b">
        <f t="shared" si="15"/>
        <v>0</v>
      </c>
      <c r="J349" s="21" t="str">
        <f t="shared" si="14"/>
        <v xml:space="preserve">  </v>
      </c>
    </row>
    <row r="350" spans="1:10" ht="23.25" hidden="1" x14ac:dyDescent="0.25">
      <c r="A350" s="12">
        <f>'Drawing Submittal'!A350</f>
        <v>0</v>
      </c>
      <c r="B350" s="13" t="str">
        <f>_xlfn.IFNA(VLOOKUP(A350,'Date Calcs'!A:AG,2,),"")</f>
        <v/>
      </c>
      <c r="C350" s="14" t="str">
        <f>_xlfn.IFNA(VLOOKUP(A350,'Actual Dates'!A:AE,6,),"")</f>
        <v xml:space="preserve">  </v>
      </c>
      <c r="D350" s="15" t="str">
        <f>IF(C350="  ","  ",IF(C350=0,VLOOKUP(A350,'Date Calcs'!A:AG,9,),IF(C350=1,VLOOKUP(A350,'Date Calcs'!A:AG,11,),IF(C350=2,VLOOKUP(A350,'Date Calcs'!A:AG,13,),IF(C350=3,VLOOKUP(A350,'Date Calcs'!A:AG,15,),4)))))</f>
        <v xml:space="preserve">  </v>
      </c>
      <c r="E350" s="15" t="str">
        <f>IF(_xlfn.IFNA(IF(D350="  "," ",VLOOKUP(A350,'Actual Dates'!A:AE,20,0)),"")&lt;1,"-",_xlfn.IFNA(IF(D350="  "," ",VLOOKUP(A350,'Actual Dates'!A:AE,20,0)),""))</f>
        <v xml:space="preserve"> </v>
      </c>
      <c r="F350" s="12" t="str">
        <f ca="1">IFERROR(IF(A350="","",D350-Date!$B$3),"")</f>
        <v/>
      </c>
      <c r="G350" s="20"/>
      <c r="I350" s="21" t="b">
        <f t="shared" si="15"/>
        <v>0</v>
      </c>
      <c r="J350" s="21" t="str">
        <f t="shared" si="14"/>
        <v xml:space="preserve">  </v>
      </c>
    </row>
    <row r="351" spans="1:10" ht="23.25" hidden="1" x14ac:dyDescent="0.25">
      <c r="A351" s="12">
        <f>'Drawing Submittal'!A351</f>
        <v>0</v>
      </c>
      <c r="B351" s="13" t="str">
        <f>_xlfn.IFNA(VLOOKUP(A351,'Date Calcs'!A:AG,2,),"")</f>
        <v/>
      </c>
      <c r="C351" s="14" t="str">
        <f>_xlfn.IFNA(VLOOKUP(A351,'Actual Dates'!A:AE,6,),"")</f>
        <v xml:space="preserve">  </v>
      </c>
      <c r="D351" s="15" t="str">
        <f>IF(C351="  ","  ",IF(C351=0,VLOOKUP(A351,'Date Calcs'!A:AG,9,),IF(C351=1,VLOOKUP(A351,'Date Calcs'!A:AG,11,),IF(C351=2,VLOOKUP(A351,'Date Calcs'!A:AG,13,),IF(C351=3,VLOOKUP(A351,'Date Calcs'!A:AG,15,),4)))))</f>
        <v xml:space="preserve">  </v>
      </c>
      <c r="E351" s="15" t="str">
        <f>IF(_xlfn.IFNA(IF(D351="  "," ",VLOOKUP(A351,'Actual Dates'!A:AE,20,0)),"")&lt;1,"-",_xlfn.IFNA(IF(D351="  "," ",VLOOKUP(A351,'Actual Dates'!A:AE,20,0)),""))</f>
        <v xml:space="preserve"> </v>
      </c>
      <c r="F351" s="12" t="str">
        <f ca="1">IFERROR(IF(A351="","",D351-Date!$B$3),"")</f>
        <v/>
      </c>
      <c r="G351" s="20"/>
      <c r="I351" s="21" t="b">
        <f t="shared" si="15"/>
        <v>0</v>
      </c>
      <c r="J351" s="21" t="str">
        <f t="shared" si="14"/>
        <v xml:space="preserve">  </v>
      </c>
    </row>
    <row r="352" spans="1:10" ht="23.25" hidden="1" x14ac:dyDescent="0.25">
      <c r="A352" s="12">
        <f>'Drawing Submittal'!A352</f>
        <v>0</v>
      </c>
      <c r="B352" s="13" t="str">
        <f>_xlfn.IFNA(VLOOKUP(A352,'Date Calcs'!A:AG,2,),"")</f>
        <v/>
      </c>
      <c r="C352" s="14" t="str">
        <f>_xlfn.IFNA(VLOOKUP(A352,'Actual Dates'!A:AE,6,),"")</f>
        <v xml:space="preserve">  </v>
      </c>
      <c r="D352" s="15" t="str">
        <f>IF(C352="  ","  ",IF(C352=0,VLOOKUP(A352,'Date Calcs'!A:AG,9,),IF(C352=1,VLOOKUP(A352,'Date Calcs'!A:AG,11,),IF(C352=2,VLOOKUP(A352,'Date Calcs'!A:AG,13,),IF(C352=3,VLOOKUP(A352,'Date Calcs'!A:AG,15,),4)))))</f>
        <v xml:space="preserve">  </v>
      </c>
      <c r="E352" s="15" t="str">
        <f>IF(_xlfn.IFNA(IF(D352="  "," ",VLOOKUP(A352,'Actual Dates'!A:AE,20,0)),"")&lt;1,"-",_xlfn.IFNA(IF(D352="  "," ",VLOOKUP(A352,'Actual Dates'!A:AE,20,0)),""))</f>
        <v xml:space="preserve"> </v>
      </c>
      <c r="F352" s="12" t="str">
        <f ca="1">IFERROR(IF(A352="","",D352-Date!$B$3),"")</f>
        <v/>
      </c>
      <c r="G352" s="20"/>
      <c r="I352" s="21" t="b">
        <f t="shared" si="15"/>
        <v>0</v>
      </c>
      <c r="J352" s="21" t="str">
        <f t="shared" si="14"/>
        <v xml:space="preserve">  </v>
      </c>
    </row>
    <row r="353" spans="1:10" ht="23.25" hidden="1" x14ac:dyDescent="0.25">
      <c r="A353" s="12">
        <f>'Drawing Submittal'!A353</f>
        <v>0</v>
      </c>
      <c r="B353" s="13" t="str">
        <f>_xlfn.IFNA(VLOOKUP(A353,'Date Calcs'!A:AG,2,),"")</f>
        <v/>
      </c>
      <c r="C353" s="14" t="str">
        <f>_xlfn.IFNA(VLOOKUP(A353,'Actual Dates'!A:AE,6,),"")</f>
        <v xml:space="preserve">  </v>
      </c>
      <c r="D353" s="15" t="str">
        <f>IF(C353="  ","  ",IF(C353=0,VLOOKUP(A353,'Date Calcs'!A:AG,9,),IF(C353=1,VLOOKUP(A353,'Date Calcs'!A:AG,11,),IF(C353=2,VLOOKUP(A353,'Date Calcs'!A:AG,13,),IF(C353=3,VLOOKUP(A353,'Date Calcs'!A:AG,15,),4)))))</f>
        <v xml:space="preserve">  </v>
      </c>
      <c r="E353" s="15" t="str">
        <f>IF(_xlfn.IFNA(IF(D353="  "," ",VLOOKUP(A353,'Actual Dates'!A:AE,20,0)),"")&lt;1,"-",_xlfn.IFNA(IF(D353="  "," ",VLOOKUP(A353,'Actual Dates'!A:AE,20,0)),""))</f>
        <v xml:space="preserve"> </v>
      </c>
      <c r="F353" s="12" t="str">
        <f ca="1">IFERROR(IF(A353="","",D353-Date!$B$3),"")</f>
        <v/>
      </c>
      <c r="G353" s="20"/>
      <c r="I353" s="21" t="b">
        <f t="shared" si="15"/>
        <v>0</v>
      </c>
      <c r="J353" s="21" t="str">
        <f t="shared" si="14"/>
        <v xml:space="preserve">  </v>
      </c>
    </row>
    <row r="354" spans="1:10" ht="23.25" hidden="1" x14ac:dyDescent="0.25">
      <c r="A354" s="12">
        <f>'Drawing Submittal'!A354</f>
        <v>0</v>
      </c>
      <c r="B354" s="13" t="str">
        <f>_xlfn.IFNA(VLOOKUP(A354,'Date Calcs'!A:AG,2,),"")</f>
        <v/>
      </c>
      <c r="C354" s="14" t="str">
        <f>_xlfn.IFNA(VLOOKUP(A354,'Actual Dates'!A:AE,6,),"")</f>
        <v xml:space="preserve">  </v>
      </c>
      <c r="D354" s="15" t="str">
        <f>IF(C354="  ","  ",IF(C354=0,VLOOKUP(A354,'Date Calcs'!A:AG,9,),IF(C354=1,VLOOKUP(A354,'Date Calcs'!A:AG,11,),IF(C354=2,VLOOKUP(A354,'Date Calcs'!A:AG,13,),IF(C354=3,VLOOKUP(A354,'Date Calcs'!A:AG,15,),4)))))</f>
        <v xml:space="preserve">  </v>
      </c>
      <c r="E354" s="15" t="str">
        <f>IF(_xlfn.IFNA(IF(D354="  "," ",VLOOKUP(A354,'Actual Dates'!A:AE,20,0)),"")&lt;1,"-",_xlfn.IFNA(IF(D354="  "," ",VLOOKUP(A354,'Actual Dates'!A:AE,20,0)),""))</f>
        <v xml:space="preserve"> </v>
      </c>
      <c r="F354" s="12" t="str">
        <f ca="1">IFERROR(IF(A354="","",D354-Date!$B$3),"")</f>
        <v/>
      </c>
      <c r="G354" s="20"/>
      <c r="I354" s="21" t="b">
        <f t="shared" si="15"/>
        <v>0</v>
      </c>
      <c r="J354" s="21" t="str">
        <f t="shared" si="14"/>
        <v xml:space="preserve">  </v>
      </c>
    </row>
    <row r="355" spans="1:10" ht="23.25" hidden="1" x14ac:dyDescent="0.25">
      <c r="A355" s="12">
        <f>'Drawing Submittal'!A355</f>
        <v>0</v>
      </c>
      <c r="B355" s="13" t="str">
        <f>_xlfn.IFNA(VLOOKUP(A355,'Date Calcs'!A:AG,2,),"")</f>
        <v/>
      </c>
      <c r="C355" s="14" t="str">
        <f>_xlfn.IFNA(VLOOKUP(A355,'Actual Dates'!A:AE,6,),"")</f>
        <v xml:space="preserve">  </v>
      </c>
      <c r="D355" s="15" t="str">
        <f>IF(C355="  ","  ",IF(C355=0,VLOOKUP(A355,'Date Calcs'!A:AG,9,),IF(C355=1,VLOOKUP(A355,'Date Calcs'!A:AG,11,),IF(C355=2,VLOOKUP(A355,'Date Calcs'!A:AG,13,),IF(C355=3,VLOOKUP(A355,'Date Calcs'!A:AG,15,),4)))))</f>
        <v xml:space="preserve">  </v>
      </c>
      <c r="E355" s="15" t="str">
        <f>IF(_xlfn.IFNA(IF(D355="  "," ",VLOOKUP(A355,'Actual Dates'!A:AE,20,0)),"")&lt;1,"-",_xlfn.IFNA(IF(D355="  "," ",VLOOKUP(A355,'Actual Dates'!A:AE,20,0)),""))</f>
        <v xml:space="preserve"> </v>
      </c>
      <c r="F355" s="12" t="str">
        <f ca="1">IFERROR(IF(A355="","",D355-Date!$B$3),"")</f>
        <v/>
      </c>
      <c r="G355" s="20"/>
      <c r="I355" s="21" t="b">
        <f t="shared" si="15"/>
        <v>0</v>
      </c>
      <c r="J355" s="21" t="str">
        <f t="shared" si="14"/>
        <v xml:space="preserve">  </v>
      </c>
    </row>
    <row r="356" spans="1:10" ht="23.25" hidden="1" x14ac:dyDescent="0.25">
      <c r="A356" s="12">
        <f>'Drawing Submittal'!A356</f>
        <v>0</v>
      </c>
      <c r="B356" s="13" t="str">
        <f>_xlfn.IFNA(VLOOKUP(A356,'Date Calcs'!A:AG,2,),"")</f>
        <v/>
      </c>
      <c r="C356" s="14" t="str">
        <f>_xlfn.IFNA(VLOOKUP(A356,'Actual Dates'!A:AE,6,),"")</f>
        <v xml:space="preserve">  </v>
      </c>
      <c r="D356" s="15" t="str">
        <f>IF(C356="  ","  ",IF(C356=0,VLOOKUP(A356,'Date Calcs'!A:AG,9,),IF(C356=1,VLOOKUP(A356,'Date Calcs'!A:AG,11,),IF(C356=2,VLOOKUP(A356,'Date Calcs'!A:AG,13,),IF(C356=3,VLOOKUP(A356,'Date Calcs'!A:AG,15,),4)))))</f>
        <v xml:space="preserve">  </v>
      </c>
      <c r="E356" s="15" t="str">
        <f>IF(_xlfn.IFNA(IF(D356="  "," ",VLOOKUP(A356,'Actual Dates'!A:AE,20,0)),"")&lt;1,"-",_xlfn.IFNA(IF(D356="  "," ",VLOOKUP(A356,'Actual Dates'!A:AE,20,0)),""))</f>
        <v xml:space="preserve"> </v>
      </c>
      <c r="F356" s="12" t="str">
        <f ca="1">IFERROR(IF(A356="","",D356-Date!$B$3),"")</f>
        <v/>
      </c>
      <c r="G356" s="20"/>
      <c r="I356" s="21" t="b">
        <f t="shared" si="15"/>
        <v>0</v>
      </c>
      <c r="J356" s="21" t="str">
        <f t="shared" si="14"/>
        <v xml:space="preserve">  </v>
      </c>
    </row>
    <row r="357" spans="1:10" ht="23.25" hidden="1" x14ac:dyDescent="0.25">
      <c r="A357" s="12">
        <f>'Drawing Submittal'!A357</f>
        <v>0</v>
      </c>
      <c r="B357" s="13" t="str">
        <f>_xlfn.IFNA(VLOOKUP(A357,'Date Calcs'!A:AG,2,),"")</f>
        <v/>
      </c>
      <c r="C357" s="14" t="str">
        <f>_xlfn.IFNA(VLOOKUP(A357,'Actual Dates'!A:AE,6,),"")</f>
        <v xml:space="preserve">  </v>
      </c>
      <c r="D357" s="15" t="str">
        <f>IF(C357="  ","  ",IF(C357=0,VLOOKUP(A357,'Date Calcs'!A:AG,9,),IF(C357=1,VLOOKUP(A357,'Date Calcs'!A:AG,11,),IF(C357=2,VLOOKUP(A357,'Date Calcs'!A:AG,13,),IF(C357=3,VLOOKUP(A357,'Date Calcs'!A:AG,15,),4)))))</f>
        <v xml:space="preserve">  </v>
      </c>
      <c r="E357" s="15" t="str">
        <f>IF(_xlfn.IFNA(IF(D357="  "," ",VLOOKUP(A357,'Actual Dates'!A:AE,20,0)),"")&lt;1,"-",_xlfn.IFNA(IF(D357="  "," ",VLOOKUP(A357,'Actual Dates'!A:AE,20,0)),""))</f>
        <v xml:space="preserve"> </v>
      </c>
      <c r="F357" s="12" t="str">
        <f ca="1">IFERROR(IF(A357="","",D357-Date!$B$3),"")</f>
        <v/>
      </c>
      <c r="G357" s="20"/>
      <c r="I357" s="21" t="b">
        <f t="shared" si="15"/>
        <v>0</v>
      </c>
      <c r="J357" s="21" t="str">
        <f t="shared" si="14"/>
        <v xml:space="preserve">  </v>
      </c>
    </row>
    <row r="358" spans="1:10" ht="23.25" hidden="1" x14ac:dyDescent="0.25">
      <c r="A358" s="12">
        <f>'Drawing Submittal'!A358</f>
        <v>0</v>
      </c>
      <c r="B358" s="13" t="str">
        <f>_xlfn.IFNA(VLOOKUP(A358,'Date Calcs'!A:AG,2,),"")</f>
        <v/>
      </c>
      <c r="C358" s="14" t="str">
        <f>_xlfn.IFNA(VLOOKUP(A358,'Actual Dates'!A:AE,6,),"")</f>
        <v xml:space="preserve">  </v>
      </c>
      <c r="D358" s="15" t="str">
        <f>IF(C358="  ","  ",IF(C358=0,VLOOKUP(A358,'Date Calcs'!A:AG,9,),IF(C358=1,VLOOKUP(A358,'Date Calcs'!A:AG,11,),IF(C358=2,VLOOKUP(A358,'Date Calcs'!A:AG,13,),IF(C358=3,VLOOKUP(A358,'Date Calcs'!A:AG,15,),4)))))</f>
        <v xml:space="preserve">  </v>
      </c>
      <c r="E358" s="15" t="str">
        <f>IF(_xlfn.IFNA(IF(D358="  "," ",VLOOKUP(A358,'Actual Dates'!A:AE,20,0)),"")&lt;1,"-",_xlfn.IFNA(IF(D358="  "," ",VLOOKUP(A358,'Actual Dates'!A:AE,20,0)),""))</f>
        <v xml:space="preserve"> </v>
      </c>
      <c r="F358" s="12" t="str">
        <f ca="1">IFERROR(IF(A358="","",D358-Date!$B$3),"")</f>
        <v/>
      </c>
      <c r="G358" s="20"/>
      <c r="I358" s="21" t="b">
        <f t="shared" si="15"/>
        <v>0</v>
      </c>
      <c r="J358" s="21" t="str">
        <f t="shared" si="14"/>
        <v xml:space="preserve">  </v>
      </c>
    </row>
    <row r="359" spans="1:10" ht="23.25" hidden="1" x14ac:dyDescent="0.25">
      <c r="A359" s="12">
        <f>'Drawing Submittal'!A359</f>
        <v>0</v>
      </c>
      <c r="B359" s="13" t="str">
        <f>_xlfn.IFNA(VLOOKUP(A359,'Date Calcs'!A:AG,2,),"")</f>
        <v/>
      </c>
      <c r="C359" s="14" t="str">
        <f>_xlfn.IFNA(VLOOKUP(A359,'Actual Dates'!A:AE,6,),"")</f>
        <v xml:space="preserve">  </v>
      </c>
      <c r="D359" s="15" t="str">
        <f>IF(C359="  ","  ",IF(C359=0,VLOOKUP(A359,'Date Calcs'!A:AG,9,),IF(C359=1,VLOOKUP(A359,'Date Calcs'!A:AG,11,),IF(C359=2,VLOOKUP(A359,'Date Calcs'!A:AG,13,),IF(C359=3,VLOOKUP(A359,'Date Calcs'!A:AG,15,),4)))))</f>
        <v xml:space="preserve">  </v>
      </c>
      <c r="E359" s="15" t="str">
        <f>IF(_xlfn.IFNA(IF(D359="  "," ",VLOOKUP(A359,'Actual Dates'!A:AE,20,0)),"")&lt;1,"-",_xlfn.IFNA(IF(D359="  "," ",VLOOKUP(A359,'Actual Dates'!A:AE,20,0)),""))</f>
        <v xml:space="preserve"> </v>
      </c>
      <c r="F359" s="12" t="str">
        <f ca="1">IFERROR(IF(A359="","",D359-Date!$B$3),"")</f>
        <v/>
      </c>
      <c r="G359" s="20"/>
      <c r="I359" s="21" t="b">
        <f t="shared" si="15"/>
        <v>0</v>
      </c>
      <c r="J359" s="21" t="str">
        <f t="shared" si="14"/>
        <v xml:space="preserve">  </v>
      </c>
    </row>
    <row r="360" spans="1:10" ht="23.25" hidden="1" x14ac:dyDescent="0.25">
      <c r="A360" s="12">
        <f>'Drawing Submittal'!A360</f>
        <v>0</v>
      </c>
      <c r="B360" s="13" t="str">
        <f>_xlfn.IFNA(VLOOKUP(A360,'Date Calcs'!A:AG,2,),"")</f>
        <v/>
      </c>
      <c r="C360" s="14" t="str">
        <f>_xlfn.IFNA(VLOOKUP(A360,'Actual Dates'!A:AE,6,),"")</f>
        <v xml:space="preserve">  </v>
      </c>
      <c r="D360" s="15" t="str">
        <f>IF(C360="  ","  ",IF(C360=0,VLOOKUP(A360,'Date Calcs'!A:AG,9,),IF(C360=1,VLOOKUP(A360,'Date Calcs'!A:AG,11,),IF(C360=2,VLOOKUP(A360,'Date Calcs'!A:AG,13,),IF(C360=3,VLOOKUP(A360,'Date Calcs'!A:AG,15,),4)))))</f>
        <v xml:space="preserve">  </v>
      </c>
      <c r="E360" s="15" t="str">
        <f>IF(_xlfn.IFNA(IF(D360="  "," ",VLOOKUP(A360,'Actual Dates'!A:AE,20,0)),"")&lt;1,"-",_xlfn.IFNA(IF(D360="  "," ",VLOOKUP(A360,'Actual Dates'!A:AE,20,0)),""))</f>
        <v xml:space="preserve"> </v>
      </c>
      <c r="F360" s="12" t="str">
        <f ca="1">IFERROR(IF(A360="","",D360-Date!$B$3),"")</f>
        <v/>
      </c>
      <c r="G360" s="20"/>
      <c r="I360" s="21" t="b">
        <f t="shared" si="15"/>
        <v>0</v>
      </c>
      <c r="J360" s="21" t="str">
        <f t="shared" si="14"/>
        <v xml:space="preserve">  </v>
      </c>
    </row>
    <row r="361" spans="1:10" ht="23.25" hidden="1" x14ac:dyDescent="0.25">
      <c r="A361" s="12">
        <f>'Drawing Submittal'!A361</f>
        <v>0</v>
      </c>
      <c r="B361" s="13" t="str">
        <f>_xlfn.IFNA(VLOOKUP(A361,'Date Calcs'!A:AG,2,),"")</f>
        <v/>
      </c>
      <c r="C361" s="14" t="str">
        <f>_xlfn.IFNA(VLOOKUP(A361,'Actual Dates'!A:AE,6,),"")</f>
        <v xml:space="preserve">  </v>
      </c>
      <c r="D361" s="15" t="str">
        <f>IF(C361="  ","  ",IF(C361=0,VLOOKUP(A361,'Date Calcs'!A:AG,9,),IF(C361=1,VLOOKUP(A361,'Date Calcs'!A:AG,11,),IF(C361=2,VLOOKUP(A361,'Date Calcs'!A:AG,13,),IF(C361=3,VLOOKUP(A361,'Date Calcs'!A:AG,15,),4)))))</f>
        <v xml:space="preserve">  </v>
      </c>
      <c r="E361" s="15" t="str">
        <f>IF(_xlfn.IFNA(IF(D361="  "," ",VLOOKUP(A361,'Actual Dates'!A:AE,20,0)),"")&lt;1,"-",_xlfn.IFNA(IF(D361="  "," ",VLOOKUP(A361,'Actual Dates'!A:AE,20,0)),""))</f>
        <v xml:space="preserve"> </v>
      </c>
      <c r="F361" s="12" t="str">
        <f ca="1">IFERROR(IF(A361="","",D361-Date!$B$3),"")</f>
        <v/>
      </c>
      <c r="G361" s="20"/>
      <c r="I361" s="21" t="b">
        <f t="shared" si="15"/>
        <v>0</v>
      </c>
      <c r="J361" s="21" t="str">
        <f t="shared" si="14"/>
        <v xml:space="preserve">  </v>
      </c>
    </row>
  </sheetData>
  <sheetProtection autoFilter="0"/>
  <autoFilter ref="A5:J361" xr:uid="{00000000-0009-0000-0000-000001000000}">
    <filterColumn colId="8">
      <filters blank="1"/>
    </filterColumn>
    <filterColumn colId="9">
      <filters blank="1"/>
    </filterColumn>
    <sortState xmlns:xlrd2="http://schemas.microsoft.com/office/spreadsheetml/2017/richdata2" ref="A80:J124">
      <sortCondition ref="A6:A361"/>
    </sortState>
  </autoFilter>
  <mergeCells count="1">
    <mergeCell ref="A1:G1"/>
  </mergeCells>
  <conditionalFormatting sqref="G6:G361">
    <cfRule type="expression" dxfId="64" priority="2">
      <formula>$F6&gt;1.99</formula>
    </cfRule>
    <cfRule type="expression" dxfId="63" priority="3">
      <formula>AND($F6&gt;-2,$F6&lt;2)</formula>
    </cfRule>
    <cfRule type="expression" dxfId="62" priority="4">
      <formula>$F6&lt;-2</formula>
    </cfRule>
  </conditionalFormatting>
  <pageMargins left="0.7" right="0.7" top="0.25" bottom="0.25" header="0.511811023622047" footer="0.3"/>
  <pageSetup orientation="landscape" horizontalDpi="300" verticalDpi="300"/>
  <headerFooter>
    <oddFooter>&amp;L&amp;D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AW392"/>
  <sheetViews>
    <sheetView zoomScale="60" zoomScaleNormal="60" workbookViewId="0">
      <pane xSplit="2" ySplit="4" topLeftCell="C90" activePane="bottomRight" state="frozen"/>
      <selection pane="topRight" activeCell="K1" sqref="K1"/>
      <selection pane="bottomLeft" activeCell="A4" sqref="A4"/>
      <selection pane="bottomRight" activeCell="AT123" sqref="AT123"/>
    </sheetView>
  </sheetViews>
  <sheetFormatPr defaultColWidth="8.7109375" defaultRowHeight="15" x14ac:dyDescent="0.25"/>
  <cols>
    <col min="1" max="1" width="19.5703125" customWidth="1"/>
    <col min="2" max="2" width="36.42578125" customWidth="1"/>
    <col min="3" max="3" width="1.85546875" customWidth="1"/>
    <col min="4" max="4" width="9.140625" style="6" customWidth="1"/>
    <col min="5" max="5" width="3.42578125" hidden="1" customWidth="1"/>
    <col min="6" max="6" width="8.85546875" style="6" customWidth="1"/>
    <col min="7" max="7" width="5.5703125" hidden="1" customWidth="1"/>
    <col min="8" max="8" width="9.28515625" style="6" customWidth="1"/>
    <col min="9" max="9" width="3.42578125" hidden="1" customWidth="1"/>
    <col min="10" max="10" width="1.85546875" customWidth="1"/>
    <col min="11" max="11" width="8.42578125" style="6" customWidth="1"/>
    <col min="12" max="12" width="5.7109375" hidden="1" customWidth="1"/>
    <col min="13" max="13" width="4.42578125" hidden="1" customWidth="1"/>
    <col min="14" max="14" width="8.7109375" style="6"/>
    <col min="15" max="15" width="8" hidden="1" customWidth="1"/>
    <col min="16" max="16" width="9.7109375" style="6" customWidth="1"/>
    <col min="17" max="17" width="5.28515625" hidden="1" customWidth="1"/>
    <col min="18" max="18" width="10.85546875" style="6" customWidth="1"/>
    <col min="19" max="19" width="3.42578125" hidden="1" customWidth="1"/>
    <col min="20" max="20" width="10.7109375" style="6" customWidth="1"/>
    <col min="21" max="21" width="6.5703125" hidden="1" customWidth="1"/>
    <col min="22" max="22" width="8.5703125" style="6" customWidth="1"/>
    <col min="23" max="23" width="6.42578125" hidden="1" customWidth="1"/>
    <col min="24" max="24" width="9" style="6" customWidth="1"/>
    <col min="25" max="25" width="5.42578125" hidden="1" customWidth="1"/>
    <col min="26" max="26" width="9.5703125" style="6" customWidth="1"/>
    <col min="27" max="27" width="5.42578125" hidden="1" customWidth="1"/>
    <col min="28" max="28" width="9.5703125" style="6" customWidth="1"/>
    <col min="29" max="29" width="5.42578125" hidden="1" customWidth="1"/>
    <col min="30" max="30" width="13" style="6" customWidth="1"/>
    <col min="31" max="31" width="5.28515625" hidden="1" customWidth="1"/>
    <col min="32" max="34" width="15.7109375" customWidth="1"/>
    <col min="35" max="35" width="9.28515625" customWidth="1"/>
    <col min="36" max="36" width="15.7109375" customWidth="1"/>
    <col min="37" max="37" width="9.28515625" customWidth="1"/>
    <col min="38" max="38" width="15.7109375" customWidth="1"/>
    <col min="39" max="39" width="9.28515625" customWidth="1"/>
    <col min="40" max="40" width="15.7109375" customWidth="1"/>
    <col min="41" max="41" width="13.42578125" customWidth="1"/>
    <col min="42" max="42" width="15.7109375" customWidth="1"/>
    <col min="43" max="43" width="9.28515625" customWidth="1"/>
    <col min="44" max="44" width="15.7109375" customWidth="1"/>
    <col min="45" max="46" width="14" customWidth="1"/>
    <col min="47" max="47" width="18.7109375" style="22" customWidth="1"/>
    <col min="48" max="48" width="14.42578125" customWidth="1"/>
    <col min="49" max="49" width="63.85546875" style="23" customWidth="1"/>
  </cols>
  <sheetData>
    <row r="1" spans="1:49" x14ac:dyDescent="0.25">
      <c r="A1">
        <v>1</v>
      </c>
      <c r="B1">
        <v>2</v>
      </c>
      <c r="C1">
        <v>3</v>
      </c>
      <c r="D1" s="6">
        <v>4</v>
      </c>
      <c r="E1">
        <v>5</v>
      </c>
      <c r="F1">
        <v>6</v>
      </c>
      <c r="G1">
        <v>7</v>
      </c>
      <c r="H1" s="6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 s="6">
        <v>15</v>
      </c>
      <c r="P1">
        <v>16</v>
      </c>
      <c r="Q1">
        <v>17</v>
      </c>
      <c r="R1">
        <v>18</v>
      </c>
      <c r="S1" s="6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 s="6">
        <v>26</v>
      </c>
      <c r="AA1">
        <v>27</v>
      </c>
      <c r="AB1">
        <v>28</v>
      </c>
      <c r="AC1">
        <v>29</v>
      </c>
      <c r="AD1" s="6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 s="6">
        <v>36</v>
      </c>
      <c r="AK1">
        <v>37</v>
      </c>
      <c r="AL1">
        <v>38</v>
      </c>
      <c r="AM1">
        <v>39</v>
      </c>
      <c r="AN1" s="6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 s="6">
        <v>47</v>
      </c>
      <c r="AV1">
        <v>48</v>
      </c>
      <c r="AW1">
        <v>49</v>
      </c>
    </row>
    <row r="2" spans="1:49" ht="24" customHeight="1" x14ac:dyDescent="0.25">
      <c r="A2" s="162" t="s">
        <v>18</v>
      </c>
      <c r="B2" s="162"/>
      <c r="C2" s="24"/>
      <c r="D2" s="25"/>
      <c r="E2" s="24"/>
      <c r="F2" s="25"/>
      <c r="G2" s="24"/>
      <c r="H2" s="25"/>
      <c r="I2" s="24"/>
      <c r="J2" s="24"/>
      <c r="K2" s="25"/>
      <c r="L2" s="24"/>
      <c r="M2" s="24"/>
      <c r="N2" s="25"/>
      <c r="O2" s="24"/>
      <c r="P2" s="25"/>
      <c r="Q2" s="24"/>
      <c r="R2" s="25"/>
      <c r="S2" s="24"/>
      <c r="T2" s="25"/>
      <c r="U2" s="24"/>
      <c r="V2" s="25"/>
      <c r="W2" s="24"/>
      <c r="X2" s="25"/>
      <c r="Y2" s="24"/>
      <c r="Z2" s="25"/>
      <c r="AA2" s="24"/>
      <c r="AB2" s="25"/>
      <c r="AC2" s="24"/>
      <c r="AD2" s="25"/>
      <c r="AE2" s="24"/>
      <c r="AF2" s="24" t="s">
        <v>434</v>
      </c>
      <c r="AG2" s="157" t="s">
        <v>431</v>
      </c>
      <c r="AH2" s="158"/>
      <c r="AI2" s="24"/>
      <c r="AJ2" s="154" t="s">
        <v>430</v>
      </c>
      <c r="AK2" s="24"/>
      <c r="AL2" s="159" t="s">
        <v>432</v>
      </c>
      <c r="AM2" s="159"/>
      <c r="AN2" s="24"/>
      <c r="AO2" s="160" t="s">
        <v>433</v>
      </c>
      <c r="AP2" s="160"/>
      <c r="AQ2" s="160"/>
      <c r="AV2" s="23"/>
    </row>
    <row r="3" spans="1:49" ht="19.5" customHeight="1" x14ac:dyDescent="0.25">
      <c r="A3" s="26"/>
      <c r="B3" s="26"/>
      <c r="D3" s="163" t="s">
        <v>19</v>
      </c>
      <c r="E3" s="163"/>
      <c r="F3" s="163"/>
      <c r="G3" s="163"/>
      <c r="H3" s="163"/>
      <c r="I3" s="163"/>
      <c r="J3" s="17"/>
      <c r="K3" s="163" t="s">
        <v>20</v>
      </c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27"/>
      <c r="AC3" s="27"/>
      <c r="AD3" s="27"/>
      <c r="AE3" s="27"/>
      <c r="AF3" s="28"/>
      <c r="AG3" s="28"/>
      <c r="AH3" s="164" t="s">
        <v>21</v>
      </c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27"/>
      <c r="AU3" s="29"/>
      <c r="AV3" s="28"/>
    </row>
    <row r="4" spans="1:49" ht="68.25" customHeight="1" x14ac:dyDescent="0.25">
      <c r="A4" s="30" t="s">
        <v>5</v>
      </c>
      <c r="B4" s="31" t="s">
        <v>6</v>
      </c>
      <c r="C4" s="31"/>
      <c r="D4" s="161" t="s">
        <v>22</v>
      </c>
      <c r="E4" s="161"/>
      <c r="F4" s="161" t="s">
        <v>23</v>
      </c>
      <c r="G4" s="161"/>
      <c r="H4" s="161" t="s">
        <v>24</v>
      </c>
      <c r="I4" s="161"/>
      <c r="J4" s="3"/>
      <c r="K4" s="161" t="s">
        <v>25</v>
      </c>
      <c r="L4" s="161"/>
      <c r="M4" s="31"/>
      <c r="N4" s="161" t="s">
        <v>26</v>
      </c>
      <c r="O4" s="161"/>
      <c r="P4" s="161" t="s">
        <v>27</v>
      </c>
      <c r="Q4" s="161"/>
      <c r="R4" s="161" t="s">
        <v>28</v>
      </c>
      <c r="S4" s="161"/>
      <c r="T4" s="161" t="s">
        <v>29</v>
      </c>
      <c r="U4" s="161"/>
      <c r="V4" s="161" t="s">
        <v>30</v>
      </c>
      <c r="W4" s="161"/>
      <c r="X4" s="161" t="s">
        <v>31</v>
      </c>
      <c r="Y4" s="161"/>
      <c r="Z4" s="161" t="s">
        <v>32</v>
      </c>
      <c r="AA4" s="161"/>
      <c r="AB4" s="161" t="s">
        <v>33</v>
      </c>
      <c r="AC4" s="161"/>
      <c r="AD4" s="161" t="s">
        <v>34</v>
      </c>
      <c r="AE4" s="161"/>
      <c r="AF4" s="32" t="s">
        <v>35</v>
      </c>
      <c r="AG4" s="32" t="s">
        <v>36</v>
      </c>
      <c r="AH4" s="32" t="s">
        <v>31</v>
      </c>
      <c r="AI4" s="32" t="s">
        <v>37</v>
      </c>
      <c r="AJ4" s="32" t="s">
        <v>33</v>
      </c>
      <c r="AK4" s="32" t="s">
        <v>38</v>
      </c>
      <c r="AL4" s="32" t="s">
        <v>32</v>
      </c>
      <c r="AM4" s="32" t="s">
        <v>38</v>
      </c>
      <c r="AN4" s="32" t="s">
        <v>39</v>
      </c>
      <c r="AO4" s="32" t="s">
        <v>40</v>
      </c>
      <c r="AP4" s="32" t="s">
        <v>41</v>
      </c>
      <c r="AQ4" s="32" t="s">
        <v>38</v>
      </c>
      <c r="AR4" s="32" t="s">
        <v>42</v>
      </c>
      <c r="AS4" s="32" t="s">
        <v>43</v>
      </c>
      <c r="AT4" s="32" t="s">
        <v>44</v>
      </c>
      <c r="AU4" s="33" t="s">
        <v>45</v>
      </c>
      <c r="AV4" s="32" t="s">
        <v>46</v>
      </c>
      <c r="AW4" s="34" t="s">
        <v>47</v>
      </c>
    </row>
    <row r="5" spans="1:49" ht="23.25" x14ac:dyDescent="0.25">
      <c r="A5" s="12" t="str">
        <f>'Actual Dates'!A4</f>
        <v>24-046</v>
      </c>
      <c r="B5" s="13" t="str">
        <f t="shared" ref="B5:B68" si="0">_xlfn.IFNA(VLOOKUP(A5,Jobs,2,),"")</f>
        <v>SYMS Engineering</v>
      </c>
      <c r="C5" s="35"/>
      <c r="D5" s="36" t="str">
        <f>IF(VLOOKUP($A5,Jobs,8,)&gt;0,"Y","  ")</f>
        <v>Y</v>
      </c>
      <c r="E5" s="37">
        <f>IF(VLOOKUP($A5,Dates,8,)&gt;0,VLOOKUP($A5,Dates,8,)-VLOOKUP($A5,Jobs,8,),"  ")</f>
        <v>4</v>
      </c>
      <c r="F5" s="36" t="str">
        <f>IF(VLOOKUP($A5,Dates,16,)&gt;0,"Y","  ")</f>
        <v>Y</v>
      </c>
      <c r="G5" s="37">
        <f>IF(VLOOKUP($A5,Dates,16,)&gt;0,VLOOKUP($A5,Dates,16,)-VLOOKUP($A5,Jobs,16,),"  ")</f>
        <v>-2</v>
      </c>
      <c r="H5" s="36" t="str">
        <f t="shared" ref="H5:H68" si="1">_xlfn.IFNA(IF(VLOOKUP($A11,Dates,17,)&gt;0,"Y","  "),"")</f>
        <v>Y</v>
      </c>
      <c r="I5" s="37">
        <f>IF(VLOOKUP($A11,Dates,17,)&gt;0,VLOOKUP($A11,Dates,17,)-VLOOKUP($A11,Jobs,17,),"  ")</f>
        <v>6</v>
      </c>
      <c r="J5" s="35"/>
      <c r="K5" s="36" t="str">
        <f>IF(VLOOKUP($A5,Dates,19,)&gt;0,"Y","  ")</f>
        <v>Y</v>
      </c>
      <c r="L5" s="37">
        <f>IF(VLOOKUP($A5,Dates,19,)&gt;0,VLOOKUP($A5,Dates,19,)-VLOOKUP($A5,Jobs,19,),"  ")</f>
        <v>4</v>
      </c>
      <c r="M5" s="37">
        <f t="shared" ref="M5:M68" si="2">IF(VLOOKUP($A5,Dates,20,)&gt;0,VLOOKUP($A5,Dates,20,)-VLOOKUP($A5,Jobs,20,),"  ")</f>
        <v>3</v>
      </c>
      <c r="N5" s="36" t="str">
        <f>IF(VLOOKUP($A5,Dates,20,)&gt;0,"Y","  ")</f>
        <v>Y</v>
      </c>
      <c r="O5" s="37">
        <f>IF(VLOOKUP($A5,Dates,21,)&gt;0,VLOOKUP($A5,Dates,21,)-VLOOKUP($A5,Jobs,21,),"  ")</f>
        <v>279</v>
      </c>
      <c r="P5" s="36" t="str">
        <f>IF(VLOOKUP($A5,Dates,22,)&gt;0,"Y","  ")</f>
        <v>Y</v>
      </c>
      <c r="Q5" s="37">
        <f>IF(VLOOKUP($A5,Dates,23,)&gt;0,VLOOKUP($A5,Dates,23,)-VLOOKUP($A5,Jobs,24,),"  ")</f>
        <v>-276</v>
      </c>
      <c r="R5" s="36" t="str">
        <f>IF(VLOOKUP($A5,Dates,23,)&gt;0,"Y","  ")</f>
        <v>Y</v>
      </c>
      <c r="S5" s="37">
        <f>IF(VLOOKUP($A5,Dates,24,)&gt;0,VLOOKUP($A5,Dates,24,)-VLOOKUP($A5,Jobs,25,),"  ")</f>
        <v>76</v>
      </c>
      <c r="T5" s="36" t="str">
        <f>IF(VLOOKUP($A5,Dates,25,)&gt;0,"Y","  ")</f>
        <v>Y</v>
      </c>
      <c r="U5" s="37">
        <f>IF(VLOOKUP($A5,Dates,26,)&gt;0,VLOOKUP($A5,Dates,26,)-VLOOKUP($A5,Jobs,26,),"  ")</f>
        <v>69</v>
      </c>
      <c r="V5" s="36" t="str">
        <f>IF(VLOOKUP($A5,Dates,26,)&gt;0,"Y","  ")</f>
        <v>Y</v>
      </c>
      <c r="W5" s="37">
        <f>IF(VLOOKUP($A5,Dates,27,)&gt;0,VLOOKUP($A5,Dates,27,)-VLOOKUP($A5,Jobs,27,),"  ")</f>
        <v>87</v>
      </c>
      <c r="X5" s="36" t="str">
        <f>IF(VLOOKUP($A5,Dates,27,)&gt;0,"Y","  ")</f>
        <v>Y</v>
      </c>
      <c r="Y5" s="37">
        <f>IF(VLOOKUP($A5,Dates,28,)&gt;0,VLOOKUP($A5,Dates,28,)-VLOOKUP($A5,Jobs,28,),"  ")</f>
        <v>81</v>
      </c>
      <c r="Z5" s="36" t="str">
        <f>IF(VLOOKUP($A5,Dates,28,)&gt;0,"Y","  ")</f>
        <v>Y</v>
      </c>
      <c r="AA5" s="37">
        <f>IF(VLOOKUP($A5,Dates,29,)&gt;0,VLOOKUP($A5,Dates,29,)-VLOOKUP($A5,Jobs,29,),"  ")</f>
        <v>85</v>
      </c>
      <c r="AB5" s="36" t="str">
        <f>IF(VLOOKUP($A5,Dates,29,)&gt;0,"Y","  ")</f>
        <v>Y</v>
      </c>
      <c r="AC5" s="37">
        <f>IF(VLOOKUP($A5,Dates,30,)&gt;0,VLOOKUP($A5,Dates,30,)-VLOOKUP($A5,Jobs,30,),"  ")</f>
        <v>97</v>
      </c>
      <c r="AD5" s="36" t="str">
        <f>IF(VLOOKUP($A5,Dates,30,)&gt;0,"Y","  ")</f>
        <v>Y</v>
      </c>
      <c r="AE5" s="37" t="str">
        <f>IF(VLOOKUP($A5,Dates,31,)&gt;0,VLOOKUP($A5,Dates,31,)-VLOOKUP($A5,Jobs,31,),"  ")</f>
        <v xml:space="preserve">  </v>
      </c>
      <c r="AF5" s="38">
        <f ca="1">IF(AG5="",TODAY()+(VLOOKUP(A5,'Date Calcs'!A:G,7,0)*7),VLOOKUP(A5,'Actual Dates'!A:AE,21,FALSE()))</f>
        <v>46163</v>
      </c>
      <c r="AG5" s="38">
        <f>IF(VLOOKUP(A5,'Actual Dates'!A:AE,20,0)="","",VLOOKUP(A5,'Actual Dates'!A:AE,20,0))</f>
        <v>45883</v>
      </c>
      <c r="AH5" s="38" t="str">
        <f>IF($AG5="","",IF(X5="Y","DONE",VLOOKUP(A5,'Ship Date'!A:AE,27,0)))</f>
        <v>DONE</v>
      </c>
      <c r="AI5" s="12">
        <f t="shared" ref="AI5:AI68" ca="1" si="3">IFERROR(AH5-TODAY(),0)</f>
        <v>0</v>
      </c>
      <c r="AJ5" s="38" t="str">
        <f>IF($AG5="","",IF(AB5="Y","DONE",VLOOKUP(A5,'Ship Date'!A:AG,29,0)))</f>
        <v>DONE</v>
      </c>
      <c r="AK5" s="12">
        <f t="shared" ref="AK5:AK68" ca="1" si="4">IFERROR(AJ5-TODAY(),0)</f>
        <v>0</v>
      </c>
      <c r="AL5" s="38" t="str">
        <f>IF($AG5="","",IF(Z5="Y","DONE",VLOOKUP(A5,'Ship Date'!A:AI,28,0)))</f>
        <v>DONE</v>
      </c>
      <c r="AM5" s="12">
        <f t="shared" ref="AM5:AM68" ca="1" si="5">IFERROR(AL5-TODAY(),0)</f>
        <v>0</v>
      </c>
      <c r="AN5" s="38" t="str">
        <f>IF(T5="Y","DONE",VLOOKUP(A5,'Ship Date'!A:AE,25,0))</f>
        <v>DONE</v>
      </c>
      <c r="AO5" s="12">
        <f t="shared" ref="AO5:AO68" si="6">IFERROR(AP5-AN5,0)</f>
        <v>0</v>
      </c>
      <c r="AP5" s="38" t="str">
        <f>IF(AD5="Y","DONE",VLOOKUP(A5,'Ship Date'!A:AE,30,0))</f>
        <v>DONE</v>
      </c>
      <c r="AQ5" s="12">
        <f t="shared" ref="AQ5:AQ68" ca="1" si="7">IFERROR(AP5-TODAY(),0)</f>
        <v>0</v>
      </c>
      <c r="AR5" s="38" t="str">
        <f>_xlfn.IFNA(VLOOKUP(A5,'Ship Date'!A:C,3,0),"")</f>
        <v/>
      </c>
      <c r="AS5" s="12" t="str">
        <f t="shared" ref="AS5:AS68" ca="1" si="8">IFERROR(AF5-AR5,"")</f>
        <v/>
      </c>
      <c r="AT5" s="38" t="str">
        <f>_xlfn.IFNA(IF(VLOOKUP(A5,'Actual Dates'!A:AF,32,0)="N/A"," ",VLOOKUP(A5,'Actual Dates'!A:AF,32,0))," ")</f>
        <v xml:space="preserve"> </v>
      </c>
      <c r="AU5" s="39"/>
      <c r="AV5" s="38" t="str">
        <f>IF(VLOOKUP(A5,'Actual Dates'!A:AE,31,0)="","",VLOOKUP(A5,'Actual Dates'!A:AE,31,0))</f>
        <v/>
      </c>
      <c r="AW5" s="40"/>
    </row>
    <row r="6" spans="1:49" ht="23.25" hidden="1" x14ac:dyDescent="0.25">
      <c r="A6" s="12" t="str">
        <f>'Actual Dates'!A5</f>
        <v>25-010</v>
      </c>
      <c r="B6" s="13" t="str">
        <f t="shared" si="0"/>
        <v>Kimberly Clark</v>
      </c>
      <c r="C6" s="35"/>
      <c r="D6" s="36" t="str">
        <f t="shared" ref="D6:D69" si="9">_xlfn.IFNA(IF(VLOOKUP($A6,Jobs,8,)&gt;0,"Y","  "),"")</f>
        <v>Y</v>
      </c>
      <c r="E6" s="37">
        <f t="shared" ref="E6:E69" si="10">IFERROR(IF(VLOOKUP($A6,Dates,8,)&gt;0,VLOOKUP($A6,Dates,8,)-VLOOKUP($A6,Jobs,8,),"  "),"")</f>
        <v>85</v>
      </c>
      <c r="F6" s="36" t="str">
        <f t="shared" ref="F6:F69" si="11">_xlfn.IFNA(IF(VLOOKUP($A6,Dates,16,)&gt;0,"Y","  "),"")</f>
        <v>Y</v>
      </c>
      <c r="G6" s="37">
        <f t="shared" ref="G6:G69" si="12">IFERROR(IF(VLOOKUP($A6,Dates,16,)&gt;0,VLOOKUP($A6,Dates,16,)-VLOOKUP($A6,Jobs,16,),"  "),"")</f>
        <v>8</v>
      </c>
      <c r="H6" s="36" t="str">
        <f t="shared" si="1"/>
        <v>Y</v>
      </c>
      <c r="I6" s="37">
        <f t="shared" ref="I6:I69" si="13">IFERROR(IF(VLOOKUP($A12,Dates,17,)&gt;0,VLOOKUP($A12,Dates,17,)-VLOOKUP($A12,Jobs,17,),"  "),"")</f>
        <v>6</v>
      </c>
      <c r="J6" s="35"/>
      <c r="K6" s="36" t="str">
        <f t="shared" ref="K6:K69" si="14">_xlfn.IFNA(IF(VLOOKUP($A6,Dates,19,)&gt;0,"Y","  "),"")</f>
        <v>Y</v>
      </c>
      <c r="L6" s="37">
        <f t="shared" ref="L6:L69" si="15">IFERROR(IF(VLOOKUP($A6,Dates,19,)&gt;0,VLOOKUP($A6,Dates,19,)-VLOOKUP($A6,Jobs,19,),"  "),"")</f>
        <v>5</v>
      </c>
      <c r="M6" s="37">
        <f t="shared" si="2"/>
        <v>4</v>
      </c>
      <c r="N6" s="36" t="str">
        <f t="shared" ref="N6:N69" si="16">_xlfn.IFNA(IF(VLOOKUP($A6,Dates,20,)&gt;0,"Y","  "),"")</f>
        <v>Y</v>
      </c>
      <c r="O6" s="37">
        <f t="shared" ref="O6:O69" si="17">IFERROR(IF(VLOOKUP($A6,Dates,21,)&gt;0,VLOOKUP($A6,Dates,21,)-VLOOKUP($A6,Jobs,21,),"  "),"")</f>
        <v>98</v>
      </c>
      <c r="P6" s="36" t="str">
        <f t="shared" ref="P6:P69" si="18">_xlfn.IFNA(IF(VLOOKUP($A6,Dates,22,)&gt;0,"Y","  "),"")</f>
        <v>Y</v>
      </c>
      <c r="Q6" s="37">
        <f t="shared" ref="Q6:Q69" si="19">IFERROR(IF(VLOOKUP($A6,Dates,23,)&gt;0,VLOOKUP($A6,Dates,23,)-VLOOKUP($A6,Jobs,24,),"  "),"")</f>
        <v>-132</v>
      </c>
      <c r="R6" s="36" t="str">
        <f t="shared" ref="R6:R69" si="20">_xlfn.IFNA(IF(VLOOKUP($A6,Dates,23,)&gt;0,"Y","  "),"")</f>
        <v>Y</v>
      </c>
      <c r="S6" s="37">
        <f t="shared" ref="S6:S69" si="21">IFERROR(IF(VLOOKUP($A6,Dates,24,)&gt;0,VLOOKUP($A6,Dates,24,)-VLOOKUP($A6,Jobs,25,),"  "),"")</f>
        <v>-38</v>
      </c>
      <c r="T6" s="36" t="str">
        <f t="shared" ref="T6:T69" si="22">_xlfn.IFNA(IF(VLOOKUP($A6,Dates,25,)&gt;0,"Y","  "),"")</f>
        <v>Y</v>
      </c>
      <c r="U6" s="37">
        <f t="shared" ref="U6:U69" si="23">IFERROR(IF(VLOOKUP($A6,Dates,26,)&gt;0,VLOOKUP($A6,Dates,26,)-VLOOKUP($A6,Jobs,26,),"  "),"")</f>
        <v>-45</v>
      </c>
      <c r="V6" s="36" t="str">
        <f t="shared" ref="V6:V69" si="24">_xlfn.IFNA(IF(VLOOKUP($A6,Dates,26,)&gt;0,"Y","  "),"")</f>
        <v>Y</v>
      </c>
      <c r="W6" s="37">
        <f t="shared" ref="W6:W69" si="25">IFERROR(IF(VLOOKUP($A6,Dates,27,)&gt;0,VLOOKUP($A6,Dates,27,)-VLOOKUP($A6,Jobs,27,),"  "),"")</f>
        <v>88</v>
      </c>
      <c r="X6" s="36" t="str">
        <f t="shared" ref="X6:X69" si="26">_xlfn.IFNA(IF(VLOOKUP($A6,Dates,27,)&gt;0,"Y","  "),"")</f>
        <v>Y</v>
      </c>
      <c r="Y6" s="37">
        <f t="shared" ref="Y6:Y69" si="27">IFERROR(IF(VLOOKUP($A6,Dates,28,)&gt;0,VLOOKUP($A6,Dates,28,)-VLOOKUP($A6,Jobs,28,),"  "),"")</f>
        <v>127</v>
      </c>
      <c r="Z6" s="36" t="str">
        <f t="shared" ref="Z6:Z69" si="28">_xlfn.IFNA(IF(VLOOKUP($A6,Dates,28,)&gt;0,"Y","  "),"")</f>
        <v>Y</v>
      </c>
      <c r="AA6" s="37">
        <f t="shared" ref="AA6:AA69" si="29">IFERROR(IF(VLOOKUP($A6,Dates,29,)&gt;0,VLOOKUP($A6,Dates,29,)-VLOOKUP($A6,Jobs,29,),"  "),"")</f>
        <v>-238</v>
      </c>
      <c r="AB6" s="36" t="str">
        <f t="shared" ref="AB6:AB69" si="30">_xlfn.IFNA(IF(VLOOKUP($A6,Dates,29,)&gt;0,"Y","  "),"")</f>
        <v>Y</v>
      </c>
      <c r="AC6" s="37">
        <f t="shared" ref="AC6:AC69" si="31">IFERROR(IF(VLOOKUP($A6,Dates,30,)&gt;0,VLOOKUP($A6,Dates,30,)-VLOOKUP($A6,Jobs,30,),"  "),"")</f>
        <v>127</v>
      </c>
      <c r="AD6" s="36" t="str">
        <f t="shared" ref="AD6:AD69" si="32">_xlfn.IFNA(IF(VLOOKUP($A6,Dates,30,)&gt;0,"Y","  "),"")</f>
        <v>Y</v>
      </c>
      <c r="AE6" s="37">
        <f t="shared" ref="AE6:AE69" si="33">IFERROR(IF(VLOOKUP($A6,Dates,31,)&gt;0,VLOOKUP($A6,Dates,31,)-VLOOKUP($A6,Jobs,31,),"  "),"")</f>
        <v>172</v>
      </c>
      <c r="AF6" s="38">
        <f ca="1">IF(AG6="",TODAY()+(VLOOKUP(A6,'Date Calcs'!A:G,7,0)*7),VLOOKUP(A6,'Actual Dates'!A:AE,21,FALSE()))</f>
        <v>45995</v>
      </c>
      <c r="AG6" s="38">
        <f>_xlfn.IFNA(IF(VLOOKUP(A6,'Actual Dates'!A:AE,20,0)="","",VLOOKUP(A6,'Actual Dates'!A:AE,20,0)+(VLOOKUP(A6,'Date Calcs'!A:X,22,0)*7)),"")</f>
        <v>45897</v>
      </c>
      <c r="AH6" s="38" t="str">
        <f>_xlfn.IFNA(IF($AG6="","",IF(X6="Y","DONE",VLOOKUP(A6,'Ship Date'!A:AE,27,0))),"")</f>
        <v>DONE</v>
      </c>
      <c r="AI6" s="12">
        <f t="shared" ca="1" si="3"/>
        <v>0</v>
      </c>
      <c r="AJ6" s="38" t="str">
        <f>_xlfn.IFNA(IF($AG6="","",IF(AB6="Y","DONE",VLOOKUP(A6,'Ship Date'!A:AG,29,0))),"")</f>
        <v>DONE</v>
      </c>
      <c r="AK6" s="12">
        <f t="shared" ca="1" si="4"/>
        <v>0</v>
      </c>
      <c r="AL6" s="38" t="str">
        <f>_xlfn.IFNA(IF($AG6="","",IF(Z6="Y","DONE",VLOOKUP(A6,'Ship Date'!A:AI,28,0))),"")</f>
        <v>DONE</v>
      </c>
      <c r="AM6" s="12">
        <f t="shared" ca="1" si="5"/>
        <v>0</v>
      </c>
      <c r="AN6" s="38" t="str">
        <f>_xlfn.IFNA(IF(T6="Y","DONE",VLOOKUP(A6,'Ship Date'!A:AE,25,0)),"")</f>
        <v>DONE</v>
      </c>
      <c r="AO6" s="12">
        <f t="shared" si="6"/>
        <v>0</v>
      </c>
      <c r="AP6" s="38" t="str">
        <f>_xlfn.IFNA(IF(AD6="Y","DONE",VLOOKUP(A6,'Ship Date'!A:AE,30,0)),"")</f>
        <v>DONE</v>
      </c>
      <c r="AQ6" s="12">
        <f t="shared" ca="1" si="7"/>
        <v>0</v>
      </c>
      <c r="AR6" s="38" t="str">
        <f>IFERROR(_xlfn.IFNA(VLOOKUP(A6,'Ship Date'!A:C,3,0),""),"")</f>
        <v/>
      </c>
      <c r="AS6" s="12" t="str">
        <f t="shared" ca="1" si="8"/>
        <v/>
      </c>
      <c r="AT6" s="38"/>
      <c r="AU6" s="41"/>
      <c r="AV6" s="38">
        <f>_xlfn.IFNA(IF(VLOOKUP(A6,'Actual Dates'!A:AE,31,0)="","",VLOOKUP(A6,'Actual Dates'!A:AE,31,0)),"")</f>
        <v>46076</v>
      </c>
      <c r="AW6" s="40"/>
    </row>
    <row r="7" spans="1:49" ht="23.25" hidden="1" x14ac:dyDescent="0.25">
      <c r="A7" s="12" t="str">
        <f>'Actual Dates'!A6</f>
        <v>25-011</v>
      </c>
      <c r="B7" s="13" t="str">
        <f t="shared" si="0"/>
        <v>Kimberly Clark</v>
      </c>
      <c r="C7" s="35"/>
      <c r="D7" s="36" t="str">
        <f t="shared" si="9"/>
        <v>Y</v>
      </c>
      <c r="E7" s="37">
        <f t="shared" si="10"/>
        <v>52</v>
      </c>
      <c r="F7" s="36" t="str">
        <f t="shared" si="11"/>
        <v>Y</v>
      </c>
      <c r="G7" s="37">
        <f t="shared" si="12"/>
        <v>7</v>
      </c>
      <c r="H7" s="36" t="str">
        <f t="shared" si="1"/>
        <v>Y</v>
      </c>
      <c r="I7" s="37">
        <f t="shared" si="13"/>
        <v>6</v>
      </c>
      <c r="J7" s="35"/>
      <c r="K7" s="36" t="str">
        <f t="shared" si="14"/>
        <v>Y</v>
      </c>
      <c r="L7" s="37">
        <f t="shared" si="15"/>
        <v>5</v>
      </c>
      <c r="M7" s="37">
        <f t="shared" si="2"/>
        <v>4</v>
      </c>
      <c r="N7" s="36" t="str">
        <f t="shared" si="16"/>
        <v>Y</v>
      </c>
      <c r="O7" s="37">
        <f t="shared" si="17"/>
        <v>126</v>
      </c>
      <c r="P7" s="36" t="str">
        <f t="shared" si="18"/>
        <v>Y</v>
      </c>
      <c r="Q7" s="37">
        <f t="shared" si="19"/>
        <v>-196</v>
      </c>
      <c r="R7" s="36" t="str">
        <f t="shared" si="20"/>
        <v>Y</v>
      </c>
      <c r="S7" s="37">
        <f t="shared" si="21"/>
        <v>-76</v>
      </c>
      <c r="T7" s="36" t="str">
        <f t="shared" si="22"/>
        <v>Y</v>
      </c>
      <c r="U7" s="37">
        <f t="shared" si="23"/>
        <v>-83</v>
      </c>
      <c r="V7" s="36" t="str">
        <f t="shared" si="24"/>
        <v>Y</v>
      </c>
      <c r="W7" s="37">
        <f t="shared" si="25"/>
        <v>43</v>
      </c>
      <c r="X7" s="36" t="str">
        <f t="shared" si="26"/>
        <v>Y</v>
      </c>
      <c r="Y7" s="37" t="str">
        <f t="shared" si="27"/>
        <v xml:space="preserve">  </v>
      </c>
      <c r="Z7" s="36" t="str">
        <f t="shared" si="28"/>
        <v xml:space="preserve">  </v>
      </c>
      <c r="AA7" s="37" t="str">
        <f t="shared" si="29"/>
        <v xml:space="preserve">  </v>
      </c>
      <c r="AB7" s="36" t="str">
        <f t="shared" si="30"/>
        <v xml:space="preserve">  </v>
      </c>
      <c r="AC7" s="37">
        <f t="shared" si="31"/>
        <v>103</v>
      </c>
      <c r="AD7" s="36" t="str">
        <f t="shared" si="32"/>
        <v>Y</v>
      </c>
      <c r="AE7" s="37">
        <f t="shared" si="33"/>
        <v>146</v>
      </c>
      <c r="AF7" s="38">
        <f ca="1">IF(AG7="",TODAY()+(VLOOKUP(A7,'Date Calcs'!A:G,7,0)*7),VLOOKUP(A7,'Actual Dates'!A:AE,21,FALSE()))</f>
        <v>46030</v>
      </c>
      <c r="AG7" s="38">
        <f>_xlfn.IFNA(IF(VLOOKUP(A7,'Actual Dates'!A:AE,20,0)="","",VLOOKUP(A7,'Actual Dates'!A:AE,20,0)+(VLOOKUP(A7,'Date Calcs'!A:X,22,0)*7)),"")</f>
        <v>45904</v>
      </c>
      <c r="AH7" s="38" t="str">
        <f>_xlfn.IFNA(IF($AG7="","",IF(X7="Y","DONE",VLOOKUP(A7,'Ship Date'!A:AE,27,0))),"")</f>
        <v>DONE</v>
      </c>
      <c r="AI7" s="12">
        <f t="shared" ca="1" si="3"/>
        <v>0</v>
      </c>
      <c r="AJ7" s="38" t="str">
        <f>_xlfn.IFNA(IF($AG7="","",IF(AB7="Y","DONE",VLOOKUP(A7,'Ship Date'!A:AG,29,0))),"")</f>
        <v/>
      </c>
      <c r="AK7" s="12">
        <f t="shared" ca="1" si="4"/>
        <v>0</v>
      </c>
      <c r="AL7" s="38" t="str">
        <f>_xlfn.IFNA(IF($AG7="","",IF(Z7="Y","DONE",VLOOKUP(A7,'Ship Date'!A:AI,28,0))),"")</f>
        <v/>
      </c>
      <c r="AM7" s="12">
        <f t="shared" ca="1" si="5"/>
        <v>0</v>
      </c>
      <c r="AN7" s="38" t="str">
        <f>_xlfn.IFNA(IF(T7="Y","DONE",VLOOKUP(A7,'Ship Date'!A:AE,25,0)),"")</f>
        <v>DONE</v>
      </c>
      <c r="AO7" s="12">
        <f t="shared" si="6"/>
        <v>0</v>
      </c>
      <c r="AP7" s="38" t="str">
        <f>_xlfn.IFNA(IF(AD7="Y","DONE",VLOOKUP(A7,'Ship Date'!A:AE,30,0)),"")</f>
        <v>DONE</v>
      </c>
      <c r="AQ7" s="12">
        <f t="shared" ca="1" si="7"/>
        <v>0</v>
      </c>
      <c r="AR7" s="38" t="str">
        <f>IFERROR(_xlfn.IFNA(VLOOKUP(A7,'Ship Date'!A:C,3,0),""),"")</f>
        <v/>
      </c>
      <c r="AS7" s="12" t="str">
        <f t="shared" ca="1" si="8"/>
        <v/>
      </c>
      <c r="AT7" s="38"/>
      <c r="AU7" s="41"/>
      <c r="AV7" s="38">
        <f>_xlfn.IFNA(IF(VLOOKUP(A7,'Actual Dates'!A:AE,31,0)="","",VLOOKUP(A7,'Actual Dates'!A:AE,31,0)),"")</f>
        <v>46057</v>
      </c>
      <c r="AW7" s="40"/>
    </row>
    <row r="8" spans="1:49" ht="23.25" hidden="1" x14ac:dyDescent="0.25">
      <c r="A8" s="12" t="str">
        <f>'Actual Dates'!A7</f>
        <v>25-012</v>
      </c>
      <c r="B8" s="13" t="str">
        <f t="shared" si="0"/>
        <v>Kimberly Clark</v>
      </c>
      <c r="C8" s="35"/>
      <c r="D8" s="36" t="str">
        <f t="shared" si="9"/>
        <v>Y</v>
      </c>
      <c r="E8" s="37">
        <f t="shared" si="10"/>
        <v>52</v>
      </c>
      <c r="F8" s="36" t="str">
        <f t="shared" si="11"/>
        <v>Y</v>
      </c>
      <c r="G8" s="37">
        <f t="shared" si="12"/>
        <v>7</v>
      </c>
      <c r="H8" s="36" t="str">
        <f t="shared" si="1"/>
        <v>Y</v>
      </c>
      <c r="I8" s="37">
        <f t="shared" si="13"/>
        <v>6</v>
      </c>
      <c r="J8" s="35"/>
      <c r="K8" s="36" t="str">
        <f t="shared" si="14"/>
        <v>Y</v>
      </c>
      <c r="L8" s="37">
        <f t="shared" si="15"/>
        <v>5</v>
      </c>
      <c r="M8" s="37">
        <f t="shared" si="2"/>
        <v>4</v>
      </c>
      <c r="N8" s="36" t="str">
        <f t="shared" si="16"/>
        <v>Y</v>
      </c>
      <c r="O8" s="37">
        <f t="shared" si="17"/>
        <v>126</v>
      </c>
      <c r="P8" s="36" t="str">
        <f t="shared" si="18"/>
        <v>Y</v>
      </c>
      <c r="Q8" s="37">
        <f t="shared" si="19"/>
        <v>-192</v>
      </c>
      <c r="R8" s="36" t="str">
        <f t="shared" si="20"/>
        <v>Y</v>
      </c>
      <c r="S8" s="37">
        <f t="shared" si="21"/>
        <v>-72</v>
      </c>
      <c r="T8" s="36" t="str">
        <f t="shared" si="22"/>
        <v>Y</v>
      </c>
      <c r="U8" s="37">
        <f t="shared" si="23"/>
        <v>-79</v>
      </c>
      <c r="V8" s="36" t="str">
        <f t="shared" si="24"/>
        <v>Y</v>
      </c>
      <c r="W8" s="37">
        <f t="shared" si="25"/>
        <v>-254</v>
      </c>
      <c r="X8" s="36" t="str">
        <f t="shared" si="26"/>
        <v>Y</v>
      </c>
      <c r="Y8" s="37">
        <f t="shared" si="27"/>
        <v>82</v>
      </c>
      <c r="Z8" s="36" t="str">
        <f t="shared" si="28"/>
        <v>Y</v>
      </c>
      <c r="AA8" s="37">
        <f t="shared" si="29"/>
        <v>111</v>
      </c>
      <c r="AB8" s="36" t="str">
        <f t="shared" si="30"/>
        <v>Y</v>
      </c>
      <c r="AC8" s="37">
        <f t="shared" si="31"/>
        <v>111</v>
      </c>
      <c r="AD8" s="36" t="str">
        <f t="shared" si="32"/>
        <v>Y</v>
      </c>
      <c r="AE8" s="37">
        <f t="shared" si="33"/>
        <v>200</v>
      </c>
      <c r="AF8" s="38">
        <f ca="1">IF(AG8="",TODAY()+(VLOOKUP(A8,'Date Calcs'!A:G,7,0)*7),VLOOKUP(A8,'Actual Dates'!A:AE,21,FALSE()))</f>
        <v>46030</v>
      </c>
      <c r="AG8" s="38">
        <f>IF(VLOOKUP(A8,'Actual Dates'!A:AE,20,0)="","",VLOOKUP(A8,'Actual Dates'!A:AE,20,0))</f>
        <v>45904</v>
      </c>
      <c r="AH8" s="38" t="str">
        <f>_xlfn.IFNA(IF($AG8="","",IF(X8="Y","DONE",VLOOKUP(A8,'Ship Date'!A:AE,27,0))),"")</f>
        <v>DONE</v>
      </c>
      <c r="AI8" s="12">
        <f t="shared" ca="1" si="3"/>
        <v>0</v>
      </c>
      <c r="AJ8" s="38" t="str">
        <f>_xlfn.IFNA(IF($AG8="","",IF(AB8="Y","DONE",VLOOKUP(A8,'Ship Date'!A:AG,29,0))),"")</f>
        <v>DONE</v>
      </c>
      <c r="AK8" s="12">
        <f t="shared" ca="1" si="4"/>
        <v>0</v>
      </c>
      <c r="AL8" s="38" t="str">
        <f>_xlfn.IFNA(IF($AG8="","",IF(Z8="Y","DONE",VLOOKUP(A8,'Ship Date'!A:AI,28,0))),"")</f>
        <v>DONE</v>
      </c>
      <c r="AM8" s="12">
        <f t="shared" ca="1" si="5"/>
        <v>0</v>
      </c>
      <c r="AN8" s="38" t="str">
        <f>_xlfn.IFNA(IF(T8="Y","DONE",VLOOKUP(A8,'Ship Date'!A:AE,25,0)),"")</f>
        <v>DONE</v>
      </c>
      <c r="AO8" s="12">
        <f t="shared" si="6"/>
        <v>0</v>
      </c>
      <c r="AP8" s="38" t="str">
        <f>_xlfn.IFNA(IF(AD8="Y","DONE",VLOOKUP(A8,'Ship Date'!A:AE,30,0)),"")</f>
        <v>DONE</v>
      </c>
      <c r="AQ8" s="12">
        <f t="shared" ca="1" si="7"/>
        <v>0</v>
      </c>
      <c r="AR8" s="38" t="str">
        <f>IFERROR(_xlfn.IFNA(VLOOKUP(A8,'Ship Date'!A:C,3,0),""),"")</f>
        <v/>
      </c>
      <c r="AS8" s="12" t="str">
        <f t="shared" ca="1" si="8"/>
        <v/>
      </c>
      <c r="AT8" s="38" t="str">
        <f>_xlfn.IFNA(IF(VLOOKUP(A8,'Actual Dates'!A:AF,32,0)="N/A"," ",VLOOKUP(A8,'Actual Dates'!A:AF,32,0))," ")</f>
        <v xml:space="preserve"> </v>
      </c>
      <c r="AU8" s="39">
        <v>46111</v>
      </c>
      <c r="AV8" s="38">
        <f>_xlfn.IFNA(IF(VLOOKUP(A8,'Actual Dates'!A:AE,31,0)="","",VLOOKUP(A8,'Actual Dates'!A:AE,31,0)),"")</f>
        <v>46111</v>
      </c>
      <c r="AW8" s="40"/>
    </row>
    <row r="9" spans="1:49" ht="23.25" hidden="1" x14ac:dyDescent="0.25">
      <c r="A9" s="12" t="str">
        <f>'Actual Dates'!A8</f>
        <v>25-013</v>
      </c>
      <c r="B9" s="13" t="str">
        <f t="shared" si="0"/>
        <v>Kimberly Clark</v>
      </c>
      <c r="C9" s="35"/>
      <c r="D9" s="36" t="str">
        <f t="shared" si="9"/>
        <v>Y</v>
      </c>
      <c r="E9" s="37">
        <f t="shared" si="10"/>
        <v>21</v>
      </c>
      <c r="F9" s="36" t="str">
        <f t="shared" si="11"/>
        <v>Y</v>
      </c>
      <c r="G9" s="37">
        <f t="shared" si="12"/>
        <v>7</v>
      </c>
      <c r="H9" s="36" t="str">
        <f t="shared" si="1"/>
        <v>Y</v>
      </c>
      <c r="I9" s="37">
        <f t="shared" si="13"/>
        <v>6</v>
      </c>
      <c r="J9" s="35"/>
      <c r="K9" s="36" t="str">
        <f t="shared" si="14"/>
        <v>Y</v>
      </c>
      <c r="L9" s="37">
        <f t="shared" si="15"/>
        <v>96</v>
      </c>
      <c r="M9" s="37">
        <f t="shared" si="2"/>
        <v>95</v>
      </c>
      <c r="N9" s="36" t="str">
        <f t="shared" si="16"/>
        <v>Y</v>
      </c>
      <c r="O9" s="37">
        <f t="shared" si="17"/>
        <v>217</v>
      </c>
      <c r="P9" s="36" t="str">
        <f t="shared" si="18"/>
        <v>Y</v>
      </c>
      <c r="Q9" s="37">
        <f t="shared" si="19"/>
        <v>-101</v>
      </c>
      <c r="R9" s="36" t="str">
        <f t="shared" si="20"/>
        <v>Y</v>
      </c>
      <c r="S9" s="37">
        <f t="shared" si="21"/>
        <v>20</v>
      </c>
      <c r="T9" s="36" t="str">
        <f t="shared" si="22"/>
        <v>Y</v>
      </c>
      <c r="U9" s="37">
        <f t="shared" si="23"/>
        <v>13</v>
      </c>
      <c r="V9" s="36" t="str">
        <f t="shared" si="24"/>
        <v>Y</v>
      </c>
      <c r="W9" s="37">
        <f t="shared" si="25"/>
        <v>125</v>
      </c>
      <c r="X9" s="36" t="str">
        <f t="shared" si="26"/>
        <v>Y</v>
      </c>
      <c r="Y9" s="37">
        <f t="shared" si="27"/>
        <v>126</v>
      </c>
      <c r="Z9" s="36" t="str">
        <f t="shared" si="28"/>
        <v>Y</v>
      </c>
      <c r="AA9" s="37">
        <f t="shared" si="29"/>
        <v>128</v>
      </c>
      <c r="AB9" s="36" t="str">
        <f t="shared" si="30"/>
        <v>Y</v>
      </c>
      <c r="AC9" s="37">
        <f t="shared" si="31"/>
        <v>129</v>
      </c>
      <c r="AD9" s="36" t="str">
        <f t="shared" si="32"/>
        <v>Y</v>
      </c>
      <c r="AE9" s="37">
        <f t="shared" si="33"/>
        <v>291</v>
      </c>
      <c r="AF9" s="38">
        <f ca="1">IF(AG9="",TODAY()+(VLOOKUP(A9,'Date Calcs'!A:G,7,0)*7),VLOOKUP(A9,'Actual Dates'!A:AE,21,FALSE()))</f>
        <v>46030</v>
      </c>
      <c r="AG9" s="38">
        <f>IF(VLOOKUP(A9,'Actual Dates'!A:AE,20,0)="","",VLOOKUP(A9,'Actual Dates'!A:AE,20,0))</f>
        <v>45904</v>
      </c>
      <c r="AH9" s="38" t="str">
        <f>_xlfn.IFNA(IF($AG9="","",IF(X9="Y","DONE",VLOOKUP(A9,'Ship Date'!A:AE,27,0))),"")</f>
        <v>DONE</v>
      </c>
      <c r="AI9" s="12">
        <f t="shared" ca="1" si="3"/>
        <v>0</v>
      </c>
      <c r="AJ9" s="38" t="str">
        <f>_xlfn.IFNA(IF($AG9="","",IF(AB9="Y","DONE",VLOOKUP(A9,'Ship Date'!A:AG,29,0))),"")</f>
        <v>DONE</v>
      </c>
      <c r="AK9" s="12">
        <f t="shared" ca="1" si="4"/>
        <v>0</v>
      </c>
      <c r="AL9" s="38" t="str">
        <f>_xlfn.IFNA(IF($AG9="","",IF(Z9="Y","DONE",VLOOKUP(A9,'Ship Date'!A:AI,28,0))),"")</f>
        <v>DONE</v>
      </c>
      <c r="AM9" s="12">
        <f t="shared" ca="1" si="5"/>
        <v>0</v>
      </c>
      <c r="AN9" s="38" t="str">
        <f>_xlfn.IFNA(IF(T9="Y","DONE",VLOOKUP(A9,'Ship Date'!A:AE,25,0)),"")</f>
        <v>DONE</v>
      </c>
      <c r="AO9" s="12">
        <f t="shared" si="6"/>
        <v>0</v>
      </c>
      <c r="AP9" s="38" t="str">
        <f>_xlfn.IFNA(IF(AD9="Y","DONE",VLOOKUP(A9,'Ship Date'!A:AE,30,0)),"")</f>
        <v>DONE</v>
      </c>
      <c r="AQ9" s="12">
        <f t="shared" ca="1" si="7"/>
        <v>0</v>
      </c>
      <c r="AR9" s="38" t="str">
        <f>IFERROR(_xlfn.IFNA(VLOOKUP(A9,'Ship Date'!A:C,3,0),""),"")</f>
        <v/>
      </c>
      <c r="AS9" s="12" t="str">
        <f t="shared" ca="1" si="8"/>
        <v/>
      </c>
      <c r="AT9" s="38" t="str">
        <f>_xlfn.IFNA(IF(VLOOKUP(A9,'Actual Dates'!A:AF,32,0)="N/A"," ",VLOOKUP(A9,'Actual Dates'!A:AF,32,0))," ")</f>
        <v xml:space="preserve"> </v>
      </c>
      <c r="AU9" s="39">
        <v>46111</v>
      </c>
      <c r="AV9" s="38">
        <f>_xlfn.IFNA(IF(VLOOKUP(A9,'Actual Dates'!A:AE,31,0)="","",VLOOKUP(A9,'Actual Dates'!A:AE,31,0)),"")</f>
        <v>46111</v>
      </c>
      <c r="AW9" s="40"/>
    </row>
    <row r="10" spans="1:49" ht="23.25" hidden="1" x14ac:dyDescent="0.25">
      <c r="A10" s="12" t="str">
        <f>'Actual Dates'!A9</f>
        <v>25-014</v>
      </c>
      <c r="B10" s="13" t="str">
        <f t="shared" si="0"/>
        <v>Kimberly Clark</v>
      </c>
      <c r="C10" s="35"/>
      <c r="D10" s="36" t="str">
        <f t="shared" si="9"/>
        <v>Y</v>
      </c>
      <c r="E10" s="37">
        <f t="shared" si="10"/>
        <v>29</v>
      </c>
      <c r="F10" s="36" t="str">
        <f t="shared" si="11"/>
        <v>Y</v>
      </c>
      <c r="G10" s="37">
        <f t="shared" si="12"/>
        <v>7</v>
      </c>
      <c r="H10" s="36" t="str">
        <f t="shared" si="1"/>
        <v>Y</v>
      </c>
      <c r="I10" s="37">
        <f t="shared" si="13"/>
        <v>6</v>
      </c>
      <c r="J10" s="35"/>
      <c r="K10" s="36" t="str">
        <f t="shared" si="14"/>
        <v>Y</v>
      </c>
      <c r="L10" s="37">
        <f t="shared" si="15"/>
        <v>12</v>
      </c>
      <c r="M10" s="37">
        <f t="shared" si="2"/>
        <v>11</v>
      </c>
      <c r="N10" s="36" t="str">
        <f t="shared" si="16"/>
        <v>Y</v>
      </c>
      <c r="O10" s="37">
        <f t="shared" si="17"/>
        <v>133</v>
      </c>
      <c r="P10" s="36" t="str">
        <f t="shared" si="18"/>
        <v>Y</v>
      </c>
      <c r="Q10" s="37">
        <f t="shared" si="19"/>
        <v>-85</v>
      </c>
      <c r="R10" s="36" t="str">
        <f t="shared" si="20"/>
        <v>Y</v>
      </c>
      <c r="S10" s="37">
        <f t="shared" si="21"/>
        <v>35</v>
      </c>
      <c r="T10" s="36" t="str">
        <f t="shared" si="22"/>
        <v>Y</v>
      </c>
      <c r="U10" s="37">
        <f t="shared" si="23"/>
        <v>28</v>
      </c>
      <c r="V10" s="36" t="str">
        <f t="shared" si="24"/>
        <v>Y</v>
      </c>
      <c r="W10" s="37">
        <f t="shared" si="25"/>
        <v>91</v>
      </c>
      <c r="X10" s="36" t="str">
        <f t="shared" si="26"/>
        <v>Y</v>
      </c>
      <c r="Y10" s="37" t="str">
        <f t="shared" si="27"/>
        <v xml:space="preserve">  </v>
      </c>
      <c r="Z10" s="36" t="str">
        <f t="shared" si="28"/>
        <v xml:space="preserve">  </v>
      </c>
      <c r="AA10" s="37" t="str">
        <f t="shared" si="29"/>
        <v xml:space="preserve">  </v>
      </c>
      <c r="AB10" s="36" t="str">
        <f t="shared" si="30"/>
        <v xml:space="preserve">  </v>
      </c>
      <c r="AC10" s="37">
        <f t="shared" si="31"/>
        <v>90</v>
      </c>
      <c r="AD10" s="36" t="str">
        <f t="shared" si="32"/>
        <v>Y</v>
      </c>
      <c r="AE10" s="37">
        <f t="shared" si="33"/>
        <v>162</v>
      </c>
      <c r="AF10" s="38">
        <f ca="1">_xlfn.IFNA(IF(AG10="",TODAY()+(VLOOKUP(A10,'Date Calcs'!A:G,7,0)*7),VLOOKUP(A10,'Actual Dates'!A:AE,21,FALSE())),"")</f>
        <v>45931</v>
      </c>
      <c r="AG10" s="38">
        <f>_xlfn.IFNA(IF(VLOOKUP(A10,'Actual Dates'!A:AE,20,0)="","",VLOOKUP(A10,'Actual Dates'!A:AE,20,0)+(VLOOKUP(A10,'Date Calcs'!A:X,22,0)*7)),"")</f>
        <v>45805</v>
      </c>
      <c r="AH10" s="38" t="str">
        <f>_xlfn.IFNA(IF($AG10="","",IF(X10="Y","DONE",VLOOKUP(A10,'Ship Date'!A:AE,27,0))),"")</f>
        <v>DONE</v>
      </c>
      <c r="AI10" s="12">
        <f t="shared" ca="1" si="3"/>
        <v>0</v>
      </c>
      <c r="AJ10" s="38" t="str">
        <f>_xlfn.IFNA(IF($AG10="","",IF(AB10="Y","DONE",VLOOKUP(A10,'Ship Date'!A:AG,29,0))),"")</f>
        <v/>
      </c>
      <c r="AK10" s="12">
        <f t="shared" ca="1" si="4"/>
        <v>0</v>
      </c>
      <c r="AL10" s="38" t="str">
        <f>_xlfn.IFNA(IF($AG10="","",IF(Z10="Y","DONE",VLOOKUP(A10,'Ship Date'!A:AI,28,0))),"")</f>
        <v/>
      </c>
      <c r="AM10" s="12">
        <f t="shared" ca="1" si="5"/>
        <v>0</v>
      </c>
      <c r="AN10" s="38" t="str">
        <f>_xlfn.IFNA(IF(T10="Y","DONE",VLOOKUP(A10,'Ship Date'!A:AE,25,0)),"")</f>
        <v>DONE</v>
      </c>
      <c r="AO10" s="12">
        <f t="shared" si="6"/>
        <v>0</v>
      </c>
      <c r="AP10" s="38" t="str">
        <f>_xlfn.IFNA(IF(AD10="Y","DONE",VLOOKUP(A10,'Ship Date'!A:AE,30,0)),"")</f>
        <v>DONE</v>
      </c>
      <c r="AQ10" s="12">
        <f t="shared" ca="1" si="7"/>
        <v>0</v>
      </c>
      <c r="AR10" s="38" t="str">
        <f>IFERROR(_xlfn.IFNA(VLOOKUP(A10,'Ship Date'!A:C,3,0),""),"")</f>
        <v/>
      </c>
      <c r="AS10" s="12" t="str">
        <f t="shared" ca="1" si="8"/>
        <v/>
      </c>
      <c r="AT10" s="38"/>
      <c r="AU10" s="41"/>
      <c r="AV10" s="38">
        <f>_xlfn.IFNA(IF(VLOOKUP(A10,'Actual Dates'!A:AE,31,0)="","",VLOOKUP(A10,'Actual Dates'!A:AE,31,0)),"")</f>
        <v>45967</v>
      </c>
      <c r="AW10" s="40"/>
    </row>
    <row r="11" spans="1:49" ht="23.25" hidden="1" x14ac:dyDescent="0.25">
      <c r="A11" s="12" t="str">
        <f>'Actual Dates'!A10</f>
        <v>25-015</v>
      </c>
      <c r="B11" s="13" t="str">
        <f t="shared" si="0"/>
        <v>Kimberly Clark</v>
      </c>
      <c r="C11" s="35"/>
      <c r="D11" s="36" t="str">
        <f t="shared" si="9"/>
        <v>Y</v>
      </c>
      <c r="E11" s="37">
        <f t="shared" si="10"/>
        <v>29</v>
      </c>
      <c r="F11" s="36" t="str">
        <f t="shared" si="11"/>
        <v>Y</v>
      </c>
      <c r="G11" s="37">
        <f t="shared" si="12"/>
        <v>7</v>
      </c>
      <c r="H11" s="36" t="str">
        <f t="shared" si="1"/>
        <v>Y</v>
      </c>
      <c r="I11" s="37">
        <f t="shared" si="13"/>
        <v>6</v>
      </c>
      <c r="J11" s="35"/>
      <c r="K11" s="36" t="str">
        <f t="shared" si="14"/>
        <v>Y</v>
      </c>
      <c r="L11" s="37">
        <f t="shared" si="15"/>
        <v>12</v>
      </c>
      <c r="M11" s="37">
        <f t="shared" si="2"/>
        <v>11</v>
      </c>
      <c r="N11" s="36" t="str">
        <f t="shared" si="16"/>
        <v>Y</v>
      </c>
      <c r="O11" s="37">
        <f t="shared" si="17"/>
        <v>161</v>
      </c>
      <c r="P11" s="36" t="str">
        <f t="shared" si="18"/>
        <v>Y</v>
      </c>
      <c r="Q11" s="37">
        <f t="shared" si="19"/>
        <v>-98</v>
      </c>
      <c r="R11" s="36" t="str">
        <f t="shared" si="20"/>
        <v>Y</v>
      </c>
      <c r="S11" s="37">
        <f t="shared" si="21"/>
        <v>50</v>
      </c>
      <c r="T11" s="36" t="str">
        <f t="shared" si="22"/>
        <v>Y</v>
      </c>
      <c r="U11" s="37">
        <f t="shared" si="23"/>
        <v>43</v>
      </c>
      <c r="V11" s="36" t="str">
        <f t="shared" si="24"/>
        <v>Y</v>
      </c>
      <c r="W11" s="37">
        <f t="shared" si="25"/>
        <v>84</v>
      </c>
      <c r="X11" s="36" t="str">
        <f t="shared" si="26"/>
        <v>Y</v>
      </c>
      <c r="Y11" s="37" t="str">
        <f t="shared" si="27"/>
        <v xml:space="preserve">  </v>
      </c>
      <c r="Z11" s="36" t="str">
        <f t="shared" si="28"/>
        <v xml:space="preserve">  </v>
      </c>
      <c r="AA11" s="37" t="str">
        <f t="shared" si="29"/>
        <v xml:space="preserve">  </v>
      </c>
      <c r="AB11" s="36" t="str">
        <f t="shared" si="30"/>
        <v xml:space="preserve">  </v>
      </c>
      <c r="AC11" s="37">
        <f t="shared" si="31"/>
        <v>83</v>
      </c>
      <c r="AD11" s="36" t="str">
        <f t="shared" si="32"/>
        <v>Y</v>
      </c>
      <c r="AE11" s="37">
        <f t="shared" si="33"/>
        <v>162</v>
      </c>
      <c r="AF11" s="38">
        <f ca="1">_xlfn.IFNA(IF(AG11="",TODAY()+(VLOOKUP(A11,'Date Calcs'!A:G,7,0)*7),VLOOKUP(A11,'Actual Dates'!A:AE,21,FALSE())),"")</f>
        <v>45959</v>
      </c>
      <c r="AG11" s="38">
        <f>_xlfn.IFNA(IF(VLOOKUP(A11,'Actual Dates'!A:AE,20,0)="","",VLOOKUP(A11,'Actual Dates'!A:AE,20,0)+(VLOOKUP(A11,'Date Calcs'!A:X,22,0)*7)),"")</f>
        <v>45805</v>
      </c>
      <c r="AH11" s="38" t="str">
        <f>_xlfn.IFNA(IF($AG11="","",IF(X11="Y","DONE",VLOOKUP(A11,'Ship Date'!A:AE,27,0))),"")</f>
        <v>DONE</v>
      </c>
      <c r="AI11" s="12">
        <f t="shared" ca="1" si="3"/>
        <v>0</v>
      </c>
      <c r="AJ11" s="38" t="str">
        <f>_xlfn.IFNA(IF($AG11="","",IF(AB11="Y","DONE",VLOOKUP(A11,'Ship Date'!A:AG,29,0))),"")</f>
        <v/>
      </c>
      <c r="AK11" s="12">
        <f t="shared" ca="1" si="4"/>
        <v>0</v>
      </c>
      <c r="AL11" s="38" t="str">
        <f>_xlfn.IFNA(IF($AG11="","",IF(Z11="Y","DONE",VLOOKUP(A11,'Ship Date'!A:AI,28,0))),"")</f>
        <v/>
      </c>
      <c r="AM11" s="12">
        <f t="shared" ca="1" si="5"/>
        <v>0</v>
      </c>
      <c r="AN11" s="38" t="str">
        <f>_xlfn.IFNA(IF(T11="Y","DONE",VLOOKUP(A11,'Ship Date'!A:AE,25,0)),"")</f>
        <v>DONE</v>
      </c>
      <c r="AO11" s="12">
        <f t="shared" si="6"/>
        <v>0</v>
      </c>
      <c r="AP11" s="38" t="str">
        <f>_xlfn.IFNA(IF(AD11="Y","DONE",VLOOKUP(A11,'Ship Date'!A:AE,30,0)),"")</f>
        <v>DONE</v>
      </c>
      <c r="AQ11" s="12">
        <f t="shared" ca="1" si="7"/>
        <v>0</v>
      </c>
      <c r="AR11" s="38" t="str">
        <f>IFERROR(_xlfn.IFNA(VLOOKUP(A11,'Ship Date'!A:C,3,0),""),"")</f>
        <v/>
      </c>
      <c r="AS11" s="12" t="str">
        <f t="shared" ca="1" si="8"/>
        <v/>
      </c>
      <c r="AT11" s="38"/>
      <c r="AU11" s="41"/>
      <c r="AV11" s="38">
        <f>_xlfn.IFNA(IF(VLOOKUP(A11,'Actual Dates'!A:AE,31,0)="","",VLOOKUP(A11,'Actual Dates'!A:AE,31,0)),"")</f>
        <v>45967</v>
      </c>
      <c r="AW11" s="40"/>
    </row>
    <row r="12" spans="1:49" ht="23.25" hidden="1" x14ac:dyDescent="0.25">
      <c r="A12" s="12" t="str">
        <f>'Actual Dates'!A11</f>
        <v>25-016</v>
      </c>
      <c r="B12" s="13" t="str">
        <f t="shared" si="0"/>
        <v>Kimberly Clark</v>
      </c>
      <c r="C12" s="35"/>
      <c r="D12" s="36" t="str">
        <f t="shared" si="9"/>
        <v>Y</v>
      </c>
      <c r="E12" s="37">
        <f t="shared" si="10"/>
        <v>29</v>
      </c>
      <c r="F12" s="36" t="str">
        <f t="shared" si="11"/>
        <v>Y</v>
      </c>
      <c r="G12" s="37">
        <f t="shared" si="12"/>
        <v>7</v>
      </c>
      <c r="H12" s="36" t="str">
        <f t="shared" si="1"/>
        <v>Y</v>
      </c>
      <c r="I12" s="37">
        <f t="shared" si="13"/>
        <v>-2</v>
      </c>
      <c r="J12" s="35"/>
      <c r="K12" s="36" t="str">
        <f t="shared" si="14"/>
        <v>Y</v>
      </c>
      <c r="L12" s="37">
        <f t="shared" si="15"/>
        <v>12</v>
      </c>
      <c r="M12" s="37">
        <f t="shared" si="2"/>
        <v>11</v>
      </c>
      <c r="N12" s="36" t="str">
        <f t="shared" si="16"/>
        <v>Y</v>
      </c>
      <c r="O12" s="37">
        <f t="shared" si="17"/>
        <v>161</v>
      </c>
      <c r="P12" s="36" t="str">
        <f t="shared" si="18"/>
        <v>Y</v>
      </c>
      <c r="Q12" s="37">
        <f t="shared" si="19"/>
        <v>-93</v>
      </c>
      <c r="R12" s="36" t="str">
        <f t="shared" si="20"/>
        <v>Y</v>
      </c>
      <c r="S12" s="37">
        <f t="shared" si="21"/>
        <v>55</v>
      </c>
      <c r="T12" s="36" t="str">
        <f t="shared" si="22"/>
        <v>Y</v>
      </c>
      <c r="U12" s="37">
        <f t="shared" si="23"/>
        <v>48</v>
      </c>
      <c r="V12" s="36" t="str">
        <f t="shared" si="24"/>
        <v>Y</v>
      </c>
      <c r="W12" s="37">
        <f t="shared" si="25"/>
        <v>167</v>
      </c>
      <c r="X12" s="36" t="str">
        <f t="shared" si="26"/>
        <v>Y</v>
      </c>
      <c r="Y12" s="37">
        <f t="shared" si="27"/>
        <v>182</v>
      </c>
      <c r="Z12" s="36" t="str">
        <f t="shared" si="28"/>
        <v>Y</v>
      </c>
      <c r="AA12" s="37">
        <f t="shared" si="29"/>
        <v>182</v>
      </c>
      <c r="AB12" s="36" t="str">
        <f t="shared" si="30"/>
        <v>Y</v>
      </c>
      <c r="AC12" s="37">
        <f t="shared" si="31"/>
        <v>182</v>
      </c>
      <c r="AD12" s="36" t="str">
        <f t="shared" si="32"/>
        <v>Y</v>
      </c>
      <c r="AE12" s="37">
        <f t="shared" si="33"/>
        <v>271</v>
      </c>
      <c r="AF12" s="38">
        <f ca="1">_xlfn.IFNA(IF(AG12="",TODAY()+(VLOOKUP(A12,'Date Calcs'!A:G,7,0)*7),VLOOKUP(A12,'Actual Dates'!A:AE,21,FALSE())),"")</f>
        <v>45959</v>
      </c>
      <c r="AG12" s="38">
        <f>_xlfn.IFNA(IF(VLOOKUP(A12,'Actual Dates'!A:AE,20,0)="","",VLOOKUP(A12,'Actual Dates'!A:AE,20,0)+(VLOOKUP(A12,'Date Calcs'!A:X,22,0)*7)),"")</f>
        <v>45805</v>
      </c>
      <c r="AH12" s="38" t="str">
        <f>_xlfn.IFNA(IF($AG12="","",IF(X12="Y","DONE",VLOOKUP(A12,'Ship Date'!A:AE,27,0))),"")</f>
        <v>DONE</v>
      </c>
      <c r="AI12" s="12">
        <f t="shared" ca="1" si="3"/>
        <v>0</v>
      </c>
      <c r="AJ12" s="38" t="str">
        <f>_xlfn.IFNA(IF($AG12="","",IF(AB12="Y","DONE",VLOOKUP(A12,'Ship Date'!A:AG,29,0))),"")</f>
        <v>DONE</v>
      </c>
      <c r="AK12" s="12">
        <f t="shared" ca="1" si="4"/>
        <v>0</v>
      </c>
      <c r="AL12" s="38" t="str">
        <f>_xlfn.IFNA(IF($AG12="","",IF(Z12="Y","DONE",VLOOKUP(A12,'Ship Date'!A:AI,28,0))),"")</f>
        <v>DONE</v>
      </c>
      <c r="AM12" s="12">
        <f t="shared" ca="1" si="5"/>
        <v>0</v>
      </c>
      <c r="AN12" s="38" t="str">
        <f>_xlfn.IFNA(IF(T12="Y","DONE",VLOOKUP(A12,'Ship Date'!A:AE,25,0)),"")</f>
        <v>DONE</v>
      </c>
      <c r="AO12" s="12">
        <f t="shared" si="6"/>
        <v>0</v>
      </c>
      <c r="AP12" s="38" t="str">
        <f>_xlfn.IFNA(IF(AD12="Y","DONE",VLOOKUP(A12,'Ship Date'!A:AE,30,0)),"")</f>
        <v>DONE</v>
      </c>
      <c r="AQ12" s="12">
        <f t="shared" ca="1" si="7"/>
        <v>0</v>
      </c>
      <c r="AR12" s="38" t="str">
        <f>IFERROR(_xlfn.IFNA(VLOOKUP(A12,'Ship Date'!A:C,3,0),""),"")</f>
        <v/>
      </c>
      <c r="AS12" s="12" t="str">
        <f t="shared" ca="1" si="8"/>
        <v/>
      </c>
      <c r="AT12" s="38"/>
      <c r="AU12" s="41"/>
      <c r="AV12" s="38">
        <f>_xlfn.IFNA(IF(VLOOKUP(A12,'Actual Dates'!A:AE,31,0)="","",VLOOKUP(A12,'Actual Dates'!A:AE,31,0)),"")</f>
        <v>46076</v>
      </c>
      <c r="AW12" s="40"/>
    </row>
    <row r="13" spans="1:49" ht="23.25" hidden="1" x14ac:dyDescent="0.25">
      <c r="A13" s="12" t="str">
        <f>'Actual Dates'!A12</f>
        <v>25-017</v>
      </c>
      <c r="B13" s="13" t="str">
        <f t="shared" si="0"/>
        <v>Kimberly Clark</v>
      </c>
      <c r="C13" s="35"/>
      <c r="D13" s="36" t="str">
        <f t="shared" si="9"/>
        <v>Y</v>
      </c>
      <c r="E13" s="37">
        <f t="shared" si="10"/>
        <v>6</v>
      </c>
      <c r="F13" s="36" t="str">
        <f t="shared" si="11"/>
        <v>Y</v>
      </c>
      <c r="G13" s="37">
        <f t="shared" si="12"/>
        <v>7</v>
      </c>
      <c r="H13" s="36" t="str">
        <f t="shared" si="1"/>
        <v>Y</v>
      </c>
      <c r="I13" s="37">
        <f t="shared" si="13"/>
        <v>-2</v>
      </c>
      <c r="J13" s="35"/>
      <c r="K13" s="36" t="str">
        <f t="shared" si="14"/>
        <v>Y</v>
      </c>
      <c r="L13" s="37">
        <f t="shared" si="15"/>
        <v>13</v>
      </c>
      <c r="M13" s="37">
        <f t="shared" si="2"/>
        <v>12</v>
      </c>
      <c r="N13" s="36" t="str">
        <f t="shared" si="16"/>
        <v>Y</v>
      </c>
      <c r="O13" s="37">
        <f t="shared" si="17"/>
        <v>162</v>
      </c>
      <c r="P13" s="36" t="str">
        <f t="shared" si="18"/>
        <v>Y</v>
      </c>
      <c r="Q13" s="37">
        <f t="shared" si="19"/>
        <v>-55</v>
      </c>
      <c r="R13" s="36" t="str">
        <f t="shared" si="20"/>
        <v>Y</v>
      </c>
      <c r="S13" s="37">
        <f t="shared" si="21"/>
        <v>93</v>
      </c>
      <c r="T13" s="36" t="str">
        <f t="shared" si="22"/>
        <v>Y</v>
      </c>
      <c r="U13" s="37">
        <f t="shared" si="23"/>
        <v>86</v>
      </c>
      <c r="V13" s="36" t="str">
        <f t="shared" si="24"/>
        <v>Y</v>
      </c>
      <c r="W13" s="37">
        <f t="shared" si="25"/>
        <v>155</v>
      </c>
      <c r="X13" s="36" t="str">
        <f t="shared" si="26"/>
        <v>Y</v>
      </c>
      <c r="Y13" s="37" t="str">
        <f t="shared" si="27"/>
        <v xml:space="preserve">  </v>
      </c>
      <c r="Z13" s="36" t="str">
        <f t="shared" si="28"/>
        <v xml:space="preserve">  </v>
      </c>
      <c r="AA13" s="37" t="str">
        <f t="shared" si="29"/>
        <v xml:space="preserve">  </v>
      </c>
      <c r="AB13" s="36" t="str">
        <f t="shared" si="30"/>
        <v xml:space="preserve">  </v>
      </c>
      <c r="AC13" s="37">
        <f t="shared" si="31"/>
        <v>154</v>
      </c>
      <c r="AD13" s="36" t="str">
        <f t="shared" si="32"/>
        <v>Y</v>
      </c>
      <c r="AE13" s="37">
        <f t="shared" si="33"/>
        <v>275</v>
      </c>
      <c r="AF13" s="38">
        <f ca="1">_xlfn.IFNA(IF(AG13="",TODAY()+(VLOOKUP(A13,'Date Calcs'!A:G,7,0)*7),VLOOKUP(A13,'Actual Dates'!A:AE,21,FALSE())),"")</f>
        <v>45923</v>
      </c>
      <c r="AG13" s="38">
        <f>_xlfn.IFNA(IF(VLOOKUP(A13,'Actual Dates'!A:AE,20,0)="","",VLOOKUP(A13,'Actual Dates'!A:AE,20,0)+(VLOOKUP(A13,'Date Calcs'!A:X,22,0)*7)),"")</f>
        <v>45769</v>
      </c>
      <c r="AH13" s="38" t="str">
        <f>_xlfn.IFNA(IF($AG13="","",IF(X13="Y","DONE",VLOOKUP(A13,'Ship Date'!A:AE,27,0))),"")</f>
        <v>DONE</v>
      </c>
      <c r="AI13" s="12">
        <f t="shared" ca="1" si="3"/>
        <v>0</v>
      </c>
      <c r="AJ13" s="38" t="str">
        <f>_xlfn.IFNA(IF($AG13="","",IF(AB13="Y","DONE",VLOOKUP(A13,'Ship Date'!A:AG,29,0))),"")</f>
        <v/>
      </c>
      <c r="AK13" s="12">
        <f t="shared" ca="1" si="4"/>
        <v>0</v>
      </c>
      <c r="AL13" s="38" t="str">
        <f>_xlfn.IFNA(IF($AG13="","",IF(Z13="Y","DONE",VLOOKUP(A13,'Ship Date'!A:AI,28,0))),"")</f>
        <v/>
      </c>
      <c r="AM13" s="12">
        <f t="shared" ca="1" si="5"/>
        <v>0</v>
      </c>
      <c r="AN13" s="38" t="str">
        <f>_xlfn.IFNA(IF(T13="Y","DONE",VLOOKUP(A13,'Ship Date'!A:AE,25,0)),"")</f>
        <v>DONE</v>
      </c>
      <c r="AO13" s="12">
        <f t="shared" si="6"/>
        <v>0</v>
      </c>
      <c r="AP13" s="38" t="str">
        <f>_xlfn.IFNA(IF(AD13="Y","DONE",VLOOKUP(A13,'Ship Date'!A:AE,30,0)),"")</f>
        <v>DONE</v>
      </c>
      <c r="AQ13" s="12">
        <f t="shared" ca="1" si="7"/>
        <v>0</v>
      </c>
      <c r="AR13" s="38" t="str">
        <f>IFERROR(_xlfn.IFNA(VLOOKUP(A13,'Ship Date'!A:C,3,0),""),"")</f>
        <v/>
      </c>
      <c r="AS13" s="12" t="str">
        <f t="shared" ca="1" si="8"/>
        <v/>
      </c>
      <c r="AT13" s="38"/>
      <c r="AU13" s="41"/>
      <c r="AV13" s="38">
        <f>_xlfn.IFNA(IF(VLOOKUP(A13,'Actual Dates'!A:AE,31,0)="","",VLOOKUP(A13,'Actual Dates'!A:AE,31,0)),"")</f>
        <v>46043</v>
      </c>
      <c r="AW13" s="40"/>
    </row>
    <row r="14" spans="1:49" ht="23.25" hidden="1" x14ac:dyDescent="0.25">
      <c r="A14" s="12" t="str">
        <f>'Actual Dates'!A13</f>
        <v>25-018</v>
      </c>
      <c r="B14" s="13" t="str">
        <f t="shared" si="0"/>
        <v>Kimberly Clark</v>
      </c>
      <c r="C14" s="35"/>
      <c r="D14" s="36" t="str">
        <f t="shared" si="9"/>
        <v>Y</v>
      </c>
      <c r="E14" s="37">
        <f t="shared" si="10"/>
        <v>78</v>
      </c>
      <c r="F14" s="36" t="str">
        <f t="shared" si="11"/>
        <v>Y</v>
      </c>
      <c r="G14" s="37">
        <f t="shared" si="12"/>
        <v>7</v>
      </c>
      <c r="H14" s="36" t="str">
        <f t="shared" si="1"/>
        <v>Y</v>
      </c>
      <c r="I14" s="37">
        <f t="shared" si="13"/>
        <v>0</v>
      </c>
      <c r="J14" s="35"/>
      <c r="K14" s="36" t="str">
        <f t="shared" si="14"/>
        <v>Y</v>
      </c>
      <c r="L14" s="37">
        <f t="shared" si="15"/>
        <v>13</v>
      </c>
      <c r="M14" s="37">
        <f t="shared" si="2"/>
        <v>12</v>
      </c>
      <c r="N14" s="36" t="str">
        <f t="shared" si="16"/>
        <v>Y</v>
      </c>
      <c r="O14" s="37">
        <f t="shared" si="17"/>
        <v>162</v>
      </c>
      <c r="P14" s="36" t="str">
        <f t="shared" si="18"/>
        <v>Y</v>
      </c>
      <c r="Q14" s="37">
        <f t="shared" si="19"/>
        <v>-134</v>
      </c>
      <c r="R14" s="36" t="str">
        <f t="shared" si="20"/>
        <v>Y</v>
      </c>
      <c r="S14" s="37">
        <f t="shared" si="21"/>
        <v>15</v>
      </c>
      <c r="T14" s="36" t="str">
        <f t="shared" si="22"/>
        <v>Y</v>
      </c>
      <c r="U14" s="37">
        <f t="shared" si="23"/>
        <v>8</v>
      </c>
      <c r="V14" s="36" t="str">
        <f t="shared" si="24"/>
        <v>Y</v>
      </c>
      <c r="W14" s="37">
        <f t="shared" si="25"/>
        <v>41</v>
      </c>
      <c r="X14" s="36" t="str">
        <f t="shared" si="26"/>
        <v>Y</v>
      </c>
      <c r="Y14" s="37">
        <f t="shared" si="27"/>
        <v>140</v>
      </c>
      <c r="Z14" s="36" t="str">
        <f t="shared" si="28"/>
        <v>Y</v>
      </c>
      <c r="AA14" s="37">
        <f t="shared" si="29"/>
        <v>139</v>
      </c>
      <c r="AB14" s="36" t="str">
        <f t="shared" si="30"/>
        <v>Y</v>
      </c>
      <c r="AC14" s="37">
        <f t="shared" si="31"/>
        <v>42</v>
      </c>
      <c r="AD14" s="36" t="str">
        <f t="shared" si="32"/>
        <v>Y</v>
      </c>
      <c r="AE14" s="37">
        <f t="shared" si="33"/>
        <v>193</v>
      </c>
      <c r="AF14" s="38">
        <f ca="1">_xlfn.IFNA(IF(AG14="",TODAY()+(VLOOKUP(A14,'Date Calcs'!A:G,7,0)*7),VLOOKUP(A14,'Actual Dates'!A:AE,21,FALSE())),"")</f>
        <v>46059</v>
      </c>
      <c r="AG14" s="38">
        <f>IF(VLOOKUP(A14,'Actual Dates'!A:AE,20,0)="","",VLOOKUP(A14,'Actual Dates'!A:AE,20,0))</f>
        <v>45905</v>
      </c>
      <c r="AH14" s="38" t="str">
        <f>_xlfn.IFNA(IF($AG14="","",IF(X14="Y","DONE",VLOOKUP(A14,'Ship Date'!A:AE,27,0))),"")</f>
        <v>DONE</v>
      </c>
      <c r="AI14" s="12">
        <f t="shared" ca="1" si="3"/>
        <v>0</v>
      </c>
      <c r="AJ14" s="38" t="str">
        <f>_xlfn.IFNA(IF($AG14="","",IF(AB14="Y","DONE",VLOOKUP(A14,'Ship Date'!A:AG,29,0))),"")</f>
        <v>DONE</v>
      </c>
      <c r="AK14" s="12">
        <f t="shared" ca="1" si="4"/>
        <v>0</v>
      </c>
      <c r="AL14" s="38" t="str">
        <f>_xlfn.IFNA(IF($AG14="","",IF(Z14="Y","DONE",VLOOKUP(A14,'Ship Date'!A:AI,28,0))),"")</f>
        <v>DONE</v>
      </c>
      <c r="AM14" s="12">
        <f t="shared" ca="1" si="5"/>
        <v>0</v>
      </c>
      <c r="AN14" s="38" t="str">
        <f>_xlfn.IFNA(IF(T14="Y","DONE",VLOOKUP(A14,'Ship Date'!A:AE,25,0)),"")</f>
        <v>DONE</v>
      </c>
      <c r="AO14" s="12">
        <f t="shared" si="6"/>
        <v>0</v>
      </c>
      <c r="AP14" s="38" t="str">
        <f>_xlfn.IFNA(IF(AD14="Y","DONE",VLOOKUP(A14,'Ship Date'!A:AE,30,0)),"")</f>
        <v>DONE</v>
      </c>
      <c r="AQ14" s="12">
        <f t="shared" ca="1" si="7"/>
        <v>0</v>
      </c>
      <c r="AR14" s="38" t="str">
        <f>IFERROR(_xlfn.IFNA(VLOOKUP(A14,'Ship Date'!A:C,3,0),""),"")</f>
        <v/>
      </c>
      <c r="AS14" s="12" t="str">
        <f t="shared" ca="1" si="8"/>
        <v/>
      </c>
      <c r="AT14" s="38" t="str">
        <f>_xlfn.IFNA(IF(VLOOKUP(A14,'Actual Dates'!A:AF,32,0)="N/A"," ",VLOOKUP(A14,'Actual Dates'!A:AF,32,0))," ")</f>
        <v xml:space="preserve"> </v>
      </c>
      <c r="AU14" s="39">
        <v>46091</v>
      </c>
      <c r="AV14" s="38">
        <f>_xlfn.IFNA(IF(VLOOKUP(A14,'Actual Dates'!A:AE,31,0)="","",VLOOKUP(A14,'Actual Dates'!A:AE,31,0)),"")</f>
        <v>46097</v>
      </c>
      <c r="AW14" s="40"/>
    </row>
    <row r="15" spans="1:49" ht="23.25" hidden="1" x14ac:dyDescent="0.25">
      <c r="A15" s="12" t="str">
        <f>'Actual Dates'!A14</f>
        <v>25-019</v>
      </c>
      <c r="B15" s="13" t="str">
        <f t="shared" si="0"/>
        <v>Kimberly Clark</v>
      </c>
      <c r="C15" s="35"/>
      <c r="D15" s="36" t="str">
        <f t="shared" si="9"/>
        <v>Y</v>
      </c>
      <c r="E15" s="37">
        <f t="shared" si="10"/>
        <v>70</v>
      </c>
      <c r="F15" s="36" t="str">
        <f t="shared" si="11"/>
        <v>Y</v>
      </c>
      <c r="G15" s="37">
        <f t="shared" si="12"/>
        <v>7</v>
      </c>
      <c r="H15" s="36" t="str">
        <f t="shared" si="1"/>
        <v>Y</v>
      </c>
      <c r="I15" s="37">
        <f t="shared" si="13"/>
        <v>0</v>
      </c>
      <c r="J15" s="35"/>
      <c r="K15" s="36" t="str">
        <f t="shared" si="14"/>
        <v>Y</v>
      </c>
      <c r="L15" s="37">
        <f t="shared" si="15"/>
        <v>6</v>
      </c>
      <c r="M15" s="37">
        <f t="shared" si="2"/>
        <v>5</v>
      </c>
      <c r="N15" s="36" t="str">
        <f t="shared" si="16"/>
        <v>Y</v>
      </c>
      <c r="O15" s="37">
        <f t="shared" si="17"/>
        <v>183</v>
      </c>
      <c r="P15" s="36" t="str">
        <f t="shared" si="18"/>
        <v>Y</v>
      </c>
      <c r="Q15" s="37">
        <f t="shared" si="19"/>
        <v>-171</v>
      </c>
      <c r="R15" s="36" t="str">
        <f t="shared" si="20"/>
        <v>Y</v>
      </c>
      <c r="S15" s="37">
        <f t="shared" si="21"/>
        <v>6</v>
      </c>
      <c r="T15" s="36" t="str">
        <f t="shared" si="22"/>
        <v>Y</v>
      </c>
      <c r="U15" s="37">
        <f t="shared" si="23"/>
        <v>-1</v>
      </c>
      <c r="V15" s="36" t="str">
        <f t="shared" si="24"/>
        <v>Y</v>
      </c>
      <c r="W15" s="37">
        <f t="shared" si="25"/>
        <v>61</v>
      </c>
      <c r="X15" s="36" t="str">
        <f t="shared" si="26"/>
        <v>Y</v>
      </c>
      <c r="Y15" s="37">
        <f t="shared" si="27"/>
        <v>84</v>
      </c>
      <c r="Z15" s="36" t="str">
        <f t="shared" si="28"/>
        <v>Y</v>
      </c>
      <c r="AA15" s="37">
        <f t="shared" si="29"/>
        <v>81</v>
      </c>
      <c r="AB15" s="36" t="str">
        <f t="shared" si="30"/>
        <v>Y</v>
      </c>
      <c r="AC15" s="37">
        <f t="shared" si="31"/>
        <v>76</v>
      </c>
      <c r="AD15" s="36" t="str">
        <f t="shared" si="32"/>
        <v>Y</v>
      </c>
      <c r="AE15" s="37">
        <f t="shared" si="33"/>
        <v>165</v>
      </c>
      <c r="AF15" s="38">
        <f ca="1">_xlfn.IFNA(IF(AG15="",TODAY()+(VLOOKUP(A15,'Date Calcs'!A:G,7,0)*7),VLOOKUP(A15,'Actual Dates'!A:AE,21,FALSE())),"")</f>
        <v>46087</v>
      </c>
      <c r="AG15" s="38">
        <f>_xlfn.IFNA(IF(VLOOKUP(A15,'Actual Dates'!A:AE,20,0)="","",VLOOKUP(A15,'Actual Dates'!A:AE,20,0)+(VLOOKUP(A15,'Date Calcs'!A:X,22,0)*7)),"")</f>
        <v>45905</v>
      </c>
      <c r="AH15" s="38" t="str">
        <f>_xlfn.IFNA(IF($AG15="","",IF(X15="Y","DONE",VLOOKUP(A15,'Ship Date'!A:AE,27,0))),"")</f>
        <v>DONE</v>
      </c>
      <c r="AI15" s="12">
        <f t="shared" ca="1" si="3"/>
        <v>0</v>
      </c>
      <c r="AJ15" s="38" t="str">
        <f>_xlfn.IFNA(IF($AG15="","",IF(AB15="Y","DONE",VLOOKUP(A15,'Ship Date'!A:AG,29,0))),"")</f>
        <v>DONE</v>
      </c>
      <c r="AK15" s="12">
        <f t="shared" ca="1" si="4"/>
        <v>0</v>
      </c>
      <c r="AL15" s="38" t="str">
        <f>_xlfn.IFNA(IF($AG15="","",IF(Z15="Y","DONE",VLOOKUP(A15,'Ship Date'!A:AI,28,0))),"")</f>
        <v>DONE</v>
      </c>
      <c r="AM15" s="12">
        <f t="shared" ca="1" si="5"/>
        <v>0</v>
      </c>
      <c r="AN15" s="38" t="str">
        <f>_xlfn.IFNA(IF(T15="Y","DONE",VLOOKUP(A15,'Ship Date'!A:AE,25,0)),"")</f>
        <v>DONE</v>
      </c>
      <c r="AO15" s="12">
        <f t="shared" si="6"/>
        <v>0</v>
      </c>
      <c r="AP15" s="38" t="str">
        <f>_xlfn.IFNA(IF(AD15="Y","DONE",VLOOKUP(A15,'Ship Date'!A:AE,30,0)),"")</f>
        <v>DONE</v>
      </c>
      <c r="AQ15" s="12">
        <f t="shared" ca="1" si="7"/>
        <v>0</v>
      </c>
      <c r="AR15" s="38" t="str">
        <f>IFERROR(_xlfn.IFNA(VLOOKUP(A15,'Ship Date'!A:C,3,0),""),"")</f>
        <v/>
      </c>
      <c r="AS15" s="12" t="str">
        <f t="shared" ca="1" si="8"/>
        <v/>
      </c>
      <c r="AT15" s="38"/>
      <c r="AU15" s="41"/>
      <c r="AV15" s="38">
        <f>_xlfn.IFNA(IF(VLOOKUP(A15,'Actual Dates'!A:AE,31,0)="","",VLOOKUP(A15,'Actual Dates'!A:AE,31,0)),"")</f>
        <v>46076</v>
      </c>
      <c r="AW15" s="40"/>
    </row>
    <row r="16" spans="1:49" ht="23.25" hidden="1" x14ac:dyDescent="0.25">
      <c r="A16" s="12" t="str">
        <f>'Actual Dates'!A15</f>
        <v>25-020</v>
      </c>
      <c r="B16" s="13" t="str">
        <f t="shared" si="0"/>
        <v>Kimberly Clark</v>
      </c>
      <c r="C16" s="35"/>
      <c r="D16" s="36" t="str">
        <f t="shared" si="9"/>
        <v>Y</v>
      </c>
      <c r="E16" s="37">
        <f t="shared" si="10"/>
        <v>21</v>
      </c>
      <c r="F16" s="36" t="str">
        <f t="shared" si="11"/>
        <v>Y</v>
      </c>
      <c r="G16" s="37">
        <f t="shared" si="12"/>
        <v>7</v>
      </c>
      <c r="H16" s="36" t="str">
        <f t="shared" si="1"/>
        <v>Y</v>
      </c>
      <c r="I16" s="37">
        <f t="shared" si="13"/>
        <v>0</v>
      </c>
      <c r="J16" s="35"/>
      <c r="K16" s="36" t="str">
        <f t="shared" si="14"/>
        <v>Y</v>
      </c>
      <c r="L16" s="37">
        <f t="shared" si="15"/>
        <v>3</v>
      </c>
      <c r="M16" s="37">
        <f t="shared" si="2"/>
        <v>2</v>
      </c>
      <c r="N16" s="36" t="str">
        <f t="shared" si="16"/>
        <v>Y</v>
      </c>
      <c r="O16" s="37">
        <f t="shared" si="17"/>
        <v>180</v>
      </c>
      <c r="P16" s="36" t="str">
        <f t="shared" si="18"/>
        <v>Y</v>
      </c>
      <c r="Q16" s="37">
        <f t="shared" si="19"/>
        <v>-224</v>
      </c>
      <c r="R16" s="36" t="str">
        <f t="shared" si="20"/>
        <v>Y</v>
      </c>
      <c r="S16" s="37">
        <f t="shared" si="21"/>
        <v>-16</v>
      </c>
      <c r="T16" s="36" t="str">
        <f t="shared" si="22"/>
        <v>Y</v>
      </c>
      <c r="U16" s="37">
        <f t="shared" si="23"/>
        <v>-23</v>
      </c>
      <c r="V16" s="36" t="str">
        <f t="shared" si="24"/>
        <v>Y</v>
      </c>
      <c r="W16" s="37">
        <f t="shared" si="25"/>
        <v>-7</v>
      </c>
      <c r="X16" s="36" t="str">
        <f t="shared" si="26"/>
        <v>Y</v>
      </c>
      <c r="Y16" s="37" t="str">
        <f t="shared" si="27"/>
        <v xml:space="preserve">  </v>
      </c>
      <c r="Z16" s="36" t="str">
        <f t="shared" si="28"/>
        <v xml:space="preserve">  </v>
      </c>
      <c r="AA16" s="37" t="str">
        <f t="shared" si="29"/>
        <v xml:space="preserve">  </v>
      </c>
      <c r="AB16" s="36" t="str">
        <f t="shared" si="30"/>
        <v xml:space="preserve">  </v>
      </c>
      <c r="AC16" s="37">
        <f t="shared" si="31"/>
        <v>-8</v>
      </c>
      <c r="AD16" s="36" t="str">
        <f t="shared" si="32"/>
        <v>Y</v>
      </c>
      <c r="AE16" s="37">
        <f t="shared" si="33"/>
        <v>154</v>
      </c>
      <c r="AF16" s="38">
        <f ca="1">_xlfn.IFNA(IF(AG16="",TODAY()+(VLOOKUP(A16,'Date Calcs'!A:G,7,0)*7),VLOOKUP(A16,'Actual Dates'!A:AE,21,FALSE())),"")</f>
        <v>46077</v>
      </c>
      <c r="AG16" s="38">
        <f>_xlfn.IFNA(IF(VLOOKUP(A16,'Actual Dates'!A:AE,20,0)="","",VLOOKUP(A16,'Actual Dates'!A:AE,20,0)+(VLOOKUP(A16,'Date Calcs'!A:X,22,0)*7)),"")</f>
        <v>45895</v>
      </c>
      <c r="AH16" s="38" t="str">
        <f>_xlfn.IFNA(IF($AG16="","",IF(X16="Y","DONE",VLOOKUP(A16,'Ship Date'!A:AE,27,0))),"")</f>
        <v>DONE</v>
      </c>
      <c r="AI16" s="12">
        <f t="shared" ca="1" si="3"/>
        <v>0</v>
      </c>
      <c r="AJ16" s="38" t="str">
        <f>_xlfn.IFNA(IF($AG16="","",IF(AB16="Y","DONE",VLOOKUP(A16,'Ship Date'!A:AG,29,0))),"")</f>
        <v/>
      </c>
      <c r="AK16" s="12">
        <f t="shared" ca="1" si="4"/>
        <v>0</v>
      </c>
      <c r="AL16" s="38" t="str">
        <f>_xlfn.IFNA(IF($AG16="","",IF(Z16="Y","DONE",VLOOKUP(A16,'Ship Date'!A:AI,28,0))),"")</f>
        <v/>
      </c>
      <c r="AM16" s="12">
        <f t="shared" ca="1" si="5"/>
        <v>0</v>
      </c>
      <c r="AN16" s="38" t="str">
        <f>_xlfn.IFNA(IF(T16="Y","DONE",VLOOKUP(A16,'Ship Date'!A:AE,25,0)),"")</f>
        <v>DONE</v>
      </c>
      <c r="AO16" s="12">
        <f t="shared" si="6"/>
        <v>0</v>
      </c>
      <c r="AP16" s="38" t="str">
        <f>_xlfn.IFNA(IF(AD16="Y","DONE",VLOOKUP(A16,'Ship Date'!A:AE,30,0)),"")</f>
        <v>DONE</v>
      </c>
      <c r="AQ16" s="12">
        <f t="shared" ca="1" si="7"/>
        <v>0</v>
      </c>
      <c r="AR16" s="38" t="str">
        <f>IFERROR(_xlfn.IFNA(VLOOKUP(A16,'Ship Date'!A:C,3,0),""),"")</f>
        <v/>
      </c>
      <c r="AS16" s="12" t="str">
        <f t="shared" ca="1" si="8"/>
        <v/>
      </c>
      <c r="AT16" s="38"/>
      <c r="AU16" s="41"/>
      <c r="AV16" s="38">
        <f>_xlfn.IFNA(IF(VLOOKUP(A16,'Actual Dates'!A:AE,31,0)="","",VLOOKUP(A16,'Actual Dates'!A:AE,31,0)),"")</f>
        <v>46058</v>
      </c>
      <c r="AW16" s="40"/>
    </row>
    <row r="17" spans="1:49" ht="23.25" hidden="1" x14ac:dyDescent="0.25">
      <c r="A17" s="12" t="str">
        <f>'Actual Dates'!A16</f>
        <v>25-021</v>
      </c>
      <c r="B17" s="13" t="str">
        <f t="shared" si="0"/>
        <v>Kimberly Clark</v>
      </c>
      <c r="C17" s="35"/>
      <c r="D17" s="36" t="str">
        <f t="shared" si="9"/>
        <v>Y</v>
      </c>
      <c r="E17" s="37">
        <f t="shared" si="10"/>
        <v>70</v>
      </c>
      <c r="F17" s="36" t="str">
        <f t="shared" si="11"/>
        <v>Y</v>
      </c>
      <c r="G17" s="37">
        <f t="shared" si="12"/>
        <v>7</v>
      </c>
      <c r="H17" s="36" t="str">
        <f t="shared" si="1"/>
        <v>Y</v>
      </c>
      <c r="I17" s="37">
        <f t="shared" si="13"/>
        <v>0</v>
      </c>
      <c r="J17" s="35"/>
      <c r="K17" s="36" t="str">
        <f t="shared" si="14"/>
        <v>Y</v>
      </c>
      <c r="L17" s="37">
        <f t="shared" si="15"/>
        <v>3</v>
      </c>
      <c r="M17" s="37">
        <f t="shared" si="2"/>
        <v>2</v>
      </c>
      <c r="N17" s="36" t="str">
        <f t="shared" si="16"/>
        <v>Y</v>
      </c>
      <c r="O17" s="37">
        <f t="shared" si="17"/>
        <v>180</v>
      </c>
      <c r="P17" s="36" t="str">
        <f t="shared" si="18"/>
        <v>Y</v>
      </c>
      <c r="Q17" s="37">
        <f t="shared" si="19"/>
        <v>-176</v>
      </c>
      <c r="R17" s="36" t="str">
        <f t="shared" si="20"/>
        <v>Y</v>
      </c>
      <c r="S17" s="37">
        <f t="shared" si="21"/>
        <v>0</v>
      </c>
      <c r="T17" s="36" t="str">
        <f t="shared" si="22"/>
        <v>Y</v>
      </c>
      <c r="U17" s="37">
        <f t="shared" si="23"/>
        <v>-7</v>
      </c>
      <c r="V17" s="36" t="str">
        <f t="shared" si="24"/>
        <v>Y</v>
      </c>
      <c r="W17" s="37">
        <f t="shared" si="25"/>
        <v>-2</v>
      </c>
      <c r="X17" s="36" t="str">
        <f t="shared" si="26"/>
        <v>Y</v>
      </c>
      <c r="Y17" s="37">
        <f t="shared" si="27"/>
        <v>32</v>
      </c>
      <c r="Z17" s="36" t="str">
        <f t="shared" si="28"/>
        <v>Y</v>
      </c>
      <c r="AA17" s="37">
        <f t="shared" si="29"/>
        <v>0</v>
      </c>
      <c r="AB17" s="36" t="str">
        <f t="shared" si="30"/>
        <v>Y</v>
      </c>
      <c r="AC17" s="37">
        <f t="shared" si="31"/>
        <v>-1</v>
      </c>
      <c r="AD17" s="36" t="str">
        <f t="shared" si="32"/>
        <v>Y</v>
      </c>
      <c r="AE17" s="37">
        <f t="shared" si="33"/>
        <v>162</v>
      </c>
      <c r="AF17" s="38">
        <f ca="1">_xlfn.IFNA(IF(AG17="",TODAY()+(VLOOKUP(A17,'Date Calcs'!A:G,7,0)*7),VLOOKUP(A17,'Actual Dates'!A:AE,21,FALSE())),"")</f>
        <v>46084</v>
      </c>
      <c r="AG17" s="38">
        <f>_xlfn.IFNA(IF(VLOOKUP(A17,'Actual Dates'!A:AE,20,0)="","",VLOOKUP(A17,'Actual Dates'!A:AE,20,0)+(VLOOKUP(A17,'Date Calcs'!A:X,22,0)*7)),"")</f>
        <v>45902</v>
      </c>
      <c r="AH17" s="38" t="str">
        <f>_xlfn.IFNA(IF($AG17="","",IF(X17="Y","DONE",VLOOKUP(A17,'Ship Date'!A:AE,27,0))),"")</f>
        <v>DONE</v>
      </c>
      <c r="AI17" s="12">
        <f t="shared" ca="1" si="3"/>
        <v>0</v>
      </c>
      <c r="AJ17" s="38" t="str">
        <f>_xlfn.IFNA(IF($AG17="","",IF(AB17="Y","DONE",VLOOKUP(A17,'Ship Date'!A:AG,29,0))),"")</f>
        <v>DONE</v>
      </c>
      <c r="AK17" s="12">
        <f t="shared" ca="1" si="4"/>
        <v>0</v>
      </c>
      <c r="AL17" s="38" t="str">
        <f>_xlfn.IFNA(IF($AG17="","",IF(Z17="Y","DONE",VLOOKUP(A17,'Ship Date'!A:AI,28,0))),"")</f>
        <v>DONE</v>
      </c>
      <c r="AM17" s="12">
        <f t="shared" ca="1" si="5"/>
        <v>0</v>
      </c>
      <c r="AN17" s="38" t="str">
        <f>_xlfn.IFNA(IF(T17="Y","DONE",VLOOKUP(A17,'Ship Date'!A:AE,25,0)),"")</f>
        <v>DONE</v>
      </c>
      <c r="AO17" s="12">
        <f t="shared" si="6"/>
        <v>0</v>
      </c>
      <c r="AP17" s="38" t="str">
        <f>_xlfn.IFNA(IF(AD17="Y","DONE",VLOOKUP(A17,'Ship Date'!A:AE,30,0)),"")</f>
        <v>DONE</v>
      </c>
      <c r="AQ17" s="12">
        <f t="shared" ca="1" si="7"/>
        <v>0</v>
      </c>
      <c r="AR17" s="38" t="str">
        <f>IFERROR(_xlfn.IFNA(VLOOKUP(A17,'Ship Date'!A:C,3,0),""),"")</f>
        <v/>
      </c>
      <c r="AS17" s="12" t="str">
        <f t="shared" ca="1" si="8"/>
        <v/>
      </c>
      <c r="AT17" s="38"/>
      <c r="AU17" s="41"/>
      <c r="AV17" s="38">
        <f>_xlfn.IFNA(IF(VLOOKUP(A17,'Actual Dates'!A:AE,31,0)="","",VLOOKUP(A17,'Actual Dates'!A:AE,31,0)),"")</f>
        <v>46073</v>
      </c>
      <c r="AW17" s="40"/>
    </row>
    <row r="18" spans="1:49" ht="23.25" hidden="1" x14ac:dyDescent="0.25">
      <c r="A18" s="12" t="str">
        <f>'Actual Dates'!A17</f>
        <v>25-023</v>
      </c>
      <c r="B18" s="13" t="str">
        <f t="shared" si="0"/>
        <v>Andritz</v>
      </c>
      <c r="C18" s="35"/>
      <c r="D18" s="36" t="str">
        <f t="shared" si="9"/>
        <v>Y</v>
      </c>
      <c r="E18" s="37">
        <f t="shared" si="10"/>
        <v>-1</v>
      </c>
      <c r="F18" s="36" t="str">
        <f t="shared" si="11"/>
        <v>Y</v>
      </c>
      <c r="G18" s="37">
        <f t="shared" si="12"/>
        <v>-2</v>
      </c>
      <c r="H18" s="36" t="str">
        <f t="shared" si="1"/>
        <v>Y</v>
      </c>
      <c r="I18" s="37">
        <f t="shared" si="13"/>
        <v>0</v>
      </c>
      <c r="J18" s="35"/>
      <c r="K18" s="36" t="str">
        <f t="shared" si="14"/>
        <v>Y</v>
      </c>
      <c r="L18" s="37">
        <f t="shared" si="15"/>
        <v>-2</v>
      </c>
      <c r="M18" s="37">
        <f t="shared" si="2"/>
        <v>-3</v>
      </c>
      <c r="N18" s="36" t="str">
        <f t="shared" si="16"/>
        <v>Y</v>
      </c>
      <c r="O18" s="37">
        <f t="shared" si="17"/>
        <v>77</v>
      </c>
      <c r="P18" s="36" t="str">
        <f t="shared" si="18"/>
        <v>Y</v>
      </c>
      <c r="Q18" s="37">
        <f t="shared" si="19"/>
        <v>-87</v>
      </c>
      <c r="R18" s="36" t="str">
        <f t="shared" si="20"/>
        <v>Y</v>
      </c>
      <c r="S18" s="37">
        <f t="shared" si="21"/>
        <v>-6</v>
      </c>
      <c r="T18" s="36" t="str">
        <f t="shared" si="22"/>
        <v>Y</v>
      </c>
      <c r="U18" s="37">
        <f t="shared" si="23"/>
        <v>-13</v>
      </c>
      <c r="V18" s="36" t="str">
        <f t="shared" si="24"/>
        <v>Y</v>
      </c>
      <c r="W18" s="37">
        <f t="shared" si="25"/>
        <v>-19</v>
      </c>
      <c r="X18" s="36" t="str">
        <f t="shared" si="26"/>
        <v>Y</v>
      </c>
      <c r="Y18" s="37" t="str">
        <f t="shared" si="27"/>
        <v xml:space="preserve">  </v>
      </c>
      <c r="Z18" s="36" t="str">
        <f t="shared" si="28"/>
        <v xml:space="preserve">  </v>
      </c>
      <c r="AA18" s="37" t="str">
        <f t="shared" si="29"/>
        <v xml:space="preserve">  </v>
      </c>
      <c r="AB18" s="36" t="str">
        <f t="shared" si="30"/>
        <v xml:space="preserve">  </v>
      </c>
      <c r="AC18" s="37">
        <f t="shared" si="31"/>
        <v>-13</v>
      </c>
      <c r="AD18" s="36" t="str">
        <f t="shared" si="32"/>
        <v>Y</v>
      </c>
      <c r="AE18" s="37">
        <f t="shared" si="33"/>
        <v>64</v>
      </c>
      <c r="AF18" s="38">
        <f ca="1">_xlfn.IFNA(IF(AG18="",TODAY()+(VLOOKUP(A18,'Date Calcs'!A:G,7,0)*7),VLOOKUP(A18,'Actual Dates'!A:AE,21,FALSE())),"")</f>
        <v>45810</v>
      </c>
      <c r="AG18" s="38">
        <f>_xlfn.IFNA(IF(VLOOKUP(A18,'Actual Dates'!A:AE,20,0)="","",VLOOKUP(A18,'Actual Dates'!A:AE,20,0)+(VLOOKUP(A18,'Date Calcs'!A:X,22,0)*7)),"")</f>
        <v>45726</v>
      </c>
      <c r="AH18" s="38" t="str">
        <f>_xlfn.IFNA(IF($AG18="","",IF(X18="Y","DONE",VLOOKUP(A18,'Ship Date'!A:AE,27,0))),"")</f>
        <v>DONE</v>
      </c>
      <c r="AI18" s="12">
        <f t="shared" ca="1" si="3"/>
        <v>0</v>
      </c>
      <c r="AJ18" s="38" t="str">
        <f>_xlfn.IFNA(IF($AG18="","",IF(AB18="Y","DONE",VLOOKUP(A18,'Ship Date'!A:AG,29,0))),"")</f>
        <v/>
      </c>
      <c r="AK18" s="12">
        <f t="shared" ca="1" si="4"/>
        <v>0</v>
      </c>
      <c r="AL18" s="38" t="str">
        <f>_xlfn.IFNA(IF($AG18="","",IF(Z18="Y","DONE",VLOOKUP(A18,'Ship Date'!A:AI,28,0))),"")</f>
        <v/>
      </c>
      <c r="AM18" s="12">
        <f t="shared" ca="1" si="5"/>
        <v>0</v>
      </c>
      <c r="AN18" s="38" t="str">
        <f>_xlfn.IFNA(IF(T18="Y","DONE",VLOOKUP(A18,'Ship Date'!A:AE,25,0)),"")</f>
        <v>DONE</v>
      </c>
      <c r="AO18" s="12">
        <f t="shared" si="6"/>
        <v>0</v>
      </c>
      <c r="AP18" s="38" t="str">
        <f>_xlfn.IFNA(IF(AD18="Y","DONE",VLOOKUP(A18,'Ship Date'!A:AE,30,0)),"")</f>
        <v>DONE</v>
      </c>
      <c r="AQ18" s="12">
        <f t="shared" ca="1" si="7"/>
        <v>0</v>
      </c>
      <c r="AR18" s="38" t="str">
        <f>IFERROR(_xlfn.IFNA(VLOOKUP(A18,'Ship Date'!A:C,3,0),""),"")</f>
        <v/>
      </c>
      <c r="AS18" s="12" t="str">
        <f t="shared" ca="1" si="8"/>
        <v/>
      </c>
      <c r="AT18" s="38"/>
      <c r="AU18" s="41"/>
      <c r="AV18" s="38">
        <f>_xlfn.IFNA(IF(VLOOKUP(A18,'Actual Dates'!A:AE,31,0)="","",VLOOKUP(A18,'Actual Dates'!A:AE,31,0)),"")</f>
        <v>45804</v>
      </c>
      <c r="AW18" s="40"/>
    </row>
    <row r="19" spans="1:49" ht="23.25" hidden="1" x14ac:dyDescent="0.25">
      <c r="A19" s="12" t="str">
        <f>'Actual Dates'!A18</f>
        <v>25-024</v>
      </c>
      <c r="B19" s="13" t="str">
        <f t="shared" si="0"/>
        <v>Andritz</v>
      </c>
      <c r="C19" s="35"/>
      <c r="D19" s="36" t="str">
        <f t="shared" si="9"/>
        <v>Y</v>
      </c>
      <c r="E19" s="37">
        <f t="shared" si="10"/>
        <v>-1</v>
      </c>
      <c r="F19" s="36" t="str">
        <f t="shared" si="11"/>
        <v>Y</v>
      </c>
      <c r="G19" s="37">
        <f t="shared" si="12"/>
        <v>-2</v>
      </c>
      <c r="H19" s="36" t="str">
        <f t="shared" si="1"/>
        <v>Y</v>
      </c>
      <c r="I19" s="37">
        <f t="shared" si="13"/>
        <v>0</v>
      </c>
      <c r="J19" s="35"/>
      <c r="K19" s="36" t="str">
        <f t="shared" si="14"/>
        <v>Y</v>
      </c>
      <c r="L19" s="37">
        <f t="shared" si="15"/>
        <v>-2</v>
      </c>
      <c r="M19" s="37">
        <f t="shared" si="2"/>
        <v>-3</v>
      </c>
      <c r="N19" s="36" t="str">
        <f t="shared" si="16"/>
        <v>Y</v>
      </c>
      <c r="O19" s="37">
        <f t="shared" si="17"/>
        <v>77</v>
      </c>
      <c r="P19" s="36" t="str">
        <f t="shared" si="18"/>
        <v>Y</v>
      </c>
      <c r="Q19" s="37">
        <f t="shared" si="19"/>
        <v>-87</v>
      </c>
      <c r="R19" s="36" t="str">
        <f t="shared" si="20"/>
        <v>Y</v>
      </c>
      <c r="S19" s="37">
        <f t="shared" si="21"/>
        <v>-6</v>
      </c>
      <c r="T19" s="36" t="str">
        <f t="shared" si="22"/>
        <v>Y</v>
      </c>
      <c r="U19" s="37">
        <f t="shared" si="23"/>
        <v>-13</v>
      </c>
      <c r="V19" s="36" t="str">
        <f t="shared" si="24"/>
        <v>Y</v>
      </c>
      <c r="W19" s="37">
        <f t="shared" si="25"/>
        <v>-19</v>
      </c>
      <c r="X19" s="36" t="str">
        <f t="shared" si="26"/>
        <v>Y</v>
      </c>
      <c r="Y19" s="37" t="str">
        <f t="shared" si="27"/>
        <v xml:space="preserve">  </v>
      </c>
      <c r="Z19" s="36" t="str">
        <f t="shared" si="28"/>
        <v xml:space="preserve">  </v>
      </c>
      <c r="AA19" s="37" t="str">
        <f t="shared" si="29"/>
        <v xml:space="preserve">  </v>
      </c>
      <c r="AB19" s="36" t="str">
        <f t="shared" si="30"/>
        <v xml:space="preserve">  </v>
      </c>
      <c r="AC19" s="37">
        <f t="shared" si="31"/>
        <v>-13</v>
      </c>
      <c r="AD19" s="36" t="str">
        <f t="shared" si="32"/>
        <v>Y</v>
      </c>
      <c r="AE19" s="37">
        <f t="shared" si="33"/>
        <v>64</v>
      </c>
      <c r="AF19" s="38">
        <f ca="1">_xlfn.IFNA(IF(AG19="",TODAY()+(VLOOKUP(A19,'Date Calcs'!A:G,7,0)*7),VLOOKUP(A19,'Actual Dates'!A:AE,21,FALSE())),"")</f>
        <v>45810</v>
      </c>
      <c r="AG19" s="38">
        <f>_xlfn.IFNA(IF(VLOOKUP(A19,'Actual Dates'!A:AE,20,0)="","",VLOOKUP(A19,'Actual Dates'!A:AE,20,0)+(VLOOKUP(A19,'Date Calcs'!A:X,22,0)*7)),"")</f>
        <v>45726</v>
      </c>
      <c r="AH19" s="38" t="str">
        <f>_xlfn.IFNA(IF($AG19="","",IF(X19="Y","DONE",VLOOKUP(A19,'Ship Date'!A:AE,27,0))),"")</f>
        <v>DONE</v>
      </c>
      <c r="AI19" s="12">
        <f t="shared" ca="1" si="3"/>
        <v>0</v>
      </c>
      <c r="AJ19" s="38" t="str">
        <f>_xlfn.IFNA(IF($AG19="","",IF(AB19="Y","DONE",VLOOKUP(A19,'Ship Date'!A:AG,29,0))),"")</f>
        <v/>
      </c>
      <c r="AK19" s="12">
        <f t="shared" ca="1" si="4"/>
        <v>0</v>
      </c>
      <c r="AL19" s="38" t="str">
        <f>_xlfn.IFNA(IF($AG19="","",IF(Z19="Y","DONE",VLOOKUP(A19,'Ship Date'!A:AI,28,0))),"")</f>
        <v/>
      </c>
      <c r="AM19" s="12">
        <f t="shared" ca="1" si="5"/>
        <v>0</v>
      </c>
      <c r="AN19" s="38" t="str">
        <f>_xlfn.IFNA(IF(T19="Y","DONE",VLOOKUP(A19,'Ship Date'!A:AE,25,0)),"")</f>
        <v>DONE</v>
      </c>
      <c r="AO19" s="12">
        <f t="shared" si="6"/>
        <v>0</v>
      </c>
      <c r="AP19" s="38" t="str">
        <f>_xlfn.IFNA(IF(AD19="Y","DONE",VLOOKUP(A19,'Ship Date'!A:AE,30,0)),"")</f>
        <v>DONE</v>
      </c>
      <c r="AQ19" s="12">
        <f t="shared" ca="1" si="7"/>
        <v>0</v>
      </c>
      <c r="AR19" s="38" t="str">
        <f>IFERROR(_xlfn.IFNA(VLOOKUP(A19,'Ship Date'!A:C,3,0),""),"")</f>
        <v/>
      </c>
      <c r="AS19" s="12" t="str">
        <f t="shared" ca="1" si="8"/>
        <v/>
      </c>
      <c r="AT19" s="38"/>
      <c r="AU19" s="41"/>
      <c r="AV19" s="38">
        <f>_xlfn.IFNA(IF(VLOOKUP(A19,'Actual Dates'!A:AE,31,0)="","",VLOOKUP(A19,'Actual Dates'!A:AE,31,0)),"")</f>
        <v>45804</v>
      </c>
      <c r="AW19" s="40"/>
    </row>
    <row r="20" spans="1:49" ht="23.25" hidden="1" x14ac:dyDescent="0.25">
      <c r="A20" s="12" t="str">
        <f>'Actual Dates'!A19</f>
        <v>25-025</v>
      </c>
      <c r="B20" s="13" t="str">
        <f t="shared" si="0"/>
        <v>Irving Tissue</v>
      </c>
      <c r="C20" s="35"/>
      <c r="D20" s="36" t="str">
        <f t="shared" si="9"/>
        <v>Y</v>
      </c>
      <c r="E20" s="37">
        <f t="shared" si="10"/>
        <v>-7</v>
      </c>
      <c r="F20" s="36" t="str">
        <f t="shared" si="11"/>
        <v>Y</v>
      </c>
      <c r="G20" s="37">
        <f t="shared" si="12"/>
        <v>-1</v>
      </c>
      <c r="H20" s="36" t="str">
        <f t="shared" si="1"/>
        <v>Y</v>
      </c>
      <c r="I20" s="37">
        <f t="shared" si="13"/>
        <v>0</v>
      </c>
      <c r="J20" s="35"/>
      <c r="K20" s="36" t="str">
        <f t="shared" si="14"/>
        <v>Y</v>
      </c>
      <c r="L20" s="37">
        <f t="shared" si="15"/>
        <v>4</v>
      </c>
      <c r="M20" s="37">
        <f t="shared" si="2"/>
        <v>3</v>
      </c>
      <c r="N20" s="36" t="str">
        <f t="shared" si="16"/>
        <v>Y</v>
      </c>
      <c r="O20" s="37">
        <f t="shared" si="17"/>
        <v>167</v>
      </c>
      <c r="P20" s="36" t="str">
        <f t="shared" si="18"/>
        <v>Y</v>
      </c>
      <c r="Q20" s="37">
        <f t="shared" si="19"/>
        <v>-169</v>
      </c>
      <c r="R20" s="36" t="str">
        <f t="shared" si="20"/>
        <v>Y</v>
      </c>
      <c r="S20" s="37">
        <f t="shared" si="21"/>
        <v>-8</v>
      </c>
      <c r="T20" s="36" t="str">
        <f t="shared" si="22"/>
        <v>Y</v>
      </c>
      <c r="U20" s="37">
        <f t="shared" si="23"/>
        <v>-15</v>
      </c>
      <c r="V20" s="36" t="str">
        <f t="shared" si="24"/>
        <v>Y</v>
      </c>
      <c r="W20" s="37">
        <f t="shared" si="25"/>
        <v>-9</v>
      </c>
      <c r="X20" s="36" t="str">
        <f t="shared" si="26"/>
        <v>Y</v>
      </c>
      <c r="Y20" s="37" t="str">
        <f t="shared" si="27"/>
        <v xml:space="preserve">  </v>
      </c>
      <c r="Z20" s="36" t="str">
        <f t="shared" si="28"/>
        <v xml:space="preserve">  </v>
      </c>
      <c r="AA20" s="37" t="str">
        <f t="shared" si="29"/>
        <v xml:space="preserve">  </v>
      </c>
      <c r="AB20" s="36" t="str">
        <f t="shared" si="30"/>
        <v xml:space="preserve">  </v>
      </c>
      <c r="AC20" s="37">
        <f t="shared" si="31"/>
        <v>0</v>
      </c>
      <c r="AD20" s="36" t="str">
        <f t="shared" si="32"/>
        <v>Y</v>
      </c>
      <c r="AE20" s="37">
        <f t="shared" si="33"/>
        <v>91</v>
      </c>
      <c r="AF20" s="38">
        <f ca="1">_xlfn.IFNA(IF(AG20="",TODAY()+(VLOOKUP(A20,'Date Calcs'!A:G,7,0)*7),VLOOKUP(A20,'Actual Dates'!A:AE,21,FALSE())),"")</f>
        <v>45973</v>
      </c>
      <c r="AG20" s="38">
        <f>_xlfn.IFNA(IF(VLOOKUP(A20,'Actual Dates'!A:AE,20,0)="","",VLOOKUP(A20,'Actual Dates'!A:AE,20,0)+(VLOOKUP(A20,'Date Calcs'!A:X,22,0)*7)),"")</f>
        <v>45805</v>
      </c>
      <c r="AH20" s="38" t="str">
        <f>_xlfn.IFNA(IF($AG20="","",IF(X20="Y","DONE",VLOOKUP(A20,'Ship Date'!A:AE,27,0))),"")</f>
        <v>DONE</v>
      </c>
      <c r="AI20" s="12">
        <f t="shared" ca="1" si="3"/>
        <v>0</v>
      </c>
      <c r="AJ20" s="38" t="str">
        <f>_xlfn.IFNA(IF($AG20="","",IF(AB20="Y","DONE",VLOOKUP(A20,'Ship Date'!A:AG,29,0))),"")</f>
        <v/>
      </c>
      <c r="AK20" s="12">
        <f t="shared" ca="1" si="4"/>
        <v>0</v>
      </c>
      <c r="AL20" s="38" t="str">
        <f>_xlfn.IFNA(IF($AG20="","",IF(Z20="Y","DONE",VLOOKUP(A20,'Ship Date'!A:AI,28,0))),"")</f>
        <v/>
      </c>
      <c r="AM20" s="12">
        <f t="shared" ca="1" si="5"/>
        <v>0</v>
      </c>
      <c r="AN20" s="38" t="str">
        <f>_xlfn.IFNA(IF(T20="Y","DONE",VLOOKUP(A20,'Ship Date'!A:AE,25,0)),"")</f>
        <v>DONE</v>
      </c>
      <c r="AO20" s="12">
        <f t="shared" si="6"/>
        <v>0</v>
      </c>
      <c r="AP20" s="38" t="str">
        <f>_xlfn.IFNA(IF(AD20="Y","DONE",VLOOKUP(A20,'Ship Date'!A:AE,30,0)),"")</f>
        <v>DONE</v>
      </c>
      <c r="AQ20" s="12">
        <f t="shared" ca="1" si="7"/>
        <v>0</v>
      </c>
      <c r="AR20" s="38" t="str">
        <f>IFERROR(_xlfn.IFNA(VLOOKUP(A20,'Ship Date'!A:C,3,0),""),"")</f>
        <v/>
      </c>
      <c r="AS20" s="12" t="str">
        <f t="shared" ca="1" si="8"/>
        <v/>
      </c>
      <c r="AT20" s="38"/>
      <c r="AU20" s="41"/>
      <c r="AV20" s="38">
        <f>_xlfn.IFNA(IF(VLOOKUP(A20,'Actual Dates'!A:AE,31,0)="","",VLOOKUP(A20,'Actual Dates'!A:AE,31,0)),"")</f>
        <v>45904</v>
      </c>
      <c r="AW20" s="40"/>
    </row>
    <row r="21" spans="1:49" ht="23.25" hidden="1" x14ac:dyDescent="0.25">
      <c r="A21" s="12" t="str">
        <f>'Actual Dates'!A20</f>
        <v>25-026</v>
      </c>
      <c r="B21" s="13" t="str">
        <f t="shared" si="0"/>
        <v>Irving Tissue</v>
      </c>
      <c r="C21" s="35"/>
      <c r="D21" s="36" t="str">
        <f t="shared" si="9"/>
        <v>Y</v>
      </c>
      <c r="E21" s="37">
        <f t="shared" si="10"/>
        <v>-7</v>
      </c>
      <c r="F21" s="36" t="str">
        <f t="shared" si="11"/>
        <v>Y</v>
      </c>
      <c r="G21" s="37">
        <f t="shared" si="12"/>
        <v>-1</v>
      </c>
      <c r="H21" s="36" t="str">
        <f t="shared" si="1"/>
        <v>Y</v>
      </c>
      <c r="I21" s="37">
        <f t="shared" si="13"/>
        <v>0</v>
      </c>
      <c r="J21" s="35"/>
      <c r="K21" s="36" t="str">
        <f t="shared" si="14"/>
        <v>Y</v>
      </c>
      <c r="L21" s="37">
        <f t="shared" si="15"/>
        <v>5</v>
      </c>
      <c r="M21" s="37">
        <f t="shared" si="2"/>
        <v>4</v>
      </c>
      <c r="N21" s="36" t="str">
        <f t="shared" si="16"/>
        <v>Y</v>
      </c>
      <c r="O21" s="37">
        <f t="shared" si="17"/>
        <v>168</v>
      </c>
      <c r="P21" s="36" t="str">
        <f t="shared" si="18"/>
        <v>Y</v>
      </c>
      <c r="Q21" s="37">
        <f t="shared" si="19"/>
        <v>-173</v>
      </c>
      <c r="R21" s="36" t="str">
        <f t="shared" si="20"/>
        <v>Y</v>
      </c>
      <c r="S21" s="37">
        <f t="shared" si="21"/>
        <v>-11</v>
      </c>
      <c r="T21" s="36" t="str">
        <f t="shared" si="22"/>
        <v>Y</v>
      </c>
      <c r="U21" s="37">
        <f t="shared" si="23"/>
        <v>-18</v>
      </c>
      <c r="V21" s="36" t="str">
        <f t="shared" si="24"/>
        <v>Y</v>
      </c>
      <c r="W21" s="37">
        <f t="shared" si="25"/>
        <v>-1</v>
      </c>
      <c r="X21" s="36" t="str">
        <f t="shared" si="26"/>
        <v>Y</v>
      </c>
      <c r="Y21" s="37" t="str">
        <f t="shared" si="27"/>
        <v xml:space="preserve">  </v>
      </c>
      <c r="Z21" s="36" t="str">
        <f t="shared" si="28"/>
        <v xml:space="preserve">  </v>
      </c>
      <c r="AA21" s="37" t="str">
        <f t="shared" si="29"/>
        <v xml:space="preserve">  </v>
      </c>
      <c r="AB21" s="36" t="str">
        <f t="shared" si="30"/>
        <v xml:space="preserve">  </v>
      </c>
      <c r="AC21" s="37">
        <f t="shared" si="31"/>
        <v>9</v>
      </c>
      <c r="AD21" s="36" t="str">
        <f t="shared" si="32"/>
        <v>Y</v>
      </c>
      <c r="AE21" s="37">
        <f t="shared" si="33"/>
        <v>100</v>
      </c>
      <c r="AF21" s="38">
        <f ca="1">_xlfn.IFNA(IF(AG21="",TODAY()+(VLOOKUP(A21,'Date Calcs'!A:G,7,0)*7),VLOOKUP(A21,'Actual Dates'!A:AE,21,FALSE())),"")</f>
        <v>45965</v>
      </c>
      <c r="AG21" s="38">
        <f>_xlfn.IFNA(IF(VLOOKUP(A21,'Actual Dates'!A:AE,20,0)="","",VLOOKUP(A21,'Actual Dates'!A:AE,20,0)+(VLOOKUP(A21,'Date Calcs'!A:X,22,0)*7)),"")</f>
        <v>45797</v>
      </c>
      <c r="AH21" s="38" t="str">
        <f>_xlfn.IFNA(IF($AG21="","",IF(X21="Y","DONE",VLOOKUP(A21,'Ship Date'!A:AE,27,0))),"")</f>
        <v>DONE</v>
      </c>
      <c r="AI21" s="12">
        <f t="shared" ca="1" si="3"/>
        <v>0</v>
      </c>
      <c r="AJ21" s="38" t="str">
        <f>_xlfn.IFNA(IF($AG21="","",IF(AB21="Y","DONE",VLOOKUP(A21,'Ship Date'!A:AG,29,0))),"")</f>
        <v/>
      </c>
      <c r="AK21" s="12">
        <f t="shared" ca="1" si="4"/>
        <v>0</v>
      </c>
      <c r="AL21" s="38" t="str">
        <f>_xlfn.IFNA(IF($AG21="","",IF(Z21="Y","DONE",VLOOKUP(A21,'Ship Date'!A:AI,28,0))),"")</f>
        <v/>
      </c>
      <c r="AM21" s="12">
        <f t="shared" ca="1" si="5"/>
        <v>0</v>
      </c>
      <c r="AN21" s="38" t="str">
        <f>_xlfn.IFNA(IF(T21="Y","DONE",VLOOKUP(A21,'Ship Date'!A:AE,25,0)),"")</f>
        <v>DONE</v>
      </c>
      <c r="AO21" s="12">
        <f t="shared" si="6"/>
        <v>0</v>
      </c>
      <c r="AP21" s="38" t="str">
        <f>_xlfn.IFNA(IF(AD21="Y","DONE",VLOOKUP(A21,'Ship Date'!A:AE,30,0)),"")</f>
        <v>DONE</v>
      </c>
      <c r="AQ21" s="12">
        <f t="shared" ca="1" si="7"/>
        <v>0</v>
      </c>
      <c r="AR21" s="38" t="str">
        <f>IFERROR(_xlfn.IFNA(VLOOKUP(A21,'Ship Date'!A:C,3,0),""),"")</f>
        <v/>
      </c>
      <c r="AS21" s="12" t="str">
        <f t="shared" ca="1" si="8"/>
        <v/>
      </c>
      <c r="AT21" s="42"/>
      <c r="AU21" s="41"/>
      <c r="AV21" s="38">
        <f>_xlfn.IFNA(IF(VLOOKUP(A21,'Actual Dates'!A:AE,31,0)="","",VLOOKUP(A21,'Actual Dates'!A:AE,31,0)),"")</f>
        <v>45904</v>
      </c>
      <c r="AW21" s="40"/>
    </row>
    <row r="22" spans="1:49" ht="23.25" hidden="1" x14ac:dyDescent="0.25">
      <c r="A22" s="12" t="str">
        <f>'Actual Dates'!A21</f>
        <v>25-027</v>
      </c>
      <c r="B22" s="13" t="str">
        <f t="shared" si="0"/>
        <v>Irving Tissue</v>
      </c>
      <c r="C22" s="35"/>
      <c r="D22" s="36" t="str">
        <f t="shared" si="9"/>
        <v>Y</v>
      </c>
      <c r="E22" s="37">
        <f t="shared" si="10"/>
        <v>-7</v>
      </c>
      <c r="F22" s="36" t="str">
        <f t="shared" si="11"/>
        <v>Y</v>
      </c>
      <c r="G22" s="37">
        <f t="shared" si="12"/>
        <v>-1</v>
      </c>
      <c r="H22" s="36" t="str">
        <f t="shared" si="1"/>
        <v>Y</v>
      </c>
      <c r="I22" s="37">
        <f t="shared" si="13"/>
        <v>0</v>
      </c>
      <c r="J22" s="35"/>
      <c r="K22" s="36" t="str">
        <f t="shared" si="14"/>
        <v>Y</v>
      </c>
      <c r="L22" s="37">
        <f t="shared" si="15"/>
        <v>5</v>
      </c>
      <c r="M22" s="37">
        <f t="shared" si="2"/>
        <v>4</v>
      </c>
      <c r="N22" s="36" t="str">
        <f t="shared" si="16"/>
        <v>Y</v>
      </c>
      <c r="O22" s="37">
        <f t="shared" si="17"/>
        <v>168</v>
      </c>
      <c r="P22" s="36" t="str">
        <f t="shared" si="18"/>
        <v>Y</v>
      </c>
      <c r="Q22" s="37">
        <f t="shared" si="19"/>
        <v>-168</v>
      </c>
      <c r="R22" s="36" t="str">
        <f t="shared" si="20"/>
        <v>Y</v>
      </c>
      <c r="S22" s="37">
        <f t="shared" si="21"/>
        <v>-6</v>
      </c>
      <c r="T22" s="36" t="str">
        <f t="shared" si="22"/>
        <v>Y</v>
      </c>
      <c r="U22" s="37">
        <f t="shared" si="23"/>
        <v>-12</v>
      </c>
      <c r="V22" s="36" t="str">
        <f t="shared" si="24"/>
        <v>Y</v>
      </c>
      <c r="W22" s="37">
        <f t="shared" si="25"/>
        <v>0</v>
      </c>
      <c r="X22" s="36" t="str">
        <f t="shared" si="26"/>
        <v>Y</v>
      </c>
      <c r="Y22" s="37" t="str">
        <f t="shared" si="27"/>
        <v xml:space="preserve">  </v>
      </c>
      <c r="Z22" s="36" t="str">
        <f t="shared" si="28"/>
        <v xml:space="preserve">  </v>
      </c>
      <c r="AA22" s="37" t="str">
        <f t="shared" si="29"/>
        <v xml:space="preserve">  </v>
      </c>
      <c r="AB22" s="36" t="str">
        <f t="shared" si="30"/>
        <v xml:space="preserve">  </v>
      </c>
      <c r="AC22" s="37">
        <f t="shared" si="31"/>
        <v>63</v>
      </c>
      <c r="AD22" s="36" t="str">
        <f t="shared" si="32"/>
        <v>Y</v>
      </c>
      <c r="AE22" s="37">
        <f t="shared" si="33"/>
        <v>128</v>
      </c>
      <c r="AF22" s="38">
        <f ca="1">_xlfn.IFNA(IF(AG22="",TODAY()+(VLOOKUP(A22,'Date Calcs'!A:G,7,0)*7),VLOOKUP(A22,'Actual Dates'!A:AE,21,FALSE())),"")</f>
        <v>45965</v>
      </c>
      <c r="AG22" s="38">
        <f>_xlfn.IFNA(IF(VLOOKUP(A22,'Actual Dates'!A:AE,20,0)="","",VLOOKUP(A22,'Actual Dates'!A:AE,20,0)+(VLOOKUP(A22,'Date Calcs'!A:X,22,0)*7)),"")</f>
        <v>45797</v>
      </c>
      <c r="AH22" s="38" t="str">
        <f>_xlfn.IFNA(IF($AG22="","",IF(X22="Y","DONE",VLOOKUP(A22,'Ship Date'!A:AE,27,0))),"")</f>
        <v>DONE</v>
      </c>
      <c r="AI22" s="12">
        <f t="shared" ca="1" si="3"/>
        <v>0</v>
      </c>
      <c r="AJ22" s="38" t="str">
        <f>_xlfn.IFNA(IF($AG22="","",IF(AB22="Y","DONE",VLOOKUP(A22,'Ship Date'!A:AG,29,0))),"")</f>
        <v/>
      </c>
      <c r="AK22" s="12">
        <f t="shared" ca="1" si="4"/>
        <v>0</v>
      </c>
      <c r="AL22" s="38" t="str">
        <f>_xlfn.IFNA(IF($AG22="","",IF(Z22="Y","DONE",VLOOKUP(A22,'Ship Date'!A:AI,28,0))),"")</f>
        <v/>
      </c>
      <c r="AM22" s="12">
        <f t="shared" ca="1" si="5"/>
        <v>0</v>
      </c>
      <c r="AN22" s="38" t="str">
        <f>_xlfn.IFNA(IF(T22="Y","DONE",VLOOKUP(A22,'Ship Date'!A:AE,25,0)),"")</f>
        <v>DONE</v>
      </c>
      <c r="AO22" s="12">
        <f t="shared" si="6"/>
        <v>0</v>
      </c>
      <c r="AP22" s="38" t="str">
        <f>_xlfn.IFNA(IF(AD22="Y","DONE",VLOOKUP(A22,'Ship Date'!A:AE,30,0)),"")</f>
        <v>DONE</v>
      </c>
      <c r="AQ22" s="12">
        <f t="shared" ca="1" si="7"/>
        <v>0</v>
      </c>
      <c r="AR22" s="38" t="str">
        <f>IFERROR(_xlfn.IFNA(VLOOKUP(A22,'Ship Date'!A:C,3,0),""),"")</f>
        <v/>
      </c>
      <c r="AS22" s="12" t="str">
        <f t="shared" ca="1" si="8"/>
        <v/>
      </c>
      <c r="AT22" s="38"/>
      <c r="AU22" s="41"/>
      <c r="AV22" s="38">
        <f>_xlfn.IFNA(IF(VLOOKUP(A22,'Actual Dates'!A:AE,31,0)="","",VLOOKUP(A22,'Actual Dates'!A:AE,31,0)),"")</f>
        <v>45932</v>
      </c>
      <c r="AW22" s="40"/>
    </row>
    <row r="23" spans="1:49" ht="23.25" hidden="1" x14ac:dyDescent="0.25">
      <c r="A23" s="12" t="str">
        <f>'Actual Dates'!A22</f>
        <v>25-028</v>
      </c>
      <c r="B23" s="13" t="str">
        <f t="shared" si="0"/>
        <v>Irving Tissue</v>
      </c>
      <c r="C23" s="35"/>
      <c r="D23" s="36" t="str">
        <f t="shared" si="9"/>
        <v>Y</v>
      </c>
      <c r="E23" s="37">
        <f t="shared" si="10"/>
        <v>-2</v>
      </c>
      <c r="F23" s="36" t="str">
        <f t="shared" si="11"/>
        <v>Y</v>
      </c>
      <c r="G23" s="37">
        <f t="shared" si="12"/>
        <v>-1</v>
      </c>
      <c r="H23" s="36" t="str">
        <f t="shared" si="1"/>
        <v>Y</v>
      </c>
      <c r="I23" s="37">
        <f t="shared" si="13"/>
        <v>0</v>
      </c>
      <c r="J23" s="35"/>
      <c r="K23" s="36" t="str">
        <f t="shared" si="14"/>
        <v>Y</v>
      </c>
      <c r="L23" s="37">
        <f t="shared" si="15"/>
        <v>5</v>
      </c>
      <c r="M23" s="37">
        <f t="shared" si="2"/>
        <v>4</v>
      </c>
      <c r="N23" s="36" t="str">
        <f t="shared" si="16"/>
        <v>Y</v>
      </c>
      <c r="O23" s="37">
        <f t="shared" si="17"/>
        <v>168</v>
      </c>
      <c r="P23" s="36" t="str">
        <f t="shared" si="18"/>
        <v>Y</v>
      </c>
      <c r="Q23" s="37">
        <f t="shared" si="19"/>
        <v>-168</v>
      </c>
      <c r="R23" s="36" t="str">
        <f t="shared" si="20"/>
        <v>Y</v>
      </c>
      <c r="S23" s="37">
        <f t="shared" si="21"/>
        <v>-6</v>
      </c>
      <c r="T23" s="36" t="str">
        <f t="shared" si="22"/>
        <v>Y</v>
      </c>
      <c r="U23" s="37">
        <f t="shared" si="23"/>
        <v>-12</v>
      </c>
      <c r="V23" s="36" t="str">
        <f t="shared" si="24"/>
        <v>Y</v>
      </c>
      <c r="W23" s="37">
        <f t="shared" si="25"/>
        <v>0</v>
      </c>
      <c r="X23" s="36" t="str">
        <f t="shared" si="26"/>
        <v>Y</v>
      </c>
      <c r="Y23" s="37" t="str">
        <f t="shared" si="27"/>
        <v xml:space="preserve">  </v>
      </c>
      <c r="Z23" s="36" t="str">
        <f t="shared" si="28"/>
        <v xml:space="preserve">  </v>
      </c>
      <c r="AA23" s="37" t="str">
        <f t="shared" si="29"/>
        <v xml:space="preserve">  </v>
      </c>
      <c r="AB23" s="36" t="str">
        <f t="shared" si="30"/>
        <v xml:space="preserve">  </v>
      </c>
      <c r="AC23" s="37">
        <f t="shared" si="31"/>
        <v>63</v>
      </c>
      <c r="AD23" s="36" t="str">
        <f t="shared" si="32"/>
        <v>Y</v>
      </c>
      <c r="AE23" s="37">
        <f t="shared" si="33"/>
        <v>128</v>
      </c>
      <c r="AF23" s="38">
        <f ca="1">_xlfn.IFNA(IF(AG23="",TODAY()+(VLOOKUP(A23,'Date Calcs'!A:G,7,0)*7),VLOOKUP(A23,'Actual Dates'!A:AE,21,FALSE())),"")</f>
        <v>45965</v>
      </c>
      <c r="AG23" s="38">
        <f>_xlfn.IFNA(IF(VLOOKUP(A23,'Actual Dates'!A:AE,20,0)="","",VLOOKUP(A23,'Actual Dates'!A:AE,20,0)+(VLOOKUP(A23,'Date Calcs'!A:X,22,0)*7)),"")</f>
        <v>45797</v>
      </c>
      <c r="AH23" s="38" t="str">
        <f>_xlfn.IFNA(IF($AG23="","",IF(X23="Y","DONE",VLOOKUP(A23,'Ship Date'!A:AE,27,0))),"")</f>
        <v>DONE</v>
      </c>
      <c r="AI23" s="12">
        <f t="shared" ca="1" si="3"/>
        <v>0</v>
      </c>
      <c r="AJ23" s="38" t="str">
        <f>_xlfn.IFNA(IF($AG23="","",IF(AB23="Y","DONE",VLOOKUP(A23,'Ship Date'!A:AG,29,0))),"")</f>
        <v/>
      </c>
      <c r="AK23" s="12">
        <f t="shared" ca="1" si="4"/>
        <v>0</v>
      </c>
      <c r="AL23" s="38" t="str">
        <f>_xlfn.IFNA(IF($AG23="","",IF(Z23="Y","DONE",VLOOKUP(A23,'Ship Date'!A:AI,28,0))),"")</f>
        <v/>
      </c>
      <c r="AM23" s="12">
        <f t="shared" ca="1" si="5"/>
        <v>0</v>
      </c>
      <c r="AN23" s="38" t="str">
        <f>_xlfn.IFNA(IF(T23="Y","DONE",VLOOKUP(A23,'Ship Date'!A:AE,25,0)),"")</f>
        <v>DONE</v>
      </c>
      <c r="AO23" s="12">
        <f t="shared" si="6"/>
        <v>0</v>
      </c>
      <c r="AP23" s="38" t="str">
        <f>_xlfn.IFNA(IF(AD23="Y","DONE",VLOOKUP(A23,'Ship Date'!A:AE,30,0)),"")</f>
        <v>DONE</v>
      </c>
      <c r="AQ23" s="12">
        <f t="shared" ca="1" si="7"/>
        <v>0</v>
      </c>
      <c r="AR23" s="38" t="str">
        <f>IFERROR(_xlfn.IFNA(VLOOKUP(A23,'Ship Date'!A:C,3,0),""),"")</f>
        <v/>
      </c>
      <c r="AS23" s="12" t="str">
        <f t="shared" ca="1" si="8"/>
        <v/>
      </c>
      <c r="AT23" s="38"/>
      <c r="AU23" s="41"/>
      <c r="AV23" s="38">
        <f>_xlfn.IFNA(IF(VLOOKUP(A23,'Actual Dates'!A:AE,31,0)="","",VLOOKUP(A23,'Actual Dates'!A:AE,31,0)),"")</f>
        <v>45932</v>
      </c>
      <c r="AW23" s="40"/>
    </row>
    <row r="24" spans="1:49" ht="23.25" hidden="1" x14ac:dyDescent="0.25">
      <c r="A24" s="12" t="str">
        <f>'Actual Dates'!A23</f>
        <v>25-029</v>
      </c>
      <c r="B24" s="13" t="str">
        <f t="shared" si="0"/>
        <v>Irving Tissue</v>
      </c>
      <c r="C24" s="35"/>
      <c r="D24" s="36" t="str">
        <f t="shared" si="9"/>
        <v>Y</v>
      </c>
      <c r="E24" s="37">
        <f t="shared" si="10"/>
        <v>-2</v>
      </c>
      <c r="F24" s="36" t="str">
        <f t="shared" si="11"/>
        <v>Y</v>
      </c>
      <c r="G24" s="37">
        <f t="shared" si="12"/>
        <v>-1</v>
      </c>
      <c r="H24" s="36" t="str">
        <f t="shared" si="1"/>
        <v>Y</v>
      </c>
      <c r="I24" s="37">
        <f t="shared" si="13"/>
        <v>0</v>
      </c>
      <c r="J24" s="35"/>
      <c r="K24" s="36" t="str">
        <f t="shared" si="14"/>
        <v>Y</v>
      </c>
      <c r="L24" s="37">
        <f t="shared" si="15"/>
        <v>5</v>
      </c>
      <c r="M24" s="37">
        <f t="shared" si="2"/>
        <v>4</v>
      </c>
      <c r="N24" s="36" t="str">
        <f t="shared" si="16"/>
        <v>Y</v>
      </c>
      <c r="O24" s="37">
        <f t="shared" si="17"/>
        <v>168</v>
      </c>
      <c r="P24" s="36" t="str">
        <f t="shared" si="18"/>
        <v>Y</v>
      </c>
      <c r="Q24" s="37">
        <f t="shared" si="19"/>
        <v>-168</v>
      </c>
      <c r="R24" s="36" t="str">
        <f t="shared" si="20"/>
        <v>Y</v>
      </c>
      <c r="S24" s="37">
        <f t="shared" si="21"/>
        <v>-6</v>
      </c>
      <c r="T24" s="36" t="str">
        <f t="shared" si="22"/>
        <v>Y</v>
      </c>
      <c r="U24" s="37">
        <f t="shared" si="23"/>
        <v>-12</v>
      </c>
      <c r="V24" s="36" t="str">
        <f t="shared" si="24"/>
        <v>Y</v>
      </c>
      <c r="W24" s="37">
        <f t="shared" si="25"/>
        <v>6</v>
      </c>
      <c r="X24" s="36" t="str">
        <f t="shared" si="26"/>
        <v>Y</v>
      </c>
      <c r="Y24" s="37" t="str">
        <f t="shared" si="27"/>
        <v xml:space="preserve">  </v>
      </c>
      <c r="Z24" s="36" t="str">
        <f t="shared" si="28"/>
        <v xml:space="preserve">  </v>
      </c>
      <c r="AA24" s="37" t="str">
        <f t="shared" si="29"/>
        <v xml:space="preserve">  </v>
      </c>
      <c r="AB24" s="36" t="str">
        <f t="shared" si="30"/>
        <v xml:space="preserve">  </v>
      </c>
      <c r="AC24" s="37">
        <f t="shared" si="31"/>
        <v>65</v>
      </c>
      <c r="AD24" s="36" t="str">
        <f t="shared" si="32"/>
        <v>Y</v>
      </c>
      <c r="AE24" s="37">
        <f t="shared" si="33"/>
        <v>126</v>
      </c>
      <c r="AF24" s="38">
        <f ca="1">_xlfn.IFNA(IF(AG24="",TODAY()+(VLOOKUP(A24,'Date Calcs'!A:G,7,0)*7),VLOOKUP(A24,'Actual Dates'!A:AE,21,FALSE())),"")</f>
        <v>45965</v>
      </c>
      <c r="AG24" s="38">
        <f>_xlfn.IFNA(IF(VLOOKUP(A24,'Actual Dates'!A:AE,20,0)="","",VLOOKUP(A24,'Actual Dates'!A:AE,20,0)+(VLOOKUP(A24,'Date Calcs'!A:X,22,0)*7)),"")</f>
        <v>45797</v>
      </c>
      <c r="AH24" s="38" t="str">
        <f>_xlfn.IFNA(IF($AG24="","",IF(X24="Y","DONE",VLOOKUP(A24,'Ship Date'!A:AE,27,0))),"")</f>
        <v>DONE</v>
      </c>
      <c r="AI24" s="12">
        <f t="shared" ca="1" si="3"/>
        <v>0</v>
      </c>
      <c r="AJ24" s="38" t="str">
        <f>_xlfn.IFNA(IF($AG24="","",IF(AB24="Y","DONE",VLOOKUP(A24,'Ship Date'!A:AG,29,0))),"")</f>
        <v/>
      </c>
      <c r="AK24" s="12">
        <f t="shared" ca="1" si="4"/>
        <v>0</v>
      </c>
      <c r="AL24" s="38" t="str">
        <f>_xlfn.IFNA(IF($AG24="","",IF(Z24="Y","DONE",VLOOKUP(A24,'Ship Date'!A:AI,28,0))),"")</f>
        <v/>
      </c>
      <c r="AM24" s="12">
        <f t="shared" ca="1" si="5"/>
        <v>0</v>
      </c>
      <c r="AN24" s="38" t="str">
        <f>_xlfn.IFNA(IF(T24="Y","DONE",VLOOKUP(A24,'Ship Date'!A:AE,25,0)),"")</f>
        <v>DONE</v>
      </c>
      <c r="AO24" s="12">
        <f t="shared" si="6"/>
        <v>0</v>
      </c>
      <c r="AP24" s="38" t="str">
        <f>_xlfn.IFNA(IF(AD24="Y","DONE",VLOOKUP(A24,'Ship Date'!A:AE,30,0)),"")</f>
        <v>DONE</v>
      </c>
      <c r="AQ24" s="12">
        <f t="shared" ca="1" si="7"/>
        <v>0</v>
      </c>
      <c r="AR24" s="38" t="str">
        <f>IFERROR(_xlfn.IFNA(VLOOKUP(A24,'Ship Date'!A:C,3,0),""),"")</f>
        <v/>
      </c>
      <c r="AS24" s="12" t="str">
        <f t="shared" ca="1" si="8"/>
        <v/>
      </c>
      <c r="AT24" s="38"/>
      <c r="AU24" s="41"/>
      <c r="AV24" s="38">
        <f>_xlfn.IFNA(IF(VLOOKUP(A24,'Actual Dates'!A:AE,31,0)="","",VLOOKUP(A24,'Actual Dates'!A:AE,31,0)),"")</f>
        <v>45930</v>
      </c>
      <c r="AW24" s="40"/>
    </row>
    <row r="25" spans="1:49" ht="23.25" hidden="1" x14ac:dyDescent="0.25">
      <c r="A25" s="12" t="str">
        <f>'Actual Dates'!A24</f>
        <v>25-030</v>
      </c>
      <c r="B25" s="13" t="str">
        <f t="shared" si="0"/>
        <v>Irving Tissue</v>
      </c>
      <c r="C25" s="35"/>
      <c r="D25" s="36" t="str">
        <f t="shared" si="9"/>
        <v>Y</v>
      </c>
      <c r="E25" s="37">
        <f t="shared" si="10"/>
        <v>0</v>
      </c>
      <c r="F25" s="36" t="str">
        <f t="shared" si="11"/>
        <v>Y</v>
      </c>
      <c r="G25" s="37">
        <f t="shared" si="12"/>
        <v>-1</v>
      </c>
      <c r="H25" s="36" t="str">
        <f t="shared" si="1"/>
        <v>Y</v>
      </c>
      <c r="I25" s="37">
        <f t="shared" si="13"/>
        <v>0</v>
      </c>
      <c r="J25" s="35"/>
      <c r="K25" s="36" t="str">
        <f t="shared" si="14"/>
        <v>Y</v>
      </c>
      <c r="L25" s="37">
        <f t="shared" si="15"/>
        <v>5</v>
      </c>
      <c r="M25" s="37">
        <f t="shared" si="2"/>
        <v>4</v>
      </c>
      <c r="N25" s="36" t="str">
        <f t="shared" si="16"/>
        <v>Y</v>
      </c>
      <c r="O25" s="37">
        <f t="shared" si="17"/>
        <v>168</v>
      </c>
      <c r="P25" s="36" t="str">
        <f t="shared" si="18"/>
        <v>Y</v>
      </c>
      <c r="Q25" s="37">
        <f t="shared" si="19"/>
        <v>-166</v>
      </c>
      <c r="R25" s="36" t="str">
        <f t="shared" si="20"/>
        <v>Y</v>
      </c>
      <c r="S25" s="37">
        <f t="shared" si="21"/>
        <v>-4</v>
      </c>
      <c r="T25" s="36" t="str">
        <f t="shared" si="22"/>
        <v>Y</v>
      </c>
      <c r="U25" s="37">
        <f t="shared" si="23"/>
        <v>-11</v>
      </c>
      <c r="V25" s="36" t="str">
        <f t="shared" si="24"/>
        <v>Y</v>
      </c>
      <c r="W25" s="37">
        <f t="shared" si="25"/>
        <v>6</v>
      </c>
      <c r="X25" s="36" t="str">
        <f t="shared" si="26"/>
        <v>Y</v>
      </c>
      <c r="Y25" s="37" t="str">
        <f t="shared" si="27"/>
        <v xml:space="preserve">  </v>
      </c>
      <c r="Z25" s="36" t="str">
        <f t="shared" si="28"/>
        <v xml:space="preserve">  </v>
      </c>
      <c r="AA25" s="37" t="str">
        <f t="shared" si="29"/>
        <v xml:space="preserve">  </v>
      </c>
      <c r="AB25" s="36" t="str">
        <f t="shared" si="30"/>
        <v xml:space="preserve">  </v>
      </c>
      <c r="AC25" s="37">
        <f t="shared" si="31"/>
        <v>65</v>
      </c>
      <c r="AD25" s="36" t="str">
        <f t="shared" si="32"/>
        <v>Y</v>
      </c>
      <c r="AE25" s="37">
        <f t="shared" si="33"/>
        <v>126</v>
      </c>
      <c r="AF25" s="38">
        <f ca="1">_xlfn.IFNA(IF(AG25="",TODAY()+(VLOOKUP(A25,'Date Calcs'!A:G,7,0)*7),VLOOKUP(A25,'Actual Dates'!A:AE,21,FALSE())),"")</f>
        <v>45965</v>
      </c>
      <c r="AG25" s="38">
        <f>_xlfn.IFNA(IF(VLOOKUP(A25,'Actual Dates'!A:AE,20,0)="","",VLOOKUP(A25,'Actual Dates'!A:AE,20,0)+(VLOOKUP(A25,'Date Calcs'!A:X,22,0)*7)),"")</f>
        <v>45797</v>
      </c>
      <c r="AH25" s="38" t="str">
        <f>_xlfn.IFNA(IF($AG25="","",IF(X25="Y","DONE",VLOOKUP(A25,'Ship Date'!A:AE,27,0))),"")</f>
        <v>DONE</v>
      </c>
      <c r="AI25" s="12">
        <f t="shared" ca="1" si="3"/>
        <v>0</v>
      </c>
      <c r="AJ25" s="38" t="str">
        <f>_xlfn.IFNA(IF($AG25="","",IF(AB25="Y","DONE",VLOOKUP(A25,'Ship Date'!A:AG,29,0))),"")</f>
        <v/>
      </c>
      <c r="AK25" s="12">
        <f t="shared" ca="1" si="4"/>
        <v>0</v>
      </c>
      <c r="AL25" s="38" t="str">
        <f>_xlfn.IFNA(IF($AG25="","",IF(Z25="Y","DONE",VLOOKUP(A25,'Ship Date'!A:AI,28,0))),"")</f>
        <v/>
      </c>
      <c r="AM25" s="12">
        <f t="shared" ca="1" si="5"/>
        <v>0</v>
      </c>
      <c r="AN25" s="38" t="str">
        <f>_xlfn.IFNA(IF(T25="Y","DONE",VLOOKUP(A25,'Ship Date'!A:AE,25,0)),"")</f>
        <v>DONE</v>
      </c>
      <c r="AO25" s="12">
        <f t="shared" si="6"/>
        <v>0</v>
      </c>
      <c r="AP25" s="38" t="str">
        <f>_xlfn.IFNA(IF(AD25="Y","DONE",VLOOKUP(A25,'Ship Date'!A:AE,30,0)),"")</f>
        <v>DONE</v>
      </c>
      <c r="AQ25" s="12">
        <f t="shared" ca="1" si="7"/>
        <v>0</v>
      </c>
      <c r="AR25" s="38" t="str">
        <f>IFERROR(_xlfn.IFNA(VLOOKUP(A25,'Ship Date'!A:C,3,0),""),"")</f>
        <v/>
      </c>
      <c r="AS25" s="12" t="str">
        <f t="shared" ca="1" si="8"/>
        <v/>
      </c>
      <c r="AT25" s="38"/>
      <c r="AU25" s="41"/>
      <c r="AV25" s="38">
        <f>_xlfn.IFNA(IF(VLOOKUP(A25,'Actual Dates'!A:AE,31,0)="","",VLOOKUP(A25,'Actual Dates'!A:AE,31,0)),"")</f>
        <v>45930</v>
      </c>
      <c r="AW25" s="40"/>
    </row>
    <row r="26" spans="1:49" ht="23.25" hidden="1" x14ac:dyDescent="0.25">
      <c r="A26" s="12" t="str">
        <f>'Actual Dates'!A25</f>
        <v>25-031</v>
      </c>
      <c r="B26" s="13" t="str">
        <f t="shared" si="0"/>
        <v>Irving Tissue</v>
      </c>
      <c r="C26" s="35"/>
      <c r="D26" s="36" t="str">
        <f t="shared" si="9"/>
        <v>Y</v>
      </c>
      <c r="E26" s="37">
        <f t="shared" si="10"/>
        <v>-6</v>
      </c>
      <c r="F26" s="36" t="str">
        <f t="shared" si="11"/>
        <v>Y</v>
      </c>
      <c r="G26" s="37">
        <f t="shared" si="12"/>
        <v>-1</v>
      </c>
      <c r="H26" s="36" t="str">
        <f t="shared" si="1"/>
        <v>Y</v>
      </c>
      <c r="I26" s="37">
        <f t="shared" si="13"/>
        <v>0</v>
      </c>
      <c r="J26" s="35"/>
      <c r="K26" s="36" t="str">
        <f t="shared" si="14"/>
        <v>Y</v>
      </c>
      <c r="L26" s="37">
        <f t="shared" si="15"/>
        <v>5</v>
      </c>
      <c r="M26" s="37">
        <f t="shared" si="2"/>
        <v>4</v>
      </c>
      <c r="N26" s="36" t="str">
        <f t="shared" si="16"/>
        <v>Y</v>
      </c>
      <c r="O26" s="37">
        <f t="shared" si="17"/>
        <v>168</v>
      </c>
      <c r="P26" s="36" t="str">
        <f t="shared" si="18"/>
        <v>Y</v>
      </c>
      <c r="Q26" s="37">
        <f t="shared" si="19"/>
        <v>182455</v>
      </c>
      <c r="R26" s="36" t="str">
        <f t="shared" si="20"/>
        <v>Y</v>
      </c>
      <c r="S26" s="37">
        <f t="shared" si="21"/>
        <v>-2</v>
      </c>
      <c r="T26" s="36" t="str">
        <f t="shared" si="22"/>
        <v>Y</v>
      </c>
      <c r="U26" s="37">
        <f t="shared" si="23"/>
        <v>-9</v>
      </c>
      <c r="V26" s="36" t="str">
        <f t="shared" si="24"/>
        <v>Y</v>
      </c>
      <c r="W26" s="37">
        <f t="shared" si="25"/>
        <v>1</v>
      </c>
      <c r="X26" s="36" t="str">
        <f t="shared" si="26"/>
        <v>Y</v>
      </c>
      <c r="Y26" s="37" t="str">
        <f t="shared" si="27"/>
        <v xml:space="preserve">  </v>
      </c>
      <c r="Z26" s="36" t="str">
        <f t="shared" si="28"/>
        <v xml:space="preserve">  </v>
      </c>
      <c r="AA26" s="37" t="str">
        <f t="shared" si="29"/>
        <v xml:space="preserve">  </v>
      </c>
      <c r="AB26" s="36" t="str">
        <f t="shared" si="30"/>
        <v xml:space="preserve">  </v>
      </c>
      <c r="AC26" s="37">
        <f t="shared" si="31"/>
        <v>62</v>
      </c>
      <c r="AD26" s="36" t="str">
        <f t="shared" si="32"/>
        <v>Y</v>
      </c>
      <c r="AE26" s="37">
        <f t="shared" si="33"/>
        <v>146</v>
      </c>
      <c r="AF26" s="38">
        <f ca="1">_xlfn.IFNA(IF(AG26="",TODAY()+(VLOOKUP(A26,'Date Calcs'!A:G,7,0)*7),VLOOKUP(A26,'Actual Dates'!A:AE,21,FALSE())),"")</f>
        <v>45973</v>
      </c>
      <c r="AG26" s="38">
        <f>_xlfn.IFNA(IF(VLOOKUP(A26,'Actual Dates'!A:AE,20,0)="","",VLOOKUP(A26,'Actual Dates'!A:AE,20,0)+(VLOOKUP(A26,'Date Calcs'!A:X,22,0)*7)),"")</f>
        <v>45805</v>
      </c>
      <c r="AH26" s="38" t="str">
        <f>_xlfn.IFNA(IF($AG26="","",IF(X26="Y","DONE",VLOOKUP(A26,'Ship Date'!A:AE,27,0))),"")</f>
        <v>DONE</v>
      </c>
      <c r="AI26" s="12">
        <f t="shared" ca="1" si="3"/>
        <v>0</v>
      </c>
      <c r="AJ26" s="38" t="str">
        <f>_xlfn.IFNA(IF($AG26="","",IF(AB26="Y","DONE",VLOOKUP(A26,'Ship Date'!A:AG,29,0))),"")</f>
        <v/>
      </c>
      <c r="AK26" s="12">
        <f t="shared" ca="1" si="4"/>
        <v>0</v>
      </c>
      <c r="AL26" s="38" t="str">
        <f>_xlfn.IFNA(IF($AG26="","",IF(Z26="Y","DONE",VLOOKUP(A26,'Ship Date'!A:AI,28,0))),"")</f>
        <v/>
      </c>
      <c r="AM26" s="12">
        <f t="shared" ca="1" si="5"/>
        <v>0</v>
      </c>
      <c r="AN26" s="38" t="str">
        <f>_xlfn.IFNA(IF(T26="Y","DONE",VLOOKUP(A26,'Ship Date'!A:AE,25,0)),"")</f>
        <v>DONE</v>
      </c>
      <c r="AO26" s="12">
        <f t="shared" si="6"/>
        <v>0</v>
      </c>
      <c r="AP26" s="38" t="str">
        <f>_xlfn.IFNA(IF(AD26="Y","DONE",VLOOKUP(A26,'Ship Date'!A:AE,30,0)),"")</f>
        <v>DONE</v>
      </c>
      <c r="AQ26" s="12">
        <f t="shared" ca="1" si="7"/>
        <v>0</v>
      </c>
      <c r="AR26" s="38" t="str">
        <f>IFERROR(_xlfn.IFNA(VLOOKUP(A26,'Ship Date'!A:C,3,0),""),"")</f>
        <v/>
      </c>
      <c r="AS26" s="12" t="str">
        <f t="shared" ca="1" si="8"/>
        <v/>
      </c>
      <c r="AT26" s="38"/>
      <c r="AU26" s="41"/>
      <c r="AV26" s="38">
        <f>_xlfn.IFNA(IF(VLOOKUP(A26,'Actual Dates'!A:AE,31,0)="","",VLOOKUP(A26,'Actual Dates'!A:AE,31,0)),"")</f>
        <v>45958</v>
      </c>
      <c r="AW26" s="40"/>
    </row>
    <row r="27" spans="1:49" ht="23.25" hidden="1" x14ac:dyDescent="0.25">
      <c r="A27" s="12" t="str">
        <f>'Actual Dates'!A26</f>
        <v>25-032</v>
      </c>
      <c r="B27" s="13" t="str">
        <f t="shared" si="0"/>
        <v>Irving Tissue</v>
      </c>
      <c r="C27" s="35"/>
      <c r="D27" s="36" t="str">
        <f t="shared" si="9"/>
        <v>Y</v>
      </c>
      <c r="E27" s="37">
        <f t="shared" si="10"/>
        <v>-6</v>
      </c>
      <c r="F27" s="36" t="str">
        <f t="shared" si="11"/>
        <v>Y</v>
      </c>
      <c r="G27" s="37">
        <f t="shared" si="12"/>
        <v>-1</v>
      </c>
      <c r="H27" s="36" t="str">
        <f t="shared" si="1"/>
        <v>Y</v>
      </c>
      <c r="I27" s="37">
        <f t="shared" si="13"/>
        <v>-7</v>
      </c>
      <c r="J27" s="35"/>
      <c r="K27" s="36" t="str">
        <f t="shared" si="14"/>
        <v>Y</v>
      </c>
      <c r="L27" s="37">
        <f t="shared" si="15"/>
        <v>5</v>
      </c>
      <c r="M27" s="37">
        <f t="shared" si="2"/>
        <v>4</v>
      </c>
      <c r="N27" s="36" t="str">
        <f t="shared" si="16"/>
        <v>Y</v>
      </c>
      <c r="O27" s="37">
        <f t="shared" si="17"/>
        <v>168</v>
      </c>
      <c r="P27" s="36" t="str">
        <f t="shared" si="18"/>
        <v>Y</v>
      </c>
      <c r="Q27" s="37">
        <f t="shared" si="19"/>
        <v>182455</v>
      </c>
      <c r="R27" s="36" t="str">
        <f t="shared" si="20"/>
        <v>Y</v>
      </c>
      <c r="S27" s="37">
        <f t="shared" si="21"/>
        <v>-2</v>
      </c>
      <c r="T27" s="36" t="str">
        <f t="shared" si="22"/>
        <v>Y</v>
      </c>
      <c r="U27" s="37">
        <f t="shared" si="23"/>
        <v>-9</v>
      </c>
      <c r="V27" s="36" t="str">
        <f t="shared" si="24"/>
        <v>Y</v>
      </c>
      <c r="W27" s="37">
        <f t="shared" si="25"/>
        <v>1</v>
      </c>
      <c r="X27" s="36" t="str">
        <f t="shared" si="26"/>
        <v>Y</v>
      </c>
      <c r="Y27" s="37" t="str">
        <f t="shared" si="27"/>
        <v xml:space="preserve">  </v>
      </c>
      <c r="Z27" s="36" t="str">
        <f t="shared" si="28"/>
        <v xml:space="preserve">  </v>
      </c>
      <c r="AA27" s="37" t="str">
        <f t="shared" si="29"/>
        <v xml:space="preserve">  </v>
      </c>
      <c r="AB27" s="36" t="str">
        <f t="shared" si="30"/>
        <v xml:space="preserve">  </v>
      </c>
      <c r="AC27" s="37">
        <f t="shared" si="31"/>
        <v>64</v>
      </c>
      <c r="AD27" s="36" t="str">
        <f t="shared" si="32"/>
        <v>Y</v>
      </c>
      <c r="AE27" s="37">
        <f t="shared" si="33"/>
        <v>146</v>
      </c>
      <c r="AF27" s="38">
        <f ca="1">_xlfn.IFNA(IF(AG27="",TODAY()+(VLOOKUP(A27,'Date Calcs'!A:G,7,0)*7),VLOOKUP(A27,'Actual Dates'!A:AE,21,FALSE())),"")</f>
        <v>45973</v>
      </c>
      <c r="AG27" s="38">
        <f>_xlfn.IFNA(IF(VLOOKUP(A27,'Actual Dates'!A:AE,20,0)="","",VLOOKUP(A27,'Actual Dates'!A:AE,20,0)+(VLOOKUP(A27,'Date Calcs'!A:X,22,0)*7)),"")</f>
        <v>45805</v>
      </c>
      <c r="AH27" s="38" t="str">
        <f>_xlfn.IFNA(IF($AG27="","",IF(X27="Y","DONE",VLOOKUP(A27,'Ship Date'!A:AE,27,0))),"")</f>
        <v>DONE</v>
      </c>
      <c r="AI27" s="12">
        <f t="shared" ca="1" si="3"/>
        <v>0</v>
      </c>
      <c r="AJ27" s="38" t="str">
        <f>_xlfn.IFNA(IF($AG27="","",IF(AB27="Y","DONE",VLOOKUP(A27,'Ship Date'!A:AG,29,0))),"")</f>
        <v/>
      </c>
      <c r="AK27" s="12">
        <f t="shared" ca="1" si="4"/>
        <v>0</v>
      </c>
      <c r="AL27" s="38" t="str">
        <f>_xlfn.IFNA(IF($AG27="","",IF(Z27="Y","DONE",VLOOKUP(A27,'Ship Date'!A:AI,28,0))),"")</f>
        <v/>
      </c>
      <c r="AM27" s="12">
        <f t="shared" ca="1" si="5"/>
        <v>0</v>
      </c>
      <c r="AN27" s="38" t="str">
        <f>_xlfn.IFNA(IF(T27="Y","DONE",VLOOKUP(A27,'Ship Date'!A:AE,25,0)),"")</f>
        <v>DONE</v>
      </c>
      <c r="AO27" s="12">
        <f t="shared" si="6"/>
        <v>0</v>
      </c>
      <c r="AP27" s="38" t="str">
        <f>_xlfn.IFNA(IF(AD27="Y","DONE",VLOOKUP(A27,'Ship Date'!A:AE,30,0)),"")</f>
        <v>DONE</v>
      </c>
      <c r="AQ27" s="12">
        <f t="shared" ca="1" si="7"/>
        <v>0</v>
      </c>
      <c r="AR27" s="38" t="str">
        <f>IFERROR(_xlfn.IFNA(VLOOKUP(A27,'Ship Date'!A:C,3,0),""),"")</f>
        <v/>
      </c>
      <c r="AS27" s="12" t="str">
        <f t="shared" ca="1" si="8"/>
        <v/>
      </c>
      <c r="AT27" s="38"/>
      <c r="AU27" s="41"/>
      <c r="AV27" s="38">
        <f>_xlfn.IFNA(IF(VLOOKUP(A27,'Actual Dates'!A:AE,31,0)="","",VLOOKUP(A27,'Actual Dates'!A:AE,31,0)),"")</f>
        <v>45958</v>
      </c>
      <c r="AW27" s="40"/>
    </row>
    <row r="28" spans="1:49" ht="23.25" hidden="1" x14ac:dyDescent="0.25">
      <c r="A28" s="12" t="str">
        <f>'Actual Dates'!A27</f>
        <v>25-033</v>
      </c>
      <c r="B28" s="13" t="str">
        <f t="shared" si="0"/>
        <v>Irving Tissue</v>
      </c>
      <c r="C28" s="35"/>
      <c r="D28" s="36" t="str">
        <f t="shared" si="9"/>
        <v>Y</v>
      </c>
      <c r="E28" s="37">
        <f t="shared" si="10"/>
        <v>0</v>
      </c>
      <c r="F28" s="36" t="str">
        <f t="shared" si="11"/>
        <v>Y</v>
      </c>
      <c r="G28" s="37">
        <f t="shared" si="12"/>
        <v>-1</v>
      </c>
      <c r="H28" s="36" t="str">
        <f t="shared" si="1"/>
        <v>Y</v>
      </c>
      <c r="I28" s="37">
        <f t="shared" si="13"/>
        <v>-14</v>
      </c>
      <c r="J28" s="35"/>
      <c r="K28" s="36" t="str">
        <f t="shared" si="14"/>
        <v>Y</v>
      </c>
      <c r="L28" s="37">
        <f t="shared" si="15"/>
        <v>5</v>
      </c>
      <c r="M28" s="37">
        <f t="shared" si="2"/>
        <v>4</v>
      </c>
      <c r="N28" s="36" t="str">
        <f t="shared" si="16"/>
        <v>Y</v>
      </c>
      <c r="O28" s="37">
        <f t="shared" si="17"/>
        <v>168</v>
      </c>
      <c r="P28" s="36" t="str">
        <f t="shared" si="18"/>
        <v>Y</v>
      </c>
      <c r="Q28" s="37">
        <f t="shared" si="19"/>
        <v>-161</v>
      </c>
      <c r="R28" s="36" t="str">
        <f t="shared" si="20"/>
        <v>Y</v>
      </c>
      <c r="S28" s="37">
        <f t="shared" si="21"/>
        <v>0</v>
      </c>
      <c r="T28" s="36" t="str">
        <f t="shared" si="22"/>
        <v>Y</v>
      </c>
      <c r="U28" s="37">
        <f t="shared" si="23"/>
        <v>-7</v>
      </c>
      <c r="V28" s="36" t="str">
        <f t="shared" si="24"/>
        <v>Y</v>
      </c>
      <c r="W28" s="37">
        <f t="shared" si="25"/>
        <v>5</v>
      </c>
      <c r="X28" s="36" t="str">
        <f t="shared" si="26"/>
        <v>Y</v>
      </c>
      <c r="Y28" s="37" t="str">
        <f t="shared" si="27"/>
        <v xml:space="preserve">  </v>
      </c>
      <c r="Z28" s="36" t="str">
        <f t="shared" si="28"/>
        <v xml:space="preserve">  </v>
      </c>
      <c r="AA28" s="37" t="str">
        <f t="shared" si="29"/>
        <v xml:space="preserve">  </v>
      </c>
      <c r="AB28" s="36" t="str">
        <f t="shared" si="30"/>
        <v xml:space="preserve">  </v>
      </c>
      <c r="AC28" s="37">
        <f t="shared" si="31"/>
        <v>69</v>
      </c>
      <c r="AD28" s="36" t="str">
        <f t="shared" si="32"/>
        <v>Y</v>
      </c>
      <c r="AE28" s="37">
        <f t="shared" si="33"/>
        <v>146</v>
      </c>
      <c r="AF28" s="38">
        <f ca="1">_xlfn.IFNA(IF(AG28="",TODAY()+(VLOOKUP(A28,'Date Calcs'!A:G,7,0)*7),VLOOKUP(A28,'Actual Dates'!A:AE,21,FALSE())),"")</f>
        <v>45973</v>
      </c>
      <c r="AG28" s="38">
        <f>_xlfn.IFNA(IF(VLOOKUP(A28,'Actual Dates'!A:AE,20,0)="","",VLOOKUP(A28,'Actual Dates'!A:AE,20,0)+(VLOOKUP(A28,'Date Calcs'!A:X,22,0)*7)),"")</f>
        <v>45805</v>
      </c>
      <c r="AH28" s="38" t="str">
        <f>_xlfn.IFNA(IF($AG28="","",IF(X28="Y","DONE",VLOOKUP(A28,'Ship Date'!A:AE,27,0))),"")</f>
        <v>DONE</v>
      </c>
      <c r="AI28" s="12">
        <f t="shared" ca="1" si="3"/>
        <v>0</v>
      </c>
      <c r="AJ28" s="38" t="str">
        <f>_xlfn.IFNA(IF($AG28="","",IF(AB28="Y","DONE",VLOOKUP(A28,'Ship Date'!A:AG,29,0))),"")</f>
        <v/>
      </c>
      <c r="AK28" s="12">
        <f t="shared" ca="1" si="4"/>
        <v>0</v>
      </c>
      <c r="AL28" s="38" t="str">
        <f>_xlfn.IFNA(IF($AG28="","",IF(Z28="Y","DONE",VLOOKUP(A28,'Ship Date'!A:AI,28,0))),"")</f>
        <v/>
      </c>
      <c r="AM28" s="12">
        <f t="shared" ca="1" si="5"/>
        <v>0</v>
      </c>
      <c r="AN28" s="38" t="str">
        <f>_xlfn.IFNA(IF(T28="Y","DONE",VLOOKUP(A28,'Ship Date'!A:AE,25,0)),"")</f>
        <v>DONE</v>
      </c>
      <c r="AO28" s="12">
        <f t="shared" si="6"/>
        <v>0</v>
      </c>
      <c r="AP28" s="38" t="str">
        <f>_xlfn.IFNA(IF(AD28="Y","DONE",VLOOKUP(A28,'Ship Date'!A:AE,30,0)),"")</f>
        <v>DONE</v>
      </c>
      <c r="AQ28" s="12">
        <f t="shared" ca="1" si="7"/>
        <v>0</v>
      </c>
      <c r="AR28" s="38" t="str">
        <f>IFERROR(_xlfn.IFNA(VLOOKUP(A28,'Ship Date'!A:C,3,0),""),"")</f>
        <v/>
      </c>
      <c r="AS28" s="12" t="str">
        <f t="shared" ca="1" si="8"/>
        <v/>
      </c>
      <c r="AT28" s="38"/>
      <c r="AU28" s="41"/>
      <c r="AV28" s="38">
        <f>_xlfn.IFNA(IF(VLOOKUP(A28,'Actual Dates'!A:AE,31,0)="","",VLOOKUP(A28,'Actual Dates'!A:AE,31,0)),"")</f>
        <v>45958</v>
      </c>
      <c r="AW28" s="40"/>
    </row>
    <row r="29" spans="1:49" ht="23.25" hidden="1" x14ac:dyDescent="0.25">
      <c r="A29" s="12" t="str">
        <f>'Actual Dates'!A28</f>
        <v>25-034</v>
      </c>
      <c r="B29" s="13" t="str">
        <f t="shared" si="0"/>
        <v>Irving Tissue</v>
      </c>
      <c r="C29" s="35"/>
      <c r="D29" s="36" t="str">
        <f t="shared" si="9"/>
        <v>Y</v>
      </c>
      <c r="E29" s="37">
        <f t="shared" si="10"/>
        <v>-7</v>
      </c>
      <c r="F29" s="36" t="str">
        <f t="shared" si="11"/>
        <v>Y</v>
      </c>
      <c r="G29" s="37">
        <f t="shared" si="12"/>
        <v>-1</v>
      </c>
      <c r="H29" s="36" t="str">
        <f t="shared" si="1"/>
        <v>Y</v>
      </c>
      <c r="I29" s="37">
        <f t="shared" si="13"/>
        <v>-6</v>
      </c>
      <c r="J29" s="35"/>
      <c r="K29" s="36" t="str">
        <f t="shared" si="14"/>
        <v>Y</v>
      </c>
      <c r="L29" s="37">
        <f t="shared" si="15"/>
        <v>5</v>
      </c>
      <c r="M29" s="37">
        <f t="shared" si="2"/>
        <v>4</v>
      </c>
      <c r="N29" s="36" t="str">
        <f t="shared" si="16"/>
        <v>Y</v>
      </c>
      <c r="O29" s="37">
        <f t="shared" si="17"/>
        <v>168</v>
      </c>
      <c r="P29" s="36" t="str">
        <f t="shared" si="18"/>
        <v>Y</v>
      </c>
      <c r="Q29" s="37">
        <f t="shared" si="19"/>
        <v>-160</v>
      </c>
      <c r="R29" s="36" t="str">
        <f t="shared" si="20"/>
        <v>Y</v>
      </c>
      <c r="S29" s="37">
        <f t="shared" si="21"/>
        <v>2</v>
      </c>
      <c r="T29" s="36" t="str">
        <f t="shared" si="22"/>
        <v>Y</v>
      </c>
      <c r="U29" s="37">
        <f t="shared" si="23"/>
        <v>-5</v>
      </c>
      <c r="V29" s="36" t="str">
        <f t="shared" si="24"/>
        <v>Y</v>
      </c>
      <c r="W29" s="37">
        <f t="shared" si="25"/>
        <v>5</v>
      </c>
      <c r="X29" s="36" t="str">
        <f t="shared" si="26"/>
        <v>Y</v>
      </c>
      <c r="Y29" s="37" t="str">
        <f t="shared" si="27"/>
        <v xml:space="preserve">  </v>
      </c>
      <c r="Z29" s="36" t="str">
        <f t="shared" si="28"/>
        <v xml:space="preserve">  </v>
      </c>
      <c r="AA29" s="37" t="str">
        <f t="shared" si="29"/>
        <v xml:space="preserve">  </v>
      </c>
      <c r="AB29" s="36" t="str">
        <f t="shared" si="30"/>
        <v xml:space="preserve">  </v>
      </c>
      <c r="AC29" s="37">
        <f t="shared" si="31"/>
        <v>20</v>
      </c>
      <c r="AD29" s="36" t="str">
        <f t="shared" si="32"/>
        <v>Y</v>
      </c>
      <c r="AE29" s="37">
        <f t="shared" si="33"/>
        <v>84</v>
      </c>
      <c r="AF29" s="38">
        <f ca="1">_xlfn.IFNA(IF(AG29="",TODAY()+(VLOOKUP(A29,'Date Calcs'!A:G,7,0)*7),VLOOKUP(A29,'Actual Dates'!A:AE,21,FALSE())),"")</f>
        <v>45973</v>
      </c>
      <c r="AG29" s="38">
        <f>_xlfn.IFNA(IF(VLOOKUP(A29,'Actual Dates'!A:AE,20,0)="","",VLOOKUP(A29,'Actual Dates'!A:AE,20,0)+(VLOOKUP(A29,'Date Calcs'!A:X,22,0)*7)),"")</f>
        <v>45805</v>
      </c>
      <c r="AH29" s="38" t="str">
        <f>_xlfn.IFNA(IF($AG29="","",IF(X29="Y","DONE",VLOOKUP(A29,'Ship Date'!A:AE,27,0))),"")</f>
        <v>DONE</v>
      </c>
      <c r="AI29" s="12">
        <f t="shared" ca="1" si="3"/>
        <v>0</v>
      </c>
      <c r="AJ29" s="38" t="str">
        <f>_xlfn.IFNA(IF($AG29="","",IF(AB29="Y","DONE",VLOOKUP(A29,'Ship Date'!A:AG,29,0))),"")</f>
        <v/>
      </c>
      <c r="AK29" s="12">
        <f t="shared" ca="1" si="4"/>
        <v>0</v>
      </c>
      <c r="AL29" s="38" t="str">
        <f>_xlfn.IFNA(IF($AG29="","",IF(Z29="Y","DONE",VLOOKUP(A29,'Ship Date'!A:AI,28,0))),"")</f>
        <v/>
      </c>
      <c r="AM29" s="12">
        <f t="shared" ca="1" si="5"/>
        <v>0</v>
      </c>
      <c r="AN29" s="38" t="str">
        <f>_xlfn.IFNA(IF(T29="Y","DONE",VLOOKUP(A29,'Ship Date'!A:AE,25,0)),"")</f>
        <v>DONE</v>
      </c>
      <c r="AO29" s="12">
        <f t="shared" si="6"/>
        <v>0</v>
      </c>
      <c r="AP29" s="38" t="str">
        <f>_xlfn.IFNA(IF(AD29="Y","DONE",VLOOKUP(A29,'Ship Date'!A:AE,30,0)),"")</f>
        <v>DONE</v>
      </c>
      <c r="AQ29" s="12">
        <f t="shared" ca="1" si="7"/>
        <v>0</v>
      </c>
      <c r="AR29" s="38" t="str">
        <f>IFERROR(_xlfn.IFNA(VLOOKUP(A29,'Ship Date'!A:C,3,0),""),"")</f>
        <v/>
      </c>
      <c r="AS29" s="12" t="str">
        <f t="shared" ca="1" si="8"/>
        <v/>
      </c>
      <c r="AT29" s="38"/>
      <c r="AU29" s="41"/>
      <c r="AV29" s="38">
        <f>_xlfn.IFNA(IF(VLOOKUP(A29,'Actual Dates'!A:AE,31,0)="","",VLOOKUP(A29,'Actual Dates'!A:AE,31,0)),"")</f>
        <v>45896</v>
      </c>
      <c r="AW29" s="40"/>
    </row>
    <row r="30" spans="1:49" ht="23.25" hidden="1" x14ac:dyDescent="0.25">
      <c r="A30" s="12" t="str">
        <f>'Actual Dates'!A29</f>
        <v>25-035</v>
      </c>
      <c r="B30" s="13" t="str">
        <f t="shared" si="0"/>
        <v>Irving Tissue</v>
      </c>
      <c r="C30" s="35"/>
      <c r="D30" s="36" t="str">
        <f t="shared" si="9"/>
        <v>Y</v>
      </c>
      <c r="E30" s="37">
        <f t="shared" si="10"/>
        <v>0</v>
      </c>
      <c r="F30" s="36" t="str">
        <f t="shared" si="11"/>
        <v>Y</v>
      </c>
      <c r="G30" s="37">
        <f t="shared" si="12"/>
        <v>-1</v>
      </c>
      <c r="H30" s="36" t="str">
        <f t="shared" si="1"/>
        <v>Y</v>
      </c>
      <c r="I30" s="37">
        <f t="shared" si="13"/>
        <v>3</v>
      </c>
      <c r="J30" s="35"/>
      <c r="K30" s="36" t="str">
        <f t="shared" si="14"/>
        <v>Y</v>
      </c>
      <c r="L30" s="37">
        <f t="shared" si="15"/>
        <v>5</v>
      </c>
      <c r="M30" s="37">
        <f t="shared" si="2"/>
        <v>4</v>
      </c>
      <c r="N30" s="36" t="str">
        <f t="shared" si="16"/>
        <v>Y</v>
      </c>
      <c r="O30" s="37">
        <f t="shared" si="17"/>
        <v>168</v>
      </c>
      <c r="P30" s="36" t="str">
        <f t="shared" si="18"/>
        <v>Y</v>
      </c>
      <c r="Q30" s="37">
        <f t="shared" si="19"/>
        <v>-160</v>
      </c>
      <c r="R30" s="36" t="str">
        <f t="shared" si="20"/>
        <v>Y</v>
      </c>
      <c r="S30" s="37">
        <f t="shared" si="21"/>
        <v>1</v>
      </c>
      <c r="T30" s="36" t="str">
        <f t="shared" si="22"/>
        <v>Y</v>
      </c>
      <c r="U30" s="37">
        <f t="shared" si="23"/>
        <v>-6</v>
      </c>
      <c r="V30" s="36" t="str">
        <f t="shared" si="24"/>
        <v>Y</v>
      </c>
      <c r="W30" s="37">
        <f t="shared" si="25"/>
        <v>5</v>
      </c>
      <c r="X30" s="36" t="str">
        <f t="shared" si="26"/>
        <v>Y</v>
      </c>
      <c r="Y30" s="37" t="str">
        <f t="shared" si="27"/>
        <v xml:space="preserve">  </v>
      </c>
      <c r="Z30" s="36" t="str">
        <f t="shared" si="28"/>
        <v xml:space="preserve">  </v>
      </c>
      <c r="AA30" s="37" t="str">
        <f t="shared" si="29"/>
        <v xml:space="preserve">  </v>
      </c>
      <c r="AB30" s="36" t="str">
        <f t="shared" si="30"/>
        <v xml:space="preserve">  </v>
      </c>
      <c r="AC30" s="37">
        <f t="shared" si="31"/>
        <v>20</v>
      </c>
      <c r="AD30" s="36" t="str">
        <f t="shared" si="32"/>
        <v>Y</v>
      </c>
      <c r="AE30" s="37">
        <f t="shared" si="33"/>
        <v>84</v>
      </c>
      <c r="AF30" s="38">
        <f ca="1">_xlfn.IFNA(IF(AG30="",TODAY()+(VLOOKUP(A30,'Date Calcs'!A:G,7,0)*7),VLOOKUP(A30,'Actual Dates'!A:AE,21,FALSE())),"")</f>
        <v>45973</v>
      </c>
      <c r="AG30" s="38">
        <f>_xlfn.IFNA(IF(VLOOKUP(A30,'Actual Dates'!A:AE,20,0)="","",VLOOKUP(A30,'Actual Dates'!A:AE,20,0)+(VLOOKUP(A30,'Date Calcs'!A:X,22,0)*7)),"")</f>
        <v>45805</v>
      </c>
      <c r="AH30" s="38" t="str">
        <f>_xlfn.IFNA(IF($AG30="","",IF(X30="Y","DONE",VLOOKUP(A30,'Ship Date'!A:AE,27,0))),"")</f>
        <v>DONE</v>
      </c>
      <c r="AI30" s="12">
        <f t="shared" ca="1" si="3"/>
        <v>0</v>
      </c>
      <c r="AJ30" s="38" t="str">
        <f>_xlfn.IFNA(IF($AG30="","",IF(AB30="Y","DONE",VLOOKUP(A30,'Ship Date'!A:AG,29,0))),"")</f>
        <v/>
      </c>
      <c r="AK30" s="12">
        <f t="shared" ca="1" si="4"/>
        <v>0</v>
      </c>
      <c r="AL30" s="38" t="str">
        <f>_xlfn.IFNA(IF($AG30="","",IF(Z30="Y","DONE",VLOOKUP(A30,'Ship Date'!A:AI,28,0))),"")</f>
        <v/>
      </c>
      <c r="AM30" s="12">
        <f t="shared" ca="1" si="5"/>
        <v>0</v>
      </c>
      <c r="AN30" s="38" t="str">
        <f>_xlfn.IFNA(IF(T30="Y","DONE",VLOOKUP(A30,'Ship Date'!A:AE,25,0)),"")</f>
        <v>DONE</v>
      </c>
      <c r="AO30" s="43">
        <f t="shared" si="6"/>
        <v>0</v>
      </c>
      <c r="AP30" s="38" t="str">
        <f>_xlfn.IFNA(IF(AD30="Y","DONE",VLOOKUP(A30,'Ship Date'!A:AE,30,0)),"")</f>
        <v>DONE</v>
      </c>
      <c r="AQ30" s="12">
        <f t="shared" ca="1" si="7"/>
        <v>0</v>
      </c>
      <c r="AR30" s="38" t="str">
        <f>IFERROR(_xlfn.IFNA(VLOOKUP(A30,'Ship Date'!A:C,3,0),""),"")</f>
        <v/>
      </c>
      <c r="AS30" s="12" t="str">
        <f t="shared" ca="1" si="8"/>
        <v/>
      </c>
      <c r="AT30" s="38"/>
      <c r="AU30" s="41"/>
      <c r="AV30" s="38">
        <f>_xlfn.IFNA(IF(VLOOKUP(A30,'Actual Dates'!A:AE,31,0)="","",VLOOKUP(A30,'Actual Dates'!A:AE,31,0)),"")</f>
        <v>45896</v>
      </c>
      <c r="AW30" s="40"/>
    </row>
    <row r="31" spans="1:49" ht="23.25" hidden="1" x14ac:dyDescent="0.25">
      <c r="A31" s="12" t="str">
        <f>'Actual Dates'!A30</f>
        <v>25-036</v>
      </c>
      <c r="B31" s="13" t="str">
        <f t="shared" si="0"/>
        <v>Irving Tissue</v>
      </c>
      <c r="C31" s="35"/>
      <c r="D31" s="36" t="str">
        <f t="shared" si="9"/>
        <v>Y</v>
      </c>
      <c r="E31" s="37">
        <f t="shared" si="10"/>
        <v>-7</v>
      </c>
      <c r="F31" s="36" t="str">
        <f t="shared" si="11"/>
        <v>Y</v>
      </c>
      <c r="G31" s="37">
        <f t="shared" si="12"/>
        <v>-1</v>
      </c>
      <c r="H31" s="36" t="str">
        <f t="shared" si="1"/>
        <v>Y</v>
      </c>
      <c r="I31" s="37">
        <f t="shared" si="13"/>
        <v>-10</v>
      </c>
      <c r="J31" s="35"/>
      <c r="K31" s="36" t="str">
        <f t="shared" si="14"/>
        <v>Y</v>
      </c>
      <c r="L31" s="37">
        <f t="shared" si="15"/>
        <v>5</v>
      </c>
      <c r="M31" s="37">
        <f t="shared" si="2"/>
        <v>4</v>
      </c>
      <c r="N31" s="36" t="str">
        <f t="shared" si="16"/>
        <v>Y</v>
      </c>
      <c r="O31" s="37">
        <f t="shared" si="17"/>
        <v>168</v>
      </c>
      <c r="P31" s="36" t="str">
        <f t="shared" si="18"/>
        <v>Y</v>
      </c>
      <c r="Q31" s="37">
        <f t="shared" si="19"/>
        <v>-160</v>
      </c>
      <c r="R31" s="36" t="str">
        <f t="shared" si="20"/>
        <v>Y</v>
      </c>
      <c r="S31" s="37">
        <f t="shared" si="21"/>
        <v>2</v>
      </c>
      <c r="T31" s="36" t="str">
        <f t="shared" si="22"/>
        <v>Y</v>
      </c>
      <c r="U31" s="37">
        <f t="shared" si="23"/>
        <v>-5</v>
      </c>
      <c r="V31" s="36" t="str">
        <f t="shared" si="24"/>
        <v>Y</v>
      </c>
      <c r="W31" s="37">
        <f t="shared" si="25"/>
        <v>5</v>
      </c>
      <c r="X31" s="36" t="str">
        <f t="shared" si="26"/>
        <v>Y</v>
      </c>
      <c r="Y31" s="37" t="str">
        <f t="shared" si="27"/>
        <v xml:space="preserve">  </v>
      </c>
      <c r="Z31" s="36" t="str">
        <f t="shared" si="28"/>
        <v xml:space="preserve">  </v>
      </c>
      <c r="AA31" s="37" t="str">
        <f t="shared" si="29"/>
        <v xml:space="preserve">  </v>
      </c>
      <c r="AB31" s="36" t="str">
        <f t="shared" si="30"/>
        <v xml:space="preserve">  </v>
      </c>
      <c r="AC31" s="37">
        <f t="shared" si="31"/>
        <v>20</v>
      </c>
      <c r="AD31" s="36" t="str">
        <f t="shared" si="32"/>
        <v>Y</v>
      </c>
      <c r="AE31" s="37">
        <f t="shared" si="33"/>
        <v>84</v>
      </c>
      <c r="AF31" s="38">
        <f ca="1">_xlfn.IFNA(IF(AG31="",TODAY()+(VLOOKUP(A31,'Date Calcs'!A:G,7,0)*7),VLOOKUP(A31,'Actual Dates'!A:AE,21,FALSE())),"")</f>
        <v>45973</v>
      </c>
      <c r="AG31" s="38">
        <f>_xlfn.IFNA(IF(VLOOKUP(A31,'Actual Dates'!A:AE,20,0)="","",VLOOKUP(A31,'Actual Dates'!A:AE,20,0)+(VLOOKUP(A31,'Date Calcs'!A:X,22,0)*7)),"")</f>
        <v>45805</v>
      </c>
      <c r="AH31" s="38" t="str">
        <f>_xlfn.IFNA(IF($AG31="","",IF(X31="Y","DONE",VLOOKUP(A31,'Ship Date'!A:AE,27,0))),"")</f>
        <v>DONE</v>
      </c>
      <c r="AI31" s="12">
        <f t="shared" ca="1" si="3"/>
        <v>0</v>
      </c>
      <c r="AJ31" s="38" t="str">
        <f>_xlfn.IFNA(IF($AG31="","",IF(AB31="Y","DONE",VLOOKUP(A31,'Ship Date'!A:AG,29,0))),"")</f>
        <v/>
      </c>
      <c r="AK31" s="12">
        <f t="shared" ca="1" si="4"/>
        <v>0</v>
      </c>
      <c r="AL31" s="38" t="str">
        <f>_xlfn.IFNA(IF($AG31="","",IF(Z31="Y","DONE",VLOOKUP(A31,'Ship Date'!A:AI,28,0))),"")</f>
        <v/>
      </c>
      <c r="AM31" s="12">
        <f t="shared" ca="1" si="5"/>
        <v>0</v>
      </c>
      <c r="AN31" s="38" t="str">
        <f>_xlfn.IFNA(IF(T31="Y","DONE",VLOOKUP(A31,'Ship Date'!A:AE,25,0)),"")</f>
        <v>DONE</v>
      </c>
      <c r="AO31" s="12">
        <f t="shared" si="6"/>
        <v>0</v>
      </c>
      <c r="AP31" s="38" t="str">
        <f>_xlfn.IFNA(IF(AD31="Y","DONE",VLOOKUP(A31,'Ship Date'!A:AE,30,0)),"")</f>
        <v>DONE</v>
      </c>
      <c r="AQ31" s="12">
        <f t="shared" ca="1" si="7"/>
        <v>0</v>
      </c>
      <c r="AR31" s="38" t="str">
        <f>IFERROR(_xlfn.IFNA(VLOOKUP(A31,'Ship Date'!A:C,3,0),""),"")</f>
        <v/>
      </c>
      <c r="AS31" s="12" t="str">
        <f t="shared" ca="1" si="8"/>
        <v/>
      </c>
      <c r="AT31" s="38"/>
      <c r="AU31" s="41"/>
      <c r="AV31" s="38">
        <f>_xlfn.IFNA(IF(VLOOKUP(A31,'Actual Dates'!A:AE,31,0)="","",VLOOKUP(A31,'Actual Dates'!A:AE,31,0)),"")</f>
        <v>45896</v>
      </c>
      <c r="AW31" s="40"/>
    </row>
    <row r="32" spans="1:49" ht="23.25" hidden="1" x14ac:dyDescent="0.25">
      <c r="A32" s="12" t="str">
        <f>'Actual Dates'!A31</f>
        <v>25-037</v>
      </c>
      <c r="B32" s="13" t="str">
        <f t="shared" si="0"/>
        <v>Irving Tissue</v>
      </c>
      <c r="C32" s="35"/>
      <c r="D32" s="36" t="str">
        <f t="shared" si="9"/>
        <v>Y</v>
      </c>
      <c r="E32" s="37">
        <f t="shared" si="10"/>
        <v>-5</v>
      </c>
      <c r="F32" s="36" t="str">
        <f t="shared" si="11"/>
        <v>Y</v>
      </c>
      <c r="G32" s="37">
        <f t="shared" si="12"/>
        <v>-1</v>
      </c>
      <c r="H32" s="36" t="str">
        <f t="shared" si="1"/>
        <v>Y</v>
      </c>
      <c r="I32" s="37">
        <f t="shared" si="13"/>
        <v>-10</v>
      </c>
      <c r="J32" s="35"/>
      <c r="K32" s="36" t="str">
        <f t="shared" si="14"/>
        <v>Y</v>
      </c>
      <c r="L32" s="37">
        <f t="shared" si="15"/>
        <v>5</v>
      </c>
      <c r="M32" s="37">
        <f t="shared" si="2"/>
        <v>4</v>
      </c>
      <c r="N32" s="36" t="str">
        <f t="shared" si="16"/>
        <v>Y</v>
      </c>
      <c r="O32" s="37">
        <f t="shared" si="17"/>
        <v>168</v>
      </c>
      <c r="P32" s="36" t="str">
        <f t="shared" si="18"/>
        <v>Y</v>
      </c>
      <c r="Q32" s="37">
        <f t="shared" si="19"/>
        <v>-168</v>
      </c>
      <c r="R32" s="36" t="str">
        <f t="shared" si="20"/>
        <v>Y</v>
      </c>
      <c r="S32" s="37">
        <f t="shared" si="21"/>
        <v>-6</v>
      </c>
      <c r="T32" s="36" t="str">
        <f t="shared" si="22"/>
        <v>Y</v>
      </c>
      <c r="U32" s="37">
        <f t="shared" si="23"/>
        <v>-13</v>
      </c>
      <c r="V32" s="36" t="str">
        <f t="shared" si="24"/>
        <v>Y</v>
      </c>
      <c r="W32" s="37">
        <f t="shared" si="25"/>
        <v>5</v>
      </c>
      <c r="X32" s="36" t="str">
        <f t="shared" si="26"/>
        <v>Y</v>
      </c>
      <c r="Y32" s="37" t="str">
        <f t="shared" si="27"/>
        <v xml:space="preserve">  </v>
      </c>
      <c r="Z32" s="36" t="str">
        <f t="shared" si="28"/>
        <v xml:space="preserve">  </v>
      </c>
      <c r="AA32" s="37" t="str">
        <f t="shared" si="29"/>
        <v xml:space="preserve">  </v>
      </c>
      <c r="AB32" s="36" t="str">
        <f t="shared" si="30"/>
        <v xml:space="preserve">  </v>
      </c>
      <c r="AC32" s="37">
        <f t="shared" si="31"/>
        <v>6</v>
      </c>
      <c r="AD32" s="36" t="str">
        <f t="shared" si="32"/>
        <v>Y</v>
      </c>
      <c r="AE32" s="37">
        <f t="shared" si="33"/>
        <v>92</v>
      </c>
      <c r="AF32" s="38">
        <f ca="1">_xlfn.IFNA(IF(AG32="",TODAY()+(VLOOKUP(A32,'Date Calcs'!A:G,7,0)*7),VLOOKUP(A32,'Actual Dates'!A:AE,21,FALSE())),"")</f>
        <v>45973</v>
      </c>
      <c r="AG32" s="38">
        <f>_xlfn.IFNA(IF(VLOOKUP(A32,'Actual Dates'!A:AE,20,0)="","",VLOOKUP(A32,'Actual Dates'!A:AE,20,0)+(VLOOKUP(A32,'Date Calcs'!A:X,22,0)*7)),"")</f>
        <v>45805</v>
      </c>
      <c r="AH32" s="38" t="str">
        <f>_xlfn.IFNA(IF($AG32="","",IF(X32="Y","DONE",VLOOKUP(A32,'Ship Date'!A:AE,27,0))),"")</f>
        <v>DONE</v>
      </c>
      <c r="AI32" s="12">
        <f t="shared" ca="1" si="3"/>
        <v>0</v>
      </c>
      <c r="AJ32" s="38" t="str">
        <f>_xlfn.IFNA(IF($AG32="","",IF(AB32="Y","DONE",VLOOKUP(A32,'Ship Date'!A:AG,29,0))),"")</f>
        <v/>
      </c>
      <c r="AK32" s="12">
        <f t="shared" ca="1" si="4"/>
        <v>0</v>
      </c>
      <c r="AL32" s="38" t="str">
        <f>_xlfn.IFNA(IF($AG32="","",IF(Z32="Y","DONE",VLOOKUP(A32,'Ship Date'!A:AI,28,0))),"")</f>
        <v/>
      </c>
      <c r="AM32" s="12">
        <f t="shared" ca="1" si="5"/>
        <v>0</v>
      </c>
      <c r="AN32" s="38" t="str">
        <f>_xlfn.IFNA(IF(T32="Y","DONE",VLOOKUP(A32,'Ship Date'!A:AE,25,0)),"")</f>
        <v>DONE</v>
      </c>
      <c r="AO32" s="12">
        <f t="shared" si="6"/>
        <v>0</v>
      </c>
      <c r="AP32" s="38" t="str">
        <f>_xlfn.IFNA(IF(AD32="Y","DONE",VLOOKUP(A32,'Ship Date'!A:AE,30,0)),"")</f>
        <v>DONE</v>
      </c>
      <c r="AQ32" s="12">
        <f t="shared" ca="1" si="7"/>
        <v>0</v>
      </c>
      <c r="AR32" s="38" t="str">
        <f>IFERROR(_xlfn.IFNA(VLOOKUP(A32,'Ship Date'!A:C,3,0),""),"")</f>
        <v/>
      </c>
      <c r="AS32" s="12" t="str">
        <f t="shared" ca="1" si="8"/>
        <v/>
      </c>
      <c r="AT32" s="38"/>
      <c r="AU32" s="41"/>
      <c r="AV32" s="38">
        <f>_xlfn.IFNA(IF(VLOOKUP(A32,'Actual Dates'!A:AE,31,0)="","",VLOOKUP(A32,'Actual Dates'!A:AE,31,0)),"")</f>
        <v>45904</v>
      </c>
      <c r="AW32" s="40"/>
    </row>
    <row r="33" spans="1:49" ht="23.25" hidden="1" x14ac:dyDescent="0.25">
      <c r="A33" s="12" t="str">
        <f>'Actual Dates'!A32</f>
        <v>25-039</v>
      </c>
      <c r="B33" s="13" t="str">
        <f t="shared" si="0"/>
        <v>Zachry</v>
      </c>
      <c r="C33" s="35"/>
      <c r="D33" s="36" t="str">
        <f t="shared" si="9"/>
        <v>Y</v>
      </c>
      <c r="E33" s="37">
        <f t="shared" si="10"/>
        <v>1</v>
      </c>
      <c r="F33" s="36" t="str">
        <f t="shared" si="11"/>
        <v>Y</v>
      </c>
      <c r="G33" s="37">
        <f t="shared" si="12"/>
        <v>-6</v>
      </c>
      <c r="H33" s="36" t="str">
        <f t="shared" si="1"/>
        <v>Y</v>
      </c>
      <c r="I33" s="37">
        <f t="shared" si="13"/>
        <v>57</v>
      </c>
      <c r="J33" s="35"/>
      <c r="K33" s="36" t="str">
        <f t="shared" si="14"/>
        <v>Y</v>
      </c>
      <c r="L33" s="37">
        <f t="shared" si="15"/>
        <v>3</v>
      </c>
      <c r="M33" s="37">
        <f t="shared" si="2"/>
        <v>2</v>
      </c>
      <c r="N33" s="36" t="str">
        <f t="shared" si="16"/>
        <v>Y</v>
      </c>
      <c r="O33" s="37">
        <f t="shared" si="17"/>
        <v>110</v>
      </c>
      <c r="P33" s="36" t="str">
        <f t="shared" si="18"/>
        <v>Y</v>
      </c>
      <c r="Q33" s="37">
        <f t="shared" si="19"/>
        <v>-108</v>
      </c>
      <c r="R33" s="36" t="str">
        <f t="shared" si="20"/>
        <v>Y</v>
      </c>
      <c r="S33" s="37">
        <f t="shared" si="21"/>
        <v>-2</v>
      </c>
      <c r="T33" s="36" t="str">
        <f t="shared" si="22"/>
        <v>Y</v>
      </c>
      <c r="U33" s="37">
        <f t="shared" si="23"/>
        <v>-8</v>
      </c>
      <c r="V33" s="36" t="str">
        <f t="shared" si="24"/>
        <v>Y</v>
      </c>
      <c r="W33" s="37">
        <f t="shared" si="25"/>
        <v>-14</v>
      </c>
      <c r="X33" s="36" t="str">
        <f t="shared" si="26"/>
        <v>Y</v>
      </c>
      <c r="Y33" s="37" t="str">
        <f t="shared" si="27"/>
        <v xml:space="preserve">  </v>
      </c>
      <c r="Z33" s="36" t="str">
        <f t="shared" si="28"/>
        <v xml:space="preserve">  </v>
      </c>
      <c r="AA33" s="37" t="str">
        <f t="shared" si="29"/>
        <v xml:space="preserve">  </v>
      </c>
      <c r="AB33" s="36" t="str">
        <f t="shared" si="30"/>
        <v xml:space="preserve">  </v>
      </c>
      <c r="AC33" s="37">
        <f t="shared" si="31"/>
        <v>6</v>
      </c>
      <c r="AD33" s="36" t="str">
        <f t="shared" si="32"/>
        <v>Y</v>
      </c>
      <c r="AE33" s="37">
        <f t="shared" si="33"/>
        <v>92</v>
      </c>
      <c r="AF33" s="38">
        <f ca="1">_xlfn.IFNA(IF(AG33="",TODAY()+(VLOOKUP(A33,'Date Calcs'!A:G,7,0)*7),VLOOKUP(A33,'Actual Dates'!A:AE,21,FALSE())),"")</f>
        <v>45895</v>
      </c>
      <c r="AG33" s="38">
        <f>_xlfn.IFNA(IF(VLOOKUP(A33,'Actual Dates'!A:AE,20,0)="","",VLOOKUP(A33,'Actual Dates'!A:AE,20,0)+(VLOOKUP(A33,'Date Calcs'!A:X,22,0)*7)),"")</f>
        <v>45783</v>
      </c>
      <c r="AH33" s="38" t="str">
        <f>_xlfn.IFNA(IF($AG33="","",IF(X33="Y","DONE",VLOOKUP(A33,'Ship Date'!A:AE,27,0))),"")</f>
        <v>DONE</v>
      </c>
      <c r="AI33" s="12">
        <f t="shared" ca="1" si="3"/>
        <v>0</v>
      </c>
      <c r="AJ33" s="38" t="str">
        <f>_xlfn.IFNA(IF($AG33="","",IF(AB33="Y","DONE",VLOOKUP(A33,'Ship Date'!A:AG,29,0))),"")</f>
        <v/>
      </c>
      <c r="AK33" s="12">
        <f t="shared" ca="1" si="4"/>
        <v>0</v>
      </c>
      <c r="AL33" s="38" t="str">
        <f>_xlfn.IFNA(IF($AG33="","",IF(Z33="Y","DONE",VLOOKUP(A33,'Ship Date'!A:AI,28,0))),"")</f>
        <v/>
      </c>
      <c r="AM33" s="12">
        <f t="shared" ca="1" si="5"/>
        <v>0</v>
      </c>
      <c r="AN33" s="38" t="str">
        <f>_xlfn.IFNA(IF(T33="Y","DONE",VLOOKUP(A33,'Ship Date'!A:AE,25,0)),"")</f>
        <v>DONE</v>
      </c>
      <c r="AO33" s="12">
        <f t="shared" si="6"/>
        <v>0</v>
      </c>
      <c r="AP33" s="38" t="str">
        <f>_xlfn.IFNA(IF(AD33="Y","DONE",VLOOKUP(A33,'Ship Date'!A:AE,30,0)),"")</f>
        <v>DONE</v>
      </c>
      <c r="AQ33" s="12">
        <f t="shared" ca="1" si="7"/>
        <v>0</v>
      </c>
      <c r="AR33" s="38" t="str">
        <f>IFERROR(_xlfn.IFNA(VLOOKUP(A33,'Ship Date'!A:C,3,0),""),"")</f>
        <v/>
      </c>
      <c r="AS33" s="12" t="str">
        <f t="shared" ca="1" si="8"/>
        <v/>
      </c>
      <c r="AT33" s="38"/>
      <c r="AU33" s="41"/>
      <c r="AV33" s="38">
        <f>_xlfn.IFNA(IF(VLOOKUP(A33,'Actual Dates'!A:AE,31,0)="","",VLOOKUP(A33,'Actual Dates'!A:AE,31,0)),"")</f>
        <v>45884</v>
      </c>
      <c r="AW33" s="40"/>
    </row>
    <row r="34" spans="1:49" ht="23.25" x14ac:dyDescent="0.25">
      <c r="A34" s="12" t="str">
        <f>'Actual Dates'!A33</f>
        <v>25-040</v>
      </c>
      <c r="B34" s="13" t="str">
        <f t="shared" si="0"/>
        <v>NAK Kiln</v>
      </c>
      <c r="C34" s="35"/>
      <c r="D34" s="36" t="str">
        <f t="shared" si="9"/>
        <v>Y</v>
      </c>
      <c r="E34" s="37">
        <f t="shared" si="10"/>
        <v>-29</v>
      </c>
      <c r="F34" s="36" t="str">
        <f t="shared" si="11"/>
        <v>Y</v>
      </c>
      <c r="G34" s="37">
        <f t="shared" si="12"/>
        <v>-14</v>
      </c>
      <c r="H34" s="36" t="str">
        <f t="shared" si="1"/>
        <v>Y</v>
      </c>
      <c r="I34" s="37">
        <f t="shared" si="13"/>
        <v>-8</v>
      </c>
      <c r="J34" s="35"/>
      <c r="K34" s="36" t="str">
        <f t="shared" si="14"/>
        <v>Y</v>
      </c>
      <c r="L34" s="37">
        <f t="shared" si="15"/>
        <v>14</v>
      </c>
      <c r="M34" s="37">
        <f t="shared" si="2"/>
        <v>13</v>
      </c>
      <c r="N34" s="36" t="str">
        <f t="shared" si="16"/>
        <v>Y</v>
      </c>
      <c r="O34" s="37">
        <f t="shared" si="17"/>
        <v>366</v>
      </c>
      <c r="P34" s="36" t="str">
        <f t="shared" si="18"/>
        <v>Y</v>
      </c>
      <c r="Q34" s="37">
        <f t="shared" si="19"/>
        <v>-161</v>
      </c>
      <c r="R34" s="36" t="str">
        <f t="shared" si="20"/>
        <v>Y</v>
      </c>
      <c r="S34" s="37">
        <f t="shared" si="21"/>
        <v>189</v>
      </c>
      <c r="T34" s="36" t="str">
        <f t="shared" si="22"/>
        <v>Y</v>
      </c>
      <c r="U34" s="37">
        <f t="shared" si="23"/>
        <v>182</v>
      </c>
      <c r="V34" s="36" t="str">
        <f t="shared" si="24"/>
        <v>Y</v>
      </c>
      <c r="W34" s="37">
        <f t="shared" si="25"/>
        <v>182</v>
      </c>
      <c r="X34" s="36" t="str">
        <f t="shared" si="26"/>
        <v>Y</v>
      </c>
      <c r="Y34" s="37">
        <f t="shared" si="27"/>
        <v>183</v>
      </c>
      <c r="Z34" s="36" t="str">
        <f t="shared" si="28"/>
        <v>Y</v>
      </c>
      <c r="AA34" s="37">
        <f t="shared" si="29"/>
        <v>182</v>
      </c>
      <c r="AB34" s="36" t="str">
        <f t="shared" si="30"/>
        <v>Y</v>
      </c>
      <c r="AC34" s="37">
        <f t="shared" si="31"/>
        <v>182</v>
      </c>
      <c r="AD34" s="36" t="str">
        <f t="shared" si="32"/>
        <v>Y</v>
      </c>
      <c r="AE34" s="37" t="str">
        <f t="shared" si="33"/>
        <v xml:space="preserve">  </v>
      </c>
      <c r="AF34" s="38">
        <f ca="1">_xlfn.IFNA(IF(AG34="",TODAY()+(VLOOKUP(A34,'Date Calcs'!A:G,7,0)*7),VLOOKUP(A34,'Actual Dates'!A:AE,21,FALSE())),"")</f>
        <v>46086</v>
      </c>
      <c r="AG34" s="38">
        <f>IF(VLOOKUP(A34,'Actual Dates'!A:AE,20,0)="","",VLOOKUP(A34,'Actual Dates'!A:AE,20,0))</f>
        <v>45729</v>
      </c>
      <c r="AH34" s="38" t="str">
        <f>_xlfn.IFNA(IF($AG34="","",IF(X34="Y","DONE",VLOOKUP(A34,'Ship Date'!A:AE,27,0))),"")</f>
        <v>DONE</v>
      </c>
      <c r="AI34" s="12">
        <f t="shared" ca="1" si="3"/>
        <v>0</v>
      </c>
      <c r="AJ34" s="38" t="str">
        <f>_xlfn.IFNA(IF($AG34="","",IF(AB34="Y","DONE",VLOOKUP(A34,'Ship Date'!A:AG,29,0))),"")</f>
        <v>DONE</v>
      </c>
      <c r="AK34" s="12">
        <f t="shared" ca="1" si="4"/>
        <v>0</v>
      </c>
      <c r="AL34" s="38" t="str">
        <f>_xlfn.IFNA(IF($AG34="","",IF(Z34="Y","DONE",VLOOKUP(A34,'Ship Date'!A:AI,28,0))),"")</f>
        <v>DONE</v>
      </c>
      <c r="AM34" s="12">
        <f t="shared" ca="1" si="5"/>
        <v>0</v>
      </c>
      <c r="AN34" s="38" t="str">
        <f>_xlfn.IFNA(IF(T34="Y","DONE",VLOOKUP(A34,'Ship Date'!A:AE,25,0)),"")</f>
        <v>DONE</v>
      </c>
      <c r="AO34" s="12">
        <f t="shared" si="6"/>
        <v>0</v>
      </c>
      <c r="AP34" s="38" t="str">
        <f>_xlfn.IFNA(IF(AD34="Y","DONE",VLOOKUP(A34,'Ship Date'!A:AE,30,0)),"")</f>
        <v>DONE</v>
      </c>
      <c r="AQ34" s="12">
        <f t="shared" ca="1" si="7"/>
        <v>0</v>
      </c>
      <c r="AR34" s="38" t="str">
        <f>IFERROR(_xlfn.IFNA(VLOOKUP(A34,'Ship Date'!A:C,3,0),""),"")</f>
        <v/>
      </c>
      <c r="AS34" s="12" t="str">
        <f t="shared" ca="1" si="8"/>
        <v/>
      </c>
      <c r="AT34" s="38" t="str">
        <f>_xlfn.IFNA(IF(VLOOKUP(A34,'Actual Dates'!A:AF,32,0)="N/A"," ",VLOOKUP(A34,'Actual Dates'!A:AF,32,0))," ")</f>
        <v xml:space="preserve"> </v>
      </c>
      <c r="AU34" s="39"/>
      <c r="AV34" s="38" t="str">
        <f>_xlfn.IFNA(IF(VLOOKUP(A34,'Actual Dates'!A:AE,31,0)="","",VLOOKUP(A34,'Actual Dates'!A:AE,31,0)),"")</f>
        <v/>
      </c>
      <c r="AW34" s="40"/>
    </row>
    <row r="35" spans="1:49" ht="23.25" hidden="1" x14ac:dyDescent="0.25">
      <c r="A35" s="12" t="str">
        <f>'Actual Dates'!A34</f>
        <v>25-042</v>
      </c>
      <c r="B35" s="13" t="str">
        <f t="shared" si="0"/>
        <v>Andritz</v>
      </c>
      <c r="C35" s="35"/>
      <c r="D35" s="36" t="str">
        <f t="shared" si="9"/>
        <v>Y</v>
      </c>
      <c r="E35" s="37">
        <f t="shared" si="10"/>
        <v>-15</v>
      </c>
      <c r="F35" s="36" t="str">
        <f t="shared" si="11"/>
        <v>Y</v>
      </c>
      <c r="G35" s="37">
        <f t="shared" si="12"/>
        <v>-6</v>
      </c>
      <c r="H35" s="36" t="str">
        <f t="shared" si="1"/>
        <v>Y</v>
      </c>
      <c r="I35" s="37">
        <f t="shared" si="13"/>
        <v>165</v>
      </c>
      <c r="J35" s="35"/>
      <c r="K35" s="36" t="str">
        <f t="shared" si="14"/>
        <v>Y</v>
      </c>
      <c r="L35" s="37">
        <f t="shared" si="15"/>
        <v>1</v>
      </c>
      <c r="M35" s="37">
        <f t="shared" si="2"/>
        <v>0</v>
      </c>
      <c r="N35" s="36" t="str">
        <f t="shared" si="16"/>
        <v>Y</v>
      </c>
      <c r="O35" s="37">
        <f t="shared" si="17"/>
        <v>66</v>
      </c>
      <c r="P35" s="36" t="str">
        <f t="shared" si="18"/>
        <v>Y</v>
      </c>
      <c r="Q35" s="37">
        <f t="shared" si="19"/>
        <v>-68</v>
      </c>
      <c r="R35" s="36" t="str">
        <f t="shared" si="20"/>
        <v>Y</v>
      </c>
      <c r="S35" s="37">
        <f t="shared" si="21"/>
        <v>-4</v>
      </c>
      <c r="T35" s="36" t="str">
        <f t="shared" si="22"/>
        <v>Y</v>
      </c>
      <c r="U35" s="37">
        <f t="shared" si="23"/>
        <v>-11</v>
      </c>
      <c r="V35" s="36" t="str">
        <f t="shared" si="24"/>
        <v>Y</v>
      </c>
      <c r="W35" s="37">
        <f t="shared" si="25"/>
        <v>11</v>
      </c>
      <c r="X35" s="36" t="str">
        <f t="shared" si="26"/>
        <v>Y</v>
      </c>
      <c r="Y35" s="37" t="str">
        <f t="shared" si="27"/>
        <v xml:space="preserve">  </v>
      </c>
      <c r="Z35" s="36" t="str">
        <f t="shared" si="28"/>
        <v xml:space="preserve">  </v>
      </c>
      <c r="AA35" s="37" t="str">
        <f t="shared" si="29"/>
        <v xml:space="preserve">  </v>
      </c>
      <c r="AB35" s="36" t="str">
        <f t="shared" si="30"/>
        <v xml:space="preserve">  </v>
      </c>
      <c r="AC35" s="37">
        <f t="shared" si="31"/>
        <v>21</v>
      </c>
      <c r="AD35" s="36" t="str">
        <f t="shared" si="32"/>
        <v>Y</v>
      </c>
      <c r="AE35" s="37">
        <f t="shared" si="33"/>
        <v>86</v>
      </c>
      <c r="AF35" s="38">
        <f ca="1">_xlfn.IFNA(IF(AG35="",TODAY()+(VLOOKUP(A35,'Date Calcs'!A:G,7,0)*7),VLOOKUP(A35,'Actual Dates'!A:AE,21,FALSE())),"")</f>
        <v>45869</v>
      </c>
      <c r="AG35" s="38">
        <f>_xlfn.IFNA(IF(VLOOKUP(A35,'Actual Dates'!A:AE,20,0)="","",VLOOKUP(A35,'Actual Dates'!A:AE,20,0)+(VLOOKUP(A35,'Date Calcs'!A:X,22,0)*7)),"")</f>
        <v>45799</v>
      </c>
      <c r="AH35" s="38" t="str">
        <f>_xlfn.IFNA(IF($AG35="","",IF(X35="Y","DONE",VLOOKUP(A35,'Ship Date'!A:AE,27,0))),"")</f>
        <v>DONE</v>
      </c>
      <c r="AI35" s="12">
        <f t="shared" ca="1" si="3"/>
        <v>0</v>
      </c>
      <c r="AJ35" s="38" t="str">
        <f>_xlfn.IFNA(IF($AG35="","",IF(AB35="Y","DONE",VLOOKUP(A35,'Ship Date'!A:AG,29,0))),"")</f>
        <v/>
      </c>
      <c r="AK35" s="12">
        <f t="shared" ca="1" si="4"/>
        <v>0</v>
      </c>
      <c r="AL35" s="38" t="str">
        <f>_xlfn.IFNA(IF($AG35="","",IF(Z35="Y","DONE",VLOOKUP(A35,'Ship Date'!A:AI,28,0))),"")</f>
        <v/>
      </c>
      <c r="AM35" s="12">
        <f t="shared" ca="1" si="5"/>
        <v>0</v>
      </c>
      <c r="AN35" s="38" t="str">
        <f>_xlfn.IFNA(IF(T35="Y","DONE",VLOOKUP(A35,'Ship Date'!A:AE,25,0)),"")</f>
        <v>DONE</v>
      </c>
      <c r="AO35" s="12">
        <f t="shared" si="6"/>
        <v>0</v>
      </c>
      <c r="AP35" s="38" t="str">
        <f>_xlfn.IFNA(IF(AD35="Y","DONE",VLOOKUP(A35,'Ship Date'!A:AE,30,0)),"")</f>
        <v>DONE</v>
      </c>
      <c r="AQ35" s="12">
        <f t="shared" ca="1" si="7"/>
        <v>0</v>
      </c>
      <c r="AR35" s="38" t="str">
        <f>IFERROR(_xlfn.IFNA(VLOOKUP(A35,'Ship Date'!A:C,3,0),""),"")</f>
        <v/>
      </c>
      <c r="AS35" s="12" t="str">
        <f t="shared" ca="1" si="8"/>
        <v/>
      </c>
      <c r="AT35" s="38"/>
      <c r="AU35" s="41"/>
      <c r="AV35" s="38">
        <f>_xlfn.IFNA(IF(VLOOKUP(A35,'Actual Dates'!A:AE,31,0)="","",VLOOKUP(A35,'Actual Dates'!A:AE,31,0)),"")</f>
        <v>45896</v>
      </c>
      <c r="AW35" s="40"/>
    </row>
    <row r="36" spans="1:49" ht="23.25" hidden="1" x14ac:dyDescent="0.25">
      <c r="A36" s="12" t="str">
        <f>'Actual Dates'!A35</f>
        <v>25-044</v>
      </c>
      <c r="B36" s="13" t="str">
        <f t="shared" si="0"/>
        <v>Noah Industrial</v>
      </c>
      <c r="C36" s="35"/>
      <c r="D36" s="36" t="str">
        <f t="shared" si="9"/>
        <v>Y</v>
      </c>
      <c r="E36" s="37">
        <f t="shared" si="10"/>
        <v>15</v>
      </c>
      <c r="F36" s="36" t="str">
        <f t="shared" si="11"/>
        <v>Y</v>
      </c>
      <c r="G36" s="37">
        <f t="shared" si="12"/>
        <v>8</v>
      </c>
      <c r="H36" s="36" t="str">
        <f t="shared" si="1"/>
        <v>Y</v>
      </c>
      <c r="I36" s="37" t="str">
        <f t="shared" si="13"/>
        <v/>
      </c>
      <c r="J36" s="35"/>
      <c r="K36" s="36" t="str">
        <f t="shared" si="14"/>
        <v>Y</v>
      </c>
      <c r="L36" s="37">
        <f t="shared" si="15"/>
        <v>-1</v>
      </c>
      <c r="M36" s="37">
        <f t="shared" si="2"/>
        <v>-2</v>
      </c>
      <c r="N36" s="36" t="str">
        <f t="shared" si="16"/>
        <v>Y</v>
      </c>
      <c r="O36" s="37">
        <f t="shared" si="17"/>
        <v>78</v>
      </c>
      <c r="P36" s="36" t="str">
        <f t="shared" si="18"/>
        <v>Y</v>
      </c>
      <c r="Q36" s="37">
        <f t="shared" si="19"/>
        <v>-77</v>
      </c>
      <c r="R36" s="36" t="str">
        <f t="shared" si="20"/>
        <v>Y</v>
      </c>
      <c r="S36" s="37">
        <f t="shared" si="21"/>
        <v>5</v>
      </c>
      <c r="T36" s="36" t="str">
        <f t="shared" si="22"/>
        <v>Y</v>
      </c>
      <c r="U36" s="37">
        <f t="shared" si="23"/>
        <v>-2</v>
      </c>
      <c r="V36" s="36" t="str">
        <f t="shared" si="24"/>
        <v>Y</v>
      </c>
      <c r="W36" s="37">
        <f t="shared" si="25"/>
        <v>-1</v>
      </c>
      <c r="X36" s="36" t="str">
        <f t="shared" si="26"/>
        <v>Y</v>
      </c>
      <c r="Y36" s="37" t="str">
        <f t="shared" si="27"/>
        <v xml:space="preserve">  </v>
      </c>
      <c r="Z36" s="36" t="str">
        <f t="shared" si="28"/>
        <v xml:space="preserve">  </v>
      </c>
      <c r="AA36" s="37" t="str">
        <f t="shared" si="29"/>
        <v xml:space="preserve">  </v>
      </c>
      <c r="AB36" s="36" t="str">
        <f t="shared" si="30"/>
        <v xml:space="preserve">  </v>
      </c>
      <c r="AC36" s="37">
        <f t="shared" si="31"/>
        <v>5</v>
      </c>
      <c r="AD36" s="36" t="str">
        <f t="shared" si="32"/>
        <v>Y</v>
      </c>
      <c r="AE36" s="37">
        <f t="shared" si="33"/>
        <v>63</v>
      </c>
      <c r="AF36" s="38">
        <f ca="1">_xlfn.IFNA(IF(AG36="",TODAY()+(VLOOKUP(A36,'Date Calcs'!A:G,7,0)*7),VLOOKUP(A36,'Actual Dates'!A:AE,21,FALSE())),"")</f>
        <v>45891</v>
      </c>
      <c r="AG36" s="38">
        <f>_xlfn.IFNA(IF(VLOOKUP(A36,'Actual Dates'!A:AE,20,0)="","",VLOOKUP(A36,'Actual Dates'!A:AE,20,0)+(VLOOKUP(A36,'Date Calcs'!A:X,22,0)*7)),"")</f>
        <v>45807</v>
      </c>
      <c r="AH36" s="38" t="str">
        <f>_xlfn.IFNA(IF($AG36="","",IF(X36="Y","DONE",VLOOKUP(A36,'Ship Date'!A:AE,27,0))),"")</f>
        <v>DONE</v>
      </c>
      <c r="AI36" s="12">
        <f t="shared" ca="1" si="3"/>
        <v>0</v>
      </c>
      <c r="AJ36" s="38" t="str">
        <f>_xlfn.IFNA(IF($AG36="","",IF(AB36="Y","DONE",VLOOKUP(A36,'Ship Date'!A:AG,29,0))),"")</f>
        <v/>
      </c>
      <c r="AK36" s="12">
        <f t="shared" ca="1" si="4"/>
        <v>0</v>
      </c>
      <c r="AL36" s="38" t="str">
        <f>_xlfn.IFNA(IF($AG36="","",IF(Z36="Y","DONE",VLOOKUP(A36,'Ship Date'!A:AI,28,0))),"")</f>
        <v/>
      </c>
      <c r="AM36" s="12">
        <f t="shared" ca="1" si="5"/>
        <v>0</v>
      </c>
      <c r="AN36" s="38" t="str">
        <f>_xlfn.IFNA(IF(T36="Y","DONE",VLOOKUP(A36,'Ship Date'!A:AE,25,0)),"")</f>
        <v>DONE</v>
      </c>
      <c r="AO36" s="12">
        <f t="shared" si="6"/>
        <v>0</v>
      </c>
      <c r="AP36" s="38" t="str">
        <f>_xlfn.IFNA(IF(AD36="Y","DONE",VLOOKUP(A36,'Ship Date'!A:AE,30,0)),"")</f>
        <v>DONE</v>
      </c>
      <c r="AQ36" s="12">
        <f t="shared" ca="1" si="7"/>
        <v>0</v>
      </c>
      <c r="AR36" s="38" t="str">
        <f>IFERROR(_xlfn.IFNA(VLOOKUP(A36,'Ship Date'!A:C,3,0),""),"")</f>
        <v/>
      </c>
      <c r="AS36" s="12" t="str">
        <f t="shared" ca="1" si="8"/>
        <v/>
      </c>
      <c r="AT36" s="38"/>
      <c r="AU36" s="41"/>
      <c r="AV36" s="38">
        <f>_xlfn.IFNA(IF(VLOOKUP(A36,'Actual Dates'!A:AE,31,0)="","",VLOOKUP(A36,'Actual Dates'!A:AE,31,0)),"")</f>
        <v>45883</v>
      </c>
      <c r="AW36" s="40"/>
    </row>
    <row r="37" spans="1:49" ht="23.25" hidden="1" x14ac:dyDescent="0.25">
      <c r="A37" s="12" t="str">
        <f>'Actual Dates'!A36</f>
        <v>25-045</v>
      </c>
      <c r="B37" s="13" t="str">
        <f t="shared" si="0"/>
        <v>ProPipe</v>
      </c>
      <c r="C37" s="35"/>
      <c r="D37" s="36" t="str">
        <f t="shared" si="9"/>
        <v>Y</v>
      </c>
      <c r="E37" s="37">
        <f t="shared" si="10"/>
        <v>263</v>
      </c>
      <c r="F37" s="36" t="str">
        <f t="shared" si="11"/>
        <v>Y</v>
      </c>
      <c r="G37" s="37">
        <f t="shared" si="12"/>
        <v>-10</v>
      </c>
      <c r="H37" s="36" t="str">
        <f t="shared" si="1"/>
        <v>Y</v>
      </c>
      <c r="I37" s="37" t="str">
        <f t="shared" si="13"/>
        <v/>
      </c>
      <c r="J37" s="35"/>
      <c r="K37" s="36" t="str">
        <f t="shared" si="14"/>
        <v>Y</v>
      </c>
      <c r="L37" s="37" t="str">
        <f t="shared" si="15"/>
        <v/>
      </c>
      <c r="M37" s="37" t="str">
        <f t="shared" si="2"/>
        <v xml:space="preserve">  </v>
      </c>
      <c r="N37" s="36" t="str">
        <f t="shared" si="16"/>
        <v xml:space="preserve">  </v>
      </c>
      <c r="O37" s="37" t="str">
        <f t="shared" si="17"/>
        <v xml:space="preserve">  </v>
      </c>
      <c r="P37" s="36" t="str">
        <f t="shared" si="18"/>
        <v>Y</v>
      </c>
      <c r="Q37" s="37" t="str">
        <f t="shared" si="19"/>
        <v/>
      </c>
      <c r="R37" s="36" t="str">
        <f t="shared" si="20"/>
        <v>Y</v>
      </c>
      <c r="S37" s="37" t="str">
        <f t="shared" si="21"/>
        <v/>
      </c>
      <c r="T37" s="36" t="str">
        <f t="shared" si="22"/>
        <v xml:space="preserve">  </v>
      </c>
      <c r="U37" s="37" t="str">
        <f t="shared" si="23"/>
        <v/>
      </c>
      <c r="V37" s="36" t="str">
        <f t="shared" si="24"/>
        <v>Y</v>
      </c>
      <c r="W37" s="37" t="str">
        <f t="shared" si="25"/>
        <v xml:space="preserve">  </v>
      </c>
      <c r="X37" s="36" t="str">
        <f t="shared" si="26"/>
        <v xml:space="preserve">  </v>
      </c>
      <c r="Y37" s="37" t="str">
        <f t="shared" si="27"/>
        <v xml:space="preserve">  </v>
      </c>
      <c r="Z37" s="36" t="str">
        <f t="shared" si="28"/>
        <v xml:space="preserve">  </v>
      </c>
      <c r="AA37" s="37" t="str">
        <f t="shared" si="29"/>
        <v xml:space="preserve">  </v>
      </c>
      <c r="AB37" s="36" t="str">
        <f t="shared" si="30"/>
        <v xml:space="preserve">  </v>
      </c>
      <c r="AC37" s="37" t="str">
        <f t="shared" si="31"/>
        <v xml:space="preserve">  </v>
      </c>
      <c r="AD37" s="36" t="str">
        <f t="shared" si="32"/>
        <v xml:space="preserve">  </v>
      </c>
      <c r="AE37" s="37">
        <f t="shared" si="33"/>
        <v>-14</v>
      </c>
      <c r="AF37" s="38">
        <f ca="1">_xlfn.IFNA(IF(AG37="",TODAY()+(VLOOKUP(A37,'Date Calcs'!A:G,7,0)*7),VLOOKUP(A37,'Actual Dates'!A:AE,21,FALSE())),"")</f>
        <v>46129</v>
      </c>
      <c r="AG37" s="38" t="str">
        <f>_xlfn.IFNA(IF(VLOOKUP(A37,'Actual Dates'!A:AE,20,0)="","",VLOOKUP(A37,'Actual Dates'!A:AE,20,0)+(VLOOKUP(A37,'Date Calcs'!A:X,22,0)*7)),"")</f>
        <v/>
      </c>
      <c r="AH37" s="38" t="str">
        <f>_xlfn.IFNA(IF($AG37="","",IF(X37="Y","DONE",VLOOKUP(A37,'Ship Date'!A:AE,27,0))),"")</f>
        <v/>
      </c>
      <c r="AI37" s="12">
        <f t="shared" ca="1" si="3"/>
        <v>0</v>
      </c>
      <c r="AJ37" s="38" t="str">
        <f>_xlfn.IFNA(IF($AG37="","",IF(AB37="Y","DONE",VLOOKUP(A37,'Ship Date'!A:AG,29,0))),"")</f>
        <v/>
      </c>
      <c r="AK37" s="12">
        <f t="shared" ca="1" si="4"/>
        <v>0</v>
      </c>
      <c r="AL37" s="38" t="str">
        <f>_xlfn.IFNA(IF($AG37="","",IF(Z37="Y","DONE",VLOOKUP(A37,'Ship Date'!A:AI,28,0))),"")</f>
        <v/>
      </c>
      <c r="AM37" s="12">
        <f t="shared" ca="1" si="5"/>
        <v>0</v>
      </c>
      <c r="AN37" s="38" t="str">
        <f>_xlfn.IFNA(IF(T37="Y","DONE",VLOOKUP(A37,'Ship Date'!A:AE,25,0)),"")</f>
        <v/>
      </c>
      <c r="AO37" s="12">
        <f t="shared" si="6"/>
        <v>0</v>
      </c>
      <c r="AP37" s="38" t="str">
        <f>_xlfn.IFNA(IF(AD37="Y","DONE",VLOOKUP(A37,'Ship Date'!A:AE,30,0)),"")</f>
        <v/>
      </c>
      <c r="AQ37" s="12">
        <f t="shared" ca="1" si="7"/>
        <v>0</v>
      </c>
      <c r="AR37" s="38" t="str">
        <f>IFERROR(_xlfn.IFNA(VLOOKUP(A37,'Ship Date'!A:C,3,0),""),"")</f>
        <v/>
      </c>
      <c r="AS37" s="12" t="str">
        <f t="shared" ca="1" si="8"/>
        <v/>
      </c>
      <c r="AT37" s="38"/>
      <c r="AU37" s="41"/>
      <c r="AV37" s="38">
        <f>_xlfn.IFNA(IF(VLOOKUP(A37,'Actual Dates'!A:AE,31,0)="","",VLOOKUP(A37,'Actual Dates'!A:AE,31,0)),"")</f>
        <v>46022</v>
      </c>
      <c r="AW37" s="40"/>
    </row>
    <row r="38" spans="1:49" ht="23.25" hidden="1" x14ac:dyDescent="0.25">
      <c r="A38" s="12" t="str">
        <f>'Actual Dates'!A37</f>
        <v>25-052</v>
      </c>
      <c r="B38" s="13" t="str">
        <f t="shared" si="0"/>
        <v>Kraton</v>
      </c>
      <c r="C38" s="35"/>
      <c r="D38" s="36" t="str">
        <f t="shared" si="9"/>
        <v>Y</v>
      </c>
      <c r="E38" s="37">
        <f t="shared" si="10"/>
        <v>2</v>
      </c>
      <c r="F38" s="36" t="str">
        <f t="shared" si="11"/>
        <v>Y</v>
      </c>
      <c r="G38" s="37">
        <f t="shared" si="12"/>
        <v>-10</v>
      </c>
      <c r="H38" s="36" t="str">
        <f t="shared" si="1"/>
        <v>Y</v>
      </c>
      <c r="I38" s="37" t="str">
        <f t="shared" si="13"/>
        <v/>
      </c>
      <c r="J38" s="35"/>
      <c r="K38" s="36" t="str">
        <f t="shared" si="14"/>
        <v>Y</v>
      </c>
      <c r="L38" s="37">
        <f t="shared" si="15"/>
        <v>5</v>
      </c>
      <c r="M38" s="37">
        <f t="shared" si="2"/>
        <v>4</v>
      </c>
      <c r="N38" s="36" t="str">
        <f t="shared" si="16"/>
        <v>Y</v>
      </c>
      <c r="O38" s="37">
        <f t="shared" si="17"/>
        <v>98</v>
      </c>
      <c r="P38" s="36" t="str">
        <f t="shared" si="18"/>
        <v>Y</v>
      </c>
      <c r="Q38" s="37">
        <f t="shared" si="19"/>
        <v>-56</v>
      </c>
      <c r="R38" s="36" t="str">
        <f t="shared" si="20"/>
        <v>Y</v>
      </c>
      <c r="S38" s="37">
        <f t="shared" si="21"/>
        <v>38</v>
      </c>
      <c r="T38" s="36" t="str">
        <f t="shared" si="22"/>
        <v>Y</v>
      </c>
      <c r="U38" s="37">
        <f t="shared" si="23"/>
        <v>31</v>
      </c>
      <c r="V38" s="36" t="str">
        <f t="shared" si="24"/>
        <v>Y</v>
      </c>
      <c r="W38" s="37">
        <f t="shared" si="25"/>
        <v>36</v>
      </c>
      <c r="X38" s="36" t="str">
        <f t="shared" si="26"/>
        <v>Y</v>
      </c>
      <c r="Y38" s="37" t="str">
        <f t="shared" si="27"/>
        <v xml:space="preserve">  </v>
      </c>
      <c r="Z38" s="36" t="str">
        <f t="shared" si="28"/>
        <v xml:space="preserve">  </v>
      </c>
      <c r="AA38" s="37" t="str">
        <f t="shared" si="29"/>
        <v xml:space="preserve">  </v>
      </c>
      <c r="AB38" s="36" t="str">
        <f t="shared" si="30"/>
        <v xml:space="preserve">  </v>
      </c>
      <c r="AC38" s="37">
        <f t="shared" si="31"/>
        <v>41</v>
      </c>
      <c r="AD38" s="36" t="str">
        <f t="shared" si="32"/>
        <v>Y</v>
      </c>
      <c r="AE38" s="37">
        <f t="shared" si="33"/>
        <v>146</v>
      </c>
      <c r="AF38" s="38">
        <f ca="1">_xlfn.IFNA(IF(AG38="",TODAY()+(VLOOKUP(A38,'Date Calcs'!A:G,7,0)*7),VLOOKUP(A38,'Actual Dates'!A:AE,21,FALSE())),"")</f>
        <v>45965</v>
      </c>
      <c r="AG38" s="38">
        <f>_xlfn.IFNA(IF(VLOOKUP(A38,'Actual Dates'!A:AE,20,0)="","",VLOOKUP(A38,'Actual Dates'!A:AE,20,0)+(VLOOKUP(A38,'Date Calcs'!A:X,22,0)*7)),"")</f>
        <v>45867</v>
      </c>
      <c r="AH38" s="38" t="str">
        <f>_xlfn.IFNA(IF($AG38="","",IF(X38="Y","DONE",VLOOKUP(A38,'Ship Date'!A:AE,27,0))),"")</f>
        <v>DONE</v>
      </c>
      <c r="AI38" s="12">
        <f t="shared" ca="1" si="3"/>
        <v>0</v>
      </c>
      <c r="AJ38" s="38" t="str">
        <f>_xlfn.IFNA(IF($AG38="","",IF(AB38="Y","DONE",VLOOKUP(A38,'Ship Date'!A:AG,29,0))),"")</f>
        <v/>
      </c>
      <c r="AK38" s="12">
        <f t="shared" ca="1" si="4"/>
        <v>0</v>
      </c>
      <c r="AL38" s="38" t="str">
        <f>_xlfn.IFNA(IF($AG38="","",IF(Z38="Y","DONE",VLOOKUP(A38,'Ship Date'!A:AI,28,0))),"")</f>
        <v/>
      </c>
      <c r="AM38" s="12">
        <f t="shared" ca="1" si="5"/>
        <v>0</v>
      </c>
      <c r="AN38" s="38" t="str">
        <f>_xlfn.IFNA(IF(T38="Y","DONE",VLOOKUP(A38,'Ship Date'!A:AE,25,0)),"")</f>
        <v>DONE</v>
      </c>
      <c r="AO38" s="12">
        <f t="shared" si="6"/>
        <v>0</v>
      </c>
      <c r="AP38" s="38" t="str">
        <f>_xlfn.IFNA(IF(AD38="Y","DONE",VLOOKUP(A38,'Ship Date'!A:AE,30,0)),"")</f>
        <v>DONE</v>
      </c>
      <c r="AQ38" s="12">
        <f t="shared" ca="1" si="7"/>
        <v>0</v>
      </c>
      <c r="AR38" s="38" t="str">
        <f>IFERROR(_xlfn.IFNA(VLOOKUP(A38,'Ship Date'!A:C,3,0),""),"")</f>
        <v/>
      </c>
      <c r="AS38" s="12" t="str">
        <f t="shared" ca="1" si="8"/>
        <v/>
      </c>
      <c r="AT38" s="38"/>
      <c r="AU38" s="41"/>
      <c r="AV38" s="38">
        <f>_xlfn.IFNA(IF(VLOOKUP(A38,'Actual Dates'!A:AE,31,0)="","",VLOOKUP(A38,'Actual Dates'!A:AE,31,0)),"")</f>
        <v>46020</v>
      </c>
      <c r="AW38" s="40"/>
    </row>
    <row r="39" spans="1:49" ht="23.25" hidden="1" x14ac:dyDescent="0.25">
      <c r="A39" s="12" t="str">
        <f>'Actual Dates'!A38</f>
        <v>25-053</v>
      </c>
      <c r="B39" s="13" t="str">
        <f t="shared" si="0"/>
        <v>Andritz</v>
      </c>
      <c r="C39" s="35"/>
      <c r="D39" s="36" t="str">
        <f t="shared" si="9"/>
        <v>Y</v>
      </c>
      <c r="E39" s="37" t="str">
        <f t="shared" si="10"/>
        <v xml:space="preserve">  </v>
      </c>
      <c r="F39" s="36" t="str">
        <f t="shared" si="11"/>
        <v>Y</v>
      </c>
      <c r="G39" s="37">
        <f t="shared" si="12"/>
        <v>58</v>
      </c>
      <c r="H39" s="36" t="str">
        <f t="shared" si="1"/>
        <v>Y</v>
      </c>
      <c r="I39" s="37" t="str">
        <f t="shared" si="13"/>
        <v/>
      </c>
      <c r="J39" s="35"/>
      <c r="K39" s="36" t="str">
        <f t="shared" si="14"/>
        <v>Y</v>
      </c>
      <c r="L39" s="37" t="str">
        <f t="shared" si="15"/>
        <v/>
      </c>
      <c r="M39" s="37" t="str">
        <f t="shared" si="2"/>
        <v xml:space="preserve">  </v>
      </c>
      <c r="N39" s="36" t="str">
        <f t="shared" si="16"/>
        <v xml:space="preserve">  </v>
      </c>
      <c r="O39" s="37" t="str">
        <f t="shared" si="17"/>
        <v xml:space="preserve">  </v>
      </c>
      <c r="P39" s="36" t="str">
        <f t="shared" si="18"/>
        <v>Y</v>
      </c>
      <c r="Q39" s="37">
        <f t="shared" si="19"/>
        <v>-348</v>
      </c>
      <c r="R39" s="36" t="str">
        <f t="shared" si="20"/>
        <v>Y</v>
      </c>
      <c r="S39" s="37">
        <f t="shared" si="21"/>
        <v>-273</v>
      </c>
      <c r="T39" s="36" t="str">
        <f t="shared" si="22"/>
        <v>Y</v>
      </c>
      <c r="U39" s="37">
        <f t="shared" si="23"/>
        <v>-280</v>
      </c>
      <c r="V39" s="36" t="str">
        <f t="shared" si="24"/>
        <v>Y</v>
      </c>
      <c r="W39" s="37">
        <f t="shared" si="25"/>
        <v>-277</v>
      </c>
      <c r="X39" s="36" t="str">
        <f t="shared" si="26"/>
        <v>Y</v>
      </c>
      <c r="Y39" s="37">
        <f t="shared" si="27"/>
        <v>-250</v>
      </c>
      <c r="Z39" s="36" t="str">
        <f t="shared" si="28"/>
        <v>Y</v>
      </c>
      <c r="AA39" s="37" t="str">
        <f t="shared" si="29"/>
        <v xml:space="preserve">  </v>
      </c>
      <c r="AB39" s="36" t="str">
        <f t="shared" si="30"/>
        <v xml:space="preserve">  </v>
      </c>
      <c r="AC39" s="37">
        <f t="shared" si="31"/>
        <v>-278</v>
      </c>
      <c r="AD39" s="36" t="str">
        <f t="shared" si="32"/>
        <v>Y</v>
      </c>
      <c r="AE39" s="37">
        <f t="shared" si="33"/>
        <v>-241</v>
      </c>
      <c r="AF39" s="38">
        <f ca="1">_xlfn.IFNA(IF(AG39="",TODAY()+(VLOOKUP(A39,'Date Calcs'!A:G,7,0)*7),VLOOKUP(A39,'Actual Dates'!A:AE,21,FALSE())),"")</f>
        <v>46185</v>
      </c>
      <c r="AG39" s="38" t="str">
        <f>_xlfn.IFNA(IF(VLOOKUP(A39,'Actual Dates'!A:AE,20,0)="","",VLOOKUP(A39,'Actual Dates'!A:AE,20,0)+(VLOOKUP(A39,'Date Calcs'!A:X,22,0)*7)),"")</f>
        <v/>
      </c>
      <c r="AH39" s="38" t="str">
        <f>_xlfn.IFNA(IF($AG39="","",IF(X39="Y","DONE",VLOOKUP(A39,'Ship Date'!A:AE,27,0))),"")</f>
        <v/>
      </c>
      <c r="AI39" s="12">
        <f t="shared" ca="1" si="3"/>
        <v>0</v>
      </c>
      <c r="AJ39" s="38" t="str">
        <f>_xlfn.IFNA(IF($AG39="","",IF(AB39="Y","DONE",VLOOKUP(A39,'Ship Date'!A:AG,29,0))),"")</f>
        <v/>
      </c>
      <c r="AK39" s="12">
        <f t="shared" ca="1" si="4"/>
        <v>0</v>
      </c>
      <c r="AL39" s="38" t="str">
        <f>_xlfn.IFNA(IF($AG39="","",IF(Z39="Y","DONE",VLOOKUP(A39,'Ship Date'!A:AI,28,0))),"")</f>
        <v/>
      </c>
      <c r="AM39" s="12">
        <f t="shared" ca="1" si="5"/>
        <v>0</v>
      </c>
      <c r="AN39" s="38" t="str">
        <f>_xlfn.IFNA(IF(T39="Y","DONE",VLOOKUP(A39,'Ship Date'!A:AE,25,0)),"")</f>
        <v>DONE</v>
      </c>
      <c r="AO39" s="12">
        <f t="shared" si="6"/>
        <v>0</v>
      </c>
      <c r="AP39" s="38" t="str">
        <f>_xlfn.IFNA(IF(AD39="Y","DONE",VLOOKUP(A39,'Ship Date'!A:AE,30,0)),"")</f>
        <v>DONE</v>
      </c>
      <c r="AQ39" s="12">
        <f t="shared" ca="1" si="7"/>
        <v>0</v>
      </c>
      <c r="AR39" s="38" t="str">
        <f>IFERROR(_xlfn.IFNA(VLOOKUP(A39,'Ship Date'!A:C,3,0),""),"")</f>
        <v/>
      </c>
      <c r="AS39" s="12" t="str">
        <f t="shared" ca="1" si="8"/>
        <v/>
      </c>
      <c r="AT39" s="38"/>
      <c r="AU39" s="41"/>
      <c r="AV39" s="38">
        <f>_xlfn.IFNA(IF(VLOOKUP(A39,'Actual Dates'!A:AE,31,0)="","",VLOOKUP(A39,'Actual Dates'!A:AE,31,0)),"")</f>
        <v>45926</v>
      </c>
      <c r="AW39" s="40"/>
    </row>
    <row r="40" spans="1:49" ht="23.25" hidden="1" x14ac:dyDescent="0.25">
      <c r="A40" s="12" t="str">
        <f>'Actual Dates'!A39</f>
        <v>25-054</v>
      </c>
      <c r="B40" s="13" t="str">
        <f t="shared" si="0"/>
        <v>Chromascape</v>
      </c>
      <c r="C40" s="35"/>
      <c r="D40" s="36" t="str">
        <f t="shared" si="9"/>
        <v>Y</v>
      </c>
      <c r="E40" s="37">
        <f t="shared" si="10"/>
        <v>-4</v>
      </c>
      <c r="F40" s="36" t="str">
        <f t="shared" si="11"/>
        <v>Y</v>
      </c>
      <c r="G40" s="37">
        <f t="shared" si="12"/>
        <v>-8</v>
      </c>
      <c r="H40" s="36" t="str">
        <f t="shared" si="1"/>
        <v>Y</v>
      </c>
      <c r="I40" s="37" t="str">
        <f t="shared" si="13"/>
        <v/>
      </c>
      <c r="J40" s="35"/>
      <c r="K40" s="36" t="str">
        <f t="shared" si="14"/>
        <v>Y</v>
      </c>
      <c r="L40" s="37">
        <f t="shared" si="15"/>
        <v>5</v>
      </c>
      <c r="M40" s="37">
        <f t="shared" si="2"/>
        <v>4</v>
      </c>
      <c r="N40" s="36" t="str">
        <f t="shared" si="16"/>
        <v>Y</v>
      </c>
      <c r="O40" s="37">
        <f t="shared" si="17"/>
        <v>105</v>
      </c>
      <c r="P40" s="36" t="str">
        <f t="shared" si="18"/>
        <v>Y</v>
      </c>
      <c r="Q40" s="37">
        <f t="shared" si="19"/>
        <v>-93</v>
      </c>
      <c r="R40" s="36" t="str">
        <f t="shared" si="20"/>
        <v>Y</v>
      </c>
      <c r="S40" s="37">
        <f t="shared" si="21"/>
        <v>6</v>
      </c>
      <c r="T40" s="36" t="str">
        <f t="shared" si="22"/>
        <v>Y</v>
      </c>
      <c r="U40" s="37">
        <f t="shared" si="23"/>
        <v>-1</v>
      </c>
      <c r="V40" s="36" t="str">
        <f t="shared" si="24"/>
        <v>Y</v>
      </c>
      <c r="W40" s="37">
        <f t="shared" si="25"/>
        <v>48</v>
      </c>
      <c r="X40" s="36" t="str">
        <f t="shared" si="26"/>
        <v>Y</v>
      </c>
      <c r="Y40" s="37" t="str">
        <f t="shared" si="27"/>
        <v xml:space="preserve">  </v>
      </c>
      <c r="Z40" s="36" t="str">
        <f t="shared" si="28"/>
        <v xml:space="preserve">  </v>
      </c>
      <c r="AA40" s="37" t="str">
        <f t="shared" si="29"/>
        <v xml:space="preserve">  </v>
      </c>
      <c r="AB40" s="36" t="str">
        <f t="shared" si="30"/>
        <v xml:space="preserve">  </v>
      </c>
      <c r="AC40" s="37">
        <f t="shared" si="31"/>
        <v>53</v>
      </c>
      <c r="AD40" s="36" t="str">
        <f t="shared" si="32"/>
        <v>Y</v>
      </c>
      <c r="AE40" s="37">
        <f t="shared" si="33"/>
        <v>123</v>
      </c>
      <c r="AF40" s="38">
        <f ca="1">_xlfn.IFNA(IF(AG40="",TODAY()+(VLOOKUP(A40,'Date Calcs'!A:G,7,0)*7),VLOOKUP(A40,'Actual Dates'!A:AE,21,FALSE())),"")</f>
        <v>45960</v>
      </c>
      <c r="AG40" s="38">
        <f>_xlfn.IFNA(IF(VLOOKUP(A40,'Actual Dates'!A:AE,20,0)="","",VLOOKUP(A40,'Actual Dates'!A:AE,20,0)+(VLOOKUP(A40,'Date Calcs'!A:X,22,0)*7)),"")</f>
        <v>45855</v>
      </c>
      <c r="AH40" s="38" t="str">
        <f>_xlfn.IFNA(IF($AG40="","",IF(X40="Y","DONE",VLOOKUP(A40,'Ship Date'!A:AE,27,0))),"")</f>
        <v>DONE</v>
      </c>
      <c r="AI40" s="12">
        <f t="shared" ca="1" si="3"/>
        <v>0</v>
      </c>
      <c r="AJ40" s="38" t="str">
        <f>_xlfn.IFNA(IF($AG40="","",IF(AB40="Y","DONE",VLOOKUP(A40,'Ship Date'!A:AG,29,0))),"")</f>
        <v/>
      </c>
      <c r="AK40" s="12">
        <f t="shared" ca="1" si="4"/>
        <v>0</v>
      </c>
      <c r="AL40" s="38" t="str">
        <f>_xlfn.IFNA(IF($AG40="","",IF(Z40="Y","DONE",VLOOKUP(A40,'Ship Date'!A:AI,28,0))),"")</f>
        <v/>
      </c>
      <c r="AM40" s="12">
        <f t="shared" ca="1" si="5"/>
        <v>0</v>
      </c>
      <c r="AN40" s="38" t="str">
        <f>_xlfn.IFNA(IF(T40="Y","DONE",VLOOKUP(A40,'Ship Date'!A:AE,25,0)),"")</f>
        <v>DONE</v>
      </c>
      <c r="AO40" s="12">
        <f t="shared" si="6"/>
        <v>0</v>
      </c>
      <c r="AP40" s="38" t="str">
        <f>_xlfn.IFNA(IF(AD40="Y","DONE",VLOOKUP(A40,'Ship Date'!A:AE,30,0)),"")</f>
        <v>DONE</v>
      </c>
      <c r="AQ40" s="12">
        <f t="shared" ca="1" si="7"/>
        <v>0</v>
      </c>
      <c r="AR40" s="38" t="str">
        <f>IFERROR(_xlfn.IFNA(VLOOKUP(A40,'Ship Date'!A:C,3,0),""),"")</f>
        <v/>
      </c>
      <c r="AS40" s="12" t="str">
        <f t="shared" ca="1" si="8"/>
        <v/>
      </c>
      <c r="AT40" s="38"/>
      <c r="AU40" s="41"/>
      <c r="AV40" s="38">
        <f>_xlfn.IFNA(IF(VLOOKUP(A40,'Actual Dates'!A:AE,31,0)="","",VLOOKUP(A40,'Actual Dates'!A:AE,31,0)),"")</f>
        <v>45985</v>
      </c>
      <c r="AW40" s="40"/>
    </row>
    <row r="41" spans="1:49" ht="23.25" x14ac:dyDescent="0.25">
      <c r="A41" s="12" t="str">
        <f>'Actual Dates'!A40</f>
        <v>25-055</v>
      </c>
      <c r="B41" s="13" t="str">
        <f t="shared" si="0"/>
        <v>Airgas</v>
      </c>
      <c r="C41" s="35"/>
      <c r="D41" s="36" t="str">
        <f t="shared" si="9"/>
        <v>Y</v>
      </c>
      <c r="E41" s="37">
        <f t="shared" si="10"/>
        <v>54</v>
      </c>
      <c r="F41" s="36" t="str">
        <f t="shared" si="11"/>
        <v>Y</v>
      </c>
      <c r="G41" s="37">
        <f t="shared" si="12"/>
        <v>166</v>
      </c>
      <c r="H41" s="36" t="str">
        <f t="shared" si="1"/>
        <v>Y</v>
      </c>
      <c r="I41" s="37" t="str">
        <f t="shared" si="13"/>
        <v/>
      </c>
      <c r="J41" s="35"/>
      <c r="K41" s="36" t="str">
        <f t="shared" si="14"/>
        <v>Y</v>
      </c>
      <c r="L41" s="37">
        <f t="shared" si="15"/>
        <v>5</v>
      </c>
      <c r="M41" s="37">
        <f t="shared" si="2"/>
        <v>4</v>
      </c>
      <c r="N41" s="36" t="str">
        <f t="shared" si="16"/>
        <v>Y</v>
      </c>
      <c r="O41" s="37">
        <f t="shared" si="17"/>
        <v>182</v>
      </c>
      <c r="P41" s="36" t="str">
        <f t="shared" si="18"/>
        <v>Y</v>
      </c>
      <c r="Q41" s="37">
        <f t="shared" si="19"/>
        <v>-163</v>
      </c>
      <c r="R41" s="36" t="str">
        <f t="shared" si="20"/>
        <v>Y</v>
      </c>
      <c r="S41" s="37">
        <f t="shared" si="21"/>
        <v>14</v>
      </c>
      <c r="T41" s="36" t="str">
        <f t="shared" si="22"/>
        <v xml:space="preserve">  </v>
      </c>
      <c r="U41" s="37">
        <f t="shared" si="23"/>
        <v>7</v>
      </c>
      <c r="V41" s="36" t="str">
        <f t="shared" si="24"/>
        <v>Y</v>
      </c>
      <c r="W41" s="37">
        <f t="shared" si="25"/>
        <v>70</v>
      </c>
      <c r="X41" s="36" t="str">
        <f t="shared" si="26"/>
        <v>Y</v>
      </c>
      <c r="Y41" s="37">
        <f t="shared" si="27"/>
        <v>41</v>
      </c>
      <c r="Z41" s="36" t="str">
        <f t="shared" si="28"/>
        <v>Y</v>
      </c>
      <c r="AA41" s="37">
        <f t="shared" si="29"/>
        <v>39</v>
      </c>
      <c r="AB41" s="36" t="str">
        <f t="shared" si="30"/>
        <v>Y</v>
      </c>
      <c r="AC41" s="37" t="str">
        <f t="shared" si="31"/>
        <v xml:space="preserve">  </v>
      </c>
      <c r="AD41" s="36" t="str">
        <f t="shared" si="32"/>
        <v xml:space="preserve">  </v>
      </c>
      <c r="AE41" s="37" t="str">
        <f t="shared" si="33"/>
        <v xml:space="preserve">  </v>
      </c>
      <c r="AF41" s="38">
        <f ca="1">_xlfn.IFNA(IF(AG41="",TODAY()+(VLOOKUP(A41,'Date Calcs'!A:G,7,0)*7),VLOOKUP(A41,'Actual Dates'!A:AE,21,FALSE())),"")</f>
        <v>46190</v>
      </c>
      <c r="AG41" s="38">
        <f>IF(VLOOKUP(A41,'Actual Dates'!A:AE,20,0)="","",VLOOKUP(A41,'Actual Dates'!A:AE,20,0))</f>
        <v>46008</v>
      </c>
      <c r="AH41" s="38" t="str">
        <f>_xlfn.IFNA(IF($AG41="","",IF(X41="Y","DONE",VLOOKUP(A41,'Ship Date'!A:AE,27,0))),"")</f>
        <v>DONE</v>
      </c>
      <c r="AI41" s="12">
        <f t="shared" ca="1" si="3"/>
        <v>0</v>
      </c>
      <c r="AJ41" s="38" t="str">
        <f>_xlfn.IFNA(IF($AG41="","",IF(AB41="Y","DONE",VLOOKUP(A41,'Ship Date'!A:AG,29,0))),"")</f>
        <v>DONE</v>
      </c>
      <c r="AK41" s="12">
        <f t="shared" ca="1" si="4"/>
        <v>0</v>
      </c>
      <c r="AL41" s="38" t="str">
        <f>_xlfn.IFNA(IF($AG41="","",IF(Z41="Y","DONE",VLOOKUP(A41,'Ship Date'!A:AI,28,0))),"")</f>
        <v>DONE</v>
      </c>
      <c r="AM41" s="12">
        <f t="shared" ca="1" si="5"/>
        <v>0</v>
      </c>
      <c r="AN41" s="38" t="str">
        <f>_xlfn.IFNA(IF(T41="Y","DONE",VLOOKUP(A41,'Ship Date'!A:AE,25,0)),"")</f>
        <v/>
      </c>
      <c r="AO41" s="12">
        <f t="shared" si="6"/>
        <v>0</v>
      </c>
      <c r="AP41" s="38" t="str">
        <f>_xlfn.IFNA(IF(AD41="Y","DONE",VLOOKUP(A41,'Ship Date'!A:AE,30,0)),"")</f>
        <v/>
      </c>
      <c r="AQ41" s="12">
        <f t="shared" ca="1" si="7"/>
        <v>0</v>
      </c>
      <c r="AR41" s="38" t="str">
        <f>IFERROR(_xlfn.IFNA(VLOOKUP(A41,'Ship Date'!A:C,3,0),""),"")</f>
        <v/>
      </c>
      <c r="AS41" s="12" t="str">
        <f t="shared" ca="1" si="8"/>
        <v/>
      </c>
      <c r="AT41" s="38" t="str">
        <f>_xlfn.IFNA(IF(VLOOKUP(A41,'Actual Dates'!A:AF,32,0)="N/A"," ",VLOOKUP(A41,'Actual Dates'!A:AF,32,0))," ")</f>
        <v xml:space="preserve"> </v>
      </c>
      <c r="AU41" s="39"/>
      <c r="AV41" s="38" t="str">
        <f>_xlfn.IFNA(IF(VLOOKUP(A41,'Actual Dates'!A:AE,31,0)="","",VLOOKUP(A41,'Actual Dates'!A:AE,31,0)),"")</f>
        <v/>
      </c>
      <c r="AW41" s="40"/>
    </row>
    <row r="42" spans="1:49" ht="23.25" hidden="1" x14ac:dyDescent="0.25">
      <c r="A42" s="12" t="str">
        <f>'Actual Dates'!A41</f>
        <v>25-056</v>
      </c>
      <c r="B42" s="13" t="str">
        <f t="shared" si="0"/>
        <v>Reco</v>
      </c>
      <c r="C42" s="35"/>
      <c r="D42" s="36" t="str">
        <f t="shared" si="9"/>
        <v>Y</v>
      </c>
      <c r="E42" s="37">
        <f t="shared" si="10"/>
        <v>5</v>
      </c>
      <c r="F42" s="36" t="str">
        <f t="shared" si="11"/>
        <v>Y</v>
      </c>
      <c r="G42" s="37" t="str">
        <f t="shared" si="12"/>
        <v/>
      </c>
      <c r="H42" s="36" t="str">
        <f t="shared" si="1"/>
        <v>Y</v>
      </c>
      <c r="I42" s="37" t="str">
        <f t="shared" si="13"/>
        <v/>
      </c>
      <c r="J42" s="35"/>
      <c r="K42" s="36" t="str">
        <f t="shared" si="14"/>
        <v>Y</v>
      </c>
      <c r="L42" s="37">
        <f t="shared" si="15"/>
        <v>5</v>
      </c>
      <c r="M42" s="37">
        <f t="shared" si="2"/>
        <v>4</v>
      </c>
      <c r="N42" s="36" t="str">
        <f t="shared" si="16"/>
        <v>Y</v>
      </c>
      <c r="O42" s="37">
        <f t="shared" si="17"/>
        <v>98</v>
      </c>
      <c r="P42" s="36" t="str">
        <f t="shared" si="18"/>
        <v>Y</v>
      </c>
      <c r="Q42" s="37">
        <f t="shared" si="19"/>
        <v>-97</v>
      </c>
      <c r="R42" s="36" t="str">
        <f t="shared" si="20"/>
        <v>Y</v>
      </c>
      <c r="S42" s="37">
        <f t="shared" si="21"/>
        <v>-5</v>
      </c>
      <c r="T42" s="36" t="str">
        <f t="shared" si="22"/>
        <v>Y</v>
      </c>
      <c r="U42" s="37">
        <f t="shared" si="23"/>
        <v>-12</v>
      </c>
      <c r="V42" s="36" t="str">
        <f t="shared" si="24"/>
        <v>Y</v>
      </c>
      <c r="W42" s="37">
        <f t="shared" si="25"/>
        <v>-17</v>
      </c>
      <c r="X42" s="36" t="str">
        <f t="shared" si="26"/>
        <v>Y</v>
      </c>
      <c r="Y42" s="37" t="str">
        <f t="shared" si="27"/>
        <v xml:space="preserve">  </v>
      </c>
      <c r="Z42" s="36" t="str">
        <f t="shared" si="28"/>
        <v xml:space="preserve">  </v>
      </c>
      <c r="AA42" s="37" t="str">
        <f t="shared" si="29"/>
        <v xml:space="preserve">  </v>
      </c>
      <c r="AB42" s="36" t="str">
        <f t="shared" si="30"/>
        <v xml:space="preserve">  </v>
      </c>
      <c r="AC42" s="37">
        <f t="shared" si="31"/>
        <v>1</v>
      </c>
      <c r="AD42" s="36" t="str">
        <f t="shared" si="32"/>
        <v>Y</v>
      </c>
      <c r="AE42" s="37">
        <f t="shared" si="33"/>
        <v>92</v>
      </c>
      <c r="AF42" s="38">
        <f ca="1">_xlfn.IFNA(IF(AG42="",TODAY()+(VLOOKUP(A42,'Date Calcs'!A:G,7,0)*7),VLOOKUP(A42,'Actual Dates'!A:AE,21,FALSE())),"")</f>
        <v>45971</v>
      </c>
      <c r="AG42" s="38">
        <f>_xlfn.IFNA(IF(VLOOKUP(A42,'Actual Dates'!A:AE,20,0)="","",VLOOKUP(A42,'Actual Dates'!A:AE,20,0)+(VLOOKUP(A42,'Date Calcs'!A:X,22,0)*7)),"")</f>
        <v>45873</v>
      </c>
      <c r="AH42" s="38" t="str">
        <f>_xlfn.IFNA(IF($AG42="","",IF(X42="Y","DONE",VLOOKUP(A42,'Ship Date'!A:AE,27,0))),"")</f>
        <v>DONE</v>
      </c>
      <c r="AI42" s="12">
        <f t="shared" ca="1" si="3"/>
        <v>0</v>
      </c>
      <c r="AJ42" s="38" t="str">
        <f>_xlfn.IFNA(IF($AG42="","",IF(AB42="Y","DONE",VLOOKUP(A42,'Ship Date'!A:AG,29,0))),"")</f>
        <v/>
      </c>
      <c r="AK42" s="12">
        <f t="shared" ca="1" si="4"/>
        <v>0</v>
      </c>
      <c r="AL42" s="38" t="str">
        <f>_xlfn.IFNA(IF($AG42="","",IF(Z42="Y","DONE",VLOOKUP(A42,'Ship Date'!A:AI,28,0))),"")</f>
        <v/>
      </c>
      <c r="AM42" s="12">
        <f t="shared" ca="1" si="5"/>
        <v>0</v>
      </c>
      <c r="AN42" s="38" t="str">
        <f>_xlfn.IFNA(IF(T42="Y","DONE",VLOOKUP(A42,'Ship Date'!A:AE,25,0)),"")</f>
        <v>DONE</v>
      </c>
      <c r="AO42" s="12">
        <f t="shared" si="6"/>
        <v>0</v>
      </c>
      <c r="AP42" s="38" t="str">
        <f>_xlfn.IFNA(IF(AD42="Y","DONE",VLOOKUP(A42,'Ship Date'!A:AE,30,0)),"")</f>
        <v>DONE</v>
      </c>
      <c r="AQ42" s="12">
        <f t="shared" ca="1" si="7"/>
        <v>0</v>
      </c>
      <c r="AR42" s="38" t="str">
        <f>IFERROR(_xlfn.IFNA(VLOOKUP(A42,'Ship Date'!A:C,3,0),""),"")</f>
        <v/>
      </c>
      <c r="AS42" s="12" t="str">
        <f t="shared" ca="1" si="8"/>
        <v/>
      </c>
      <c r="AT42" s="44"/>
      <c r="AU42" s="41"/>
      <c r="AV42" s="38">
        <f>_xlfn.IFNA(IF(VLOOKUP(A42,'Actual Dates'!A:AE,31,0)="","",VLOOKUP(A42,'Actual Dates'!A:AE,31,0)),"")</f>
        <v>45972</v>
      </c>
      <c r="AW42" s="40"/>
    </row>
    <row r="43" spans="1:49" ht="23.25" hidden="1" x14ac:dyDescent="0.25">
      <c r="A43" s="12" t="str">
        <f>'Actual Dates'!A42</f>
        <v>25-057</v>
      </c>
      <c r="B43" s="13" t="str">
        <f t="shared" si="0"/>
        <v>Reco</v>
      </c>
      <c r="C43" s="35"/>
      <c r="D43" s="36" t="str">
        <f t="shared" si="9"/>
        <v>Y</v>
      </c>
      <c r="E43" s="37">
        <f t="shared" si="10"/>
        <v>5</v>
      </c>
      <c r="F43" s="36" t="str">
        <f t="shared" si="11"/>
        <v>Y</v>
      </c>
      <c r="G43" s="37" t="str">
        <f t="shared" si="12"/>
        <v/>
      </c>
      <c r="H43" s="36" t="str">
        <f t="shared" si="1"/>
        <v>Y</v>
      </c>
      <c r="I43" s="37" t="str">
        <f t="shared" si="13"/>
        <v/>
      </c>
      <c r="J43" s="35"/>
      <c r="K43" s="36" t="str">
        <f t="shared" si="14"/>
        <v>Y</v>
      </c>
      <c r="L43" s="37">
        <f t="shared" si="15"/>
        <v>5</v>
      </c>
      <c r="M43" s="37">
        <f t="shared" si="2"/>
        <v>4</v>
      </c>
      <c r="N43" s="36" t="str">
        <f t="shared" si="16"/>
        <v>Y</v>
      </c>
      <c r="O43" s="37">
        <f t="shared" si="17"/>
        <v>98</v>
      </c>
      <c r="P43" s="36" t="str">
        <f t="shared" si="18"/>
        <v>Y</v>
      </c>
      <c r="Q43" s="37">
        <f t="shared" si="19"/>
        <v>-97</v>
      </c>
      <c r="R43" s="36" t="str">
        <f t="shared" si="20"/>
        <v>Y</v>
      </c>
      <c r="S43" s="37">
        <f t="shared" si="21"/>
        <v>-5</v>
      </c>
      <c r="T43" s="36" t="str">
        <f t="shared" si="22"/>
        <v>Y</v>
      </c>
      <c r="U43" s="37">
        <f t="shared" si="23"/>
        <v>-12</v>
      </c>
      <c r="V43" s="36" t="str">
        <f t="shared" si="24"/>
        <v>Y</v>
      </c>
      <c r="W43" s="37">
        <f t="shared" si="25"/>
        <v>-17</v>
      </c>
      <c r="X43" s="36" t="str">
        <f t="shared" si="26"/>
        <v>Y</v>
      </c>
      <c r="Y43" s="37" t="str">
        <f t="shared" si="27"/>
        <v xml:space="preserve">  </v>
      </c>
      <c r="Z43" s="36" t="str">
        <f t="shared" si="28"/>
        <v xml:space="preserve">  </v>
      </c>
      <c r="AA43" s="37" t="str">
        <f t="shared" si="29"/>
        <v xml:space="preserve">  </v>
      </c>
      <c r="AB43" s="36" t="str">
        <f t="shared" si="30"/>
        <v xml:space="preserve">  </v>
      </c>
      <c r="AC43" s="37">
        <f t="shared" si="31"/>
        <v>1</v>
      </c>
      <c r="AD43" s="36" t="str">
        <f t="shared" si="32"/>
        <v>Y</v>
      </c>
      <c r="AE43" s="37">
        <f t="shared" si="33"/>
        <v>92</v>
      </c>
      <c r="AF43" s="38">
        <f ca="1">_xlfn.IFNA(IF(AG43="",TODAY()+(VLOOKUP(A43,'Date Calcs'!A:G,7,0)*7),VLOOKUP(A43,'Actual Dates'!A:AE,21,FALSE())),"")</f>
        <v>45971</v>
      </c>
      <c r="AG43" s="38">
        <f>_xlfn.IFNA(IF(VLOOKUP(A43,'Actual Dates'!A:AE,20,0)="","",VLOOKUP(A43,'Actual Dates'!A:AE,20,0)+(VLOOKUP(A43,'Date Calcs'!A:X,22,0)*7)),"")</f>
        <v>45873</v>
      </c>
      <c r="AH43" s="38" t="str">
        <f>_xlfn.IFNA(IF($AG43="","",IF(X43="Y","DONE",VLOOKUP(A43,'Ship Date'!A:AE,27,0))),"")</f>
        <v>DONE</v>
      </c>
      <c r="AI43" s="12">
        <f t="shared" ca="1" si="3"/>
        <v>0</v>
      </c>
      <c r="AJ43" s="38" t="str">
        <f>_xlfn.IFNA(IF($AG43="","",IF(AB43="Y","DONE",VLOOKUP(A43,'Ship Date'!A:AG,29,0))),"")</f>
        <v/>
      </c>
      <c r="AK43" s="12">
        <f t="shared" ca="1" si="4"/>
        <v>0</v>
      </c>
      <c r="AL43" s="38" t="str">
        <f>_xlfn.IFNA(IF($AG43="","",IF(Z43="Y","DONE",VLOOKUP(A43,'Ship Date'!A:AI,28,0))),"")</f>
        <v/>
      </c>
      <c r="AM43" s="12">
        <f t="shared" ca="1" si="5"/>
        <v>0</v>
      </c>
      <c r="AN43" s="38" t="str">
        <f>_xlfn.IFNA(IF(T43="Y","DONE",VLOOKUP(A43,'Ship Date'!A:AE,25,0)),"")</f>
        <v>DONE</v>
      </c>
      <c r="AO43" s="12">
        <f t="shared" si="6"/>
        <v>0</v>
      </c>
      <c r="AP43" s="38" t="str">
        <f>_xlfn.IFNA(IF(AD43="Y","DONE",VLOOKUP(A43,'Ship Date'!A:AE,30,0)),"")</f>
        <v>DONE</v>
      </c>
      <c r="AQ43" s="12">
        <f t="shared" ca="1" si="7"/>
        <v>0</v>
      </c>
      <c r="AR43" s="38" t="str">
        <f>IFERROR(_xlfn.IFNA(VLOOKUP(A43,'Ship Date'!A:C,3,0),""),"")</f>
        <v/>
      </c>
      <c r="AS43" s="12" t="str">
        <f t="shared" ca="1" si="8"/>
        <v/>
      </c>
      <c r="AT43" s="38"/>
      <c r="AU43" s="41"/>
      <c r="AV43" s="38">
        <f>_xlfn.IFNA(IF(VLOOKUP(A43,'Actual Dates'!A:AE,31,0)="","",VLOOKUP(A43,'Actual Dates'!A:AE,31,0)),"")</f>
        <v>45972</v>
      </c>
      <c r="AW43" s="40"/>
    </row>
    <row r="44" spans="1:49" ht="23.25" hidden="1" x14ac:dyDescent="0.25">
      <c r="A44" s="12" t="str">
        <f>'Actual Dates'!A43</f>
        <v>25-058</v>
      </c>
      <c r="B44" s="13" t="str">
        <f t="shared" si="0"/>
        <v>Reco</v>
      </c>
      <c r="C44" s="35"/>
      <c r="D44" s="36" t="str">
        <f t="shared" si="9"/>
        <v>Y</v>
      </c>
      <c r="E44" s="37">
        <f t="shared" si="10"/>
        <v>5</v>
      </c>
      <c r="F44" s="36" t="str">
        <f t="shared" si="11"/>
        <v>Y</v>
      </c>
      <c r="G44" s="37" t="str">
        <f t="shared" si="12"/>
        <v/>
      </c>
      <c r="H44" s="36" t="str">
        <f t="shared" si="1"/>
        <v>Y</v>
      </c>
      <c r="I44" s="37" t="str">
        <f t="shared" si="13"/>
        <v/>
      </c>
      <c r="J44" s="35"/>
      <c r="K44" s="36" t="str">
        <f t="shared" si="14"/>
        <v>Y</v>
      </c>
      <c r="L44" s="37">
        <f t="shared" si="15"/>
        <v>5</v>
      </c>
      <c r="M44" s="37">
        <f t="shared" si="2"/>
        <v>4</v>
      </c>
      <c r="N44" s="36" t="str">
        <f t="shared" si="16"/>
        <v>Y</v>
      </c>
      <c r="O44" s="37">
        <f t="shared" si="17"/>
        <v>126</v>
      </c>
      <c r="P44" s="36" t="str">
        <f t="shared" si="18"/>
        <v>Y</v>
      </c>
      <c r="Q44" s="37">
        <f t="shared" si="19"/>
        <v>-125</v>
      </c>
      <c r="R44" s="36" t="str">
        <f t="shared" si="20"/>
        <v>Y</v>
      </c>
      <c r="S44" s="37">
        <f t="shared" si="21"/>
        <v>-5</v>
      </c>
      <c r="T44" s="36" t="str">
        <f t="shared" si="22"/>
        <v>Y</v>
      </c>
      <c r="U44" s="37">
        <f t="shared" si="23"/>
        <v>-12</v>
      </c>
      <c r="V44" s="36" t="str">
        <f t="shared" si="24"/>
        <v>Y</v>
      </c>
      <c r="W44" s="37">
        <f t="shared" si="25"/>
        <v>-17</v>
      </c>
      <c r="X44" s="36" t="str">
        <f t="shared" si="26"/>
        <v>Y</v>
      </c>
      <c r="Y44" s="37" t="str">
        <f t="shared" si="27"/>
        <v xml:space="preserve">  </v>
      </c>
      <c r="Z44" s="36" t="str">
        <f t="shared" si="28"/>
        <v xml:space="preserve">  </v>
      </c>
      <c r="AA44" s="37" t="str">
        <f t="shared" si="29"/>
        <v xml:space="preserve">  </v>
      </c>
      <c r="AB44" s="36" t="str">
        <f t="shared" si="30"/>
        <v xml:space="preserve">  </v>
      </c>
      <c r="AC44" s="37">
        <f t="shared" si="31"/>
        <v>15</v>
      </c>
      <c r="AD44" s="36" t="str">
        <f t="shared" si="32"/>
        <v>Y</v>
      </c>
      <c r="AE44" s="37">
        <f t="shared" si="33"/>
        <v>129</v>
      </c>
      <c r="AF44" s="38">
        <f ca="1">_xlfn.IFNA(IF(AG44="",TODAY()+(VLOOKUP(A44,'Date Calcs'!A:G,7,0)*7),VLOOKUP(A44,'Actual Dates'!A:AE,21,FALSE())),"")</f>
        <v>45999</v>
      </c>
      <c r="AG44" s="38">
        <f>_xlfn.IFNA(IF(VLOOKUP(A44,'Actual Dates'!A:AE,20,0)="","",VLOOKUP(A44,'Actual Dates'!A:AE,20,0)+(VLOOKUP(A44,'Date Calcs'!A:X,22,0)*7)),"")</f>
        <v>45873</v>
      </c>
      <c r="AH44" s="38" t="str">
        <f>_xlfn.IFNA(IF($AG44="","",IF(X44="Y","DONE",VLOOKUP(A44,'Ship Date'!A:AE,27,0))),"")</f>
        <v>DONE</v>
      </c>
      <c r="AI44" s="12">
        <f t="shared" ca="1" si="3"/>
        <v>0</v>
      </c>
      <c r="AJ44" s="38" t="str">
        <f>_xlfn.IFNA(IF($AG44="","",IF(AB44="Y","DONE",VLOOKUP(A44,'Ship Date'!A:AG,29,0))),"")</f>
        <v/>
      </c>
      <c r="AK44" s="12">
        <f t="shared" ca="1" si="4"/>
        <v>0</v>
      </c>
      <c r="AL44" s="38" t="str">
        <f>_xlfn.IFNA(IF($AG44="","",IF(Z44="Y","DONE",VLOOKUP(A44,'Ship Date'!A:AI,28,0))),"")</f>
        <v/>
      </c>
      <c r="AM44" s="12">
        <f t="shared" ca="1" si="5"/>
        <v>0</v>
      </c>
      <c r="AN44" s="38" t="str">
        <f>_xlfn.IFNA(IF(T44="Y","DONE",VLOOKUP(A44,'Ship Date'!A:AE,25,0)),"")</f>
        <v>DONE</v>
      </c>
      <c r="AO44" s="12">
        <f t="shared" si="6"/>
        <v>0</v>
      </c>
      <c r="AP44" s="38" t="str">
        <f>_xlfn.IFNA(IF(AD44="Y","DONE",VLOOKUP(A44,'Ship Date'!A:AE,30,0)),"")</f>
        <v>DONE</v>
      </c>
      <c r="AQ44" s="12">
        <f t="shared" ca="1" si="7"/>
        <v>0</v>
      </c>
      <c r="AR44" s="38" t="str">
        <f>IFERROR(_xlfn.IFNA(VLOOKUP(A44,'Ship Date'!A:C,3,0),""),"")</f>
        <v/>
      </c>
      <c r="AS44" s="12" t="str">
        <f t="shared" ca="1" si="8"/>
        <v/>
      </c>
      <c r="AT44" s="38"/>
      <c r="AU44" s="41"/>
      <c r="AV44" s="38">
        <f>_xlfn.IFNA(IF(VLOOKUP(A44,'Actual Dates'!A:AE,31,0)="","",VLOOKUP(A44,'Actual Dates'!A:AE,31,0)),"")</f>
        <v>46009</v>
      </c>
      <c r="AW44" s="40"/>
    </row>
    <row r="45" spans="1:49" ht="23.25" hidden="1" x14ac:dyDescent="0.25">
      <c r="A45" s="12" t="str">
        <f>'Actual Dates'!A44</f>
        <v>25-059</v>
      </c>
      <c r="B45" s="13" t="str">
        <f t="shared" si="0"/>
        <v>Reco</v>
      </c>
      <c r="C45" s="35"/>
      <c r="D45" s="36" t="str">
        <f t="shared" si="9"/>
        <v>Y</v>
      </c>
      <c r="E45" s="37">
        <f t="shared" si="10"/>
        <v>5</v>
      </c>
      <c r="F45" s="36" t="str">
        <f t="shared" si="11"/>
        <v>Y</v>
      </c>
      <c r="G45" s="37" t="str">
        <f t="shared" si="12"/>
        <v/>
      </c>
      <c r="H45" s="36" t="str">
        <f t="shared" si="1"/>
        <v>Y</v>
      </c>
      <c r="I45" s="37" t="str">
        <f t="shared" si="13"/>
        <v/>
      </c>
      <c r="J45" s="35"/>
      <c r="K45" s="36" t="str">
        <f t="shared" si="14"/>
        <v>Y</v>
      </c>
      <c r="L45" s="37">
        <f t="shared" si="15"/>
        <v>5</v>
      </c>
      <c r="M45" s="37">
        <f t="shared" si="2"/>
        <v>4</v>
      </c>
      <c r="N45" s="36" t="str">
        <f t="shared" si="16"/>
        <v>Y</v>
      </c>
      <c r="O45" s="37">
        <f t="shared" si="17"/>
        <v>126</v>
      </c>
      <c r="P45" s="36" t="str">
        <f t="shared" si="18"/>
        <v>Y</v>
      </c>
      <c r="Q45" s="37">
        <f t="shared" si="19"/>
        <v>-125</v>
      </c>
      <c r="R45" s="36" t="str">
        <f t="shared" si="20"/>
        <v>Y</v>
      </c>
      <c r="S45" s="37">
        <f t="shared" si="21"/>
        <v>-5</v>
      </c>
      <c r="T45" s="36" t="str">
        <f t="shared" si="22"/>
        <v>Y</v>
      </c>
      <c r="U45" s="37">
        <f t="shared" si="23"/>
        <v>-12</v>
      </c>
      <c r="V45" s="36" t="str">
        <f t="shared" si="24"/>
        <v>Y</v>
      </c>
      <c r="W45" s="37">
        <f t="shared" si="25"/>
        <v>-17</v>
      </c>
      <c r="X45" s="36" t="str">
        <f t="shared" si="26"/>
        <v>Y</v>
      </c>
      <c r="Y45" s="37" t="str">
        <f t="shared" si="27"/>
        <v xml:space="preserve">  </v>
      </c>
      <c r="Z45" s="36" t="str">
        <f t="shared" si="28"/>
        <v xml:space="preserve">  </v>
      </c>
      <c r="AA45" s="37" t="str">
        <f t="shared" si="29"/>
        <v xml:space="preserve">  </v>
      </c>
      <c r="AB45" s="36" t="str">
        <f t="shared" si="30"/>
        <v xml:space="preserve">  </v>
      </c>
      <c r="AC45" s="37">
        <f t="shared" si="31"/>
        <v>15</v>
      </c>
      <c r="AD45" s="36" t="str">
        <f t="shared" si="32"/>
        <v>Y</v>
      </c>
      <c r="AE45" s="37">
        <f t="shared" si="33"/>
        <v>127</v>
      </c>
      <c r="AF45" s="38">
        <f ca="1">_xlfn.IFNA(IF(AG45="",TODAY()+(VLOOKUP(A45,'Date Calcs'!A:G,7,0)*7),VLOOKUP(A45,'Actual Dates'!A:AE,21,FALSE())),"")</f>
        <v>45999</v>
      </c>
      <c r="AG45" s="38">
        <f>_xlfn.IFNA(IF(VLOOKUP(A45,'Actual Dates'!A:AE,20,0)="","",VLOOKUP(A45,'Actual Dates'!A:AE,20,0)+(VLOOKUP(A45,'Date Calcs'!A:X,22,0)*7)),"")</f>
        <v>45873</v>
      </c>
      <c r="AH45" s="38" t="str">
        <f>_xlfn.IFNA(IF($AG45="","",IF(X45="Y","DONE",VLOOKUP(A45,'Ship Date'!A:AE,27,0))),"")</f>
        <v>DONE</v>
      </c>
      <c r="AI45" s="12">
        <f t="shared" ca="1" si="3"/>
        <v>0</v>
      </c>
      <c r="AJ45" s="38" t="str">
        <f>_xlfn.IFNA(IF($AG45="","",IF(AB45="Y","DONE",VLOOKUP(A45,'Ship Date'!A:AG,29,0))),"")</f>
        <v/>
      </c>
      <c r="AK45" s="12">
        <f t="shared" ca="1" si="4"/>
        <v>0</v>
      </c>
      <c r="AL45" s="38" t="str">
        <f>_xlfn.IFNA(IF($AG45="","",IF(Z45="Y","DONE",VLOOKUP(A45,'Ship Date'!A:AI,28,0))),"")</f>
        <v/>
      </c>
      <c r="AM45" s="12">
        <f t="shared" ca="1" si="5"/>
        <v>0</v>
      </c>
      <c r="AN45" s="38" t="str">
        <f>_xlfn.IFNA(IF(T45="Y","DONE",VLOOKUP(A45,'Ship Date'!A:AE,25,0)),"")</f>
        <v>DONE</v>
      </c>
      <c r="AO45" s="12">
        <f t="shared" si="6"/>
        <v>0</v>
      </c>
      <c r="AP45" s="38" t="str">
        <f>_xlfn.IFNA(IF(AD45="Y","DONE",VLOOKUP(A45,'Ship Date'!A:AE,30,0)),"")</f>
        <v>DONE</v>
      </c>
      <c r="AQ45" s="12">
        <f t="shared" ca="1" si="7"/>
        <v>0</v>
      </c>
      <c r="AR45" s="38" t="str">
        <f>IFERROR(_xlfn.IFNA(VLOOKUP(A45,'Ship Date'!A:C,3,0),""),"")</f>
        <v/>
      </c>
      <c r="AS45" s="12" t="str">
        <f t="shared" ca="1" si="8"/>
        <v/>
      </c>
      <c r="AT45" s="38"/>
      <c r="AU45" s="41"/>
      <c r="AV45" s="38">
        <f>_xlfn.IFNA(IF(VLOOKUP(A45,'Actual Dates'!A:AE,31,0)="","",VLOOKUP(A45,'Actual Dates'!A:AE,31,0)),"")</f>
        <v>46007</v>
      </c>
      <c r="AW45" s="40"/>
    </row>
    <row r="46" spans="1:49" s="17" customFormat="1" ht="23.25" hidden="1" x14ac:dyDescent="0.25">
      <c r="A46" s="12" t="str">
        <f>'Actual Dates'!A45</f>
        <v>25-060</v>
      </c>
      <c r="B46" s="13" t="str">
        <f t="shared" si="0"/>
        <v>Reco</v>
      </c>
      <c r="C46" s="35"/>
      <c r="D46" s="36" t="str">
        <f t="shared" si="9"/>
        <v>Y</v>
      </c>
      <c r="E46" s="37">
        <f t="shared" si="10"/>
        <v>5</v>
      </c>
      <c r="F46" s="36" t="str">
        <f t="shared" si="11"/>
        <v>Y</v>
      </c>
      <c r="G46" s="37" t="str">
        <f t="shared" si="12"/>
        <v/>
      </c>
      <c r="H46" s="36" t="str">
        <f t="shared" si="1"/>
        <v>Y</v>
      </c>
      <c r="I46" s="37" t="str">
        <f t="shared" si="13"/>
        <v/>
      </c>
      <c r="J46" s="35"/>
      <c r="K46" s="36" t="str">
        <f t="shared" si="14"/>
        <v>Y</v>
      </c>
      <c r="L46" s="37">
        <f t="shared" si="15"/>
        <v>5</v>
      </c>
      <c r="M46" s="37">
        <f t="shared" si="2"/>
        <v>4</v>
      </c>
      <c r="N46" s="36" t="str">
        <f t="shared" si="16"/>
        <v>Y</v>
      </c>
      <c r="O46" s="37">
        <f t="shared" si="17"/>
        <v>154</v>
      </c>
      <c r="P46" s="36" t="str">
        <f t="shared" si="18"/>
        <v>Y</v>
      </c>
      <c r="Q46" s="37">
        <f t="shared" si="19"/>
        <v>-153</v>
      </c>
      <c r="R46" s="36" t="str">
        <f t="shared" si="20"/>
        <v>Y</v>
      </c>
      <c r="S46" s="37">
        <f t="shared" si="21"/>
        <v>-5</v>
      </c>
      <c r="T46" s="36" t="str">
        <f t="shared" si="22"/>
        <v>Y</v>
      </c>
      <c r="U46" s="37">
        <f t="shared" si="23"/>
        <v>-12</v>
      </c>
      <c r="V46" s="36" t="str">
        <f t="shared" si="24"/>
        <v>Y</v>
      </c>
      <c r="W46" s="37">
        <f t="shared" si="25"/>
        <v>-17</v>
      </c>
      <c r="X46" s="36" t="str">
        <f t="shared" si="26"/>
        <v>Y</v>
      </c>
      <c r="Y46" s="37" t="str">
        <f t="shared" si="27"/>
        <v xml:space="preserve">  </v>
      </c>
      <c r="Z46" s="36" t="str">
        <f t="shared" si="28"/>
        <v xml:space="preserve">  </v>
      </c>
      <c r="AA46" s="37" t="str">
        <f t="shared" si="29"/>
        <v xml:space="preserve">  </v>
      </c>
      <c r="AB46" s="36" t="str">
        <f t="shared" si="30"/>
        <v xml:space="preserve">  </v>
      </c>
      <c r="AC46" s="37">
        <f t="shared" si="31"/>
        <v>38</v>
      </c>
      <c r="AD46" s="36" t="str">
        <f t="shared" si="32"/>
        <v>Y</v>
      </c>
      <c r="AE46" s="37">
        <f t="shared" si="33"/>
        <v>155</v>
      </c>
      <c r="AF46" s="38">
        <f ca="1">_xlfn.IFNA(IF(AG46="",TODAY()+(VLOOKUP(A46,'Date Calcs'!A:G,7,0)*7),VLOOKUP(A46,'Actual Dates'!A:AE,21,FALSE())),"")</f>
        <v>46027</v>
      </c>
      <c r="AG46" s="38">
        <f>_xlfn.IFNA(IF(VLOOKUP(A46,'Actual Dates'!A:AE,20,0)="","",VLOOKUP(A46,'Actual Dates'!A:AE,20,0)+(VLOOKUP(A46,'Date Calcs'!A:X,22,0)*7)),"")</f>
        <v>45873</v>
      </c>
      <c r="AH46" s="38" t="str">
        <f>_xlfn.IFNA(IF($AG46="","",IF(X46="Y","DONE",VLOOKUP(A46,'Ship Date'!A:AE,27,0))),"")</f>
        <v>DONE</v>
      </c>
      <c r="AI46" s="12">
        <f t="shared" ca="1" si="3"/>
        <v>0</v>
      </c>
      <c r="AJ46" s="38" t="str">
        <f>_xlfn.IFNA(IF($AG46="","",IF(AB46="Y","DONE",VLOOKUP(A46,'Ship Date'!A:AG,29,0))),"")</f>
        <v/>
      </c>
      <c r="AK46" s="12">
        <f t="shared" ca="1" si="4"/>
        <v>0</v>
      </c>
      <c r="AL46" s="38" t="str">
        <f>_xlfn.IFNA(IF($AG46="","",IF(Z46="Y","DONE",VLOOKUP(A46,'Ship Date'!A:AI,28,0))),"")</f>
        <v/>
      </c>
      <c r="AM46" s="12">
        <f t="shared" ca="1" si="5"/>
        <v>0</v>
      </c>
      <c r="AN46" s="38" t="str">
        <f>_xlfn.IFNA(IF(T46="Y","DONE",VLOOKUP(A46,'Ship Date'!A:AE,25,0)),"")</f>
        <v>DONE</v>
      </c>
      <c r="AO46" s="12">
        <f t="shared" si="6"/>
        <v>0</v>
      </c>
      <c r="AP46" s="38" t="str">
        <f>_xlfn.IFNA(IF(AD46="Y","DONE",VLOOKUP(A46,'Ship Date'!A:AE,30,0)),"")</f>
        <v>DONE</v>
      </c>
      <c r="AQ46" s="12">
        <f t="shared" ca="1" si="7"/>
        <v>0</v>
      </c>
      <c r="AR46" s="38" t="str">
        <f>IFERROR(_xlfn.IFNA(VLOOKUP(A46,'Ship Date'!A:C,3,0),""),"")</f>
        <v/>
      </c>
      <c r="AS46" s="12" t="str">
        <f t="shared" ca="1" si="8"/>
        <v/>
      </c>
      <c r="AT46" s="38"/>
      <c r="AU46" s="41"/>
      <c r="AV46" s="38">
        <f>_xlfn.IFNA(IF(VLOOKUP(A46,'Actual Dates'!A:AE,31,0)="","",VLOOKUP(A46,'Actual Dates'!A:AE,31,0)),"")</f>
        <v>46035</v>
      </c>
      <c r="AW46" s="40"/>
    </row>
    <row r="47" spans="1:49" ht="23.25" hidden="1" x14ac:dyDescent="0.25">
      <c r="A47" s="12" t="str">
        <f>'Actual Dates'!A46</f>
        <v>25-061</v>
      </c>
      <c r="B47" s="13" t="str">
        <f t="shared" si="0"/>
        <v>Reco</v>
      </c>
      <c r="C47" s="35"/>
      <c r="D47" s="36" t="str">
        <f t="shared" si="9"/>
        <v>Y</v>
      </c>
      <c r="E47" s="37">
        <f t="shared" si="10"/>
        <v>5</v>
      </c>
      <c r="F47" s="36" t="str">
        <f t="shared" si="11"/>
        <v>Y</v>
      </c>
      <c r="G47" s="37" t="str">
        <f t="shared" si="12"/>
        <v/>
      </c>
      <c r="H47" s="36" t="str">
        <f t="shared" si="1"/>
        <v>Y</v>
      </c>
      <c r="I47" s="37" t="str">
        <f t="shared" si="13"/>
        <v/>
      </c>
      <c r="J47" s="35"/>
      <c r="K47" s="36" t="str">
        <f t="shared" si="14"/>
        <v>Y</v>
      </c>
      <c r="L47" s="37">
        <f t="shared" si="15"/>
        <v>5</v>
      </c>
      <c r="M47" s="37">
        <f t="shared" si="2"/>
        <v>4</v>
      </c>
      <c r="N47" s="36" t="str">
        <f t="shared" si="16"/>
        <v>Y</v>
      </c>
      <c r="O47" s="37">
        <f t="shared" si="17"/>
        <v>154</v>
      </c>
      <c r="P47" s="36" t="str">
        <f t="shared" si="18"/>
        <v>Y</v>
      </c>
      <c r="Q47" s="37">
        <f t="shared" si="19"/>
        <v>-153</v>
      </c>
      <c r="R47" s="36" t="str">
        <f t="shared" si="20"/>
        <v>Y</v>
      </c>
      <c r="S47" s="37">
        <f t="shared" si="21"/>
        <v>-5</v>
      </c>
      <c r="T47" s="36" t="str">
        <f t="shared" si="22"/>
        <v>Y</v>
      </c>
      <c r="U47" s="37">
        <f t="shared" si="23"/>
        <v>-12</v>
      </c>
      <c r="V47" s="36" t="str">
        <f t="shared" si="24"/>
        <v>Y</v>
      </c>
      <c r="W47" s="37">
        <f t="shared" si="25"/>
        <v>-17</v>
      </c>
      <c r="X47" s="36" t="str">
        <f t="shared" si="26"/>
        <v>Y</v>
      </c>
      <c r="Y47" s="37" t="str">
        <f t="shared" si="27"/>
        <v xml:space="preserve">  </v>
      </c>
      <c r="Z47" s="36" t="str">
        <f t="shared" si="28"/>
        <v xml:space="preserve">  </v>
      </c>
      <c r="AA47" s="37" t="str">
        <f t="shared" si="29"/>
        <v xml:space="preserve">  </v>
      </c>
      <c r="AB47" s="36" t="str">
        <f t="shared" si="30"/>
        <v xml:space="preserve">  </v>
      </c>
      <c r="AC47" s="37">
        <f t="shared" si="31"/>
        <v>38</v>
      </c>
      <c r="AD47" s="36" t="str">
        <f t="shared" si="32"/>
        <v>Y</v>
      </c>
      <c r="AE47" s="37">
        <f t="shared" si="33"/>
        <v>155</v>
      </c>
      <c r="AF47" s="38">
        <f ca="1">_xlfn.IFNA(IF(AG47="",TODAY()+(VLOOKUP(A47,'Date Calcs'!A:G,7,0)*7),VLOOKUP(A47,'Actual Dates'!A:AE,21,FALSE())),"")</f>
        <v>46027</v>
      </c>
      <c r="AG47" s="38">
        <f>_xlfn.IFNA(IF(VLOOKUP(A47,'Actual Dates'!A:AE,20,0)="","",VLOOKUP(A47,'Actual Dates'!A:AE,20,0)+(VLOOKUP(A47,'Date Calcs'!A:X,22,0)*7)),"")</f>
        <v>45873</v>
      </c>
      <c r="AH47" s="38" t="str">
        <f>_xlfn.IFNA(IF($AG47="","",IF(X47="Y","DONE",VLOOKUP(A47,'Ship Date'!A:AE,27,0))),"")</f>
        <v>DONE</v>
      </c>
      <c r="AI47" s="12">
        <f t="shared" ca="1" si="3"/>
        <v>0</v>
      </c>
      <c r="AJ47" s="38" t="str">
        <f>_xlfn.IFNA(IF($AG47="","",IF(AB47="Y","DONE",VLOOKUP(A47,'Ship Date'!A:AG,29,0))),"")</f>
        <v/>
      </c>
      <c r="AK47" s="12">
        <f t="shared" ca="1" si="4"/>
        <v>0</v>
      </c>
      <c r="AL47" s="38" t="str">
        <f>_xlfn.IFNA(IF($AG47="","",IF(Z47="Y","DONE",VLOOKUP(A47,'Ship Date'!A:AI,28,0))),"")</f>
        <v/>
      </c>
      <c r="AM47" s="12">
        <f t="shared" ca="1" si="5"/>
        <v>0</v>
      </c>
      <c r="AN47" s="38" t="str">
        <f>_xlfn.IFNA(IF(T47="Y","DONE",VLOOKUP(A47,'Ship Date'!A:AE,25,0)),"")</f>
        <v>DONE</v>
      </c>
      <c r="AO47" s="12">
        <f t="shared" si="6"/>
        <v>0</v>
      </c>
      <c r="AP47" s="38" t="str">
        <f>_xlfn.IFNA(IF(AD47="Y","DONE",VLOOKUP(A47,'Ship Date'!A:AE,30,0)),"")</f>
        <v>DONE</v>
      </c>
      <c r="AQ47" s="12">
        <f t="shared" ca="1" si="7"/>
        <v>0</v>
      </c>
      <c r="AR47" s="38" t="str">
        <f>IFERROR(_xlfn.IFNA(VLOOKUP(A47,'Ship Date'!A:C,3,0),""),"")</f>
        <v/>
      </c>
      <c r="AS47" s="12" t="str">
        <f t="shared" ca="1" si="8"/>
        <v/>
      </c>
      <c r="AT47" s="38"/>
      <c r="AU47" s="41"/>
      <c r="AV47" s="38">
        <f>_xlfn.IFNA(IF(VLOOKUP(A47,'Actual Dates'!A:AE,31,0)="","",VLOOKUP(A47,'Actual Dates'!A:AE,31,0)),"")</f>
        <v>46035</v>
      </c>
      <c r="AW47" s="40"/>
    </row>
    <row r="48" spans="1:49" ht="23.25" hidden="1" x14ac:dyDescent="0.25">
      <c r="A48" s="12" t="str">
        <f>'Actual Dates'!A47</f>
        <v>25-062</v>
      </c>
      <c r="B48" s="13" t="str">
        <f t="shared" si="0"/>
        <v>Reco</v>
      </c>
      <c r="C48" s="35"/>
      <c r="D48" s="36" t="str">
        <f t="shared" si="9"/>
        <v>Y</v>
      </c>
      <c r="E48" s="37">
        <f t="shared" si="10"/>
        <v>5</v>
      </c>
      <c r="F48" s="36" t="str">
        <f t="shared" si="11"/>
        <v>Y</v>
      </c>
      <c r="G48" s="37" t="str">
        <f t="shared" si="12"/>
        <v/>
      </c>
      <c r="H48" s="36" t="str">
        <f t="shared" si="1"/>
        <v>Y</v>
      </c>
      <c r="I48" s="37" t="str">
        <f t="shared" si="13"/>
        <v/>
      </c>
      <c r="J48" s="35"/>
      <c r="K48" s="36" t="str">
        <f t="shared" si="14"/>
        <v>Y</v>
      </c>
      <c r="L48" s="37">
        <f t="shared" si="15"/>
        <v>5</v>
      </c>
      <c r="M48" s="37">
        <f t="shared" si="2"/>
        <v>4</v>
      </c>
      <c r="N48" s="36" t="str">
        <f t="shared" si="16"/>
        <v>Y</v>
      </c>
      <c r="O48" s="37">
        <f t="shared" si="17"/>
        <v>182</v>
      </c>
      <c r="P48" s="36" t="str">
        <f t="shared" si="18"/>
        <v>Y</v>
      </c>
      <c r="Q48" s="37">
        <f t="shared" si="19"/>
        <v>-181</v>
      </c>
      <c r="R48" s="36" t="str">
        <f t="shared" si="20"/>
        <v>Y</v>
      </c>
      <c r="S48" s="37">
        <f t="shared" si="21"/>
        <v>-5</v>
      </c>
      <c r="T48" s="36" t="str">
        <f t="shared" si="22"/>
        <v>Y</v>
      </c>
      <c r="U48" s="37">
        <f t="shared" si="23"/>
        <v>-12</v>
      </c>
      <c r="V48" s="36" t="str">
        <f t="shared" si="24"/>
        <v>Y</v>
      </c>
      <c r="W48" s="37">
        <f t="shared" si="25"/>
        <v>-17</v>
      </c>
      <c r="X48" s="36" t="str">
        <f t="shared" si="26"/>
        <v>Y</v>
      </c>
      <c r="Y48" s="37" t="str">
        <f t="shared" si="27"/>
        <v xml:space="preserve">  </v>
      </c>
      <c r="Z48" s="36" t="str">
        <f t="shared" si="28"/>
        <v xml:space="preserve">  </v>
      </c>
      <c r="AA48" s="37" t="str">
        <f t="shared" si="29"/>
        <v xml:space="preserve">  </v>
      </c>
      <c r="AB48" s="36" t="str">
        <f t="shared" si="30"/>
        <v xml:space="preserve">  </v>
      </c>
      <c r="AC48" s="37">
        <f t="shared" si="31"/>
        <v>83</v>
      </c>
      <c r="AD48" s="36" t="str">
        <f t="shared" si="32"/>
        <v>Y</v>
      </c>
      <c r="AE48" s="37">
        <f t="shared" si="33"/>
        <v>175</v>
      </c>
      <c r="AF48" s="38">
        <f ca="1">_xlfn.IFNA(IF(AG48="",TODAY()+(VLOOKUP(A48,'Date Calcs'!A:G,7,0)*7),VLOOKUP(A48,'Actual Dates'!A:AE,21,FALSE())),"")</f>
        <v>46055</v>
      </c>
      <c r="AG48" s="38">
        <f>_xlfn.IFNA(IF(VLOOKUP(A48,'Actual Dates'!A:AE,20,0)="","",VLOOKUP(A48,'Actual Dates'!A:AE,20,0)+(VLOOKUP(A48,'Date Calcs'!A:X,22,0)*7)),"")</f>
        <v>45873</v>
      </c>
      <c r="AH48" s="38" t="str">
        <f>_xlfn.IFNA(IF($AG48="","",IF(X48="Y","DONE",VLOOKUP(A48,'Ship Date'!A:AE,27,0))),"")</f>
        <v>DONE</v>
      </c>
      <c r="AI48" s="12">
        <f t="shared" ca="1" si="3"/>
        <v>0</v>
      </c>
      <c r="AJ48" s="38" t="str">
        <f>_xlfn.IFNA(IF($AG48="","",IF(AB48="Y","DONE",VLOOKUP(A48,'Ship Date'!A:AG,29,0))),"")</f>
        <v/>
      </c>
      <c r="AK48" s="12">
        <f t="shared" ca="1" si="4"/>
        <v>0</v>
      </c>
      <c r="AL48" s="38" t="str">
        <f>_xlfn.IFNA(IF($AG48="","",IF(Z48="Y","DONE",VLOOKUP(A48,'Ship Date'!A:AI,28,0))),"")</f>
        <v/>
      </c>
      <c r="AM48" s="12">
        <f t="shared" ca="1" si="5"/>
        <v>0</v>
      </c>
      <c r="AN48" s="38" t="str">
        <f>_xlfn.IFNA(IF(T48="Y","DONE",VLOOKUP(A48,'Ship Date'!A:AE,25,0)),"")</f>
        <v>DONE</v>
      </c>
      <c r="AO48" s="12">
        <f t="shared" si="6"/>
        <v>0</v>
      </c>
      <c r="AP48" s="38" t="str">
        <f>_xlfn.IFNA(IF(AD48="Y","DONE",VLOOKUP(A48,'Ship Date'!A:AE,30,0)),"")</f>
        <v>DONE</v>
      </c>
      <c r="AQ48" s="12">
        <f t="shared" ca="1" si="7"/>
        <v>0</v>
      </c>
      <c r="AR48" s="38" t="str">
        <f>IFERROR(_xlfn.IFNA(VLOOKUP(A48,'Ship Date'!A:C,3,0),""),"")</f>
        <v/>
      </c>
      <c r="AS48" s="12" t="str">
        <f t="shared" ca="1" si="8"/>
        <v/>
      </c>
      <c r="AT48" s="38"/>
      <c r="AU48" s="41"/>
      <c r="AV48" s="38">
        <f>_xlfn.IFNA(IF(VLOOKUP(A48,'Actual Dates'!A:AE,31,0)="","",VLOOKUP(A48,'Actual Dates'!A:AE,31,0)),"")</f>
        <v>46055</v>
      </c>
      <c r="AW48" s="40"/>
    </row>
    <row r="49" spans="1:49" ht="23.25" hidden="1" x14ac:dyDescent="0.25">
      <c r="A49" s="12" t="str">
        <f>'Actual Dates'!A48</f>
        <v>25-063</v>
      </c>
      <c r="B49" s="13" t="str">
        <f t="shared" si="0"/>
        <v>Reco</v>
      </c>
      <c r="C49" s="35"/>
      <c r="D49" s="36" t="str">
        <f t="shared" si="9"/>
        <v>Y</v>
      </c>
      <c r="E49" s="37">
        <f t="shared" si="10"/>
        <v>5</v>
      </c>
      <c r="F49" s="36" t="str">
        <f t="shared" si="11"/>
        <v>Y</v>
      </c>
      <c r="G49" s="37" t="str">
        <f t="shared" si="12"/>
        <v/>
      </c>
      <c r="H49" s="36" t="str">
        <f t="shared" si="1"/>
        <v>Y</v>
      </c>
      <c r="I49" s="37" t="str">
        <f t="shared" si="13"/>
        <v/>
      </c>
      <c r="J49" s="35"/>
      <c r="K49" s="36" t="str">
        <f t="shared" si="14"/>
        <v>Y</v>
      </c>
      <c r="L49" s="37">
        <f t="shared" si="15"/>
        <v>5</v>
      </c>
      <c r="M49" s="37">
        <f t="shared" si="2"/>
        <v>4</v>
      </c>
      <c r="N49" s="36" t="str">
        <f t="shared" si="16"/>
        <v>Y</v>
      </c>
      <c r="O49" s="37">
        <f t="shared" si="17"/>
        <v>182</v>
      </c>
      <c r="P49" s="36" t="str">
        <f t="shared" si="18"/>
        <v>Y</v>
      </c>
      <c r="Q49" s="37">
        <f t="shared" si="19"/>
        <v>-181</v>
      </c>
      <c r="R49" s="36" t="str">
        <f t="shared" si="20"/>
        <v>Y</v>
      </c>
      <c r="S49" s="37">
        <f t="shared" si="21"/>
        <v>-5</v>
      </c>
      <c r="T49" s="36" t="str">
        <f t="shared" si="22"/>
        <v>Y</v>
      </c>
      <c r="U49" s="37">
        <f t="shared" si="23"/>
        <v>-12</v>
      </c>
      <c r="V49" s="36" t="str">
        <f t="shared" si="24"/>
        <v>Y</v>
      </c>
      <c r="W49" s="37">
        <f t="shared" si="25"/>
        <v>-17</v>
      </c>
      <c r="X49" s="36" t="str">
        <f t="shared" si="26"/>
        <v>Y</v>
      </c>
      <c r="Y49" s="37" t="str">
        <f t="shared" si="27"/>
        <v xml:space="preserve">  </v>
      </c>
      <c r="Z49" s="36" t="str">
        <f t="shared" si="28"/>
        <v xml:space="preserve">  </v>
      </c>
      <c r="AA49" s="37" t="str">
        <f t="shared" si="29"/>
        <v xml:space="preserve">  </v>
      </c>
      <c r="AB49" s="36" t="str">
        <f t="shared" si="30"/>
        <v xml:space="preserve">  </v>
      </c>
      <c r="AC49" s="37">
        <f t="shared" si="31"/>
        <v>83</v>
      </c>
      <c r="AD49" s="36" t="str">
        <f t="shared" si="32"/>
        <v>Y</v>
      </c>
      <c r="AE49" s="37">
        <f t="shared" si="33"/>
        <v>175</v>
      </c>
      <c r="AF49" s="38">
        <f ca="1">_xlfn.IFNA(IF(AG49="",TODAY()+(VLOOKUP(A49,'Date Calcs'!A:G,7,0)*7),VLOOKUP(A49,'Actual Dates'!A:AE,21,FALSE())),"")</f>
        <v>46055</v>
      </c>
      <c r="AG49" s="38">
        <f>_xlfn.IFNA(IF(VLOOKUP(A49,'Actual Dates'!A:AE,20,0)="","",VLOOKUP(A49,'Actual Dates'!A:AE,20,0)+(VLOOKUP(A49,'Date Calcs'!A:X,22,0)*7)),"")</f>
        <v>45873</v>
      </c>
      <c r="AH49" s="38" t="str">
        <f>_xlfn.IFNA(IF($AG49="","",IF(X49="Y","DONE",VLOOKUP(A49,'Ship Date'!A:AE,27,0))),"")</f>
        <v>DONE</v>
      </c>
      <c r="AI49" s="12">
        <f t="shared" ca="1" si="3"/>
        <v>0</v>
      </c>
      <c r="AJ49" s="38" t="str">
        <f>_xlfn.IFNA(IF($AG49="","",IF(AB49="Y","DONE",VLOOKUP(A49,'Ship Date'!A:AG,29,0))),"")</f>
        <v/>
      </c>
      <c r="AK49" s="12">
        <f t="shared" ca="1" si="4"/>
        <v>0</v>
      </c>
      <c r="AL49" s="38" t="str">
        <f>_xlfn.IFNA(IF($AG49="","",IF(Z49="Y","DONE",VLOOKUP(A49,'Ship Date'!A:AI,28,0))),"")</f>
        <v/>
      </c>
      <c r="AM49" s="12">
        <f t="shared" ca="1" si="5"/>
        <v>0</v>
      </c>
      <c r="AN49" s="38" t="str">
        <f>_xlfn.IFNA(IF(T49="Y","DONE",VLOOKUP(A49,'Ship Date'!A:AE,25,0)),"")</f>
        <v>DONE</v>
      </c>
      <c r="AO49" s="12">
        <f t="shared" si="6"/>
        <v>0</v>
      </c>
      <c r="AP49" s="38" t="str">
        <f>_xlfn.IFNA(IF(AD49="Y","DONE",VLOOKUP(A49,'Ship Date'!A:AE,30,0)),"")</f>
        <v>DONE</v>
      </c>
      <c r="AQ49" s="12">
        <f t="shared" ca="1" si="7"/>
        <v>0</v>
      </c>
      <c r="AR49" s="38" t="str">
        <f>IFERROR(_xlfn.IFNA(VLOOKUP(A49,'Ship Date'!A:C,3,0),""),"")</f>
        <v/>
      </c>
      <c r="AS49" s="12" t="str">
        <f t="shared" ca="1" si="8"/>
        <v/>
      </c>
      <c r="AT49" s="38"/>
      <c r="AU49" s="41"/>
      <c r="AV49" s="38">
        <f>_xlfn.IFNA(IF(VLOOKUP(A49,'Actual Dates'!A:AE,31,0)="","",VLOOKUP(A49,'Actual Dates'!A:AE,31,0)),"")</f>
        <v>46055</v>
      </c>
      <c r="AW49" s="40"/>
    </row>
    <row r="50" spans="1:49" ht="23.25" hidden="1" x14ac:dyDescent="0.25">
      <c r="A50" s="12" t="str">
        <f>'Actual Dates'!A49</f>
        <v>25-064</v>
      </c>
      <c r="B50" s="13" t="str">
        <f t="shared" si="0"/>
        <v>Reco</v>
      </c>
      <c r="C50" s="35"/>
      <c r="D50" s="36" t="str">
        <f t="shared" si="9"/>
        <v>Y</v>
      </c>
      <c r="E50" s="37">
        <f t="shared" si="10"/>
        <v>5</v>
      </c>
      <c r="F50" s="36" t="str">
        <f t="shared" si="11"/>
        <v>Y</v>
      </c>
      <c r="G50" s="37" t="str">
        <f t="shared" si="12"/>
        <v/>
      </c>
      <c r="H50" s="36" t="str">
        <f t="shared" si="1"/>
        <v>Y</v>
      </c>
      <c r="I50" s="37" t="str">
        <f t="shared" si="13"/>
        <v/>
      </c>
      <c r="J50" s="35"/>
      <c r="K50" s="36" t="str">
        <f t="shared" si="14"/>
        <v>Y</v>
      </c>
      <c r="L50" s="37">
        <f t="shared" si="15"/>
        <v>5</v>
      </c>
      <c r="M50" s="37">
        <f t="shared" si="2"/>
        <v>4</v>
      </c>
      <c r="N50" s="36" t="str">
        <f t="shared" si="16"/>
        <v>Y</v>
      </c>
      <c r="O50" s="37">
        <f t="shared" si="17"/>
        <v>210</v>
      </c>
      <c r="P50" s="36" t="str">
        <f t="shared" si="18"/>
        <v>Y</v>
      </c>
      <c r="Q50" s="37">
        <f t="shared" si="19"/>
        <v>-209</v>
      </c>
      <c r="R50" s="36" t="str">
        <f t="shared" si="20"/>
        <v>Y</v>
      </c>
      <c r="S50" s="37">
        <f t="shared" si="21"/>
        <v>-5</v>
      </c>
      <c r="T50" s="36" t="str">
        <f t="shared" si="22"/>
        <v>Y</v>
      </c>
      <c r="U50" s="37">
        <f t="shared" si="23"/>
        <v>-12</v>
      </c>
      <c r="V50" s="36" t="str">
        <f t="shared" si="24"/>
        <v>Y</v>
      </c>
      <c r="W50" s="37">
        <f t="shared" si="25"/>
        <v>-17</v>
      </c>
      <c r="X50" s="36" t="str">
        <f t="shared" si="26"/>
        <v>Y</v>
      </c>
      <c r="Y50" s="37" t="str">
        <f t="shared" si="27"/>
        <v xml:space="preserve">  </v>
      </c>
      <c r="Z50" s="36" t="str">
        <f t="shared" si="28"/>
        <v xml:space="preserve">  </v>
      </c>
      <c r="AA50" s="37" t="str">
        <f t="shared" si="29"/>
        <v xml:space="preserve">  </v>
      </c>
      <c r="AB50" s="36" t="str">
        <f t="shared" si="30"/>
        <v xml:space="preserve">  </v>
      </c>
      <c r="AC50" s="37">
        <f t="shared" si="31"/>
        <v>112</v>
      </c>
      <c r="AD50" s="36" t="str">
        <f t="shared" si="32"/>
        <v>Y</v>
      </c>
      <c r="AE50" s="37">
        <f t="shared" si="33"/>
        <v>189</v>
      </c>
      <c r="AF50" s="38">
        <f ca="1">_xlfn.IFNA(IF(AG50="",TODAY()+(VLOOKUP(A50,'Date Calcs'!A:G,7,0)*7),VLOOKUP(A50,'Actual Dates'!A:AE,21,FALSE())),"")</f>
        <v>46083</v>
      </c>
      <c r="AG50" s="38">
        <f>_xlfn.IFNA(IF(VLOOKUP(A50,'Actual Dates'!A:AE,20,0)="","",VLOOKUP(A50,'Actual Dates'!A:AE,20,0)+(VLOOKUP(A50,'Date Calcs'!A:X,22,0)*7)),"")</f>
        <v>45873</v>
      </c>
      <c r="AH50" s="38" t="str">
        <f>_xlfn.IFNA(IF($AG50="","",IF(X50="Y","DONE",VLOOKUP(A50,'Ship Date'!A:AE,27,0))),"")</f>
        <v>DONE</v>
      </c>
      <c r="AI50" s="12">
        <f t="shared" ca="1" si="3"/>
        <v>0</v>
      </c>
      <c r="AJ50" s="38" t="str">
        <f>_xlfn.IFNA(IF($AG50="","",IF(AB50="Y","DONE",VLOOKUP(A50,'Ship Date'!A:AG,29,0))),"")</f>
        <v/>
      </c>
      <c r="AK50" s="12">
        <f t="shared" ca="1" si="4"/>
        <v>0</v>
      </c>
      <c r="AL50" s="38" t="str">
        <f>_xlfn.IFNA(IF($AG50="","",IF(Z50="Y","DONE",VLOOKUP(A50,'Ship Date'!A:AI,28,0))),"")</f>
        <v/>
      </c>
      <c r="AM50" s="12">
        <f t="shared" ca="1" si="5"/>
        <v>0</v>
      </c>
      <c r="AN50" s="38" t="str">
        <f>_xlfn.IFNA(IF(T50="Y","DONE",VLOOKUP(A50,'Ship Date'!A:AE,25,0)),"")</f>
        <v>DONE</v>
      </c>
      <c r="AO50" s="12">
        <f t="shared" si="6"/>
        <v>0</v>
      </c>
      <c r="AP50" s="38" t="str">
        <f>_xlfn.IFNA(IF(AD50="Y","DONE",VLOOKUP(A50,'Ship Date'!A:AE,30,0)),"")</f>
        <v>DONE</v>
      </c>
      <c r="AQ50" s="12">
        <f t="shared" ca="1" si="7"/>
        <v>0</v>
      </c>
      <c r="AR50" s="38" t="str">
        <f>IFERROR(_xlfn.IFNA(VLOOKUP(A50,'Ship Date'!A:C,3,0),""),"")</f>
        <v/>
      </c>
      <c r="AS50" s="12" t="str">
        <f t="shared" ca="1" si="8"/>
        <v/>
      </c>
      <c r="AT50" s="38"/>
      <c r="AU50" s="41"/>
      <c r="AV50" s="38">
        <f>_xlfn.IFNA(IF(VLOOKUP(A50,'Actual Dates'!A:AE,31,0)="","",VLOOKUP(A50,'Actual Dates'!A:AE,31,0)),"")</f>
        <v>46069</v>
      </c>
      <c r="AW50" s="40"/>
    </row>
    <row r="51" spans="1:49" ht="23.25" hidden="1" x14ac:dyDescent="0.25">
      <c r="A51" s="12" t="str">
        <f>'Actual Dates'!A50</f>
        <v>25-065</v>
      </c>
      <c r="B51" s="13" t="str">
        <f t="shared" si="0"/>
        <v>Reco</v>
      </c>
      <c r="C51" s="35"/>
      <c r="D51" s="36" t="str">
        <f t="shared" si="9"/>
        <v>Y</v>
      </c>
      <c r="E51" s="37">
        <f t="shared" si="10"/>
        <v>5</v>
      </c>
      <c r="F51" s="36" t="str">
        <f t="shared" si="11"/>
        <v>Y</v>
      </c>
      <c r="G51" s="37" t="str">
        <f t="shared" si="12"/>
        <v/>
      </c>
      <c r="H51" s="36" t="str">
        <f t="shared" si="1"/>
        <v>Y</v>
      </c>
      <c r="I51" s="37" t="str">
        <f t="shared" si="13"/>
        <v/>
      </c>
      <c r="J51" s="35"/>
      <c r="K51" s="36" t="str">
        <f t="shared" si="14"/>
        <v>Y</v>
      </c>
      <c r="L51" s="37">
        <f t="shared" si="15"/>
        <v>5</v>
      </c>
      <c r="M51" s="37">
        <f t="shared" si="2"/>
        <v>4</v>
      </c>
      <c r="N51" s="36" t="str">
        <f t="shared" si="16"/>
        <v>Y</v>
      </c>
      <c r="O51" s="37">
        <f t="shared" si="17"/>
        <v>210</v>
      </c>
      <c r="P51" s="36" t="str">
        <f t="shared" si="18"/>
        <v>Y</v>
      </c>
      <c r="Q51" s="37">
        <f t="shared" si="19"/>
        <v>-209</v>
      </c>
      <c r="R51" s="36" t="str">
        <f t="shared" si="20"/>
        <v>Y</v>
      </c>
      <c r="S51" s="37">
        <f t="shared" si="21"/>
        <v>-5</v>
      </c>
      <c r="T51" s="36" t="str">
        <f t="shared" si="22"/>
        <v>Y</v>
      </c>
      <c r="U51" s="37">
        <f t="shared" si="23"/>
        <v>-12</v>
      </c>
      <c r="V51" s="36" t="str">
        <f t="shared" si="24"/>
        <v>Y</v>
      </c>
      <c r="W51" s="37">
        <f t="shared" si="25"/>
        <v>-17</v>
      </c>
      <c r="X51" s="36" t="str">
        <f t="shared" si="26"/>
        <v>Y</v>
      </c>
      <c r="Y51" s="37" t="str">
        <f t="shared" si="27"/>
        <v xml:space="preserve">  </v>
      </c>
      <c r="Z51" s="36" t="str">
        <f t="shared" si="28"/>
        <v xml:space="preserve">  </v>
      </c>
      <c r="AA51" s="37" t="str">
        <f t="shared" si="29"/>
        <v xml:space="preserve">  </v>
      </c>
      <c r="AB51" s="36" t="str">
        <f t="shared" si="30"/>
        <v xml:space="preserve">  </v>
      </c>
      <c r="AC51" s="37">
        <f t="shared" si="31"/>
        <v>112</v>
      </c>
      <c r="AD51" s="36" t="str">
        <f t="shared" si="32"/>
        <v>Y</v>
      </c>
      <c r="AE51" s="37">
        <f t="shared" si="33"/>
        <v>189</v>
      </c>
      <c r="AF51" s="38">
        <f ca="1">_xlfn.IFNA(IF(AG51="",TODAY()+(VLOOKUP(A51,'Date Calcs'!A:G,7,0)*7),VLOOKUP(A51,'Actual Dates'!A:AE,21,FALSE())),"")</f>
        <v>46083</v>
      </c>
      <c r="AG51" s="38">
        <f>_xlfn.IFNA(IF(VLOOKUP(A51,'Actual Dates'!A:AE,20,0)="","",VLOOKUP(A51,'Actual Dates'!A:AE,20,0)+(VLOOKUP(A51,'Date Calcs'!A:X,22,0)*7)),"")</f>
        <v>45873</v>
      </c>
      <c r="AH51" s="38" t="str">
        <f>_xlfn.IFNA(IF($AG51="","",IF(X51="Y","DONE",VLOOKUP(A51,'Ship Date'!A:AE,27,0))),"")</f>
        <v>DONE</v>
      </c>
      <c r="AI51" s="12">
        <f t="shared" ca="1" si="3"/>
        <v>0</v>
      </c>
      <c r="AJ51" s="38" t="str">
        <f>_xlfn.IFNA(IF($AG51="","",IF(AB51="Y","DONE",VLOOKUP(A51,'Ship Date'!A:AG,29,0))),"")</f>
        <v/>
      </c>
      <c r="AK51" s="12">
        <f t="shared" ca="1" si="4"/>
        <v>0</v>
      </c>
      <c r="AL51" s="38" t="str">
        <f>_xlfn.IFNA(IF($AG51="","",IF(Z51="Y","DONE",VLOOKUP(A51,'Ship Date'!A:AI,28,0))),"")</f>
        <v/>
      </c>
      <c r="AM51" s="12">
        <f t="shared" ca="1" si="5"/>
        <v>0</v>
      </c>
      <c r="AN51" s="38" t="str">
        <f>_xlfn.IFNA(IF(T51="Y","DONE",VLOOKUP(A51,'Ship Date'!A:AE,25,0)),"")</f>
        <v>DONE</v>
      </c>
      <c r="AO51" s="12">
        <f t="shared" si="6"/>
        <v>0</v>
      </c>
      <c r="AP51" s="38" t="str">
        <f>_xlfn.IFNA(IF(AD51="Y","DONE",VLOOKUP(A51,'Ship Date'!A:AE,30,0)),"")</f>
        <v>DONE</v>
      </c>
      <c r="AQ51" s="12">
        <f t="shared" ca="1" si="7"/>
        <v>0</v>
      </c>
      <c r="AR51" s="38" t="str">
        <f>IFERROR(_xlfn.IFNA(VLOOKUP(A51,'Ship Date'!A:C,3,0),""),"")</f>
        <v/>
      </c>
      <c r="AS51" s="12" t="str">
        <f t="shared" ca="1" si="8"/>
        <v/>
      </c>
      <c r="AT51" s="38"/>
      <c r="AU51" s="41"/>
      <c r="AV51" s="38">
        <f>_xlfn.IFNA(IF(VLOOKUP(A51,'Actual Dates'!A:AE,31,0)="","",VLOOKUP(A51,'Actual Dates'!A:AE,31,0)),"")</f>
        <v>46069</v>
      </c>
      <c r="AW51" s="40"/>
    </row>
    <row r="52" spans="1:49" ht="23.25" hidden="1" x14ac:dyDescent="0.25">
      <c r="A52" s="12" t="str">
        <f>'Actual Dates'!A51</f>
        <v>25-066</v>
      </c>
      <c r="B52" s="13" t="str">
        <f t="shared" si="0"/>
        <v>Reco</v>
      </c>
      <c r="C52" s="35"/>
      <c r="D52" s="36" t="str">
        <f t="shared" si="9"/>
        <v>Y</v>
      </c>
      <c r="E52" s="37">
        <f t="shared" si="10"/>
        <v>5</v>
      </c>
      <c r="F52" s="36" t="str">
        <f t="shared" si="11"/>
        <v>Y</v>
      </c>
      <c r="G52" s="37" t="str">
        <f t="shared" si="12"/>
        <v/>
      </c>
      <c r="H52" s="36" t="str">
        <f t="shared" si="1"/>
        <v>Y</v>
      </c>
      <c r="I52" s="37" t="str">
        <f t="shared" si="13"/>
        <v/>
      </c>
      <c r="J52" s="35"/>
      <c r="K52" s="36" t="str">
        <f t="shared" si="14"/>
        <v>Y</v>
      </c>
      <c r="L52" s="37">
        <f t="shared" si="15"/>
        <v>5</v>
      </c>
      <c r="M52" s="37">
        <f t="shared" si="2"/>
        <v>4</v>
      </c>
      <c r="N52" s="36" t="str">
        <f t="shared" si="16"/>
        <v>Y</v>
      </c>
      <c r="O52" s="37">
        <f t="shared" si="17"/>
        <v>238</v>
      </c>
      <c r="P52" s="36" t="str">
        <f t="shared" si="18"/>
        <v>Y</v>
      </c>
      <c r="Q52" s="37">
        <f t="shared" si="19"/>
        <v>-237</v>
      </c>
      <c r="R52" s="36" t="str">
        <f t="shared" si="20"/>
        <v>Y</v>
      </c>
      <c r="S52" s="37">
        <f t="shared" si="21"/>
        <v>-5</v>
      </c>
      <c r="T52" s="36" t="str">
        <f t="shared" si="22"/>
        <v>Y</v>
      </c>
      <c r="U52" s="37">
        <f t="shared" si="23"/>
        <v>-12</v>
      </c>
      <c r="V52" s="36" t="str">
        <f t="shared" si="24"/>
        <v>Y</v>
      </c>
      <c r="W52" s="37">
        <f t="shared" si="25"/>
        <v>-17</v>
      </c>
      <c r="X52" s="36" t="str">
        <f t="shared" si="26"/>
        <v>Y</v>
      </c>
      <c r="Y52" s="37">
        <f t="shared" si="27"/>
        <v>186</v>
      </c>
      <c r="Z52" s="36" t="str">
        <f t="shared" si="28"/>
        <v>Y</v>
      </c>
      <c r="AA52" s="37">
        <f t="shared" si="29"/>
        <v>-17</v>
      </c>
      <c r="AB52" s="36" t="str">
        <f t="shared" si="30"/>
        <v>Y</v>
      </c>
      <c r="AC52" s="37">
        <f t="shared" si="31"/>
        <v>146</v>
      </c>
      <c r="AD52" s="36" t="str">
        <f t="shared" si="32"/>
        <v>Y</v>
      </c>
      <c r="AE52" s="37">
        <f t="shared" si="33"/>
        <v>218</v>
      </c>
      <c r="AF52" s="38">
        <f ca="1">_xlfn.IFNA(IF(AG52="",TODAY()+(VLOOKUP(A52,'Date Calcs'!A:G,7,0)*7),VLOOKUP(A52,'Actual Dates'!A:AE,21,FALSE())),"")</f>
        <v>46111</v>
      </c>
      <c r="AG52" s="38">
        <f>IF(VLOOKUP(A52,'Actual Dates'!A:AE,20,0)="","",VLOOKUP(A52,'Actual Dates'!A:AE,20,0))</f>
        <v>45873</v>
      </c>
      <c r="AH52" s="38" t="str">
        <f>_xlfn.IFNA(IF($AG52="","",IF(X52="Y","DONE",VLOOKUP(A52,'Ship Date'!A:AE,27,0))),"")</f>
        <v>DONE</v>
      </c>
      <c r="AI52" s="12">
        <f t="shared" ca="1" si="3"/>
        <v>0</v>
      </c>
      <c r="AJ52" s="38" t="str">
        <f>_xlfn.IFNA(IF($AG52="","",IF(AB52="Y","DONE",VLOOKUP(A52,'Ship Date'!A:AG,29,0))),"")</f>
        <v>DONE</v>
      </c>
      <c r="AK52" s="12">
        <f t="shared" ca="1" si="4"/>
        <v>0</v>
      </c>
      <c r="AL52" s="38" t="str">
        <f>_xlfn.IFNA(IF($AG52="","",IF(Z52="Y","DONE",VLOOKUP(A52,'Ship Date'!A:AI,28,0))),"")</f>
        <v>DONE</v>
      </c>
      <c r="AM52" s="12">
        <f t="shared" ca="1" si="5"/>
        <v>0</v>
      </c>
      <c r="AN52" s="38" t="str">
        <f>_xlfn.IFNA(IF(T52="Y","DONE",VLOOKUP(A52,'Ship Date'!A:AE,25,0)),"")</f>
        <v>DONE</v>
      </c>
      <c r="AO52" s="12">
        <f t="shared" si="6"/>
        <v>0</v>
      </c>
      <c r="AP52" s="38" t="str">
        <f>_xlfn.IFNA(IF(AD52="Y","DONE",VLOOKUP(A52,'Ship Date'!A:AE,30,0)),"")</f>
        <v>DONE</v>
      </c>
      <c r="AQ52" s="12">
        <f t="shared" ca="1" si="7"/>
        <v>0</v>
      </c>
      <c r="AR52" s="38" t="str">
        <f>IFERROR(_xlfn.IFNA(VLOOKUP(A52,'Ship Date'!A:C,3,0),""),"")</f>
        <v/>
      </c>
      <c r="AS52" s="12" t="str">
        <f t="shared" ca="1" si="8"/>
        <v/>
      </c>
      <c r="AT52" s="38" t="str">
        <f>_xlfn.IFNA(IF(VLOOKUP(A52,'Actual Dates'!A:AF,32,0)="N/A"," ",VLOOKUP(A52,'Actual Dates'!A:AF,32,0))," ")</f>
        <v xml:space="preserve"> </v>
      </c>
      <c r="AU52" s="39">
        <v>46097</v>
      </c>
      <c r="AV52" s="38">
        <f>_xlfn.IFNA(IF(VLOOKUP(A52,'Actual Dates'!A:AE,31,0)="","",VLOOKUP(A52,'Actual Dates'!A:AE,31,0)),"")</f>
        <v>46098</v>
      </c>
      <c r="AW52" s="40"/>
    </row>
    <row r="53" spans="1:49" ht="23.25" hidden="1" x14ac:dyDescent="0.25">
      <c r="A53" s="12" t="str">
        <f>'Actual Dates'!A52</f>
        <v>25-067</v>
      </c>
      <c r="B53" s="13" t="str">
        <f t="shared" si="0"/>
        <v>Reco</v>
      </c>
      <c r="C53" s="35"/>
      <c r="D53" s="36" t="str">
        <f t="shared" si="9"/>
        <v>Y</v>
      </c>
      <c r="E53" s="37">
        <f t="shared" si="10"/>
        <v>5</v>
      </c>
      <c r="F53" s="36" t="str">
        <f t="shared" si="11"/>
        <v>Y</v>
      </c>
      <c r="G53" s="37" t="str">
        <f t="shared" si="12"/>
        <v/>
      </c>
      <c r="H53" s="36" t="str">
        <f t="shared" si="1"/>
        <v>Y</v>
      </c>
      <c r="I53" s="37" t="str">
        <f t="shared" si="13"/>
        <v/>
      </c>
      <c r="J53" s="35"/>
      <c r="K53" s="36" t="str">
        <f t="shared" si="14"/>
        <v>Y</v>
      </c>
      <c r="L53" s="37">
        <f t="shared" si="15"/>
        <v>5</v>
      </c>
      <c r="M53" s="37">
        <f t="shared" si="2"/>
        <v>4</v>
      </c>
      <c r="N53" s="36" t="str">
        <f t="shared" si="16"/>
        <v>Y</v>
      </c>
      <c r="O53" s="37">
        <f t="shared" si="17"/>
        <v>238</v>
      </c>
      <c r="P53" s="36" t="str">
        <f t="shared" si="18"/>
        <v>Y</v>
      </c>
      <c r="Q53" s="37">
        <f t="shared" si="19"/>
        <v>-237</v>
      </c>
      <c r="R53" s="36" t="str">
        <f t="shared" si="20"/>
        <v>Y</v>
      </c>
      <c r="S53" s="37">
        <f t="shared" si="21"/>
        <v>-5</v>
      </c>
      <c r="T53" s="36" t="str">
        <f t="shared" si="22"/>
        <v>Y</v>
      </c>
      <c r="U53" s="37">
        <f t="shared" si="23"/>
        <v>-12</v>
      </c>
      <c r="V53" s="36" t="str">
        <f t="shared" si="24"/>
        <v>Y</v>
      </c>
      <c r="W53" s="37">
        <f t="shared" si="25"/>
        <v>-17</v>
      </c>
      <c r="X53" s="36" t="str">
        <f t="shared" si="26"/>
        <v>Y</v>
      </c>
      <c r="Y53" s="37">
        <f t="shared" si="27"/>
        <v>186</v>
      </c>
      <c r="Z53" s="36" t="str">
        <f t="shared" si="28"/>
        <v>Y</v>
      </c>
      <c r="AA53" s="37">
        <f t="shared" si="29"/>
        <v>-17</v>
      </c>
      <c r="AB53" s="36" t="str">
        <f t="shared" si="30"/>
        <v>Y</v>
      </c>
      <c r="AC53" s="37">
        <f t="shared" si="31"/>
        <v>146</v>
      </c>
      <c r="AD53" s="36" t="str">
        <f t="shared" si="32"/>
        <v>Y</v>
      </c>
      <c r="AE53" s="37">
        <f t="shared" si="33"/>
        <v>219</v>
      </c>
      <c r="AF53" s="38">
        <f ca="1">_xlfn.IFNA(IF(AG53="",TODAY()+(VLOOKUP(A53,'Date Calcs'!A:G,7,0)*7),VLOOKUP(A53,'Actual Dates'!A:AE,21,FALSE())),"")</f>
        <v>46111</v>
      </c>
      <c r="AG53" s="38">
        <f>IF(VLOOKUP(A53,'Actual Dates'!A:AE,20,0)="","",VLOOKUP(A53,'Actual Dates'!A:AE,20,0))</f>
        <v>45873</v>
      </c>
      <c r="AH53" s="38" t="str">
        <f>_xlfn.IFNA(IF($AG53="","",IF(X53="Y","DONE",VLOOKUP(A53,'Ship Date'!A:AE,27,0))),"")</f>
        <v>DONE</v>
      </c>
      <c r="AI53" s="12">
        <f t="shared" ca="1" si="3"/>
        <v>0</v>
      </c>
      <c r="AJ53" s="38" t="str">
        <f>_xlfn.IFNA(IF($AG53="","",IF(AB53="Y","DONE",VLOOKUP(A53,'Ship Date'!A:AG,29,0))),"")</f>
        <v>DONE</v>
      </c>
      <c r="AK53" s="12">
        <f t="shared" ca="1" si="4"/>
        <v>0</v>
      </c>
      <c r="AL53" s="38" t="str">
        <f>_xlfn.IFNA(IF($AG53="","",IF(Z53="Y","DONE",VLOOKUP(A53,'Ship Date'!A:AI,28,0))),"")</f>
        <v>DONE</v>
      </c>
      <c r="AM53" s="12">
        <f t="shared" ca="1" si="5"/>
        <v>0</v>
      </c>
      <c r="AN53" s="38" t="str">
        <f>_xlfn.IFNA(IF(T53="Y","DONE",VLOOKUP(A53,'Ship Date'!A:AE,25,0)),"")</f>
        <v>DONE</v>
      </c>
      <c r="AO53" s="12">
        <f t="shared" si="6"/>
        <v>0</v>
      </c>
      <c r="AP53" s="38" t="str">
        <f>_xlfn.IFNA(IF(AD53="Y","DONE",VLOOKUP(A53,'Ship Date'!A:AE,30,0)),"")</f>
        <v>DONE</v>
      </c>
      <c r="AQ53" s="12">
        <f t="shared" ca="1" si="7"/>
        <v>0</v>
      </c>
      <c r="AR53" s="38" t="str">
        <f>IFERROR(_xlfn.IFNA(VLOOKUP(A53,'Ship Date'!A:C,3,0),""),"")</f>
        <v/>
      </c>
      <c r="AS53" s="12" t="str">
        <f t="shared" ca="1" si="8"/>
        <v/>
      </c>
      <c r="AT53" s="38" t="str">
        <f>_xlfn.IFNA(IF(VLOOKUP(A53,'Actual Dates'!A:AF,32,0)="N/A"," ",VLOOKUP(A53,'Actual Dates'!A:AF,32,0))," ")</f>
        <v xml:space="preserve"> </v>
      </c>
      <c r="AU53" s="39">
        <v>46097</v>
      </c>
      <c r="AV53" s="38">
        <f>_xlfn.IFNA(IF(VLOOKUP(A53,'Actual Dates'!A:AE,31,0)="","",VLOOKUP(A53,'Actual Dates'!A:AE,31,0)),"")</f>
        <v>46099</v>
      </c>
      <c r="AW53" s="40"/>
    </row>
    <row r="54" spans="1:49" ht="23.25" hidden="1" x14ac:dyDescent="0.25">
      <c r="A54" s="12" t="str">
        <f>'Actual Dates'!A53</f>
        <v>25-068</v>
      </c>
      <c r="B54" s="13" t="str">
        <f t="shared" si="0"/>
        <v>Reco</v>
      </c>
      <c r="C54" s="35"/>
      <c r="D54" s="36" t="str">
        <f t="shared" si="9"/>
        <v>Y</v>
      </c>
      <c r="E54" s="37">
        <f t="shared" si="10"/>
        <v>5</v>
      </c>
      <c r="F54" s="36" t="str">
        <f t="shared" si="11"/>
        <v>Y</v>
      </c>
      <c r="G54" s="37" t="str">
        <f t="shared" si="12"/>
        <v/>
      </c>
      <c r="H54" s="36" t="str">
        <f t="shared" si="1"/>
        <v>Y</v>
      </c>
      <c r="I54" s="37" t="str">
        <f t="shared" si="13"/>
        <v/>
      </c>
      <c r="J54" s="35"/>
      <c r="K54" s="36" t="str">
        <f t="shared" si="14"/>
        <v>Y</v>
      </c>
      <c r="L54" s="37">
        <f t="shared" si="15"/>
        <v>5</v>
      </c>
      <c r="M54" s="37">
        <f t="shared" si="2"/>
        <v>4</v>
      </c>
      <c r="N54" s="36" t="str">
        <f t="shared" si="16"/>
        <v>Y</v>
      </c>
      <c r="O54" s="37">
        <f t="shared" si="17"/>
        <v>266</v>
      </c>
      <c r="P54" s="36" t="str">
        <f t="shared" si="18"/>
        <v>Y</v>
      </c>
      <c r="Q54" s="37">
        <f t="shared" si="19"/>
        <v>-265</v>
      </c>
      <c r="R54" s="36" t="str">
        <f t="shared" si="20"/>
        <v>Y</v>
      </c>
      <c r="S54" s="37">
        <f t="shared" si="21"/>
        <v>-5</v>
      </c>
      <c r="T54" s="36" t="str">
        <f t="shared" si="22"/>
        <v>Y</v>
      </c>
      <c r="U54" s="37">
        <f t="shared" si="23"/>
        <v>-12</v>
      </c>
      <c r="V54" s="36" t="str">
        <f t="shared" si="24"/>
        <v>Y</v>
      </c>
      <c r="W54" s="37">
        <f t="shared" si="25"/>
        <v>-17</v>
      </c>
      <c r="X54" s="36" t="str">
        <f t="shared" si="26"/>
        <v>Y</v>
      </c>
      <c r="Y54" s="37">
        <f t="shared" si="27"/>
        <v>186</v>
      </c>
      <c r="Z54" s="36" t="str">
        <f t="shared" si="28"/>
        <v>Y</v>
      </c>
      <c r="AA54" s="37">
        <f t="shared" si="29"/>
        <v>-17</v>
      </c>
      <c r="AB54" s="36" t="str">
        <f t="shared" si="30"/>
        <v>Y</v>
      </c>
      <c r="AC54" s="37">
        <f t="shared" si="31"/>
        <v>174</v>
      </c>
      <c r="AD54" s="36" t="str">
        <f t="shared" si="32"/>
        <v>Y</v>
      </c>
      <c r="AE54" s="37">
        <f t="shared" si="33"/>
        <v>231</v>
      </c>
      <c r="AF54" s="38">
        <f ca="1">_xlfn.IFNA(IF(AG54="",TODAY()+(VLOOKUP(A54,'Date Calcs'!A:G,7,0)*7),VLOOKUP(A54,'Actual Dates'!A:AE,21,FALSE())),"")</f>
        <v>46139</v>
      </c>
      <c r="AG54" s="38">
        <f>IF(VLOOKUP(A54,'Actual Dates'!A:AE,20,0)="","",VLOOKUP(A54,'Actual Dates'!A:AE,20,0))</f>
        <v>45873</v>
      </c>
      <c r="AH54" s="38" t="str">
        <f>_xlfn.IFNA(IF($AG54="","",IF(X54="Y","DONE",VLOOKUP(A54,'Ship Date'!A:AE,27,0))),"")</f>
        <v>DONE</v>
      </c>
      <c r="AI54" s="12">
        <f t="shared" ca="1" si="3"/>
        <v>0</v>
      </c>
      <c r="AJ54" s="38" t="str">
        <f>_xlfn.IFNA(IF($AG54="","",IF(AB54="Y","DONE",VLOOKUP(A54,'Ship Date'!A:AG,29,0))),"")</f>
        <v>DONE</v>
      </c>
      <c r="AK54" s="12">
        <f t="shared" ca="1" si="4"/>
        <v>0</v>
      </c>
      <c r="AL54" s="38" t="str">
        <f>_xlfn.IFNA(IF($AG54="","",IF(Z54="Y","DONE",VLOOKUP(A54,'Ship Date'!A:AI,28,0))),"")</f>
        <v>DONE</v>
      </c>
      <c r="AM54" s="12">
        <f t="shared" ca="1" si="5"/>
        <v>0</v>
      </c>
      <c r="AN54" s="38" t="str">
        <f>_xlfn.IFNA(IF(T54="Y","DONE",VLOOKUP(A54,'Ship Date'!A:AE,25,0)),"")</f>
        <v>DONE</v>
      </c>
      <c r="AO54" s="12">
        <f t="shared" si="6"/>
        <v>0</v>
      </c>
      <c r="AP54" s="38" t="str">
        <f>_xlfn.IFNA(IF(AD54="Y","DONE",VLOOKUP(A54,'Ship Date'!A:AE,30,0)),"")</f>
        <v>DONE</v>
      </c>
      <c r="AQ54" s="12">
        <f t="shared" ca="1" si="7"/>
        <v>0</v>
      </c>
      <c r="AR54" s="38" t="str">
        <f>IFERROR(_xlfn.IFNA(VLOOKUP(A54,'Ship Date'!A:C,3,0),""),"")</f>
        <v/>
      </c>
      <c r="AS54" s="12" t="str">
        <f t="shared" ca="1" si="8"/>
        <v/>
      </c>
      <c r="AT54" s="38" t="str">
        <f>_xlfn.IFNA(IF(VLOOKUP(A54,'Actual Dates'!A:AF,32,0)="N/A"," ",VLOOKUP(A54,'Actual Dates'!A:AF,32,0))," ")</f>
        <v xml:space="preserve"> </v>
      </c>
      <c r="AU54" s="39"/>
      <c r="AV54" s="38">
        <f>_xlfn.IFNA(IF(VLOOKUP(A54,'Actual Dates'!A:AE,31,0)="","",VLOOKUP(A54,'Actual Dates'!A:AE,31,0)),"")</f>
        <v>46111</v>
      </c>
      <c r="AW54" s="40"/>
    </row>
    <row r="55" spans="1:49" ht="23.25" x14ac:dyDescent="0.25">
      <c r="A55" s="12" t="str">
        <f>'Actual Dates'!A54</f>
        <v>25-069</v>
      </c>
      <c r="B55" s="13" t="str">
        <f t="shared" si="0"/>
        <v>Reco</v>
      </c>
      <c r="C55" s="35"/>
      <c r="D55" s="36" t="str">
        <f t="shared" si="9"/>
        <v>Y</v>
      </c>
      <c r="E55" s="37">
        <f t="shared" si="10"/>
        <v>5</v>
      </c>
      <c r="F55" s="36" t="str">
        <f t="shared" si="11"/>
        <v>Y</v>
      </c>
      <c r="G55" s="37" t="str">
        <f t="shared" si="12"/>
        <v/>
      </c>
      <c r="H55" s="36" t="str">
        <f t="shared" si="1"/>
        <v>Y</v>
      </c>
      <c r="I55" s="37" t="str">
        <f t="shared" si="13"/>
        <v/>
      </c>
      <c r="J55" s="35"/>
      <c r="K55" s="36" t="str">
        <f t="shared" si="14"/>
        <v>Y</v>
      </c>
      <c r="L55" s="37">
        <f t="shared" si="15"/>
        <v>5</v>
      </c>
      <c r="M55" s="37">
        <f t="shared" si="2"/>
        <v>4</v>
      </c>
      <c r="N55" s="36" t="str">
        <f t="shared" si="16"/>
        <v>Y</v>
      </c>
      <c r="O55" s="37">
        <f t="shared" si="17"/>
        <v>266</v>
      </c>
      <c r="P55" s="36" t="str">
        <f t="shared" si="18"/>
        <v>Y</v>
      </c>
      <c r="Q55" s="37">
        <f t="shared" si="19"/>
        <v>-265</v>
      </c>
      <c r="R55" s="36" t="str">
        <f t="shared" si="20"/>
        <v>Y</v>
      </c>
      <c r="S55" s="37">
        <f t="shared" si="21"/>
        <v>-5</v>
      </c>
      <c r="T55" s="36" t="str">
        <f t="shared" si="22"/>
        <v>Y</v>
      </c>
      <c r="U55" s="37">
        <f t="shared" si="23"/>
        <v>-12</v>
      </c>
      <c r="V55" s="36" t="str">
        <f t="shared" si="24"/>
        <v>Y</v>
      </c>
      <c r="W55" s="37">
        <f t="shared" si="25"/>
        <v>-17</v>
      </c>
      <c r="X55" s="36" t="str">
        <f t="shared" si="26"/>
        <v>Y</v>
      </c>
      <c r="Y55" s="37">
        <f t="shared" si="27"/>
        <v>186</v>
      </c>
      <c r="Z55" s="36" t="str">
        <f t="shared" si="28"/>
        <v>Y</v>
      </c>
      <c r="AA55" s="37">
        <f t="shared" si="29"/>
        <v>-17</v>
      </c>
      <c r="AB55" s="36" t="str">
        <f t="shared" si="30"/>
        <v>Y</v>
      </c>
      <c r="AC55" s="37">
        <f t="shared" si="31"/>
        <v>174</v>
      </c>
      <c r="AD55" s="36" t="str">
        <f t="shared" si="32"/>
        <v>Y</v>
      </c>
      <c r="AE55" s="37" t="str">
        <f t="shared" si="33"/>
        <v xml:space="preserve">  </v>
      </c>
      <c r="AF55" s="38">
        <f ca="1">_xlfn.IFNA(IF(AG55="",TODAY()+(VLOOKUP(A55,'Date Calcs'!A:G,7,0)*7),VLOOKUP(A55,'Actual Dates'!A:AE,21,FALSE())),"")</f>
        <v>46139</v>
      </c>
      <c r="AG55" s="38">
        <f>IF(VLOOKUP(A55,'Actual Dates'!A:AE,20,0)="","",VLOOKUP(A55,'Actual Dates'!A:AE,20,0))</f>
        <v>45873</v>
      </c>
      <c r="AH55" s="38" t="str">
        <f>_xlfn.IFNA(IF($AG55="","",IF(X55="Y","DONE",VLOOKUP(A55,'Ship Date'!A:AE,27,0))),"")</f>
        <v>DONE</v>
      </c>
      <c r="AI55" s="12">
        <f t="shared" ca="1" si="3"/>
        <v>0</v>
      </c>
      <c r="AJ55" s="38" t="str">
        <f>_xlfn.IFNA(IF($AG55="","",IF(AB55="Y","DONE",VLOOKUP(A55,'Ship Date'!A:AG,29,0))),"")</f>
        <v>DONE</v>
      </c>
      <c r="AK55" s="12">
        <f t="shared" ca="1" si="4"/>
        <v>0</v>
      </c>
      <c r="AL55" s="38" t="str">
        <f>_xlfn.IFNA(IF($AG55="","",IF(Z55="Y","DONE",VLOOKUP(A55,'Ship Date'!A:AI,28,0))),"")</f>
        <v>DONE</v>
      </c>
      <c r="AM55" s="12">
        <f t="shared" ca="1" si="5"/>
        <v>0</v>
      </c>
      <c r="AN55" s="38" t="str">
        <f>_xlfn.IFNA(IF(T55="Y","DONE",VLOOKUP(A55,'Ship Date'!A:AE,25,0)),"")</f>
        <v>DONE</v>
      </c>
      <c r="AO55" s="12">
        <f t="shared" si="6"/>
        <v>0</v>
      </c>
      <c r="AP55" s="38" t="str">
        <f>_xlfn.IFNA(IF(AD55="Y","DONE",VLOOKUP(A55,'Ship Date'!A:AE,30,0)),"")</f>
        <v>DONE</v>
      </c>
      <c r="AQ55" s="12">
        <f t="shared" ca="1" si="7"/>
        <v>0</v>
      </c>
      <c r="AR55" s="38" t="str">
        <f>IFERROR(_xlfn.IFNA(VLOOKUP(A55,'Ship Date'!A:C,3,0),""),"")</f>
        <v/>
      </c>
      <c r="AS55" s="12" t="str">
        <f t="shared" ca="1" si="8"/>
        <v/>
      </c>
      <c r="AT55" s="38" t="str">
        <f>_xlfn.IFNA(IF(VLOOKUP(A55,'Actual Dates'!A:AF,32,0)="N/A"," ",VLOOKUP(A55,'Actual Dates'!A:AF,32,0))," ")</f>
        <v xml:space="preserve"> </v>
      </c>
      <c r="AU55" s="39"/>
      <c r="AV55" s="38" t="str">
        <f>_xlfn.IFNA(IF(VLOOKUP(A55,'Actual Dates'!A:AE,31,0)="","",VLOOKUP(A55,'Actual Dates'!A:AE,31,0)),"")</f>
        <v/>
      </c>
      <c r="AW55" s="40"/>
    </row>
    <row r="56" spans="1:49" ht="23.25" x14ac:dyDescent="0.25">
      <c r="A56" s="12" t="str">
        <f>'Actual Dates'!A55</f>
        <v>25-070</v>
      </c>
      <c r="B56" s="13" t="str">
        <f t="shared" si="0"/>
        <v>Reco</v>
      </c>
      <c r="C56" s="35"/>
      <c r="D56" s="36" t="str">
        <f t="shared" si="9"/>
        <v>Y</v>
      </c>
      <c r="E56" s="37">
        <f t="shared" si="10"/>
        <v>5</v>
      </c>
      <c r="F56" s="36" t="str">
        <f t="shared" si="11"/>
        <v>Y</v>
      </c>
      <c r="G56" s="37" t="str">
        <f t="shared" si="12"/>
        <v/>
      </c>
      <c r="H56" s="36" t="str">
        <f t="shared" si="1"/>
        <v>Y</v>
      </c>
      <c r="I56" s="37" t="str">
        <f t="shared" si="13"/>
        <v/>
      </c>
      <c r="J56" s="35"/>
      <c r="K56" s="36" t="str">
        <f t="shared" si="14"/>
        <v>Y</v>
      </c>
      <c r="L56" s="37">
        <f t="shared" si="15"/>
        <v>5</v>
      </c>
      <c r="M56" s="37">
        <f t="shared" si="2"/>
        <v>4</v>
      </c>
      <c r="N56" s="36" t="str">
        <f t="shared" si="16"/>
        <v>Y</v>
      </c>
      <c r="O56" s="37">
        <f t="shared" si="17"/>
        <v>294</v>
      </c>
      <c r="P56" s="36" t="str">
        <f t="shared" si="18"/>
        <v>Y</v>
      </c>
      <c r="Q56" s="37">
        <f t="shared" si="19"/>
        <v>-293</v>
      </c>
      <c r="R56" s="36" t="str">
        <f t="shared" si="20"/>
        <v>Y</v>
      </c>
      <c r="S56" s="37">
        <f t="shared" si="21"/>
        <v>-5</v>
      </c>
      <c r="T56" s="36" t="str">
        <f t="shared" si="22"/>
        <v>Y</v>
      </c>
      <c r="U56" s="37">
        <f t="shared" si="23"/>
        <v>-12</v>
      </c>
      <c r="V56" s="36" t="str">
        <f t="shared" si="24"/>
        <v>Y</v>
      </c>
      <c r="W56" s="37">
        <f t="shared" si="25"/>
        <v>-17</v>
      </c>
      <c r="X56" s="36" t="str">
        <f t="shared" si="26"/>
        <v>Y</v>
      </c>
      <c r="Y56" s="37">
        <f t="shared" si="27"/>
        <v>186</v>
      </c>
      <c r="Z56" s="36" t="str">
        <f t="shared" si="28"/>
        <v>Y</v>
      </c>
      <c r="AA56" s="37">
        <f t="shared" si="29"/>
        <v>-17</v>
      </c>
      <c r="AB56" s="36" t="str">
        <f t="shared" si="30"/>
        <v>Y</v>
      </c>
      <c r="AC56" s="37">
        <f t="shared" si="31"/>
        <v>183</v>
      </c>
      <c r="AD56" s="36" t="str">
        <f t="shared" si="32"/>
        <v>Y</v>
      </c>
      <c r="AE56" s="37" t="str">
        <f t="shared" si="33"/>
        <v xml:space="preserve">  </v>
      </c>
      <c r="AF56" s="38">
        <f ca="1">_xlfn.IFNA(IF(AG56="",TODAY()+(VLOOKUP(A56,'Date Calcs'!A:G,7,0)*7),VLOOKUP(A56,'Actual Dates'!A:AE,21,FALSE())),"")</f>
        <v>46167</v>
      </c>
      <c r="AG56" s="38">
        <f>IF(VLOOKUP(A56,'Actual Dates'!A:AE,20,0)="","",VLOOKUP(A56,'Actual Dates'!A:AE,20,0))</f>
        <v>45873</v>
      </c>
      <c r="AH56" s="38" t="str">
        <f>_xlfn.IFNA(IF($AG56="","",IF(X56="Y","DONE",VLOOKUP(A56,'Ship Date'!A:AE,27,0))),"")</f>
        <v>DONE</v>
      </c>
      <c r="AI56" s="12">
        <f t="shared" ca="1" si="3"/>
        <v>0</v>
      </c>
      <c r="AJ56" s="38" t="str">
        <f>_xlfn.IFNA(IF($AG56="","",IF(AB56="Y","DONE",VLOOKUP(A56,'Ship Date'!A:AG,29,0))),"")</f>
        <v>DONE</v>
      </c>
      <c r="AK56" s="12">
        <f t="shared" ca="1" si="4"/>
        <v>0</v>
      </c>
      <c r="AL56" s="38" t="str">
        <f>_xlfn.IFNA(IF($AG56="","",IF(Z56="Y","DONE",VLOOKUP(A56,'Ship Date'!A:AI,28,0))),"")</f>
        <v>DONE</v>
      </c>
      <c r="AM56" s="12">
        <f t="shared" ca="1" si="5"/>
        <v>0</v>
      </c>
      <c r="AN56" s="38" t="str">
        <f>_xlfn.IFNA(IF(T56="Y","DONE",VLOOKUP(A56,'Ship Date'!A:AE,25,0)),"")</f>
        <v>DONE</v>
      </c>
      <c r="AO56" s="12">
        <f t="shared" si="6"/>
        <v>0</v>
      </c>
      <c r="AP56" s="38" t="str">
        <f>_xlfn.IFNA(IF(AD56="Y","DONE",VLOOKUP(A56,'Ship Date'!A:AE,30,0)),"")</f>
        <v>DONE</v>
      </c>
      <c r="AQ56" s="12">
        <f t="shared" ca="1" si="7"/>
        <v>0</v>
      </c>
      <c r="AR56" s="38" t="str">
        <f>IFERROR(_xlfn.IFNA(VLOOKUP(A56,'Ship Date'!A:C,3,0),""),"")</f>
        <v/>
      </c>
      <c r="AS56" s="12" t="str">
        <f t="shared" ca="1" si="8"/>
        <v/>
      </c>
      <c r="AT56" s="38" t="str">
        <f>_xlfn.IFNA(IF(VLOOKUP(A56,'Actual Dates'!A:AF,32,0)="N/A"," ",VLOOKUP(A56,'Actual Dates'!A:AF,32,0))," ")</f>
        <v xml:space="preserve"> </v>
      </c>
      <c r="AU56" s="39"/>
      <c r="AV56" s="38" t="str">
        <f>_xlfn.IFNA(IF(VLOOKUP(A56,'Actual Dates'!A:AE,31,0)="","",VLOOKUP(A56,'Actual Dates'!A:AE,31,0)),"")</f>
        <v/>
      </c>
      <c r="AW56" s="40"/>
    </row>
    <row r="57" spans="1:49" ht="23.25" x14ac:dyDescent="0.25">
      <c r="A57" s="12" t="str">
        <f>'Actual Dates'!A56</f>
        <v>25-071</v>
      </c>
      <c r="B57" s="13" t="str">
        <f t="shared" si="0"/>
        <v>Reco</v>
      </c>
      <c r="C57" s="35"/>
      <c r="D57" s="36" t="str">
        <f t="shared" si="9"/>
        <v>Y</v>
      </c>
      <c r="E57" s="37">
        <f t="shared" si="10"/>
        <v>5</v>
      </c>
      <c r="F57" s="36" t="str">
        <f t="shared" si="11"/>
        <v>Y</v>
      </c>
      <c r="G57" s="37" t="str">
        <f t="shared" si="12"/>
        <v/>
      </c>
      <c r="H57" s="36" t="str">
        <f t="shared" si="1"/>
        <v>Y</v>
      </c>
      <c r="I57" s="37" t="str">
        <f t="shared" si="13"/>
        <v/>
      </c>
      <c r="J57" s="35"/>
      <c r="K57" s="36" t="str">
        <f t="shared" si="14"/>
        <v>Y</v>
      </c>
      <c r="L57" s="37">
        <f t="shared" si="15"/>
        <v>5</v>
      </c>
      <c r="M57" s="37">
        <f t="shared" si="2"/>
        <v>4</v>
      </c>
      <c r="N57" s="36" t="str">
        <f t="shared" si="16"/>
        <v>Y</v>
      </c>
      <c r="O57" s="37">
        <f t="shared" si="17"/>
        <v>294</v>
      </c>
      <c r="P57" s="36" t="str">
        <f t="shared" si="18"/>
        <v>Y</v>
      </c>
      <c r="Q57" s="37">
        <f t="shared" si="19"/>
        <v>-293</v>
      </c>
      <c r="R57" s="36" t="str">
        <f t="shared" si="20"/>
        <v>Y</v>
      </c>
      <c r="S57" s="37">
        <f t="shared" si="21"/>
        <v>-5</v>
      </c>
      <c r="T57" s="36" t="str">
        <f t="shared" si="22"/>
        <v>Y</v>
      </c>
      <c r="U57" s="37">
        <f t="shared" si="23"/>
        <v>-12</v>
      </c>
      <c r="V57" s="36" t="str">
        <f t="shared" si="24"/>
        <v>Y</v>
      </c>
      <c r="W57" s="37">
        <f t="shared" si="25"/>
        <v>-17</v>
      </c>
      <c r="X57" s="36" t="str">
        <f t="shared" si="26"/>
        <v>Y</v>
      </c>
      <c r="Y57" s="37">
        <f t="shared" si="27"/>
        <v>186</v>
      </c>
      <c r="Z57" s="36" t="str">
        <f t="shared" si="28"/>
        <v>Y</v>
      </c>
      <c r="AA57" s="37">
        <f t="shared" si="29"/>
        <v>-17</v>
      </c>
      <c r="AB57" s="36" t="str">
        <f t="shared" si="30"/>
        <v>Y</v>
      </c>
      <c r="AC57" s="37">
        <f t="shared" si="31"/>
        <v>183</v>
      </c>
      <c r="AD57" s="36" t="str">
        <f t="shared" si="32"/>
        <v>Y</v>
      </c>
      <c r="AE57" s="37" t="str">
        <f t="shared" si="33"/>
        <v xml:space="preserve">  </v>
      </c>
      <c r="AF57" s="38">
        <f ca="1">_xlfn.IFNA(IF(AG57="",TODAY()+(VLOOKUP(A57,'Date Calcs'!A:G,7,0)*7),VLOOKUP(A57,'Actual Dates'!A:AE,21,FALSE())),"")</f>
        <v>46167</v>
      </c>
      <c r="AG57" s="38">
        <f>IF(VLOOKUP(A57,'Actual Dates'!A:AE,20,0)="","",VLOOKUP(A57,'Actual Dates'!A:AE,20,0))</f>
        <v>45873</v>
      </c>
      <c r="AH57" s="38" t="str">
        <f>_xlfn.IFNA(IF($AG57="","",IF(X57="Y","DONE",VLOOKUP(A57,'Ship Date'!A:AE,27,0))),"")</f>
        <v>DONE</v>
      </c>
      <c r="AI57" s="12">
        <f t="shared" ca="1" si="3"/>
        <v>0</v>
      </c>
      <c r="AJ57" s="38" t="str">
        <f>_xlfn.IFNA(IF($AG57="","",IF(AB57="Y","DONE",VLOOKUP(A57,'Ship Date'!A:AG,29,0))),"")</f>
        <v>DONE</v>
      </c>
      <c r="AK57" s="12">
        <f t="shared" ca="1" si="4"/>
        <v>0</v>
      </c>
      <c r="AL57" s="38" t="str">
        <f>_xlfn.IFNA(IF($AG57="","",IF(Z57="Y","DONE",VLOOKUP(A57,'Ship Date'!A:AI,28,0))),"")</f>
        <v>DONE</v>
      </c>
      <c r="AM57" s="12">
        <f t="shared" ca="1" si="5"/>
        <v>0</v>
      </c>
      <c r="AN57" s="38" t="str">
        <f>_xlfn.IFNA(IF(T57="Y","DONE",VLOOKUP(A57,'Ship Date'!A:AE,25,0)),"")</f>
        <v>DONE</v>
      </c>
      <c r="AO57" s="12">
        <f t="shared" si="6"/>
        <v>0</v>
      </c>
      <c r="AP57" s="38" t="str">
        <f>_xlfn.IFNA(IF(AD57="Y","DONE",VLOOKUP(A57,'Ship Date'!A:AE,30,0)),"")</f>
        <v>DONE</v>
      </c>
      <c r="AQ57" s="12">
        <f t="shared" ca="1" si="7"/>
        <v>0</v>
      </c>
      <c r="AR57" s="38" t="str">
        <f>IFERROR(_xlfn.IFNA(VLOOKUP(A57,'Ship Date'!A:C,3,0),""),"")</f>
        <v/>
      </c>
      <c r="AS57" s="12" t="str">
        <f t="shared" ca="1" si="8"/>
        <v/>
      </c>
      <c r="AT57" s="38" t="str">
        <f>_xlfn.IFNA(IF(VLOOKUP(A57,'Actual Dates'!A:AF,32,0)="N/A"," ",VLOOKUP(A57,'Actual Dates'!A:AF,32,0))," ")</f>
        <v xml:space="preserve"> </v>
      </c>
      <c r="AU57" s="39"/>
      <c r="AV57" s="38" t="str">
        <f>_xlfn.IFNA(IF(VLOOKUP(A57,'Actual Dates'!A:AE,31,0)="","",VLOOKUP(A57,'Actual Dates'!A:AE,31,0)),"")</f>
        <v/>
      </c>
      <c r="AW57" s="40"/>
    </row>
    <row r="58" spans="1:49" ht="23.25" hidden="1" x14ac:dyDescent="0.25">
      <c r="A58" s="12" t="str">
        <f>'Actual Dates'!A57</f>
        <v>25-072</v>
      </c>
      <c r="B58" s="13" t="str">
        <f t="shared" si="0"/>
        <v>Burke Industrial</v>
      </c>
      <c r="C58" s="35"/>
      <c r="D58" s="36" t="str">
        <f t="shared" si="9"/>
        <v>Y</v>
      </c>
      <c r="E58" s="37">
        <f t="shared" si="10"/>
        <v>-4</v>
      </c>
      <c r="F58" s="36" t="str">
        <f t="shared" si="11"/>
        <v>Y</v>
      </c>
      <c r="G58" s="37" t="str">
        <f t="shared" si="12"/>
        <v/>
      </c>
      <c r="H58" s="36" t="str">
        <f t="shared" si="1"/>
        <v>Y</v>
      </c>
      <c r="I58" s="37" t="str">
        <f t="shared" si="13"/>
        <v/>
      </c>
      <c r="J58" s="35"/>
      <c r="K58" s="36" t="str">
        <f t="shared" si="14"/>
        <v>Y</v>
      </c>
      <c r="L58" s="37">
        <f t="shared" si="15"/>
        <v>5</v>
      </c>
      <c r="M58" s="37">
        <f t="shared" si="2"/>
        <v>4</v>
      </c>
      <c r="N58" s="36" t="str">
        <f t="shared" si="16"/>
        <v>Y</v>
      </c>
      <c r="O58" s="37">
        <f t="shared" si="17"/>
        <v>91</v>
      </c>
      <c r="P58" s="36" t="str">
        <f t="shared" si="18"/>
        <v>Y</v>
      </c>
      <c r="Q58" s="37">
        <f t="shared" si="19"/>
        <v>-87</v>
      </c>
      <c r="R58" s="36" t="str">
        <f t="shared" si="20"/>
        <v>Y</v>
      </c>
      <c r="S58" s="37">
        <f t="shared" si="21"/>
        <v>0</v>
      </c>
      <c r="T58" s="36" t="str">
        <f t="shared" si="22"/>
        <v>Y</v>
      </c>
      <c r="U58" s="37">
        <f t="shared" si="23"/>
        <v>-7</v>
      </c>
      <c r="V58" s="36" t="str">
        <f t="shared" si="24"/>
        <v>Y</v>
      </c>
      <c r="W58" s="37">
        <f t="shared" si="25"/>
        <v>-5</v>
      </c>
      <c r="X58" s="36" t="str">
        <f t="shared" si="26"/>
        <v>Y</v>
      </c>
      <c r="Y58" s="37" t="str">
        <f t="shared" si="27"/>
        <v xml:space="preserve">  </v>
      </c>
      <c r="Z58" s="36" t="str">
        <f t="shared" si="28"/>
        <v xml:space="preserve">  </v>
      </c>
      <c r="AA58" s="37" t="str">
        <f t="shared" si="29"/>
        <v xml:space="preserve">  </v>
      </c>
      <c r="AB58" s="36" t="str">
        <f t="shared" si="30"/>
        <v xml:space="preserve">  </v>
      </c>
      <c r="AC58" s="37">
        <f t="shared" si="31"/>
        <v>1</v>
      </c>
      <c r="AD58" s="36" t="str">
        <f t="shared" si="32"/>
        <v>Y</v>
      </c>
      <c r="AE58" s="37">
        <f t="shared" si="33"/>
        <v>63</v>
      </c>
      <c r="AF58" s="38">
        <f ca="1">_xlfn.IFNA(IF(AG58="",TODAY()+(VLOOKUP(A58,'Date Calcs'!A:G,7,0)*7),VLOOKUP(A58,'Actual Dates'!A:AE,21,FALSE())),"")</f>
        <v>45943</v>
      </c>
      <c r="AG58" s="38">
        <f>_xlfn.IFNA(IF(VLOOKUP(A58,'Actual Dates'!A:AE,20,0)="","",VLOOKUP(A58,'Actual Dates'!A:AE,20,0)+(VLOOKUP(A58,'Date Calcs'!A:X,22,0)*7)),"")</f>
        <v>45852</v>
      </c>
      <c r="AH58" s="38" t="str">
        <f>_xlfn.IFNA(IF($AG58="","",IF(X58="Y","DONE",VLOOKUP(A58,'Ship Date'!A:AE,27,0))),"")</f>
        <v>DONE</v>
      </c>
      <c r="AI58" s="12">
        <f t="shared" ca="1" si="3"/>
        <v>0</v>
      </c>
      <c r="AJ58" s="38" t="str">
        <f>_xlfn.IFNA(IF($AG58="","",IF(AB58="Y","DONE",VLOOKUP(A58,'Ship Date'!A:AG,29,0))),"")</f>
        <v/>
      </c>
      <c r="AK58" s="12">
        <f t="shared" ca="1" si="4"/>
        <v>0</v>
      </c>
      <c r="AL58" s="38" t="str">
        <f>_xlfn.IFNA(IF($AG58="","",IF(Z58="Y","DONE",VLOOKUP(A58,'Ship Date'!A:AI,28,0))),"")</f>
        <v/>
      </c>
      <c r="AM58" s="12">
        <f t="shared" ca="1" si="5"/>
        <v>0</v>
      </c>
      <c r="AN58" s="38" t="str">
        <f>_xlfn.IFNA(IF(T58="Y","DONE",VLOOKUP(A58,'Ship Date'!A:AE,25,0)),"")</f>
        <v>DONE</v>
      </c>
      <c r="AO58" s="12">
        <f t="shared" si="6"/>
        <v>0</v>
      </c>
      <c r="AP58" s="38" t="str">
        <f>_xlfn.IFNA(IF(AD58="Y","DONE",VLOOKUP(A58,'Ship Date'!A:AE,30,0)),"")</f>
        <v>DONE</v>
      </c>
      <c r="AQ58" s="12">
        <f t="shared" ca="1" si="7"/>
        <v>0</v>
      </c>
      <c r="AR58" s="38" t="str">
        <f>IFERROR(_xlfn.IFNA(VLOOKUP(A58,'Ship Date'!A:C,3,0),""),"")</f>
        <v/>
      </c>
      <c r="AS58" s="12" t="str">
        <f t="shared" ca="1" si="8"/>
        <v/>
      </c>
      <c r="AT58" s="38"/>
      <c r="AU58" s="41"/>
      <c r="AV58" s="38">
        <f>_xlfn.IFNA(IF(VLOOKUP(A58,'Actual Dates'!A:AE,31,0)="","",VLOOKUP(A58,'Actual Dates'!A:AE,31,0)),"")</f>
        <v>45922</v>
      </c>
      <c r="AW58" s="40"/>
    </row>
    <row r="59" spans="1:49" ht="23.25" hidden="1" x14ac:dyDescent="0.25">
      <c r="A59" s="12" t="str">
        <f>'Actual Dates'!A58</f>
        <v>25-073</v>
      </c>
      <c r="B59" s="13" t="str">
        <f t="shared" si="0"/>
        <v>Burke Industrial</v>
      </c>
      <c r="C59" s="35"/>
      <c r="D59" s="36" t="str">
        <f t="shared" si="9"/>
        <v>Y</v>
      </c>
      <c r="E59" s="37">
        <f t="shared" si="10"/>
        <v>-4</v>
      </c>
      <c r="F59" s="36" t="str">
        <f t="shared" si="11"/>
        <v>Y</v>
      </c>
      <c r="G59" s="37" t="str">
        <f t="shared" si="12"/>
        <v/>
      </c>
      <c r="H59" s="36" t="str">
        <f t="shared" si="1"/>
        <v>Y</v>
      </c>
      <c r="I59" s="37" t="str">
        <f t="shared" si="13"/>
        <v/>
      </c>
      <c r="J59" s="35"/>
      <c r="K59" s="36" t="str">
        <f t="shared" si="14"/>
        <v>Y</v>
      </c>
      <c r="L59" s="37">
        <f t="shared" si="15"/>
        <v>5</v>
      </c>
      <c r="M59" s="37">
        <f t="shared" si="2"/>
        <v>4</v>
      </c>
      <c r="N59" s="36" t="str">
        <f t="shared" si="16"/>
        <v>Y</v>
      </c>
      <c r="O59" s="37">
        <f t="shared" si="17"/>
        <v>91</v>
      </c>
      <c r="P59" s="36" t="str">
        <f t="shared" si="18"/>
        <v>Y</v>
      </c>
      <c r="Q59" s="37">
        <f t="shared" si="19"/>
        <v>-87</v>
      </c>
      <c r="R59" s="36" t="str">
        <f t="shared" si="20"/>
        <v>Y</v>
      </c>
      <c r="S59" s="37">
        <f t="shared" si="21"/>
        <v>0</v>
      </c>
      <c r="T59" s="36" t="str">
        <f t="shared" si="22"/>
        <v>Y</v>
      </c>
      <c r="U59" s="37">
        <f t="shared" si="23"/>
        <v>-7</v>
      </c>
      <c r="V59" s="36" t="str">
        <f t="shared" si="24"/>
        <v>Y</v>
      </c>
      <c r="W59" s="37">
        <f t="shared" si="25"/>
        <v>-5</v>
      </c>
      <c r="X59" s="36" t="str">
        <f t="shared" si="26"/>
        <v>Y</v>
      </c>
      <c r="Y59" s="37" t="str">
        <f t="shared" si="27"/>
        <v xml:space="preserve">  </v>
      </c>
      <c r="Z59" s="36" t="str">
        <f t="shared" si="28"/>
        <v xml:space="preserve">  </v>
      </c>
      <c r="AA59" s="37" t="str">
        <f t="shared" si="29"/>
        <v xml:space="preserve">  </v>
      </c>
      <c r="AB59" s="36" t="str">
        <f t="shared" si="30"/>
        <v xml:space="preserve">  </v>
      </c>
      <c r="AC59" s="37">
        <f t="shared" si="31"/>
        <v>1</v>
      </c>
      <c r="AD59" s="36" t="str">
        <f t="shared" si="32"/>
        <v>Y</v>
      </c>
      <c r="AE59" s="37">
        <f t="shared" si="33"/>
        <v>66</v>
      </c>
      <c r="AF59" s="38">
        <f ca="1">_xlfn.IFNA(IF(AG59="",TODAY()+(VLOOKUP(A59,'Date Calcs'!A:G,7,0)*7),VLOOKUP(A59,'Actual Dates'!A:AE,21,FALSE())),"")</f>
        <v>45943</v>
      </c>
      <c r="AG59" s="38">
        <f>_xlfn.IFNA(IF(VLOOKUP(A59,'Actual Dates'!A:AE,20,0)="","",VLOOKUP(A59,'Actual Dates'!A:AE,20,0)+(VLOOKUP(A59,'Date Calcs'!A:X,22,0)*7)),"")</f>
        <v>45852</v>
      </c>
      <c r="AH59" s="38" t="str">
        <f>_xlfn.IFNA(IF($AG59="","",IF(X59="Y","DONE",VLOOKUP(A59,'Ship Date'!A:AE,27,0))),"")</f>
        <v>DONE</v>
      </c>
      <c r="AI59" s="12">
        <f t="shared" ca="1" si="3"/>
        <v>0</v>
      </c>
      <c r="AJ59" s="38" t="str">
        <f>_xlfn.IFNA(IF($AG59="","",IF(AB59="Y","DONE",VLOOKUP(A59,'Ship Date'!A:AG,29,0))),"")</f>
        <v/>
      </c>
      <c r="AK59" s="12">
        <f t="shared" ca="1" si="4"/>
        <v>0</v>
      </c>
      <c r="AL59" s="38" t="str">
        <f>_xlfn.IFNA(IF($AG59="","",IF(Z59="Y","DONE",VLOOKUP(A59,'Ship Date'!A:AI,28,0))),"")</f>
        <v/>
      </c>
      <c r="AM59" s="12">
        <f t="shared" ca="1" si="5"/>
        <v>0</v>
      </c>
      <c r="AN59" s="38" t="str">
        <f>_xlfn.IFNA(IF(T59="Y","DONE",VLOOKUP(A59,'Ship Date'!A:AE,25,0)),"")</f>
        <v>DONE</v>
      </c>
      <c r="AO59" s="12">
        <f t="shared" si="6"/>
        <v>0</v>
      </c>
      <c r="AP59" s="38" t="str">
        <f>_xlfn.IFNA(IF(AD59="Y","DONE",VLOOKUP(A59,'Ship Date'!A:AE,30,0)),"")</f>
        <v>DONE</v>
      </c>
      <c r="AQ59" s="12">
        <f t="shared" ca="1" si="7"/>
        <v>0</v>
      </c>
      <c r="AR59" s="38" t="str">
        <f>IFERROR(_xlfn.IFNA(VLOOKUP(A59,'Ship Date'!A:C,3,0),""),"")</f>
        <v/>
      </c>
      <c r="AS59" s="12" t="str">
        <f t="shared" ca="1" si="8"/>
        <v/>
      </c>
      <c r="AT59" s="38"/>
      <c r="AU59" s="41"/>
      <c r="AV59" s="38">
        <f>_xlfn.IFNA(IF(VLOOKUP(A59,'Actual Dates'!A:AE,31,0)="","",VLOOKUP(A59,'Actual Dates'!A:AE,31,0)),"")</f>
        <v>45925</v>
      </c>
      <c r="AW59" s="40"/>
    </row>
    <row r="60" spans="1:49" ht="23.25" hidden="1" x14ac:dyDescent="0.25">
      <c r="A60" s="12" t="str">
        <f>'Actual Dates'!A59</f>
        <v>25-074</v>
      </c>
      <c r="B60" s="13" t="str">
        <f t="shared" si="0"/>
        <v>Kemira</v>
      </c>
      <c r="C60" s="35"/>
      <c r="D60" s="36" t="str">
        <f t="shared" si="9"/>
        <v>Y</v>
      </c>
      <c r="E60" s="37">
        <f t="shared" si="10"/>
        <v>9</v>
      </c>
      <c r="F60" s="36" t="str">
        <f t="shared" si="11"/>
        <v>Y</v>
      </c>
      <c r="G60" s="37" t="str">
        <f t="shared" si="12"/>
        <v/>
      </c>
      <c r="H60" s="36" t="str">
        <f t="shared" si="1"/>
        <v>Y</v>
      </c>
      <c r="I60" s="37" t="str">
        <f t="shared" si="13"/>
        <v/>
      </c>
      <c r="J60" s="35"/>
      <c r="K60" s="36" t="str">
        <f t="shared" si="14"/>
        <v>Y</v>
      </c>
      <c r="L60" s="37">
        <f t="shared" si="15"/>
        <v>3</v>
      </c>
      <c r="M60" s="37">
        <f t="shared" si="2"/>
        <v>2</v>
      </c>
      <c r="N60" s="36" t="str">
        <f t="shared" si="16"/>
        <v>Y</v>
      </c>
      <c r="O60" s="37">
        <f t="shared" si="17"/>
        <v>96</v>
      </c>
      <c r="P60" s="36" t="str">
        <f t="shared" si="18"/>
        <v>Y</v>
      </c>
      <c r="Q60" s="37">
        <f t="shared" si="19"/>
        <v>-92</v>
      </c>
      <c r="R60" s="36" t="str">
        <f t="shared" si="20"/>
        <v>Y</v>
      </c>
      <c r="S60" s="37">
        <f t="shared" si="21"/>
        <v>1</v>
      </c>
      <c r="T60" s="36" t="str">
        <f t="shared" si="22"/>
        <v>Y</v>
      </c>
      <c r="U60" s="37">
        <f t="shared" si="23"/>
        <v>-6</v>
      </c>
      <c r="V60" s="36" t="str">
        <f t="shared" si="24"/>
        <v>Y</v>
      </c>
      <c r="W60" s="37">
        <f t="shared" si="25"/>
        <v>34</v>
      </c>
      <c r="X60" s="36" t="str">
        <f t="shared" si="26"/>
        <v>Y</v>
      </c>
      <c r="Y60" s="37" t="str">
        <f t="shared" si="27"/>
        <v xml:space="preserve">  </v>
      </c>
      <c r="Z60" s="36" t="str">
        <f t="shared" si="28"/>
        <v xml:space="preserve">  </v>
      </c>
      <c r="AA60" s="37" t="str">
        <f t="shared" si="29"/>
        <v xml:space="preserve">  </v>
      </c>
      <c r="AB60" s="36" t="str">
        <f t="shared" si="30"/>
        <v xml:space="preserve">  </v>
      </c>
      <c r="AC60" s="37">
        <f t="shared" si="31"/>
        <v>34</v>
      </c>
      <c r="AD60" s="36" t="str">
        <f t="shared" si="32"/>
        <v>Y</v>
      </c>
      <c r="AE60" s="37">
        <f t="shared" si="33"/>
        <v>139</v>
      </c>
      <c r="AF60" s="38">
        <f ca="1">_xlfn.IFNA(IF(AG60="",TODAY()+(VLOOKUP(A60,'Date Calcs'!A:G,7,0)*7),VLOOKUP(A60,'Actual Dates'!A:AE,21,FALSE())),"")</f>
        <v>45958</v>
      </c>
      <c r="AG60" s="38">
        <f>_xlfn.IFNA(IF(VLOOKUP(A60,'Actual Dates'!A:AE,20,0)="","",VLOOKUP(A60,'Actual Dates'!A:AE,20,0)+(VLOOKUP(A60,'Date Calcs'!A:X,22,0)*7)),"")</f>
        <v>45860</v>
      </c>
      <c r="AH60" s="38" t="str">
        <f>_xlfn.IFNA(IF($AG60="","",IF(X60="Y","DONE",VLOOKUP(A60,'Ship Date'!A:AE,27,0))),"")</f>
        <v>DONE</v>
      </c>
      <c r="AI60" s="12">
        <f t="shared" ca="1" si="3"/>
        <v>0</v>
      </c>
      <c r="AJ60" s="38" t="str">
        <f>_xlfn.IFNA(IF($AG60="","",IF(AB60="Y","DONE",VLOOKUP(A60,'Ship Date'!A:AG,29,0))),"")</f>
        <v/>
      </c>
      <c r="AK60" s="12">
        <f t="shared" ca="1" si="4"/>
        <v>0</v>
      </c>
      <c r="AL60" s="38" t="str">
        <f>_xlfn.IFNA(IF($AG60="","",IF(Z60="Y","DONE",VLOOKUP(A60,'Ship Date'!A:AI,28,0))),"")</f>
        <v/>
      </c>
      <c r="AM60" s="12">
        <f t="shared" ca="1" si="5"/>
        <v>0</v>
      </c>
      <c r="AN60" s="38" t="str">
        <f>_xlfn.IFNA(IF(T60="Y","DONE",VLOOKUP(A60,'Ship Date'!A:AE,25,0)),"")</f>
        <v>DONE</v>
      </c>
      <c r="AO60" s="12">
        <f t="shared" si="6"/>
        <v>0</v>
      </c>
      <c r="AP60" s="38" t="str">
        <f>_xlfn.IFNA(IF(AD60="Y","DONE",VLOOKUP(A60,'Ship Date'!A:AE,30,0)),"")</f>
        <v>DONE</v>
      </c>
      <c r="AQ60" s="12">
        <f t="shared" ca="1" si="7"/>
        <v>0</v>
      </c>
      <c r="AR60" s="38" t="str">
        <f>IFERROR(_xlfn.IFNA(VLOOKUP(A60,'Ship Date'!A:C,3,0),""),"")</f>
        <v/>
      </c>
      <c r="AS60" s="12" t="str">
        <f t="shared" ca="1" si="8"/>
        <v/>
      </c>
      <c r="AT60" s="38"/>
      <c r="AU60" s="41"/>
      <c r="AV60" s="38">
        <f>_xlfn.IFNA(IF(VLOOKUP(A60,'Actual Dates'!A:AE,31,0)="","",VLOOKUP(A60,'Actual Dates'!A:AE,31,0)),"")</f>
        <v>46008</v>
      </c>
      <c r="AW60" s="40"/>
    </row>
    <row r="61" spans="1:49" ht="23.25" hidden="1" x14ac:dyDescent="0.25">
      <c r="A61" s="12" t="str">
        <f>'Actual Dates'!A60</f>
        <v>25-075</v>
      </c>
      <c r="B61" s="13" t="str">
        <f t="shared" si="0"/>
        <v>Kemira</v>
      </c>
      <c r="C61" s="35"/>
      <c r="D61" s="36" t="str">
        <f t="shared" si="9"/>
        <v>Y</v>
      </c>
      <c r="E61" s="37">
        <f t="shared" si="10"/>
        <v>9</v>
      </c>
      <c r="F61" s="36" t="str">
        <f t="shared" si="11"/>
        <v>Y</v>
      </c>
      <c r="G61" s="37" t="str">
        <f t="shared" si="12"/>
        <v/>
      </c>
      <c r="H61" s="36" t="str">
        <f t="shared" si="1"/>
        <v>Y</v>
      </c>
      <c r="I61" s="37">
        <f t="shared" si="13"/>
        <v>-5</v>
      </c>
      <c r="J61" s="35"/>
      <c r="K61" s="36" t="str">
        <f t="shared" si="14"/>
        <v>Y</v>
      </c>
      <c r="L61" s="37">
        <f t="shared" si="15"/>
        <v>2</v>
      </c>
      <c r="M61" s="37">
        <f t="shared" si="2"/>
        <v>1</v>
      </c>
      <c r="N61" s="36" t="str">
        <f t="shared" si="16"/>
        <v>Y</v>
      </c>
      <c r="O61" s="37">
        <f t="shared" si="17"/>
        <v>95</v>
      </c>
      <c r="P61" s="36" t="str">
        <f t="shared" si="18"/>
        <v>Y</v>
      </c>
      <c r="Q61" s="37">
        <f t="shared" si="19"/>
        <v>-92</v>
      </c>
      <c r="R61" s="36" t="str">
        <f t="shared" si="20"/>
        <v>Y</v>
      </c>
      <c r="S61" s="37">
        <f t="shared" si="21"/>
        <v>0</v>
      </c>
      <c r="T61" s="36" t="str">
        <f t="shared" si="22"/>
        <v>Y</v>
      </c>
      <c r="U61" s="37">
        <f t="shared" si="23"/>
        <v>-7</v>
      </c>
      <c r="V61" s="36" t="str">
        <f t="shared" si="24"/>
        <v>Y</v>
      </c>
      <c r="W61" s="37">
        <f t="shared" si="25"/>
        <v>47</v>
      </c>
      <c r="X61" s="36" t="str">
        <f t="shared" si="26"/>
        <v>Y</v>
      </c>
      <c r="Y61" s="37" t="str">
        <f t="shared" si="27"/>
        <v xml:space="preserve">  </v>
      </c>
      <c r="Z61" s="36" t="str">
        <f t="shared" si="28"/>
        <v xml:space="preserve">  </v>
      </c>
      <c r="AA61" s="37" t="str">
        <f t="shared" si="29"/>
        <v xml:space="preserve">  </v>
      </c>
      <c r="AB61" s="36" t="str">
        <f t="shared" si="30"/>
        <v xml:space="preserve">  </v>
      </c>
      <c r="AC61" s="37">
        <f t="shared" si="31"/>
        <v>54</v>
      </c>
      <c r="AD61" s="36" t="str">
        <f t="shared" si="32"/>
        <v>Y</v>
      </c>
      <c r="AE61" s="37">
        <f t="shared" si="33"/>
        <v>96</v>
      </c>
      <c r="AF61" s="38">
        <f ca="1">_xlfn.IFNA(IF(AG61="",TODAY()+(VLOOKUP(A61,'Date Calcs'!A:G,7,0)*7),VLOOKUP(A61,'Actual Dates'!A:AE,21,FALSE())),"")</f>
        <v>45986</v>
      </c>
      <c r="AG61" s="38">
        <f>_xlfn.IFNA(IF(VLOOKUP(A61,'Actual Dates'!A:AE,20,0)="","",VLOOKUP(A61,'Actual Dates'!A:AE,20,0)+(VLOOKUP(A61,'Date Calcs'!A:X,22,0)*7)),"")</f>
        <v>45888</v>
      </c>
      <c r="AH61" s="38" t="str">
        <f>_xlfn.IFNA(IF($AG61="","",IF(X61="Y","DONE",VLOOKUP(A61,'Ship Date'!A:AE,27,0))),"")</f>
        <v>DONE</v>
      </c>
      <c r="AI61" s="12">
        <f t="shared" ca="1" si="3"/>
        <v>0</v>
      </c>
      <c r="AJ61" s="38" t="str">
        <f>_xlfn.IFNA(IF($AG61="","",IF(AB61="Y","DONE",VLOOKUP(A61,'Ship Date'!A:AG,29,0))),"")</f>
        <v/>
      </c>
      <c r="AK61" s="12">
        <f t="shared" ca="1" si="4"/>
        <v>0</v>
      </c>
      <c r="AL61" s="38" t="str">
        <f>_xlfn.IFNA(IF($AG61="","",IF(Z61="Y","DONE",VLOOKUP(A61,'Ship Date'!A:AI,28,0))),"")</f>
        <v/>
      </c>
      <c r="AM61" s="12">
        <f t="shared" ca="1" si="5"/>
        <v>0</v>
      </c>
      <c r="AN61" s="38" t="str">
        <f>_xlfn.IFNA(IF(T61="Y","DONE",VLOOKUP(A61,'Ship Date'!A:AE,25,0)),"")</f>
        <v>DONE</v>
      </c>
      <c r="AO61" s="12">
        <f t="shared" si="6"/>
        <v>0</v>
      </c>
      <c r="AP61" s="38" t="str">
        <f>_xlfn.IFNA(IF(AD61="Y","DONE",VLOOKUP(A61,'Ship Date'!A:AE,30,0)),"")</f>
        <v>DONE</v>
      </c>
      <c r="AQ61" s="12">
        <f t="shared" ca="1" si="7"/>
        <v>0</v>
      </c>
      <c r="AR61" s="38" t="str">
        <f>IFERROR(_xlfn.IFNA(VLOOKUP(A61,'Ship Date'!A:C,3,0),""),"")</f>
        <v/>
      </c>
      <c r="AS61" s="12" t="str">
        <f t="shared" ca="1" si="8"/>
        <v/>
      </c>
      <c r="AT61" s="38"/>
      <c r="AU61" s="41"/>
      <c r="AV61" s="38">
        <f>_xlfn.IFNA(IF(VLOOKUP(A61,'Actual Dates'!A:AE,31,0)="","",VLOOKUP(A61,'Actual Dates'!A:AE,31,0)),"")</f>
        <v>45994</v>
      </c>
      <c r="AW61" s="40"/>
    </row>
    <row r="62" spans="1:49" ht="23.25" hidden="1" x14ac:dyDescent="0.25">
      <c r="A62" s="12" t="str">
        <f>'Actual Dates'!A61</f>
        <v>25-076</v>
      </c>
      <c r="B62" s="13" t="str">
        <f t="shared" si="0"/>
        <v>Irving tissue</v>
      </c>
      <c r="C62" s="35"/>
      <c r="D62" s="36" t="str">
        <f t="shared" si="9"/>
        <v>Y</v>
      </c>
      <c r="E62" s="37">
        <f t="shared" si="10"/>
        <v>13</v>
      </c>
      <c r="F62" s="36" t="str">
        <f t="shared" si="11"/>
        <v>Y</v>
      </c>
      <c r="G62" s="37" t="str">
        <f t="shared" si="12"/>
        <v/>
      </c>
      <c r="H62" s="36" t="str">
        <f t="shared" si="1"/>
        <v>Y</v>
      </c>
      <c r="I62" s="37">
        <f t="shared" si="13"/>
        <v>-8</v>
      </c>
      <c r="J62" s="35"/>
      <c r="K62" s="36" t="str">
        <f t="shared" si="14"/>
        <v>Y</v>
      </c>
      <c r="L62" s="37">
        <f t="shared" si="15"/>
        <v>5</v>
      </c>
      <c r="M62" s="37">
        <f t="shared" si="2"/>
        <v>4</v>
      </c>
      <c r="N62" s="36" t="str">
        <f t="shared" si="16"/>
        <v>Y</v>
      </c>
      <c r="O62" s="37">
        <f t="shared" si="17"/>
        <v>182</v>
      </c>
      <c r="P62" s="36" t="str">
        <f t="shared" si="18"/>
        <v>Y</v>
      </c>
      <c r="Q62" s="37">
        <f t="shared" si="19"/>
        <v>-181</v>
      </c>
      <c r="R62" s="36" t="str">
        <f t="shared" si="20"/>
        <v>Y</v>
      </c>
      <c r="S62" s="37">
        <f t="shared" si="21"/>
        <v>-5</v>
      </c>
      <c r="T62" s="36" t="str">
        <f t="shared" si="22"/>
        <v>Y</v>
      </c>
      <c r="U62" s="37">
        <f t="shared" si="23"/>
        <v>-12</v>
      </c>
      <c r="V62" s="36" t="str">
        <f t="shared" si="24"/>
        <v>Y</v>
      </c>
      <c r="W62" s="37">
        <f t="shared" si="25"/>
        <v>-5</v>
      </c>
      <c r="X62" s="36" t="str">
        <f t="shared" si="26"/>
        <v>Y</v>
      </c>
      <c r="Y62" s="37" t="str">
        <f t="shared" si="27"/>
        <v xml:space="preserve">  </v>
      </c>
      <c r="Z62" s="36" t="str">
        <f t="shared" si="28"/>
        <v xml:space="preserve">  </v>
      </c>
      <c r="AA62" s="37" t="str">
        <f t="shared" si="29"/>
        <v xml:space="preserve">  </v>
      </c>
      <c r="AB62" s="36" t="str">
        <f t="shared" si="30"/>
        <v xml:space="preserve">  </v>
      </c>
      <c r="AC62" s="37">
        <f t="shared" si="31"/>
        <v>-6</v>
      </c>
      <c r="AD62" s="36" t="str">
        <f t="shared" si="32"/>
        <v>Y</v>
      </c>
      <c r="AE62" s="37">
        <f t="shared" si="33"/>
        <v>35</v>
      </c>
      <c r="AF62" s="38">
        <f ca="1">_xlfn.IFNA(IF(AG62="",TODAY()+(VLOOKUP(A62,'Date Calcs'!A:G,7,0)*7),VLOOKUP(A62,'Actual Dates'!A:AE,21,FALSE())),"")</f>
        <v>46070</v>
      </c>
      <c r="AG62" s="38">
        <f>_xlfn.IFNA(IF(VLOOKUP(A62,'Actual Dates'!A:AE,20,0)="","",VLOOKUP(A62,'Actual Dates'!A:AE,20,0)+(VLOOKUP(A62,'Date Calcs'!A:X,22,0)*7)),"")</f>
        <v>45888</v>
      </c>
      <c r="AH62" s="38" t="str">
        <f>_xlfn.IFNA(IF($AG62="","",IF(X62="Y","DONE",VLOOKUP(A62,'Ship Date'!A:AE,27,0))),"")</f>
        <v>DONE</v>
      </c>
      <c r="AI62" s="12">
        <f t="shared" ca="1" si="3"/>
        <v>0</v>
      </c>
      <c r="AJ62" s="38" t="str">
        <f>_xlfn.IFNA(IF($AG62="","",IF(AB62="Y","DONE",VLOOKUP(A62,'Ship Date'!A:AG,29,0))),"")</f>
        <v/>
      </c>
      <c r="AK62" s="12">
        <f t="shared" ca="1" si="4"/>
        <v>0</v>
      </c>
      <c r="AL62" s="38" t="str">
        <f>_xlfn.IFNA(IF($AG62="","",IF(Z62="Y","DONE",VLOOKUP(A62,'Ship Date'!A:AI,28,0))),"")</f>
        <v/>
      </c>
      <c r="AM62" s="12">
        <f t="shared" ca="1" si="5"/>
        <v>0</v>
      </c>
      <c r="AN62" s="38" t="str">
        <f>_xlfn.IFNA(IF(T62="Y","DONE",VLOOKUP(A62,'Ship Date'!A:AE,25,0)),"")</f>
        <v>DONE</v>
      </c>
      <c r="AO62" s="12">
        <f t="shared" si="6"/>
        <v>0</v>
      </c>
      <c r="AP62" s="38" t="str">
        <f>_xlfn.IFNA(IF(AD62="Y","DONE",VLOOKUP(A62,'Ship Date'!A:AE,30,0)),"")</f>
        <v>DONE</v>
      </c>
      <c r="AQ62" s="12">
        <f t="shared" ca="1" si="7"/>
        <v>0</v>
      </c>
      <c r="AR62" s="38" t="str">
        <f>IFERROR(_xlfn.IFNA(VLOOKUP(A62,'Ship Date'!A:C,3,0),""),"")</f>
        <v/>
      </c>
      <c r="AS62" s="12" t="str">
        <f t="shared" ca="1" si="8"/>
        <v/>
      </c>
      <c r="AT62" s="38"/>
      <c r="AU62" s="41"/>
      <c r="AV62" s="38">
        <f>_xlfn.IFNA(IF(VLOOKUP(A62,'Actual Dates'!A:AE,31,0)="","",VLOOKUP(A62,'Actual Dates'!A:AE,31,0)),"")</f>
        <v>45930</v>
      </c>
      <c r="AW62" s="40"/>
    </row>
    <row r="63" spans="1:49" ht="23.25" hidden="1" x14ac:dyDescent="0.25">
      <c r="A63" s="12" t="str">
        <f>'Actual Dates'!A62</f>
        <v>25-077</v>
      </c>
      <c r="B63" s="13" t="str">
        <f t="shared" si="0"/>
        <v>Epic Systems</v>
      </c>
      <c r="C63" s="35"/>
      <c r="D63" s="36" t="str">
        <f t="shared" si="9"/>
        <v>Y</v>
      </c>
      <c r="E63" s="37">
        <f t="shared" si="10"/>
        <v>7</v>
      </c>
      <c r="F63" s="36" t="str">
        <f t="shared" si="11"/>
        <v>Y</v>
      </c>
      <c r="G63" s="37" t="str">
        <f t="shared" si="12"/>
        <v/>
      </c>
      <c r="H63" s="36" t="str">
        <f t="shared" si="1"/>
        <v>Y</v>
      </c>
      <c r="I63" s="37">
        <f t="shared" si="13"/>
        <v>-12</v>
      </c>
      <c r="J63" s="35"/>
      <c r="K63" s="36" t="str">
        <f t="shared" si="14"/>
        <v>Y</v>
      </c>
      <c r="L63" s="37">
        <f t="shared" si="15"/>
        <v>5</v>
      </c>
      <c r="M63" s="37">
        <f t="shared" si="2"/>
        <v>4</v>
      </c>
      <c r="N63" s="36" t="str">
        <f t="shared" si="16"/>
        <v>Y</v>
      </c>
      <c r="O63" s="37">
        <f t="shared" si="17"/>
        <v>182</v>
      </c>
      <c r="P63" s="36" t="str">
        <f t="shared" si="18"/>
        <v>Y</v>
      </c>
      <c r="Q63" s="37">
        <f t="shared" si="19"/>
        <v>-174</v>
      </c>
      <c r="R63" s="36" t="str">
        <f t="shared" si="20"/>
        <v>Y</v>
      </c>
      <c r="S63" s="37">
        <f t="shared" si="21"/>
        <v>3</v>
      </c>
      <c r="T63" s="36" t="str">
        <f t="shared" si="22"/>
        <v>Y</v>
      </c>
      <c r="U63" s="37">
        <f t="shared" si="23"/>
        <v>-96</v>
      </c>
      <c r="V63" s="36" t="str">
        <f t="shared" si="24"/>
        <v>Y</v>
      </c>
      <c r="W63" s="37">
        <f t="shared" si="25"/>
        <v>45</v>
      </c>
      <c r="X63" s="36" t="str">
        <f t="shared" si="26"/>
        <v>Y</v>
      </c>
      <c r="Y63" s="37" t="str">
        <f t="shared" si="27"/>
        <v xml:space="preserve">  </v>
      </c>
      <c r="Z63" s="36" t="str">
        <f t="shared" si="28"/>
        <v xml:space="preserve">  </v>
      </c>
      <c r="AA63" s="37" t="str">
        <f t="shared" si="29"/>
        <v xml:space="preserve">  </v>
      </c>
      <c r="AB63" s="36" t="str">
        <f t="shared" si="30"/>
        <v xml:space="preserve">  </v>
      </c>
      <c r="AC63" s="37">
        <f t="shared" si="31"/>
        <v>52</v>
      </c>
      <c r="AD63" s="36" t="str">
        <f t="shared" si="32"/>
        <v>Y</v>
      </c>
      <c r="AE63" s="37">
        <f t="shared" si="33"/>
        <v>127</v>
      </c>
      <c r="AF63" s="38">
        <f ca="1">_xlfn.IFNA(IF(AG63="",TODAY()+(VLOOKUP(A63,'Date Calcs'!A:G,7,0)*7),VLOOKUP(A63,'Actual Dates'!A:AE,21,FALSE())),"")</f>
        <v>46076</v>
      </c>
      <c r="AG63" s="38">
        <f>_xlfn.IFNA(IF(VLOOKUP(A63,'Actual Dates'!A:AE,20,0)="","",VLOOKUP(A63,'Actual Dates'!A:AE,20,0)+(VLOOKUP(A63,'Date Calcs'!A:X,22,0)*7)),"")</f>
        <v>45894</v>
      </c>
      <c r="AH63" s="38" t="str">
        <f>_xlfn.IFNA(IF($AG63="","",IF(X63="Y","DONE",VLOOKUP(A63,'Ship Date'!A:AE,27,0))),"")</f>
        <v>DONE</v>
      </c>
      <c r="AI63" s="12">
        <f t="shared" ca="1" si="3"/>
        <v>0</v>
      </c>
      <c r="AJ63" s="38" t="str">
        <f>_xlfn.IFNA(IF($AG63="","",IF(AB63="Y","DONE",VLOOKUP(A63,'Ship Date'!A:AG,29,0))),"")</f>
        <v/>
      </c>
      <c r="AK63" s="12">
        <f t="shared" ca="1" si="4"/>
        <v>0</v>
      </c>
      <c r="AL63" s="38" t="str">
        <f>_xlfn.IFNA(IF($AG63="","",IF(Z63="Y","DONE",VLOOKUP(A63,'Ship Date'!A:AI,28,0))),"")</f>
        <v/>
      </c>
      <c r="AM63" s="12">
        <f t="shared" ca="1" si="5"/>
        <v>0</v>
      </c>
      <c r="AN63" s="38" t="str">
        <f>_xlfn.IFNA(IF(T63="Y","DONE",VLOOKUP(A63,'Ship Date'!A:AE,25,0)),"")</f>
        <v>DONE</v>
      </c>
      <c r="AO63" s="12">
        <f t="shared" si="6"/>
        <v>0</v>
      </c>
      <c r="AP63" s="38" t="str">
        <f>_xlfn.IFNA(IF(AD63="Y","DONE",VLOOKUP(A63,'Ship Date'!A:AE,30,0)),"")</f>
        <v>DONE</v>
      </c>
      <c r="AQ63" s="12">
        <f t="shared" ca="1" si="7"/>
        <v>0</v>
      </c>
      <c r="AR63" s="38" t="str">
        <f>IFERROR(_xlfn.IFNA(VLOOKUP(A63,'Ship Date'!A:C,3,0),""),"")</f>
        <v/>
      </c>
      <c r="AS63" s="12" t="str">
        <f t="shared" ca="1" si="8"/>
        <v/>
      </c>
      <c r="AT63" s="38"/>
      <c r="AU63" s="41"/>
      <c r="AV63" s="38">
        <f>_xlfn.IFNA(IF(VLOOKUP(A63,'Actual Dates'!A:AE,31,0)="","",VLOOKUP(A63,'Actual Dates'!A:AE,31,0)),"")</f>
        <v>46028</v>
      </c>
      <c r="AW63" s="40"/>
    </row>
    <row r="64" spans="1:49" ht="23.25" hidden="1" x14ac:dyDescent="0.25">
      <c r="A64" s="12" t="str">
        <f>'Actual Dates'!A63</f>
        <v>25-078</v>
      </c>
      <c r="B64" s="13" t="str">
        <f t="shared" si="0"/>
        <v>Epic Systems</v>
      </c>
      <c r="C64" s="35"/>
      <c r="D64" s="36" t="str">
        <f t="shared" si="9"/>
        <v>Y</v>
      </c>
      <c r="E64" s="37">
        <f t="shared" si="10"/>
        <v>5</v>
      </c>
      <c r="F64" s="36" t="str">
        <f t="shared" si="11"/>
        <v>Y</v>
      </c>
      <c r="G64" s="37" t="str">
        <f t="shared" si="12"/>
        <v/>
      </c>
      <c r="H64" s="36" t="str">
        <f t="shared" si="1"/>
        <v>Y</v>
      </c>
      <c r="I64" s="37">
        <f t="shared" si="13"/>
        <v>0</v>
      </c>
      <c r="J64" s="35"/>
      <c r="K64" s="36" t="str">
        <f t="shared" si="14"/>
        <v>Y</v>
      </c>
      <c r="L64" s="37">
        <f t="shared" si="15"/>
        <v>5</v>
      </c>
      <c r="M64" s="37">
        <f t="shared" si="2"/>
        <v>4</v>
      </c>
      <c r="N64" s="36" t="str">
        <f t="shared" si="16"/>
        <v>Y</v>
      </c>
      <c r="O64" s="37">
        <f t="shared" si="17"/>
        <v>182</v>
      </c>
      <c r="P64" s="36" t="str">
        <f t="shared" si="18"/>
        <v>Y</v>
      </c>
      <c r="Q64" s="37">
        <f t="shared" si="19"/>
        <v>-174</v>
      </c>
      <c r="R64" s="36" t="str">
        <f t="shared" si="20"/>
        <v>Y</v>
      </c>
      <c r="S64" s="37">
        <f t="shared" si="21"/>
        <v>2</v>
      </c>
      <c r="T64" s="36" t="str">
        <f t="shared" si="22"/>
        <v>Y</v>
      </c>
      <c r="U64" s="37">
        <f t="shared" si="23"/>
        <v>-5</v>
      </c>
      <c r="V64" s="36" t="str">
        <f t="shared" si="24"/>
        <v>Y</v>
      </c>
      <c r="W64" s="37">
        <f t="shared" si="25"/>
        <v>45</v>
      </c>
      <c r="X64" s="36" t="str">
        <f t="shared" si="26"/>
        <v>Y</v>
      </c>
      <c r="Y64" s="37" t="str">
        <f t="shared" si="27"/>
        <v xml:space="preserve">  </v>
      </c>
      <c r="Z64" s="36" t="str">
        <f t="shared" si="28"/>
        <v xml:space="preserve">  </v>
      </c>
      <c r="AA64" s="37" t="str">
        <f t="shared" si="29"/>
        <v xml:space="preserve">  </v>
      </c>
      <c r="AB64" s="36" t="str">
        <f t="shared" si="30"/>
        <v xml:space="preserve">  </v>
      </c>
      <c r="AC64" s="37">
        <f t="shared" si="31"/>
        <v>57</v>
      </c>
      <c r="AD64" s="36" t="str">
        <f t="shared" si="32"/>
        <v>Y</v>
      </c>
      <c r="AE64" s="37">
        <f t="shared" si="33"/>
        <v>127</v>
      </c>
      <c r="AF64" s="38">
        <f ca="1">_xlfn.IFNA(IF(AG64="",TODAY()+(VLOOKUP(A64,'Date Calcs'!A:G,7,0)*7),VLOOKUP(A64,'Actual Dates'!A:AE,21,FALSE())),"")</f>
        <v>46076</v>
      </c>
      <c r="AG64" s="38">
        <f>_xlfn.IFNA(IF(VLOOKUP(A64,'Actual Dates'!A:AE,20,0)="","",VLOOKUP(A64,'Actual Dates'!A:AE,20,0)+(VLOOKUP(A64,'Date Calcs'!A:X,22,0)*7)),"")</f>
        <v>45894</v>
      </c>
      <c r="AH64" s="38" t="str">
        <f>_xlfn.IFNA(IF($AG64="","",IF(X64="Y","DONE",VLOOKUP(A64,'Ship Date'!A:AE,27,0))),"")</f>
        <v>DONE</v>
      </c>
      <c r="AI64" s="12">
        <f t="shared" ca="1" si="3"/>
        <v>0</v>
      </c>
      <c r="AJ64" s="38" t="str">
        <f>_xlfn.IFNA(IF($AG64="","",IF(AB64="Y","DONE",VLOOKUP(A64,'Ship Date'!A:AG,29,0))),"")</f>
        <v/>
      </c>
      <c r="AK64" s="12">
        <f t="shared" ca="1" si="4"/>
        <v>0</v>
      </c>
      <c r="AL64" s="38" t="str">
        <f>_xlfn.IFNA(IF($AG64="","",IF(Z64="Y","DONE",VLOOKUP(A64,'Ship Date'!A:AI,28,0))),"")</f>
        <v/>
      </c>
      <c r="AM64" s="12">
        <f t="shared" ca="1" si="5"/>
        <v>0</v>
      </c>
      <c r="AN64" s="38" t="str">
        <f>_xlfn.IFNA(IF(T64="Y","DONE",VLOOKUP(A64,'Ship Date'!A:AE,25,0)),"")</f>
        <v>DONE</v>
      </c>
      <c r="AO64" s="12">
        <f t="shared" si="6"/>
        <v>0</v>
      </c>
      <c r="AP64" s="38" t="str">
        <f>_xlfn.IFNA(IF(AD64="Y","DONE",VLOOKUP(A64,'Ship Date'!A:AE,30,0)),"")</f>
        <v>DONE</v>
      </c>
      <c r="AQ64" s="12">
        <f t="shared" ca="1" si="7"/>
        <v>0</v>
      </c>
      <c r="AR64" s="38" t="str">
        <f>IFERROR(_xlfn.IFNA(VLOOKUP(A64,'Ship Date'!A:C,3,0),""),"")</f>
        <v/>
      </c>
      <c r="AS64" s="12" t="str">
        <f t="shared" ca="1" si="8"/>
        <v/>
      </c>
      <c r="AT64" s="38"/>
      <c r="AU64" s="41"/>
      <c r="AV64" s="38">
        <f>_xlfn.IFNA(IF(VLOOKUP(A64,'Actual Dates'!A:AE,31,0)="","",VLOOKUP(A64,'Actual Dates'!A:AE,31,0)),"")</f>
        <v>46028</v>
      </c>
      <c r="AW64" s="40"/>
    </row>
    <row r="65" spans="1:49" ht="23.25" hidden="1" x14ac:dyDescent="0.25">
      <c r="A65" s="12" t="str">
        <f>'Actual Dates'!A64</f>
        <v>25-079</v>
      </c>
      <c r="B65" s="13" t="str">
        <f t="shared" si="0"/>
        <v>Epic Systems</v>
      </c>
      <c r="C65" s="35"/>
      <c r="D65" s="36" t="str">
        <f t="shared" si="9"/>
        <v>Y</v>
      </c>
      <c r="E65" s="37">
        <f t="shared" si="10"/>
        <v>5</v>
      </c>
      <c r="F65" s="36" t="str">
        <f t="shared" si="11"/>
        <v>Y</v>
      </c>
      <c r="G65" s="37" t="str">
        <f t="shared" si="12"/>
        <v/>
      </c>
      <c r="H65" s="36" t="str">
        <f t="shared" si="1"/>
        <v>Y</v>
      </c>
      <c r="I65" s="37">
        <f t="shared" si="13"/>
        <v>-7</v>
      </c>
      <c r="J65" s="35"/>
      <c r="K65" s="36" t="str">
        <f t="shared" si="14"/>
        <v>Y</v>
      </c>
      <c r="L65" s="37">
        <f t="shared" si="15"/>
        <v>5</v>
      </c>
      <c r="M65" s="37">
        <f t="shared" si="2"/>
        <v>4</v>
      </c>
      <c r="N65" s="36" t="str">
        <f t="shared" si="16"/>
        <v>Y</v>
      </c>
      <c r="O65" s="37">
        <f t="shared" si="17"/>
        <v>182</v>
      </c>
      <c r="P65" s="36" t="str">
        <f t="shared" si="18"/>
        <v>Y</v>
      </c>
      <c r="Q65" s="37">
        <f t="shared" si="19"/>
        <v>-174</v>
      </c>
      <c r="R65" s="36" t="str">
        <f t="shared" si="20"/>
        <v>Y</v>
      </c>
      <c r="S65" s="37">
        <f t="shared" si="21"/>
        <v>2</v>
      </c>
      <c r="T65" s="36" t="str">
        <f t="shared" si="22"/>
        <v>Y</v>
      </c>
      <c r="U65" s="37">
        <f t="shared" si="23"/>
        <v>-5</v>
      </c>
      <c r="V65" s="36" t="str">
        <f t="shared" si="24"/>
        <v>Y</v>
      </c>
      <c r="W65" s="37">
        <f t="shared" si="25"/>
        <v>45</v>
      </c>
      <c r="X65" s="36" t="str">
        <f t="shared" si="26"/>
        <v>Y</v>
      </c>
      <c r="Y65" s="37" t="str">
        <f t="shared" si="27"/>
        <v xml:space="preserve">  </v>
      </c>
      <c r="Z65" s="36" t="str">
        <f t="shared" si="28"/>
        <v xml:space="preserve">  </v>
      </c>
      <c r="AA65" s="37" t="str">
        <f t="shared" si="29"/>
        <v xml:space="preserve">  </v>
      </c>
      <c r="AB65" s="36" t="str">
        <f t="shared" si="30"/>
        <v xml:space="preserve">  </v>
      </c>
      <c r="AC65" s="37">
        <f t="shared" si="31"/>
        <v>57</v>
      </c>
      <c r="AD65" s="36" t="str">
        <f t="shared" si="32"/>
        <v>Y</v>
      </c>
      <c r="AE65" s="37">
        <f t="shared" si="33"/>
        <v>127</v>
      </c>
      <c r="AF65" s="38">
        <f ca="1">_xlfn.IFNA(IF(AG65="",TODAY()+(VLOOKUP(A65,'Date Calcs'!A:G,7,0)*7),VLOOKUP(A65,'Actual Dates'!A:AE,21,FALSE())),"")</f>
        <v>46076</v>
      </c>
      <c r="AG65" s="38">
        <f>_xlfn.IFNA(IF(VLOOKUP(A65,'Actual Dates'!A:AE,20,0)="","",VLOOKUP(A65,'Actual Dates'!A:AE,20,0)+(VLOOKUP(A65,'Date Calcs'!A:X,22,0)*7)),"")</f>
        <v>45894</v>
      </c>
      <c r="AH65" s="38" t="str">
        <f>_xlfn.IFNA(IF($AG65="","",IF(X65="Y","DONE",VLOOKUP(A65,'Ship Date'!A:AE,27,0))),"")</f>
        <v>DONE</v>
      </c>
      <c r="AI65" s="12">
        <f t="shared" ca="1" si="3"/>
        <v>0</v>
      </c>
      <c r="AJ65" s="38" t="str">
        <f>_xlfn.IFNA(IF($AG65="","",IF(AB65="Y","DONE",VLOOKUP(A65,'Ship Date'!A:AG,29,0))),"")</f>
        <v/>
      </c>
      <c r="AK65" s="12">
        <f t="shared" ca="1" si="4"/>
        <v>0</v>
      </c>
      <c r="AL65" s="38" t="str">
        <f>_xlfn.IFNA(IF($AG65="","",IF(Z65="Y","DONE",VLOOKUP(A65,'Ship Date'!A:AI,28,0))),"")</f>
        <v/>
      </c>
      <c r="AM65" s="12">
        <f t="shared" ca="1" si="5"/>
        <v>0</v>
      </c>
      <c r="AN65" s="38" t="str">
        <f>_xlfn.IFNA(IF(T65="Y","DONE",VLOOKUP(A65,'Ship Date'!A:AE,25,0)),"")</f>
        <v>DONE</v>
      </c>
      <c r="AO65" s="12">
        <f t="shared" si="6"/>
        <v>0</v>
      </c>
      <c r="AP65" s="38" t="str">
        <f>_xlfn.IFNA(IF(AD65="Y","DONE",VLOOKUP(A65,'Ship Date'!A:AE,30,0)),"")</f>
        <v>DONE</v>
      </c>
      <c r="AQ65" s="12">
        <f t="shared" ca="1" si="7"/>
        <v>0</v>
      </c>
      <c r="AR65" s="38" t="str">
        <f>IFERROR(_xlfn.IFNA(VLOOKUP(A65,'Ship Date'!A:C,3,0),""),"")</f>
        <v/>
      </c>
      <c r="AS65" s="12" t="str">
        <f t="shared" ca="1" si="8"/>
        <v/>
      </c>
      <c r="AT65" s="38"/>
      <c r="AU65" s="41"/>
      <c r="AV65" s="38">
        <f>_xlfn.IFNA(IF(VLOOKUP(A65,'Actual Dates'!A:AE,31,0)="","",VLOOKUP(A65,'Actual Dates'!A:AE,31,0)),"")</f>
        <v>46028</v>
      </c>
      <c r="AW65" s="40"/>
    </row>
    <row r="66" spans="1:49" ht="23.25" hidden="1" x14ac:dyDescent="0.25">
      <c r="A66" s="12" t="str">
        <f>'Actual Dates'!A65</f>
        <v>25-080</v>
      </c>
      <c r="B66" s="13" t="str">
        <f t="shared" si="0"/>
        <v>Domtar</v>
      </c>
      <c r="C66" s="35"/>
      <c r="D66" s="36" t="str">
        <f t="shared" si="9"/>
        <v>Y</v>
      </c>
      <c r="E66" s="37">
        <f t="shared" si="10"/>
        <v>0</v>
      </c>
      <c r="F66" s="36" t="str">
        <f t="shared" si="11"/>
        <v>Y</v>
      </c>
      <c r="G66" s="37" t="str">
        <f t="shared" si="12"/>
        <v/>
      </c>
      <c r="H66" s="36" t="str">
        <f t="shared" si="1"/>
        <v xml:space="preserve">  </v>
      </c>
      <c r="I66" s="37" t="str">
        <f t="shared" si="13"/>
        <v xml:space="preserve">  </v>
      </c>
      <c r="J66" s="35"/>
      <c r="K66" s="36" t="str">
        <f t="shared" si="14"/>
        <v>Y</v>
      </c>
      <c r="L66" s="37">
        <f t="shared" si="15"/>
        <v>19</v>
      </c>
      <c r="M66" s="37">
        <f t="shared" si="2"/>
        <v>18</v>
      </c>
      <c r="N66" s="36" t="str">
        <f t="shared" si="16"/>
        <v>Y</v>
      </c>
      <c r="O66" s="37">
        <f t="shared" si="17"/>
        <v>196</v>
      </c>
      <c r="P66" s="36" t="str">
        <f t="shared" si="18"/>
        <v>Y</v>
      </c>
      <c r="Q66" s="37">
        <f t="shared" si="19"/>
        <v>-153</v>
      </c>
      <c r="R66" s="36" t="str">
        <f t="shared" si="20"/>
        <v>Y</v>
      </c>
      <c r="S66" s="37">
        <f t="shared" si="21"/>
        <v>27</v>
      </c>
      <c r="T66" s="36" t="str">
        <f t="shared" si="22"/>
        <v>Y</v>
      </c>
      <c r="U66" s="37">
        <f t="shared" si="23"/>
        <v>20</v>
      </c>
      <c r="V66" s="36" t="str">
        <f t="shared" si="24"/>
        <v>Y</v>
      </c>
      <c r="W66" s="37">
        <f t="shared" si="25"/>
        <v>33</v>
      </c>
      <c r="X66" s="36" t="str">
        <f t="shared" si="26"/>
        <v>Y</v>
      </c>
      <c r="Y66" s="37" t="str">
        <f t="shared" si="27"/>
        <v xml:space="preserve">  </v>
      </c>
      <c r="Z66" s="36" t="str">
        <f t="shared" si="28"/>
        <v xml:space="preserve">  </v>
      </c>
      <c r="AA66" s="37" t="str">
        <f t="shared" si="29"/>
        <v xml:space="preserve">  </v>
      </c>
      <c r="AB66" s="36" t="str">
        <f t="shared" si="30"/>
        <v xml:space="preserve">  </v>
      </c>
      <c r="AC66" s="37">
        <f t="shared" si="31"/>
        <v>69</v>
      </c>
      <c r="AD66" s="36" t="str">
        <f t="shared" si="32"/>
        <v>Y</v>
      </c>
      <c r="AE66" s="37">
        <f t="shared" si="33"/>
        <v>146</v>
      </c>
      <c r="AF66" s="38">
        <f ca="1">_xlfn.IFNA(IF(AG66="",TODAY()+(VLOOKUP(A66,'Date Calcs'!A:G,7,0)*7),VLOOKUP(A66,'Actual Dates'!A:AE,21,FALSE())),"")</f>
        <v>46072</v>
      </c>
      <c r="AG66" s="38">
        <f>_xlfn.IFNA(IF(VLOOKUP(A66,'Actual Dates'!A:AE,20,0)="","",VLOOKUP(A66,'Actual Dates'!A:AE,20,0)+(VLOOKUP(A66,'Date Calcs'!A:X,22,0)*7)),"")</f>
        <v>45890</v>
      </c>
      <c r="AH66" s="38" t="str">
        <f>_xlfn.IFNA(IF($AG66="","",IF(X66="Y","DONE",VLOOKUP(A66,'Ship Date'!A:AE,27,0))),"")</f>
        <v>DONE</v>
      </c>
      <c r="AI66" s="12">
        <f t="shared" ca="1" si="3"/>
        <v>0</v>
      </c>
      <c r="AJ66" s="38" t="str">
        <f>_xlfn.IFNA(IF($AG66="","",IF(AB66="Y","DONE",VLOOKUP(A66,'Ship Date'!A:AG,29,0))),"")</f>
        <v/>
      </c>
      <c r="AK66" s="12">
        <f t="shared" ca="1" si="4"/>
        <v>0</v>
      </c>
      <c r="AL66" s="38" t="str">
        <f>_xlfn.IFNA(IF($AG66="","",IF(Z66="Y","DONE",VLOOKUP(A66,'Ship Date'!A:AI,28,0))),"")</f>
        <v/>
      </c>
      <c r="AM66" s="12">
        <f t="shared" ca="1" si="5"/>
        <v>0</v>
      </c>
      <c r="AN66" s="38" t="str">
        <f>_xlfn.IFNA(IF(T66="Y","DONE",VLOOKUP(A66,'Ship Date'!A:AE,25,0)),"")</f>
        <v>DONE</v>
      </c>
      <c r="AO66" s="12">
        <f t="shared" si="6"/>
        <v>0</v>
      </c>
      <c r="AP66" s="38" t="str">
        <f>_xlfn.IFNA(IF(AD66="Y","DONE",VLOOKUP(A66,'Ship Date'!A:AE,30,0)),"")</f>
        <v>DONE</v>
      </c>
      <c r="AQ66" s="12">
        <f t="shared" ca="1" si="7"/>
        <v>0</v>
      </c>
      <c r="AR66" s="38" t="str">
        <f>IFERROR(_xlfn.IFNA(VLOOKUP(A66,'Ship Date'!A:C,3,0),""),"")</f>
        <v/>
      </c>
      <c r="AS66" s="12" t="str">
        <f t="shared" ca="1" si="8"/>
        <v/>
      </c>
      <c r="AT66" s="38"/>
      <c r="AU66" s="41"/>
      <c r="AV66" s="38">
        <f>_xlfn.IFNA(IF(VLOOKUP(A66,'Actual Dates'!A:AE,31,0)="","",VLOOKUP(A66,'Actual Dates'!A:AE,31,0)),"")</f>
        <v>46029</v>
      </c>
      <c r="AW66" s="40"/>
    </row>
    <row r="67" spans="1:49" ht="23.25" x14ac:dyDescent="0.25">
      <c r="A67" s="12" t="str">
        <f>'Actual Dates'!A66</f>
        <v>25-083</v>
      </c>
      <c r="B67" s="13" t="str">
        <f t="shared" si="0"/>
        <v>Synthomer</v>
      </c>
      <c r="C67" s="35"/>
      <c r="D67" s="36" t="str">
        <f t="shared" si="9"/>
        <v>Y</v>
      </c>
      <c r="E67" s="37">
        <f t="shared" si="10"/>
        <v>10</v>
      </c>
      <c r="F67" s="36" t="str">
        <f t="shared" si="11"/>
        <v>Y</v>
      </c>
      <c r="G67" s="37">
        <f t="shared" si="12"/>
        <v>-5</v>
      </c>
      <c r="H67" s="36" t="str">
        <f t="shared" si="1"/>
        <v>Y</v>
      </c>
      <c r="I67" s="37">
        <f t="shared" si="13"/>
        <v>7</v>
      </c>
      <c r="J67" s="35"/>
      <c r="K67" s="36" t="str">
        <f t="shared" si="14"/>
        <v>Y</v>
      </c>
      <c r="L67" s="37">
        <f t="shared" si="15"/>
        <v>-92</v>
      </c>
      <c r="M67" s="37">
        <f t="shared" si="2"/>
        <v>-93</v>
      </c>
      <c r="N67" s="36" t="str">
        <f t="shared" si="16"/>
        <v>Y</v>
      </c>
      <c r="O67" s="37">
        <f t="shared" si="17"/>
        <v>85</v>
      </c>
      <c r="P67" s="36" t="str">
        <f t="shared" si="18"/>
        <v>Y</v>
      </c>
      <c r="Q67" s="37">
        <f t="shared" si="19"/>
        <v>-273</v>
      </c>
      <c r="R67" s="36" t="str">
        <f t="shared" si="20"/>
        <v>Y</v>
      </c>
      <c r="S67" s="37">
        <f t="shared" si="21"/>
        <v>-97</v>
      </c>
      <c r="T67" s="36" t="str">
        <f t="shared" si="22"/>
        <v>Y</v>
      </c>
      <c r="U67" s="37">
        <f t="shared" si="23"/>
        <v>-104</v>
      </c>
      <c r="V67" s="36" t="str">
        <f t="shared" si="24"/>
        <v>Y</v>
      </c>
      <c r="W67" s="37">
        <f t="shared" si="25"/>
        <v>-91</v>
      </c>
      <c r="X67" s="36" t="str">
        <f t="shared" si="26"/>
        <v>Y</v>
      </c>
      <c r="Y67" s="37">
        <f t="shared" si="27"/>
        <v>-41</v>
      </c>
      <c r="Z67" s="36" t="str">
        <f t="shared" si="28"/>
        <v>Y</v>
      </c>
      <c r="AA67" s="37">
        <f t="shared" si="29"/>
        <v>-91</v>
      </c>
      <c r="AB67" s="36" t="str">
        <f t="shared" si="30"/>
        <v>Y</v>
      </c>
      <c r="AC67" s="37">
        <f t="shared" si="31"/>
        <v>-92</v>
      </c>
      <c r="AD67" s="36" t="str">
        <f t="shared" si="32"/>
        <v>Y</v>
      </c>
      <c r="AE67" s="37" t="str">
        <f t="shared" si="33"/>
        <v xml:space="preserve">  </v>
      </c>
      <c r="AF67" s="38">
        <f ca="1">_xlfn.IFNA(IF(AG67="",TODAY()+(VLOOKUP(A67,'Date Calcs'!A:G,7,0)*7),VLOOKUP(A67,'Actual Dates'!A:AE,21,FALSE())),"")</f>
        <v>46147</v>
      </c>
      <c r="AG67" s="38">
        <f>IF(VLOOKUP(A67,'Actual Dates'!A:AE,20,0)="","",VLOOKUP(A67,'Actual Dates'!A:AE,20,0))</f>
        <v>45965</v>
      </c>
      <c r="AH67" s="38" t="str">
        <f>_xlfn.IFNA(IF($AG67="","",IF(X67="Y","DONE",VLOOKUP(A67,'Ship Date'!A:AE,27,0))),"")</f>
        <v>DONE</v>
      </c>
      <c r="AI67" s="12">
        <f t="shared" ca="1" si="3"/>
        <v>0</v>
      </c>
      <c r="AJ67" s="38" t="str">
        <f>_xlfn.IFNA(IF($AG67="","",IF(AB67="Y","DONE",VLOOKUP(A67,'Ship Date'!A:AG,29,0))),"")</f>
        <v>DONE</v>
      </c>
      <c r="AK67" s="12">
        <f t="shared" ca="1" si="4"/>
        <v>0</v>
      </c>
      <c r="AL67" s="38" t="str">
        <f>_xlfn.IFNA(IF($AG67="","",IF(Z67="Y","DONE",VLOOKUP(A67,'Ship Date'!A:AI,28,0))),"")</f>
        <v>DONE</v>
      </c>
      <c r="AM67" s="12">
        <f t="shared" ca="1" si="5"/>
        <v>0</v>
      </c>
      <c r="AN67" s="38" t="str">
        <f>_xlfn.IFNA(IF(T67="Y","DONE",VLOOKUP(A67,'Ship Date'!A:AE,25,0)),"")</f>
        <v>DONE</v>
      </c>
      <c r="AO67" s="12">
        <f t="shared" si="6"/>
        <v>0</v>
      </c>
      <c r="AP67" s="38" t="str">
        <f>_xlfn.IFNA(IF(AD67="Y","DONE",VLOOKUP(A67,'Ship Date'!A:AE,30,0)),"")</f>
        <v>DONE</v>
      </c>
      <c r="AQ67" s="12">
        <f t="shared" ca="1" si="7"/>
        <v>0</v>
      </c>
      <c r="AR67" s="38" t="str">
        <f>IFERROR(_xlfn.IFNA(VLOOKUP(A67,'Ship Date'!A:C,3,0),""),"")</f>
        <v/>
      </c>
      <c r="AS67" s="12" t="str">
        <f t="shared" ca="1" si="8"/>
        <v/>
      </c>
      <c r="AT67" s="38" t="str">
        <f>_xlfn.IFNA(IF(VLOOKUP(A67,'Actual Dates'!A:AF,32,0)="N/A"," ",VLOOKUP(A67,'Actual Dates'!A:AF,32,0))," ")</f>
        <v xml:space="preserve"> </v>
      </c>
      <c r="AU67" s="39"/>
      <c r="AV67" s="38" t="str">
        <f>_xlfn.IFNA(IF(VLOOKUP(A67,'Actual Dates'!A:AE,31,0)="","",VLOOKUP(A67,'Actual Dates'!A:AE,31,0)),"")</f>
        <v/>
      </c>
      <c r="AW67" s="40"/>
    </row>
    <row r="68" spans="1:49" ht="23.25" x14ac:dyDescent="0.25">
      <c r="A68" s="12" t="str">
        <f>'Actual Dates'!A67</f>
        <v>25-084</v>
      </c>
      <c r="B68" s="13" t="str">
        <f t="shared" si="0"/>
        <v>Atlas Minerals</v>
      </c>
      <c r="C68" s="35"/>
      <c r="D68" s="36" t="str">
        <f t="shared" si="9"/>
        <v>Y</v>
      </c>
      <c r="E68" s="37">
        <f t="shared" si="10"/>
        <v>0</v>
      </c>
      <c r="F68" s="36" t="str">
        <f t="shared" si="11"/>
        <v>Y</v>
      </c>
      <c r="G68" s="37">
        <f t="shared" si="12"/>
        <v>-8</v>
      </c>
      <c r="H68" s="36" t="str">
        <f t="shared" si="1"/>
        <v>Y</v>
      </c>
      <c r="I68" s="37" t="str">
        <f t="shared" si="13"/>
        <v/>
      </c>
      <c r="J68" s="35"/>
      <c r="K68" s="36" t="str">
        <f t="shared" si="14"/>
        <v>Y</v>
      </c>
      <c r="L68" s="37">
        <f t="shared" si="15"/>
        <v>-2</v>
      </c>
      <c r="M68" s="37">
        <f t="shared" si="2"/>
        <v>-3</v>
      </c>
      <c r="N68" s="36" t="str">
        <f t="shared" si="16"/>
        <v>Y</v>
      </c>
      <c r="O68" s="37">
        <f t="shared" si="17"/>
        <v>161</v>
      </c>
      <c r="P68" s="36" t="str">
        <f t="shared" si="18"/>
        <v>Y</v>
      </c>
      <c r="Q68" s="37">
        <f t="shared" si="19"/>
        <v>-186</v>
      </c>
      <c r="R68" s="36" t="str">
        <f t="shared" si="20"/>
        <v>Y</v>
      </c>
      <c r="S68" s="37">
        <f t="shared" si="21"/>
        <v>-13</v>
      </c>
      <c r="T68" s="36" t="str">
        <f t="shared" si="22"/>
        <v>Y</v>
      </c>
      <c r="U68" s="37">
        <f t="shared" si="23"/>
        <v>-20</v>
      </c>
      <c r="V68" s="36" t="str">
        <f t="shared" si="24"/>
        <v>Y</v>
      </c>
      <c r="W68" s="37">
        <f t="shared" si="25"/>
        <v>-1</v>
      </c>
      <c r="X68" s="36" t="str">
        <f t="shared" si="26"/>
        <v>Y</v>
      </c>
      <c r="Y68" s="37">
        <f t="shared" si="27"/>
        <v>35</v>
      </c>
      <c r="Z68" s="36" t="str">
        <f t="shared" si="28"/>
        <v>Y</v>
      </c>
      <c r="AA68" s="37">
        <f t="shared" si="29"/>
        <v>-1</v>
      </c>
      <c r="AB68" s="36" t="str">
        <f t="shared" si="30"/>
        <v>Y</v>
      </c>
      <c r="AC68" s="37">
        <f t="shared" si="31"/>
        <v>-2</v>
      </c>
      <c r="AD68" s="36" t="str">
        <f t="shared" si="32"/>
        <v>Y</v>
      </c>
      <c r="AE68" s="37" t="str">
        <f t="shared" si="33"/>
        <v xml:space="preserve">  </v>
      </c>
      <c r="AF68" s="38">
        <f ca="1">_xlfn.IFNA(IF(AG68="",TODAY()+(VLOOKUP(A68,'Date Calcs'!A:G,7,0)*7),VLOOKUP(A68,'Actual Dates'!A:AE,21,FALSE())),"")</f>
        <v>46133</v>
      </c>
      <c r="AG68" s="38">
        <f>IF(VLOOKUP(A68,'Actual Dates'!A:AE,20,0)="","",VLOOKUP(A68,'Actual Dates'!A:AE,20,0))</f>
        <v>45965</v>
      </c>
      <c r="AH68" s="38" t="str">
        <f>_xlfn.IFNA(IF($AG68="","",IF(X68="Y","DONE",VLOOKUP(A68,'Ship Date'!A:AE,27,0))),"")</f>
        <v>DONE</v>
      </c>
      <c r="AI68" s="12">
        <f t="shared" ca="1" si="3"/>
        <v>0</v>
      </c>
      <c r="AJ68" s="38" t="str">
        <f>_xlfn.IFNA(IF($AG68="","",IF(AB68="Y","DONE",VLOOKUP(A68,'Ship Date'!A:AG,29,0))),"")</f>
        <v>DONE</v>
      </c>
      <c r="AK68" s="12">
        <f t="shared" ca="1" si="4"/>
        <v>0</v>
      </c>
      <c r="AL68" s="38" t="str">
        <f>_xlfn.IFNA(IF($AG68="","",IF(Z68="Y","DONE",VLOOKUP(A68,'Ship Date'!A:AI,28,0))),"")</f>
        <v>DONE</v>
      </c>
      <c r="AM68" s="12">
        <f t="shared" ca="1" si="5"/>
        <v>0</v>
      </c>
      <c r="AN68" s="38" t="str">
        <f>_xlfn.IFNA(IF(T68="Y","DONE",VLOOKUP(A68,'Ship Date'!A:AE,25,0)),"")</f>
        <v>DONE</v>
      </c>
      <c r="AO68" s="12">
        <f t="shared" si="6"/>
        <v>0</v>
      </c>
      <c r="AP68" s="38" t="str">
        <f>_xlfn.IFNA(IF(AD68="Y","DONE",VLOOKUP(A68,'Ship Date'!A:AE,30,0)),"")</f>
        <v>DONE</v>
      </c>
      <c r="AQ68" s="12">
        <f t="shared" ca="1" si="7"/>
        <v>0</v>
      </c>
      <c r="AR68" s="38">
        <f>IFERROR(_xlfn.IFNA(VLOOKUP(A68,'Ship Date'!A:C,3,0),""),"")</f>
        <v>46132</v>
      </c>
      <c r="AS68" s="12">
        <f t="shared" ca="1" si="8"/>
        <v>1</v>
      </c>
      <c r="AT68" s="38" t="str">
        <f>_xlfn.IFNA(IF(VLOOKUP(A68,'Actual Dates'!A:AF,32,0)="N/A"," ",VLOOKUP(A68,'Actual Dates'!A:AF,32,0))," ")</f>
        <v xml:space="preserve"> </v>
      </c>
      <c r="AU68" s="39" t="s">
        <v>48</v>
      </c>
      <c r="AV68" s="38" t="str">
        <f>_xlfn.IFNA(IF(VLOOKUP(A68,'Actual Dates'!A:AE,31,0)="","",VLOOKUP(A68,'Actual Dates'!A:AE,31,0)),"")</f>
        <v/>
      </c>
      <c r="AW68" s="40"/>
    </row>
    <row r="69" spans="1:49" ht="23.25" hidden="1" x14ac:dyDescent="0.25">
      <c r="A69" s="12" t="str">
        <f>'Actual Dates'!A68</f>
        <v>25-085</v>
      </c>
      <c r="B69" s="13" t="str">
        <f t="shared" ref="B69:B132" si="34">_xlfn.IFNA(VLOOKUP(A69,Jobs,2,),"")</f>
        <v>Noah Industrial</v>
      </c>
      <c r="C69" s="35"/>
      <c r="D69" s="36" t="str">
        <f t="shared" si="9"/>
        <v>Y</v>
      </c>
      <c r="E69" s="37">
        <f t="shared" si="10"/>
        <v>0</v>
      </c>
      <c r="F69" s="36" t="str">
        <f t="shared" si="11"/>
        <v>Y</v>
      </c>
      <c r="G69" s="37">
        <f t="shared" si="12"/>
        <v>-11</v>
      </c>
      <c r="H69" s="36" t="str">
        <f t="shared" ref="H69:H132" si="35">_xlfn.IFNA(IF(VLOOKUP($A75,Dates,17,)&gt;0,"Y","  "),"")</f>
        <v>Y</v>
      </c>
      <c r="I69" s="37" t="str">
        <f t="shared" si="13"/>
        <v/>
      </c>
      <c r="J69" s="35"/>
      <c r="K69" s="36" t="str">
        <f t="shared" si="14"/>
        <v>Y</v>
      </c>
      <c r="L69" s="37">
        <f t="shared" si="15"/>
        <v>3</v>
      </c>
      <c r="M69" s="37">
        <f t="shared" ref="M69:M132" si="36">IF(VLOOKUP($A69,Dates,20,)&gt;0,VLOOKUP($A69,Dates,20,)-VLOOKUP($A69,Jobs,20,),"  ")</f>
        <v>2</v>
      </c>
      <c r="N69" s="36" t="str">
        <f t="shared" si="16"/>
        <v>Y</v>
      </c>
      <c r="O69" s="37">
        <f t="shared" si="17"/>
        <v>110</v>
      </c>
      <c r="P69" s="36" t="str">
        <f t="shared" si="18"/>
        <v>Y</v>
      </c>
      <c r="Q69" s="37">
        <f t="shared" si="19"/>
        <v>-112</v>
      </c>
      <c r="R69" s="36" t="str">
        <f t="shared" si="20"/>
        <v>Y</v>
      </c>
      <c r="S69" s="37">
        <f t="shared" si="21"/>
        <v>-1</v>
      </c>
      <c r="T69" s="36" t="str">
        <f t="shared" si="22"/>
        <v>Y</v>
      </c>
      <c r="U69" s="37">
        <f t="shared" si="23"/>
        <v>-8</v>
      </c>
      <c r="V69" s="36" t="str">
        <f t="shared" si="24"/>
        <v>Y</v>
      </c>
      <c r="W69" s="37">
        <f t="shared" si="25"/>
        <v>18</v>
      </c>
      <c r="X69" s="36" t="str">
        <f t="shared" si="26"/>
        <v>Y</v>
      </c>
      <c r="Y69" s="37" t="str">
        <f t="shared" si="27"/>
        <v xml:space="preserve">  </v>
      </c>
      <c r="Z69" s="36" t="str">
        <f t="shared" si="28"/>
        <v xml:space="preserve">  </v>
      </c>
      <c r="AA69" s="37" t="str">
        <f t="shared" si="29"/>
        <v xml:space="preserve">  </v>
      </c>
      <c r="AB69" s="36" t="str">
        <f t="shared" si="30"/>
        <v xml:space="preserve">  </v>
      </c>
      <c r="AC69" s="37">
        <f t="shared" si="31"/>
        <v>25</v>
      </c>
      <c r="AD69" s="36" t="str">
        <f t="shared" si="32"/>
        <v>Y</v>
      </c>
      <c r="AE69" s="37">
        <f t="shared" si="33"/>
        <v>102</v>
      </c>
      <c r="AF69" s="38">
        <f ca="1">_xlfn.IFNA(IF(AG69="",TODAY()+(VLOOKUP(A69,'Date Calcs'!A:G,7,0)*7),VLOOKUP(A69,'Actual Dates'!A:AE,21,FALSE())),"")</f>
        <v>46000</v>
      </c>
      <c r="AG69" s="38">
        <f>_xlfn.IFNA(IF(VLOOKUP(A69,'Actual Dates'!A:AE,20,0)="","",VLOOKUP(A69,'Actual Dates'!A:AE,20,0)+(VLOOKUP(A69,'Date Calcs'!A:X,22,0)*7)),"")</f>
        <v>45888</v>
      </c>
      <c r="AH69" s="38" t="str">
        <f>_xlfn.IFNA(IF($AG69="","",IF(X69="Y","DONE",VLOOKUP(A69,'Ship Date'!A:AE,27,0))),"")</f>
        <v>DONE</v>
      </c>
      <c r="AI69" s="12">
        <f t="shared" ref="AI69:AI132" ca="1" si="37">IFERROR(AH69-TODAY(),0)</f>
        <v>0</v>
      </c>
      <c r="AJ69" s="38" t="str">
        <f>_xlfn.IFNA(IF($AG69="","",IF(AB69="Y","DONE",VLOOKUP(A69,'Ship Date'!A:AG,29,0))),"")</f>
        <v/>
      </c>
      <c r="AK69" s="12">
        <f t="shared" ref="AK69:AK132" ca="1" si="38">IFERROR(AJ69-TODAY(),0)</f>
        <v>0</v>
      </c>
      <c r="AL69" s="38" t="str">
        <f>_xlfn.IFNA(IF($AG69="","",IF(Z69="Y","DONE",VLOOKUP(A69,'Ship Date'!A:AI,28,0))),"")</f>
        <v/>
      </c>
      <c r="AM69" s="12">
        <f t="shared" ref="AM69:AM132" ca="1" si="39">IFERROR(AL69-TODAY(),0)</f>
        <v>0</v>
      </c>
      <c r="AN69" s="38" t="str">
        <f>_xlfn.IFNA(IF(T69="Y","DONE",VLOOKUP(A69,'Ship Date'!A:AE,25,0)),"")</f>
        <v>DONE</v>
      </c>
      <c r="AO69" s="12">
        <f t="shared" ref="AO69:AO132" si="40">IFERROR(AP69-AN69,0)</f>
        <v>0</v>
      </c>
      <c r="AP69" s="38" t="str">
        <f>_xlfn.IFNA(IF(AD69="Y","DONE",VLOOKUP(A69,'Ship Date'!A:AE,30,0)),"")</f>
        <v>DONE</v>
      </c>
      <c r="AQ69" s="12">
        <f t="shared" ref="AQ69:AQ132" ca="1" si="41">IFERROR(AP69-TODAY(),0)</f>
        <v>0</v>
      </c>
      <c r="AR69" s="38" t="str">
        <f>IFERROR(_xlfn.IFNA(VLOOKUP(A69,'Ship Date'!A:C,3,0),""),"")</f>
        <v/>
      </c>
      <c r="AS69" s="12" t="str">
        <f t="shared" ref="AS69:AS132" ca="1" si="42">IFERROR(AF69-AR69,"")</f>
        <v/>
      </c>
      <c r="AT69" s="38"/>
      <c r="AU69" s="41"/>
      <c r="AV69" s="38">
        <f>_xlfn.IFNA(IF(VLOOKUP(A69,'Actual Dates'!A:AE,31,0)="","",VLOOKUP(A69,'Actual Dates'!A:AE,31,0)),"")</f>
        <v>45999</v>
      </c>
      <c r="AW69" s="40"/>
    </row>
    <row r="70" spans="1:49" ht="23.25" hidden="1" x14ac:dyDescent="0.25">
      <c r="A70" s="12" t="str">
        <f>'Actual Dates'!A69</f>
        <v>25-086</v>
      </c>
      <c r="B70" s="13" t="str">
        <f t="shared" si="34"/>
        <v>Tellus</v>
      </c>
      <c r="C70" s="35"/>
      <c r="D70" s="36" t="str">
        <f t="shared" ref="D70:D133" si="43">_xlfn.IFNA(IF(VLOOKUP($A70,Jobs,8,)&gt;0,"Y","  "),"")</f>
        <v>Y</v>
      </c>
      <c r="E70" s="37">
        <f t="shared" ref="E70:E133" si="44">IFERROR(IF(VLOOKUP($A70,Dates,8,)&gt;0,VLOOKUP($A70,Dates,8,)-VLOOKUP($A70,Jobs,8,),"  "),"")</f>
        <v>154</v>
      </c>
      <c r="F70" s="36" t="str">
        <f t="shared" ref="F70:F133" si="45">_xlfn.IFNA(IF(VLOOKUP($A70,Dates,16,)&gt;0,"Y","  "),"")</f>
        <v>Y</v>
      </c>
      <c r="G70" s="37">
        <f t="shared" ref="G70:G133" si="46">IFERROR(IF(VLOOKUP($A70,Dates,16,)&gt;0,VLOOKUP($A70,Dates,16,)-VLOOKUP($A70,Jobs,16,),"  "),"")</f>
        <v>0</v>
      </c>
      <c r="H70" s="36" t="str">
        <f t="shared" si="35"/>
        <v>Y</v>
      </c>
      <c r="I70" s="37">
        <f t="shared" ref="I70:I133" si="47">IFERROR(IF(VLOOKUP($A76,Dates,17,)&gt;0,VLOOKUP($A76,Dates,17,)-VLOOKUP($A76,Jobs,17,),"  "),"")</f>
        <v>-7</v>
      </c>
      <c r="J70" s="35"/>
      <c r="K70" s="36" t="str">
        <f t="shared" ref="K70:K133" si="48">_xlfn.IFNA(IF(VLOOKUP($A70,Dates,19,)&gt;0,"Y","  "),"")</f>
        <v>Y</v>
      </c>
      <c r="L70" s="37" t="str">
        <f t="shared" ref="L70:L133" si="49">IFERROR(IF(VLOOKUP($A70,Dates,19,)&gt;0,VLOOKUP($A70,Dates,19,)-VLOOKUP($A70,Jobs,19,),"  "),"")</f>
        <v/>
      </c>
      <c r="M70" s="37" t="str">
        <f t="shared" si="36"/>
        <v xml:space="preserve">  </v>
      </c>
      <c r="N70" s="36" t="str">
        <f t="shared" ref="N70:N133" si="50">_xlfn.IFNA(IF(VLOOKUP($A70,Dates,20,)&gt;0,"Y","  "),"")</f>
        <v xml:space="preserve">  </v>
      </c>
      <c r="O70" s="37" t="str">
        <f t="shared" ref="O70:O133" si="51">IFERROR(IF(VLOOKUP($A70,Dates,21,)&gt;0,VLOOKUP($A70,Dates,21,)-VLOOKUP($A70,Jobs,21,),"  "),"")</f>
        <v xml:space="preserve">  </v>
      </c>
      <c r="P70" s="36" t="str">
        <f t="shared" ref="P70:P133" si="52">_xlfn.IFNA(IF(VLOOKUP($A70,Dates,22,)&gt;0,"Y","  "),"")</f>
        <v>Y</v>
      </c>
      <c r="Q70" s="37">
        <f t="shared" ref="Q70:Q133" si="53">IFERROR(IF(VLOOKUP($A70,Dates,23,)&gt;0,VLOOKUP($A70,Dates,23,)-VLOOKUP($A70,Jobs,24,),"  "),"")</f>
        <v>-320</v>
      </c>
      <c r="R70" s="36" t="str">
        <f t="shared" ref="R70:R133" si="54">_xlfn.IFNA(IF(VLOOKUP($A70,Dates,23,)&gt;0,"Y","  "),"")</f>
        <v>Y</v>
      </c>
      <c r="S70" s="37">
        <f t="shared" ref="S70:S133" si="55">IFERROR(IF(VLOOKUP($A70,Dates,24,)&gt;0,VLOOKUP($A70,Dates,24,)-VLOOKUP($A70,Jobs,25,),"  "),"")</f>
        <v>-140</v>
      </c>
      <c r="T70" s="36" t="str">
        <f t="shared" ref="T70:T133" si="56">_xlfn.IFNA(IF(VLOOKUP($A70,Dates,25,)&gt;0,"Y","  "),"")</f>
        <v>Y</v>
      </c>
      <c r="U70" s="37">
        <f t="shared" ref="U70:U133" si="57">IFERROR(IF(VLOOKUP($A70,Dates,26,)&gt;0,VLOOKUP($A70,Dates,26,)-VLOOKUP($A70,Jobs,26,),"  "),"")</f>
        <v>-147</v>
      </c>
      <c r="V70" s="36" t="str">
        <f t="shared" ref="V70:V133" si="58">_xlfn.IFNA(IF(VLOOKUP($A70,Dates,26,)&gt;0,"Y","  "),"")</f>
        <v>Y</v>
      </c>
      <c r="W70" s="37">
        <f t="shared" ref="W70:W133" si="59">IFERROR(IF(VLOOKUP($A70,Dates,27,)&gt;0,VLOOKUP($A70,Dates,27,)-VLOOKUP($A70,Jobs,27,),"  "),"")</f>
        <v>-149</v>
      </c>
      <c r="X70" s="36" t="str">
        <f t="shared" ref="X70:X133" si="60">_xlfn.IFNA(IF(VLOOKUP($A70,Dates,27,)&gt;0,"Y","  "),"")</f>
        <v>Y</v>
      </c>
      <c r="Y70" s="37" t="str">
        <f t="shared" ref="Y70:Y133" si="61">IFERROR(IF(VLOOKUP($A70,Dates,28,)&gt;0,VLOOKUP($A70,Dates,28,)-VLOOKUP($A70,Jobs,28,),"  "),"")</f>
        <v xml:space="preserve">  </v>
      </c>
      <c r="Z70" s="36" t="str">
        <f t="shared" ref="Z70:Z133" si="62">_xlfn.IFNA(IF(VLOOKUP($A70,Dates,28,)&gt;0,"Y","  "),"")</f>
        <v xml:space="preserve">  </v>
      </c>
      <c r="AA70" s="37" t="str">
        <f t="shared" ref="AA70:AA133" si="63">IFERROR(IF(VLOOKUP($A70,Dates,29,)&gt;0,VLOOKUP($A70,Dates,29,)-VLOOKUP($A70,Jobs,29,),"  "),"")</f>
        <v xml:space="preserve">  </v>
      </c>
      <c r="AB70" s="36" t="str">
        <f t="shared" ref="AB70:AB133" si="64">_xlfn.IFNA(IF(VLOOKUP($A70,Dates,29,)&gt;0,"Y","  "),"")</f>
        <v xml:space="preserve">  </v>
      </c>
      <c r="AC70" s="37">
        <f t="shared" ref="AC70:AC133" si="65">IFERROR(IF(VLOOKUP($A70,Dates,30,)&gt;0,VLOOKUP($A70,Dates,30,)-VLOOKUP($A70,Jobs,30,),"  "),"")</f>
        <v>-149</v>
      </c>
      <c r="AD70" s="36" t="str">
        <f t="shared" ref="AD70:AD133" si="66">_xlfn.IFNA(IF(VLOOKUP($A70,Dates,30,)&gt;0,"Y","  "),"")</f>
        <v>Y</v>
      </c>
      <c r="AE70" s="37">
        <f t="shared" ref="AE70:AE133" si="67">IFERROR(IF(VLOOKUP($A70,Dates,31,)&gt;0,VLOOKUP($A70,Dates,31,)-VLOOKUP($A70,Jobs,31,),"  "),"")</f>
        <v>-14</v>
      </c>
      <c r="AF70" s="38">
        <f ca="1">_xlfn.IFNA(IF(AG70="",TODAY()+(VLOOKUP(A70,'Date Calcs'!A:G,7,0)*7),VLOOKUP(A70,'Actual Dates'!A:AE,21,FALSE())),"")</f>
        <v>46297</v>
      </c>
      <c r="AG70" s="38" t="str">
        <f>_xlfn.IFNA(IF(VLOOKUP(A70,'Actual Dates'!A:AE,20,0)="","",VLOOKUP(A70,'Actual Dates'!A:AE,20,0)+(VLOOKUP(A70,'Date Calcs'!A:X,22,0)*7)),"")</f>
        <v/>
      </c>
      <c r="AH70" s="38" t="str">
        <f>_xlfn.IFNA(IF($AG70="","",IF(X70="Y","DONE",VLOOKUP(A70,'Ship Date'!A:AE,27,0))),"")</f>
        <v/>
      </c>
      <c r="AI70" s="12">
        <f t="shared" ca="1" si="37"/>
        <v>0</v>
      </c>
      <c r="AJ70" s="38" t="str">
        <f>_xlfn.IFNA(IF($AG70="","",IF(AB70="Y","DONE",VLOOKUP(A70,'Ship Date'!A:AG,29,0))),"")</f>
        <v/>
      </c>
      <c r="AK70" s="12">
        <f t="shared" ca="1" si="38"/>
        <v>0</v>
      </c>
      <c r="AL70" s="38" t="str">
        <f>_xlfn.IFNA(IF($AG70="","",IF(Z70="Y","DONE",VLOOKUP(A70,'Ship Date'!A:AI,28,0))),"")</f>
        <v/>
      </c>
      <c r="AM70" s="12">
        <f t="shared" ca="1" si="39"/>
        <v>0</v>
      </c>
      <c r="AN70" s="38" t="str">
        <f>_xlfn.IFNA(IF(T70="Y","DONE",VLOOKUP(A70,'Ship Date'!A:AE,25,0)),"")</f>
        <v>DONE</v>
      </c>
      <c r="AO70" s="12">
        <f t="shared" si="40"/>
        <v>0</v>
      </c>
      <c r="AP70" s="38" t="str">
        <f>_xlfn.IFNA(IF(AD70="Y","DONE",VLOOKUP(A70,'Ship Date'!A:AE,30,0)),"")</f>
        <v>DONE</v>
      </c>
      <c r="AQ70" s="12">
        <f t="shared" ca="1" si="41"/>
        <v>0</v>
      </c>
      <c r="AR70" s="38" t="str">
        <f>IFERROR(_xlfn.IFNA(VLOOKUP(A70,'Ship Date'!A:C,3,0),""),"")</f>
        <v/>
      </c>
      <c r="AS70" s="12" t="str">
        <f t="shared" ca="1" si="42"/>
        <v/>
      </c>
      <c r="AT70" s="38"/>
      <c r="AU70" s="41"/>
      <c r="AV70" s="38">
        <f>_xlfn.IFNA(IF(VLOOKUP(A70,'Actual Dates'!A:AE,31,0)="","",VLOOKUP(A70,'Actual Dates'!A:AE,31,0)),"")</f>
        <v>46022</v>
      </c>
      <c r="AW70" s="40"/>
    </row>
    <row r="71" spans="1:49" ht="23.25" hidden="1" x14ac:dyDescent="0.25">
      <c r="A71" s="12" t="str">
        <f>'Actual Dates'!A70</f>
        <v>25-087</v>
      </c>
      <c r="B71" s="13" t="str">
        <f t="shared" si="34"/>
        <v>Solvay</v>
      </c>
      <c r="C71" s="35"/>
      <c r="D71" s="36" t="str">
        <f t="shared" si="43"/>
        <v>Y</v>
      </c>
      <c r="E71" s="37">
        <f t="shared" si="44"/>
        <v>0</v>
      </c>
      <c r="F71" s="36" t="str">
        <f t="shared" si="45"/>
        <v>Y</v>
      </c>
      <c r="G71" s="37">
        <f t="shared" si="46"/>
        <v>-3</v>
      </c>
      <c r="H71" s="36" t="str">
        <f t="shared" si="35"/>
        <v>Y</v>
      </c>
      <c r="I71" s="37">
        <f t="shared" si="47"/>
        <v>-7</v>
      </c>
      <c r="J71" s="35"/>
      <c r="K71" s="36" t="str">
        <f t="shared" si="48"/>
        <v>Y</v>
      </c>
      <c r="L71" s="37">
        <f t="shared" si="49"/>
        <v>5</v>
      </c>
      <c r="M71" s="37">
        <f t="shared" si="36"/>
        <v>4</v>
      </c>
      <c r="N71" s="36" t="str">
        <f t="shared" si="50"/>
        <v>Y</v>
      </c>
      <c r="O71" s="37">
        <f t="shared" si="51"/>
        <v>84</v>
      </c>
      <c r="P71" s="36" t="str">
        <f t="shared" si="52"/>
        <v>Y</v>
      </c>
      <c r="Q71" s="37">
        <f t="shared" si="53"/>
        <v>-80</v>
      </c>
      <c r="R71" s="36" t="str">
        <f t="shared" si="54"/>
        <v>Y</v>
      </c>
      <c r="S71" s="37">
        <f t="shared" si="55"/>
        <v>0</v>
      </c>
      <c r="T71" s="36" t="str">
        <f t="shared" si="56"/>
        <v>Y</v>
      </c>
      <c r="U71" s="37">
        <f t="shared" si="57"/>
        <v>-7</v>
      </c>
      <c r="V71" s="36" t="str">
        <f t="shared" si="58"/>
        <v>Y</v>
      </c>
      <c r="W71" s="37">
        <f t="shared" si="59"/>
        <v>-7</v>
      </c>
      <c r="X71" s="36" t="str">
        <f t="shared" si="60"/>
        <v>Y</v>
      </c>
      <c r="Y71" s="37" t="str">
        <f t="shared" si="61"/>
        <v xml:space="preserve">  </v>
      </c>
      <c r="Z71" s="36" t="str">
        <f t="shared" si="62"/>
        <v xml:space="preserve">  </v>
      </c>
      <c r="AA71" s="37" t="str">
        <f t="shared" si="63"/>
        <v xml:space="preserve">  </v>
      </c>
      <c r="AB71" s="36" t="str">
        <f t="shared" si="64"/>
        <v xml:space="preserve">  </v>
      </c>
      <c r="AC71" s="37">
        <f t="shared" si="65"/>
        <v>-6</v>
      </c>
      <c r="AD71" s="36" t="str">
        <f t="shared" si="66"/>
        <v>Y</v>
      </c>
      <c r="AE71" s="37">
        <f t="shared" si="67"/>
        <v>30</v>
      </c>
      <c r="AF71" s="38">
        <f ca="1">_xlfn.IFNA(IF(AG71="",TODAY()+(VLOOKUP(A71,'Date Calcs'!A:G,7,0)*7),VLOOKUP(A71,'Actual Dates'!A:AE,21,FALSE())),"")</f>
        <v>45999</v>
      </c>
      <c r="AG71" s="38">
        <f>_xlfn.IFNA(IF(VLOOKUP(A71,'Actual Dates'!A:AE,20,0)="","",VLOOKUP(A71,'Actual Dates'!A:AE,20,0)+(VLOOKUP(A71,'Date Calcs'!A:X,22,0)*7)),"")</f>
        <v>45915</v>
      </c>
      <c r="AH71" s="38" t="str">
        <f>_xlfn.IFNA(IF($AG71="","",IF(X71="Y","DONE",VLOOKUP(A71,'Ship Date'!A:AE,27,0))),"")</f>
        <v>DONE</v>
      </c>
      <c r="AI71" s="12">
        <f t="shared" ca="1" si="37"/>
        <v>0</v>
      </c>
      <c r="AJ71" s="38" t="str">
        <f>_xlfn.IFNA(IF($AG71="","",IF(AB71="Y","DONE",VLOOKUP(A71,'Ship Date'!A:AG,29,0))),"")</f>
        <v/>
      </c>
      <c r="AK71" s="12">
        <f t="shared" ca="1" si="38"/>
        <v>0</v>
      </c>
      <c r="AL71" s="38" t="str">
        <f>_xlfn.IFNA(IF($AG71="","",IF(Z71="Y","DONE",VLOOKUP(A71,'Ship Date'!A:AI,28,0))),"")</f>
        <v/>
      </c>
      <c r="AM71" s="12">
        <f t="shared" ca="1" si="39"/>
        <v>0</v>
      </c>
      <c r="AN71" s="38" t="str">
        <f>_xlfn.IFNA(IF(T71="Y","DONE",VLOOKUP(A71,'Ship Date'!A:AE,25,0)),"")</f>
        <v>DONE</v>
      </c>
      <c r="AO71" s="12">
        <f t="shared" si="40"/>
        <v>0</v>
      </c>
      <c r="AP71" s="38" t="str">
        <f>_xlfn.IFNA(IF(AD71="Y","DONE",VLOOKUP(A71,'Ship Date'!A:AE,30,0)),"")</f>
        <v>DONE</v>
      </c>
      <c r="AQ71" s="12">
        <f t="shared" ca="1" si="41"/>
        <v>0</v>
      </c>
      <c r="AR71" s="38" t="str">
        <f>IFERROR(_xlfn.IFNA(VLOOKUP(A71,'Ship Date'!A:C,3,0),""),"")</f>
        <v/>
      </c>
      <c r="AS71" s="12" t="str">
        <f t="shared" ca="1" si="42"/>
        <v/>
      </c>
      <c r="AT71" s="38"/>
      <c r="AU71" s="41"/>
      <c r="AV71" s="38">
        <f>_xlfn.IFNA(IF(VLOOKUP(A71,'Actual Dates'!A:AE,31,0)="","",VLOOKUP(A71,'Actual Dates'!A:AE,31,0)),"")</f>
        <v>45952</v>
      </c>
      <c r="AW71" s="40"/>
    </row>
    <row r="72" spans="1:49" ht="23.25" hidden="1" x14ac:dyDescent="0.25">
      <c r="A72" s="12" t="str">
        <f>'Actual Dates'!A71</f>
        <v>25-088</v>
      </c>
      <c r="B72" s="13" t="str">
        <f t="shared" si="34"/>
        <v>CIL Isotopes</v>
      </c>
      <c r="C72" s="35"/>
      <c r="D72" s="36" t="str">
        <f t="shared" si="43"/>
        <v>Y</v>
      </c>
      <c r="E72" s="37">
        <f t="shared" si="44"/>
        <v>0</v>
      </c>
      <c r="F72" s="36" t="str">
        <f t="shared" si="45"/>
        <v xml:space="preserve">  </v>
      </c>
      <c r="G72" s="37" t="str">
        <f t="shared" si="46"/>
        <v xml:space="preserve">  </v>
      </c>
      <c r="H72" s="36" t="str">
        <f t="shared" si="35"/>
        <v>Y</v>
      </c>
      <c r="I72" s="37" t="str">
        <f t="shared" si="47"/>
        <v/>
      </c>
      <c r="J72" s="35"/>
      <c r="K72" s="36" t="str">
        <f t="shared" si="48"/>
        <v>Y</v>
      </c>
      <c r="L72" s="37">
        <f t="shared" si="49"/>
        <v>4</v>
      </c>
      <c r="M72" s="37">
        <f t="shared" si="36"/>
        <v>3</v>
      </c>
      <c r="N72" s="36" t="str">
        <f t="shared" si="50"/>
        <v>Y</v>
      </c>
      <c r="O72" s="37">
        <f t="shared" si="51"/>
        <v>48</v>
      </c>
      <c r="P72" s="36" t="str">
        <f t="shared" si="52"/>
        <v>Y</v>
      </c>
      <c r="Q72" s="37">
        <f t="shared" si="53"/>
        <v>-47</v>
      </c>
      <c r="R72" s="36" t="str">
        <f t="shared" si="54"/>
        <v>Y</v>
      </c>
      <c r="S72" s="37">
        <f t="shared" si="55"/>
        <v>-1</v>
      </c>
      <c r="T72" s="36" t="str">
        <f t="shared" si="56"/>
        <v>Y</v>
      </c>
      <c r="U72" s="37">
        <f t="shared" si="57"/>
        <v>-8</v>
      </c>
      <c r="V72" s="36" t="str">
        <f t="shared" si="58"/>
        <v>Y</v>
      </c>
      <c r="W72" s="37">
        <f t="shared" si="59"/>
        <v>-8</v>
      </c>
      <c r="X72" s="36" t="str">
        <f t="shared" si="60"/>
        <v>Y</v>
      </c>
      <c r="Y72" s="37" t="str">
        <f t="shared" si="61"/>
        <v xml:space="preserve">  </v>
      </c>
      <c r="Z72" s="36" t="str">
        <f t="shared" si="62"/>
        <v xml:space="preserve">  </v>
      </c>
      <c r="AA72" s="37" t="str">
        <f t="shared" si="63"/>
        <v xml:space="preserve">  </v>
      </c>
      <c r="AB72" s="36" t="str">
        <f t="shared" si="64"/>
        <v xml:space="preserve">  </v>
      </c>
      <c r="AC72" s="37">
        <f t="shared" si="65"/>
        <v>22</v>
      </c>
      <c r="AD72" s="36" t="str">
        <f t="shared" si="66"/>
        <v>Y</v>
      </c>
      <c r="AE72" s="37">
        <f t="shared" si="67"/>
        <v>56</v>
      </c>
      <c r="AF72" s="38">
        <f ca="1">_xlfn.IFNA(IF(AG72="",TODAY()+(VLOOKUP(A72,'Date Calcs'!A:G,7,0)*7),VLOOKUP(A72,'Actual Dates'!A:AE,21,FALSE())),"")</f>
        <v>45964</v>
      </c>
      <c r="AG72" s="38">
        <f>_xlfn.IFNA(IF(VLOOKUP(A72,'Actual Dates'!A:AE,20,0)="","",VLOOKUP(A72,'Actual Dates'!A:AE,20,0)+(VLOOKUP(A72,'Date Calcs'!A:X,22,0)*7)),"")</f>
        <v>45915</v>
      </c>
      <c r="AH72" s="38" t="str">
        <f>_xlfn.IFNA(IF($AG72="","",IF(X72="Y","DONE",VLOOKUP(A72,'Ship Date'!A:AE,27,0))),"")</f>
        <v>DONE</v>
      </c>
      <c r="AI72" s="12">
        <f t="shared" ca="1" si="37"/>
        <v>0</v>
      </c>
      <c r="AJ72" s="38" t="str">
        <f>_xlfn.IFNA(IF($AG72="","",IF(AB72="Y","DONE",VLOOKUP(A72,'Ship Date'!A:AG,29,0))),"")</f>
        <v/>
      </c>
      <c r="AK72" s="12">
        <f t="shared" ca="1" si="38"/>
        <v>0</v>
      </c>
      <c r="AL72" s="38" t="str">
        <f>_xlfn.IFNA(IF($AG72="","",IF(Z72="Y","DONE",VLOOKUP(A72,'Ship Date'!A:AI,28,0))),"")</f>
        <v/>
      </c>
      <c r="AM72" s="12">
        <f t="shared" ca="1" si="39"/>
        <v>0</v>
      </c>
      <c r="AN72" s="38" t="str">
        <f>_xlfn.IFNA(IF(T72="Y","DONE",VLOOKUP(A72,'Ship Date'!A:AE,25,0)),"")</f>
        <v>DONE</v>
      </c>
      <c r="AO72" s="12">
        <f t="shared" si="40"/>
        <v>0</v>
      </c>
      <c r="AP72" s="38" t="str">
        <f>_xlfn.IFNA(IF(AD72="Y","DONE",VLOOKUP(A72,'Ship Date'!A:AE,30,0)),"")</f>
        <v>DONE</v>
      </c>
      <c r="AQ72" s="12">
        <f t="shared" ca="1" si="41"/>
        <v>0</v>
      </c>
      <c r="AR72" s="38" t="str">
        <f>IFERROR(_xlfn.IFNA(VLOOKUP(A72,'Ship Date'!A:C,3,0),""),"")</f>
        <v/>
      </c>
      <c r="AS72" s="12" t="str">
        <f t="shared" ca="1" si="42"/>
        <v/>
      </c>
      <c r="AT72" s="38"/>
      <c r="AU72" s="41"/>
      <c r="AV72" s="38">
        <f>_xlfn.IFNA(IF(VLOOKUP(A72,'Actual Dates'!A:AE,31,0)="","",VLOOKUP(A72,'Actual Dates'!A:AE,31,0)),"")</f>
        <v>45979</v>
      </c>
      <c r="AW72" s="40"/>
    </row>
    <row r="73" spans="1:49" ht="23.25" hidden="1" x14ac:dyDescent="0.25">
      <c r="A73" s="12" t="str">
        <f>'Actual Dates'!A72</f>
        <v>25-089</v>
      </c>
      <c r="B73" s="13" t="str">
        <f t="shared" si="34"/>
        <v>Valmet</v>
      </c>
      <c r="C73" s="35"/>
      <c r="D73" s="36" t="str">
        <f t="shared" si="43"/>
        <v>Y</v>
      </c>
      <c r="E73" s="37">
        <f t="shared" si="44"/>
        <v>-0.5</v>
      </c>
      <c r="F73" s="36" t="str">
        <f t="shared" si="45"/>
        <v>Y</v>
      </c>
      <c r="G73" s="37">
        <f t="shared" si="46"/>
        <v>12</v>
      </c>
      <c r="H73" s="36" t="str">
        <f t="shared" si="35"/>
        <v>Y</v>
      </c>
      <c r="I73" s="37" t="str">
        <f t="shared" si="47"/>
        <v/>
      </c>
      <c r="J73" s="35"/>
      <c r="K73" s="36" t="str">
        <f t="shared" si="48"/>
        <v>Y</v>
      </c>
      <c r="L73" s="37">
        <f t="shared" si="49"/>
        <v>11</v>
      </c>
      <c r="M73" s="37">
        <f t="shared" si="36"/>
        <v>10</v>
      </c>
      <c r="N73" s="36" t="str">
        <f t="shared" si="50"/>
        <v>Y</v>
      </c>
      <c r="O73" s="37">
        <f t="shared" si="51"/>
        <v>174</v>
      </c>
      <c r="P73" s="36" t="str">
        <f t="shared" si="52"/>
        <v>Y</v>
      </c>
      <c r="Q73" s="37">
        <f t="shared" si="53"/>
        <v>-158</v>
      </c>
      <c r="R73" s="36" t="str">
        <f t="shared" si="54"/>
        <v>Y</v>
      </c>
      <c r="S73" s="37">
        <f t="shared" si="55"/>
        <v>4</v>
      </c>
      <c r="T73" s="36" t="str">
        <f t="shared" si="56"/>
        <v>Y</v>
      </c>
      <c r="U73" s="37">
        <f t="shared" si="57"/>
        <v>-3</v>
      </c>
      <c r="V73" s="36" t="str">
        <f t="shared" si="58"/>
        <v>Y</v>
      </c>
      <c r="W73" s="37">
        <f t="shared" si="59"/>
        <v>-1</v>
      </c>
      <c r="X73" s="36" t="str">
        <f t="shared" si="60"/>
        <v>Y</v>
      </c>
      <c r="Y73" s="37">
        <f t="shared" si="61"/>
        <v>69</v>
      </c>
      <c r="Z73" s="36" t="str">
        <f t="shared" si="62"/>
        <v>Y</v>
      </c>
      <c r="AA73" s="37">
        <f t="shared" si="63"/>
        <v>-1</v>
      </c>
      <c r="AB73" s="36" t="str">
        <f t="shared" si="64"/>
        <v>Y</v>
      </c>
      <c r="AC73" s="37">
        <f t="shared" si="65"/>
        <v>3</v>
      </c>
      <c r="AD73" s="36" t="str">
        <f t="shared" si="66"/>
        <v>Y</v>
      </c>
      <c r="AE73" s="37">
        <f t="shared" si="67"/>
        <v>94</v>
      </c>
      <c r="AF73" s="38">
        <f ca="1">_xlfn.IFNA(IF(AG73="",TODAY()+(VLOOKUP(A73,'Date Calcs'!A:G,7,0)*7),VLOOKUP(A73,'Actual Dates'!A:AE,21,FALSE())),"")</f>
        <v>46163</v>
      </c>
      <c r="AG73" s="38">
        <f>IF(VLOOKUP(A73,'Actual Dates'!A:AE,20,0)="","",VLOOKUP(A73,'Actual Dates'!A:AE,20,0))</f>
        <v>45995</v>
      </c>
      <c r="AH73" s="38" t="str">
        <f>_xlfn.IFNA(IF($AG73="","",IF(X73="Y","DONE",VLOOKUP(A73,'Ship Date'!A:AE,27,0))),"")</f>
        <v>DONE</v>
      </c>
      <c r="AI73" s="12">
        <f t="shared" ca="1" si="37"/>
        <v>0</v>
      </c>
      <c r="AJ73" s="38" t="str">
        <f>_xlfn.IFNA(IF($AG73="","",IF(AB73="Y","DONE",VLOOKUP(A73,'Ship Date'!A:AG,29,0))),"")</f>
        <v>DONE</v>
      </c>
      <c r="AK73" s="12">
        <f t="shared" ca="1" si="38"/>
        <v>0</v>
      </c>
      <c r="AL73" s="38" t="str">
        <f>_xlfn.IFNA(IF($AG73="","",IF(Z73="Y","DONE",VLOOKUP(A73,'Ship Date'!A:AI,28,0))),"")</f>
        <v>DONE</v>
      </c>
      <c r="AM73" s="12">
        <f t="shared" ca="1" si="39"/>
        <v>0</v>
      </c>
      <c r="AN73" s="38" t="str">
        <f>_xlfn.IFNA(IF(T73="Y","DONE",VLOOKUP(A73,'Ship Date'!A:AE,25,0)),"")</f>
        <v>DONE</v>
      </c>
      <c r="AO73" s="12">
        <f t="shared" si="40"/>
        <v>0</v>
      </c>
      <c r="AP73" s="38" t="str">
        <f>_xlfn.IFNA(IF(AD73="Y","DONE",VLOOKUP(A73,'Ship Date'!A:AE,30,0)),"")</f>
        <v>DONE</v>
      </c>
      <c r="AQ73" s="12">
        <f t="shared" ca="1" si="41"/>
        <v>0</v>
      </c>
      <c r="AR73" s="38" t="str">
        <f>IFERROR(_xlfn.IFNA(VLOOKUP(A73,'Ship Date'!A:C,3,0),""),"")</f>
        <v/>
      </c>
      <c r="AS73" s="12" t="str">
        <f t="shared" ca="1" si="42"/>
        <v/>
      </c>
      <c r="AT73" s="38"/>
      <c r="AU73" s="39">
        <v>46086</v>
      </c>
      <c r="AV73" s="38">
        <f>_xlfn.IFNA(IF(VLOOKUP(A73,'Actual Dates'!A:AE,31,0)="","",VLOOKUP(A73,'Actual Dates'!A:AE,31,0)),"")</f>
        <v>46090</v>
      </c>
      <c r="AW73" s="40"/>
    </row>
    <row r="74" spans="1:49" ht="23.25" hidden="1" x14ac:dyDescent="0.25">
      <c r="A74" s="12" t="str">
        <f>'Actual Dates'!A73</f>
        <v>25-090</v>
      </c>
      <c r="B74" s="13" t="str">
        <f t="shared" si="34"/>
        <v>GAF</v>
      </c>
      <c r="C74" s="35"/>
      <c r="D74" s="36" t="str">
        <f t="shared" si="43"/>
        <v>Y</v>
      </c>
      <c r="E74" s="37">
        <f t="shared" si="44"/>
        <v>-3</v>
      </c>
      <c r="F74" s="36" t="str">
        <f t="shared" si="45"/>
        <v>Y</v>
      </c>
      <c r="G74" s="37" t="str">
        <f t="shared" si="46"/>
        <v/>
      </c>
      <c r="H74" s="36" t="str">
        <f t="shared" si="35"/>
        <v>Y</v>
      </c>
      <c r="I74" s="37">
        <f t="shared" si="47"/>
        <v>-11</v>
      </c>
      <c r="J74" s="35"/>
      <c r="K74" s="36" t="str">
        <f t="shared" si="48"/>
        <v>Y</v>
      </c>
      <c r="L74" s="37">
        <f t="shared" si="49"/>
        <v>-16</v>
      </c>
      <c r="M74" s="37">
        <f t="shared" si="36"/>
        <v>-17</v>
      </c>
      <c r="N74" s="36" t="str">
        <f t="shared" si="50"/>
        <v>Y</v>
      </c>
      <c r="O74" s="37">
        <f t="shared" si="51"/>
        <v>0</v>
      </c>
      <c r="P74" s="36" t="str">
        <f t="shared" si="52"/>
        <v>Y</v>
      </c>
      <c r="Q74" s="37" t="str">
        <f t="shared" si="53"/>
        <v/>
      </c>
      <c r="R74" s="36" t="str">
        <f t="shared" si="54"/>
        <v>Y</v>
      </c>
      <c r="S74" s="37" t="str">
        <f t="shared" si="55"/>
        <v/>
      </c>
      <c r="T74" s="36" t="str">
        <f t="shared" si="56"/>
        <v xml:space="preserve">  </v>
      </c>
      <c r="U74" s="37" t="str">
        <f t="shared" si="57"/>
        <v/>
      </c>
      <c r="V74" s="36" t="str">
        <f t="shared" si="58"/>
        <v>Y</v>
      </c>
      <c r="W74" s="37" t="str">
        <f t="shared" si="59"/>
        <v xml:space="preserve">  </v>
      </c>
      <c r="X74" s="36" t="str">
        <f t="shared" si="60"/>
        <v xml:space="preserve">  </v>
      </c>
      <c r="Y74" s="37" t="str">
        <f t="shared" si="61"/>
        <v xml:space="preserve">  </v>
      </c>
      <c r="Z74" s="36" t="str">
        <f t="shared" si="62"/>
        <v xml:space="preserve">  </v>
      </c>
      <c r="AA74" s="37" t="str">
        <f t="shared" si="63"/>
        <v xml:space="preserve">  </v>
      </c>
      <c r="AB74" s="36" t="str">
        <f t="shared" si="64"/>
        <v xml:space="preserve">  </v>
      </c>
      <c r="AC74" s="37" t="str">
        <f t="shared" si="65"/>
        <v xml:space="preserve">  </v>
      </c>
      <c r="AD74" s="36" t="str">
        <f t="shared" si="66"/>
        <v xml:space="preserve">  </v>
      </c>
      <c r="AE74" s="37">
        <f t="shared" si="67"/>
        <v>-7</v>
      </c>
      <c r="AF74" s="38">
        <f ca="1">_xlfn.IFNA(IF(AG74="",TODAY()+(VLOOKUP(A74,'Date Calcs'!A:G,7,0)*7),VLOOKUP(A74,'Actual Dates'!A:AE,21,FALSE())),"")</f>
        <v>45912</v>
      </c>
      <c r="AG74" s="38">
        <f>_xlfn.IFNA(IF(VLOOKUP(A74,'Actual Dates'!A:AE,20,0)="","",VLOOKUP(A74,'Actual Dates'!A:AE,20,0)+(VLOOKUP(A74,'Date Calcs'!A:X,22,0)*7)),"")</f>
        <v>45891</v>
      </c>
      <c r="AH74" s="38" t="str">
        <f>_xlfn.IFNA(IF($AG74="","",IF(X74="Y","DONE",VLOOKUP(A74,'Ship Date'!A:AE,27,0))),"")</f>
        <v/>
      </c>
      <c r="AI74" s="12">
        <f t="shared" ca="1" si="37"/>
        <v>0</v>
      </c>
      <c r="AJ74" s="38" t="str">
        <f>_xlfn.IFNA(IF($AG74="","",IF(AB74="Y","DONE",VLOOKUP(A74,'Ship Date'!A:AG,29,0))),"")</f>
        <v/>
      </c>
      <c r="AK74" s="12">
        <f t="shared" ca="1" si="38"/>
        <v>0</v>
      </c>
      <c r="AL74" s="38" t="str">
        <f>_xlfn.IFNA(IF($AG74="","",IF(Z74="Y","DONE",VLOOKUP(A74,'Ship Date'!A:AI,28,0))),"")</f>
        <v/>
      </c>
      <c r="AM74" s="12">
        <f t="shared" ca="1" si="39"/>
        <v>0</v>
      </c>
      <c r="AN74" s="38" t="str">
        <f>_xlfn.IFNA(IF(T74="Y","DONE",VLOOKUP(A74,'Ship Date'!A:AE,25,0)),"")</f>
        <v/>
      </c>
      <c r="AO74" s="12">
        <f t="shared" si="40"/>
        <v>0</v>
      </c>
      <c r="AP74" s="38" t="str">
        <f>_xlfn.IFNA(IF(AD74="Y","DONE",VLOOKUP(A74,'Ship Date'!A:AE,30,0)),"")</f>
        <v/>
      </c>
      <c r="AQ74" s="12">
        <f t="shared" ca="1" si="41"/>
        <v>0</v>
      </c>
      <c r="AR74" s="38" t="str">
        <f>IFERROR(_xlfn.IFNA(VLOOKUP(A74,'Ship Date'!A:C,3,0),""),"")</f>
        <v/>
      </c>
      <c r="AS74" s="12" t="str">
        <f t="shared" ca="1" si="42"/>
        <v/>
      </c>
      <c r="AT74" s="38"/>
      <c r="AU74" s="41"/>
      <c r="AV74" s="38">
        <f>_xlfn.IFNA(IF(VLOOKUP(A74,'Actual Dates'!A:AE,31,0)="","",VLOOKUP(A74,'Actual Dates'!A:AE,31,0)),"")</f>
        <v>45912</v>
      </c>
      <c r="AW74" s="40"/>
    </row>
    <row r="75" spans="1:49" ht="23.25" hidden="1" x14ac:dyDescent="0.25">
      <c r="A75" s="12" t="str">
        <f>'Actual Dates'!A74</f>
        <v>25-091</v>
      </c>
      <c r="B75" s="13" t="str">
        <f t="shared" si="34"/>
        <v>US Sugar</v>
      </c>
      <c r="C75" s="35"/>
      <c r="D75" s="36" t="str">
        <f t="shared" si="43"/>
        <v>Y</v>
      </c>
      <c r="E75" s="37">
        <f t="shared" si="44"/>
        <v>111</v>
      </c>
      <c r="F75" s="36" t="str">
        <f t="shared" si="45"/>
        <v>Y</v>
      </c>
      <c r="G75" s="37" t="str">
        <f t="shared" si="46"/>
        <v/>
      </c>
      <c r="H75" s="36" t="str">
        <f t="shared" si="35"/>
        <v>Y</v>
      </c>
      <c r="I75" s="37">
        <f t="shared" si="47"/>
        <v>-11</v>
      </c>
      <c r="J75" s="35"/>
      <c r="K75" s="36" t="str">
        <f t="shared" si="48"/>
        <v>Y</v>
      </c>
      <c r="L75" s="37" t="str">
        <f t="shared" si="49"/>
        <v/>
      </c>
      <c r="M75" s="37" t="str">
        <f t="shared" si="36"/>
        <v xml:space="preserve">  </v>
      </c>
      <c r="N75" s="36" t="str">
        <f t="shared" si="50"/>
        <v xml:space="preserve">  </v>
      </c>
      <c r="O75" s="37" t="str">
        <f t="shared" si="51"/>
        <v xml:space="preserve">  </v>
      </c>
      <c r="P75" s="36" t="str">
        <f t="shared" si="52"/>
        <v>Y</v>
      </c>
      <c r="Q75" s="37">
        <f t="shared" si="53"/>
        <v>-113</v>
      </c>
      <c r="R75" s="36" t="str">
        <f t="shared" si="54"/>
        <v>Y</v>
      </c>
      <c r="S75" s="37">
        <f t="shared" si="55"/>
        <v>-113</v>
      </c>
      <c r="T75" s="36" t="str">
        <f t="shared" si="56"/>
        <v>Y</v>
      </c>
      <c r="U75" s="37">
        <f t="shared" si="57"/>
        <v>-120</v>
      </c>
      <c r="V75" s="36" t="str">
        <f t="shared" si="58"/>
        <v>Y</v>
      </c>
      <c r="W75" s="37">
        <f t="shared" si="59"/>
        <v>-121</v>
      </c>
      <c r="X75" s="36" t="str">
        <f t="shared" si="60"/>
        <v>Y</v>
      </c>
      <c r="Y75" s="37" t="str">
        <f t="shared" si="61"/>
        <v xml:space="preserve">  </v>
      </c>
      <c r="Z75" s="36" t="str">
        <f t="shared" si="62"/>
        <v xml:space="preserve">  </v>
      </c>
      <c r="AA75" s="37" t="str">
        <f t="shared" si="63"/>
        <v xml:space="preserve">  </v>
      </c>
      <c r="AB75" s="36" t="str">
        <f t="shared" si="64"/>
        <v xml:space="preserve">  </v>
      </c>
      <c r="AC75" s="37">
        <f t="shared" si="65"/>
        <v>-121</v>
      </c>
      <c r="AD75" s="36" t="str">
        <f t="shared" si="66"/>
        <v>Y</v>
      </c>
      <c r="AE75" s="37">
        <f t="shared" si="67"/>
        <v>-14</v>
      </c>
      <c r="AF75" s="38">
        <f ca="1">_xlfn.IFNA(IF(AG75="",TODAY()+(VLOOKUP(A75,'Date Calcs'!A:G,7,0)*7),VLOOKUP(A75,'Actual Dates'!A:AE,21,FALSE())),"")</f>
        <v>46122</v>
      </c>
      <c r="AG75" s="38" t="str">
        <f>_xlfn.IFNA(IF(VLOOKUP(A75,'Actual Dates'!A:AE,20,0)="","",VLOOKUP(A75,'Actual Dates'!A:AE,20,0)+(VLOOKUP(A75,'Date Calcs'!A:X,22,0)*7)),"")</f>
        <v/>
      </c>
      <c r="AH75" s="38" t="str">
        <f>_xlfn.IFNA(IF($AG75="","",IF(X75="Y","DONE",VLOOKUP(A75,'Ship Date'!A:AE,27,0))),"")</f>
        <v/>
      </c>
      <c r="AI75" s="12">
        <f t="shared" ca="1" si="37"/>
        <v>0</v>
      </c>
      <c r="AJ75" s="38" t="str">
        <f>_xlfn.IFNA(IF($AG75="","",IF(AB75="Y","DONE",VLOOKUP(A75,'Ship Date'!A:AG,29,0))),"")</f>
        <v/>
      </c>
      <c r="AK75" s="12">
        <f t="shared" ca="1" si="38"/>
        <v>0</v>
      </c>
      <c r="AL75" s="38" t="str">
        <f>_xlfn.IFNA(IF($AG75="","",IF(Z75="Y","DONE",VLOOKUP(A75,'Ship Date'!A:AI,28,0))),"")</f>
        <v/>
      </c>
      <c r="AM75" s="12">
        <f t="shared" ca="1" si="39"/>
        <v>0</v>
      </c>
      <c r="AN75" s="38" t="str">
        <f>_xlfn.IFNA(IF(T75="Y","DONE",VLOOKUP(A75,'Ship Date'!A:AE,25,0)),"")</f>
        <v>DONE</v>
      </c>
      <c r="AO75" s="12">
        <f t="shared" si="40"/>
        <v>0</v>
      </c>
      <c r="AP75" s="38" t="str">
        <f>_xlfn.IFNA(IF(AD75="Y","DONE",VLOOKUP(A75,'Ship Date'!A:AE,30,0)),"")</f>
        <v>DONE</v>
      </c>
      <c r="AQ75" s="12">
        <f t="shared" ca="1" si="41"/>
        <v>0</v>
      </c>
      <c r="AR75" s="38" t="str">
        <f>IFERROR(_xlfn.IFNA(VLOOKUP(A75,'Ship Date'!A:C,3,0),""),"")</f>
        <v/>
      </c>
      <c r="AS75" s="12" t="str">
        <f t="shared" ca="1" si="42"/>
        <v/>
      </c>
      <c r="AT75" s="38"/>
      <c r="AU75" s="41"/>
      <c r="AV75" s="38">
        <f>_xlfn.IFNA(IF(VLOOKUP(A75,'Actual Dates'!A:AE,31,0)="","",VLOOKUP(A75,'Actual Dates'!A:AE,31,0)),"")</f>
        <v>46022</v>
      </c>
      <c r="AW75" s="40"/>
    </row>
    <row r="76" spans="1:49" ht="23.25" x14ac:dyDescent="0.25">
      <c r="A76" s="12" t="str">
        <f>'Actual Dates'!A75</f>
        <v>25-092</v>
      </c>
      <c r="B76" s="13" t="str">
        <f t="shared" si="34"/>
        <v>Symrise</v>
      </c>
      <c r="C76" s="35"/>
      <c r="D76" s="36" t="str">
        <f t="shared" si="43"/>
        <v>Y</v>
      </c>
      <c r="E76" s="37">
        <f t="shared" si="44"/>
        <v>-7</v>
      </c>
      <c r="F76" s="36" t="str">
        <f t="shared" si="45"/>
        <v>Y</v>
      </c>
      <c r="G76" s="37">
        <f t="shared" si="46"/>
        <v>-6</v>
      </c>
      <c r="H76" s="36" t="str">
        <f t="shared" si="35"/>
        <v>Y</v>
      </c>
      <c r="I76" s="37">
        <f t="shared" si="47"/>
        <v>-1</v>
      </c>
      <c r="J76" s="35"/>
      <c r="K76" s="36" t="str">
        <f t="shared" si="48"/>
        <v>Y</v>
      </c>
      <c r="L76" s="37">
        <f t="shared" si="49"/>
        <v>2</v>
      </c>
      <c r="M76" s="37">
        <f t="shared" si="36"/>
        <v>1</v>
      </c>
      <c r="N76" s="36" t="str">
        <f t="shared" si="50"/>
        <v>Y</v>
      </c>
      <c r="O76" s="37">
        <f t="shared" si="51"/>
        <v>123</v>
      </c>
      <c r="P76" s="36" t="str">
        <f t="shared" si="52"/>
        <v>Y</v>
      </c>
      <c r="Q76" s="37">
        <f t="shared" si="53"/>
        <v>-107</v>
      </c>
      <c r="R76" s="36" t="str">
        <f t="shared" si="54"/>
        <v>Y</v>
      </c>
      <c r="S76" s="37">
        <f t="shared" si="55"/>
        <v>12</v>
      </c>
      <c r="T76" s="36" t="str">
        <f t="shared" si="56"/>
        <v>Y</v>
      </c>
      <c r="U76" s="37">
        <f t="shared" si="57"/>
        <v>5</v>
      </c>
      <c r="V76" s="36" t="str">
        <f t="shared" si="58"/>
        <v>Y</v>
      </c>
      <c r="W76" s="37">
        <f t="shared" si="59"/>
        <v>57</v>
      </c>
      <c r="X76" s="36" t="str">
        <f t="shared" si="60"/>
        <v>Y</v>
      </c>
      <c r="Y76" s="37">
        <f t="shared" si="61"/>
        <v>60</v>
      </c>
      <c r="Z76" s="36" t="str">
        <f t="shared" si="62"/>
        <v>Y</v>
      </c>
      <c r="AA76" s="37">
        <f t="shared" si="63"/>
        <v>57</v>
      </c>
      <c r="AB76" s="36" t="str">
        <f t="shared" si="64"/>
        <v>Y</v>
      </c>
      <c r="AC76" s="37">
        <f t="shared" si="65"/>
        <v>60</v>
      </c>
      <c r="AD76" s="36" t="str">
        <f t="shared" si="66"/>
        <v>Y</v>
      </c>
      <c r="AE76" s="37" t="str">
        <f t="shared" si="67"/>
        <v xml:space="preserve">  </v>
      </c>
      <c r="AF76" s="38">
        <f ca="1">_xlfn.IFNA(IF(AG76="",TODAY()+(VLOOKUP(A76,'Date Calcs'!A:G,7,0)*7),VLOOKUP(A76,'Actual Dates'!A:AE,21,FALSE())),"")</f>
        <v>46083</v>
      </c>
      <c r="AG76" s="38">
        <f>IF(VLOOKUP(A76,'Actual Dates'!A:AE,20,0)="","",VLOOKUP(A76,'Actual Dates'!A:AE,20,0))</f>
        <v>45957</v>
      </c>
      <c r="AH76" s="38" t="str">
        <f>_xlfn.IFNA(IF($AG76="","",IF(X76="Y","DONE",VLOOKUP(A76,'Ship Date'!A:AE,27,0))),"")</f>
        <v>DONE</v>
      </c>
      <c r="AI76" s="12">
        <f t="shared" ca="1" si="37"/>
        <v>0</v>
      </c>
      <c r="AJ76" s="38" t="str">
        <f>_xlfn.IFNA(IF($AG76="","",IF(AB76="Y","DONE",VLOOKUP(A76,'Ship Date'!A:AG,29,0))),"")</f>
        <v>DONE</v>
      </c>
      <c r="AK76" s="12">
        <f t="shared" ca="1" si="38"/>
        <v>0</v>
      </c>
      <c r="AL76" s="38" t="str">
        <f>_xlfn.IFNA(IF($AG76="","",IF(Z76="Y","DONE",VLOOKUP(A76,'Ship Date'!A:AI,28,0))),"")</f>
        <v>DONE</v>
      </c>
      <c r="AM76" s="12">
        <f t="shared" ca="1" si="39"/>
        <v>0</v>
      </c>
      <c r="AN76" s="38" t="str">
        <f>_xlfn.IFNA(IF(T76="Y","DONE",VLOOKUP(A76,'Ship Date'!A:AE,25,0)),"")</f>
        <v>DONE</v>
      </c>
      <c r="AO76" s="12">
        <f t="shared" si="40"/>
        <v>0</v>
      </c>
      <c r="AP76" s="38" t="str">
        <f>_xlfn.IFNA(IF(AD76="Y","DONE",VLOOKUP(A76,'Ship Date'!A:AE,30,0)),"")</f>
        <v>DONE</v>
      </c>
      <c r="AQ76" s="12">
        <f t="shared" ca="1" si="41"/>
        <v>0</v>
      </c>
      <c r="AR76" s="38" t="str">
        <f>IFERROR(_xlfn.IFNA(VLOOKUP(A76,'Ship Date'!A:C,3,0),""),"")</f>
        <v/>
      </c>
      <c r="AS76" s="12" t="str">
        <f t="shared" ca="1" si="42"/>
        <v/>
      </c>
      <c r="AT76" s="38" t="str">
        <f>_xlfn.IFNA(IF(VLOOKUP(A76,'Actual Dates'!A:AF,32,0)="N/A"," ",VLOOKUP(A76,'Actual Dates'!A:AF,32,0))," ")</f>
        <v xml:space="preserve"> </v>
      </c>
      <c r="AU76" s="39"/>
      <c r="AV76" s="38" t="str">
        <f>_xlfn.IFNA(IF(VLOOKUP(A76,'Actual Dates'!A:AE,31,0)="","",VLOOKUP(A76,'Actual Dates'!A:AE,31,0)),"")</f>
        <v/>
      </c>
      <c r="AW76" s="40"/>
    </row>
    <row r="77" spans="1:49" ht="23.25" x14ac:dyDescent="0.25">
      <c r="A77" s="12" t="str">
        <f>'Actual Dates'!A76</f>
        <v>25-093</v>
      </c>
      <c r="B77" s="13" t="str">
        <f t="shared" si="34"/>
        <v>Symrise</v>
      </c>
      <c r="C77" s="35"/>
      <c r="D77" s="36" t="str">
        <f t="shared" si="43"/>
        <v>Y</v>
      </c>
      <c r="E77" s="37">
        <f t="shared" si="44"/>
        <v>-7</v>
      </c>
      <c r="F77" s="36" t="str">
        <f t="shared" si="45"/>
        <v>Y</v>
      </c>
      <c r="G77" s="37">
        <f t="shared" si="46"/>
        <v>-6</v>
      </c>
      <c r="H77" s="36" t="str">
        <f t="shared" si="35"/>
        <v>Y</v>
      </c>
      <c r="I77" s="37">
        <f t="shared" si="47"/>
        <v>-6</v>
      </c>
      <c r="J77" s="35"/>
      <c r="K77" s="36" t="str">
        <f t="shared" si="48"/>
        <v>Y</v>
      </c>
      <c r="L77" s="37">
        <f t="shared" si="49"/>
        <v>2</v>
      </c>
      <c r="M77" s="37">
        <f t="shared" si="36"/>
        <v>1</v>
      </c>
      <c r="N77" s="36" t="str">
        <f t="shared" si="50"/>
        <v>Y</v>
      </c>
      <c r="O77" s="37">
        <f t="shared" si="51"/>
        <v>123</v>
      </c>
      <c r="P77" s="36" t="str">
        <f t="shared" si="52"/>
        <v>Y</v>
      </c>
      <c r="Q77" s="37">
        <f t="shared" si="53"/>
        <v>-107</v>
      </c>
      <c r="R77" s="36" t="str">
        <f t="shared" si="54"/>
        <v>Y</v>
      </c>
      <c r="S77" s="37">
        <f t="shared" si="55"/>
        <v>12</v>
      </c>
      <c r="T77" s="36" t="str">
        <f t="shared" si="56"/>
        <v>Y</v>
      </c>
      <c r="U77" s="37">
        <f t="shared" si="57"/>
        <v>5</v>
      </c>
      <c r="V77" s="36" t="str">
        <f t="shared" si="58"/>
        <v>Y</v>
      </c>
      <c r="W77" s="37">
        <f t="shared" si="59"/>
        <v>57</v>
      </c>
      <c r="X77" s="36" t="str">
        <f t="shared" si="60"/>
        <v>Y</v>
      </c>
      <c r="Y77" s="37">
        <f t="shared" si="61"/>
        <v>63</v>
      </c>
      <c r="Z77" s="36" t="str">
        <f t="shared" si="62"/>
        <v>Y</v>
      </c>
      <c r="AA77" s="37">
        <f t="shared" si="63"/>
        <v>57</v>
      </c>
      <c r="AB77" s="36" t="str">
        <f t="shared" si="64"/>
        <v>Y</v>
      </c>
      <c r="AC77" s="37">
        <f t="shared" si="65"/>
        <v>60</v>
      </c>
      <c r="AD77" s="36" t="str">
        <f t="shared" si="66"/>
        <v>Y</v>
      </c>
      <c r="AE77" s="37" t="str">
        <f t="shared" si="67"/>
        <v xml:space="preserve">  </v>
      </c>
      <c r="AF77" s="38">
        <f ca="1">_xlfn.IFNA(IF(AG77="",TODAY()+(VLOOKUP(A77,'Date Calcs'!A:G,7,0)*7),VLOOKUP(A77,'Actual Dates'!A:AE,21,FALSE())),"")</f>
        <v>46083</v>
      </c>
      <c r="AG77" s="38">
        <f>IF(VLOOKUP(A77,'Actual Dates'!A:AE,20,0)="","",VLOOKUP(A77,'Actual Dates'!A:AE,20,0))</f>
        <v>45957</v>
      </c>
      <c r="AH77" s="38" t="str">
        <f>_xlfn.IFNA(IF($AG77="","",IF(X77="Y","DONE",VLOOKUP(A77,'Ship Date'!A:AE,27,0))),"")</f>
        <v>DONE</v>
      </c>
      <c r="AI77" s="12">
        <f t="shared" ca="1" si="37"/>
        <v>0</v>
      </c>
      <c r="AJ77" s="38" t="str">
        <f>_xlfn.IFNA(IF($AG77="","",IF(AB77="Y","DONE",VLOOKUP(A77,'Ship Date'!A:AG,29,0))),"")</f>
        <v>DONE</v>
      </c>
      <c r="AK77" s="12">
        <f t="shared" ca="1" si="38"/>
        <v>0</v>
      </c>
      <c r="AL77" s="38" t="str">
        <f>_xlfn.IFNA(IF($AG77="","",IF(Z77="Y","DONE",VLOOKUP(A77,'Ship Date'!A:AI,28,0))),"")</f>
        <v>DONE</v>
      </c>
      <c r="AM77" s="12">
        <f t="shared" ca="1" si="39"/>
        <v>0</v>
      </c>
      <c r="AN77" s="38" t="str">
        <f>_xlfn.IFNA(IF(T77="Y","DONE",VLOOKUP(A77,'Ship Date'!A:AE,25,0)),"")</f>
        <v>DONE</v>
      </c>
      <c r="AO77" s="12">
        <f t="shared" si="40"/>
        <v>0</v>
      </c>
      <c r="AP77" s="38" t="str">
        <f>_xlfn.IFNA(IF(AD77="Y","DONE",VLOOKUP(A77,'Ship Date'!A:AE,30,0)),"")</f>
        <v>DONE</v>
      </c>
      <c r="AQ77" s="12">
        <f t="shared" ca="1" si="41"/>
        <v>0</v>
      </c>
      <c r="AR77" s="38" t="str">
        <f>IFERROR(_xlfn.IFNA(VLOOKUP(A77,'Ship Date'!A:C,3,0),""),"")</f>
        <v/>
      </c>
      <c r="AS77" s="12" t="str">
        <f t="shared" ca="1" si="42"/>
        <v/>
      </c>
      <c r="AT77" s="38" t="str">
        <f>_xlfn.IFNA(IF(VLOOKUP(A77,'Actual Dates'!A:AF,32,0)="N/A"," ",VLOOKUP(A77,'Actual Dates'!A:AF,32,0))," ")</f>
        <v xml:space="preserve"> </v>
      </c>
      <c r="AU77" s="39"/>
      <c r="AV77" s="38" t="str">
        <f>_xlfn.IFNA(IF(VLOOKUP(A77,'Actual Dates'!A:AE,31,0)="","",VLOOKUP(A77,'Actual Dates'!A:AE,31,0)),"")</f>
        <v/>
      </c>
      <c r="AW77" s="40"/>
    </row>
    <row r="78" spans="1:49" ht="23.25" hidden="1" x14ac:dyDescent="0.25">
      <c r="A78" s="12" t="str">
        <f>'Actual Dates'!A77</f>
        <v>25-094</v>
      </c>
      <c r="B78" s="13" t="str">
        <f t="shared" si="34"/>
        <v>Kimberly Clark</v>
      </c>
      <c r="C78" s="35"/>
      <c r="D78" s="36" t="str">
        <f t="shared" si="43"/>
        <v>Y</v>
      </c>
      <c r="E78" s="37">
        <f t="shared" si="44"/>
        <v>0</v>
      </c>
      <c r="F78" s="36" t="str">
        <f t="shared" si="45"/>
        <v>Y</v>
      </c>
      <c r="G78" s="37" t="str">
        <f t="shared" si="46"/>
        <v/>
      </c>
      <c r="H78" s="36" t="str">
        <f t="shared" si="35"/>
        <v>Y</v>
      </c>
      <c r="I78" s="37">
        <f t="shared" si="47"/>
        <v>-8</v>
      </c>
      <c r="J78" s="35"/>
      <c r="K78" s="36" t="str">
        <f t="shared" si="48"/>
        <v>Y</v>
      </c>
      <c r="L78" s="37">
        <f t="shared" si="49"/>
        <v>27</v>
      </c>
      <c r="M78" s="37">
        <f t="shared" si="36"/>
        <v>26</v>
      </c>
      <c r="N78" s="36" t="str">
        <f t="shared" si="50"/>
        <v>Y</v>
      </c>
      <c r="O78" s="37">
        <f t="shared" si="51"/>
        <v>120</v>
      </c>
      <c r="P78" s="36" t="str">
        <f t="shared" si="52"/>
        <v>Y</v>
      </c>
      <c r="Q78" s="37">
        <f t="shared" si="53"/>
        <v>-73</v>
      </c>
      <c r="R78" s="36" t="str">
        <f t="shared" si="54"/>
        <v>Y</v>
      </c>
      <c r="S78" s="37">
        <f t="shared" si="55"/>
        <v>18</v>
      </c>
      <c r="T78" s="36" t="str">
        <f t="shared" si="56"/>
        <v>Y</v>
      </c>
      <c r="U78" s="37">
        <f t="shared" si="57"/>
        <v>11</v>
      </c>
      <c r="V78" s="36" t="str">
        <f t="shared" si="58"/>
        <v>Y</v>
      </c>
      <c r="W78" s="37">
        <f t="shared" si="59"/>
        <v>21</v>
      </c>
      <c r="X78" s="36" t="str">
        <f t="shared" si="60"/>
        <v>Y</v>
      </c>
      <c r="Y78" s="37" t="str">
        <f t="shared" si="61"/>
        <v xml:space="preserve">  </v>
      </c>
      <c r="Z78" s="36" t="str">
        <f t="shared" si="62"/>
        <v xml:space="preserve">  </v>
      </c>
      <c r="AA78" s="37" t="str">
        <f t="shared" si="63"/>
        <v xml:space="preserve">  </v>
      </c>
      <c r="AB78" s="36" t="str">
        <f t="shared" si="64"/>
        <v xml:space="preserve">  </v>
      </c>
      <c r="AC78" s="37">
        <f t="shared" si="65"/>
        <v>28</v>
      </c>
      <c r="AD78" s="36" t="str">
        <f t="shared" si="66"/>
        <v>Y</v>
      </c>
      <c r="AE78" s="37">
        <f t="shared" si="67"/>
        <v>-286</v>
      </c>
      <c r="AF78" s="38">
        <f ca="1">_xlfn.IFNA(IF(AG78="",TODAY()+(VLOOKUP(A78,'Date Calcs'!A:G,7,0)*7),VLOOKUP(A78,'Actual Dates'!A:AE,21,FALSE())),"")</f>
        <v>46077</v>
      </c>
      <c r="AG78" s="38">
        <f>_xlfn.IFNA(IF(VLOOKUP(A78,'Actual Dates'!A:AE,20,0)="","",VLOOKUP(A78,'Actual Dates'!A:AE,20,0)+(VLOOKUP(A78,'Date Calcs'!A:X,22,0)*7)),"")</f>
        <v>45979</v>
      </c>
      <c r="AH78" s="38" t="str">
        <f>_xlfn.IFNA(IF($AG78="","",IF(X78="Y","DONE",VLOOKUP(A78,'Ship Date'!A:AE,27,0))),"")</f>
        <v>DONE</v>
      </c>
      <c r="AI78" s="12">
        <f t="shared" ca="1" si="37"/>
        <v>0</v>
      </c>
      <c r="AJ78" s="38" t="str">
        <f>_xlfn.IFNA(IF($AG78="","",IF(AB78="Y","DONE",VLOOKUP(A78,'Ship Date'!A:AG,29,0))),"")</f>
        <v/>
      </c>
      <c r="AK78" s="12">
        <f t="shared" ca="1" si="38"/>
        <v>0</v>
      </c>
      <c r="AL78" s="38" t="str">
        <f>_xlfn.IFNA(IF($AG78="","",IF(Z78="Y","DONE",VLOOKUP(A78,'Ship Date'!A:AI,28,0))),"")</f>
        <v/>
      </c>
      <c r="AM78" s="12">
        <f t="shared" ca="1" si="39"/>
        <v>0</v>
      </c>
      <c r="AN78" s="38" t="str">
        <f>_xlfn.IFNA(IF(T78="Y","DONE",VLOOKUP(A78,'Ship Date'!A:AE,25,0)),"")</f>
        <v>DONE</v>
      </c>
      <c r="AO78" s="12">
        <f t="shared" si="40"/>
        <v>0</v>
      </c>
      <c r="AP78" s="38" t="str">
        <f>_xlfn.IFNA(IF(AD78="Y","DONE",VLOOKUP(A78,'Ship Date'!A:AE,30,0)),"")</f>
        <v>DONE</v>
      </c>
      <c r="AQ78" s="12">
        <f t="shared" ca="1" si="41"/>
        <v>0</v>
      </c>
      <c r="AR78" s="38" t="str">
        <f>IFERROR(_xlfn.IFNA(VLOOKUP(A78,'Ship Date'!A:C,3,0),""),"")</f>
        <v/>
      </c>
      <c r="AS78" s="12" t="str">
        <f t="shared" ca="1" si="42"/>
        <v/>
      </c>
      <c r="AT78" s="38"/>
      <c r="AU78" s="41"/>
      <c r="AV78" s="38">
        <f>_xlfn.IFNA(IF(VLOOKUP(A78,'Actual Dates'!A:AE,31,0)="","",VLOOKUP(A78,'Actual Dates'!A:AE,31,0)),"")</f>
        <v>45678</v>
      </c>
      <c r="AW78" s="40"/>
    </row>
    <row r="79" spans="1:49" ht="23.25" hidden="1" x14ac:dyDescent="0.25">
      <c r="A79" s="12" t="str">
        <f>'Actual Dates'!A78</f>
        <v>25-095</v>
      </c>
      <c r="B79" s="13" t="str">
        <f t="shared" si="34"/>
        <v>Andritz</v>
      </c>
      <c r="C79" s="35"/>
      <c r="D79" s="36" t="str">
        <f t="shared" si="43"/>
        <v>Y</v>
      </c>
      <c r="E79" s="37">
        <f t="shared" si="44"/>
        <v>-1</v>
      </c>
      <c r="F79" s="36" t="str">
        <f t="shared" si="45"/>
        <v>Y</v>
      </c>
      <c r="G79" s="37" t="str">
        <f t="shared" si="46"/>
        <v/>
      </c>
      <c r="H79" s="36" t="str">
        <f t="shared" si="35"/>
        <v>Y</v>
      </c>
      <c r="I79" s="37">
        <f t="shared" si="47"/>
        <v>3</v>
      </c>
      <c r="J79" s="35"/>
      <c r="K79" s="36" t="str">
        <f t="shared" si="48"/>
        <v>Y</v>
      </c>
      <c r="L79" s="37" t="str">
        <f t="shared" si="49"/>
        <v/>
      </c>
      <c r="M79" s="37" t="str">
        <f t="shared" si="36"/>
        <v xml:space="preserve">  </v>
      </c>
      <c r="N79" s="36" t="str">
        <f t="shared" si="50"/>
        <v xml:space="preserve">  </v>
      </c>
      <c r="O79" s="37" t="str">
        <f t="shared" si="51"/>
        <v xml:space="preserve">  </v>
      </c>
      <c r="P79" s="36" t="str">
        <f t="shared" si="52"/>
        <v>Y</v>
      </c>
      <c r="Q79" s="37" t="str">
        <f t="shared" si="53"/>
        <v/>
      </c>
      <c r="R79" s="36" t="str">
        <f t="shared" si="54"/>
        <v>Y</v>
      </c>
      <c r="S79" s="37" t="str">
        <f t="shared" si="55"/>
        <v/>
      </c>
      <c r="T79" s="36" t="str">
        <f t="shared" si="56"/>
        <v xml:space="preserve">  </v>
      </c>
      <c r="U79" s="37" t="str">
        <f t="shared" si="57"/>
        <v/>
      </c>
      <c r="V79" s="36" t="str">
        <f t="shared" si="58"/>
        <v>Y</v>
      </c>
      <c r="W79" s="37" t="str">
        <f t="shared" si="59"/>
        <v xml:space="preserve">  </v>
      </c>
      <c r="X79" s="36" t="str">
        <f t="shared" si="60"/>
        <v xml:space="preserve">  </v>
      </c>
      <c r="Y79" s="37" t="str">
        <f t="shared" si="61"/>
        <v xml:space="preserve">  </v>
      </c>
      <c r="Z79" s="36" t="str">
        <f t="shared" si="62"/>
        <v xml:space="preserve">  </v>
      </c>
      <c r="AA79" s="37" t="str">
        <f t="shared" si="63"/>
        <v xml:space="preserve">  </v>
      </c>
      <c r="AB79" s="36" t="str">
        <f t="shared" si="64"/>
        <v xml:space="preserve">  </v>
      </c>
      <c r="AC79" s="37" t="str">
        <f t="shared" si="65"/>
        <v xml:space="preserve">  </v>
      </c>
      <c r="AD79" s="36" t="str">
        <f t="shared" si="66"/>
        <v xml:space="preserve">  </v>
      </c>
      <c r="AE79" s="37">
        <f t="shared" si="67"/>
        <v>-100</v>
      </c>
      <c r="AF79" s="38">
        <f ca="1">_xlfn.IFNA(IF(AG79="",TODAY()+(VLOOKUP(A79,'Date Calcs'!A:G,7,0)*7),VLOOKUP(A79,'Actual Dates'!A:AE,21,FALSE())),"")</f>
        <v>46122</v>
      </c>
      <c r="AG79" s="38" t="str">
        <f>_xlfn.IFNA(IF(VLOOKUP(A79,'Actual Dates'!A:AE,20,0)="","",VLOOKUP(A79,'Actual Dates'!A:AE,20,0)+(VLOOKUP(A79,'Date Calcs'!A:X,22,0)*7)),"")</f>
        <v/>
      </c>
      <c r="AH79" s="38" t="str">
        <f>_xlfn.IFNA(IF($AG79="","",IF(X79="Y","DONE",VLOOKUP(A79,'Ship Date'!A:AE,27,0))),"")</f>
        <v/>
      </c>
      <c r="AI79" s="12">
        <f t="shared" ca="1" si="37"/>
        <v>0</v>
      </c>
      <c r="AJ79" s="38" t="str">
        <f>_xlfn.IFNA(IF($AG79="","",IF(AB79="Y","DONE",VLOOKUP(A79,'Ship Date'!A:AG,29,0))),"")</f>
        <v/>
      </c>
      <c r="AK79" s="12">
        <f t="shared" ca="1" si="38"/>
        <v>0</v>
      </c>
      <c r="AL79" s="38" t="str">
        <f>_xlfn.IFNA(IF($AG79="","",IF(Z79="Y","DONE",VLOOKUP(A79,'Ship Date'!A:AI,28,0))),"")</f>
        <v/>
      </c>
      <c r="AM79" s="12">
        <f t="shared" ca="1" si="39"/>
        <v>0</v>
      </c>
      <c r="AN79" s="38" t="str">
        <f>_xlfn.IFNA(IF(T79="Y","DONE",VLOOKUP(A79,'Ship Date'!A:AE,25,0)),"")</f>
        <v/>
      </c>
      <c r="AO79" s="12">
        <f t="shared" si="40"/>
        <v>0</v>
      </c>
      <c r="AP79" s="38" t="str">
        <f>_xlfn.IFNA(IF(AD79="Y","DONE",VLOOKUP(A79,'Ship Date'!A:AE,30,0)),"")</f>
        <v/>
      </c>
      <c r="AQ79" s="12">
        <f t="shared" ca="1" si="41"/>
        <v>0</v>
      </c>
      <c r="AR79" s="38" t="str">
        <f>IFERROR(_xlfn.IFNA(VLOOKUP(A79,'Ship Date'!A:C,3,0),""),"")</f>
        <v/>
      </c>
      <c r="AS79" s="12" t="str">
        <f t="shared" ca="1" si="42"/>
        <v/>
      </c>
      <c r="AT79" s="38"/>
      <c r="AU79" s="41"/>
      <c r="AV79" s="38">
        <f>_xlfn.IFNA(IF(VLOOKUP(A79,'Actual Dates'!A:AE,31,0)="","",VLOOKUP(A79,'Actual Dates'!A:AE,31,0)),"")</f>
        <v>46022</v>
      </c>
      <c r="AW79" s="40"/>
    </row>
    <row r="80" spans="1:49" ht="23.25" hidden="1" x14ac:dyDescent="0.25">
      <c r="A80" s="12" t="str">
        <f>'Actual Dates'!A79</f>
        <v>25-096</v>
      </c>
      <c r="B80" s="13" t="str">
        <f t="shared" si="34"/>
        <v>Milliken</v>
      </c>
      <c r="C80" s="35"/>
      <c r="D80" s="36" t="str">
        <f t="shared" si="43"/>
        <v>Y</v>
      </c>
      <c r="E80" s="37">
        <f t="shared" si="44"/>
        <v>2</v>
      </c>
      <c r="F80" s="36" t="str">
        <f t="shared" si="45"/>
        <v>Y</v>
      </c>
      <c r="G80" s="37">
        <f t="shared" si="46"/>
        <v>-11</v>
      </c>
      <c r="H80" s="36" t="str">
        <f t="shared" si="35"/>
        <v>Y</v>
      </c>
      <c r="I80" s="37">
        <f t="shared" si="47"/>
        <v>3</v>
      </c>
      <c r="J80" s="35"/>
      <c r="K80" s="36" t="str">
        <f t="shared" si="48"/>
        <v>Y</v>
      </c>
      <c r="L80" s="37">
        <f t="shared" si="49"/>
        <v>5</v>
      </c>
      <c r="M80" s="37">
        <f t="shared" si="36"/>
        <v>4</v>
      </c>
      <c r="N80" s="36" t="str">
        <f t="shared" si="50"/>
        <v>Y</v>
      </c>
      <c r="O80" s="37">
        <f t="shared" si="51"/>
        <v>77</v>
      </c>
      <c r="P80" s="36" t="str">
        <f t="shared" si="52"/>
        <v>Y</v>
      </c>
      <c r="Q80" s="37">
        <f t="shared" si="53"/>
        <v>182555</v>
      </c>
      <c r="R80" s="36" t="str">
        <f t="shared" si="54"/>
        <v>Y</v>
      </c>
      <c r="S80" s="37">
        <f t="shared" si="55"/>
        <v>5</v>
      </c>
      <c r="T80" s="36" t="str">
        <f t="shared" si="56"/>
        <v>Y</v>
      </c>
      <c r="U80" s="37">
        <f t="shared" si="57"/>
        <v>-2</v>
      </c>
      <c r="V80" s="36" t="str">
        <f t="shared" si="58"/>
        <v>Y</v>
      </c>
      <c r="W80" s="37">
        <f t="shared" si="59"/>
        <v>25</v>
      </c>
      <c r="X80" s="36" t="str">
        <f t="shared" si="60"/>
        <v>Y</v>
      </c>
      <c r="Y80" s="37" t="str">
        <f t="shared" si="61"/>
        <v xml:space="preserve">  </v>
      </c>
      <c r="Z80" s="36" t="str">
        <f t="shared" si="62"/>
        <v xml:space="preserve">  </v>
      </c>
      <c r="AA80" s="37" t="str">
        <f t="shared" si="63"/>
        <v xml:space="preserve">  </v>
      </c>
      <c r="AB80" s="36" t="str">
        <f t="shared" si="64"/>
        <v xml:space="preserve">  </v>
      </c>
      <c r="AC80" s="37">
        <f t="shared" si="65"/>
        <v>31</v>
      </c>
      <c r="AD80" s="36" t="str">
        <f t="shared" si="66"/>
        <v>Y</v>
      </c>
      <c r="AE80" s="37">
        <f t="shared" si="67"/>
        <v>69</v>
      </c>
      <c r="AF80" s="38">
        <f ca="1">_xlfn.IFNA(IF(AG80="",TODAY()+(VLOOKUP(A80,'Date Calcs'!A:G,7,0)*7),VLOOKUP(A80,'Actual Dates'!A:AE,21,FALSE())),"")</f>
        <v>46030</v>
      </c>
      <c r="AG80" s="38">
        <f>_xlfn.IFNA(IF(VLOOKUP(A80,'Actual Dates'!A:AE,20,0)="","",VLOOKUP(A80,'Actual Dates'!A:AE,20,0)+(VLOOKUP(A80,'Date Calcs'!A:X,22,0)*7)),"")</f>
        <v>45953</v>
      </c>
      <c r="AH80" s="38" t="str">
        <f>_xlfn.IFNA(IF($AG80="","",IF(X80="Y","DONE",VLOOKUP(A80,'Ship Date'!A:AE,27,0))),"")</f>
        <v>DONE</v>
      </c>
      <c r="AI80" s="12">
        <f t="shared" ca="1" si="37"/>
        <v>0</v>
      </c>
      <c r="AJ80" s="38" t="str">
        <f>_xlfn.IFNA(IF($AG80="","",IF(AB80="Y","DONE",VLOOKUP(A80,'Ship Date'!A:AG,29,0))),"")</f>
        <v/>
      </c>
      <c r="AK80" s="12">
        <f t="shared" ca="1" si="38"/>
        <v>0</v>
      </c>
      <c r="AL80" s="38" t="str">
        <f>_xlfn.IFNA(IF($AG80="","",IF(Z80="Y","DONE",VLOOKUP(A80,'Ship Date'!A:AI,28,0))),"")</f>
        <v/>
      </c>
      <c r="AM80" s="12">
        <f t="shared" ca="1" si="39"/>
        <v>0</v>
      </c>
      <c r="AN80" s="38" t="str">
        <f>_xlfn.IFNA(IF(T80="Y","DONE",VLOOKUP(A80,'Ship Date'!A:AE,25,0)),"")</f>
        <v>DONE</v>
      </c>
      <c r="AO80" s="12">
        <f t="shared" si="40"/>
        <v>0</v>
      </c>
      <c r="AP80" s="38" t="str">
        <f>_xlfn.IFNA(IF(AD80="Y","DONE",VLOOKUP(A80,'Ship Date'!A:AE,30,0)),"")</f>
        <v>DONE</v>
      </c>
      <c r="AQ80" s="12">
        <f t="shared" ca="1" si="41"/>
        <v>0</v>
      </c>
      <c r="AR80" s="38" t="str">
        <f>IFERROR(_xlfn.IFNA(VLOOKUP(A80,'Ship Date'!A:C,3,0),""),"")</f>
        <v/>
      </c>
      <c r="AS80" s="12" t="str">
        <f t="shared" ca="1" si="42"/>
        <v/>
      </c>
      <c r="AT80" s="38"/>
      <c r="AU80" s="41"/>
      <c r="AV80" s="38">
        <f>_xlfn.IFNA(IF(VLOOKUP(A80,'Actual Dates'!A:AE,31,0)="","",VLOOKUP(A80,'Actual Dates'!A:AE,31,0)),"")</f>
        <v>46029</v>
      </c>
      <c r="AW80" s="40"/>
    </row>
    <row r="81" spans="1:49" ht="23.25" hidden="1" x14ac:dyDescent="0.25">
      <c r="A81" s="12" t="str">
        <f>'Actual Dates'!A80</f>
        <v>25-097</v>
      </c>
      <c r="B81" s="13" t="str">
        <f t="shared" si="34"/>
        <v>Milliken</v>
      </c>
      <c r="C81" s="35"/>
      <c r="D81" s="36" t="str">
        <f t="shared" si="43"/>
        <v>Y</v>
      </c>
      <c r="E81" s="37">
        <f t="shared" si="44"/>
        <v>2</v>
      </c>
      <c r="F81" s="36" t="str">
        <f t="shared" si="45"/>
        <v>Y</v>
      </c>
      <c r="G81" s="37">
        <f t="shared" si="46"/>
        <v>-11</v>
      </c>
      <c r="H81" s="36" t="str">
        <f t="shared" si="35"/>
        <v>Y</v>
      </c>
      <c r="I81" s="37">
        <f t="shared" si="47"/>
        <v>3</v>
      </c>
      <c r="J81" s="35"/>
      <c r="K81" s="36" t="str">
        <f t="shared" si="48"/>
        <v>Y</v>
      </c>
      <c r="L81" s="37">
        <f t="shared" si="49"/>
        <v>5</v>
      </c>
      <c r="M81" s="37">
        <f t="shared" si="36"/>
        <v>4</v>
      </c>
      <c r="N81" s="36" t="str">
        <f t="shared" si="50"/>
        <v>Y</v>
      </c>
      <c r="O81" s="37">
        <f t="shared" si="51"/>
        <v>77</v>
      </c>
      <c r="P81" s="36" t="str">
        <f t="shared" si="52"/>
        <v>Y</v>
      </c>
      <c r="Q81" s="37">
        <f t="shared" si="53"/>
        <v>182555</v>
      </c>
      <c r="R81" s="36" t="str">
        <f t="shared" si="54"/>
        <v>Y</v>
      </c>
      <c r="S81" s="37">
        <f t="shared" si="55"/>
        <v>5</v>
      </c>
      <c r="T81" s="36" t="str">
        <f t="shared" si="56"/>
        <v>Y</v>
      </c>
      <c r="U81" s="37">
        <f t="shared" si="57"/>
        <v>-2</v>
      </c>
      <c r="V81" s="36" t="str">
        <f t="shared" si="58"/>
        <v>Y</v>
      </c>
      <c r="W81" s="37">
        <f t="shared" si="59"/>
        <v>25</v>
      </c>
      <c r="X81" s="36" t="str">
        <f t="shared" si="60"/>
        <v>Y</v>
      </c>
      <c r="Y81" s="37" t="str">
        <f t="shared" si="61"/>
        <v xml:space="preserve">  </v>
      </c>
      <c r="Z81" s="36" t="str">
        <f t="shared" si="62"/>
        <v xml:space="preserve">  </v>
      </c>
      <c r="AA81" s="37" t="str">
        <f t="shared" si="63"/>
        <v xml:space="preserve">  </v>
      </c>
      <c r="AB81" s="36" t="str">
        <f t="shared" si="64"/>
        <v xml:space="preserve">  </v>
      </c>
      <c r="AC81" s="37">
        <f t="shared" si="65"/>
        <v>31</v>
      </c>
      <c r="AD81" s="36" t="str">
        <f t="shared" si="66"/>
        <v>Y</v>
      </c>
      <c r="AE81" s="37">
        <f t="shared" si="67"/>
        <v>69</v>
      </c>
      <c r="AF81" s="38">
        <f ca="1">_xlfn.IFNA(IF(AG81="",TODAY()+(VLOOKUP(A81,'Date Calcs'!A:G,7,0)*7),VLOOKUP(A81,'Actual Dates'!A:AE,21,FALSE())),"")</f>
        <v>46030</v>
      </c>
      <c r="AG81" s="38">
        <f>_xlfn.IFNA(IF(VLOOKUP(A81,'Actual Dates'!A:AE,20,0)="","",VLOOKUP(A81,'Actual Dates'!A:AE,20,0)+(VLOOKUP(A81,'Date Calcs'!A:X,22,0)*7)),"")</f>
        <v>45953</v>
      </c>
      <c r="AH81" s="38" t="str">
        <f>_xlfn.IFNA(IF($AG81="","",IF(X81="Y","DONE",VLOOKUP(A81,'Ship Date'!A:AE,27,0))),"")</f>
        <v>DONE</v>
      </c>
      <c r="AI81" s="12">
        <f t="shared" ca="1" si="37"/>
        <v>0</v>
      </c>
      <c r="AJ81" s="38" t="str">
        <f>_xlfn.IFNA(IF($AG81="","",IF(AB81="Y","DONE",VLOOKUP(A81,'Ship Date'!A:AG,29,0))),"")</f>
        <v/>
      </c>
      <c r="AK81" s="12">
        <f t="shared" ca="1" si="38"/>
        <v>0</v>
      </c>
      <c r="AL81" s="38" t="str">
        <f>_xlfn.IFNA(IF($AG81="","",IF(Z81="Y","DONE",VLOOKUP(A81,'Ship Date'!A:AI,28,0))),"")</f>
        <v/>
      </c>
      <c r="AM81" s="12">
        <f t="shared" ca="1" si="39"/>
        <v>0</v>
      </c>
      <c r="AN81" s="38" t="str">
        <f>_xlfn.IFNA(IF(T81="Y","DONE",VLOOKUP(A81,'Ship Date'!A:AE,25,0)),"")</f>
        <v>DONE</v>
      </c>
      <c r="AO81" s="12">
        <f t="shared" si="40"/>
        <v>0</v>
      </c>
      <c r="AP81" s="38" t="str">
        <f>_xlfn.IFNA(IF(AD81="Y","DONE",VLOOKUP(A81,'Ship Date'!A:AE,30,0)),"")</f>
        <v>DONE</v>
      </c>
      <c r="AQ81" s="12">
        <f t="shared" ca="1" si="41"/>
        <v>0</v>
      </c>
      <c r="AR81" s="38" t="str">
        <f>IFERROR(_xlfn.IFNA(VLOOKUP(A81,'Ship Date'!A:C,3,0),""),"")</f>
        <v/>
      </c>
      <c r="AS81" s="12" t="str">
        <f t="shared" ca="1" si="42"/>
        <v/>
      </c>
      <c r="AT81" s="38"/>
      <c r="AU81" s="41"/>
      <c r="AV81" s="38">
        <f>_xlfn.IFNA(IF(VLOOKUP(A81,'Actual Dates'!A:AE,31,0)="","",VLOOKUP(A81,'Actual Dates'!A:AE,31,0)),"")</f>
        <v>46029</v>
      </c>
      <c r="AW81" s="40"/>
    </row>
    <row r="82" spans="1:49" ht="23.25" x14ac:dyDescent="0.25">
      <c r="A82" s="45" t="str">
        <f>'Actual Dates'!A81</f>
        <v>25-098</v>
      </c>
      <c r="B82" s="46" t="str">
        <f t="shared" si="34"/>
        <v>Coastal Technologies</v>
      </c>
      <c r="C82" s="47"/>
      <c r="D82" s="48" t="str">
        <f t="shared" si="43"/>
        <v>Y</v>
      </c>
      <c r="E82" s="49">
        <f t="shared" si="44"/>
        <v>0</v>
      </c>
      <c r="F82" s="48" t="str">
        <f t="shared" si="45"/>
        <v>Y</v>
      </c>
      <c r="G82" s="49">
        <f t="shared" si="46"/>
        <v>2</v>
      </c>
      <c r="H82" s="48" t="str">
        <f t="shared" si="35"/>
        <v>Y</v>
      </c>
      <c r="I82" s="49">
        <f t="shared" si="47"/>
        <v>3</v>
      </c>
      <c r="J82" s="47"/>
      <c r="K82" s="48" t="str">
        <f t="shared" si="48"/>
        <v>Y</v>
      </c>
      <c r="L82" s="49">
        <f t="shared" si="49"/>
        <v>4</v>
      </c>
      <c r="M82" s="49">
        <f t="shared" si="36"/>
        <v>3</v>
      </c>
      <c r="N82" s="48" t="str">
        <f t="shared" si="50"/>
        <v>Y</v>
      </c>
      <c r="O82" s="49">
        <f t="shared" si="51"/>
        <v>167</v>
      </c>
      <c r="P82" s="48" t="str">
        <f t="shared" si="52"/>
        <v>Y</v>
      </c>
      <c r="Q82" s="49">
        <f t="shared" si="53"/>
        <v>-157</v>
      </c>
      <c r="R82" s="48" t="str">
        <f t="shared" si="54"/>
        <v>Y</v>
      </c>
      <c r="S82" s="49">
        <f t="shared" si="55"/>
        <v>6</v>
      </c>
      <c r="T82" s="48" t="str">
        <f t="shared" si="56"/>
        <v>Y</v>
      </c>
      <c r="U82" s="49">
        <f t="shared" si="57"/>
        <v>-1</v>
      </c>
      <c r="V82" s="48" t="str">
        <f t="shared" si="58"/>
        <v>Y</v>
      </c>
      <c r="W82" s="49">
        <f t="shared" si="59"/>
        <v>-42</v>
      </c>
      <c r="X82" s="48" t="str">
        <f t="shared" si="60"/>
        <v>Y</v>
      </c>
      <c r="Y82" s="49">
        <f t="shared" si="61"/>
        <v>-44</v>
      </c>
      <c r="Z82" s="48" t="str">
        <f t="shared" si="62"/>
        <v>Y</v>
      </c>
      <c r="AA82" s="49">
        <f t="shared" si="63"/>
        <v>62</v>
      </c>
      <c r="AB82" s="48" t="str">
        <f t="shared" si="64"/>
        <v>Y</v>
      </c>
      <c r="AC82" s="49">
        <f t="shared" si="65"/>
        <v>-37</v>
      </c>
      <c r="AD82" s="48" t="str">
        <f t="shared" si="66"/>
        <v>Y</v>
      </c>
      <c r="AE82" s="49" t="str">
        <f t="shared" si="67"/>
        <v xml:space="preserve">  </v>
      </c>
      <c r="AF82" s="42">
        <f ca="1">_xlfn.IFNA(IF(AG82="",TODAY()+(VLOOKUP(A82,'Date Calcs'!A:G,7,0)*7),VLOOKUP(A82,'Actual Dates'!A:AE,21,FALSE())),"")</f>
        <v>46128</v>
      </c>
      <c r="AG82" s="42">
        <f>IF(VLOOKUP(A82,'Actual Dates'!A:AE,20,0)="","",VLOOKUP(A82,'Actual Dates'!A:AE,20,0))</f>
        <v>45960</v>
      </c>
      <c r="AH82" s="42" t="str">
        <f>_xlfn.IFNA(IF($AG82="","",IF(X82="Y","DONE",VLOOKUP(A82,'Ship Date'!A:AE,27,0))),"")</f>
        <v>DONE</v>
      </c>
      <c r="AI82" s="45">
        <f t="shared" ca="1" si="37"/>
        <v>0</v>
      </c>
      <c r="AJ82" s="42" t="str">
        <f>_xlfn.IFNA(IF($AG82="","",IF(AB82="Y","DONE",VLOOKUP(A82,'Ship Date'!A:AG,29,0))),"")</f>
        <v>DONE</v>
      </c>
      <c r="AK82" s="45">
        <f t="shared" ca="1" si="38"/>
        <v>0</v>
      </c>
      <c r="AL82" s="42" t="str">
        <f>_xlfn.IFNA(IF($AG82="","",IF(Z82="Y","DONE",VLOOKUP(A82,'Ship Date'!A:AI,28,0))),"")</f>
        <v>DONE</v>
      </c>
      <c r="AM82" s="45">
        <f t="shared" ca="1" si="39"/>
        <v>0</v>
      </c>
      <c r="AN82" s="42" t="str">
        <f>_xlfn.IFNA(IF(T82="Y","DONE",VLOOKUP(A82,'Ship Date'!A:AE,25,0)),"")</f>
        <v>DONE</v>
      </c>
      <c r="AO82" s="45">
        <f t="shared" si="40"/>
        <v>0</v>
      </c>
      <c r="AP82" s="42" t="str">
        <f>_xlfn.IFNA(IF(AD82="Y","DONE",VLOOKUP(A82,'Ship Date'!A:AE,30,0)),"")</f>
        <v>DONE</v>
      </c>
      <c r="AQ82" s="45">
        <f t="shared" ca="1" si="41"/>
        <v>0</v>
      </c>
      <c r="AR82" s="42" t="str">
        <f>IFERROR(_xlfn.IFNA(VLOOKUP(A82,'Ship Date'!A:C,3,0),""),"")</f>
        <v/>
      </c>
      <c r="AS82" s="45" t="str">
        <f t="shared" ca="1" si="42"/>
        <v/>
      </c>
      <c r="AT82" s="44" t="str">
        <f>_xlfn.IFNA(IF(VLOOKUP(A82,'Actual Dates'!A:AF,32,0)="N/A"," ",VLOOKUP(A82,'Actual Dates'!A:AF,32,0))," ")</f>
        <v xml:space="preserve"> </v>
      </c>
      <c r="AU82" s="50" t="s">
        <v>48</v>
      </c>
      <c r="AV82" s="44" t="str">
        <f>_xlfn.IFNA(IF(VLOOKUP(A82,'Actual Dates'!A:AE,31,0)="","",VLOOKUP(A82,'Actual Dates'!A:AE,31,0)),"")</f>
        <v/>
      </c>
      <c r="AW82" s="40"/>
    </row>
    <row r="83" spans="1:49" ht="23.25" hidden="1" x14ac:dyDescent="0.25">
      <c r="A83" s="12" t="str">
        <f>'Actual Dates'!A82</f>
        <v>25-099</v>
      </c>
      <c r="B83" s="13" t="str">
        <f t="shared" si="34"/>
        <v>Burke Industrial</v>
      </c>
      <c r="C83" s="35"/>
      <c r="D83" s="36" t="str">
        <f t="shared" si="43"/>
        <v>Y</v>
      </c>
      <c r="E83" s="37">
        <f t="shared" si="44"/>
        <v>-1</v>
      </c>
      <c r="F83" s="36" t="str">
        <f t="shared" si="45"/>
        <v>Y</v>
      </c>
      <c r="G83" s="37">
        <f t="shared" si="46"/>
        <v>-3</v>
      </c>
      <c r="H83" s="36" t="str">
        <f t="shared" si="35"/>
        <v>Y</v>
      </c>
      <c r="I83" s="37">
        <f t="shared" si="47"/>
        <v>3</v>
      </c>
      <c r="J83" s="35"/>
      <c r="K83" s="36" t="str">
        <f t="shared" si="48"/>
        <v>Y</v>
      </c>
      <c r="L83" s="37">
        <f t="shared" si="49"/>
        <v>5</v>
      </c>
      <c r="M83" s="37">
        <f t="shared" si="36"/>
        <v>4</v>
      </c>
      <c r="N83" s="36" t="str">
        <f t="shared" si="50"/>
        <v>Y</v>
      </c>
      <c r="O83" s="37">
        <f t="shared" si="51"/>
        <v>112</v>
      </c>
      <c r="P83" s="36" t="str">
        <f t="shared" si="52"/>
        <v>Y</v>
      </c>
      <c r="Q83" s="37">
        <f t="shared" si="53"/>
        <v>-104</v>
      </c>
      <c r="R83" s="36" t="str">
        <f t="shared" si="54"/>
        <v>Y</v>
      </c>
      <c r="S83" s="37">
        <f t="shared" si="55"/>
        <v>1</v>
      </c>
      <c r="T83" s="36" t="str">
        <f t="shared" si="56"/>
        <v>Y</v>
      </c>
      <c r="U83" s="37">
        <f t="shared" si="57"/>
        <v>-6</v>
      </c>
      <c r="V83" s="36" t="str">
        <f t="shared" si="58"/>
        <v>Y</v>
      </c>
      <c r="W83" s="37">
        <f t="shared" si="59"/>
        <v>58</v>
      </c>
      <c r="X83" s="36" t="str">
        <f t="shared" si="60"/>
        <v>Y</v>
      </c>
      <c r="Y83" s="37">
        <f t="shared" si="61"/>
        <v>64</v>
      </c>
      <c r="Z83" s="36" t="str">
        <f t="shared" si="62"/>
        <v>Y</v>
      </c>
      <c r="AA83" s="37">
        <f t="shared" si="63"/>
        <v>64</v>
      </c>
      <c r="AB83" s="36" t="str">
        <f t="shared" si="64"/>
        <v>Y</v>
      </c>
      <c r="AC83" s="37">
        <f t="shared" si="65"/>
        <v>64</v>
      </c>
      <c r="AD83" s="36" t="str">
        <f t="shared" si="66"/>
        <v>Y</v>
      </c>
      <c r="AE83" s="37">
        <f t="shared" si="67"/>
        <v>133</v>
      </c>
      <c r="AF83" s="38">
        <f ca="1">_xlfn.IFNA(IF(AG83="",TODAY()+(VLOOKUP(A83,'Date Calcs'!A:G,7,0)*7),VLOOKUP(A83,'Actual Dates'!A:AE,21,FALSE())),"")</f>
        <v>46078</v>
      </c>
      <c r="AG83" s="38">
        <f>IF(VLOOKUP(A83,'Actual Dates'!A:AE,20,0)="","",VLOOKUP(A83,'Actual Dates'!A:AE,20,0))</f>
        <v>45966</v>
      </c>
      <c r="AH83" s="38" t="str">
        <f>_xlfn.IFNA(IF($AG83="","",IF(X83="Y","DONE",VLOOKUP(A83,'Ship Date'!A:AE,27,0))),"")</f>
        <v>DONE</v>
      </c>
      <c r="AI83" s="12">
        <f t="shared" ca="1" si="37"/>
        <v>0</v>
      </c>
      <c r="AJ83" s="38" t="str">
        <f>_xlfn.IFNA(IF($AG83="","",IF(AB83="Y","DONE",VLOOKUP(A83,'Ship Date'!A:AG,29,0))),"")</f>
        <v>DONE</v>
      </c>
      <c r="AK83" s="12">
        <f t="shared" ca="1" si="38"/>
        <v>0</v>
      </c>
      <c r="AL83" s="38" t="str">
        <f>_xlfn.IFNA(IF($AG83="","",IF(Z83="Y","DONE",VLOOKUP(A83,'Ship Date'!A:AI,28,0))),"")</f>
        <v>DONE</v>
      </c>
      <c r="AM83" s="12">
        <f t="shared" ca="1" si="39"/>
        <v>0</v>
      </c>
      <c r="AN83" s="38" t="str">
        <f>_xlfn.IFNA(IF(T83="Y","DONE",VLOOKUP(A83,'Ship Date'!A:AE,25,0)),"")</f>
        <v>DONE</v>
      </c>
      <c r="AO83" s="12">
        <f t="shared" si="40"/>
        <v>0</v>
      </c>
      <c r="AP83" s="38" t="str">
        <f>_xlfn.IFNA(IF(AD83="Y","DONE",VLOOKUP(A83,'Ship Date'!A:AE,30,0)),"")</f>
        <v>DONE</v>
      </c>
      <c r="AQ83" s="12">
        <f t="shared" ca="1" si="41"/>
        <v>0</v>
      </c>
      <c r="AR83" s="38" t="str">
        <f>IFERROR(_xlfn.IFNA(VLOOKUP(A83,'Ship Date'!A:C,3,0),""),"")</f>
        <v/>
      </c>
      <c r="AS83" s="12" t="str">
        <f t="shared" ca="1" si="42"/>
        <v/>
      </c>
      <c r="AT83" s="38" t="str">
        <f>_xlfn.IFNA(IF(VLOOKUP(A83,'Actual Dates'!A:AF,32,0)="N/A"," ",VLOOKUP(A83,'Actual Dates'!A:AF,32,0))," ")</f>
        <v xml:space="preserve"> </v>
      </c>
      <c r="AU83" s="39">
        <v>46106</v>
      </c>
      <c r="AV83" s="38">
        <f>_xlfn.IFNA(IF(VLOOKUP(A83,'Actual Dates'!A:AE,31,0)="","",VLOOKUP(A83,'Actual Dates'!A:AE,31,0)),"")</f>
        <v>46106</v>
      </c>
      <c r="AW83" s="40"/>
    </row>
    <row r="84" spans="1:49" ht="23.25" x14ac:dyDescent="0.25">
      <c r="A84" s="12" t="str">
        <f>'Actual Dates'!A83</f>
        <v>25-101</v>
      </c>
      <c r="B84" s="13" t="str">
        <f t="shared" si="34"/>
        <v>Harper Love</v>
      </c>
      <c r="C84" s="35"/>
      <c r="D84" s="36" t="str">
        <f t="shared" si="43"/>
        <v>Y</v>
      </c>
      <c r="E84" s="37">
        <f t="shared" si="44"/>
        <v>-1</v>
      </c>
      <c r="F84" s="36" t="str">
        <f t="shared" si="45"/>
        <v>Y</v>
      </c>
      <c r="G84" s="37">
        <f t="shared" si="46"/>
        <v>-7</v>
      </c>
      <c r="H84" s="36" t="str">
        <f t="shared" si="35"/>
        <v>Y</v>
      </c>
      <c r="I84" s="37">
        <f t="shared" si="47"/>
        <v>-36</v>
      </c>
      <c r="J84" s="35"/>
      <c r="K84" s="36" t="str">
        <f t="shared" si="48"/>
        <v>Y</v>
      </c>
      <c r="L84" s="37">
        <f t="shared" si="49"/>
        <v>5</v>
      </c>
      <c r="M84" s="37">
        <f t="shared" si="36"/>
        <v>4</v>
      </c>
      <c r="N84" s="36" t="str">
        <f t="shared" si="50"/>
        <v>Y</v>
      </c>
      <c r="O84" s="37">
        <f t="shared" si="51"/>
        <v>126</v>
      </c>
      <c r="P84" s="36" t="str">
        <f t="shared" si="52"/>
        <v>Y</v>
      </c>
      <c r="Q84" s="37">
        <f t="shared" si="53"/>
        <v>-124</v>
      </c>
      <c r="R84" s="36" t="str">
        <f t="shared" si="54"/>
        <v>Y</v>
      </c>
      <c r="S84" s="37">
        <f t="shared" si="55"/>
        <v>1</v>
      </c>
      <c r="T84" s="36" t="str">
        <f t="shared" si="56"/>
        <v>Y</v>
      </c>
      <c r="U84" s="37">
        <f t="shared" si="57"/>
        <v>-6</v>
      </c>
      <c r="V84" s="36" t="str">
        <f t="shared" si="58"/>
        <v>Y</v>
      </c>
      <c r="W84" s="37">
        <f t="shared" si="59"/>
        <v>28</v>
      </c>
      <c r="X84" s="36" t="str">
        <f t="shared" si="60"/>
        <v>Y</v>
      </c>
      <c r="Y84" s="37">
        <f t="shared" si="61"/>
        <v>25</v>
      </c>
      <c r="Z84" s="36" t="str">
        <f t="shared" si="62"/>
        <v>Y</v>
      </c>
      <c r="AA84" s="37">
        <f t="shared" si="63"/>
        <v>28</v>
      </c>
      <c r="AB84" s="36" t="str">
        <f t="shared" si="64"/>
        <v>Y</v>
      </c>
      <c r="AC84" s="37">
        <f t="shared" si="65"/>
        <v>29</v>
      </c>
      <c r="AD84" s="36" t="str">
        <f t="shared" si="66"/>
        <v>Y</v>
      </c>
      <c r="AE84" s="37" t="str">
        <f t="shared" si="67"/>
        <v xml:space="preserve">  </v>
      </c>
      <c r="AF84" s="38">
        <f ca="1">_xlfn.IFNA(IF(AG84="",TODAY()+(VLOOKUP(A84,'Date Calcs'!A:G,7,0)*7),VLOOKUP(A84,'Actual Dates'!A:AE,21,FALSE())),"")</f>
        <v>46125</v>
      </c>
      <c r="AG84" s="38">
        <f>IF(VLOOKUP(A84,'Actual Dates'!A:AE,20,0)="","",VLOOKUP(A84,'Actual Dates'!A:AE,20,0))</f>
        <v>45999</v>
      </c>
      <c r="AH84" s="38" t="str">
        <f>_xlfn.IFNA(IF($AG84="","",IF(X84="Y","DONE",VLOOKUP(A84,'Ship Date'!A:AE,27,0))),"")</f>
        <v>DONE</v>
      </c>
      <c r="AI84" s="12">
        <f t="shared" ca="1" si="37"/>
        <v>0</v>
      </c>
      <c r="AJ84" s="38" t="str">
        <f>_xlfn.IFNA(IF($AG84="","",IF(AB84="Y","DONE",VLOOKUP(A84,'Ship Date'!A:AG,29,0))),"")</f>
        <v>DONE</v>
      </c>
      <c r="AK84" s="12">
        <f t="shared" ca="1" si="38"/>
        <v>0</v>
      </c>
      <c r="AL84" s="38" t="str">
        <f>_xlfn.IFNA(IF($AG84="","",IF(Z84="Y","DONE",VLOOKUP(A84,'Ship Date'!A:AI,28,0))),"")</f>
        <v>DONE</v>
      </c>
      <c r="AM84" s="12">
        <f t="shared" ca="1" si="39"/>
        <v>0</v>
      </c>
      <c r="AN84" s="38" t="str">
        <f>_xlfn.IFNA(IF(T84="Y","DONE",VLOOKUP(A84,'Ship Date'!A:AE,25,0)),"")</f>
        <v>DONE</v>
      </c>
      <c r="AO84" s="12">
        <f t="shared" si="40"/>
        <v>0</v>
      </c>
      <c r="AP84" s="38" t="str">
        <f>_xlfn.IFNA(IF(AD84="Y","DONE",VLOOKUP(A84,'Ship Date'!A:AE,30,0)),"")</f>
        <v>DONE</v>
      </c>
      <c r="AQ84" s="12">
        <f t="shared" ca="1" si="41"/>
        <v>0</v>
      </c>
      <c r="AR84" s="38" t="str">
        <f>IFERROR(_xlfn.IFNA(VLOOKUP(A84,'Ship Date'!A:C,3,0),""),"")</f>
        <v/>
      </c>
      <c r="AS84" s="12" t="str">
        <f t="shared" ca="1" si="42"/>
        <v/>
      </c>
      <c r="AT84" s="38" t="str">
        <f>_xlfn.IFNA(IF(VLOOKUP(A84,'Actual Dates'!A:AF,32,0)="N/A"," ",VLOOKUP(A84,'Actual Dates'!A:AF,32,0))," ")</f>
        <v xml:space="preserve"> </v>
      </c>
      <c r="AU84" s="39"/>
      <c r="AV84" s="38" t="str">
        <f>_xlfn.IFNA(IF(VLOOKUP(A84,'Actual Dates'!A:AE,31,0)="","",VLOOKUP(A84,'Actual Dates'!A:AE,31,0)),"")</f>
        <v/>
      </c>
      <c r="AW84" s="40"/>
    </row>
    <row r="85" spans="1:49" ht="23.25" x14ac:dyDescent="0.25">
      <c r="A85" s="12" t="str">
        <f>'Actual Dates'!A84</f>
        <v>25-102</v>
      </c>
      <c r="B85" s="13" t="str">
        <f t="shared" si="34"/>
        <v>Epic Systems</v>
      </c>
      <c r="C85" s="35"/>
      <c r="D85" s="36" t="str">
        <f t="shared" si="43"/>
        <v>Y</v>
      </c>
      <c r="E85" s="37">
        <f t="shared" si="44"/>
        <v>0</v>
      </c>
      <c r="F85" s="36" t="str">
        <f t="shared" si="45"/>
        <v>Y</v>
      </c>
      <c r="G85" s="37">
        <f t="shared" si="46"/>
        <v>4</v>
      </c>
      <c r="H85" s="36" t="str">
        <f t="shared" si="35"/>
        <v>Y</v>
      </c>
      <c r="I85" s="37">
        <f t="shared" si="47"/>
        <v>59</v>
      </c>
      <c r="J85" s="35"/>
      <c r="K85" s="36" t="str">
        <f t="shared" si="48"/>
        <v>Y</v>
      </c>
      <c r="L85" s="37">
        <f t="shared" si="49"/>
        <v>3</v>
      </c>
      <c r="M85" s="37">
        <f t="shared" si="36"/>
        <v>2</v>
      </c>
      <c r="N85" s="36" t="str">
        <f t="shared" si="50"/>
        <v>Y</v>
      </c>
      <c r="O85" s="37">
        <f t="shared" si="51"/>
        <v>124</v>
      </c>
      <c r="P85" s="36" t="str">
        <f t="shared" si="52"/>
        <v>Y</v>
      </c>
      <c r="Q85" s="37">
        <f t="shared" si="53"/>
        <v>-125</v>
      </c>
      <c r="R85" s="36" t="str">
        <f t="shared" si="54"/>
        <v>Y</v>
      </c>
      <c r="S85" s="37">
        <f t="shared" si="55"/>
        <v>-3</v>
      </c>
      <c r="T85" s="36" t="str">
        <f t="shared" si="56"/>
        <v xml:space="preserve">  </v>
      </c>
      <c r="U85" s="37">
        <f t="shared" si="57"/>
        <v>-10</v>
      </c>
      <c r="V85" s="36" t="str">
        <f t="shared" si="58"/>
        <v>Y</v>
      </c>
      <c r="W85" s="37" t="str">
        <f t="shared" si="59"/>
        <v xml:space="preserve">  </v>
      </c>
      <c r="X85" s="36" t="str">
        <f t="shared" si="60"/>
        <v xml:space="preserve">  </v>
      </c>
      <c r="Y85" s="37">
        <f t="shared" si="61"/>
        <v>-1</v>
      </c>
      <c r="Z85" s="36" t="str">
        <f t="shared" si="62"/>
        <v>Y</v>
      </c>
      <c r="AA85" s="37" t="str">
        <f t="shared" si="63"/>
        <v xml:space="preserve">  </v>
      </c>
      <c r="AB85" s="36" t="str">
        <f t="shared" si="64"/>
        <v xml:space="preserve">  </v>
      </c>
      <c r="AC85" s="37" t="str">
        <f t="shared" si="65"/>
        <v xml:space="preserve">  </v>
      </c>
      <c r="AD85" s="36" t="str">
        <f t="shared" si="66"/>
        <v xml:space="preserve">  </v>
      </c>
      <c r="AE85" s="37" t="str">
        <f t="shared" si="67"/>
        <v xml:space="preserve">  </v>
      </c>
      <c r="AF85" s="38">
        <f ca="1">_xlfn.IFNA(IF(AG85="",TODAY()+(VLOOKUP(A85,'Date Calcs'!A:G,7,0)*7),VLOOKUP(A85,'Actual Dates'!A:AE,21,FALSE())),"")</f>
        <v>46203</v>
      </c>
      <c r="AG85" s="38">
        <f>IF(VLOOKUP(A85,'Actual Dates'!A:AE,20,0)="","",VLOOKUP(A85,'Actual Dates'!A:AE,20,0))</f>
        <v>46077</v>
      </c>
      <c r="AH85" s="38" t="str">
        <f>_xlfn.IFNA(IF($AG85="","",IF(X85="Y","DONE",VLOOKUP(A85,'Ship Date'!A:AE,27,0))),"")</f>
        <v/>
      </c>
      <c r="AI85" s="12">
        <f t="shared" ca="1" si="37"/>
        <v>0</v>
      </c>
      <c r="AJ85" s="38" t="str">
        <f>_xlfn.IFNA(IF($AG85="","",IF(AB85="Y","DONE",VLOOKUP(A85,'Ship Date'!A:AG,29,0))),"")</f>
        <v/>
      </c>
      <c r="AK85" s="12">
        <f t="shared" ca="1" si="38"/>
        <v>0</v>
      </c>
      <c r="AL85" s="38" t="str">
        <f>_xlfn.IFNA(IF($AG85="","",IF(Z85="Y","DONE",VLOOKUP(A85,'Ship Date'!A:AI,28,0))),"")</f>
        <v>DONE</v>
      </c>
      <c r="AM85" s="12">
        <f t="shared" ca="1" si="39"/>
        <v>0</v>
      </c>
      <c r="AN85" s="38" t="str">
        <f>_xlfn.IFNA(IF(T85="Y","DONE",VLOOKUP(A85,'Ship Date'!A:AE,25,0)),"")</f>
        <v/>
      </c>
      <c r="AO85" s="12">
        <f t="shared" si="40"/>
        <v>0</v>
      </c>
      <c r="AP85" s="38" t="str">
        <f>_xlfn.IFNA(IF(AD85="Y","DONE",VLOOKUP(A85,'Ship Date'!A:AE,30,0)),"")</f>
        <v/>
      </c>
      <c r="AQ85" s="12">
        <f t="shared" ca="1" si="41"/>
        <v>0</v>
      </c>
      <c r="AR85" s="38" t="str">
        <f>IFERROR(_xlfn.IFNA(VLOOKUP(A85,'Ship Date'!A:C,3,0),""),"")</f>
        <v/>
      </c>
      <c r="AS85" s="12" t="str">
        <f t="shared" ca="1" si="42"/>
        <v/>
      </c>
      <c r="AT85" s="38" t="str">
        <f>_xlfn.IFNA(IF(VLOOKUP(A85,'Actual Dates'!A:AF,32,0)="N/A"," ",VLOOKUP(A85,'Actual Dates'!A:AF,32,0))," ")</f>
        <v xml:space="preserve"> </v>
      </c>
      <c r="AU85" s="39"/>
      <c r="AV85" s="38" t="str">
        <f>_xlfn.IFNA(IF(VLOOKUP(A85,'Actual Dates'!A:AE,31,0)="","",VLOOKUP(A85,'Actual Dates'!A:AE,31,0)),"")</f>
        <v/>
      </c>
      <c r="AW85" s="40"/>
    </row>
    <row r="86" spans="1:49" ht="23.25" x14ac:dyDescent="0.25">
      <c r="A86" s="12" t="str">
        <f>'Actual Dates'!A85</f>
        <v>25-103</v>
      </c>
      <c r="B86" s="13" t="str">
        <f t="shared" si="34"/>
        <v>Epic Systems</v>
      </c>
      <c r="C86" s="35"/>
      <c r="D86" s="36" t="str">
        <f t="shared" si="43"/>
        <v>Y</v>
      </c>
      <c r="E86" s="37">
        <f t="shared" si="44"/>
        <v>0</v>
      </c>
      <c r="F86" s="36" t="str">
        <f t="shared" si="45"/>
        <v>Y</v>
      </c>
      <c r="G86" s="37">
        <f t="shared" si="46"/>
        <v>4</v>
      </c>
      <c r="H86" s="36" t="str">
        <f t="shared" si="35"/>
        <v>Y</v>
      </c>
      <c r="I86" s="37">
        <f t="shared" si="47"/>
        <v>-7</v>
      </c>
      <c r="J86" s="35"/>
      <c r="K86" s="36" t="str">
        <f t="shared" si="48"/>
        <v>Y</v>
      </c>
      <c r="L86" s="37">
        <f t="shared" si="49"/>
        <v>-2</v>
      </c>
      <c r="M86" s="37">
        <f t="shared" si="36"/>
        <v>-3</v>
      </c>
      <c r="N86" s="36" t="str">
        <f t="shared" si="50"/>
        <v>Y</v>
      </c>
      <c r="O86" s="37">
        <f t="shared" si="51"/>
        <v>119</v>
      </c>
      <c r="P86" s="36" t="str">
        <f t="shared" si="52"/>
        <v>Y</v>
      </c>
      <c r="Q86" s="37">
        <f t="shared" si="53"/>
        <v>-132</v>
      </c>
      <c r="R86" s="36" t="str">
        <f t="shared" si="54"/>
        <v>Y</v>
      </c>
      <c r="S86" s="37">
        <f t="shared" si="55"/>
        <v>-10</v>
      </c>
      <c r="T86" s="36" t="str">
        <f t="shared" si="56"/>
        <v xml:space="preserve">  </v>
      </c>
      <c r="U86" s="37">
        <f t="shared" si="57"/>
        <v>-17</v>
      </c>
      <c r="V86" s="36" t="str">
        <f t="shared" si="58"/>
        <v>Y</v>
      </c>
      <c r="W86" s="37" t="str">
        <f t="shared" si="59"/>
        <v xml:space="preserve">  </v>
      </c>
      <c r="X86" s="36" t="str">
        <f t="shared" si="60"/>
        <v xml:space="preserve">  </v>
      </c>
      <c r="Y86" s="37">
        <f t="shared" si="61"/>
        <v>-11</v>
      </c>
      <c r="Z86" s="36" t="str">
        <f t="shared" si="62"/>
        <v>Y</v>
      </c>
      <c r="AA86" s="37">
        <f t="shared" si="63"/>
        <v>-8</v>
      </c>
      <c r="AB86" s="36" t="str">
        <f t="shared" si="64"/>
        <v>Y</v>
      </c>
      <c r="AC86" s="37" t="str">
        <f t="shared" si="65"/>
        <v xml:space="preserve">  </v>
      </c>
      <c r="AD86" s="36" t="str">
        <f t="shared" si="66"/>
        <v xml:space="preserve">  </v>
      </c>
      <c r="AE86" s="37" t="str">
        <f t="shared" si="67"/>
        <v xml:space="preserve">  </v>
      </c>
      <c r="AF86" s="38">
        <f ca="1">_xlfn.IFNA(IF(AG86="",TODAY()+(VLOOKUP(A86,'Date Calcs'!A:G,7,0)*7),VLOOKUP(A86,'Actual Dates'!A:AE,21,FALSE())),"")</f>
        <v>46198</v>
      </c>
      <c r="AG86" s="38">
        <f>IF(VLOOKUP(A86,'Actual Dates'!A:AE,20,0)="","",VLOOKUP(A86,'Actual Dates'!A:AE,20,0))</f>
        <v>46072</v>
      </c>
      <c r="AH86" s="38" t="str">
        <f>_xlfn.IFNA(IF($AG86="","",IF(X86="Y","DONE",VLOOKUP(A86,'Ship Date'!A:AE,27,0))),"")</f>
        <v/>
      </c>
      <c r="AI86" s="12">
        <f t="shared" ca="1" si="37"/>
        <v>0</v>
      </c>
      <c r="AJ86" s="38" t="str">
        <f>_xlfn.IFNA(IF($AG86="","",IF(AB86="Y","DONE",VLOOKUP(A86,'Ship Date'!A:AG,29,0))),"")</f>
        <v>DONE</v>
      </c>
      <c r="AK86" s="12">
        <f t="shared" ca="1" si="38"/>
        <v>0</v>
      </c>
      <c r="AL86" s="38" t="str">
        <f>_xlfn.IFNA(IF($AG86="","",IF(Z86="Y","DONE",VLOOKUP(A86,'Ship Date'!A:AI,28,0))),"")</f>
        <v>DONE</v>
      </c>
      <c r="AM86" s="12">
        <f t="shared" ca="1" si="39"/>
        <v>0</v>
      </c>
      <c r="AN86" s="38" t="str">
        <f>_xlfn.IFNA(IF(T86="Y","DONE",VLOOKUP(A86,'Ship Date'!A:AE,25,0)),"")</f>
        <v/>
      </c>
      <c r="AO86" s="12">
        <f t="shared" si="40"/>
        <v>0</v>
      </c>
      <c r="AP86" s="38" t="str">
        <f>_xlfn.IFNA(IF(AD86="Y","DONE",VLOOKUP(A86,'Ship Date'!A:AE,30,0)),"")</f>
        <v/>
      </c>
      <c r="AQ86" s="12">
        <f t="shared" ca="1" si="41"/>
        <v>0</v>
      </c>
      <c r="AR86" s="38" t="str">
        <f>IFERROR(_xlfn.IFNA(VLOOKUP(A86,'Ship Date'!A:C,3,0),""),"")</f>
        <v/>
      </c>
      <c r="AS86" s="12" t="str">
        <f t="shared" ca="1" si="42"/>
        <v/>
      </c>
      <c r="AT86" s="38" t="str">
        <f>_xlfn.IFNA(IF(VLOOKUP(A86,'Actual Dates'!A:AF,32,0)="N/A"," ",VLOOKUP(A86,'Actual Dates'!A:AF,32,0))," ")</f>
        <v xml:space="preserve"> </v>
      </c>
      <c r="AU86" s="39"/>
      <c r="AV86" s="38" t="str">
        <f>_xlfn.IFNA(IF(VLOOKUP(A86,'Actual Dates'!A:AE,31,0)="","",VLOOKUP(A86,'Actual Dates'!A:AE,31,0)),"")</f>
        <v/>
      </c>
      <c r="AW86" s="40"/>
    </row>
    <row r="87" spans="1:49" ht="23.25" x14ac:dyDescent="0.25">
      <c r="A87" s="12" t="str">
        <f>'Actual Dates'!A86</f>
        <v>25-104</v>
      </c>
      <c r="B87" s="13" t="str">
        <f t="shared" si="34"/>
        <v>Epic Systems</v>
      </c>
      <c r="C87" s="35"/>
      <c r="D87" s="36" t="str">
        <f t="shared" si="43"/>
        <v>Y</v>
      </c>
      <c r="E87" s="37">
        <f t="shared" si="44"/>
        <v>0</v>
      </c>
      <c r="F87" s="36" t="str">
        <f t="shared" si="45"/>
        <v>Y</v>
      </c>
      <c r="G87" s="37">
        <f t="shared" si="46"/>
        <v>4</v>
      </c>
      <c r="H87" s="36" t="str">
        <f t="shared" si="35"/>
        <v>Y</v>
      </c>
      <c r="I87" s="37">
        <f t="shared" si="47"/>
        <v>-7</v>
      </c>
      <c r="J87" s="35"/>
      <c r="K87" s="36" t="str">
        <f t="shared" si="48"/>
        <v>Y</v>
      </c>
      <c r="L87" s="37">
        <f t="shared" si="49"/>
        <v>-2</v>
      </c>
      <c r="M87" s="37">
        <f t="shared" si="36"/>
        <v>-3</v>
      </c>
      <c r="N87" s="36" t="str">
        <f t="shared" si="50"/>
        <v>Y</v>
      </c>
      <c r="O87" s="37">
        <f t="shared" si="51"/>
        <v>119</v>
      </c>
      <c r="P87" s="36" t="str">
        <f t="shared" si="52"/>
        <v>Y</v>
      </c>
      <c r="Q87" s="37">
        <f t="shared" si="53"/>
        <v>-129</v>
      </c>
      <c r="R87" s="36" t="str">
        <f t="shared" si="54"/>
        <v>Y</v>
      </c>
      <c r="S87" s="37">
        <f t="shared" si="55"/>
        <v>-10</v>
      </c>
      <c r="T87" s="36" t="str">
        <f t="shared" si="56"/>
        <v xml:space="preserve">  </v>
      </c>
      <c r="U87" s="37">
        <f t="shared" si="57"/>
        <v>-17</v>
      </c>
      <c r="V87" s="36" t="str">
        <f t="shared" si="58"/>
        <v>Y</v>
      </c>
      <c r="W87" s="37" t="str">
        <f t="shared" si="59"/>
        <v xml:space="preserve">  </v>
      </c>
      <c r="X87" s="36" t="str">
        <f t="shared" si="60"/>
        <v xml:space="preserve">  </v>
      </c>
      <c r="Y87" s="37">
        <f t="shared" si="61"/>
        <v>-10</v>
      </c>
      <c r="Z87" s="36" t="str">
        <f t="shared" si="62"/>
        <v>Y</v>
      </c>
      <c r="AA87" s="37">
        <f t="shared" si="63"/>
        <v>-8</v>
      </c>
      <c r="AB87" s="36" t="str">
        <f t="shared" si="64"/>
        <v>Y</v>
      </c>
      <c r="AC87" s="37" t="str">
        <f t="shared" si="65"/>
        <v xml:space="preserve">  </v>
      </c>
      <c r="AD87" s="36" t="str">
        <f t="shared" si="66"/>
        <v xml:space="preserve">  </v>
      </c>
      <c r="AE87" s="37" t="str">
        <f t="shared" si="67"/>
        <v xml:space="preserve">  </v>
      </c>
      <c r="AF87" s="38">
        <f ca="1">_xlfn.IFNA(IF(AG87="",TODAY()+(VLOOKUP(A87,'Date Calcs'!A:G,7,0)*7),VLOOKUP(A87,'Actual Dates'!A:AE,21,FALSE())),"")</f>
        <v>46198</v>
      </c>
      <c r="AG87" s="38">
        <f>IF(VLOOKUP(A87,'Actual Dates'!A:AE,20,0)="","",VLOOKUP(A87,'Actual Dates'!A:AE,20,0))</f>
        <v>46072</v>
      </c>
      <c r="AH87" s="38" t="str">
        <f>_xlfn.IFNA(IF($AG87="","",IF(X87="Y","DONE",VLOOKUP(A87,'Ship Date'!A:AE,27,0))),"")</f>
        <v/>
      </c>
      <c r="AI87" s="12">
        <f t="shared" ca="1" si="37"/>
        <v>0</v>
      </c>
      <c r="AJ87" s="38" t="str">
        <f>_xlfn.IFNA(IF($AG87="","",IF(AB87="Y","DONE",VLOOKUP(A87,'Ship Date'!A:AG,29,0))),"")</f>
        <v>DONE</v>
      </c>
      <c r="AK87" s="12">
        <f t="shared" ca="1" si="38"/>
        <v>0</v>
      </c>
      <c r="AL87" s="38" t="str">
        <f>_xlfn.IFNA(IF($AG87="","",IF(Z87="Y","DONE",VLOOKUP(A87,'Ship Date'!A:AI,28,0))),"")</f>
        <v>DONE</v>
      </c>
      <c r="AM87" s="12">
        <f t="shared" ca="1" si="39"/>
        <v>0</v>
      </c>
      <c r="AN87" s="38" t="str">
        <f>_xlfn.IFNA(IF(T87="Y","DONE",VLOOKUP(A87,'Ship Date'!A:AE,25,0)),"")</f>
        <v/>
      </c>
      <c r="AO87" s="12">
        <f t="shared" si="40"/>
        <v>0</v>
      </c>
      <c r="AP87" s="38" t="str">
        <f>_xlfn.IFNA(IF(AD87="Y","DONE",VLOOKUP(A87,'Ship Date'!A:AE,30,0)),"")</f>
        <v/>
      </c>
      <c r="AQ87" s="12">
        <f t="shared" ca="1" si="41"/>
        <v>0</v>
      </c>
      <c r="AR87" s="38" t="str">
        <f>IFERROR(_xlfn.IFNA(VLOOKUP(A87,'Ship Date'!A:C,3,0),""),"")</f>
        <v/>
      </c>
      <c r="AS87" s="12" t="str">
        <f t="shared" ca="1" si="42"/>
        <v/>
      </c>
      <c r="AT87" s="38" t="str">
        <f>_xlfn.IFNA(IF(VLOOKUP(A87,'Actual Dates'!A:AF,32,0)="N/A"," ",VLOOKUP(A87,'Actual Dates'!A:AF,32,0))," ")</f>
        <v xml:space="preserve"> </v>
      </c>
      <c r="AU87" s="39"/>
      <c r="AV87" s="38" t="str">
        <f>_xlfn.IFNA(IF(VLOOKUP(A87,'Actual Dates'!A:AE,31,0)="","",VLOOKUP(A87,'Actual Dates'!A:AE,31,0)),"")</f>
        <v/>
      </c>
      <c r="AW87" s="40"/>
    </row>
    <row r="88" spans="1:49" ht="23.25" x14ac:dyDescent="0.25">
      <c r="A88" s="12" t="str">
        <f>'Actual Dates'!A87</f>
        <v>25-105</v>
      </c>
      <c r="B88" s="13" t="str">
        <f t="shared" si="34"/>
        <v>Epic Systems</v>
      </c>
      <c r="C88" s="35"/>
      <c r="D88" s="36" t="str">
        <f t="shared" si="43"/>
        <v>Y</v>
      </c>
      <c r="E88" s="37">
        <f t="shared" si="44"/>
        <v>0</v>
      </c>
      <c r="F88" s="36" t="str">
        <f t="shared" si="45"/>
        <v>Y</v>
      </c>
      <c r="G88" s="37">
        <f t="shared" si="46"/>
        <v>4</v>
      </c>
      <c r="H88" s="36" t="str">
        <f t="shared" si="35"/>
        <v>Y</v>
      </c>
      <c r="I88" s="37">
        <f t="shared" si="47"/>
        <v>-3</v>
      </c>
      <c r="J88" s="35"/>
      <c r="K88" s="36" t="str">
        <f t="shared" si="48"/>
        <v>Y</v>
      </c>
      <c r="L88" s="37">
        <f t="shared" si="49"/>
        <v>-2</v>
      </c>
      <c r="M88" s="37">
        <f t="shared" si="36"/>
        <v>-3</v>
      </c>
      <c r="N88" s="36" t="str">
        <f t="shared" si="50"/>
        <v>Y</v>
      </c>
      <c r="O88" s="37">
        <f t="shared" si="51"/>
        <v>119</v>
      </c>
      <c r="P88" s="36" t="str">
        <f t="shared" si="52"/>
        <v>Y</v>
      </c>
      <c r="Q88" s="37">
        <f t="shared" si="53"/>
        <v>-127</v>
      </c>
      <c r="R88" s="36" t="str">
        <f t="shared" si="54"/>
        <v>Y</v>
      </c>
      <c r="S88" s="37">
        <f t="shared" si="55"/>
        <v>-7</v>
      </c>
      <c r="T88" s="36" t="str">
        <f t="shared" si="56"/>
        <v xml:space="preserve">  </v>
      </c>
      <c r="U88" s="37">
        <f t="shared" si="57"/>
        <v>-14</v>
      </c>
      <c r="V88" s="36" t="str">
        <f t="shared" si="58"/>
        <v>Y</v>
      </c>
      <c r="W88" s="37" t="str">
        <f t="shared" si="59"/>
        <v xml:space="preserve">  </v>
      </c>
      <c r="X88" s="36" t="str">
        <f t="shared" si="60"/>
        <v xml:space="preserve">  </v>
      </c>
      <c r="Y88" s="37" t="str">
        <f t="shared" si="61"/>
        <v xml:space="preserve">  </v>
      </c>
      <c r="Z88" s="36" t="str">
        <f t="shared" si="62"/>
        <v xml:space="preserve">  </v>
      </c>
      <c r="AA88" s="37">
        <f t="shared" si="63"/>
        <v>-8</v>
      </c>
      <c r="AB88" s="36" t="str">
        <f t="shared" si="64"/>
        <v>Y</v>
      </c>
      <c r="AC88" s="37" t="str">
        <f t="shared" si="65"/>
        <v xml:space="preserve">  </v>
      </c>
      <c r="AD88" s="36" t="str">
        <f t="shared" si="66"/>
        <v xml:space="preserve">  </v>
      </c>
      <c r="AE88" s="37" t="str">
        <f t="shared" si="67"/>
        <v xml:space="preserve">  </v>
      </c>
      <c r="AF88" s="38">
        <f ca="1">_xlfn.IFNA(IF(AG88="",TODAY()+(VLOOKUP(A88,'Date Calcs'!A:G,7,0)*7),VLOOKUP(A88,'Actual Dates'!A:AE,21,FALSE())),"")</f>
        <v>46198</v>
      </c>
      <c r="AG88" s="38">
        <f>IF(VLOOKUP(A88,'Actual Dates'!A:AE,20,0)="","",VLOOKUP(A88,'Actual Dates'!A:AE,20,0))</f>
        <v>46072</v>
      </c>
      <c r="AH88" s="38" t="str">
        <f>_xlfn.IFNA(IF($AG88="","",IF(X88="Y","DONE",VLOOKUP(A88,'Ship Date'!A:AE,27,0))),"")</f>
        <v/>
      </c>
      <c r="AI88" s="12">
        <f t="shared" ca="1" si="37"/>
        <v>0</v>
      </c>
      <c r="AJ88" s="38" t="str">
        <f>_xlfn.IFNA(IF($AG88="","",IF(AB88="Y","DONE",VLOOKUP(A88,'Ship Date'!A:AG,29,0))),"")</f>
        <v>DONE</v>
      </c>
      <c r="AK88" s="12">
        <f t="shared" ca="1" si="38"/>
        <v>0</v>
      </c>
      <c r="AL88" s="38" t="str">
        <f>_xlfn.IFNA(IF($AG88="","",IF(Z88="Y","DONE",VLOOKUP(A88,'Ship Date'!A:AI,28,0))),"")</f>
        <v/>
      </c>
      <c r="AM88" s="12">
        <f t="shared" ca="1" si="39"/>
        <v>0</v>
      </c>
      <c r="AN88" s="38" t="str">
        <f>_xlfn.IFNA(IF(T88="Y","DONE",VLOOKUP(A88,'Ship Date'!A:AE,25,0)),"")</f>
        <v/>
      </c>
      <c r="AO88" s="12">
        <f t="shared" si="40"/>
        <v>0</v>
      </c>
      <c r="AP88" s="38" t="str">
        <f>_xlfn.IFNA(IF(AD88="Y","DONE",VLOOKUP(A88,'Ship Date'!A:AE,30,0)),"")</f>
        <v/>
      </c>
      <c r="AQ88" s="12">
        <f t="shared" ca="1" si="41"/>
        <v>0</v>
      </c>
      <c r="AR88" s="38" t="str">
        <f>IFERROR(_xlfn.IFNA(VLOOKUP(A88,'Ship Date'!A:C,3,0),""),"")</f>
        <v/>
      </c>
      <c r="AS88" s="12" t="str">
        <f t="shared" ca="1" si="42"/>
        <v/>
      </c>
      <c r="AT88" s="38" t="str">
        <f>_xlfn.IFNA(IF(VLOOKUP(A88,'Actual Dates'!A:AF,32,0)="N/A"," ",VLOOKUP(A88,'Actual Dates'!A:AF,32,0))," ")</f>
        <v xml:space="preserve"> </v>
      </c>
      <c r="AU88" s="39"/>
      <c r="AV88" s="38" t="str">
        <f>_xlfn.IFNA(IF(VLOOKUP(A88,'Actual Dates'!A:AE,31,0)="","",VLOOKUP(A88,'Actual Dates'!A:AE,31,0)),"")</f>
        <v/>
      </c>
      <c r="AW88" s="40"/>
    </row>
    <row r="89" spans="1:49" ht="23.25" x14ac:dyDescent="0.25">
      <c r="A89" s="12" t="str">
        <f>'Actual Dates'!A88</f>
        <v>25-106</v>
      </c>
      <c r="B89" s="13" t="str">
        <f t="shared" si="34"/>
        <v>Epic Systems</v>
      </c>
      <c r="C89" s="35"/>
      <c r="D89" s="36" t="str">
        <f t="shared" si="43"/>
        <v>Y</v>
      </c>
      <c r="E89" s="37">
        <f t="shared" si="44"/>
        <v>0</v>
      </c>
      <c r="F89" s="36" t="str">
        <f t="shared" si="45"/>
        <v>Y</v>
      </c>
      <c r="G89" s="37">
        <f t="shared" si="46"/>
        <v>4</v>
      </c>
      <c r="H89" s="36" t="str">
        <f t="shared" si="35"/>
        <v>Y</v>
      </c>
      <c r="I89" s="37">
        <f t="shared" si="47"/>
        <v>-3</v>
      </c>
      <c r="J89" s="35"/>
      <c r="K89" s="36" t="str">
        <f t="shared" si="48"/>
        <v>Y</v>
      </c>
      <c r="L89" s="37">
        <f t="shared" si="49"/>
        <v>3</v>
      </c>
      <c r="M89" s="37">
        <f t="shared" si="36"/>
        <v>2</v>
      </c>
      <c r="N89" s="36" t="str">
        <f t="shared" si="50"/>
        <v>Y</v>
      </c>
      <c r="O89" s="37">
        <f t="shared" si="51"/>
        <v>124</v>
      </c>
      <c r="P89" s="36" t="str">
        <f t="shared" si="52"/>
        <v>Y</v>
      </c>
      <c r="Q89" s="37">
        <f t="shared" si="53"/>
        <v>-120</v>
      </c>
      <c r="R89" s="36" t="str">
        <f t="shared" si="54"/>
        <v>Y</v>
      </c>
      <c r="S89" s="37">
        <f t="shared" si="55"/>
        <v>-1</v>
      </c>
      <c r="T89" s="36" t="str">
        <f t="shared" si="56"/>
        <v xml:space="preserve">  </v>
      </c>
      <c r="U89" s="37">
        <f t="shared" si="57"/>
        <v>-8</v>
      </c>
      <c r="V89" s="36" t="str">
        <f t="shared" si="58"/>
        <v>Y</v>
      </c>
      <c r="W89" s="37" t="str">
        <f t="shared" si="59"/>
        <v xml:space="preserve">  </v>
      </c>
      <c r="X89" s="36" t="str">
        <f t="shared" si="60"/>
        <v xml:space="preserve">  </v>
      </c>
      <c r="Y89" s="37" t="str">
        <f t="shared" si="61"/>
        <v xml:space="preserve">  </v>
      </c>
      <c r="Z89" s="36" t="str">
        <f t="shared" si="62"/>
        <v xml:space="preserve">  </v>
      </c>
      <c r="AA89" s="37" t="str">
        <f t="shared" si="63"/>
        <v xml:space="preserve">  </v>
      </c>
      <c r="AB89" s="36" t="str">
        <f t="shared" si="64"/>
        <v xml:space="preserve">  </v>
      </c>
      <c r="AC89" s="37" t="str">
        <f t="shared" si="65"/>
        <v xml:space="preserve">  </v>
      </c>
      <c r="AD89" s="36" t="str">
        <f t="shared" si="66"/>
        <v xml:space="preserve">  </v>
      </c>
      <c r="AE89" s="37" t="str">
        <f t="shared" si="67"/>
        <v xml:space="preserve">  </v>
      </c>
      <c r="AF89" s="38">
        <f ca="1">_xlfn.IFNA(IF(AG89="",TODAY()+(VLOOKUP(A89,'Date Calcs'!A:G,7,0)*7),VLOOKUP(A89,'Actual Dates'!A:AE,21,FALSE())),"")</f>
        <v>46203</v>
      </c>
      <c r="AG89" s="38">
        <f>IF(VLOOKUP(A89,'Actual Dates'!A:AE,20,0)="","",VLOOKUP(A89,'Actual Dates'!A:AE,20,0))</f>
        <v>46077</v>
      </c>
      <c r="AH89" s="38" t="str">
        <f>_xlfn.IFNA(IF($AG89="","",IF(X89="Y","DONE",VLOOKUP(A89,'Ship Date'!A:AE,27,0))),"")</f>
        <v/>
      </c>
      <c r="AI89" s="12">
        <f t="shared" ca="1" si="37"/>
        <v>0</v>
      </c>
      <c r="AJ89" s="38" t="str">
        <f>_xlfn.IFNA(IF($AG89="","",IF(AB89="Y","DONE",VLOOKUP(A89,'Ship Date'!A:AG,29,0))),"")</f>
        <v/>
      </c>
      <c r="AK89" s="12">
        <f t="shared" ca="1" si="38"/>
        <v>0</v>
      </c>
      <c r="AL89" s="38" t="str">
        <f>_xlfn.IFNA(IF($AG89="","",IF(Z89="Y","DONE",VLOOKUP(A89,'Ship Date'!A:AI,28,0))),"")</f>
        <v/>
      </c>
      <c r="AM89" s="12">
        <f t="shared" ca="1" si="39"/>
        <v>0</v>
      </c>
      <c r="AN89" s="38" t="str">
        <f>_xlfn.IFNA(IF(T89="Y","DONE",VLOOKUP(A89,'Ship Date'!A:AE,25,0)),"")</f>
        <v/>
      </c>
      <c r="AO89" s="12">
        <f t="shared" si="40"/>
        <v>0</v>
      </c>
      <c r="AP89" s="38" t="str">
        <f>_xlfn.IFNA(IF(AD89="Y","DONE",VLOOKUP(A89,'Ship Date'!A:AE,30,0)),"")</f>
        <v/>
      </c>
      <c r="AQ89" s="12">
        <f t="shared" ca="1" si="41"/>
        <v>0</v>
      </c>
      <c r="AR89" s="38" t="str">
        <f>IFERROR(_xlfn.IFNA(VLOOKUP(A89,'Ship Date'!A:C,3,0),""),"")</f>
        <v/>
      </c>
      <c r="AS89" s="12" t="str">
        <f t="shared" ca="1" si="42"/>
        <v/>
      </c>
      <c r="AT89" s="38" t="str">
        <f>_xlfn.IFNA(IF(VLOOKUP(A89,'Actual Dates'!A:AF,32,0)="N/A"," ",VLOOKUP(A89,'Actual Dates'!A:AF,32,0))," ")</f>
        <v xml:space="preserve"> </v>
      </c>
      <c r="AU89" s="39"/>
      <c r="AV89" s="38" t="str">
        <f>_xlfn.IFNA(IF(VLOOKUP(A89,'Actual Dates'!A:AE,31,0)="","",VLOOKUP(A89,'Actual Dates'!A:AE,31,0)),"")</f>
        <v/>
      </c>
      <c r="AW89" s="40"/>
    </row>
    <row r="90" spans="1:49" ht="23.25" x14ac:dyDescent="0.25">
      <c r="A90" s="12" t="str">
        <f>'Actual Dates'!A89</f>
        <v>25-107</v>
      </c>
      <c r="B90" s="13" t="str">
        <f t="shared" si="34"/>
        <v>Epic Systems</v>
      </c>
      <c r="C90" s="35"/>
      <c r="D90" s="36" t="str">
        <f t="shared" si="43"/>
        <v>Y</v>
      </c>
      <c r="E90" s="37">
        <f t="shared" si="44"/>
        <v>-96</v>
      </c>
      <c r="F90" s="36" t="str">
        <f t="shared" si="45"/>
        <v>Y</v>
      </c>
      <c r="G90" s="37">
        <f t="shared" si="46"/>
        <v>-4</v>
      </c>
      <c r="H90" s="36" t="str">
        <f t="shared" si="35"/>
        <v>Y</v>
      </c>
      <c r="I90" s="37">
        <f t="shared" si="47"/>
        <v>-18</v>
      </c>
      <c r="J90" s="35"/>
      <c r="K90" s="36" t="str">
        <f t="shared" si="48"/>
        <v>Y</v>
      </c>
      <c r="L90" s="37">
        <f t="shared" si="49"/>
        <v>-5</v>
      </c>
      <c r="M90" s="37">
        <f t="shared" si="36"/>
        <v>-6</v>
      </c>
      <c r="N90" s="36" t="str">
        <f t="shared" si="50"/>
        <v>Y</v>
      </c>
      <c r="O90" s="37">
        <f t="shared" si="51"/>
        <v>116</v>
      </c>
      <c r="P90" s="36" t="str">
        <f t="shared" si="52"/>
        <v xml:space="preserve">  </v>
      </c>
      <c r="Q90" s="37" t="str">
        <f t="shared" si="53"/>
        <v xml:space="preserve">  </v>
      </c>
      <c r="R90" s="36" t="str">
        <f t="shared" si="54"/>
        <v xml:space="preserve">  </v>
      </c>
      <c r="S90" s="37" t="str">
        <f t="shared" si="55"/>
        <v xml:space="preserve">  </v>
      </c>
      <c r="T90" s="36" t="str">
        <f t="shared" si="56"/>
        <v xml:space="preserve">  </v>
      </c>
      <c r="U90" s="37" t="str">
        <f t="shared" si="57"/>
        <v xml:space="preserve">  </v>
      </c>
      <c r="V90" s="36" t="str">
        <f t="shared" si="58"/>
        <v xml:space="preserve">  </v>
      </c>
      <c r="W90" s="37" t="str">
        <f t="shared" si="59"/>
        <v xml:space="preserve">  </v>
      </c>
      <c r="X90" s="36" t="str">
        <f t="shared" si="60"/>
        <v xml:space="preserve">  </v>
      </c>
      <c r="Y90" s="37" t="str">
        <f t="shared" si="61"/>
        <v xml:space="preserve">  </v>
      </c>
      <c r="Z90" s="36" t="str">
        <f t="shared" si="62"/>
        <v xml:space="preserve">  </v>
      </c>
      <c r="AA90" s="37" t="str">
        <f t="shared" si="63"/>
        <v xml:space="preserve">  </v>
      </c>
      <c r="AB90" s="36" t="str">
        <f t="shared" si="64"/>
        <v xml:space="preserve">  </v>
      </c>
      <c r="AC90" s="37" t="str">
        <f t="shared" si="65"/>
        <v xml:space="preserve">  </v>
      </c>
      <c r="AD90" s="36" t="str">
        <f t="shared" si="66"/>
        <v xml:space="preserve">  </v>
      </c>
      <c r="AE90" s="37" t="str">
        <f t="shared" si="67"/>
        <v xml:space="preserve">  </v>
      </c>
      <c r="AF90" s="38">
        <f ca="1">_xlfn.IFNA(IF(AG90="",TODAY()+(VLOOKUP(A90,'Date Calcs'!A:G,7,0)*7),VLOOKUP(A90,'Actual Dates'!A:AE,21,FALSE())),"")</f>
        <v>46237</v>
      </c>
      <c r="AG90" s="38">
        <f>IF(VLOOKUP(A90,'Actual Dates'!A:AE,20,0)="","",VLOOKUP(A90,'Actual Dates'!A:AE,20,0))</f>
        <v>46111</v>
      </c>
      <c r="AH90" s="38" t="str">
        <f>_xlfn.IFNA(IF($AG90="","",IF(X90="Y","DONE",VLOOKUP(A90,'Ship Date'!A:AE,27,0))),"")</f>
        <v/>
      </c>
      <c r="AI90" s="12">
        <f t="shared" ca="1" si="37"/>
        <v>0</v>
      </c>
      <c r="AJ90" s="38" t="str">
        <f>_xlfn.IFNA(IF($AG90="","",IF(AB90="Y","DONE",VLOOKUP(A90,'Ship Date'!A:AG,29,0))),"")</f>
        <v/>
      </c>
      <c r="AK90" s="12">
        <f t="shared" ca="1" si="38"/>
        <v>0</v>
      </c>
      <c r="AL90" s="38" t="str">
        <f>_xlfn.IFNA(IF($AG90="","",IF(Z90="Y","DONE",VLOOKUP(A90,'Ship Date'!A:AI,28,0))),"")</f>
        <v/>
      </c>
      <c r="AM90" s="12">
        <f t="shared" ca="1" si="39"/>
        <v>0</v>
      </c>
      <c r="AN90" s="38" t="str">
        <f>_xlfn.IFNA(IF(T90="Y","DONE",VLOOKUP(A90,'Ship Date'!A:AE,25,0)),"")</f>
        <v/>
      </c>
      <c r="AO90" s="12">
        <f t="shared" si="40"/>
        <v>0</v>
      </c>
      <c r="AP90" s="38" t="str">
        <f>_xlfn.IFNA(IF(AD90="Y","DONE",VLOOKUP(A90,'Ship Date'!A:AE,30,0)),"")</f>
        <v/>
      </c>
      <c r="AQ90" s="12">
        <f t="shared" ca="1" si="41"/>
        <v>0</v>
      </c>
      <c r="AR90" s="38" t="str">
        <f>IFERROR(_xlfn.IFNA(VLOOKUP(A90,'Ship Date'!A:C,3,0),""),"")</f>
        <v/>
      </c>
      <c r="AS90" s="12" t="str">
        <f t="shared" ca="1" si="42"/>
        <v/>
      </c>
      <c r="AT90" s="38" t="str">
        <f>_xlfn.IFNA(IF(VLOOKUP(A90,'Actual Dates'!A:AF,32,0)="N/A"," ",VLOOKUP(A90,'Actual Dates'!A:AF,32,0))," ")</f>
        <v xml:space="preserve"> </v>
      </c>
      <c r="AU90" s="39"/>
      <c r="AV90" s="38" t="str">
        <f>_xlfn.IFNA(IF(VLOOKUP(A90,'Actual Dates'!A:AE,31,0)="","",VLOOKUP(A90,'Actual Dates'!A:AE,31,0)),"")</f>
        <v/>
      </c>
      <c r="AW90" s="40"/>
    </row>
    <row r="91" spans="1:49" ht="23.25" x14ac:dyDescent="0.25">
      <c r="A91" s="12" t="str">
        <f>'Actual Dates'!A90</f>
        <v>25-108</v>
      </c>
      <c r="B91" s="13" t="str">
        <f t="shared" si="34"/>
        <v>Epic Systems</v>
      </c>
      <c r="C91" s="35"/>
      <c r="D91" s="36" t="str">
        <f t="shared" si="43"/>
        <v>Y</v>
      </c>
      <c r="E91" s="37">
        <f t="shared" si="44"/>
        <v>-1</v>
      </c>
      <c r="F91" s="36" t="str">
        <f t="shared" si="45"/>
        <v>Y</v>
      </c>
      <c r="G91" s="37">
        <f t="shared" si="46"/>
        <v>91</v>
      </c>
      <c r="H91" s="36" t="str">
        <f t="shared" si="35"/>
        <v>Y</v>
      </c>
      <c r="I91" s="37">
        <f t="shared" si="47"/>
        <v>-3</v>
      </c>
      <c r="J91" s="35"/>
      <c r="K91" s="36" t="str">
        <f t="shared" si="48"/>
        <v>Y</v>
      </c>
      <c r="L91" s="37" t="str">
        <f t="shared" si="49"/>
        <v/>
      </c>
      <c r="M91" s="37" t="str">
        <f t="shared" si="36"/>
        <v xml:space="preserve">  </v>
      </c>
      <c r="N91" s="36" t="str">
        <f t="shared" si="50"/>
        <v xml:space="preserve">  </v>
      </c>
      <c r="O91" s="37" t="str">
        <f t="shared" si="51"/>
        <v xml:space="preserve">  </v>
      </c>
      <c r="P91" s="36" t="str">
        <f t="shared" si="52"/>
        <v xml:space="preserve">  </v>
      </c>
      <c r="Q91" s="37" t="str">
        <f t="shared" si="53"/>
        <v xml:space="preserve">  </v>
      </c>
      <c r="R91" s="36" t="str">
        <f t="shared" si="54"/>
        <v xml:space="preserve">  </v>
      </c>
      <c r="S91" s="37" t="str">
        <f t="shared" si="55"/>
        <v xml:space="preserve">  </v>
      </c>
      <c r="T91" s="36" t="str">
        <f t="shared" si="56"/>
        <v xml:space="preserve">  </v>
      </c>
      <c r="U91" s="37" t="str">
        <f t="shared" si="57"/>
        <v xml:space="preserve">  </v>
      </c>
      <c r="V91" s="36" t="str">
        <f t="shared" si="58"/>
        <v xml:space="preserve">  </v>
      </c>
      <c r="W91" s="37" t="str">
        <f t="shared" si="59"/>
        <v xml:space="preserve">  </v>
      </c>
      <c r="X91" s="36" t="str">
        <f t="shared" si="60"/>
        <v xml:space="preserve">  </v>
      </c>
      <c r="Y91" s="37" t="str">
        <f t="shared" si="61"/>
        <v xml:space="preserve">  </v>
      </c>
      <c r="Z91" s="36" t="str">
        <f t="shared" si="62"/>
        <v xml:space="preserve">  </v>
      </c>
      <c r="AA91" s="37" t="str">
        <f t="shared" si="63"/>
        <v xml:space="preserve">  </v>
      </c>
      <c r="AB91" s="36" t="str">
        <f t="shared" si="64"/>
        <v xml:space="preserve">  </v>
      </c>
      <c r="AC91" s="37" t="str">
        <f t="shared" si="65"/>
        <v xml:space="preserve">  </v>
      </c>
      <c r="AD91" s="36" t="str">
        <f t="shared" si="66"/>
        <v xml:space="preserve">  </v>
      </c>
      <c r="AE91" s="37" t="str">
        <f t="shared" si="67"/>
        <v xml:space="preserve">  </v>
      </c>
      <c r="AF91" s="38">
        <f ca="1">_xlfn.IFNA(IF(AG91="",TODAY()+(VLOOKUP(A91,'Date Calcs'!A:G,7,0)*7),VLOOKUP(A91,'Actual Dates'!A:AE,21,FALSE())),"")</f>
        <v>46241</v>
      </c>
      <c r="AG91" s="38" t="str">
        <f>IF(VLOOKUP(A91,'Actual Dates'!A:AE,20,0)="","",VLOOKUP(A91,'Actual Dates'!A:AE,20,0))</f>
        <v/>
      </c>
      <c r="AH91" s="38" t="str">
        <f>_xlfn.IFNA(IF($AG91="","",IF(X91="Y","DONE",VLOOKUP(A91,'Ship Date'!A:AE,27,0))),"")</f>
        <v/>
      </c>
      <c r="AI91" s="12">
        <f t="shared" ca="1" si="37"/>
        <v>0</v>
      </c>
      <c r="AJ91" s="38" t="str">
        <f>_xlfn.IFNA(IF($AG91="","",IF(AB91="Y","DONE",VLOOKUP(A91,'Ship Date'!A:AG,29,0))),"")</f>
        <v/>
      </c>
      <c r="AK91" s="12">
        <f t="shared" ca="1" si="38"/>
        <v>0</v>
      </c>
      <c r="AL91" s="38" t="str">
        <f>_xlfn.IFNA(IF($AG91="","",IF(Z91="Y","DONE",VLOOKUP(A91,'Ship Date'!A:AI,28,0))),"")</f>
        <v/>
      </c>
      <c r="AM91" s="12">
        <f t="shared" ca="1" si="39"/>
        <v>0</v>
      </c>
      <c r="AN91" s="38" t="str">
        <f>_xlfn.IFNA(IF(T91="Y","DONE",VLOOKUP(A91,'Ship Date'!A:AE,25,0)),"")</f>
        <v/>
      </c>
      <c r="AO91" s="12">
        <f t="shared" si="40"/>
        <v>0</v>
      </c>
      <c r="AP91" s="38" t="str">
        <f>_xlfn.IFNA(IF(AD91="Y","DONE",VLOOKUP(A91,'Ship Date'!A:AE,30,0)),"")</f>
        <v/>
      </c>
      <c r="AQ91" s="12">
        <f t="shared" ca="1" si="41"/>
        <v>0</v>
      </c>
      <c r="AR91" s="38" t="str">
        <f>IFERROR(_xlfn.IFNA(VLOOKUP(A91,'Ship Date'!A:C,3,0),""),"")</f>
        <v/>
      </c>
      <c r="AS91" s="12" t="str">
        <f t="shared" ca="1" si="42"/>
        <v/>
      </c>
      <c r="AT91" s="38" t="str">
        <f>_xlfn.IFNA(IF(VLOOKUP(A91,'Actual Dates'!A:AF,32,0)="N/A"," ",VLOOKUP(A91,'Actual Dates'!A:AF,32,0))," ")</f>
        <v xml:space="preserve"> </v>
      </c>
      <c r="AU91" s="39"/>
      <c r="AV91" s="38" t="str">
        <f>_xlfn.IFNA(IF(VLOOKUP(A91,'Actual Dates'!A:AE,31,0)="","",VLOOKUP(A91,'Actual Dates'!A:AE,31,0)),"")</f>
        <v/>
      </c>
      <c r="AW91" s="40"/>
    </row>
    <row r="92" spans="1:49" ht="23.25" x14ac:dyDescent="0.25">
      <c r="A92" s="12" t="str">
        <f>'Actual Dates'!A91</f>
        <v>25-109</v>
      </c>
      <c r="B92" s="13" t="str">
        <f t="shared" si="34"/>
        <v>Epic Systems</v>
      </c>
      <c r="C92" s="35"/>
      <c r="D92" s="36" t="str">
        <f t="shared" si="43"/>
        <v>Y</v>
      </c>
      <c r="E92" s="37">
        <f t="shared" si="44"/>
        <v>-1</v>
      </c>
      <c r="F92" s="36" t="str">
        <f t="shared" si="45"/>
        <v>Y</v>
      </c>
      <c r="G92" s="37">
        <f t="shared" si="46"/>
        <v>-2</v>
      </c>
      <c r="H92" s="36" t="str">
        <f t="shared" si="35"/>
        <v>Y</v>
      </c>
      <c r="I92" s="37">
        <f t="shared" si="47"/>
        <v>-8</v>
      </c>
      <c r="J92" s="35"/>
      <c r="K92" s="36" t="str">
        <f t="shared" si="48"/>
        <v>Y</v>
      </c>
      <c r="L92" s="37">
        <f t="shared" si="49"/>
        <v>-2</v>
      </c>
      <c r="M92" s="37">
        <f t="shared" si="36"/>
        <v>-3</v>
      </c>
      <c r="N92" s="36" t="str">
        <f t="shared" si="50"/>
        <v>Y</v>
      </c>
      <c r="O92" s="37">
        <f t="shared" si="51"/>
        <v>119</v>
      </c>
      <c r="P92" s="36" t="str">
        <f t="shared" si="52"/>
        <v>Y</v>
      </c>
      <c r="Q92" s="37">
        <f t="shared" si="53"/>
        <v>-163</v>
      </c>
      <c r="R92" s="36" t="str">
        <f t="shared" si="54"/>
        <v>Y</v>
      </c>
      <c r="S92" s="37">
        <f t="shared" si="55"/>
        <v>-43</v>
      </c>
      <c r="T92" s="36" t="str">
        <f t="shared" si="56"/>
        <v>Y</v>
      </c>
      <c r="U92" s="37">
        <f t="shared" si="57"/>
        <v>-50</v>
      </c>
      <c r="V92" s="36" t="str">
        <f t="shared" si="58"/>
        <v>Y</v>
      </c>
      <c r="W92" s="37">
        <f t="shared" si="59"/>
        <v>21</v>
      </c>
      <c r="X92" s="36" t="str">
        <f t="shared" si="60"/>
        <v>Y</v>
      </c>
      <c r="Y92" s="37">
        <f t="shared" si="61"/>
        <v>1</v>
      </c>
      <c r="Z92" s="36" t="str">
        <f t="shared" si="62"/>
        <v>Y</v>
      </c>
      <c r="AA92" s="37">
        <f t="shared" si="63"/>
        <v>-8</v>
      </c>
      <c r="AB92" s="36" t="str">
        <f t="shared" si="64"/>
        <v>Y</v>
      </c>
      <c r="AC92" s="37">
        <f t="shared" si="65"/>
        <v>21</v>
      </c>
      <c r="AD92" s="36" t="str">
        <f t="shared" si="66"/>
        <v>Y</v>
      </c>
      <c r="AE92" s="37" t="str">
        <f t="shared" si="67"/>
        <v xml:space="preserve">  </v>
      </c>
      <c r="AF92" s="38">
        <f ca="1">_xlfn.IFNA(IF(AG92="",TODAY()+(VLOOKUP(A92,'Date Calcs'!A:G,7,0)*7),VLOOKUP(A92,'Actual Dates'!A:AE,21,FALSE())),"")</f>
        <v>46198</v>
      </c>
      <c r="AG92" s="38">
        <f>IF(VLOOKUP(A92,'Actual Dates'!A:AE,20,0)="","",VLOOKUP(A92,'Actual Dates'!A:AE,20,0))</f>
        <v>46072</v>
      </c>
      <c r="AH92" s="38" t="str">
        <f>_xlfn.IFNA(IF($AG92="","",IF(X92="Y","DONE",VLOOKUP(A92,'Ship Date'!A:AE,27,0))),"")</f>
        <v>DONE</v>
      </c>
      <c r="AI92" s="12">
        <f t="shared" ca="1" si="37"/>
        <v>0</v>
      </c>
      <c r="AJ92" s="38" t="str">
        <f>_xlfn.IFNA(IF($AG92="","",IF(AB92="Y","DONE",VLOOKUP(A92,'Ship Date'!A:AG,29,0))),"")</f>
        <v>DONE</v>
      </c>
      <c r="AK92" s="12">
        <f t="shared" ca="1" si="38"/>
        <v>0</v>
      </c>
      <c r="AL92" s="38" t="str">
        <f>_xlfn.IFNA(IF($AG92="","",IF(Z92="Y","DONE",VLOOKUP(A92,'Ship Date'!A:AI,28,0))),"")</f>
        <v>DONE</v>
      </c>
      <c r="AM92" s="12">
        <f t="shared" ca="1" si="39"/>
        <v>0</v>
      </c>
      <c r="AN92" s="38" t="str">
        <f>_xlfn.IFNA(IF(T92="Y","DONE",VLOOKUP(A92,'Ship Date'!A:AE,25,0)),"")</f>
        <v>DONE</v>
      </c>
      <c r="AO92" s="12">
        <f t="shared" si="40"/>
        <v>0</v>
      </c>
      <c r="AP92" s="38" t="str">
        <f>_xlfn.IFNA(IF(AD92="Y","DONE",VLOOKUP(A92,'Ship Date'!A:AE,30,0)),"")</f>
        <v>DONE</v>
      </c>
      <c r="AQ92" s="12">
        <f t="shared" ca="1" si="41"/>
        <v>0</v>
      </c>
      <c r="AR92" s="38" t="str">
        <f>IFERROR(_xlfn.IFNA(VLOOKUP(A92,'Ship Date'!A:C,3,0),""),"")</f>
        <v/>
      </c>
      <c r="AS92" s="12" t="str">
        <f t="shared" ca="1" si="42"/>
        <v/>
      </c>
      <c r="AT92" s="38" t="str">
        <f>_xlfn.IFNA(IF(VLOOKUP(A92,'Actual Dates'!A:AF,32,0)="N/A"," ",VLOOKUP(A92,'Actual Dates'!A:AF,32,0))," ")</f>
        <v xml:space="preserve"> </v>
      </c>
      <c r="AU92" s="39"/>
      <c r="AV92" s="38" t="str">
        <f>_xlfn.IFNA(IF(VLOOKUP(A92,'Actual Dates'!A:AE,31,0)="","",VLOOKUP(A92,'Actual Dates'!A:AE,31,0)),"")</f>
        <v/>
      </c>
      <c r="AW92" s="40"/>
    </row>
    <row r="93" spans="1:49" ht="23.25" x14ac:dyDescent="0.25">
      <c r="A93" s="12" t="str">
        <f>'Actual Dates'!A92</f>
        <v>25-110</v>
      </c>
      <c r="B93" s="13" t="str">
        <f t="shared" si="34"/>
        <v>Epic Systems</v>
      </c>
      <c r="C93" s="35"/>
      <c r="D93" s="36" t="str">
        <f t="shared" si="43"/>
        <v>Y</v>
      </c>
      <c r="E93" s="37">
        <f t="shared" si="44"/>
        <v>-1</v>
      </c>
      <c r="F93" s="36" t="str">
        <f t="shared" si="45"/>
        <v>Y</v>
      </c>
      <c r="G93" s="37">
        <f t="shared" si="46"/>
        <v>-6</v>
      </c>
      <c r="H93" s="36" t="str">
        <f t="shared" si="35"/>
        <v>Y</v>
      </c>
      <c r="I93" s="37">
        <f t="shared" si="47"/>
        <v>55</v>
      </c>
      <c r="J93" s="35"/>
      <c r="K93" s="36" t="str">
        <f t="shared" si="48"/>
        <v>Y</v>
      </c>
      <c r="L93" s="37">
        <f t="shared" si="49"/>
        <v>30</v>
      </c>
      <c r="M93" s="37">
        <f t="shared" si="36"/>
        <v>29</v>
      </c>
      <c r="N93" s="36" t="str">
        <f t="shared" si="50"/>
        <v>Y</v>
      </c>
      <c r="O93" s="37">
        <f t="shared" si="51"/>
        <v>151</v>
      </c>
      <c r="P93" s="36" t="str">
        <f t="shared" si="52"/>
        <v>Y</v>
      </c>
      <c r="Q93" s="37">
        <f t="shared" si="53"/>
        <v>-135</v>
      </c>
      <c r="R93" s="36" t="str">
        <f t="shared" si="54"/>
        <v>Y</v>
      </c>
      <c r="S93" s="37">
        <f t="shared" si="55"/>
        <v>-4</v>
      </c>
      <c r="T93" s="36" t="str">
        <f t="shared" si="56"/>
        <v>Y</v>
      </c>
      <c r="U93" s="37">
        <f t="shared" si="57"/>
        <v>-11</v>
      </c>
      <c r="V93" s="36" t="str">
        <f t="shared" si="58"/>
        <v>Y</v>
      </c>
      <c r="W93" s="37">
        <f t="shared" si="59"/>
        <v>47</v>
      </c>
      <c r="X93" s="36" t="str">
        <f t="shared" si="60"/>
        <v>Y</v>
      </c>
      <c r="Y93" s="37">
        <f t="shared" si="61"/>
        <v>28</v>
      </c>
      <c r="Z93" s="36" t="str">
        <f t="shared" si="62"/>
        <v>Y</v>
      </c>
      <c r="AA93" s="37">
        <f t="shared" si="63"/>
        <v>19</v>
      </c>
      <c r="AB93" s="36" t="str">
        <f t="shared" si="64"/>
        <v>Y</v>
      </c>
      <c r="AC93" s="37">
        <f t="shared" si="65"/>
        <v>48</v>
      </c>
      <c r="AD93" s="36" t="str">
        <f t="shared" si="66"/>
        <v>Y</v>
      </c>
      <c r="AE93" s="37" t="str">
        <f t="shared" si="67"/>
        <v xml:space="preserve">  </v>
      </c>
      <c r="AF93" s="38">
        <f ca="1">_xlfn.IFNA(IF(AG93="",TODAY()+(VLOOKUP(A93,'Date Calcs'!A:G,7,0)*7),VLOOKUP(A93,'Actual Dates'!A:AE,21,FALSE())),"")</f>
        <v>46203</v>
      </c>
      <c r="AG93" s="38">
        <f>IF(VLOOKUP(A93,'Actual Dates'!A:AE,20,0)="","",VLOOKUP(A93,'Actual Dates'!A:AE,20,0))</f>
        <v>46077</v>
      </c>
      <c r="AH93" s="38" t="str">
        <f>_xlfn.IFNA(IF($AG93="","",IF(X93="Y","DONE",VLOOKUP(A93,'Ship Date'!A:AE,27,0))),"")</f>
        <v>DONE</v>
      </c>
      <c r="AI93" s="12">
        <f t="shared" ca="1" si="37"/>
        <v>0</v>
      </c>
      <c r="AJ93" s="38" t="str">
        <f>_xlfn.IFNA(IF($AG93="","",IF(AB93="Y","DONE",VLOOKUP(A93,'Ship Date'!A:AG,29,0))),"")</f>
        <v>DONE</v>
      </c>
      <c r="AK93" s="12">
        <f t="shared" ca="1" si="38"/>
        <v>0</v>
      </c>
      <c r="AL93" s="38" t="str">
        <f>_xlfn.IFNA(IF($AG93="","",IF(Z93="Y","DONE",VLOOKUP(A93,'Ship Date'!A:AI,28,0))),"")</f>
        <v>DONE</v>
      </c>
      <c r="AM93" s="12">
        <f t="shared" ca="1" si="39"/>
        <v>0</v>
      </c>
      <c r="AN93" s="38" t="str">
        <f>_xlfn.IFNA(IF(T93="Y","DONE",VLOOKUP(A93,'Ship Date'!A:AE,25,0)),"")</f>
        <v>DONE</v>
      </c>
      <c r="AO93" s="12">
        <f t="shared" si="40"/>
        <v>0</v>
      </c>
      <c r="AP93" s="38" t="str">
        <f>_xlfn.IFNA(IF(AD93="Y","DONE",VLOOKUP(A93,'Ship Date'!A:AE,30,0)),"")</f>
        <v>DONE</v>
      </c>
      <c r="AQ93" s="12">
        <f t="shared" ca="1" si="41"/>
        <v>0</v>
      </c>
      <c r="AR93" s="38" t="str">
        <f>IFERROR(_xlfn.IFNA(VLOOKUP(A93,'Ship Date'!A:C,3,0),""),"")</f>
        <v/>
      </c>
      <c r="AS93" s="12" t="str">
        <f t="shared" ca="1" si="42"/>
        <v/>
      </c>
      <c r="AT93" s="38" t="str">
        <f>_xlfn.IFNA(IF(VLOOKUP(A93,'Actual Dates'!A:AF,32,0)="N/A"," ",VLOOKUP(A93,'Actual Dates'!A:AF,32,0))," ")</f>
        <v xml:space="preserve"> </v>
      </c>
      <c r="AU93" s="39"/>
      <c r="AV93" s="38" t="str">
        <f>_xlfn.IFNA(IF(VLOOKUP(A93,'Actual Dates'!A:AE,31,0)="","",VLOOKUP(A93,'Actual Dates'!A:AE,31,0)),"")</f>
        <v/>
      </c>
      <c r="AW93" s="40"/>
    </row>
    <row r="94" spans="1:49" ht="23.25" x14ac:dyDescent="0.25">
      <c r="A94" s="12" t="str">
        <f>'Actual Dates'!A93</f>
        <v>25-111</v>
      </c>
      <c r="B94" s="13" t="str">
        <f t="shared" si="34"/>
        <v>Epic Systems</v>
      </c>
      <c r="C94" s="35"/>
      <c r="D94" s="36" t="str">
        <f t="shared" si="43"/>
        <v>Y</v>
      </c>
      <c r="E94" s="37">
        <f t="shared" si="44"/>
        <v>-1</v>
      </c>
      <c r="F94" s="36" t="str">
        <f t="shared" si="45"/>
        <v>Y</v>
      </c>
      <c r="G94" s="37">
        <f t="shared" si="46"/>
        <v>18</v>
      </c>
      <c r="H94" s="36" t="str">
        <f t="shared" si="35"/>
        <v>Y</v>
      </c>
      <c r="I94" s="37">
        <f t="shared" si="47"/>
        <v>55</v>
      </c>
      <c r="J94" s="35"/>
      <c r="K94" s="36" t="str">
        <f t="shared" si="48"/>
        <v>Y</v>
      </c>
      <c r="L94" s="37">
        <f t="shared" si="49"/>
        <v>30</v>
      </c>
      <c r="M94" s="37">
        <f t="shared" si="36"/>
        <v>29</v>
      </c>
      <c r="N94" s="36" t="str">
        <f t="shared" si="50"/>
        <v>Y</v>
      </c>
      <c r="O94" s="37">
        <f t="shared" si="51"/>
        <v>151</v>
      </c>
      <c r="P94" s="36" t="str">
        <f t="shared" si="52"/>
        <v>Y</v>
      </c>
      <c r="Q94" s="37">
        <f t="shared" si="53"/>
        <v>-93</v>
      </c>
      <c r="R94" s="36" t="str">
        <f t="shared" si="54"/>
        <v>Y</v>
      </c>
      <c r="S94" s="37">
        <f t="shared" si="55"/>
        <v>31</v>
      </c>
      <c r="T94" s="36" t="str">
        <f t="shared" si="56"/>
        <v xml:space="preserve">  </v>
      </c>
      <c r="U94" s="37">
        <f t="shared" si="57"/>
        <v>24</v>
      </c>
      <c r="V94" s="36" t="str">
        <f t="shared" si="58"/>
        <v>Y</v>
      </c>
      <c r="W94" s="37">
        <f t="shared" si="59"/>
        <v>46</v>
      </c>
      <c r="X94" s="36" t="str">
        <f t="shared" si="60"/>
        <v>Y</v>
      </c>
      <c r="Y94" s="37" t="str">
        <f t="shared" si="61"/>
        <v xml:space="preserve">  </v>
      </c>
      <c r="Z94" s="36" t="str">
        <f t="shared" si="62"/>
        <v xml:space="preserve">  </v>
      </c>
      <c r="AA94" s="37">
        <f t="shared" si="63"/>
        <v>19</v>
      </c>
      <c r="AB94" s="36" t="str">
        <f t="shared" si="64"/>
        <v>Y</v>
      </c>
      <c r="AC94" s="37" t="str">
        <f t="shared" si="65"/>
        <v xml:space="preserve">  </v>
      </c>
      <c r="AD94" s="36" t="str">
        <f t="shared" si="66"/>
        <v xml:space="preserve">  </v>
      </c>
      <c r="AE94" s="37" t="str">
        <f t="shared" si="67"/>
        <v xml:space="preserve">  </v>
      </c>
      <c r="AF94" s="38">
        <f ca="1">_xlfn.IFNA(IF(AG94="",TODAY()+(VLOOKUP(A94,'Date Calcs'!A:G,7,0)*7),VLOOKUP(A94,'Actual Dates'!A:AE,21,FALSE())),"")</f>
        <v>46203</v>
      </c>
      <c r="AG94" s="38">
        <f>IF(VLOOKUP(A94,'Actual Dates'!A:AE,20,0)="","",VLOOKUP(A94,'Actual Dates'!A:AE,20,0))</f>
        <v>46077</v>
      </c>
      <c r="AH94" s="38" t="str">
        <f>_xlfn.IFNA(IF($AG94="","",IF(X94="Y","DONE",VLOOKUP(A94,'Ship Date'!A:AE,27,0))),"")</f>
        <v>DONE</v>
      </c>
      <c r="AI94" s="12">
        <f t="shared" ca="1" si="37"/>
        <v>0</v>
      </c>
      <c r="AJ94" s="38" t="str">
        <f>_xlfn.IFNA(IF($AG94="","",IF(AB94="Y","DONE",VLOOKUP(A94,'Ship Date'!A:AG,29,0))),"")</f>
        <v>DONE</v>
      </c>
      <c r="AK94" s="12">
        <f t="shared" ca="1" si="38"/>
        <v>0</v>
      </c>
      <c r="AL94" s="38" t="str">
        <f>_xlfn.IFNA(IF($AG94="","",IF(Z94="Y","DONE",VLOOKUP(A94,'Ship Date'!A:AI,28,0))),"")</f>
        <v/>
      </c>
      <c r="AM94" s="12">
        <f t="shared" ca="1" si="39"/>
        <v>0</v>
      </c>
      <c r="AN94" s="38" t="str">
        <f>_xlfn.IFNA(IF(T94="Y","DONE",VLOOKUP(A94,'Ship Date'!A:AE,25,0)),"")</f>
        <v/>
      </c>
      <c r="AO94" s="12">
        <f t="shared" si="40"/>
        <v>0</v>
      </c>
      <c r="AP94" s="38" t="str">
        <f>_xlfn.IFNA(IF(AD94="Y","DONE",VLOOKUP(A94,'Ship Date'!A:AE,30,0)),"")</f>
        <v/>
      </c>
      <c r="AQ94" s="12">
        <f t="shared" ca="1" si="41"/>
        <v>0</v>
      </c>
      <c r="AR94" s="38" t="str">
        <f>IFERROR(_xlfn.IFNA(VLOOKUP(A94,'Ship Date'!A:C,3,0),""),"")</f>
        <v/>
      </c>
      <c r="AS94" s="12" t="str">
        <f t="shared" ca="1" si="42"/>
        <v/>
      </c>
      <c r="AT94" s="38" t="str">
        <f>_xlfn.IFNA(IF(VLOOKUP(A94,'Actual Dates'!A:AF,32,0)="N/A"," ",VLOOKUP(A94,'Actual Dates'!A:AF,32,0))," ")</f>
        <v xml:space="preserve"> </v>
      </c>
      <c r="AU94" s="39"/>
      <c r="AV94" s="38" t="str">
        <f>_xlfn.IFNA(IF(VLOOKUP(A94,'Actual Dates'!A:AE,31,0)="","",VLOOKUP(A94,'Actual Dates'!A:AE,31,0)),"")</f>
        <v/>
      </c>
      <c r="AW94" s="40"/>
    </row>
    <row r="95" spans="1:49" ht="23.25" x14ac:dyDescent="0.25">
      <c r="A95" s="12" t="str">
        <f>'Actual Dates'!A94</f>
        <v>25-112</v>
      </c>
      <c r="B95" s="13" t="str">
        <f t="shared" si="34"/>
        <v>Epic Systems</v>
      </c>
      <c r="C95" s="35"/>
      <c r="D95" s="36" t="str">
        <f t="shared" si="43"/>
        <v>Y</v>
      </c>
      <c r="E95" s="37">
        <f t="shared" si="44"/>
        <v>-1</v>
      </c>
      <c r="F95" s="36" t="str">
        <f t="shared" si="45"/>
        <v>Y</v>
      </c>
      <c r="G95" s="37">
        <f t="shared" si="46"/>
        <v>18</v>
      </c>
      <c r="H95" s="36" t="str">
        <f t="shared" si="35"/>
        <v>Y</v>
      </c>
      <c r="I95" s="37" t="str">
        <f t="shared" si="47"/>
        <v/>
      </c>
      <c r="J95" s="35"/>
      <c r="K95" s="36" t="str">
        <f t="shared" si="48"/>
        <v>Y</v>
      </c>
      <c r="L95" s="37">
        <f t="shared" si="49"/>
        <v>30</v>
      </c>
      <c r="M95" s="37">
        <f t="shared" si="36"/>
        <v>29</v>
      </c>
      <c r="N95" s="36" t="str">
        <f t="shared" si="50"/>
        <v>Y</v>
      </c>
      <c r="O95" s="37">
        <f t="shared" si="51"/>
        <v>151</v>
      </c>
      <c r="P95" s="36" t="str">
        <f t="shared" si="52"/>
        <v>Y</v>
      </c>
      <c r="Q95" s="37">
        <f t="shared" si="53"/>
        <v>-93</v>
      </c>
      <c r="R95" s="36" t="str">
        <f t="shared" si="54"/>
        <v>Y</v>
      </c>
      <c r="S95" s="37">
        <f t="shared" si="55"/>
        <v>31</v>
      </c>
      <c r="T95" s="36" t="str">
        <f t="shared" si="56"/>
        <v xml:space="preserve">  </v>
      </c>
      <c r="U95" s="37">
        <f t="shared" si="57"/>
        <v>24</v>
      </c>
      <c r="V95" s="36" t="str">
        <f t="shared" si="58"/>
        <v>Y</v>
      </c>
      <c r="W95" s="37" t="str">
        <f t="shared" si="59"/>
        <v xml:space="preserve">  </v>
      </c>
      <c r="X95" s="36" t="str">
        <f t="shared" si="60"/>
        <v xml:space="preserve">  </v>
      </c>
      <c r="Y95" s="37" t="str">
        <f t="shared" si="61"/>
        <v xml:space="preserve">  </v>
      </c>
      <c r="Z95" s="36" t="str">
        <f t="shared" si="62"/>
        <v xml:space="preserve">  </v>
      </c>
      <c r="AA95" s="37">
        <f t="shared" si="63"/>
        <v>19</v>
      </c>
      <c r="AB95" s="36" t="str">
        <f t="shared" si="64"/>
        <v>Y</v>
      </c>
      <c r="AC95" s="37" t="str">
        <f t="shared" si="65"/>
        <v xml:space="preserve">  </v>
      </c>
      <c r="AD95" s="36" t="str">
        <f t="shared" si="66"/>
        <v xml:space="preserve">  </v>
      </c>
      <c r="AE95" s="37" t="str">
        <f t="shared" si="67"/>
        <v xml:space="preserve">  </v>
      </c>
      <c r="AF95" s="38">
        <f ca="1">_xlfn.IFNA(IF(AG95="",TODAY()+(VLOOKUP(A95,'Date Calcs'!A:G,7,0)*7),VLOOKUP(A95,'Actual Dates'!A:AE,21,FALSE())),"")</f>
        <v>46203</v>
      </c>
      <c r="AG95" s="38">
        <f>IF(VLOOKUP(A95,'Actual Dates'!A:AE,20,0)="","",VLOOKUP(A95,'Actual Dates'!A:AE,20,0))</f>
        <v>46077</v>
      </c>
      <c r="AH95" s="38" t="str">
        <f>_xlfn.IFNA(IF($AG95="","",IF(X95="Y","DONE",VLOOKUP(A95,'Ship Date'!A:AE,27,0))),"")</f>
        <v/>
      </c>
      <c r="AI95" s="12">
        <f t="shared" ca="1" si="37"/>
        <v>0</v>
      </c>
      <c r="AJ95" s="38" t="str">
        <f>_xlfn.IFNA(IF($AG95="","",IF(AB95="Y","DONE",VLOOKUP(A95,'Ship Date'!A:AG,29,0))),"")</f>
        <v>DONE</v>
      </c>
      <c r="AK95" s="12">
        <f t="shared" ca="1" si="38"/>
        <v>0</v>
      </c>
      <c r="AL95" s="38" t="str">
        <f>_xlfn.IFNA(IF($AG95="","",IF(Z95="Y","DONE",VLOOKUP(A95,'Ship Date'!A:AI,28,0))),"")</f>
        <v/>
      </c>
      <c r="AM95" s="12">
        <f t="shared" ca="1" si="39"/>
        <v>0</v>
      </c>
      <c r="AN95" s="38" t="str">
        <f>_xlfn.IFNA(IF(T95="Y","DONE",VLOOKUP(A95,'Ship Date'!A:AE,25,0)),"")</f>
        <v/>
      </c>
      <c r="AO95" s="12">
        <f t="shared" si="40"/>
        <v>0</v>
      </c>
      <c r="AP95" s="38" t="str">
        <f>_xlfn.IFNA(IF(AD95="Y","DONE",VLOOKUP(A95,'Ship Date'!A:AE,30,0)),"")</f>
        <v/>
      </c>
      <c r="AQ95" s="12">
        <f t="shared" ca="1" si="41"/>
        <v>0</v>
      </c>
      <c r="AR95" s="38" t="str">
        <f>IFERROR(_xlfn.IFNA(VLOOKUP(A95,'Ship Date'!A:C,3,0),""),"")</f>
        <v/>
      </c>
      <c r="AS95" s="12" t="str">
        <f t="shared" ca="1" si="42"/>
        <v/>
      </c>
      <c r="AT95" s="38" t="str">
        <f>_xlfn.IFNA(IF(VLOOKUP(A95,'Actual Dates'!A:AF,32,0)="N/A"," ",VLOOKUP(A95,'Actual Dates'!A:AF,32,0))," ")</f>
        <v xml:space="preserve"> </v>
      </c>
      <c r="AU95" s="39"/>
      <c r="AV95" s="38" t="str">
        <f>_xlfn.IFNA(IF(VLOOKUP(A95,'Actual Dates'!A:AE,31,0)="","",VLOOKUP(A95,'Actual Dates'!A:AE,31,0)),"")</f>
        <v/>
      </c>
      <c r="AW95" s="40"/>
    </row>
    <row r="96" spans="1:49" ht="23.25" x14ac:dyDescent="0.25">
      <c r="A96" s="12" t="str">
        <f>'Actual Dates'!A95</f>
        <v>25-113</v>
      </c>
      <c r="B96" s="13" t="str">
        <f t="shared" si="34"/>
        <v>Epic Systems</v>
      </c>
      <c r="C96" s="35"/>
      <c r="D96" s="36" t="str">
        <f t="shared" si="43"/>
        <v>Y</v>
      </c>
      <c r="E96" s="37">
        <f t="shared" si="44"/>
        <v>0</v>
      </c>
      <c r="F96" s="36" t="str">
        <f t="shared" si="45"/>
        <v>Y</v>
      </c>
      <c r="G96" s="37">
        <f t="shared" si="46"/>
        <v>3</v>
      </c>
      <c r="H96" s="36" t="str">
        <f t="shared" si="35"/>
        <v>Y</v>
      </c>
      <c r="I96" s="37">
        <f t="shared" si="47"/>
        <v>-4</v>
      </c>
      <c r="J96" s="35"/>
      <c r="K96" s="36" t="str">
        <f t="shared" si="48"/>
        <v>Y</v>
      </c>
      <c r="L96" s="37">
        <f t="shared" si="49"/>
        <v>-2</v>
      </c>
      <c r="M96" s="37">
        <f t="shared" si="36"/>
        <v>-3</v>
      </c>
      <c r="N96" s="36" t="str">
        <f t="shared" si="50"/>
        <v>Y</v>
      </c>
      <c r="O96" s="37">
        <f t="shared" si="51"/>
        <v>119</v>
      </c>
      <c r="P96" s="36" t="str">
        <f t="shared" si="52"/>
        <v>Y</v>
      </c>
      <c r="Q96" s="37">
        <f t="shared" si="53"/>
        <v>-127</v>
      </c>
      <c r="R96" s="36" t="str">
        <f t="shared" si="54"/>
        <v>Y</v>
      </c>
      <c r="S96" s="37">
        <f t="shared" si="55"/>
        <v>-1</v>
      </c>
      <c r="T96" s="36" t="str">
        <f t="shared" si="56"/>
        <v xml:space="preserve">  </v>
      </c>
      <c r="U96" s="37">
        <f t="shared" si="57"/>
        <v>-8</v>
      </c>
      <c r="V96" s="36" t="str">
        <f t="shared" si="58"/>
        <v>Y</v>
      </c>
      <c r="W96" s="37">
        <f t="shared" si="59"/>
        <v>-8</v>
      </c>
      <c r="X96" s="36" t="str">
        <f t="shared" si="60"/>
        <v>Y</v>
      </c>
      <c r="Y96" s="37" t="str">
        <f t="shared" si="61"/>
        <v xml:space="preserve">  </v>
      </c>
      <c r="Z96" s="36" t="str">
        <f t="shared" si="62"/>
        <v xml:space="preserve">  </v>
      </c>
      <c r="AA96" s="37" t="str">
        <f t="shared" si="63"/>
        <v xml:space="preserve">  </v>
      </c>
      <c r="AB96" s="36" t="str">
        <f t="shared" si="64"/>
        <v xml:space="preserve">  </v>
      </c>
      <c r="AC96" s="37" t="str">
        <f t="shared" si="65"/>
        <v xml:space="preserve">  </v>
      </c>
      <c r="AD96" s="36" t="str">
        <f t="shared" si="66"/>
        <v xml:space="preserve">  </v>
      </c>
      <c r="AE96" s="37" t="str">
        <f t="shared" si="67"/>
        <v xml:space="preserve">  </v>
      </c>
      <c r="AF96" s="38">
        <f ca="1">_xlfn.IFNA(IF(AG96="",TODAY()+(VLOOKUP(A96,'Date Calcs'!A:G,7,0)*7),VLOOKUP(A96,'Actual Dates'!A:AE,21,FALSE())),"")</f>
        <v>46226</v>
      </c>
      <c r="AG96" s="38">
        <f>IF(VLOOKUP(A96,'Actual Dates'!A:AE,20,0)="","",VLOOKUP(A96,'Actual Dates'!A:AE,20,0))</f>
        <v>46100</v>
      </c>
      <c r="AH96" s="38" t="str">
        <f>_xlfn.IFNA(IF($AG96="","",IF(X96="Y","DONE",VLOOKUP(A96,'Ship Date'!A:AE,27,0))),"")</f>
        <v>DONE</v>
      </c>
      <c r="AI96" s="12">
        <f t="shared" ca="1" si="37"/>
        <v>0</v>
      </c>
      <c r="AJ96" s="38" t="str">
        <f>_xlfn.IFNA(IF($AG96="","",IF(AB96="Y","DONE",VLOOKUP(A96,'Ship Date'!A:AG,29,0))),"")</f>
        <v/>
      </c>
      <c r="AK96" s="12">
        <f t="shared" ca="1" si="38"/>
        <v>0</v>
      </c>
      <c r="AL96" s="38" t="str">
        <f>_xlfn.IFNA(IF($AG96="","",IF(Z96="Y","DONE",VLOOKUP(A96,'Ship Date'!A:AI,28,0))),"")</f>
        <v/>
      </c>
      <c r="AM96" s="12">
        <f t="shared" ca="1" si="39"/>
        <v>0</v>
      </c>
      <c r="AN96" s="38" t="str">
        <f>_xlfn.IFNA(IF(T96="Y","DONE",VLOOKUP(A96,'Ship Date'!A:AE,25,0)),"")</f>
        <v/>
      </c>
      <c r="AO96" s="12">
        <f t="shared" si="40"/>
        <v>0</v>
      </c>
      <c r="AP96" s="38" t="str">
        <f>_xlfn.IFNA(IF(AD96="Y","DONE",VLOOKUP(A96,'Ship Date'!A:AE,30,0)),"")</f>
        <v/>
      </c>
      <c r="AQ96" s="12">
        <f t="shared" ca="1" si="41"/>
        <v>0</v>
      </c>
      <c r="AR96" s="38" t="str">
        <f>IFERROR(_xlfn.IFNA(VLOOKUP(A96,'Ship Date'!A:C,3,0),""),"")</f>
        <v/>
      </c>
      <c r="AS96" s="12" t="str">
        <f t="shared" ca="1" si="42"/>
        <v/>
      </c>
      <c r="AT96" s="38" t="str">
        <f>_xlfn.IFNA(IF(VLOOKUP(A96,'Actual Dates'!A:AF,32,0)="N/A"," ",VLOOKUP(A96,'Actual Dates'!A:AF,32,0))," ")</f>
        <v xml:space="preserve"> </v>
      </c>
      <c r="AU96" s="39"/>
      <c r="AV96" s="38" t="str">
        <f>_xlfn.IFNA(IF(VLOOKUP(A96,'Actual Dates'!A:AE,31,0)="","",VLOOKUP(A96,'Actual Dates'!A:AE,31,0)),"")</f>
        <v/>
      </c>
      <c r="AW96" s="40"/>
    </row>
    <row r="97" spans="1:49" ht="23.25" x14ac:dyDescent="0.25">
      <c r="A97" s="12" t="str">
        <f>'Actual Dates'!A96</f>
        <v>25-115</v>
      </c>
      <c r="B97" s="13" t="str">
        <f t="shared" si="34"/>
        <v>Epic Systems</v>
      </c>
      <c r="C97" s="35"/>
      <c r="D97" s="36" t="str">
        <f t="shared" si="43"/>
        <v>Y</v>
      </c>
      <c r="E97" s="37">
        <f t="shared" si="44"/>
        <v>-1</v>
      </c>
      <c r="F97" s="36" t="str">
        <f t="shared" si="45"/>
        <v>Y</v>
      </c>
      <c r="G97" s="37">
        <f t="shared" si="46"/>
        <v>-2</v>
      </c>
      <c r="H97" s="36" t="str">
        <f t="shared" si="35"/>
        <v>Y</v>
      </c>
      <c r="I97" s="37">
        <f t="shared" si="47"/>
        <v>-2</v>
      </c>
      <c r="J97" s="35"/>
      <c r="K97" s="36" t="str">
        <f t="shared" si="48"/>
        <v>Y</v>
      </c>
      <c r="L97" s="37">
        <f t="shared" si="49"/>
        <v>-2</v>
      </c>
      <c r="M97" s="37">
        <f t="shared" si="36"/>
        <v>-3</v>
      </c>
      <c r="N97" s="36" t="str">
        <f t="shared" si="50"/>
        <v>Y</v>
      </c>
      <c r="O97" s="37">
        <f t="shared" si="51"/>
        <v>119</v>
      </c>
      <c r="P97" s="36" t="str">
        <f t="shared" si="52"/>
        <v>Y</v>
      </c>
      <c r="Q97" s="37">
        <f t="shared" si="53"/>
        <v>-127</v>
      </c>
      <c r="R97" s="36" t="str">
        <f t="shared" si="54"/>
        <v>Y</v>
      </c>
      <c r="S97" s="37">
        <f t="shared" si="55"/>
        <v>-7</v>
      </c>
      <c r="T97" s="36" t="str">
        <f t="shared" si="56"/>
        <v xml:space="preserve">  </v>
      </c>
      <c r="U97" s="37">
        <f t="shared" si="57"/>
        <v>-14</v>
      </c>
      <c r="V97" s="36" t="str">
        <f t="shared" si="58"/>
        <v>Y</v>
      </c>
      <c r="W97" s="37" t="str">
        <f t="shared" si="59"/>
        <v xml:space="preserve">  </v>
      </c>
      <c r="X97" s="36" t="str">
        <f t="shared" si="60"/>
        <v xml:space="preserve">  </v>
      </c>
      <c r="Y97" s="37" t="str">
        <f t="shared" si="61"/>
        <v xml:space="preserve">  </v>
      </c>
      <c r="Z97" s="36" t="str">
        <f t="shared" si="62"/>
        <v xml:space="preserve">  </v>
      </c>
      <c r="AA97" s="37" t="str">
        <f t="shared" si="63"/>
        <v xml:space="preserve">  </v>
      </c>
      <c r="AB97" s="36" t="str">
        <f t="shared" si="64"/>
        <v xml:space="preserve">  </v>
      </c>
      <c r="AC97" s="37" t="str">
        <f t="shared" si="65"/>
        <v xml:space="preserve">  </v>
      </c>
      <c r="AD97" s="36" t="str">
        <f t="shared" si="66"/>
        <v xml:space="preserve">  </v>
      </c>
      <c r="AE97" s="37" t="str">
        <f t="shared" si="67"/>
        <v xml:space="preserve">  </v>
      </c>
      <c r="AF97" s="38">
        <f ca="1">_xlfn.IFNA(IF(AG97="",TODAY()+(VLOOKUP(A97,'Date Calcs'!A:G,7,0)*7),VLOOKUP(A97,'Actual Dates'!A:AE,21,FALSE())),"")</f>
        <v>46198</v>
      </c>
      <c r="AG97" s="38">
        <f>IF(VLOOKUP(A97,'Actual Dates'!A:AE,20,0)="","",VLOOKUP(A97,'Actual Dates'!A:AE,20,0))</f>
        <v>46072</v>
      </c>
      <c r="AH97" s="38" t="str">
        <f>_xlfn.IFNA(IF($AG97="","",IF(X97="Y","DONE",VLOOKUP(A97,'Ship Date'!A:AE,27,0))),"")</f>
        <v/>
      </c>
      <c r="AI97" s="12">
        <f t="shared" ca="1" si="37"/>
        <v>0</v>
      </c>
      <c r="AJ97" s="38" t="str">
        <f>_xlfn.IFNA(IF($AG97="","",IF(AB97="Y","DONE",VLOOKUP(A97,'Ship Date'!A:AG,29,0))),"")</f>
        <v/>
      </c>
      <c r="AK97" s="12">
        <f t="shared" ca="1" si="38"/>
        <v>0</v>
      </c>
      <c r="AL97" s="38" t="str">
        <f>_xlfn.IFNA(IF($AG97="","",IF(Z97="Y","DONE",VLOOKUP(A97,'Ship Date'!A:AI,28,0))),"")</f>
        <v/>
      </c>
      <c r="AM97" s="12">
        <f t="shared" ca="1" si="39"/>
        <v>0</v>
      </c>
      <c r="AN97" s="38" t="str">
        <f>_xlfn.IFNA(IF(T97="Y","DONE",VLOOKUP(A97,'Ship Date'!A:AE,25,0)),"")</f>
        <v/>
      </c>
      <c r="AO97" s="12">
        <f t="shared" si="40"/>
        <v>0</v>
      </c>
      <c r="AP97" s="38" t="str">
        <f>_xlfn.IFNA(IF(AD97="Y","DONE",VLOOKUP(A97,'Ship Date'!A:AE,30,0)),"")</f>
        <v/>
      </c>
      <c r="AQ97" s="12">
        <f t="shared" ca="1" si="41"/>
        <v>0</v>
      </c>
      <c r="AR97" s="38" t="str">
        <f>IFERROR(_xlfn.IFNA(VLOOKUP(A97,'Ship Date'!A:C,3,0),""),"")</f>
        <v/>
      </c>
      <c r="AS97" s="12" t="str">
        <f t="shared" ca="1" si="42"/>
        <v/>
      </c>
      <c r="AT97" s="38" t="str">
        <f>_xlfn.IFNA(IF(VLOOKUP(A97,'Actual Dates'!A:AF,32,0)="N/A"," ",VLOOKUP(A97,'Actual Dates'!A:AF,32,0))," ")</f>
        <v xml:space="preserve"> </v>
      </c>
      <c r="AU97" s="39"/>
      <c r="AV97" s="38" t="str">
        <f>_xlfn.IFNA(IF(VLOOKUP(A97,'Actual Dates'!A:AE,31,0)="","",VLOOKUP(A97,'Actual Dates'!A:AE,31,0)),"")</f>
        <v/>
      </c>
      <c r="AW97" s="40"/>
    </row>
    <row r="98" spans="1:49" ht="23.25" x14ac:dyDescent="0.25">
      <c r="A98" s="12" t="str">
        <f>'Actual Dates'!A97</f>
        <v>25-116</v>
      </c>
      <c r="B98" s="13" t="str">
        <f t="shared" si="34"/>
        <v>Polynt</v>
      </c>
      <c r="C98" s="35"/>
      <c r="D98" s="36" t="str">
        <f t="shared" si="43"/>
        <v>Y</v>
      </c>
      <c r="E98" s="37">
        <f t="shared" si="44"/>
        <v>17</v>
      </c>
      <c r="F98" s="36" t="str">
        <f t="shared" si="45"/>
        <v>Y</v>
      </c>
      <c r="G98" s="37">
        <f t="shared" si="46"/>
        <v>-8</v>
      </c>
      <c r="H98" s="36" t="str">
        <f t="shared" si="35"/>
        <v>Y</v>
      </c>
      <c r="I98" s="37">
        <f t="shared" si="47"/>
        <v>-2</v>
      </c>
      <c r="J98" s="35"/>
      <c r="K98" s="36" t="str">
        <f t="shared" si="48"/>
        <v>Y</v>
      </c>
      <c r="L98" s="37" t="str">
        <f t="shared" si="49"/>
        <v/>
      </c>
      <c r="M98" s="37" t="str">
        <f t="shared" si="36"/>
        <v xml:space="preserve">  </v>
      </c>
      <c r="N98" s="36" t="str">
        <f t="shared" si="50"/>
        <v xml:space="preserve">  </v>
      </c>
      <c r="O98" s="37" t="str">
        <f t="shared" si="51"/>
        <v xml:space="preserve">  </v>
      </c>
      <c r="P98" s="36" t="str">
        <f t="shared" si="52"/>
        <v>Y</v>
      </c>
      <c r="Q98" s="37">
        <f t="shared" si="53"/>
        <v>-201</v>
      </c>
      <c r="R98" s="36" t="str">
        <f t="shared" si="54"/>
        <v>Y</v>
      </c>
      <c r="S98" s="37">
        <f t="shared" si="55"/>
        <v>-80</v>
      </c>
      <c r="T98" s="36" t="str">
        <f t="shared" si="56"/>
        <v>Y</v>
      </c>
      <c r="U98" s="37">
        <f t="shared" si="57"/>
        <v>-87</v>
      </c>
      <c r="V98" s="36" t="str">
        <f t="shared" si="58"/>
        <v>Y</v>
      </c>
      <c r="W98" s="37" t="str">
        <f t="shared" si="59"/>
        <v xml:space="preserve">  </v>
      </c>
      <c r="X98" s="36" t="str">
        <f t="shared" si="60"/>
        <v xml:space="preserve">  </v>
      </c>
      <c r="Y98" s="37" t="str">
        <f t="shared" si="61"/>
        <v xml:space="preserve">  </v>
      </c>
      <c r="Z98" s="36" t="str">
        <f t="shared" si="62"/>
        <v xml:space="preserve">  </v>
      </c>
      <c r="AA98" s="37">
        <f t="shared" si="63"/>
        <v>-40</v>
      </c>
      <c r="AB98" s="36" t="str">
        <f t="shared" si="64"/>
        <v>Y</v>
      </c>
      <c r="AC98" s="37" t="str">
        <f t="shared" si="65"/>
        <v xml:space="preserve">  </v>
      </c>
      <c r="AD98" s="36" t="str">
        <f t="shared" si="66"/>
        <v xml:space="preserve">  </v>
      </c>
      <c r="AE98" s="37" t="str">
        <f t="shared" si="67"/>
        <v xml:space="preserve">  </v>
      </c>
      <c r="AF98" s="38">
        <f ca="1">_xlfn.IFNA(IF(AG98="",TODAY()+(VLOOKUP(A98,'Date Calcs'!A:G,7,0)*7),VLOOKUP(A98,'Actual Dates'!A:AE,21,FALSE())),"")</f>
        <v>46241</v>
      </c>
      <c r="AG98" s="38" t="str">
        <f>IF(VLOOKUP(A98,'Actual Dates'!A:AE,20,0)="","",VLOOKUP(A98,'Actual Dates'!A:AE,20,0))</f>
        <v/>
      </c>
      <c r="AH98" s="38" t="str">
        <f>_xlfn.IFNA(IF($AG98="","",IF(X98="Y","DONE",VLOOKUP(A98,'Ship Date'!A:AE,27,0))),"")</f>
        <v/>
      </c>
      <c r="AI98" s="12">
        <f t="shared" ca="1" si="37"/>
        <v>0</v>
      </c>
      <c r="AJ98" s="38" t="str">
        <f>_xlfn.IFNA(IF($AG98="","",IF(AB98="Y","DONE",VLOOKUP(A98,'Ship Date'!A:AG,29,0))),"")</f>
        <v/>
      </c>
      <c r="AK98" s="12">
        <f t="shared" ca="1" si="38"/>
        <v>0</v>
      </c>
      <c r="AL98" s="38" t="str">
        <f>_xlfn.IFNA(IF($AG98="","",IF(Z98="Y","DONE",VLOOKUP(A98,'Ship Date'!A:AI,28,0))),"")</f>
        <v/>
      </c>
      <c r="AM98" s="12">
        <f t="shared" ca="1" si="39"/>
        <v>0</v>
      </c>
      <c r="AN98" s="38" t="str">
        <f>_xlfn.IFNA(IF(T98="Y","DONE",VLOOKUP(A98,'Ship Date'!A:AE,25,0)),"")</f>
        <v>DONE</v>
      </c>
      <c r="AO98" s="12">
        <f t="shared" si="40"/>
        <v>0</v>
      </c>
      <c r="AP98" s="38" t="str">
        <f>_xlfn.IFNA(IF(AD98="Y","DONE",VLOOKUP(A98,'Ship Date'!A:AE,30,0)),"")</f>
        <v/>
      </c>
      <c r="AQ98" s="12">
        <f t="shared" ca="1" si="41"/>
        <v>0</v>
      </c>
      <c r="AR98" s="38" t="str">
        <f>IFERROR(_xlfn.IFNA(VLOOKUP(A98,'Ship Date'!A:C,3,0),""),"")</f>
        <v/>
      </c>
      <c r="AS98" s="12" t="str">
        <f t="shared" ca="1" si="42"/>
        <v/>
      </c>
      <c r="AT98" s="38" t="str">
        <f>_xlfn.IFNA(IF(VLOOKUP(A98,'Actual Dates'!A:AF,32,0)="N/A"," ",VLOOKUP(A98,'Actual Dates'!A:AF,32,0))," ")</f>
        <v xml:space="preserve"> </v>
      </c>
      <c r="AU98" s="39"/>
      <c r="AV98" s="38" t="str">
        <f>_xlfn.IFNA(IF(VLOOKUP(A98,'Actual Dates'!A:AE,31,0)="","",VLOOKUP(A98,'Actual Dates'!A:AE,31,0)),"")</f>
        <v/>
      </c>
      <c r="AW98" s="40"/>
    </row>
    <row r="99" spans="1:49" ht="23.25" x14ac:dyDescent="0.25">
      <c r="A99" s="12" t="str">
        <f>'Actual Dates'!A98</f>
        <v>25-117</v>
      </c>
      <c r="B99" s="13" t="str">
        <f t="shared" si="34"/>
        <v>Merrick</v>
      </c>
      <c r="C99" s="35"/>
      <c r="D99" s="36" t="str">
        <f t="shared" si="43"/>
        <v>Y</v>
      </c>
      <c r="E99" s="37">
        <f t="shared" si="44"/>
        <v>5</v>
      </c>
      <c r="F99" s="36" t="str">
        <f t="shared" si="45"/>
        <v>Y</v>
      </c>
      <c r="G99" s="37">
        <f t="shared" si="46"/>
        <v>55</v>
      </c>
      <c r="H99" s="36" t="str">
        <f t="shared" si="35"/>
        <v>Y</v>
      </c>
      <c r="I99" s="37">
        <f t="shared" si="47"/>
        <v>-2</v>
      </c>
      <c r="J99" s="35"/>
      <c r="K99" s="36" t="str">
        <f t="shared" si="48"/>
        <v>Y</v>
      </c>
      <c r="L99" s="37">
        <f t="shared" si="49"/>
        <v>6</v>
      </c>
      <c r="M99" s="37">
        <f t="shared" si="36"/>
        <v>5</v>
      </c>
      <c r="N99" s="36" t="str">
        <f t="shared" si="50"/>
        <v>Y</v>
      </c>
      <c r="O99" s="37">
        <f t="shared" si="51"/>
        <v>141</v>
      </c>
      <c r="P99" s="36" t="str">
        <f t="shared" si="52"/>
        <v>Y</v>
      </c>
      <c r="Q99" s="37">
        <f t="shared" si="53"/>
        <v>-137</v>
      </c>
      <c r="R99" s="36" t="str">
        <f t="shared" si="54"/>
        <v>Y</v>
      </c>
      <c r="S99" s="37">
        <f t="shared" si="55"/>
        <v>0</v>
      </c>
      <c r="T99" s="36" t="str">
        <f t="shared" si="56"/>
        <v>Y</v>
      </c>
      <c r="U99" s="37">
        <f t="shared" si="57"/>
        <v>-7</v>
      </c>
      <c r="V99" s="36" t="str">
        <f t="shared" si="58"/>
        <v>Y</v>
      </c>
      <c r="W99" s="37">
        <f t="shared" si="59"/>
        <v>-11</v>
      </c>
      <c r="X99" s="36" t="str">
        <f t="shared" si="60"/>
        <v>Y</v>
      </c>
      <c r="Y99" s="37">
        <f t="shared" si="61"/>
        <v>-5</v>
      </c>
      <c r="Z99" s="36" t="str">
        <f t="shared" si="62"/>
        <v>Y</v>
      </c>
      <c r="AA99" s="37">
        <f t="shared" si="63"/>
        <v>-5</v>
      </c>
      <c r="AB99" s="36" t="str">
        <f t="shared" si="64"/>
        <v>Y</v>
      </c>
      <c r="AC99" s="37">
        <f t="shared" si="65"/>
        <v>-5</v>
      </c>
      <c r="AD99" s="36" t="str">
        <f t="shared" si="66"/>
        <v>Y</v>
      </c>
      <c r="AE99" s="37" t="str">
        <f t="shared" si="67"/>
        <v xml:space="preserve">  </v>
      </c>
      <c r="AF99" s="38">
        <f ca="1">_xlfn.IFNA(IF(AG99="",TODAY()+(VLOOKUP(A99,'Date Calcs'!A:G,7,0)*7),VLOOKUP(A99,'Actual Dates'!A:AE,21,FALSE())),"")</f>
        <v>46203</v>
      </c>
      <c r="AG99" s="38">
        <f>IF(VLOOKUP(A99,'Actual Dates'!A:AE,20,0)="","",VLOOKUP(A99,'Actual Dates'!A:AE,20,0))</f>
        <v>46063</v>
      </c>
      <c r="AH99" s="38" t="str">
        <f>_xlfn.IFNA(IF($AG99="","",IF(X99="Y","DONE",VLOOKUP(A99,'Ship Date'!A:AE,27,0))),"")</f>
        <v>DONE</v>
      </c>
      <c r="AI99" s="12">
        <f t="shared" ca="1" si="37"/>
        <v>0</v>
      </c>
      <c r="AJ99" s="38" t="str">
        <f>_xlfn.IFNA(IF($AG99="","",IF(AB99="Y","DONE",VLOOKUP(A99,'Ship Date'!A:AG,29,0))),"")</f>
        <v>DONE</v>
      </c>
      <c r="AK99" s="12">
        <f t="shared" ca="1" si="38"/>
        <v>0</v>
      </c>
      <c r="AL99" s="38" t="str">
        <f>_xlfn.IFNA(IF($AG99="","",IF(Z99="Y","DONE",VLOOKUP(A99,'Ship Date'!A:AI,28,0))),"")</f>
        <v>DONE</v>
      </c>
      <c r="AM99" s="12">
        <f t="shared" ca="1" si="39"/>
        <v>0</v>
      </c>
      <c r="AN99" s="38" t="str">
        <f>_xlfn.IFNA(IF(T99="Y","DONE",VLOOKUP(A99,'Ship Date'!A:AE,25,0)),"")</f>
        <v>DONE</v>
      </c>
      <c r="AO99" s="12">
        <f t="shared" si="40"/>
        <v>0</v>
      </c>
      <c r="AP99" s="38" t="str">
        <f>_xlfn.IFNA(IF(AD99="Y","DONE",VLOOKUP(A99,'Ship Date'!A:AE,30,0)),"")</f>
        <v>DONE</v>
      </c>
      <c r="AQ99" s="12">
        <f t="shared" ca="1" si="41"/>
        <v>0</v>
      </c>
      <c r="AR99" s="38" t="str">
        <f>IFERROR(_xlfn.IFNA(VLOOKUP(A99,'Ship Date'!A:C,3,0),""),"")</f>
        <v/>
      </c>
      <c r="AS99" s="12" t="str">
        <f t="shared" ca="1" si="42"/>
        <v/>
      </c>
      <c r="AT99" s="38" t="str">
        <f>_xlfn.IFNA(IF(VLOOKUP(A99,'Actual Dates'!A:AF,32,0)="N/A"," ",VLOOKUP(A99,'Actual Dates'!A:AF,32,0))," ")</f>
        <v xml:space="preserve"> </v>
      </c>
      <c r="AU99" s="39"/>
      <c r="AV99" s="38" t="str">
        <f>_xlfn.IFNA(IF(VLOOKUP(A99,'Actual Dates'!A:AE,31,0)="","",VLOOKUP(A99,'Actual Dates'!A:AE,31,0)),"")</f>
        <v/>
      </c>
      <c r="AW99" s="40"/>
    </row>
    <row r="100" spans="1:49" ht="23.25" x14ac:dyDescent="0.25">
      <c r="A100" s="12" t="str">
        <f>'Actual Dates'!A99</f>
        <v>25-118</v>
      </c>
      <c r="B100" s="13" t="str">
        <f t="shared" si="34"/>
        <v>Merrick</v>
      </c>
      <c r="C100" s="35"/>
      <c r="D100" s="36" t="str">
        <f t="shared" si="43"/>
        <v>Y</v>
      </c>
      <c r="E100" s="37">
        <f t="shared" si="44"/>
        <v>5</v>
      </c>
      <c r="F100" s="36" t="str">
        <f t="shared" si="45"/>
        <v>Y</v>
      </c>
      <c r="G100" s="37">
        <f t="shared" si="46"/>
        <v>55</v>
      </c>
      <c r="H100" s="36" t="str">
        <f t="shared" si="35"/>
        <v>Y</v>
      </c>
      <c r="I100" s="37">
        <f t="shared" si="47"/>
        <v>-18</v>
      </c>
      <c r="J100" s="35"/>
      <c r="K100" s="36" t="str">
        <f t="shared" si="48"/>
        <v>Y</v>
      </c>
      <c r="L100" s="37">
        <f t="shared" si="49"/>
        <v>5</v>
      </c>
      <c r="M100" s="37">
        <f t="shared" si="36"/>
        <v>4</v>
      </c>
      <c r="N100" s="36" t="str">
        <f t="shared" si="50"/>
        <v>Y</v>
      </c>
      <c r="O100" s="37">
        <f t="shared" si="51"/>
        <v>140</v>
      </c>
      <c r="P100" s="36" t="str">
        <f t="shared" si="52"/>
        <v xml:space="preserve">  </v>
      </c>
      <c r="Q100" s="37" t="str">
        <f t="shared" si="53"/>
        <v xml:space="preserve">  </v>
      </c>
      <c r="R100" s="36" t="str">
        <f t="shared" si="54"/>
        <v xml:space="preserve">  </v>
      </c>
      <c r="S100" s="37" t="str">
        <f t="shared" si="55"/>
        <v xml:space="preserve">  </v>
      </c>
      <c r="T100" s="36" t="str">
        <f t="shared" si="56"/>
        <v>Y</v>
      </c>
      <c r="U100" s="37">
        <f t="shared" si="57"/>
        <v>-10</v>
      </c>
      <c r="V100" s="36" t="str">
        <f t="shared" si="58"/>
        <v>Y</v>
      </c>
      <c r="W100" s="37">
        <f t="shared" si="59"/>
        <v>-13</v>
      </c>
      <c r="X100" s="36" t="str">
        <f t="shared" si="60"/>
        <v>Y</v>
      </c>
      <c r="Y100" s="37" t="str">
        <f t="shared" si="61"/>
        <v xml:space="preserve">  </v>
      </c>
      <c r="Z100" s="36" t="str">
        <f t="shared" si="62"/>
        <v xml:space="preserve">  </v>
      </c>
      <c r="AA100" s="37">
        <f t="shared" si="63"/>
        <v>2</v>
      </c>
      <c r="AB100" s="36" t="str">
        <f t="shared" si="64"/>
        <v>Y</v>
      </c>
      <c r="AC100" s="37">
        <f t="shared" si="65"/>
        <v>9</v>
      </c>
      <c r="AD100" s="36" t="str">
        <f t="shared" si="66"/>
        <v>Y</v>
      </c>
      <c r="AE100" s="37" t="str">
        <f t="shared" si="67"/>
        <v xml:space="preserve">  </v>
      </c>
      <c r="AF100" s="38">
        <f ca="1">_xlfn.IFNA(IF(AG100="",TODAY()+(VLOOKUP(A100,'Date Calcs'!A:G,7,0)*7),VLOOKUP(A100,'Actual Dates'!A:AE,21,FALSE())),"")</f>
        <v>46209</v>
      </c>
      <c r="AG100" s="38">
        <f>IF(VLOOKUP(A100,'Actual Dates'!A:AE,20,0)="","",VLOOKUP(A100,'Actual Dates'!A:AE,20,0))</f>
        <v>46069</v>
      </c>
      <c r="AH100" s="38" t="str">
        <f>_xlfn.IFNA(IF($AG100="","",IF(X100="Y","DONE",VLOOKUP(A100,'Ship Date'!A:AE,27,0))),"")</f>
        <v>DONE</v>
      </c>
      <c r="AI100" s="12">
        <f t="shared" ca="1" si="37"/>
        <v>0</v>
      </c>
      <c r="AJ100" s="38" t="str">
        <f>_xlfn.IFNA(IF($AG100="","",IF(AB100="Y","DONE",VLOOKUP(A100,'Ship Date'!A:AG,29,0))),"")</f>
        <v>DONE</v>
      </c>
      <c r="AK100" s="12">
        <f t="shared" ca="1" si="38"/>
        <v>0</v>
      </c>
      <c r="AL100" s="38" t="str">
        <f>_xlfn.IFNA(IF($AG100="","",IF(Z100="Y","DONE",VLOOKUP(A100,'Ship Date'!A:AI,28,0))),"")</f>
        <v/>
      </c>
      <c r="AM100" s="12">
        <f t="shared" ca="1" si="39"/>
        <v>0</v>
      </c>
      <c r="AN100" s="38" t="str">
        <f>_xlfn.IFNA(IF(T100="Y","DONE",VLOOKUP(A100,'Ship Date'!A:AE,25,0)),"")</f>
        <v>DONE</v>
      </c>
      <c r="AO100" s="12">
        <f t="shared" si="40"/>
        <v>0</v>
      </c>
      <c r="AP100" s="38" t="str">
        <f>_xlfn.IFNA(IF(AD100="Y","DONE",VLOOKUP(A100,'Ship Date'!A:AE,30,0)),"")</f>
        <v>DONE</v>
      </c>
      <c r="AQ100" s="12">
        <f t="shared" ca="1" si="41"/>
        <v>0</v>
      </c>
      <c r="AR100" s="38" t="str">
        <f>IFERROR(_xlfn.IFNA(VLOOKUP(A100,'Ship Date'!A:C,3,0),""),"")</f>
        <v/>
      </c>
      <c r="AS100" s="12" t="str">
        <f t="shared" ca="1" si="42"/>
        <v/>
      </c>
      <c r="AT100" s="38" t="str">
        <f>_xlfn.IFNA(IF(VLOOKUP(A100,'Actual Dates'!A:AF,32,0)="N/A"," ",VLOOKUP(A100,'Actual Dates'!A:AF,32,0))," ")</f>
        <v xml:space="preserve"> </v>
      </c>
      <c r="AU100" s="39"/>
      <c r="AV100" s="38" t="str">
        <f>_xlfn.IFNA(IF(VLOOKUP(A100,'Actual Dates'!A:AE,31,0)="","",VLOOKUP(A100,'Actual Dates'!A:AE,31,0)),"")</f>
        <v/>
      </c>
      <c r="AW100" s="40"/>
    </row>
    <row r="101" spans="1:49" ht="23.25" hidden="1" x14ac:dyDescent="0.25">
      <c r="A101" s="12" t="str">
        <f>'Actual Dates'!A100</f>
        <v>25-119</v>
      </c>
      <c r="B101" s="13" t="str">
        <f t="shared" si="34"/>
        <v>Vertiv</v>
      </c>
      <c r="C101" s="35"/>
      <c r="D101" s="36" t="str">
        <f t="shared" si="43"/>
        <v>Y</v>
      </c>
      <c r="E101" s="37">
        <f t="shared" si="44"/>
        <v>-4</v>
      </c>
      <c r="F101" s="36" t="str">
        <f t="shared" si="45"/>
        <v>Y</v>
      </c>
      <c r="G101" s="37" t="str">
        <f t="shared" si="46"/>
        <v/>
      </c>
      <c r="H101" s="36" t="str">
        <f t="shared" si="35"/>
        <v>Y</v>
      </c>
      <c r="I101" s="37">
        <f t="shared" si="47"/>
        <v>7</v>
      </c>
      <c r="J101" s="35"/>
      <c r="K101" s="36" t="str">
        <f t="shared" si="48"/>
        <v>Y</v>
      </c>
      <c r="L101" s="37">
        <f t="shared" si="49"/>
        <v>-2</v>
      </c>
      <c r="M101" s="37">
        <f t="shared" si="36"/>
        <v>-3</v>
      </c>
      <c r="N101" s="36" t="str">
        <f t="shared" si="50"/>
        <v>Y</v>
      </c>
      <c r="O101" s="37">
        <f t="shared" si="51"/>
        <v>-7</v>
      </c>
      <c r="P101" s="36" t="str">
        <f t="shared" si="52"/>
        <v xml:space="preserve">  </v>
      </c>
      <c r="Q101" s="37" t="str">
        <f t="shared" si="53"/>
        <v xml:space="preserve">  </v>
      </c>
      <c r="R101" s="36" t="str">
        <f t="shared" si="54"/>
        <v xml:space="preserve">  </v>
      </c>
      <c r="S101" s="37" t="str">
        <f t="shared" si="55"/>
        <v xml:space="preserve">  </v>
      </c>
      <c r="T101" s="36" t="str">
        <f t="shared" si="56"/>
        <v xml:space="preserve">  </v>
      </c>
      <c r="U101" s="37" t="str">
        <f t="shared" si="57"/>
        <v xml:space="preserve">  </v>
      </c>
      <c r="V101" s="36" t="str">
        <f t="shared" si="58"/>
        <v xml:space="preserve">  </v>
      </c>
      <c r="W101" s="37" t="str">
        <f t="shared" si="59"/>
        <v xml:space="preserve">  </v>
      </c>
      <c r="X101" s="36" t="str">
        <f t="shared" si="60"/>
        <v xml:space="preserve">  </v>
      </c>
      <c r="Y101" s="37" t="str">
        <f t="shared" si="61"/>
        <v xml:space="preserve">  </v>
      </c>
      <c r="Z101" s="36" t="str">
        <f t="shared" si="62"/>
        <v xml:space="preserve">  </v>
      </c>
      <c r="AA101" s="37" t="str">
        <f t="shared" si="63"/>
        <v xml:space="preserve">  </v>
      </c>
      <c r="AB101" s="36" t="str">
        <f t="shared" si="64"/>
        <v xml:space="preserve">  </v>
      </c>
      <c r="AC101" s="37" t="str">
        <f t="shared" si="65"/>
        <v xml:space="preserve">  </v>
      </c>
      <c r="AD101" s="36" t="str">
        <f t="shared" si="66"/>
        <v xml:space="preserve">  </v>
      </c>
      <c r="AE101" s="37">
        <f t="shared" si="67"/>
        <v>14</v>
      </c>
      <c r="AF101" s="38">
        <f ca="1">_xlfn.IFNA(IF(AG101="",TODAY()+(VLOOKUP(A101,'Date Calcs'!A:G,7,0)*7),VLOOKUP(A101,'Actual Dates'!A:AE,21,FALSE())),"")</f>
        <v>45994</v>
      </c>
      <c r="AG101" s="38">
        <f>_xlfn.IFNA(IF(VLOOKUP(A101,'Actual Dates'!A:AE,20,0)="","",VLOOKUP(A101,'Actual Dates'!A:AE,20,0)+(VLOOKUP(A101,'Date Calcs'!A:X,22,0)*7)),"")</f>
        <v>45994</v>
      </c>
      <c r="AH101" s="38" t="str">
        <f>_xlfn.IFNA(IF($AG101="","",IF(X101="Y","DONE",VLOOKUP(A101,'Ship Date'!A:AE,27,0))),"")</f>
        <v/>
      </c>
      <c r="AI101" s="12">
        <f t="shared" ca="1" si="37"/>
        <v>0</v>
      </c>
      <c r="AJ101" s="38" t="str">
        <f>_xlfn.IFNA(IF($AG101="","",IF(AB101="Y","DONE",VLOOKUP(A101,'Ship Date'!A:AG,29,0))),"")</f>
        <v/>
      </c>
      <c r="AK101" s="12">
        <f t="shared" ca="1" si="38"/>
        <v>0</v>
      </c>
      <c r="AL101" s="38" t="str">
        <f>_xlfn.IFNA(IF($AG101="","",IF(Z101="Y","DONE",VLOOKUP(A101,'Ship Date'!A:AI,28,0))),"")</f>
        <v/>
      </c>
      <c r="AM101" s="12">
        <f t="shared" ca="1" si="39"/>
        <v>0</v>
      </c>
      <c r="AN101" s="38" t="str">
        <f>_xlfn.IFNA(IF(T101="Y","DONE",VLOOKUP(A101,'Ship Date'!A:AE,25,0)),"")</f>
        <v/>
      </c>
      <c r="AO101" s="12">
        <f t="shared" si="40"/>
        <v>0</v>
      </c>
      <c r="AP101" s="38" t="str">
        <f>_xlfn.IFNA(IF(AD101="Y","DONE",VLOOKUP(A101,'Ship Date'!A:AE,30,0)),"")</f>
        <v/>
      </c>
      <c r="AQ101" s="12">
        <f t="shared" ca="1" si="41"/>
        <v>0</v>
      </c>
      <c r="AR101" s="38" t="str">
        <f>IFERROR(_xlfn.IFNA(VLOOKUP(A101,'Ship Date'!A:C,3,0),""),"")</f>
        <v/>
      </c>
      <c r="AS101" s="12" t="str">
        <f t="shared" ca="1" si="42"/>
        <v/>
      </c>
      <c r="AT101" s="38"/>
      <c r="AU101" s="41"/>
      <c r="AV101" s="38">
        <f>_xlfn.IFNA(IF(VLOOKUP(A101,'Actual Dates'!A:AE,31,0)="","",VLOOKUP(A101,'Actual Dates'!A:AE,31,0)),"")</f>
        <v>46022</v>
      </c>
      <c r="AW101" s="40"/>
    </row>
    <row r="102" spans="1:49" ht="23.25" x14ac:dyDescent="0.25">
      <c r="A102" s="12" t="str">
        <f>'Actual Dates'!A101</f>
        <v>25-120</v>
      </c>
      <c r="B102" s="13" t="str">
        <f t="shared" si="34"/>
        <v>Andritz</v>
      </c>
      <c r="C102" s="35"/>
      <c r="D102" s="36" t="str">
        <f t="shared" si="43"/>
        <v>Y</v>
      </c>
      <c r="E102" s="37">
        <f t="shared" si="44"/>
        <v>40</v>
      </c>
      <c r="F102" s="36" t="str">
        <f t="shared" si="45"/>
        <v>Y</v>
      </c>
      <c r="G102" s="37">
        <f t="shared" si="46"/>
        <v>55</v>
      </c>
      <c r="H102" s="36" t="str">
        <f t="shared" si="35"/>
        <v>Y</v>
      </c>
      <c r="I102" s="37">
        <f t="shared" si="47"/>
        <v>6</v>
      </c>
      <c r="J102" s="35"/>
      <c r="K102" s="36" t="str">
        <f t="shared" si="48"/>
        <v>Y</v>
      </c>
      <c r="L102" s="37" t="str">
        <f t="shared" si="49"/>
        <v/>
      </c>
      <c r="M102" s="37" t="str">
        <f t="shared" si="36"/>
        <v xml:space="preserve">  </v>
      </c>
      <c r="N102" s="36" t="str">
        <f t="shared" si="50"/>
        <v xml:space="preserve">  </v>
      </c>
      <c r="O102" s="37" t="str">
        <f t="shared" si="51"/>
        <v xml:space="preserve">  </v>
      </c>
      <c r="P102" s="36" t="str">
        <f t="shared" si="52"/>
        <v xml:space="preserve">  </v>
      </c>
      <c r="Q102" s="37" t="str">
        <f t="shared" si="53"/>
        <v xml:space="preserve">  </v>
      </c>
      <c r="R102" s="36" t="str">
        <f t="shared" si="54"/>
        <v xml:space="preserve">  </v>
      </c>
      <c r="S102" s="37" t="str">
        <f t="shared" si="55"/>
        <v xml:space="preserve">  </v>
      </c>
      <c r="T102" s="36" t="str">
        <f t="shared" si="56"/>
        <v xml:space="preserve">  </v>
      </c>
      <c r="U102" s="37" t="str">
        <f t="shared" si="57"/>
        <v xml:space="preserve">  </v>
      </c>
      <c r="V102" s="36" t="str">
        <f t="shared" si="58"/>
        <v xml:space="preserve">  </v>
      </c>
      <c r="W102" s="37" t="str">
        <f t="shared" si="59"/>
        <v xml:space="preserve">  </v>
      </c>
      <c r="X102" s="36" t="str">
        <f t="shared" si="60"/>
        <v xml:space="preserve">  </v>
      </c>
      <c r="Y102" s="37" t="str">
        <f t="shared" si="61"/>
        <v xml:space="preserve">  </v>
      </c>
      <c r="Z102" s="36" t="str">
        <f t="shared" si="62"/>
        <v xml:space="preserve">  </v>
      </c>
      <c r="AA102" s="37" t="str">
        <f t="shared" si="63"/>
        <v xml:space="preserve">  </v>
      </c>
      <c r="AB102" s="36" t="str">
        <f t="shared" si="64"/>
        <v xml:space="preserve">  </v>
      </c>
      <c r="AC102" s="37" t="str">
        <f t="shared" si="65"/>
        <v xml:space="preserve">  </v>
      </c>
      <c r="AD102" s="36" t="str">
        <f t="shared" si="66"/>
        <v xml:space="preserve">  </v>
      </c>
      <c r="AE102" s="37" t="str">
        <f t="shared" si="67"/>
        <v xml:space="preserve">  </v>
      </c>
      <c r="AF102" s="38">
        <f ca="1">_xlfn.IFNA(IF(AG102="",TODAY()+(VLOOKUP(A102,'Date Calcs'!A:G,7,0)*7),VLOOKUP(A102,'Actual Dates'!A:AE,21,FALSE())),"")</f>
        <v>46297</v>
      </c>
      <c r="AG102" s="38" t="str">
        <f>IF(VLOOKUP(A102,'Actual Dates'!A:AE,20,0)="","",VLOOKUP(A102,'Actual Dates'!A:AE,20,0))</f>
        <v/>
      </c>
      <c r="AH102" s="38" t="str">
        <f>_xlfn.IFNA(IF($AG102="","",IF(X102="Y","DONE",VLOOKUP(A102,'Ship Date'!A:AE,27,0))),"")</f>
        <v/>
      </c>
      <c r="AI102" s="12">
        <f t="shared" ca="1" si="37"/>
        <v>0</v>
      </c>
      <c r="AJ102" s="38" t="str">
        <f>_xlfn.IFNA(IF($AG102="","",IF(AB102="Y","DONE",VLOOKUP(A102,'Ship Date'!A:AG,29,0))),"")</f>
        <v/>
      </c>
      <c r="AK102" s="12">
        <f t="shared" ca="1" si="38"/>
        <v>0</v>
      </c>
      <c r="AL102" s="38" t="str">
        <f>_xlfn.IFNA(IF($AG102="","",IF(Z102="Y","DONE",VLOOKUP(A102,'Ship Date'!A:AI,28,0))),"")</f>
        <v/>
      </c>
      <c r="AM102" s="12">
        <f t="shared" ca="1" si="39"/>
        <v>0</v>
      </c>
      <c r="AN102" s="38" t="str">
        <f>_xlfn.IFNA(IF(T102="Y","DONE",VLOOKUP(A102,'Ship Date'!A:AE,25,0)),"")</f>
        <v/>
      </c>
      <c r="AO102" s="12">
        <f t="shared" si="40"/>
        <v>0</v>
      </c>
      <c r="AP102" s="38" t="str">
        <f>_xlfn.IFNA(IF(AD102="Y","DONE",VLOOKUP(A102,'Ship Date'!A:AE,30,0)),"")</f>
        <v/>
      </c>
      <c r="AQ102" s="12">
        <f t="shared" ca="1" si="41"/>
        <v>0</v>
      </c>
      <c r="AR102" s="38" t="str">
        <f>IFERROR(_xlfn.IFNA(VLOOKUP(A102,'Ship Date'!A:C,3,0),""),"")</f>
        <v/>
      </c>
      <c r="AS102" s="12" t="str">
        <f t="shared" ca="1" si="42"/>
        <v/>
      </c>
      <c r="AT102" s="38" t="str">
        <f>_xlfn.IFNA(IF(VLOOKUP(A102,'Actual Dates'!A:AF,32,0)="N/A"," ",VLOOKUP(A102,'Actual Dates'!A:AF,32,0))," ")</f>
        <v xml:space="preserve"> </v>
      </c>
      <c r="AU102" s="39"/>
      <c r="AV102" s="38" t="str">
        <f>_xlfn.IFNA(IF(VLOOKUP(A102,'Actual Dates'!A:AE,31,0)="","",VLOOKUP(A102,'Actual Dates'!A:AE,31,0)),"")</f>
        <v/>
      </c>
      <c r="AW102" s="40"/>
    </row>
    <row r="103" spans="1:49" ht="23.25" x14ac:dyDescent="0.25">
      <c r="A103" s="12" t="str">
        <f>'Actual Dates'!A102</f>
        <v>25-121</v>
      </c>
      <c r="B103" s="13" t="str">
        <f t="shared" si="34"/>
        <v>Kimberly Clark</v>
      </c>
      <c r="C103" s="35"/>
      <c r="D103" s="36" t="str">
        <f t="shared" si="43"/>
        <v>Y</v>
      </c>
      <c r="E103" s="37">
        <f t="shared" si="44"/>
        <v>7</v>
      </c>
      <c r="F103" s="36" t="str">
        <f t="shared" si="45"/>
        <v>Y</v>
      </c>
      <c r="G103" s="37">
        <f t="shared" si="46"/>
        <v>-1</v>
      </c>
      <c r="H103" s="36" t="str">
        <f t="shared" si="35"/>
        <v>Y</v>
      </c>
      <c r="I103" s="37">
        <f t="shared" si="47"/>
        <v>6</v>
      </c>
      <c r="J103" s="35"/>
      <c r="K103" s="36" t="str">
        <f t="shared" si="48"/>
        <v>Y</v>
      </c>
      <c r="L103" s="37" t="str">
        <f t="shared" si="49"/>
        <v/>
      </c>
      <c r="M103" s="37" t="str">
        <f t="shared" si="36"/>
        <v xml:space="preserve">  </v>
      </c>
      <c r="N103" s="36" t="str">
        <f t="shared" si="50"/>
        <v xml:space="preserve">  </v>
      </c>
      <c r="O103" s="37" t="str">
        <f t="shared" si="51"/>
        <v xml:space="preserve">  </v>
      </c>
      <c r="P103" s="36" t="str">
        <f t="shared" si="52"/>
        <v xml:space="preserve">  </v>
      </c>
      <c r="Q103" s="37" t="str">
        <f t="shared" si="53"/>
        <v xml:space="preserve">  </v>
      </c>
      <c r="R103" s="36" t="str">
        <f t="shared" si="54"/>
        <v xml:space="preserve">  </v>
      </c>
      <c r="S103" s="37" t="str">
        <f t="shared" si="55"/>
        <v xml:space="preserve">  </v>
      </c>
      <c r="T103" s="36" t="str">
        <f t="shared" si="56"/>
        <v xml:space="preserve">  </v>
      </c>
      <c r="U103" s="37" t="str">
        <f t="shared" si="57"/>
        <v xml:space="preserve">  </v>
      </c>
      <c r="V103" s="36" t="str">
        <f t="shared" si="58"/>
        <v xml:space="preserve">  </v>
      </c>
      <c r="W103" s="37" t="str">
        <f t="shared" si="59"/>
        <v xml:space="preserve">  </v>
      </c>
      <c r="X103" s="36" t="str">
        <f t="shared" si="60"/>
        <v xml:space="preserve">  </v>
      </c>
      <c r="Y103" s="37" t="str">
        <f t="shared" si="61"/>
        <v xml:space="preserve">  </v>
      </c>
      <c r="Z103" s="36" t="str">
        <f t="shared" si="62"/>
        <v xml:space="preserve">  </v>
      </c>
      <c r="AA103" s="37" t="str">
        <f t="shared" si="63"/>
        <v xml:space="preserve">  </v>
      </c>
      <c r="AB103" s="36" t="str">
        <f t="shared" si="64"/>
        <v xml:space="preserve">  </v>
      </c>
      <c r="AC103" s="37" t="str">
        <f t="shared" si="65"/>
        <v xml:space="preserve">  </v>
      </c>
      <c r="AD103" s="36" t="str">
        <f t="shared" si="66"/>
        <v xml:space="preserve">  </v>
      </c>
      <c r="AE103" s="37" t="str">
        <f t="shared" si="67"/>
        <v xml:space="preserve">  </v>
      </c>
      <c r="AF103" s="38">
        <f ca="1">_xlfn.IFNA(IF(AG103="",TODAY()+(VLOOKUP(A103,'Date Calcs'!A:G,7,0)*7),VLOOKUP(A103,'Actual Dates'!A:AE,21,FALSE())),"")</f>
        <v>46241</v>
      </c>
      <c r="AG103" s="38" t="str">
        <f>IF(VLOOKUP(A103,'Actual Dates'!A:AE,20,0)="","",VLOOKUP(A103,'Actual Dates'!A:AE,20,0))</f>
        <v/>
      </c>
      <c r="AH103" s="38" t="str">
        <f>_xlfn.IFNA(IF($AG103="","",IF(X103="Y","DONE",VLOOKUP(A103,'Ship Date'!A:AE,27,0))),"")</f>
        <v/>
      </c>
      <c r="AI103" s="12">
        <f t="shared" ca="1" si="37"/>
        <v>0</v>
      </c>
      <c r="AJ103" s="38" t="str">
        <f>_xlfn.IFNA(IF($AG103="","",IF(AB103="Y","DONE",VLOOKUP(A103,'Ship Date'!A:AG,29,0))),"")</f>
        <v/>
      </c>
      <c r="AK103" s="12">
        <f t="shared" ca="1" si="38"/>
        <v>0</v>
      </c>
      <c r="AL103" s="38" t="str">
        <f>_xlfn.IFNA(IF($AG103="","",IF(Z103="Y","DONE",VLOOKUP(A103,'Ship Date'!A:AI,28,0))),"")</f>
        <v/>
      </c>
      <c r="AM103" s="12">
        <f t="shared" ca="1" si="39"/>
        <v>0</v>
      </c>
      <c r="AN103" s="38" t="str">
        <f>_xlfn.IFNA(IF(T103="Y","DONE",VLOOKUP(A103,'Ship Date'!A:AE,25,0)),"")</f>
        <v/>
      </c>
      <c r="AO103" s="12">
        <f t="shared" si="40"/>
        <v>0</v>
      </c>
      <c r="AP103" s="38" t="str">
        <f>_xlfn.IFNA(IF(AD103="Y","DONE",VLOOKUP(A103,'Ship Date'!A:AE,30,0)),"")</f>
        <v/>
      </c>
      <c r="AQ103" s="12">
        <f t="shared" ca="1" si="41"/>
        <v>0</v>
      </c>
      <c r="AR103" s="38" t="str">
        <f>IFERROR(_xlfn.IFNA(VLOOKUP(A103,'Ship Date'!A:C,3,0),""),"")</f>
        <v/>
      </c>
      <c r="AS103" s="12" t="str">
        <f t="shared" ca="1" si="42"/>
        <v/>
      </c>
      <c r="AT103" s="38" t="str">
        <f>_xlfn.IFNA(IF(VLOOKUP(A103,'Actual Dates'!A:AF,32,0)="N/A"," ",VLOOKUP(A103,'Actual Dates'!A:AF,32,0))," ")</f>
        <v xml:space="preserve"> </v>
      </c>
      <c r="AU103" s="39"/>
      <c r="AV103" s="38" t="str">
        <f>_xlfn.IFNA(IF(VLOOKUP(A103,'Actual Dates'!A:AE,31,0)="","",VLOOKUP(A103,'Actual Dates'!A:AE,31,0)),"")</f>
        <v/>
      </c>
      <c r="AW103" s="40"/>
    </row>
    <row r="104" spans="1:49" ht="23.25" x14ac:dyDescent="0.25">
      <c r="A104" s="51" t="str">
        <f>'Actual Dates'!A103</f>
        <v>25-122</v>
      </c>
      <c r="B104" s="52" t="str">
        <f t="shared" si="34"/>
        <v>Kimberly Clark</v>
      </c>
      <c r="C104" s="53"/>
      <c r="D104" s="54" t="str">
        <f t="shared" si="43"/>
        <v>Y</v>
      </c>
      <c r="E104" s="55">
        <f t="shared" si="44"/>
        <v>7</v>
      </c>
      <c r="F104" s="54" t="str">
        <f t="shared" si="45"/>
        <v>Y</v>
      </c>
      <c r="G104" s="55">
        <f t="shared" si="46"/>
        <v>-1</v>
      </c>
      <c r="H104" s="54" t="str">
        <f t="shared" si="35"/>
        <v>Y</v>
      </c>
      <c r="I104" s="55">
        <f t="shared" si="47"/>
        <v>-1</v>
      </c>
      <c r="J104" s="53"/>
      <c r="K104" s="54" t="str">
        <f t="shared" si="48"/>
        <v>Y</v>
      </c>
      <c r="L104" s="55" t="str">
        <f t="shared" si="49"/>
        <v/>
      </c>
      <c r="M104" s="55" t="str">
        <f t="shared" si="36"/>
        <v xml:space="preserve">  </v>
      </c>
      <c r="N104" s="54" t="str">
        <f t="shared" si="50"/>
        <v xml:space="preserve">  </v>
      </c>
      <c r="O104" s="55" t="str">
        <f t="shared" si="51"/>
        <v xml:space="preserve">  </v>
      </c>
      <c r="P104" s="54" t="str">
        <f t="shared" si="52"/>
        <v xml:space="preserve">  </v>
      </c>
      <c r="Q104" s="55" t="str">
        <f t="shared" si="53"/>
        <v xml:space="preserve">  </v>
      </c>
      <c r="R104" s="54" t="str">
        <f t="shared" si="54"/>
        <v xml:space="preserve">  </v>
      </c>
      <c r="S104" s="55" t="str">
        <f t="shared" si="55"/>
        <v xml:space="preserve">  </v>
      </c>
      <c r="T104" s="54" t="str">
        <f t="shared" si="56"/>
        <v xml:space="preserve">  </v>
      </c>
      <c r="U104" s="55" t="str">
        <f t="shared" si="57"/>
        <v xml:space="preserve">  </v>
      </c>
      <c r="V104" s="54" t="str">
        <f t="shared" si="58"/>
        <v xml:space="preserve">  </v>
      </c>
      <c r="W104" s="55" t="str">
        <f t="shared" si="59"/>
        <v xml:space="preserve">  </v>
      </c>
      <c r="X104" s="54" t="str">
        <f t="shared" si="60"/>
        <v xml:space="preserve">  </v>
      </c>
      <c r="Y104" s="55" t="str">
        <f t="shared" si="61"/>
        <v xml:space="preserve">  </v>
      </c>
      <c r="Z104" s="54" t="str">
        <f t="shared" si="62"/>
        <v xml:space="preserve">  </v>
      </c>
      <c r="AA104" s="55" t="str">
        <f t="shared" si="63"/>
        <v xml:space="preserve">  </v>
      </c>
      <c r="AB104" s="54" t="str">
        <f t="shared" si="64"/>
        <v xml:space="preserve">  </v>
      </c>
      <c r="AC104" s="55" t="str">
        <f t="shared" si="65"/>
        <v xml:space="preserve">  </v>
      </c>
      <c r="AD104" s="54" t="str">
        <f t="shared" si="66"/>
        <v xml:space="preserve">  </v>
      </c>
      <c r="AE104" s="55" t="str">
        <f t="shared" si="67"/>
        <v xml:space="preserve">  </v>
      </c>
      <c r="AF104" s="44">
        <f ca="1">_xlfn.IFNA(IF(AG104="",TODAY()+(VLOOKUP(A104,'Date Calcs'!A:G,7,0)*7),VLOOKUP(A104,'Actual Dates'!A:AE,21,FALSE())),"")</f>
        <v>46241</v>
      </c>
      <c r="AG104" s="44" t="str">
        <f>IF(VLOOKUP(A104,'Actual Dates'!A:AE,20,0)="","",VLOOKUP(A104,'Actual Dates'!A:AE,20,0))</f>
        <v/>
      </c>
      <c r="AH104" s="44" t="str">
        <f>_xlfn.IFNA(IF($AG104="","",IF(X104="Y","DONE",VLOOKUP(A104,'Ship Date'!A:AE,27,0))),"")</f>
        <v/>
      </c>
      <c r="AI104" s="51">
        <f t="shared" ca="1" si="37"/>
        <v>0</v>
      </c>
      <c r="AJ104" s="44" t="str">
        <f>_xlfn.IFNA(IF($AG104="","",IF(AB104="Y","DONE",VLOOKUP(A104,'Ship Date'!A:AG,29,0))),"")</f>
        <v/>
      </c>
      <c r="AK104" s="51">
        <f t="shared" ca="1" si="38"/>
        <v>0</v>
      </c>
      <c r="AL104" s="44" t="str">
        <f>_xlfn.IFNA(IF($AG104="","",IF(Z104="Y","DONE",VLOOKUP(A104,'Ship Date'!A:AI,28,0))),"")</f>
        <v/>
      </c>
      <c r="AM104" s="51">
        <f t="shared" ca="1" si="39"/>
        <v>0</v>
      </c>
      <c r="AN104" s="44" t="str">
        <f>_xlfn.IFNA(IF(T104="Y","DONE",VLOOKUP(A104,'Ship Date'!A:AE,25,0)),"")</f>
        <v/>
      </c>
      <c r="AO104" s="51">
        <f t="shared" si="40"/>
        <v>0</v>
      </c>
      <c r="AP104" s="44" t="str">
        <f>_xlfn.IFNA(IF(AD104="Y","DONE",VLOOKUP(A104,'Ship Date'!A:AE,30,0)),"")</f>
        <v/>
      </c>
      <c r="AQ104" s="51">
        <f t="shared" ca="1" si="41"/>
        <v>0</v>
      </c>
      <c r="AR104" s="44" t="str">
        <f>IFERROR(_xlfn.IFNA(VLOOKUP(A104,'Ship Date'!A:C,3,0),""),"")</f>
        <v/>
      </c>
      <c r="AS104" s="51" t="str">
        <f t="shared" ca="1" si="42"/>
        <v/>
      </c>
      <c r="AT104" s="44" t="str">
        <f>_xlfn.IFNA(IF(VLOOKUP(A104,'Actual Dates'!A:AF,32,0)="N/A"," ",VLOOKUP(A104,'Actual Dates'!A:AF,32,0))," ")</f>
        <v xml:space="preserve"> </v>
      </c>
      <c r="AU104" s="56" t="s">
        <v>48</v>
      </c>
      <c r="AV104" s="44" t="str">
        <f>_xlfn.IFNA(IF(VLOOKUP(A104,'Actual Dates'!A:AE,31,0)="","",VLOOKUP(A104,'Actual Dates'!A:AE,31,0)),"")</f>
        <v/>
      </c>
      <c r="AW104" s="57"/>
    </row>
    <row r="105" spans="1:49" ht="23.25" x14ac:dyDescent="0.25">
      <c r="A105" s="12" t="str">
        <f>'Actual Dates'!A104</f>
        <v>25-123</v>
      </c>
      <c r="B105" s="13" t="str">
        <f t="shared" si="34"/>
        <v>Kimberly Clark</v>
      </c>
      <c r="C105" s="35"/>
      <c r="D105" s="36" t="str">
        <f t="shared" si="43"/>
        <v>Y</v>
      </c>
      <c r="E105" s="37">
        <f t="shared" si="44"/>
        <v>7</v>
      </c>
      <c r="F105" s="36" t="str">
        <f t="shared" si="45"/>
        <v>Y</v>
      </c>
      <c r="G105" s="37">
        <f t="shared" si="46"/>
        <v>-1</v>
      </c>
      <c r="H105" s="36" t="str">
        <f t="shared" si="35"/>
        <v>Y</v>
      </c>
      <c r="I105" s="37">
        <f t="shared" si="47"/>
        <v>-1</v>
      </c>
      <c r="J105" s="35"/>
      <c r="K105" s="36" t="str">
        <f t="shared" si="48"/>
        <v>Y</v>
      </c>
      <c r="L105" s="37" t="str">
        <f t="shared" si="49"/>
        <v/>
      </c>
      <c r="M105" s="37" t="str">
        <f t="shared" si="36"/>
        <v xml:space="preserve">  </v>
      </c>
      <c r="N105" s="36" t="str">
        <f t="shared" si="50"/>
        <v xml:space="preserve">  </v>
      </c>
      <c r="O105" s="37" t="str">
        <f t="shared" si="51"/>
        <v xml:space="preserve">  </v>
      </c>
      <c r="P105" s="36" t="str">
        <f t="shared" si="52"/>
        <v xml:space="preserve">  </v>
      </c>
      <c r="Q105" s="37" t="str">
        <f t="shared" si="53"/>
        <v xml:space="preserve">  </v>
      </c>
      <c r="R105" s="36" t="str">
        <f t="shared" si="54"/>
        <v xml:space="preserve">  </v>
      </c>
      <c r="S105" s="37" t="str">
        <f t="shared" si="55"/>
        <v xml:space="preserve">  </v>
      </c>
      <c r="T105" s="36" t="str">
        <f t="shared" si="56"/>
        <v xml:space="preserve">  </v>
      </c>
      <c r="U105" s="37" t="str">
        <f t="shared" si="57"/>
        <v xml:space="preserve">  </v>
      </c>
      <c r="V105" s="36" t="str">
        <f t="shared" si="58"/>
        <v xml:space="preserve">  </v>
      </c>
      <c r="W105" s="37" t="str">
        <f t="shared" si="59"/>
        <v xml:space="preserve">  </v>
      </c>
      <c r="X105" s="36" t="str">
        <f t="shared" si="60"/>
        <v xml:space="preserve">  </v>
      </c>
      <c r="Y105" s="37" t="str">
        <f t="shared" si="61"/>
        <v xml:space="preserve">  </v>
      </c>
      <c r="Z105" s="36" t="str">
        <f t="shared" si="62"/>
        <v xml:space="preserve">  </v>
      </c>
      <c r="AA105" s="37" t="str">
        <f t="shared" si="63"/>
        <v xml:space="preserve">  </v>
      </c>
      <c r="AB105" s="36" t="str">
        <f t="shared" si="64"/>
        <v xml:space="preserve">  </v>
      </c>
      <c r="AC105" s="37" t="str">
        <f t="shared" si="65"/>
        <v xml:space="preserve">  </v>
      </c>
      <c r="AD105" s="36" t="str">
        <f t="shared" si="66"/>
        <v xml:space="preserve">  </v>
      </c>
      <c r="AE105" s="37" t="str">
        <f t="shared" si="67"/>
        <v xml:space="preserve">  </v>
      </c>
      <c r="AF105" s="38">
        <f ca="1">_xlfn.IFNA(IF(AG105="",TODAY()+(VLOOKUP(A105,'Date Calcs'!A:G,7,0)*7),VLOOKUP(A105,'Actual Dates'!A:AE,21,FALSE())),"")</f>
        <v>46241</v>
      </c>
      <c r="AG105" s="38" t="str">
        <f>IF(VLOOKUP(A105,'Actual Dates'!A:AE,20,0)="","",VLOOKUP(A105,'Actual Dates'!A:AE,20,0))</f>
        <v/>
      </c>
      <c r="AH105" s="38" t="str">
        <f>_xlfn.IFNA(IF($AG105="","",IF(X105="Y","DONE",VLOOKUP(A105,'Ship Date'!A:AE,27,0))),"")</f>
        <v/>
      </c>
      <c r="AI105" s="12">
        <f t="shared" ca="1" si="37"/>
        <v>0</v>
      </c>
      <c r="AJ105" s="38" t="str">
        <f>_xlfn.IFNA(IF($AG105="","",IF(AB105="Y","DONE",VLOOKUP(A105,'Ship Date'!A:AG,29,0))),"")</f>
        <v/>
      </c>
      <c r="AK105" s="12">
        <f t="shared" ca="1" si="38"/>
        <v>0</v>
      </c>
      <c r="AL105" s="38" t="str">
        <f>_xlfn.IFNA(IF($AG105="","",IF(Z105="Y","DONE",VLOOKUP(A105,'Ship Date'!A:AI,28,0))),"")</f>
        <v/>
      </c>
      <c r="AM105" s="12">
        <f t="shared" ca="1" si="39"/>
        <v>0</v>
      </c>
      <c r="AN105" s="38" t="str">
        <f>_xlfn.IFNA(IF(T105="Y","DONE",VLOOKUP(A105,'Ship Date'!A:AE,25,0)),"")</f>
        <v/>
      </c>
      <c r="AO105" s="12">
        <f t="shared" si="40"/>
        <v>0</v>
      </c>
      <c r="AP105" s="38" t="str">
        <f>_xlfn.IFNA(IF(AD105="Y","DONE",VLOOKUP(A105,'Ship Date'!A:AE,30,0)),"")</f>
        <v/>
      </c>
      <c r="AQ105" s="12">
        <f t="shared" ca="1" si="41"/>
        <v>0</v>
      </c>
      <c r="AR105" s="38" t="str">
        <f>IFERROR(_xlfn.IFNA(VLOOKUP(A105,'Ship Date'!A:C,3,0),""),"")</f>
        <v/>
      </c>
      <c r="AS105" s="12" t="str">
        <f t="shared" ca="1" si="42"/>
        <v/>
      </c>
      <c r="AT105" s="38" t="str">
        <f>_xlfn.IFNA(IF(VLOOKUP(A105,'Actual Dates'!A:AF,32,0)="N/A"," ",VLOOKUP(A105,'Actual Dates'!A:AF,32,0))," ")</f>
        <v xml:space="preserve"> </v>
      </c>
      <c r="AU105" s="39"/>
      <c r="AV105" s="38" t="str">
        <f>_xlfn.IFNA(IF(VLOOKUP(A105,'Actual Dates'!A:AE,31,0)="","",VLOOKUP(A105,'Actual Dates'!A:AE,31,0)),"")</f>
        <v/>
      </c>
      <c r="AW105" s="40"/>
    </row>
    <row r="106" spans="1:49" ht="23.25" x14ac:dyDescent="0.25">
      <c r="A106" s="12" t="str">
        <f>'Actual Dates'!A105</f>
        <v>25-124</v>
      </c>
      <c r="B106" s="13" t="str">
        <f t="shared" si="34"/>
        <v>Vertiv</v>
      </c>
      <c r="C106" s="35"/>
      <c r="D106" s="36" t="str">
        <f t="shared" si="43"/>
        <v>Y</v>
      </c>
      <c r="E106" s="37">
        <f t="shared" si="44"/>
        <v>16</v>
      </c>
      <c r="F106" s="36" t="str">
        <f t="shared" si="45"/>
        <v>Y</v>
      </c>
      <c r="G106" s="37">
        <f t="shared" si="46"/>
        <v>-14</v>
      </c>
      <c r="H106" s="36" t="str">
        <f t="shared" si="35"/>
        <v>Y</v>
      </c>
      <c r="I106" s="37">
        <f t="shared" si="47"/>
        <v>-1</v>
      </c>
      <c r="J106" s="35"/>
      <c r="K106" s="36" t="str">
        <f t="shared" si="48"/>
        <v>Y</v>
      </c>
      <c r="L106" s="37" t="str">
        <f t="shared" si="49"/>
        <v/>
      </c>
      <c r="M106" s="37" t="str">
        <f t="shared" si="36"/>
        <v xml:space="preserve">  </v>
      </c>
      <c r="N106" s="36" t="str">
        <f t="shared" si="50"/>
        <v xml:space="preserve">  </v>
      </c>
      <c r="O106" s="37" t="str">
        <f t="shared" si="51"/>
        <v xml:space="preserve">  </v>
      </c>
      <c r="P106" s="36" t="str">
        <f t="shared" si="52"/>
        <v>Y</v>
      </c>
      <c r="Q106" s="37">
        <f t="shared" si="53"/>
        <v>-225</v>
      </c>
      <c r="R106" s="36" t="str">
        <f t="shared" si="54"/>
        <v>Y</v>
      </c>
      <c r="S106" s="37">
        <f t="shared" si="55"/>
        <v>-7</v>
      </c>
      <c r="T106" s="36" t="str">
        <f t="shared" si="56"/>
        <v xml:space="preserve">  </v>
      </c>
      <c r="U106" s="37">
        <f t="shared" si="57"/>
        <v>-14</v>
      </c>
      <c r="V106" s="36" t="str">
        <f t="shared" si="58"/>
        <v>Y</v>
      </c>
      <c r="W106" s="37">
        <f t="shared" si="59"/>
        <v>-12</v>
      </c>
      <c r="X106" s="36" t="str">
        <f t="shared" si="60"/>
        <v>Y</v>
      </c>
      <c r="Y106" s="37">
        <f t="shared" si="61"/>
        <v>-11</v>
      </c>
      <c r="Z106" s="36" t="str">
        <f t="shared" si="62"/>
        <v>Y</v>
      </c>
      <c r="AA106" s="37">
        <f t="shared" si="63"/>
        <v>42</v>
      </c>
      <c r="AB106" s="36" t="str">
        <f t="shared" si="64"/>
        <v>Y</v>
      </c>
      <c r="AC106" s="37">
        <f t="shared" si="65"/>
        <v>12</v>
      </c>
      <c r="AD106" s="36" t="str">
        <f t="shared" si="66"/>
        <v>Y</v>
      </c>
      <c r="AE106" s="37" t="str">
        <f t="shared" si="67"/>
        <v xml:space="preserve">  </v>
      </c>
      <c r="AF106" s="38">
        <f ca="1">_xlfn.IFNA(IF(AG106="",TODAY()+(VLOOKUP(A106,'Date Calcs'!A:G,7,0)*7),VLOOKUP(A106,'Actual Dates'!A:AE,21,FALSE())),"")</f>
        <v>46339</v>
      </c>
      <c r="AG106" s="38" t="str">
        <f>IF(VLOOKUP(A106,'Actual Dates'!A:AE,20,0)="","",VLOOKUP(A106,'Actual Dates'!A:AE,20,0))</f>
        <v/>
      </c>
      <c r="AH106" s="38" t="str">
        <f>_xlfn.IFNA(IF($AG106="","",IF(X106="Y","DONE",VLOOKUP(A106,'Ship Date'!A:AE,27,0))),"")</f>
        <v/>
      </c>
      <c r="AI106" s="12">
        <f t="shared" ca="1" si="37"/>
        <v>0</v>
      </c>
      <c r="AJ106" s="38" t="str">
        <f>_xlfn.IFNA(IF($AG106="","",IF(AB106="Y","DONE",VLOOKUP(A106,'Ship Date'!A:AG,29,0))),"")</f>
        <v/>
      </c>
      <c r="AK106" s="12">
        <f t="shared" ca="1" si="38"/>
        <v>0</v>
      </c>
      <c r="AL106" s="38" t="str">
        <f>_xlfn.IFNA(IF($AG106="","",IF(Z106="Y","DONE",VLOOKUP(A106,'Ship Date'!A:AI,28,0))),"")</f>
        <v/>
      </c>
      <c r="AM106" s="12">
        <f t="shared" ca="1" si="39"/>
        <v>0</v>
      </c>
      <c r="AN106" s="38" t="str">
        <f>_xlfn.IFNA(IF(T106="Y","DONE",VLOOKUP(A106,'Ship Date'!A:AE,25,0)),"")</f>
        <v/>
      </c>
      <c r="AO106" s="12">
        <f t="shared" si="40"/>
        <v>0</v>
      </c>
      <c r="AP106" s="38" t="str">
        <f>_xlfn.IFNA(IF(AD106="Y","DONE",VLOOKUP(A106,'Ship Date'!A:AE,30,0)),"")</f>
        <v>DONE</v>
      </c>
      <c r="AQ106" s="12">
        <f t="shared" ca="1" si="41"/>
        <v>0</v>
      </c>
      <c r="AR106" s="38" t="str">
        <f>IFERROR(_xlfn.IFNA(VLOOKUP(A106,'Ship Date'!A:C,3,0),""),"")</f>
        <v/>
      </c>
      <c r="AS106" s="12" t="str">
        <f t="shared" ca="1" si="42"/>
        <v/>
      </c>
      <c r="AT106" s="38" t="str">
        <f>_xlfn.IFNA(IF(VLOOKUP(A106,'Actual Dates'!A:AF,32,0)="N/A"," ",VLOOKUP(A106,'Actual Dates'!A:AF,32,0))," ")</f>
        <v xml:space="preserve"> </v>
      </c>
      <c r="AU106" s="39"/>
      <c r="AV106" s="38" t="str">
        <f>_xlfn.IFNA(IF(VLOOKUP(A106,'Actual Dates'!A:AE,31,0)="","",VLOOKUP(A106,'Actual Dates'!A:AE,31,0)),"")</f>
        <v/>
      </c>
      <c r="AW106" s="40" t="s">
        <v>444</v>
      </c>
    </row>
    <row r="107" spans="1:49" ht="23.25" x14ac:dyDescent="0.25">
      <c r="A107" s="12" t="str">
        <f>'Actual Dates'!A106</f>
        <v>25-356</v>
      </c>
      <c r="B107" s="13" t="str">
        <f t="shared" si="34"/>
        <v>Synthomer</v>
      </c>
      <c r="C107" s="35"/>
      <c r="D107" s="36" t="str">
        <f t="shared" si="43"/>
        <v>Y</v>
      </c>
      <c r="E107" s="37">
        <f t="shared" si="44"/>
        <v>2</v>
      </c>
      <c r="F107" s="36" t="str">
        <f t="shared" si="45"/>
        <v>Y</v>
      </c>
      <c r="G107" s="37">
        <f t="shared" si="46"/>
        <v>42</v>
      </c>
      <c r="H107" s="36" t="str">
        <f t="shared" si="35"/>
        <v>Y</v>
      </c>
      <c r="I107" s="37">
        <f t="shared" si="47"/>
        <v>-4</v>
      </c>
      <c r="J107" s="35"/>
      <c r="K107" s="36" t="str">
        <f t="shared" si="48"/>
        <v>Y</v>
      </c>
      <c r="L107" s="37">
        <f t="shared" si="49"/>
        <v>3</v>
      </c>
      <c r="M107" s="37">
        <f t="shared" si="36"/>
        <v>2</v>
      </c>
      <c r="N107" s="36" t="str">
        <f t="shared" si="50"/>
        <v>Y</v>
      </c>
      <c r="O107" s="37">
        <f t="shared" si="51"/>
        <v>131</v>
      </c>
      <c r="P107" s="36" t="str">
        <f t="shared" si="52"/>
        <v>Y</v>
      </c>
      <c r="Q107" s="37">
        <f t="shared" si="53"/>
        <v>-115</v>
      </c>
      <c r="R107" s="36" t="str">
        <f t="shared" si="54"/>
        <v>Y</v>
      </c>
      <c r="S107" s="37">
        <f t="shared" si="55"/>
        <v>-1</v>
      </c>
      <c r="T107" s="36" t="str">
        <f t="shared" si="56"/>
        <v xml:space="preserve">  </v>
      </c>
      <c r="U107" s="37">
        <f t="shared" si="57"/>
        <v>-8</v>
      </c>
      <c r="V107" s="36" t="str">
        <f t="shared" si="58"/>
        <v>Y</v>
      </c>
      <c r="W107" s="37" t="str">
        <f t="shared" si="59"/>
        <v xml:space="preserve">  </v>
      </c>
      <c r="X107" s="36" t="str">
        <f t="shared" si="60"/>
        <v xml:space="preserve">  </v>
      </c>
      <c r="Y107" s="37" t="str">
        <f t="shared" si="61"/>
        <v xml:space="preserve">  </v>
      </c>
      <c r="Z107" s="36" t="str">
        <f t="shared" si="62"/>
        <v xml:space="preserve">  </v>
      </c>
      <c r="AA107" s="37" t="str">
        <f t="shared" si="63"/>
        <v xml:space="preserve">  </v>
      </c>
      <c r="AB107" s="36" t="str">
        <f t="shared" si="64"/>
        <v xml:space="preserve">  </v>
      </c>
      <c r="AC107" s="37" t="str">
        <f t="shared" si="65"/>
        <v xml:space="preserve">  </v>
      </c>
      <c r="AD107" s="36" t="str">
        <f t="shared" si="66"/>
        <v xml:space="preserve">  </v>
      </c>
      <c r="AE107" s="37" t="str">
        <f t="shared" si="67"/>
        <v xml:space="preserve">  </v>
      </c>
      <c r="AF107" s="38">
        <f ca="1">_xlfn.IFNA(IF(AG107="",TODAY()+(VLOOKUP(A107,'Date Calcs'!A:G,7,0)*7),VLOOKUP(A107,'Actual Dates'!A:AE,21,FALSE())),"")</f>
        <v>46205</v>
      </c>
      <c r="AG107" s="38">
        <f>IF(VLOOKUP(A107,'Actual Dates'!A:AE,20,0)="","",VLOOKUP(A107,'Actual Dates'!A:AE,20,0))</f>
        <v>46079</v>
      </c>
      <c r="AH107" s="38" t="str">
        <f>_xlfn.IFNA(IF($AG107="","",IF(X107="Y","DONE",VLOOKUP(A107,'Ship Date'!A:AE,27,0))),"")</f>
        <v/>
      </c>
      <c r="AI107" s="12">
        <f t="shared" ca="1" si="37"/>
        <v>0</v>
      </c>
      <c r="AJ107" s="38" t="str">
        <f>_xlfn.IFNA(IF($AG107="","",IF(AB107="Y","DONE",VLOOKUP(A107,'Ship Date'!A:AG,29,0))),"")</f>
        <v/>
      </c>
      <c r="AK107" s="12">
        <f t="shared" ca="1" si="38"/>
        <v>0</v>
      </c>
      <c r="AL107" s="38" t="str">
        <f>_xlfn.IFNA(IF($AG107="","",IF(Z107="Y","DONE",VLOOKUP(A107,'Ship Date'!A:AI,28,0))),"")</f>
        <v/>
      </c>
      <c r="AM107" s="12">
        <f t="shared" ca="1" si="39"/>
        <v>0</v>
      </c>
      <c r="AN107" s="38" t="str">
        <f>_xlfn.IFNA(IF(T107="Y","DONE",VLOOKUP(A107,'Ship Date'!A:AE,25,0)),"")</f>
        <v/>
      </c>
      <c r="AO107" s="12">
        <f t="shared" si="40"/>
        <v>0</v>
      </c>
      <c r="AP107" s="38" t="str">
        <f>_xlfn.IFNA(IF(AD107="Y","DONE",VLOOKUP(A107,'Ship Date'!A:AE,30,0)),"")</f>
        <v/>
      </c>
      <c r="AQ107" s="12">
        <f t="shared" ca="1" si="41"/>
        <v>0</v>
      </c>
      <c r="AR107" s="38" t="str">
        <f>IFERROR(_xlfn.IFNA(VLOOKUP(A107,'Ship Date'!A:C,3,0),""),"")</f>
        <v/>
      </c>
      <c r="AS107" s="12" t="str">
        <f t="shared" ca="1" si="42"/>
        <v/>
      </c>
      <c r="AT107" s="38" t="str">
        <f>_xlfn.IFNA(IF(VLOOKUP(A107,'Actual Dates'!A:AF,32,0)="N/A"," ",VLOOKUP(A107,'Actual Dates'!A:AF,32,0))," ")</f>
        <v xml:space="preserve"> </v>
      </c>
      <c r="AU107" s="39"/>
      <c r="AV107" s="38" t="str">
        <f>_xlfn.IFNA(IF(VLOOKUP(A107,'Actual Dates'!A:AE,31,0)="","",VLOOKUP(A107,'Actual Dates'!A:AE,31,0)),"")</f>
        <v/>
      </c>
      <c r="AW107" s="58" t="s">
        <v>49</v>
      </c>
    </row>
    <row r="108" spans="1:49" ht="23.25" x14ac:dyDescent="0.25">
      <c r="A108" s="12" t="str">
        <f>'Actual Dates'!A107</f>
        <v>25-357</v>
      </c>
      <c r="B108" s="13" t="str">
        <f t="shared" si="34"/>
        <v>Sylvamo</v>
      </c>
      <c r="C108" s="35"/>
      <c r="D108" s="36" t="str">
        <f t="shared" si="43"/>
        <v>Y</v>
      </c>
      <c r="E108" s="37">
        <f t="shared" si="44"/>
        <v>2</v>
      </c>
      <c r="F108" s="36" t="str">
        <f t="shared" si="45"/>
        <v>Y</v>
      </c>
      <c r="G108" s="37">
        <f t="shared" si="46"/>
        <v>6</v>
      </c>
      <c r="H108" s="36" t="str">
        <f t="shared" si="35"/>
        <v>Y</v>
      </c>
      <c r="I108" s="37">
        <f t="shared" si="47"/>
        <v>1</v>
      </c>
      <c r="J108" s="35"/>
      <c r="K108" s="36" t="str">
        <f t="shared" si="48"/>
        <v>Y</v>
      </c>
      <c r="L108" s="37">
        <f t="shared" si="49"/>
        <v>4</v>
      </c>
      <c r="M108" s="37">
        <f t="shared" si="36"/>
        <v>3</v>
      </c>
      <c r="N108" s="36" t="str">
        <f t="shared" si="50"/>
        <v>Y</v>
      </c>
      <c r="O108" s="37">
        <f t="shared" si="51"/>
        <v>111</v>
      </c>
      <c r="P108" s="36" t="str">
        <f t="shared" si="52"/>
        <v xml:space="preserve">  </v>
      </c>
      <c r="Q108" s="37" t="str">
        <f t="shared" si="53"/>
        <v xml:space="preserve">  </v>
      </c>
      <c r="R108" s="36" t="str">
        <f t="shared" si="54"/>
        <v xml:space="preserve">  </v>
      </c>
      <c r="S108" s="37" t="str">
        <f t="shared" si="55"/>
        <v xml:space="preserve">  </v>
      </c>
      <c r="T108" s="36" t="str">
        <f t="shared" si="56"/>
        <v xml:space="preserve">  </v>
      </c>
      <c r="U108" s="37" t="str">
        <f t="shared" si="57"/>
        <v xml:space="preserve">  </v>
      </c>
      <c r="V108" s="36" t="str">
        <f t="shared" si="58"/>
        <v xml:space="preserve">  </v>
      </c>
      <c r="W108" s="37" t="str">
        <f t="shared" si="59"/>
        <v xml:space="preserve">  </v>
      </c>
      <c r="X108" s="36" t="str">
        <f t="shared" si="60"/>
        <v xml:space="preserve">  </v>
      </c>
      <c r="Y108" s="37" t="str">
        <f t="shared" si="61"/>
        <v xml:space="preserve">  </v>
      </c>
      <c r="Z108" s="36" t="str">
        <f t="shared" si="62"/>
        <v xml:space="preserve">  </v>
      </c>
      <c r="AA108" s="37" t="str">
        <f t="shared" si="63"/>
        <v xml:space="preserve">  </v>
      </c>
      <c r="AB108" s="36" t="str">
        <f t="shared" si="64"/>
        <v xml:space="preserve">  </v>
      </c>
      <c r="AC108" s="37" t="str">
        <f t="shared" si="65"/>
        <v xml:space="preserve">  </v>
      </c>
      <c r="AD108" s="36" t="str">
        <f t="shared" si="66"/>
        <v xml:space="preserve">  </v>
      </c>
      <c r="AE108" s="37" t="str">
        <f t="shared" si="67"/>
        <v xml:space="preserve">  </v>
      </c>
      <c r="AF108" s="38">
        <f ca="1">_xlfn.IFNA(IF(AG108="",TODAY()+(VLOOKUP(A108,'Date Calcs'!A:G,7,0)*7),VLOOKUP(A108,'Actual Dates'!A:AE,21,FALSE())),"")</f>
        <v>46225</v>
      </c>
      <c r="AG108" s="38">
        <f>IF(VLOOKUP(A108,'Actual Dates'!A:AE,20,0)="","",VLOOKUP(A108,'Actual Dates'!A:AE,20,0))</f>
        <v>46113</v>
      </c>
      <c r="AH108" s="38" t="str">
        <f>_xlfn.IFNA(IF($AG108="","",IF(X108="Y","DONE",VLOOKUP(A108,'Ship Date'!A:AE,27,0))),"")</f>
        <v/>
      </c>
      <c r="AI108" s="12">
        <f t="shared" ca="1" si="37"/>
        <v>0</v>
      </c>
      <c r="AJ108" s="38" t="str">
        <f>_xlfn.IFNA(IF($AG108="","",IF(AB108="Y","DONE",VLOOKUP(A108,'Ship Date'!A:AG,29,0))),"")</f>
        <v/>
      </c>
      <c r="AK108" s="12">
        <f t="shared" ca="1" si="38"/>
        <v>0</v>
      </c>
      <c r="AL108" s="38" t="str">
        <f>_xlfn.IFNA(IF($AG108="","",IF(Z108="Y","DONE",VLOOKUP(A108,'Ship Date'!A:AI,28,0))),"")</f>
        <v/>
      </c>
      <c r="AM108" s="12">
        <f t="shared" ca="1" si="39"/>
        <v>0</v>
      </c>
      <c r="AN108" s="38" t="str">
        <f>_xlfn.IFNA(IF(T108="Y","DONE",VLOOKUP(A108,'Ship Date'!A:AE,25,0)),"")</f>
        <v/>
      </c>
      <c r="AO108" s="12">
        <f t="shared" si="40"/>
        <v>0</v>
      </c>
      <c r="AP108" s="38" t="str">
        <f>_xlfn.IFNA(IF(AD108="Y","DONE",VLOOKUP(A108,'Ship Date'!A:AE,30,0)),"")</f>
        <v/>
      </c>
      <c r="AQ108" s="12">
        <f t="shared" ca="1" si="41"/>
        <v>0</v>
      </c>
      <c r="AR108" s="38" t="str">
        <f>IFERROR(_xlfn.IFNA(VLOOKUP(A108,'Ship Date'!A:C,3,0),""),"")</f>
        <v/>
      </c>
      <c r="AS108" s="12" t="str">
        <f t="shared" ca="1" si="42"/>
        <v/>
      </c>
      <c r="AT108" s="38" t="str">
        <f>_xlfn.IFNA(IF(VLOOKUP(A108,'Actual Dates'!A:AF,32,0)="N/A"," ",VLOOKUP(A108,'Actual Dates'!A:AF,32,0))," ")</f>
        <v xml:space="preserve"> </v>
      </c>
      <c r="AU108" s="39"/>
      <c r="AV108" s="38" t="str">
        <f>_xlfn.IFNA(IF(VLOOKUP(A108,'Actual Dates'!A:AE,31,0)="","",VLOOKUP(A108,'Actual Dates'!A:AE,31,0)),"")</f>
        <v/>
      </c>
      <c r="AW108" s="40"/>
    </row>
    <row r="109" spans="1:49" ht="23.25" x14ac:dyDescent="0.25">
      <c r="A109" s="12" t="str">
        <f>'Actual Dates'!A108</f>
        <v>25-358</v>
      </c>
      <c r="B109" s="13" t="str">
        <f t="shared" si="34"/>
        <v>Sylvamo</v>
      </c>
      <c r="C109" s="35"/>
      <c r="D109" s="36" t="str">
        <f t="shared" si="43"/>
        <v>Y</v>
      </c>
      <c r="E109" s="37">
        <f t="shared" si="44"/>
        <v>3</v>
      </c>
      <c r="F109" s="36" t="str">
        <f t="shared" si="45"/>
        <v>Y</v>
      </c>
      <c r="G109" s="37">
        <f t="shared" si="46"/>
        <v>6</v>
      </c>
      <c r="H109" s="36" t="str">
        <f t="shared" si="35"/>
        <v>Y</v>
      </c>
      <c r="I109" s="37">
        <f t="shared" si="47"/>
        <v>-29</v>
      </c>
      <c r="J109" s="35"/>
      <c r="K109" s="36" t="str">
        <f t="shared" si="48"/>
        <v>Y</v>
      </c>
      <c r="L109" s="37">
        <f t="shared" si="49"/>
        <v>4</v>
      </c>
      <c r="M109" s="37">
        <f t="shared" si="36"/>
        <v>3</v>
      </c>
      <c r="N109" s="36" t="str">
        <f t="shared" si="50"/>
        <v>Y</v>
      </c>
      <c r="O109" s="37">
        <f t="shared" si="51"/>
        <v>111</v>
      </c>
      <c r="P109" s="36" t="str">
        <f t="shared" si="52"/>
        <v xml:space="preserve">  </v>
      </c>
      <c r="Q109" s="37" t="str">
        <f t="shared" si="53"/>
        <v xml:space="preserve">  </v>
      </c>
      <c r="R109" s="36" t="str">
        <f t="shared" si="54"/>
        <v xml:space="preserve">  </v>
      </c>
      <c r="S109" s="37" t="str">
        <f t="shared" si="55"/>
        <v xml:space="preserve">  </v>
      </c>
      <c r="T109" s="36" t="str">
        <f t="shared" si="56"/>
        <v xml:space="preserve">  </v>
      </c>
      <c r="U109" s="37" t="str">
        <f t="shared" si="57"/>
        <v xml:space="preserve">  </v>
      </c>
      <c r="V109" s="36" t="str">
        <f t="shared" si="58"/>
        <v xml:space="preserve">  </v>
      </c>
      <c r="W109" s="37" t="str">
        <f t="shared" si="59"/>
        <v xml:space="preserve">  </v>
      </c>
      <c r="X109" s="36" t="str">
        <f t="shared" si="60"/>
        <v xml:space="preserve">  </v>
      </c>
      <c r="Y109" s="37" t="str">
        <f t="shared" si="61"/>
        <v xml:space="preserve">  </v>
      </c>
      <c r="Z109" s="36" t="str">
        <f t="shared" si="62"/>
        <v xml:space="preserve">  </v>
      </c>
      <c r="AA109" s="37" t="str">
        <f t="shared" si="63"/>
        <v xml:space="preserve">  </v>
      </c>
      <c r="AB109" s="36" t="str">
        <f t="shared" si="64"/>
        <v xml:space="preserve">  </v>
      </c>
      <c r="AC109" s="37" t="str">
        <f t="shared" si="65"/>
        <v xml:space="preserve">  </v>
      </c>
      <c r="AD109" s="36" t="str">
        <f t="shared" si="66"/>
        <v xml:space="preserve">  </v>
      </c>
      <c r="AE109" s="37" t="str">
        <f t="shared" si="67"/>
        <v xml:space="preserve">  </v>
      </c>
      <c r="AF109" s="38">
        <f ca="1">_xlfn.IFNA(IF(AG109="",TODAY()+(VLOOKUP(A109,'Date Calcs'!A:G,7,0)*7),VLOOKUP(A109,'Actual Dates'!A:AE,21,FALSE())),"")</f>
        <v>46225</v>
      </c>
      <c r="AG109" s="38">
        <f>IF(VLOOKUP(A109,'Actual Dates'!A:AE,20,0)="","",VLOOKUP(A109,'Actual Dates'!A:AE,20,0))</f>
        <v>46113</v>
      </c>
      <c r="AH109" s="38" t="str">
        <f>_xlfn.IFNA(IF($AG109="","",IF(X109="Y","DONE",VLOOKUP(A109,'Ship Date'!A:AE,27,0))),"")</f>
        <v/>
      </c>
      <c r="AI109" s="12">
        <f t="shared" ca="1" si="37"/>
        <v>0</v>
      </c>
      <c r="AJ109" s="38" t="str">
        <f>_xlfn.IFNA(IF($AG109="","",IF(AB109="Y","DONE",VLOOKUP(A109,'Ship Date'!A:AG,29,0))),"")</f>
        <v/>
      </c>
      <c r="AK109" s="12">
        <f t="shared" ca="1" si="38"/>
        <v>0</v>
      </c>
      <c r="AL109" s="38" t="str">
        <f>_xlfn.IFNA(IF($AG109="","",IF(Z109="Y","DONE",VLOOKUP(A109,'Ship Date'!A:AI,28,0))),"")</f>
        <v/>
      </c>
      <c r="AM109" s="12">
        <f t="shared" ca="1" si="39"/>
        <v>0</v>
      </c>
      <c r="AN109" s="38" t="str">
        <f>_xlfn.IFNA(IF(T109="Y","DONE",VLOOKUP(A109,'Ship Date'!A:AE,25,0)),"")</f>
        <v/>
      </c>
      <c r="AO109" s="12">
        <f t="shared" si="40"/>
        <v>0</v>
      </c>
      <c r="AP109" s="38" t="str">
        <f>_xlfn.IFNA(IF(AD109="Y","DONE",VLOOKUP(A109,'Ship Date'!A:AE,30,0)),"")</f>
        <v/>
      </c>
      <c r="AQ109" s="12">
        <f t="shared" ca="1" si="41"/>
        <v>0</v>
      </c>
      <c r="AR109" s="38" t="str">
        <f>IFERROR(_xlfn.IFNA(VLOOKUP(A109,'Ship Date'!A:C,3,0),""),"")</f>
        <v/>
      </c>
      <c r="AS109" s="12" t="str">
        <f t="shared" ca="1" si="42"/>
        <v/>
      </c>
      <c r="AT109" s="38" t="str">
        <f>_xlfn.IFNA(IF(VLOOKUP(A109,'Actual Dates'!A:AF,32,0)="N/A"," ",VLOOKUP(A109,'Actual Dates'!A:AF,32,0))," ")</f>
        <v xml:space="preserve"> </v>
      </c>
      <c r="AU109" s="39"/>
      <c r="AV109" s="38" t="str">
        <f>_xlfn.IFNA(IF(VLOOKUP(A109,'Actual Dates'!A:AE,31,0)="","",VLOOKUP(A109,'Actual Dates'!A:AE,31,0)),"")</f>
        <v/>
      </c>
      <c r="AW109" s="40"/>
    </row>
    <row r="110" spans="1:49" ht="23.25" x14ac:dyDescent="0.25">
      <c r="A110" s="12" t="str">
        <f>'Actual Dates'!A109</f>
        <v>26-002</v>
      </c>
      <c r="B110" s="13" t="str">
        <f t="shared" si="34"/>
        <v>SNF</v>
      </c>
      <c r="C110" s="35"/>
      <c r="D110" s="36" t="str">
        <f t="shared" si="43"/>
        <v>Y</v>
      </c>
      <c r="E110" s="37">
        <f t="shared" si="44"/>
        <v>0</v>
      </c>
      <c r="F110" s="36" t="str">
        <f t="shared" si="45"/>
        <v>Y</v>
      </c>
      <c r="G110" s="37">
        <f t="shared" si="46"/>
        <v>3</v>
      </c>
      <c r="H110" s="36" t="str">
        <f t="shared" si="35"/>
        <v>Y</v>
      </c>
      <c r="I110" s="37">
        <f t="shared" si="47"/>
        <v>-29</v>
      </c>
      <c r="J110" s="35"/>
      <c r="K110" s="36" t="str">
        <f t="shared" si="48"/>
        <v>Y</v>
      </c>
      <c r="L110" s="37" t="str">
        <f t="shared" si="49"/>
        <v/>
      </c>
      <c r="M110" s="37" t="str">
        <f t="shared" si="36"/>
        <v xml:space="preserve">  </v>
      </c>
      <c r="N110" s="36" t="str">
        <f t="shared" si="50"/>
        <v xml:space="preserve">  </v>
      </c>
      <c r="O110" s="37" t="str">
        <f t="shared" si="51"/>
        <v xml:space="preserve">  </v>
      </c>
      <c r="P110" s="36" t="str">
        <f t="shared" si="52"/>
        <v xml:space="preserve">  </v>
      </c>
      <c r="Q110" s="37" t="str">
        <f t="shared" si="53"/>
        <v xml:space="preserve">  </v>
      </c>
      <c r="R110" s="36" t="str">
        <f t="shared" si="54"/>
        <v xml:space="preserve">  </v>
      </c>
      <c r="S110" s="37" t="str">
        <f t="shared" si="55"/>
        <v xml:space="preserve">  </v>
      </c>
      <c r="T110" s="36" t="str">
        <f t="shared" si="56"/>
        <v xml:space="preserve">  </v>
      </c>
      <c r="U110" s="37" t="str">
        <f t="shared" si="57"/>
        <v xml:space="preserve">  </v>
      </c>
      <c r="V110" s="36" t="str">
        <f t="shared" si="58"/>
        <v xml:space="preserve">  </v>
      </c>
      <c r="W110" s="37" t="str">
        <f t="shared" si="59"/>
        <v xml:space="preserve">  </v>
      </c>
      <c r="X110" s="36" t="str">
        <f t="shared" si="60"/>
        <v xml:space="preserve">  </v>
      </c>
      <c r="Y110" s="37" t="str">
        <f t="shared" si="61"/>
        <v xml:space="preserve">  </v>
      </c>
      <c r="Z110" s="36" t="str">
        <f t="shared" si="62"/>
        <v xml:space="preserve">  </v>
      </c>
      <c r="AA110" s="37" t="str">
        <f t="shared" si="63"/>
        <v xml:space="preserve">  </v>
      </c>
      <c r="AB110" s="36" t="str">
        <f t="shared" si="64"/>
        <v xml:space="preserve">  </v>
      </c>
      <c r="AC110" s="37" t="str">
        <f t="shared" si="65"/>
        <v xml:space="preserve">  </v>
      </c>
      <c r="AD110" s="36" t="str">
        <f t="shared" si="66"/>
        <v xml:space="preserve">  </v>
      </c>
      <c r="AE110" s="37" t="str">
        <f t="shared" si="67"/>
        <v xml:space="preserve">  </v>
      </c>
      <c r="AF110" s="38">
        <f ca="1">_xlfn.IFNA(IF(AG110="",TODAY()+(VLOOKUP(A110,'Date Calcs'!A:G,7,0)*7),VLOOKUP(A110,'Actual Dates'!A:AE,21,FALSE())),"")</f>
        <v>46241</v>
      </c>
      <c r="AG110" s="38" t="str">
        <f>IF(VLOOKUP(A110,'Actual Dates'!A:AE,20,0)="","",VLOOKUP(A110,'Actual Dates'!A:AE,20,0))</f>
        <v/>
      </c>
      <c r="AH110" s="38" t="str">
        <f>_xlfn.IFNA(IF($AG110="","",IF(X110="Y","DONE",VLOOKUP(A110,'Ship Date'!A:AE,27,0))),"")</f>
        <v/>
      </c>
      <c r="AI110" s="12">
        <f t="shared" ca="1" si="37"/>
        <v>0</v>
      </c>
      <c r="AJ110" s="38" t="str">
        <f>_xlfn.IFNA(IF($AG110="","",IF(AB110="Y","DONE",VLOOKUP(A110,'Ship Date'!A:AG,29,0))),"")</f>
        <v/>
      </c>
      <c r="AK110" s="12">
        <f t="shared" ca="1" si="38"/>
        <v>0</v>
      </c>
      <c r="AL110" s="38" t="str">
        <f>_xlfn.IFNA(IF($AG110="","",IF(Z110="Y","DONE",VLOOKUP(A110,'Ship Date'!A:AI,28,0))),"")</f>
        <v/>
      </c>
      <c r="AM110" s="12">
        <f t="shared" ca="1" si="39"/>
        <v>0</v>
      </c>
      <c r="AN110" s="38" t="str">
        <f>_xlfn.IFNA(IF(T110="Y","DONE",VLOOKUP(A110,'Ship Date'!A:AE,25,0)),"")</f>
        <v/>
      </c>
      <c r="AO110" s="12">
        <f t="shared" si="40"/>
        <v>0</v>
      </c>
      <c r="AP110" s="38" t="str">
        <f>_xlfn.IFNA(IF(AD110="Y","DONE",VLOOKUP(A110,'Ship Date'!A:AE,30,0)),"")</f>
        <v/>
      </c>
      <c r="AQ110" s="12">
        <f t="shared" ca="1" si="41"/>
        <v>0</v>
      </c>
      <c r="AR110" s="38" t="str">
        <f>IFERROR(_xlfn.IFNA(VLOOKUP(A110,'Ship Date'!A:C,3,0),""),"")</f>
        <v/>
      </c>
      <c r="AS110" s="12" t="str">
        <f t="shared" ca="1" si="42"/>
        <v/>
      </c>
      <c r="AT110" s="38" t="str">
        <f>_xlfn.IFNA(IF(VLOOKUP(A110,'Actual Dates'!A:AF,32,0)="N/A"," ",VLOOKUP(A110,'Actual Dates'!A:AF,32,0))," ")</f>
        <v xml:space="preserve"> </v>
      </c>
      <c r="AU110" s="39"/>
      <c r="AV110" s="38" t="str">
        <f>_xlfn.IFNA(IF(VLOOKUP(A110,'Actual Dates'!A:AE,31,0)="","",VLOOKUP(A110,'Actual Dates'!A:AE,31,0)),"")</f>
        <v/>
      </c>
      <c r="AW110" s="40"/>
    </row>
    <row r="111" spans="1:49" ht="23.25" x14ac:dyDescent="0.25">
      <c r="A111" s="12" t="str">
        <f>'Actual Dates'!A110</f>
        <v>26-003</v>
      </c>
      <c r="B111" s="13" t="str">
        <f t="shared" si="34"/>
        <v>SNF</v>
      </c>
      <c r="C111" s="35"/>
      <c r="D111" s="36" t="str">
        <f t="shared" si="43"/>
        <v>Y</v>
      </c>
      <c r="E111" s="37">
        <f t="shared" si="44"/>
        <v>0</v>
      </c>
      <c r="F111" s="36" t="str">
        <f t="shared" si="45"/>
        <v>Y</v>
      </c>
      <c r="G111" s="37">
        <f t="shared" si="46"/>
        <v>3</v>
      </c>
      <c r="H111" s="36" t="str">
        <f t="shared" si="35"/>
        <v>Y</v>
      </c>
      <c r="I111" s="37">
        <f t="shared" si="47"/>
        <v>1</v>
      </c>
      <c r="J111" s="35"/>
      <c r="K111" s="36" t="str">
        <f t="shared" si="48"/>
        <v>Y</v>
      </c>
      <c r="L111" s="37" t="str">
        <f t="shared" si="49"/>
        <v/>
      </c>
      <c r="M111" s="37" t="str">
        <f t="shared" si="36"/>
        <v xml:space="preserve">  </v>
      </c>
      <c r="N111" s="36" t="str">
        <f t="shared" si="50"/>
        <v xml:space="preserve">  </v>
      </c>
      <c r="O111" s="37" t="str">
        <f t="shared" si="51"/>
        <v xml:space="preserve">  </v>
      </c>
      <c r="P111" s="36" t="str">
        <f t="shared" si="52"/>
        <v xml:space="preserve">  </v>
      </c>
      <c r="Q111" s="37" t="str">
        <f t="shared" si="53"/>
        <v xml:space="preserve">  </v>
      </c>
      <c r="R111" s="36" t="str">
        <f t="shared" si="54"/>
        <v xml:space="preserve">  </v>
      </c>
      <c r="S111" s="37" t="str">
        <f t="shared" si="55"/>
        <v xml:space="preserve">  </v>
      </c>
      <c r="T111" s="36" t="str">
        <f t="shared" si="56"/>
        <v xml:space="preserve">  </v>
      </c>
      <c r="U111" s="37" t="str">
        <f t="shared" si="57"/>
        <v xml:space="preserve">  </v>
      </c>
      <c r="V111" s="36" t="str">
        <f t="shared" si="58"/>
        <v xml:space="preserve">  </v>
      </c>
      <c r="W111" s="37" t="str">
        <f t="shared" si="59"/>
        <v xml:space="preserve">  </v>
      </c>
      <c r="X111" s="36" t="str">
        <f t="shared" si="60"/>
        <v xml:space="preserve">  </v>
      </c>
      <c r="Y111" s="37" t="str">
        <f t="shared" si="61"/>
        <v xml:space="preserve">  </v>
      </c>
      <c r="Z111" s="36" t="str">
        <f t="shared" si="62"/>
        <v xml:space="preserve">  </v>
      </c>
      <c r="AA111" s="37" t="str">
        <f t="shared" si="63"/>
        <v xml:space="preserve">  </v>
      </c>
      <c r="AB111" s="36" t="str">
        <f t="shared" si="64"/>
        <v xml:space="preserve">  </v>
      </c>
      <c r="AC111" s="37" t="str">
        <f t="shared" si="65"/>
        <v xml:space="preserve">  </v>
      </c>
      <c r="AD111" s="36" t="str">
        <f t="shared" si="66"/>
        <v xml:space="preserve">  </v>
      </c>
      <c r="AE111" s="37" t="str">
        <f t="shared" si="67"/>
        <v xml:space="preserve">  </v>
      </c>
      <c r="AF111" s="38">
        <f ca="1">_xlfn.IFNA(IF(AG111="",TODAY()+(VLOOKUP(A111,'Date Calcs'!A:G,7,0)*7),VLOOKUP(A111,'Actual Dates'!A:AE,21,FALSE())),"")</f>
        <v>46241</v>
      </c>
      <c r="AG111" s="38" t="str">
        <f>IF(VLOOKUP(A111,'Actual Dates'!A:AE,20,0)="","",VLOOKUP(A111,'Actual Dates'!A:AE,20,0))</f>
        <v/>
      </c>
      <c r="AH111" s="38" t="str">
        <f>_xlfn.IFNA(IF($AG111="","",IF(X111="Y","DONE",VLOOKUP(A111,'Ship Date'!A:AE,27,0))),"")</f>
        <v/>
      </c>
      <c r="AI111" s="12">
        <f t="shared" ca="1" si="37"/>
        <v>0</v>
      </c>
      <c r="AJ111" s="38" t="str">
        <f>_xlfn.IFNA(IF($AG111="","",IF(AB111="Y","DONE",VLOOKUP(A111,'Ship Date'!A:AG,29,0))),"")</f>
        <v/>
      </c>
      <c r="AK111" s="12">
        <f t="shared" ca="1" si="38"/>
        <v>0</v>
      </c>
      <c r="AL111" s="38" t="str">
        <f>_xlfn.IFNA(IF($AG111="","",IF(Z111="Y","DONE",VLOOKUP(A111,'Ship Date'!A:AI,28,0))),"")</f>
        <v/>
      </c>
      <c r="AM111" s="12">
        <f t="shared" ca="1" si="39"/>
        <v>0</v>
      </c>
      <c r="AN111" s="38" t="str">
        <f>_xlfn.IFNA(IF(T111="Y","DONE",VLOOKUP(A111,'Ship Date'!A:AE,25,0)),"")</f>
        <v/>
      </c>
      <c r="AO111" s="12">
        <f t="shared" si="40"/>
        <v>0</v>
      </c>
      <c r="AP111" s="38" t="str">
        <f>_xlfn.IFNA(IF(AD111="Y","DONE",VLOOKUP(A111,'Ship Date'!A:AE,30,0)),"")</f>
        <v/>
      </c>
      <c r="AQ111" s="12">
        <f t="shared" ca="1" si="41"/>
        <v>0</v>
      </c>
      <c r="AR111" s="38" t="str">
        <f>IFERROR(_xlfn.IFNA(VLOOKUP(A111,'Ship Date'!A:C,3,0),""),"")</f>
        <v/>
      </c>
      <c r="AS111" s="12" t="str">
        <f t="shared" ca="1" si="42"/>
        <v/>
      </c>
      <c r="AT111" s="38" t="str">
        <f>_xlfn.IFNA(IF(VLOOKUP(A111,'Actual Dates'!A:AF,32,0)="N/A"," ",VLOOKUP(A111,'Actual Dates'!A:AF,32,0))," ")</f>
        <v xml:space="preserve"> </v>
      </c>
      <c r="AU111" s="39"/>
      <c r="AV111" s="38" t="str">
        <f>_xlfn.IFNA(IF(VLOOKUP(A111,'Actual Dates'!A:AE,31,0)="","",VLOOKUP(A111,'Actual Dates'!A:AE,31,0)),"")</f>
        <v/>
      </c>
      <c r="AW111" s="40"/>
    </row>
    <row r="112" spans="1:49" ht="23.25" x14ac:dyDescent="0.25">
      <c r="A112" s="12" t="str">
        <f>'Actual Dates'!A111</f>
        <v>26-004</v>
      </c>
      <c r="B112" s="13" t="str">
        <f t="shared" si="34"/>
        <v>SNF</v>
      </c>
      <c r="C112" s="35"/>
      <c r="D112" s="36" t="str">
        <f t="shared" si="43"/>
        <v>Y</v>
      </c>
      <c r="E112" s="37">
        <f t="shared" si="44"/>
        <v>0</v>
      </c>
      <c r="F112" s="36" t="str">
        <f t="shared" si="45"/>
        <v>Y</v>
      </c>
      <c r="G112" s="37">
        <f t="shared" si="46"/>
        <v>3</v>
      </c>
      <c r="H112" s="36" t="str">
        <f t="shared" si="35"/>
        <v>Y</v>
      </c>
      <c r="I112" s="37">
        <f t="shared" si="47"/>
        <v>1</v>
      </c>
      <c r="J112" s="35"/>
      <c r="K112" s="36" t="str">
        <f t="shared" si="48"/>
        <v>Y</v>
      </c>
      <c r="L112" s="37" t="str">
        <f t="shared" si="49"/>
        <v/>
      </c>
      <c r="M112" s="37" t="str">
        <f t="shared" si="36"/>
        <v xml:space="preserve">  </v>
      </c>
      <c r="N112" s="36" t="str">
        <f t="shared" si="50"/>
        <v xml:space="preserve">  </v>
      </c>
      <c r="O112" s="37" t="str">
        <f t="shared" si="51"/>
        <v xml:space="preserve">  </v>
      </c>
      <c r="P112" s="36" t="str">
        <f t="shared" si="52"/>
        <v xml:space="preserve">  </v>
      </c>
      <c r="Q112" s="37" t="str">
        <f t="shared" si="53"/>
        <v xml:space="preserve">  </v>
      </c>
      <c r="R112" s="36" t="str">
        <f t="shared" si="54"/>
        <v xml:space="preserve">  </v>
      </c>
      <c r="S112" s="37" t="str">
        <f t="shared" si="55"/>
        <v xml:space="preserve">  </v>
      </c>
      <c r="T112" s="36" t="str">
        <f t="shared" si="56"/>
        <v xml:space="preserve">  </v>
      </c>
      <c r="U112" s="37" t="str">
        <f t="shared" si="57"/>
        <v xml:space="preserve">  </v>
      </c>
      <c r="V112" s="36" t="str">
        <f t="shared" si="58"/>
        <v xml:space="preserve">  </v>
      </c>
      <c r="W112" s="37" t="str">
        <f t="shared" si="59"/>
        <v xml:space="preserve">  </v>
      </c>
      <c r="X112" s="36" t="str">
        <f t="shared" si="60"/>
        <v xml:space="preserve">  </v>
      </c>
      <c r="Y112" s="37" t="str">
        <f t="shared" si="61"/>
        <v xml:space="preserve">  </v>
      </c>
      <c r="Z112" s="36" t="str">
        <f t="shared" si="62"/>
        <v xml:space="preserve">  </v>
      </c>
      <c r="AA112" s="37" t="str">
        <f t="shared" si="63"/>
        <v xml:space="preserve">  </v>
      </c>
      <c r="AB112" s="36" t="str">
        <f t="shared" si="64"/>
        <v xml:space="preserve">  </v>
      </c>
      <c r="AC112" s="37" t="str">
        <f t="shared" si="65"/>
        <v xml:space="preserve">  </v>
      </c>
      <c r="AD112" s="36" t="str">
        <f t="shared" si="66"/>
        <v xml:space="preserve">  </v>
      </c>
      <c r="AE112" s="37" t="str">
        <f t="shared" si="67"/>
        <v xml:space="preserve">  </v>
      </c>
      <c r="AF112" s="38">
        <f ca="1">_xlfn.IFNA(IF(AG112="",TODAY()+(VLOOKUP(A112,'Date Calcs'!A:G,7,0)*7),VLOOKUP(A112,'Actual Dates'!A:AE,21,FALSE())),"")</f>
        <v>46241</v>
      </c>
      <c r="AG112" s="38" t="str">
        <f>IF(VLOOKUP(A112,'Actual Dates'!A:AE,20,0)="","",VLOOKUP(A112,'Actual Dates'!A:AE,20,0))</f>
        <v/>
      </c>
      <c r="AH112" s="38" t="str">
        <f>_xlfn.IFNA(IF($AG112="","",IF(X112="Y","DONE",VLOOKUP(A112,'Ship Date'!A:AE,27,0))),"")</f>
        <v/>
      </c>
      <c r="AI112" s="12">
        <f t="shared" ca="1" si="37"/>
        <v>0</v>
      </c>
      <c r="AJ112" s="38" t="str">
        <f>_xlfn.IFNA(IF($AG112="","",IF(AB112="Y","DONE",VLOOKUP(A112,'Ship Date'!A:AG,29,0))),"")</f>
        <v/>
      </c>
      <c r="AK112" s="12">
        <f t="shared" ca="1" si="38"/>
        <v>0</v>
      </c>
      <c r="AL112" s="38" t="str">
        <f>_xlfn.IFNA(IF($AG112="","",IF(Z112="Y","DONE",VLOOKUP(A112,'Ship Date'!A:AI,28,0))),"")</f>
        <v/>
      </c>
      <c r="AM112" s="12">
        <f t="shared" ca="1" si="39"/>
        <v>0</v>
      </c>
      <c r="AN112" s="38" t="str">
        <f>_xlfn.IFNA(IF(T112="Y","DONE",VLOOKUP(A112,'Ship Date'!A:AE,25,0)),"")</f>
        <v/>
      </c>
      <c r="AO112" s="12">
        <f t="shared" si="40"/>
        <v>0</v>
      </c>
      <c r="AP112" s="38" t="str">
        <f>_xlfn.IFNA(IF(AD112="Y","DONE",VLOOKUP(A112,'Ship Date'!A:AE,30,0)),"")</f>
        <v/>
      </c>
      <c r="AQ112" s="12">
        <f t="shared" ca="1" si="41"/>
        <v>0</v>
      </c>
      <c r="AR112" s="38" t="str">
        <f>IFERROR(_xlfn.IFNA(VLOOKUP(A112,'Ship Date'!A:C,3,0),""),"")</f>
        <v/>
      </c>
      <c r="AS112" s="12" t="str">
        <f t="shared" ca="1" si="42"/>
        <v/>
      </c>
      <c r="AT112" s="38" t="str">
        <f>_xlfn.IFNA(IF(VLOOKUP(A112,'Actual Dates'!A:AF,32,0)="N/A"," ",VLOOKUP(A112,'Actual Dates'!A:AF,32,0))," ")</f>
        <v xml:space="preserve"> </v>
      </c>
      <c r="AU112" s="39"/>
      <c r="AV112" s="38" t="str">
        <f>_xlfn.IFNA(IF(VLOOKUP(A112,'Actual Dates'!A:AE,31,0)="","",VLOOKUP(A112,'Actual Dates'!A:AE,31,0)),"")</f>
        <v/>
      </c>
      <c r="AW112" s="40"/>
    </row>
    <row r="113" spans="1:49" ht="23.25" x14ac:dyDescent="0.25">
      <c r="A113" s="12" t="str">
        <f>'Actual Dates'!A112</f>
        <v>26-005</v>
      </c>
      <c r="B113" s="13" t="str">
        <f t="shared" si="34"/>
        <v>US Sugar</v>
      </c>
      <c r="C113" s="35"/>
      <c r="D113" s="36" t="str">
        <f t="shared" si="43"/>
        <v>Y</v>
      </c>
      <c r="E113" s="37">
        <f t="shared" si="44"/>
        <v>-4</v>
      </c>
      <c r="F113" s="36" t="str">
        <f t="shared" si="45"/>
        <v>Y</v>
      </c>
      <c r="G113" s="37">
        <f t="shared" si="46"/>
        <v>-4</v>
      </c>
      <c r="H113" s="36" t="str">
        <f t="shared" si="35"/>
        <v>Y</v>
      </c>
      <c r="I113" s="37">
        <f t="shared" si="47"/>
        <v>-3</v>
      </c>
      <c r="J113" s="35"/>
      <c r="K113" s="36" t="str">
        <f t="shared" si="48"/>
        <v>Y</v>
      </c>
      <c r="L113" s="37">
        <f t="shared" si="49"/>
        <v>19</v>
      </c>
      <c r="M113" s="37">
        <f t="shared" si="36"/>
        <v>18</v>
      </c>
      <c r="N113" s="36" t="str">
        <f t="shared" si="50"/>
        <v>Y</v>
      </c>
      <c r="O113" s="37">
        <f t="shared" si="51"/>
        <v>133</v>
      </c>
      <c r="P113" s="36" t="str">
        <f t="shared" si="52"/>
        <v>Y</v>
      </c>
      <c r="Q113" s="37">
        <f t="shared" si="53"/>
        <v>-90</v>
      </c>
      <c r="R113" s="36" t="str">
        <f t="shared" si="54"/>
        <v>Y</v>
      </c>
      <c r="S113" s="37">
        <f t="shared" si="55"/>
        <v>23</v>
      </c>
      <c r="T113" s="36" t="str">
        <f t="shared" si="56"/>
        <v xml:space="preserve">  </v>
      </c>
      <c r="U113" s="37">
        <f t="shared" si="57"/>
        <v>16</v>
      </c>
      <c r="V113" s="36" t="str">
        <f t="shared" si="58"/>
        <v>Y</v>
      </c>
      <c r="W113" s="37" t="str">
        <f t="shared" si="59"/>
        <v xml:space="preserve">  </v>
      </c>
      <c r="X113" s="36" t="str">
        <f t="shared" si="60"/>
        <v xml:space="preserve">  </v>
      </c>
      <c r="Y113" s="37" t="str">
        <f t="shared" si="61"/>
        <v xml:space="preserve">  </v>
      </c>
      <c r="Z113" s="36" t="str">
        <f t="shared" si="62"/>
        <v xml:space="preserve">  </v>
      </c>
      <c r="AA113" s="37" t="str">
        <f t="shared" si="63"/>
        <v xml:space="preserve">  </v>
      </c>
      <c r="AB113" s="36" t="str">
        <f t="shared" si="64"/>
        <v xml:space="preserve">  </v>
      </c>
      <c r="AC113" s="37" t="str">
        <f t="shared" si="65"/>
        <v xml:space="preserve">  </v>
      </c>
      <c r="AD113" s="36" t="str">
        <f t="shared" si="66"/>
        <v xml:space="preserve">  </v>
      </c>
      <c r="AE113" s="37" t="str">
        <f t="shared" si="67"/>
        <v xml:space="preserve">  </v>
      </c>
      <c r="AF113" s="38">
        <f ca="1">_xlfn.IFNA(IF(AG113="",TODAY()+(VLOOKUP(A113,'Date Calcs'!A:G,7,0)*7),VLOOKUP(A113,'Actual Dates'!A:AE,21,FALSE())),"")</f>
        <v>46204</v>
      </c>
      <c r="AG113" s="38">
        <f>IF(VLOOKUP(A113,'Actual Dates'!A:AE,20,0)="","",VLOOKUP(A113,'Actual Dates'!A:AE,20,0))</f>
        <v>46085</v>
      </c>
      <c r="AH113" s="38" t="str">
        <f>_xlfn.IFNA(IF($AG113="","",IF(X113="Y","DONE",VLOOKUP(A113,'Ship Date'!A:AE,27,0))),"")</f>
        <v/>
      </c>
      <c r="AI113" s="12">
        <f t="shared" ca="1" si="37"/>
        <v>0</v>
      </c>
      <c r="AJ113" s="38" t="str">
        <f>_xlfn.IFNA(IF($AG113="","",IF(AB113="Y","DONE",VLOOKUP(A113,'Ship Date'!A:AG,29,0))),"")</f>
        <v/>
      </c>
      <c r="AK113" s="12">
        <f t="shared" ca="1" si="38"/>
        <v>0</v>
      </c>
      <c r="AL113" s="38" t="str">
        <f>_xlfn.IFNA(IF($AG113="","",IF(Z113="Y","DONE",VLOOKUP(A113,'Ship Date'!A:AI,28,0))),"")</f>
        <v/>
      </c>
      <c r="AM113" s="12">
        <f t="shared" ca="1" si="39"/>
        <v>0</v>
      </c>
      <c r="AN113" s="38" t="str">
        <f>_xlfn.IFNA(IF(T113="Y","DONE",VLOOKUP(A113,'Ship Date'!A:AE,25,0)),"")</f>
        <v/>
      </c>
      <c r="AO113" s="12">
        <f t="shared" si="40"/>
        <v>0</v>
      </c>
      <c r="AP113" s="38" t="str">
        <f>_xlfn.IFNA(IF(AD113="Y","DONE",VLOOKUP(A113,'Ship Date'!A:AE,30,0)),"")</f>
        <v/>
      </c>
      <c r="AQ113" s="12">
        <f t="shared" ca="1" si="41"/>
        <v>0</v>
      </c>
      <c r="AR113" s="38" t="str">
        <f>IFERROR(_xlfn.IFNA(VLOOKUP(A113,'Ship Date'!A:C,3,0),""),"")</f>
        <v/>
      </c>
      <c r="AS113" s="12" t="str">
        <f t="shared" ca="1" si="42"/>
        <v/>
      </c>
      <c r="AT113" s="38" t="str">
        <f>_xlfn.IFNA(IF(VLOOKUP(A113,'Actual Dates'!A:AF,32,0)="N/A"," ",VLOOKUP(A113,'Actual Dates'!A:AF,32,0))," ")</f>
        <v xml:space="preserve"> </v>
      </c>
      <c r="AU113" s="39"/>
      <c r="AV113" s="38" t="str">
        <f>_xlfn.IFNA(IF(VLOOKUP(A113,'Actual Dates'!A:AE,31,0)="","",VLOOKUP(A113,'Actual Dates'!A:AE,31,0)),"")</f>
        <v/>
      </c>
      <c r="AW113" s="40"/>
    </row>
    <row r="114" spans="1:49" ht="23.25" x14ac:dyDescent="0.25">
      <c r="A114" s="12" t="str">
        <f>'Actual Dates'!A113</f>
        <v>26-014</v>
      </c>
      <c r="B114" s="13" t="str">
        <f t="shared" si="34"/>
        <v>SNF</v>
      </c>
      <c r="C114" s="35"/>
      <c r="D114" s="36" t="str">
        <f t="shared" si="43"/>
        <v>Y</v>
      </c>
      <c r="E114" s="37">
        <f t="shared" si="44"/>
        <v>2</v>
      </c>
      <c r="F114" s="36" t="str">
        <f t="shared" si="45"/>
        <v>Y</v>
      </c>
      <c r="G114" s="37">
        <f t="shared" si="46"/>
        <v>1</v>
      </c>
      <c r="H114" s="36" t="str">
        <f t="shared" si="35"/>
        <v>Y</v>
      </c>
      <c r="I114" s="37">
        <f t="shared" si="47"/>
        <v>-3</v>
      </c>
      <c r="J114" s="35"/>
      <c r="K114" s="36" t="str">
        <f t="shared" si="48"/>
        <v>Y</v>
      </c>
      <c r="L114" s="37" t="str">
        <f t="shared" si="49"/>
        <v/>
      </c>
      <c r="M114" s="37" t="str">
        <f t="shared" si="36"/>
        <v xml:space="preserve">  </v>
      </c>
      <c r="N114" s="36" t="str">
        <f t="shared" si="50"/>
        <v xml:space="preserve">  </v>
      </c>
      <c r="O114" s="37" t="str">
        <f t="shared" si="51"/>
        <v xml:space="preserve">  </v>
      </c>
      <c r="P114" s="36" t="str">
        <f t="shared" si="52"/>
        <v xml:space="preserve">  </v>
      </c>
      <c r="Q114" s="37" t="str">
        <f t="shared" si="53"/>
        <v xml:space="preserve">  </v>
      </c>
      <c r="R114" s="36" t="str">
        <f t="shared" si="54"/>
        <v xml:space="preserve">  </v>
      </c>
      <c r="S114" s="37" t="str">
        <f t="shared" si="55"/>
        <v xml:space="preserve">  </v>
      </c>
      <c r="T114" s="36" t="str">
        <f t="shared" si="56"/>
        <v xml:space="preserve">  </v>
      </c>
      <c r="U114" s="37" t="str">
        <f t="shared" si="57"/>
        <v xml:space="preserve">  </v>
      </c>
      <c r="V114" s="36" t="str">
        <f t="shared" si="58"/>
        <v xml:space="preserve">  </v>
      </c>
      <c r="W114" s="37" t="str">
        <f t="shared" si="59"/>
        <v xml:space="preserve">  </v>
      </c>
      <c r="X114" s="36" t="str">
        <f t="shared" si="60"/>
        <v xml:space="preserve">  </v>
      </c>
      <c r="Y114" s="37" t="str">
        <f t="shared" si="61"/>
        <v xml:space="preserve">  </v>
      </c>
      <c r="Z114" s="36" t="str">
        <f t="shared" si="62"/>
        <v xml:space="preserve">  </v>
      </c>
      <c r="AA114" s="37" t="str">
        <f t="shared" si="63"/>
        <v xml:space="preserve">  </v>
      </c>
      <c r="AB114" s="36" t="str">
        <f t="shared" si="64"/>
        <v xml:space="preserve">  </v>
      </c>
      <c r="AC114" s="37" t="str">
        <f t="shared" si="65"/>
        <v xml:space="preserve">  </v>
      </c>
      <c r="AD114" s="36" t="str">
        <f t="shared" si="66"/>
        <v xml:space="preserve">  </v>
      </c>
      <c r="AE114" s="37" t="str">
        <f t="shared" si="67"/>
        <v xml:space="preserve">  </v>
      </c>
      <c r="AF114" s="38">
        <f ca="1">_xlfn.IFNA(IF(AG114="",TODAY()+(VLOOKUP(A114,'Date Calcs'!A:G,7,0)*7),VLOOKUP(A114,'Actual Dates'!A:AE,21,FALSE())),"")</f>
        <v>46227</v>
      </c>
      <c r="AG114" s="38" t="str">
        <f>IF(VLOOKUP(A114,'Actual Dates'!A:AE,20,0)="","",VLOOKUP(A114,'Actual Dates'!A:AE,20,0))</f>
        <v/>
      </c>
      <c r="AH114" s="38" t="str">
        <f>_xlfn.IFNA(IF($AG114="","",IF(X114="Y","DONE",VLOOKUP(A114,'Ship Date'!A:AE,27,0))),"")</f>
        <v/>
      </c>
      <c r="AI114" s="12">
        <f t="shared" ca="1" si="37"/>
        <v>0</v>
      </c>
      <c r="AJ114" s="38" t="str">
        <f>_xlfn.IFNA(IF($AG114="","",IF(AB114="Y","DONE",VLOOKUP(A114,'Ship Date'!A:AG,29,0))),"")</f>
        <v/>
      </c>
      <c r="AK114" s="12">
        <f t="shared" ca="1" si="38"/>
        <v>0</v>
      </c>
      <c r="AL114" s="38" t="str">
        <f>_xlfn.IFNA(IF($AG114="","",IF(Z114="Y","DONE",VLOOKUP(A114,'Ship Date'!A:AI,28,0))),"")</f>
        <v/>
      </c>
      <c r="AM114" s="12">
        <f t="shared" ca="1" si="39"/>
        <v>0</v>
      </c>
      <c r="AN114" s="38" t="str">
        <f>_xlfn.IFNA(IF(T114="Y","DONE",VLOOKUP(A114,'Ship Date'!A:AE,25,0)),"")</f>
        <v/>
      </c>
      <c r="AO114" s="12">
        <f t="shared" si="40"/>
        <v>0</v>
      </c>
      <c r="AP114" s="38" t="str">
        <f>_xlfn.IFNA(IF(AD114="Y","DONE",VLOOKUP(A114,'Ship Date'!A:AE,30,0)),"")</f>
        <v/>
      </c>
      <c r="AQ114" s="12">
        <f t="shared" ca="1" si="41"/>
        <v>0</v>
      </c>
      <c r="AR114" s="38" t="str">
        <f>IFERROR(_xlfn.IFNA(VLOOKUP(A114,'Ship Date'!A:C,3,0),""),"")</f>
        <v/>
      </c>
      <c r="AS114" s="12" t="str">
        <f t="shared" ca="1" si="42"/>
        <v/>
      </c>
      <c r="AT114" s="38">
        <f>_xlfn.IFNA(IF(VLOOKUP(A114,'Actual Dates'!A:AF,32,0)="N/A"," ",VLOOKUP(A114,'Actual Dates'!A:AF,32,0))," ")</f>
        <v>46116</v>
      </c>
      <c r="AU114" s="39"/>
      <c r="AV114" s="38" t="str">
        <f>_xlfn.IFNA(IF(VLOOKUP(A114,'Actual Dates'!A:AE,31,0)="","",VLOOKUP(A114,'Actual Dates'!A:AE,31,0)),"")</f>
        <v/>
      </c>
      <c r="AW114" s="40"/>
    </row>
    <row r="115" spans="1:49" ht="23.25" x14ac:dyDescent="0.25">
      <c r="A115" s="12" t="str">
        <f>'Actual Dates'!A114</f>
        <v>26-015</v>
      </c>
      <c r="B115" s="13" t="str">
        <f t="shared" si="34"/>
        <v>SNF</v>
      </c>
      <c r="C115" s="35"/>
      <c r="D115" s="36" t="str">
        <f t="shared" si="43"/>
        <v>Y</v>
      </c>
      <c r="E115" s="37">
        <f t="shared" si="44"/>
        <v>0</v>
      </c>
      <c r="F115" s="36" t="str">
        <f t="shared" si="45"/>
        <v>Y</v>
      </c>
      <c r="G115" s="37">
        <f t="shared" si="46"/>
        <v>-1</v>
      </c>
      <c r="H115" s="36" t="str">
        <f t="shared" si="35"/>
        <v>Y</v>
      </c>
      <c r="I115" s="37">
        <f t="shared" si="47"/>
        <v>-6</v>
      </c>
      <c r="J115" s="35"/>
      <c r="K115" s="36" t="str">
        <f t="shared" si="48"/>
        <v>Y</v>
      </c>
      <c r="L115" s="37" t="str">
        <f t="shared" si="49"/>
        <v/>
      </c>
      <c r="M115" s="37" t="str">
        <f t="shared" si="36"/>
        <v xml:space="preserve">  </v>
      </c>
      <c r="N115" s="36" t="str">
        <f t="shared" si="50"/>
        <v xml:space="preserve">  </v>
      </c>
      <c r="O115" s="37" t="str">
        <f t="shared" si="51"/>
        <v xml:space="preserve">  </v>
      </c>
      <c r="P115" s="36" t="str">
        <f t="shared" si="52"/>
        <v xml:space="preserve">  </v>
      </c>
      <c r="Q115" s="37" t="str">
        <f t="shared" si="53"/>
        <v xml:space="preserve">  </v>
      </c>
      <c r="R115" s="36" t="str">
        <f t="shared" si="54"/>
        <v xml:space="preserve">  </v>
      </c>
      <c r="S115" s="37" t="str">
        <f t="shared" si="55"/>
        <v xml:space="preserve">  </v>
      </c>
      <c r="T115" s="36" t="str">
        <f t="shared" si="56"/>
        <v xml:space="preserve">  </v>
      </c>
      <c r="U115" s="37" t="str">
        <f t="shared" si="57"/>
        <v xml:space="preserve">  </v>
      </c>
      <c r="V115" s="36" t="str">
        <f t="shared" si="58"/>
        <v xml:space="preserve">  </v>
      </c>
      <c r="W115" s="37" t="str">
        <f t="shared" si="59"/>
        <v xml:space="preserve">  </v>
      </c>
      <c r="X115" s="36" t="str">
        <f t="shared" si="60"/>
        <v xml:space="preserve">  </v>
      </c>
      <c r="Y115" s="37" t="str">
        <f t="shared" si="61"/>
        <v xml:space="preserve">  </v>
      </c>
      <c r="Z115" s="36" t="str">
        <f t="shared" si="62"/>
        <v xml:space="preserve">  </v>
      </c>
      <c r="AA115" s="37" t="str">
        <f t="shared" si="63"/>
        <v xml:space="preserve">  </v>
      </c>
      <c r="AB115" s="36" t="str">
        <f t="shared" si="64"/>
        <v xml:space="preserve">  </v>
      </c>
      <c r="AC115" s="37" t="str">
        <f t="shared" si="65"/>
        <v xml:space="preserve">  </v>
      </c>
      <c r="AD115" s="36" t="str">
        <f t="shared" si="66"/>
        <v xml:space="preserve">  </v>
      </c>
      <c r="AE115" s="37" t="str">
        <f t="shared" si="67"/>
        <v xml:space="preserve">  </v>
      </c>
      <c r="AF115" s="38">
        <f ca="1">_xlfn.IFNA(IF(AG115="",TODAY()+(VLOOKUP(A115,'Date Calcs'!A:G,7,0)*7),VLOOKUP(A115,'Actual Dates'!A:AE,21,FALSE())),"")</f>
        <v>46227</v>
      </c>
      <c r="AG115" s="38" t="str">
        <f>IF(VLOOKUP(A115,'Actual Dates'!A:AE,20,0)="","",VLOOKUP(A115,'Actual Dates'!A:AE,20,0))</f>
        <v/>
      </c>
      <c r="AH115" s="38" t="str">
        <f>_xlfn.IFNA(IF($AG115="","",IF(X115="Y","DONE",VLOOKUP(A115,'Ship Date'!A:AE,27,0))),"")</f>
        <v/>
      </c>
      <c r="AI115" s="12">
        <f t="shared" ca="1" si="37"/>
        <v>0</v>
      </c>
      <c r="AJ115" s="38" t="str">
        <f>_xlfn.IFNA(IF($AG115="","",IF(AB115="Y","DONE",VLOOKUP(A115,'Ship Date'!A:AG,29,0))),"")</f>
        <v/>
      </c>
      <c r="AK115" s="12">
        <f t="shared" ca="1" si="38"/>
        <v>0</v>
      </c>
      <c r="AL115" s="38" t="str">
        <f>_xlfn.IFNA(IF($AG115="","",IF(Z115="Y","DONE",VLOOKUP(A115,'Ship Date'!A:AI,28,0))),"")</f>
        <v/>
      </c>
      <c r="AM115" s="12">
        <f t="shared" ca="1" si="39"/>
        <v>0</v>
      </c>
      <c r="AN115" s="38" t="str">
        <f>_xlfn.IFNA(IF(T115="Y","DONE",VLOOKUP(A115,'Ship Date'!A:AE,25,0)),"")</f>
        <v/>
      </c>
      <c r="AO115" s="12">
        <f t="shared" si="40"/>
        <v>0</v>
      </c>
      <c r="AP115" s="38" t="str">
        <f>_xlfn.IFNA(IF(AD115="Y","DONE",VLOOKUP(A115,'Ship Date'!A:AE,30,0)),"")</f>
        <v/>
      </c>
      <c r="AQ115" s="12">
        <f t="shared" ca="1" si="41"/>
        <v>0</v>
      </c>
      <c r="AR115" s="38" t="str">
        <f>IFERROR(_xlfn.IFNA(VLOOKUP(A115,'Ship Date'!A:C,3,0),""),"")</f>
        <v/>
      </c>
      <c r="AS115" s="12" t="str">
        <f t="shared" ca="1" si="42"/>
        <v/>
      </c>
      <c r="AT115" s="38">
        <f>_xlfn.IFNA(IF(VLOOKUP(A115,'Actual Dates'!A:AF,32,0)="N/A"," ",VLOOKUP(A115,'Actual Dates'!A:AF,32,0))," ")</f>
        <v>46122</v>
      </c>
      <c r="AU115" s="39"/>
      <c r="AV115" s="38" t="str">
        <f>_xlfn.IFNA(IF(VLOOKUP(A115,'Actual Dates'!A:AE,31,0)="","",VLOOKUP(A115,'Actual Dates'!A:AE,31,0)),"")</f>
        <v/>
      </c>
      <c r="AW115" s="40"/>
    </row>
    <row r="116" spans="1:49" ht="23.25" x14ac:dyDescent="0.25">
      <c r="A116" s="12" t="str">
        <f>'Actual Dates'!A115</f>
        <v>26-016</v>
      </c>
      <c r="B116" s="13" t="str">
        <f t="shared" si="34"/>
        <v>SNF</v>
      </c>
      <c r="C116" s="35"/>
      <c r="D116" s="36" t="str">
        <f t="shared" si="43"/>
        <v>Y</v>
      </c>
      <c r="E116" s="37">
        <f t="shared" si="44"/>
        <v>-2</v>
      </c>
      <c r="F116" s="36" t="str">
        <f t="shared" si="45"/>
        <v>Y</v>
      </c>
      <c r="G116" s="37">
        <f t="shared" si="46"/>
        <v>-13</v>
      </c>
      <c r="H116" s="36" t="str">
        <f t="shared" si="35"/>
        <v>Y</v>
      </c>
      <c r="I116" s="37">
        <f t="shared" si="47"/>
        <v>-6</v>
      </c>
      <c r="J116" s="35"/>
      <c r="K116" s="36" t="str">
        <f t="shared" si="48"/>
        <v>Y</v>
      </c>
      <c r="L116" s="37" t="str">
        <f t="shared" si="49"/>
        <v/>
      </c>
      <c r="M116" s="37" t="str">
        <f t="shared" si="36"/>
        <v xml:space="preserve">  </v>
      </c>
      <c r="N116" s="36" t="str">
        <f t="shared" si="50"/>
        <v xml:space="preserve">  </v>
      </c>
      <c r="O116" s="37" t="str">
        <f t="shared" si="51"/>
        <v xml:space="preserve">  </v>
      </c>
      <c r="P116" s="36" t="str">
        <f t="shared" si="52"/>
        <v xml:space="preserve">  </v>
      </c>
      <c r="Q116" s="37" t="str">
        <f t="shared" si="53"/>
        <v xml:space="preserve">  </v>
      </c>
      <c r="R116" s="36" t="str">
        <f t="shared" si="54"/>
        <v xml:space="preserve">  </v>
      </c>
      <c r="S116" s="37" t="str">
        <f t="shared" si="55"/>
        <v xml:space="preserve">  </v>
      </c>
      <c r="T116" s="36" t="str">
        <f t="shared" si="56"/>
        <v xml:space="preserve">  </v>
      </c>
      <c r="U116" s="37" t="str">
        <f t="shared" si="57"/>
        <v xml:space="preserve">  </v>
      </c>
      <c r="V116" s="36" t="str">
        <f t="shared" si="58"/>
        <v xml:space="preserve">  </v>
      </c>
      <c r="W116" s="37" t="str">
        <f t="shared" si="59"/>
        <v xml:space="preserve">  </v>
      </c>
      <c r="X116" s="36" t="str">
        <f t="shared" si="60"/>
        <v xml:space="preserve">  </v>
      </c>
      <c r="Y116" s="37" t="str">
        <f t="shared" si="61"/>
        <v xml:space="preserve">  </v>
      </c>
      <c r="Z116" s="36" t="str">
        <f t="shared" si="62"/>
        <v xml:space="preserve">  </v>
      </c>
      <c r="AA116" s="37" t="str">
        <f t="shared" si="63"/>
        <v xml:space="preserve">  </v>
      </c>
      <c r="AB116" s="36" t="str">
        <f t="shared" si="64"/>
        <v xml:space="preserve">  </v>
      </c>
      <c r="AC116" s="37" t="str">
        <f t="shared" si="65"/>
        <v xml:space="preserve">  </v>
      </c>
      <c r="AD116" s="36" t="str">
        <f t="shared" si="66"/>
        <v xml:space="preserve">  </v>
      </c>
      <c r="AE116" s="37" t="str">
        <f t="shared" si="67"/>
        <v xml:space="preserve">  </v>
      </c>
      <c r="AF116" s="38">
        <f ca="1">_xlfn.IFNA(IF(AG116="",TODAY()+(VLOOKUP(A116,'Date Calcs'!A:G,7,0)*7),VLOOKUP(A116,'Actual Dates'!A:AE,21,FALSE())),"")</f>
        <v>46227</v>
      </c>
      <c r="AG116" s="38" t="str">
        <f>IF(VLOOKUP(A116,'Actual Dates'!A:AE,20,0)="","",VLOOKUP(A116,'Actual Dates'!A:AE,20,0))</f>
        <v/>
      </c>
      <c r="AH116" s="38" t="str">
        <f>_xlfn.IFNA(IF($AG116="","",IF(X116="Y","DONE",VLOOKUP(A116,'Ship Date'!A:AE,27,0))),"")</f>
        <v/>
      </c>
      <c r="AI116" s="12">
        <f t="shared" ca="1" si="37"/>
        <v>0</v>
      </c>
      <c r="AJ116" s="38" t="str">
        <f>_xlfn.IFNA(IF($AG116="","",IF(AB116="Y","DONE",VLOOKUP(A116,'Ship Date'!A:AG,29,0))),"")</f>
        <v/>
      </c>
      <c r="AK116" s="12">
        <f t="shared" ca="1" si="38"/>
        <v>0</v>
      </c>
      <c r="AL116" s="38" t="str">
        <f>_xlfn.IFNA(IF($AG116="","",IF(Z116="Y","DONE",VLOOKUP(A116,'Ship Date'!A:AI,28,0))),"")</f>
        <v/>
      </c>
      <c r="AM116" s="12">
        <f t="shared" ca="1" si="39"/>
        <v>0</v>
      </c>
      <c r="AN116" s="38" t="str">
        <f>_xlfn.IFNA(IF(T116="Y","DONE",VLOOKUP(A116,'Ship Date'!A:AE,25,0)),"")</f>
        <v/>
      </c>
      <c r="AO116" s="12">
        <f t="shared" si="40"/>
        <v>0</v>
      </c>
      <c r="AP116" s="38" t="str">
        <f>_xlfn.IFNA(IF(AD116="Y","DONE",VLOOKUP(A116,'Ship Date'!A:AE,30,0)),"")</f>
        <v/>
      </c>
      <c r="AQ116" s="12">
        <f t="shared" ca="1" si="41"/>
        <v>0</v>
      </c>
      <c r="AR116" s="38" t="str">
        <f>IFERROR(_xlfn.IFNA(VLOOKUP(A116,'Ship Date'!A:C,3,0),""),"")</f>
        <v/>
      </c>
      <c r="AS116" s="12" t="str">
        <f t="shared" ca="1" si="42"/>
        <v/>
      </c>
      <c r="AT116" s="38">
        <f>_xlfn.IFNA(IF(VLOOKUP(A116,'Actual Dates'!A:AF,32,0)="N/A"," ",VLOOKUP(A116,'Actual Dates'!A:AF,32,0))," ")</f>
        <v>46113</v>
      </c>
      <c r="AU116" s="39"/>
      <c r="AV116" s="38" t="str">
        <f>_xlfn.IFNA(IF(VLOOKUP(A116,'Actual Dates'!A:AE,31,0)="","",VLOOKUP(A116,'Actual Dates'!A:AE,31,0)),"")</f>
        <v/>
      </c>
      <c r="AW116" s="40"/>
    </row>
    <row r="117" spans="1:49" ht="23.25" x14ac:dyDescent="0.25">
      <c r="A117" s="12" t="str">
        <f>'Actual Dates'!A116</f>
        <v>26-017</v>
      </c>
      <c r="B117" s="13" t="str">
        <f t="shared" si="34"/>
        <v>SNF</v>
      </c>
      <c r="C117" s="35"/>
      <c r="D117" s="36" t="str">
        <f t="shared" si="43"/>
        <v>Y</v>
      </c>
      <c r="E117" s="37">
        <f t="shared" si="44"/>
        <v>2</v>
      </c>
      <c r="F117" s="36" t="str">
        <f t="shared" si="45"/>
        <v>Y</v>
      </c>
      <c r="G117" s="37">
        <f t="shared" si="46"/>
        <v>1</v>
      </c>
      <c r="H117" s="36" t="str">
        <f t="shared" si="35"/>
        <v>Y</v>
      </c>
      <c r="I117" s="37">
        <f t="shared" si="47"/>
        <v>-6</v>
      </c>
      <c r="J117" s="35"/>
      <c r="K117" s="36" t="str">
        <f t="shared" si="48"/>
        <v>Y</v>
      </c>
      <c r="L117" s="37" t="str">
        <f t="shared" si="49"/>
        <v/>
      </c>
      <c r="M117" s="37" t="str">
        <f t="shared" si="36"/>
        <v xml:space="preserve">  </v>
      </c>
      <c r="N117" s="36" t="str">
        <f t="shared" si="50"/>
        <v xml:space="preserve">  </v>
      </c>
      <c r="O117" s="37" t="str">
        <f t="shared" si="51"/>
        <v xml:space="preserve">  </v>
      </c>
      <c r="P117" s="36" t="str">
        <f t="shared" si="52"/>
        <v xml:space="preserve">  </v>
      </c>
      <c r="Q117" s="37" t="str">
        <f t="shared" si="53"/>
        <v xml:space="preserve">  </v>
      </c>
      <c r="R117" s="36" t="str">
        <f t="shared" si="54"/>
        <v xml:space="preserve">  </v>
      </c>
      <c r="S117" s="37" t="str">
        <f t="shared" si="55"/>
        <v xml:space="preserve">  </v>
      </c>
      <c r="T117" s="36" t="str">
        <f t="shared" si="56"/>
        <v xml:space="preserve">  </v>
      </c>
      <c r="U117" s="37" t="str">
        <f t="shared" si="57"/>
        <v xml:space="preserve">  </v>
      </c>
      <c r="V117" s="36" t="str">
        <f t="shared" si="58"/>
        <v xml:space="preserve">  </v>
      </c>
      <c r="W117" s="37" t="str">
        <f t="shared" si="59"/>
        <v xml:space="preserve">  </v>
      </c>
      <c r="X117" s="36" t="str">
        <f t="shared" si="60"/>
        <v xml:space="preserve">  </v>
      </c>
      <c r="Y117" s="37" t="str">
        <f t="shared" si="61"/>
        <v xml:space="preserve">  </v>
      </c>
      <c r="Z117" s="36" t="str">
        <f t="shared" si="62"/>
        <v xml:space="preserve">  </v>
      </c>
      <c r="AA117" s="37" t="str">
        <f t="shared" si="63"/>
        <v xml:space="preserve">  </v>
      </c>
      <c r="AB117" s="36" t="str">
        <f t="shared" si="64"/>
        <v xml:space="preserve">  </v>
      </c>
      <c r="AC117" s="37" t="str">
        <f t="shared" si="65"/>
        <v xml:space="preserve">  </v>
      </c>
      <c r="AD117" s="36" t="str">
        <f t="shared" si="66"/>
        <v xml:space="preserve">  </v>
      </c>
      <c r="AE117" s="37" t="str">
        <f t="shared" si="67"/>
        <v xml:space="preserve">  </v>
      </c>
      <c r="AF117" s="38">
        <f ca="1">_xlfn.IFNA(IF(AG117="",TODAY()+(VLOOKUP(A117,'Date Calcs'!A:G,7,0)*7),VLOOKUP(A117,'Actual Dates'!A:AE,21,FALSE())),"")</f>
        <v>46255</v>
      </c>
      <c r="AG117" s="38" t="str">
        <f>IF(VLOOKUP(A117,'Actual Dates'!A:AE,20,0)="","",VLOOKUP(A117,'Actual Dates'!A:AE,20,0))</f>
        <v/>
      </c>
      <c r="AH117" s="38" t="str">
        <f>_xlfn.IFNA(IF($AG117="","",IF(X117="Y","DONE",VLOOKUP(A117,'Ship Date'!A:AE,27,0))),"")</f>
        <v/>
      </c>
      <c r="AI117" s="12">
        <f t="shared" ca="1" si="37"/>
        <v>0</v>
      </c>
      <c r="AJ117" s="38" t="str">
        <f>_xlfn.IFNA(IF($AG117="","",IF(AB117="Y","DONE",VLOOKUP(A117,'Ship Date'!A:AG,29,0))),"")</f>
        <v/>
      </c>
      <c r="AK117" s="12">
        <f t="shared" ca="1" si="38"/>
        <v>0</v>
      </c>
      <c r="AL117" s="38" t="str">
        <f>_xlfn.IFNA(IF($AG117="","",IF(Z117="Y","DONE",VLOOKUP(A117,'Ship Date'!A:AI,28,0))),"")</f>
        <v/>
      </c>
      <c r="AM117" s="12">
        <f t="shared" ca="1" si="39"/>
        <v>0</v>
      </c>
      <c r="AN117" s="38" t="str">
        <f>_xlfn.IFNA(IF(T117="Y","DONE",VLOOKUP(A117,'Ship Date'!A:AE,25,0)),"")</f>
        <v/>
      </c>
      <c r="AO117" s="12">
        <f t="shared" si="40"/>
        <v>0</v>
      </c>
      <c r="AP117" s="38" t="str">
        <f>_xlfn.IFNA(IF(AD117="Y","DONE",VLOOKUP(A117,'Ship Date'!A:AE,30,0)),"")</f>
        <v/>
      </c>
      <c r="AQ117" s="12">
        <f t="shared" ca="1" si="41"/>
        <v>0</v>
      </c>
      <c r="AR117" s="38" t="str">
        <f>IFERROR(_xlfn.IFNA(VLOOKUP(A117,'Ship Date'!A:C,3,0),""),"")</f>
        <v/>
      </c>
      <c r="AS117" s="12" t="str">
        <f t="shared" ca="1" si="42"/>
        <v/>
      </c>
      <c r="AT117" s="38">
        <f>_xlfn.IFNA(IF(VLOOKUP(A117,'Actual Dates'!A:AF,32,0)="N/A"," ",VLOOKUP(A117,'Actual Dates'!A:AF,32,0))," ")</f>
        <v>46123</v>
      </c>
      <c r="AU117" s="39"/>
      <c r="AV117" s="38" t="str">
        <f>_xlfn.IFNA(IF(VLOOKUP(A117,'Actual Dates'!A:AE,31,0)="","",VLOOKUP(A117,'Actual Dates'!A:AE,31,0)),"")</f>
        <v/>
      </c>
      <c r="AW117" s="40"/>
    </row>
    <row r="118" spans="1:49" ht="23.25" x14ac:dyDescent="0.25">
      <c r="A118" s="12" t="str">
        <f>'Actual Dates'!A117</f>
        <v>26-018</v>
      </c>
      <c r="B118" s="13" t="str">
        <f t="shared" si="34"/>
        <v>SNF</v>
      </c>
      <c r="C118" s="35"/>
      <c r="D118" s="36" t="str">
        <f t="shared" si="43"/>
        <v>Y</v>
      </c>
      <c r="E118" s="37">
        <f t="shared" si="44"/>
        <v>2</v>
      </c>
      <c r="F118" s="36" t="str">
        <f t="shared" si="45"/>
        <v>Y</v>
      </c>
      <c r="G118" s="37">
        <f t="shared" si="46"/>
        <v>1</v>
      </c>
      <c r="H118" s="36" t="str">
        <f t="shared" si="35"/>
        <v>Y</v>
      </c>
      <c r="I118" s="37">
        <f t="shared" si="47"/>
        <v>-12</v>
      </c>
      <c r="J118" s="35"/>
      <c r="K118" s="36" t="str">
        <f t="shared" si="48"/>
        <v>Y</v>
      </c>
      <c r="L118" s="37" t="str">
        <f t="shared" si="49"/>
        <v/>
      </c>
      <c r="M118" s="37" t="str">
        <f t="shared" si="36"/>
        <v xml:space="preserve">  </v>
      </c>
      <c r="N118" s="36" t="str">
        <f t="shared" si="50"/>
        <v xml:space="preserve">  </v>
      </c>
      <c r="O118" s="37" t="str">
        <f t="shared" si="51"/>
        <v xml:space="preserve">  </v>
      </c>
      <c r="P118" s="36" t="str">
        <f t="shared" si="52"/>
        <v xml:space="preserve">  </v>
      </c>
      <c r="Q118" s="37" t="str">
        <f t="shared" si="53"/>
        <v xml:space="preserve">  </v>
      </c>
      <c r="R118" s="36" t="str">
        <f t="shared" si="54"/>
        <v xml:space="preserve">  </v>
      </c>
      <c r="S118" s="37" t="str">
        <f t="shared" si="55"/>
        <v xml:space="preserve">  </v>
      </c>
      <c r="T118" s="36" t="str">
        <f t="shared" si="56"/>
        <v xml:space="preserve">  </v>
      </c>
      <c r="U118" s="37" t="str">
        <f t="shared" si="57"/>
        <v xml:space="preserve">  </v>
      </c>
      <c r="V118" s="36" t="str">
        <f t="shared" si="58"/>
        <v xml:space="preserve">  </v>
      </c>
      <c r="W118" s="37" t="str">
        <f t="shared" si="59"/>
        <v xml:space="preserve">  </v>
      </c>
      <c r="X118" s="36" t="str">
        <f t="shared" si="60"/>
        <v xml:space="preserve">  </v>
      </c>
      <c r="Y118" s="37" t="str">
        <f t="shared" si="61"/>
        <v xml:space="preserve">  </v>
      </c>
      <c r="Z118" s="36" t="str">
        <f t="shared" si="62"/>
        <v xml:space="preserve">  </v>
      </c>
      <c r="AA118" s="37" t="str">
        <f t="shared" si="63"/>
        <v xml:space="preserve">  </v>
      </c>
      <c r="AB118" s="36" t="str">
        <f t="shared" si="64"/>
        <v xml:space="preserve">  </v>
      </c>
      <c r="AC118" s="37" t="str">
        <f t="shared" si="65"/>
        <v xml:space="preserve">  </v>
      </c>
      <c r="AD118" s="36" t="str">
        <f t="shared" si="66"/>
        <v xml:space="preserve">  </v>
      </c>
      <c r="AE118" s="37" t="str">
        <f t="shared" si="67"/>
        <v xml:space="preserve">  </v>
      </c>
      <c r="AF118" s="38">
        <f ca="1">_xlfn.IFNA(IF(AG118="",TODAY()+(VLOOKUP(A118,'Date Calcs'!A:G,7,0)*7),VLOOKUP(A118,'Actual Dates'!A:AE,21,FALSE())),"")</f>
        <v>46255</v>
      </c>
      <c r="AG118" s="38" t="str">
        <f>IF(VLOOKUP(A118,'Actual Dates'!A:AE,20,0)="","",VLOOKUP(A118,'Actual Dates'!A:AE,20,0))</f>
        <v/>
      </c>
      <c r="AH118" s="38" t="str">
        <f>_xlfn.IFNA(IF($AG118="","",IF(X118="Y","DONE",VLOOKUP(A118,'Ship Date'!A:AE,27,0))),"")</f>
        <v/>
      </c>
      <c r="AI118" s="12">
        <f t="shared" ca="1" si="37"/>
        <v>0</v>
      </c>
      <c r="AJ118" s="38" t="str">
        <f>_xlfn.IFNA(IF($AG118="","",IF(AB118="Y","DONE",VLOOKUP(A118,'Ship Date'!A:AG,29,0))),"")</f>
        <v/>
      </c>
      <c r="AK118" s="12">
        <f t="shared" ca="1" si="38"/>
        <v>0</v>
      </c>
      <c r="AL118" s="38" t="str">
        <f>_xlfn.IFNA(IF($AG118="","",IF(Z118="Y","DONE",VLOOKUP(A118,'Ship Date'!A:AI,28,0))),"")</f>
        <v/>
      </c>
      <c r="AM118" s="12">
        <f t="shared" ca="1" si="39"/>
        <v>0</v>
      </c>
      <c r="AN118" s="38" t="str">
        <f>_xlfn.IFNA(IF(T118="Y","DONE",VLOOKUP(A118,'Ship Date'!A:AE,25,0)),"")</f>
        <v/>
      </c>
      <c r="AO118" s="12">
        <f t="shared" si="40"/>
        <v>0</v>
      </c>
      <c r="AP118" s="38" t="str">
        <f>_xlfn.IFNA(IF(AD118="Y","DONE",VLOOKUP(A118,'Ship Date'!A:AE,30,0)),"")</f>
        <v/>
      </c>
      <c r="AQ118" s="12">
        <f t="shared" ca="1" si="41"/>
        <v>0</v>
      </c>
      <c r="AR118" s="38" t="str">
        <f>IFERROR(_xlfn.IFNA(VLOOKUP(A118,'Ship Date'!A:C,3,0),""),"")</f>
        <v/>
      </c>
      <c r="AS118" s="12" t="str">
        <f t="shared" ca="1" si="42"/>
        <v/>
      </c>
      <c r="AT118" s="38">
        <f>_xlfn.IFNA(IF(VLOOKUP(A118,'Actual Dates'!A:AF,32,0)="N/A"," ",VLOOKUP(A118,'Actual Dates'!A:AF,32,0))," ")</f>
        <v>46123</v>
      </c>
      <c r="AU118" s="39"/>
      <c r="AV118" s="38" t="str">
        <f>_xlfn.IFNA(IF(VLOOKUP(A118,'Actual Dates'!A:AE,31,0)="","",VLOOKUP(A118,'Actual Dates'!A:AE,31,0)),"")</f>
        <v/>
      </c>
      <c r="AW118" s="40"/>
    </row>
    <row r="119" spans="1:49" ht="23.25" x14ac:dyDescent="0.25">
      <c r="A119" s="12" t="str">
        <f>'Actual Dates'!A118</f>
        <v>26-020</v>
      </c>
      <c r="B119" s="13" t="str">
        <f t="shared" si="34"/>
        <v>US Sugar</v>
      </c>
      <c r="C119" s="35"/>
      <c r="D119" s="36" t="str">
        <f t="shared" si="43"/>
        <v>Y</v>
      </c>
      <c r="E119" s="37">
        <f t="shared" si="44"/>
        <v>0</v>
      </c>
      <c r="F119" s="36" t="str">
        <f t="shared" si="45"/>
        <v>Y</v>
      </c>
      <c r="G119" s="37">
        <f t="shared" si="46"/>
        <v>-3</v>
      </c>
      <c r="H119" s="36" t="str">
        <f t="shared" si="35"/>
        <v>Y</v>
      </c>
      <c r="I119" s="37" t="str">
        <f t="shared" si="47"/>
        <v/>
      </c>
      <c r="J119" s="35"/>
      <c r="K119" s="36" t="str">
        <f t="shared" si="48"/>
        <v>Y</v>
      </c>
      <c r="L119" s="37">
        <f t="shared" si="49"/>
        <v>12</v>
      </c>
      <c r="M119" s="37">
        <f t="shared" si="36"/>
        <v>11</v>
      </c>
      <c r="N119" s="36" t="str">
        <f t="shared" si="50"/>
        <v>Y</v>
      </c>
      <c r="O119" s="37">
        <f t="shared" si="51"/>
        <v>133</v>
      </c>
      <c r="P119" s="36" t="str">
        <f t="shared" si="52"/>
        <v>Y</v>
      </c>
      <c r="Q119" s="37">
        <f t="shared" si="53"/>
        <v>-112</v>
      </c>
      <c r="R119" s="36" t="str">
        <f t="shared" si="54"/>
        <v>Y</v>
      </c>
      <c r="S119" s="37">
        <f t="shared" si="55"/>
        <v>9</v>
      </c>
      <c r="T119" s="36" t="str">
        <f t="shared" si="56"/>
        <v xml:space="preserve">  </v>
      </c>
      <c r="U119" s="37">
        <f t="shared" si="57"/>
        <v>2</v>
      </c>
      <c r="V119" s="36" t="str">
        <f t="shared" si="58"/>
        <v>Y</v>
      </c>
      <c r="W119" s="37" t="str">
        <f t="shared" si="59"/>
        <v xml:space="preserve">  </v>
      </c>
      <c r="X119" s="36" t="str">
        <f t="shared" si="60"/>
        <v xml:space="preserve">  </v>
      </c>
      <c r="Y119" s="37" t="str">
        <f t="shared" si="61"/>
        <v xml:space="preserve">  </v>
      </c>
      <c r="Z119" s="36" t="str">
        <f t="shared" si="62"/>
        <v xml:space="preserve">  </v>
      </c>
      <c r="AA119" s="37" t="str">
        <f t="shared" si="63"/>
        <v xml:space="preserve">  </v>
      </c>
      <c r="AB119" s="36" t="str">
        <f t="shared" si="64"/>
        <v xml:space="preserve">  </v>
      </c>
      <c r="AC119" s="37" t="str">
        <f t="shared" si="65"/>
        <v xml:space="preserve">  </v>
      </c>
      <c r="AD119" s="36" t="str">
        <f t="shared" si="66"/>
        <v xml:space="preserve">  </v>
      </c>
      <c r="AE119" s="37" t="str">
        <f t="shared" si="67"/>
        <v xml:space="preserve">  </v>
      </c>
      <c r="AF119" s="38">
        <f ca="1">_xlfn.IFNA(IF(AG119="",TODAY()+(VLOOKUP(A119,'Date Calcs'!A:G,7,0)*7),VLOOKUP(A119,'Actual Dates'!A:AE,21,FALSE())),"")</f>
        <v>46230</v>
      </c>
      <c r="AG119" s="38">
        <f>IF(VLOOKUP(A119,'Actual Dates'!A:AE,20,0)="","",VLOOKUP(A119,'Actual Dates'!A:AE,20,0))</f>
        <v>46104</v>
      </c>
      <c r="AH119" s="38" t="str">
        <f>_xlfn.IFNA(IF($AG119="","",IF(X119="Y","DONE",VLOOKUP(A119,'Ship Date'!A:AE,27,0))),"")</f>
        <v/>
      </c>
      <c r="AI119" s="12">
        <f t="shared" ca="1" si="37"/>
        <v>0</v>
      </c>
      <c r="AJ119" s="38" t="str">
        <f>_xlfn.IFNA(IF($AG119="","",IF(AB119="Y","DONE",VLOOKUP(A119,'Ship Date'!A:AG,29,0))),"")</f>
        <v/>
      </c>
      <c r="AK119" s="12">
        <f t="shared" ca="1" si="38"/>
        <v>0</v>
      </c>
      <c r="AL119" s="38" t="str">
        <f>_xlfn.IFNA(IF($AG119="","",IF(Z119="Y","DONE",VLOOKUP(A119,'Ship Date'!A:AI,28,0))),"")</f>
        <v/>
      </c>
      <c r="AM119" s="12">
        <f t="shared" ca="1" si="39"/>
        <v>0</v>
      </c>
      <c r="AN119" s="38" t="str">
        <f>_xlfn.IFNA(IF(T119="Y","DONE",VLOOKUP(A119,'Ship Date'!A:AE,25,0)),"")</f>
        <v/>
      </c>
      <c r="AO119" s="12">
        <f t="shared" si="40"/>
        <v>0</v>
      </c>
      <c r="AP119" s="38" t="str">
        <f>_xlfn.IFNA(IF(AD119="Y","DONE",VLOOKUP(A119,'Ship Date'!A:AE,30,0)),"")</f>
        <v/>
      </c>
      <c r="AQ119" s="12">
        <f t="shared" ca="1" si="41"/>
        <v>0</v>
      </c>
      <c r="AR119" s="38" t="str">
        <f>IFERROR(_xlfn.IFNA(VLOOKUP(A119,'Ship Date'!A:C,3,0),""),"")</f>
        <v/>
      </c>
      <c r="AS119" s="12" t="str">
        <f t="shared" ca="1" si="42"/>
        <v/>
      </c>
      <c r="AT119" s="38" t="str">
        <f>_xlfn.IFNA(IF(VLOOKUP(A119,'Actual Dates'!A:AF,32,0)="N/A"," ",VLOOKUP(A119,'Actual Dates'!A:AF,32,0))," ")</f>
        <v xml:space="preserve"> </v>
      </c>
      <c r="AU119" s="39"/>
      <c r="AV119" s="38" t="str">
        <f>_xlfn.IFNA(IF(VLOOKUP(A119,'Actual Dates'!A:AE,31,0)="","",VLOOKUP(A119,'Actual Dates'!A:AE,31,0)),"")</f>
        <v/>
      </c>
      <c r="AW119" s="40"/>
    </row>
    <row r="120" spans="1:49" ht="23.25" x14ac:dyDescent="0.25">
      <c r="A120" s="12" t="str">
        <f>'Actual Dates'!A119</f>
        <v>26-021</v>
      </c>
      <c r="B120" s="13" t="str">
        <f t="shared" si="34"/>
        <v>US Sugar</v>
      </c>
      <c r="C120" s="35"/>
      <c r="D120" s="36" t="str">
        <f t="shared" si="43"/>
        <v>Y</v>
      </c>
      <c r="E120" s="37">
        <f t="shared" si="44"/>
        <v>0</v>
      </c>
      <c r="F120" s="36" t="str">
        <f t="shared" si="45"/>
        <v>Y</v>
      </c>
      <c r="G120" s="37">
        <f t="shared" si="46"/>
        <v>-3</v>
      </c>
      <c r="H120" s="36" t="str">
        <f t="shared" si="35"/>
        <v>Y</v>
      </c>
      <c r="I120" s="37" t="str">
        <f t="shared" si="47"/>
        <v/>
      </c>
      <c r="J120" s="35"/>
      <c r="K120" s="36" t="str">
        <f t="shared" si="48"/>
        <v>Y</v>
      </c>
      <c r="L120" s="37">
        <f t="shared" si="49"/>
        <v>12</v>
      </c>
      <c r="M120" s="37">
        <f t="shared" si="36"/>
        <v>11</v>
      </c>
      <c r="N120" s="36" t="str">
        <f t="shared" si="50"/>
        <v>Y</v>
      </c>
      <c r="O120" s="37">
        <f t="shared" si="51"/>
        <v>133</v>
      </c>
      <c r="P120" s="36" t="str">
        <f t="shared" si="52"/>
        <v>Y</v>
      </c>
      <c r="Q120" s="37">
        <f t="shared" si="53"/>
        <v>-112</v>
      </c>
      <c r="R120" s="36" t="str">
        <f t="shared" si="54"/>
        <v>Y</v>
      </c>
      <c r="S120" s="37">
        <f t="shared" si="55"/>
        <v>9</v>
      </c>
      <c r="T120" s="36" t="str">
        <f t="shared" si="56"/>
        <v xml:space="preserve">  </v>
      </c>
      <c r="U120" s="37">
        <f t="shared" si="57"/>
        <v>2</v>
      </c>
      <c r="V120" s="36" t="str">
        <f t="shared" si="58"/>
        <v>Y</v>
      </c>
      <c r="W120" s="37" t="str">
        <f t="shared" si="59"/>
        <v xml:space="preserve">  </v>
      </c>
      <c r="X120" s="36" t="str">
        <f t="shared" si="60"/>
        <v xml:space="preserve">  </v>
      </c>
      <c r="Y120" s="37" t="str">
        <f t="shared" si="61"/>
        <v xml:space="preserve">  </v>
      </c>
      <c r="Z120" s="36" t="str">
        <f t="shared" si="62"/>
        <v xml:space="preserve">  </v>
      </c>
      <c r="AA120" s="37" t="str">
        <f t="shared" si="63"/>
        <v xml:space="preserve">  </v>
      </c>
      <c r="AB120" s="36" t="str">
        <f t="shared" si="64"/>
        <v xml:space="preserve">  </v>
      </c>
      <c r="AC120" s="37" t="str">
        <f t="shared" si="65"/>
        <v xml:space="preserve">  </v>
      </c>
      <c r="AD120" s="36" t="str">
        <f t="shared" si="66"/>
        <v xml:space="preserve">  </v>
      </c>
      <c r="AE120" s="37" t="str">
        <f t="shared" si="67"/>
        <v xml:space="preserve">  </v>
      </c>
      <c r="AF120" s="38">
        <f ca="1">_xlfn.IFNA(IF(AG120="",TODAY()+(VLOOKUP(A120,'Date Calcs'!A:G,7,0)*7),VLOOKUP(A120,'Actual Dates'!A:AE,21,FALSE())),"")</f>
        <v>46230</v>
      </c>
      <c r="AG120" s="38">
        <f>IF(VLOOKUP(A120,'Actual Dates'!A:AE,20,0)="","",VLOOKUP(A120,'Actual Dates'!A:AE,20,0))</f>
        <v>46104</v>
      </c>
      <c r="AH120" s="38" t="str">
        <f>_xlfn.IFNA(IF($AG120="","",IF(X120="Y","DONE",VLOOKUP(A120,'Ship Date'!A:AE,27,0))),"")</f>
        <v/>
      </c>
      <c r="AI120" s="12">
        <f t="shared" ca="1" si="37"/>
        <v>0</v>
      </c>
      <c r="AJ120" s="38" t="str">
        <f>_xlfn.IFNA(IF($AG120="","",IF(AB120="Y","DONE",VLOOKUP(A120,'Ship Date'!A:AG,29,0))),"")</f>
        <v/>
      </c>
      <c r="AK120" s="12">
        <f t="shared" ca="1" si="38"/>
        <v>0</v>
      </c>
      <c r="AL120" s="38" t="str">
        <f>_xlfn.IFNA(IF($AG120="","",IF(Z120="Y","DONE",VLOOKUP(A120,'Ship Date'!A:AI,28,0))),"")</f>
        <v/>
      </c>
      <c r="AM120" s="12">
        <f t="shared" ca="1" si="39"/>
        <v>0</v>
      </c>
      <c r="AN120" s="38" t="str">
        <f>_xlfn.IFNA(IF(T120="Y","DONE",VLOOKUP(A120,'Ship Date'!A:AE,25,0)),"")</f>
        <v/>
      </c>
      <c r="AO120" s="12">
        <f t="shared" si="40"/>
        <v>0</v>
      </c>
      <c r="AP120" s="38" t="str">
        <f>_xlfn.IFNA(IF(AD120="Y","DONE",VLOOKUP(A120,'Ship Date'!A:AE,30,0)),"")</f>
        <v/>
      </c>
      <c r="AQ120" s="12">
        <f t="shared" ca="1" si="41"/>
        <v>0</v>
      </c>
      <c r="AR120" s="38" t="str">
        <f>IFERROR(_xlfn.IFNA(VLOOKUP(A120,'Ship Date'!A:C,3,0),""),"")</f>
        <v/>
      </c>
      <c r="AS120" s="12" t="str">
        <f t="shared" ca="1" si="42"/>
        <v/>
      </c>
      <c r="AT120" s="38" t="str">
        <f>_xlfn.IFNA(IF(VLOOKUP(A120,'Actual Dates'!A:AF,32,0)="N/A"," ",VLOOKUP(A120,'Actual Dates'!A:AF,32,0))," ")</f>
        <v xml:space="preserve"> </v>
      </c>
      <c r="AU120" s="39"/>
      <c r="AV120" s="38" t="str">
        <f>_xlfn.IFNA(IF(VLOOKUP(A120,'Actual Dates'!A:AE,31,0)="","",VLOOKUP(A120,'Actual Dates'!A:AE,31,0)),"")</f>
        <v/>
      </c>
      <c r="AW120" s="40"/>
    </row>
    <row r="121" spans="1:49" ht="23.25" x14ac:dyDescent="0.25">
      <c r="A121" s="12" t="str">
        <f>'Actual Dates'!A120</f>
        <v>26-022</v>
      </c>
      <c r="B121" s="13" t="str">
        <f t="shared" si="34"/>
        <v>Andritz</v>
      </c>
      <c r="C121" s="35"/>
      <c r="D121" s="36" t="str">
        <f t="shared" si="43"/>
        <v>Y</v>
      </c>
      <c r="E121" s="37">
        <f t="shared" si="44"/>
        <v>3</v>
      </c>
      <c r="F121" s="36" t="str">
        <f t="shared" si="45"/>
        <v>Y</v>
      </c>
      <c r="G121" s="37">
        <f t="shared" si="46"/>
        <v>-5</v>
      </c>
      <c r="H121" s="36" t="str">
        <f t="shared" si="35"/>
        <v>Y</v>
      </c>
      <c r="I121" s="37">
        <f t="shared" si="47"/>
        <v>-9</v>
      </c>
      <c r="J121" s="35"/>
      <c r="K121" s="36" t="str">
        <f t="shared" si="48"/>
        <v>Y</v>
      </c>
      <c r="L121" s="37">
        <f t="shared" si="49"/>
        <v>13</v>
      </c>
      <c r="M121" s="37">
        <f t="shared" si="36"/>
        <v>12</v>
      </c>
      <c r="N121" s="36" t="str">
        <f t="shared" si="50"/>
        <v>Y</v>
      </c>
      <c r="O121" s="37">
        <f t="shared" si="51"/>
        <v>120</v>
      </c>
      <c r="P121" s="36" t="str">
        <f t="shared" si="52"/>
        <v xml:space="preserve">  </v>
      </c>
      <c r="Q121" s="37" t="str">
        <f t="shared" si="53"/>
        <v xml:space="preserve">  </v>
      </c>
      <c r="R121" s="36" t="str">
        <f t="shared" si="54"/>
        <v xml:space="preserve">  </v>
      </c>
      <c r="S121" s="37" t="str">
        <f t="shared" si="55"/>
        <v xml:space="preserve">  </v>
      </c>
      <c r="T121" s="36" t="str">
        <f t="shared" si="56"/>
        <v xml:space="preserve">  </v>
      </c>
      <c r="U121" s="37" t="str">
        <f t="shared" si="57"/>
        <v xml:space="preserve">  </v>
      </c>
      <c r="V121" s="36" t="str">
        <f t="shared" si="58"/>
        <v xml:space="preserve">  </v>
      </c>
      <c r="W121" s="37" t="str">
        <f t="shared" si="59"/>
        <v xml:space="preserve">  </v>
      </c>
      <c r="X121" s="36" t="str">
        <f t="shared" si="60"/>
        <v xml:space="preserve">  </v>
      </c>
      <c r="Y121" s="37" t="str">
        <f t="shared" si="61"/>
        <v xml:space="preserve">  </v>
      </c>
      <c r="Z121" s="36" t="str">
        <f t="shared" si="62"/>
        <v xml:space="preserve">  </v>
      </c>
      <c r="AA121" s="37" t="str">
        <f t="shared" si="63"/>
        <v xml:space="preserve">  </v>
      </c>
      <c r="AB121" s="36" t="str">
        <f t="shared" si="64"/>
        <v xml:space="preserve">  </v>
      </c>
      <c r="AC121" s="37" t="str">
        <f t="shared" si="65"/>
        <v xml:space="preserve">  </v>
      </c>
      <c r="AD121" s="36" t="str">
        <f t="shared" si="66"/>
        <v xml:space="preserve">  </v>
      </c>
      <c r="AE121" s="37" t="str">
        <f t="shared" si="67"/>
        <v xml:space="preserve">  </v>
      </c>
      <c r="AF121" s="38">
        <f ca="1">_xlfn.IFNA(IF(AG121="",TODAY()+(VLOOKUP(A121,'Date Calcs'!A:G,7,0)*7),VLOOKUP(A121,'Actual Dates'!A:AE,21,FALSE())),"")</f>
        <v>46219</v>
      </c>
      <c r="AG121" s="38">
        <f>IF(VLOOKUP(A121,'Actual Dates'!A:AE,20,0)="","",VLOOKUP(A121,'Actual Dates'!A:AE,20,0))</f>
        <v>46107</v>
      </c>
      <c r="AH121" s="38" t="str">
        <f>_xlfn.IFNA(IF($AG121="","",IF(X121="Y","DONE",VLOOKUP(A121,'Ship Date'!A:AE,27,0))),"")</f>
        <v/>
      </c>
      <c r="AI121" s="12">
        <f t="shared" ca="1" si="37"/>
        <v>0</v>
      </c>
      <c r="AJ121" s="38" t="str">
        <f>_xlfn.IFNA(IF($AG121="","",IF(AB121="Y","DONE",VLOOKUP(A121,'Ship Date'!A:AG,29,0))),"")</f>
        <v/>
      </c>
      <c r="AK121" s="12">
        <f t="shared" ca="1" si="38"/>
        <v>0</v>
      </c>
      <c r="AL121" s="38" t="str">
        <f>_xlfn.IFNA(IF($AG121="","",IF(Z121="Y","DONE",VLOOKUP(A121,'Ship Date'!A:AI,28,0))),"")</f>
        <v/>
      </c>
      <c r="AM121" s="12">
        <f t="shared" ca="1" si="39"/>
        <v>0</v>
      </c>
      <c r="AN121" s="38" t="str">
        <f>_xlfn.IFNA(IF(T121="Y","DONE",VLOOKUP(A121,'Ship Date'!A:AE,25,0)),"")</f>
        <v/>
      </c>
      <c r="AO121" s="12">
        <f t="shared" si="40"/>
        <v>0</v>
      </c>
      <c r="AP121" s="38" t="str">
        <f>_xlfn.IFNA(IF(AD121="Y","DONE",VLOOKUP(A121,'Ship Date'!A:AE,30,0)),"")</f>
        <v/>
      </c>
      <c r="AQ121" s="12">
        <f t="shared" ca="1" si="41"/>
        <v>0</v>
      </c>
      <c r="AR121" s="38" t="str">
        <f>IFERROR(_xlfn.IFNA(VLOOKUP(A121,'Ship Date'!A:C,3,0),""),"")</f>
        <v/>
      </c>
      <c r="AS121" s="12" t="str">
        <f t="shared" ca="1" si="42"/>
        <v/>
      </c>
      <c r="AT121" s="38">
        <f>_xlfn.IFNA(IF(VLOOKUP(A121,'Actual Dates'!A:AF,32,0)="N/A"," ",VLOOKUP(A121,'Actual Dates'!A:AF,32,0))," ")</f>
        <v>46101</v>
      </c>
      <c r="AU121" s="39"/>
      <c r="AV121" s="38" t="str">
        <f>_xlfn.IFNA(IF(VLOOKUP(A121,'Actual Dates'!A:AE,31,0)="","",VLOOKUP(A121,'Actual Dates'!A:AE,31,0)),"")</f>
        <v/>
      </c>
      <c r="AW121" s="40"/>
    </row>
    <row r="122" spans="1:49" ht="23.25" x14ac:dyDescent="0.25">
      <c r="A122" s="12" t="str">
        <f>'Actual Dates'!A121</f>
        <v>26-024</v>
      </c>
      <c r="B122" s="13" t="str">
        <f t="shared" si="34"/>
        <v>Polynt</v>
      </c>
      <c r="C122" s="35"/>
      <c r="D122" s="36" t="str">
        <f t="shared" si="43"/>
        <v>Y</v>
      </c>
      <c r="E122" s="37">
        <f t="shared" si="44"/>
        <v>1</v>
      </c>
      <c r="F122" s="36" t="str">
        <f t="shared" si="45"/>
        <v>Y</v>
      </c>
      <c r="G122" s="37">
        <f t="shared" si="46"/>
        <v>-6</v>
      </c>
      <c r="H122" s="36" t="str">
        <f t="shared" si="35"/>
        <v>Y</v>
      </c>
      <c r="I122" s="37">
        <f t="shared" si="47"/>
        <v>-12</v>
      </c>
      <c r="J122" s="35"/>
      <c r="K122" s="36" t="str">
        <f t="shared" si="48"/>
        <v>Y</v>
      </c>
      <c r="L122" s="37" t="str">
        <f t="shared" si="49"/>
        <v/>
      </c>
      <c r="M122" s="37" t="str">
        <f t="shared" si="36"/>
        <v xml:space="preserve">  </v>
      </c>
      <c r="N122" s="36" t="str">
        <f t="shared" si="50"/>
        <v xml:space="preserve">  </v>
      </c>
      <c r="O122" s="37" t="str">
        <f t="shared" si="51"/>
        <v xml:space="preserve">  </v>
      </c>
      <c r="P122" s="36" t="str">
        <f t="shared" si="52"/>
        <v xml:space="preserve">  </v>
      </c>
      <c r="Q122" s="37" t="str">
        <f t="shared" si="53"/>
        <v xml:space="preserve">  </v>
      </c>
      <c r="R122" s="36" t="str">
        <f t="shared" si="54"/>
        <v xml:space="preserve">  </v>
      </c>
      <c r="S122" s="37" t="str">
        <f t="shared" si="55"/>
        <v xml:space="preserve">  </v>
      </c>
      <c r="T122" s="36" t="str">
        <f t="shared" si="56"/>
        <v xml:space="preserve">  </v>
      </c>
      <c r="U122" s="37" t="str">
        <f t="shared" si="57"/>
        <v xml:space="preserve">  </v>
      </c>
      <c r="V122" s="36" t="str">
        <f t="shared" si="58"/>
        <v xml:space="preserve">  </v>
      </c>
      <c r="W122" s="37" t="str">
        <f t="shared" si="59"/>
        <v xml:space="preserve">  </v>
      </c>
      <c r="X122" s="36" t="str">
        <f t="shared" si="60"/>
        <v xml:space="preserve">  </v>
      </c>
      <c r="Y122" s="37" t="str">
        <f t="shared" si="61"/>
        <v xml:space="preserve">  </v>
      </c>
      <c r="Z122" s="36" t="str">
        <f t="shared" si="62"/>
        <v xml:space="preserve">  </v>
      </c>
      <c r="AA122" s="37" t="str">
        <f t="shared" si="63"/>
        <v xml:space="preserve">  </v>
      </c>
      <c r="AB122" s="36" t="str">
        <f t="shared" si="64"/>
        <v xml:space="preserve">  </v>
      </c>
      <c r="AC122" s="37" t="str">
        <f t="shared" si="65"/>
        <v xml:space="preserve">  </v>
      </c>
      <c r="AD122" s="36" t="str">
        <f t="shared" si="66"/>
        <v xml:space="preserve">  </v>
      </c>
      <c r="AE122" s="37" t="str">
        <f t="shared" si="67"/>
        <v xml:space="preserve">  </v>
      </c>
      <c r="AF122" s="38">
        <f ca="1">_xlfn.IFNA(IF(AG122="",TODAY()+(VLOOKUP(A122,'Date Calcs'!A:G,7,0)*7),VLOOKUP(A122,'Actual Dates'!A:AE,21,FALSE())),"")</f>
        <v>46227</v>
      </c>
      <c r="AG122" s="38" t="str">
        <f>IF(VLOOKUP(A122,'Actual Dates'!A:AE,20,0)="","",VLOOKUP(A122,'Actual Dates'!A:AE,20,0))</f>
        <v/>
      </c>
      <c r="AH122" s="38" t="str">
        <f>_xlfn.IFNA(IF($AG122="","",IF(X122="Y","DONE",VLOOKUP(A122,'Ship Date'!A:AE,27,0))),"")</f>
        <v/>
      </c>
      <c r="AI122" s="12">
        <f t="shared" ca="1" si="37"/>
        <v>0</v>
      </c>
      <c r="AJ122" s="38" t="str">
        <f>_xlfn.IFNA(IF($AG122="","",IF(AB122="Y","DONE",VLOOKUP(A122,'Ship Date'!A:AG,29,0))),"")</f>
        <v/>
      </c>
      <c r="AK122" s="12">
        <f t="shared" ca="1" si="38"/>
        <v>0</v>
      </c>
      <c r="AL122" s="38" t="str">
        <f>_xlfn.IFNA(IF($AG122="","",IF(Z122="Y","DONE",VLOOKUP(A122,'Ship Date'!A:AI,28,0))),"")</f>
        <v/>
      </c>
      <c r="AM122" s="12">
        <f t="shared" ca="1" si="39"/>
        <v>0</v>
      </c>
      <c r="AN122" s="38" t="str">
        <f>_xlfn.IFNA(IF(T122="Y","DONE",VLOOKUP(A122,'Ship Date'!A:AE,25,0)),"")</f>
        <v/>
      </c>
      <c r="AO122" s="12">
        <f t="shared" si="40"/>
        <v>0</v>
      </c>
      <c r="AP122" s="38" t="str">
        <f>_xlfn.IFNA(IF(AD122="Y","DONE",VLOOKUP(A122,'Ship Date'!A:AE,30,0)),"")</f>
        <v/>
      </c>
      <c r="AQ122" s="12">
        <f t="shared" ca="1" si="41"/>
        <v>0</v>
      </c>
      <c r="AR122" s="38" t="str">
        <f>IFERROR(_xlfn.IFNA(VLOOKUP(A122,'Ship Date'!A:C,3,0),""),"")</f>
        <v/>
      </c>
      <c r="AS122" s="12" t="str">
        <f t="shared" ca="1" si="42"/>
        <v/>
      </c>
      <c r="AT122" s="38">
        <f>_xlfn.IFNA(IF(VLOOKUP(A122,'Actual Dates'!A:AF,32,0)="N/A"," ",VLOOKUP(A122,'Actual Dates'!A:AF,32,0))," ")</f>
        <v>46129</v>
      </c>
      <c r="AU122" s="39"/>
      <c r="AV122" s="38" t="str">
        <f>_xlfn.IFNA(IF(VLOOKUP(A122,'Actual Dates'!A:AE,31,0)="","",VLOOKUP(A122,'Actual Dates'!A:AE,31,0)),"")</f>
        <v/>
      </c>
      <c r="AW122" s="40"/>
    </row>
    <row r="123" spans="1:49" ht="23.25" x14ac:dyDescent="0.25">
      <c r="A123" s="12" t="str">
        <f>'Actual Dates'!A122</f>
        <v>26-025</v>
      </c>
      <c r="B123" s="13" t="str">
        <f t="shared" si="34"/>
        <v>Blake &amp; Pendleton</v>
      </c>
      <c r="C123" s="35"/>
      <c r="D123" s="36" t="str">
        <f t="shared" si="43"/>
        <v>Y</v>
      </c>
      <c r="E123" s="37">
        <f t="shared" si="44"/>
        <v>-7</v>
      </c>
      <c r="F123" s="36" t="str">
        <f t="shared" si="45"/>
        <v>Y</v>
      </c>
      <c r="G123" s="37">
        <f t="shared" si="46"/>
        <v>-5</v>
      </c>
      <c r="H123" s="36" t="str">
        <f t="shared" si="35"/>
        <v>Y</v>
      </c>
      <c r="I123" s="37">
        <f t="shared" si="47"/>
        <v>-8</v>
      </c>
      <c r="J123" s="35"/>
      <c r="K123" s="36" t="str">
        <f t="shared" si="48"/>
        <v>Y</v>
      </c>
      <c r="L123" s="37" t="str">
        <f t="shared" si="49"/>
        <v/>
      </c>
      <c r="M123" s="37" t="str">
        <f t="shared" si="36"/>
        <v xml:space="preserve">  </v>
      </c>
      <c r="N123" s="36" t="str">
        <f t="shared" si="50"/>
        <v xml:space="preserve">  </v>
      </c>
      <c r="O123" s="37" t="str">
        <f t="shared" si="51"/>
        <v xml:space="preserve">  </v>
      </c>
      <c r="P123" s="36" t="str">
        <f t="shared" si="52"/>
        <v xml:space="preserve">  </v>
      </c>
      <c r="Q123" s="37" t="str">
        <f t="shared" si="53"/>
        <v xml:space="preserve">  </v>
      </c>
      <c r="R123" s="36" t="str">
        <f t="shared" si="54"/>
        <v xml:space="preserve">  </v>
      </c>
      <c r="S123" s="37" t="str">
        <f t="shared" si="55"/>
        <v xml:space="preserve">  </v>
      </c>
      <c r="T123" s="36" t="str">
        <f t="shared" si="56"/>
        <v xml:space="preserve">  </v>
      </c>
      <c r="U123" s="37" t="str">
        <f t="shared" si="57"/>
        <v xml:space="preserve">  </v>
      </c>
      <c r="V123" s="36" t="str">
        <f t="shared" si="58"/>
        <v xml:space="preserve">  </v>
      </c>
      <c r="W123" s="37" t="str">
        <f t="shared" si="59"/>
        <v xml:space="preserve">  </v>
      </c>
      <c r="X123" s="36" t="str">
        <f t="shared" si="60"/>
        <v xml:space="preserve">  </v>
      </c>
      <c r="Y123" s="37" t="str">
        <f t="shared" si="61"/>
        <v xml:space="preserve">  </v>
      </c>
      <c r="Z123" s="36" t="str">
        <f t="shared" si="62"/>
        <v xml:space="preserve">  </v>
      </c>
      <c r="AA123" s="37" t="str">
        <f t="shared" si="63"/>
        <v xml:space="preserve">  </v>
      </c>
      <c r="AB123" s="36" t="str">
        <f t="shared" si="64"/>
        <v xml:space="preserve">  </v>
      </c>
      <c r="AC123" s="37" t="str">
        <f t="shared" si="65"/>
        <v xml:space="preserve">  </v>
      </c>
      <c r="AD123" s="36" t="str">
        <f t="shared" si="66"/>
        <v xml:space="preserve">  </v>
      </c>
      <c r="AE123" s="37" t="str">
        <f t="shared" si="67"/>
        <v xml:space="preserve">  </v>
      </c>
      <c r="AF123" s="38">
        <f ca="1">_xlfn.IFNA(IF(AG123="",TODAY()+(VLOOKUP(A123,'Date Calcs'!A:G,7,0)*7),VLOOKUP(A123,'Actual Dates'!A:AE,21,FALSE())),"")</f>
        <v>46220</v>
      </c>
      <c r="AG123" s="38" t="str">
        <f>IF(VLOOKUP(A123,'Actual Dates'!A:AE,20,0)="","",VLOOKUP(A123,'Actual Dates'!A:AE,20,0))</f>
        <v/>
      </c>
      <c r="AH123" s="38" t="str">
        <f>_xlfn.IFNA(IF($AG123="","",IF(X123="Y","DONE",VLOOKUP(A123,'Ship Date'!A:AE,27,0))),"")</f>
        <v/>
      </c>
      <c r="AI123" s="12">
        <f t="shared" ca="1" si="37"/>
        <v>0</v>
      </c>
      <c r="AJ123" s="38" t="str">
        <f>_xlfn.IFNA(IF($AG123="","",IF(AB123="Y","DONE",VLOOKUP(A123,'Ship Date'!A:AG,29,0))),"")</f>
        <v/>
      </c>
      <c r="AK123" s="12">
        <f t="shared" ca="1" si="38"/>
        <v>0</v>
      </c>
      <c r="AL123" s="38" t="str">
        <f>_xlfn.IFNA(IF($AG123="","",IF(Z123="Y","DONE",VLOOKUP(A123,'Ship Date'!A:AI,28,0))),"")</f>
        <v/>
      </c>
      <c r="AM123" s="12">
        <f t="shared" ca="1" si="39"/>
        <v>0</v>
      </c>
      <c r="AN123" s="38" t="str">
        <f>_xlfn.IFNA(IF(T123="Y","DONE",VLOOKUP(A123,'Ship Date'!A:AE,25,0)),"")</f>
        <v/>
      </c>
      <c r="AO123" s="12">
        <f t="shared" si="40"/>
        <v>0</v>
      </c>
      <c r="AP123" s="38" t="str">
        <f>_xlfn.IFNA(IF(AD123="Y","DONE",VLOOKUP(A123,'Ship Date'!A:AE,30,0)),"")</f>
        <v/>
      </c>
      <c r="AQ123" s="12">
        <f t="shared" ca="1" si="41"/>
        <v>0</v>
      </c>
      <c r="AR123" s="38" t="str">
        <f>IFERROR(_xlfn.IFNA(VLOOKUP(A123,'Ship Date'!A:C,3,0),""),"")</f>
        <v/>
      </c>
      <c r="AS123" s="12" t="str">
        <f t="shared" ca="1" si="42"/>
        <v/>
      </c>
      <c r="AT123" s="38">
        <f>_xlfn.IFNA(IF(VLOOKUP(A123,'Actual Dates'!A:AF,32,0)="N/A"," ",VLOOKUP(A123,'Actual Dates'!A:AF,32,0))," ")</f>
        <v>46112</v>
      </c>
      <c r="AU123" s="39"/>
      <c r="AV123" s="38" t="str">
        <f>_xlfn.IFNA(IF(VLOOKUP(A123,'Actual Dates'!A:AE,31,0)="","",VLOOKUP(A123,'Actual Dates'!A:AE,31,0)),"")</f>
        <v/>
      </c>
      <c r="AW123" s="40"/>
    </row>
    <row r="124" spans="1:49" ht="23.25" x14ac:dyDescent="0.25">
      <c r="A124" s="12" t="str">
        <f>'Actual Dates'!A123</f>
        <v>26-026</v>
      </c>
      <c r="B124" s="13" t="str">
        <f t="shared" si="34"/>
        <v>Andritz</v>
      </c>
      <c r="C124" s="35"/>
      <c r="D124" s="36" t="str">
        <f t="shared" si="43"/>
        <v>Y</v>
      </c>
      <c r="E124" s="37" t="str">
        <f t="shared" si="44"/>
        <v xml:space="preserve">  </v>
      </c>
      <c r="F124" s="36" t="str">
        <f t="shared" si="45"/>
        <v>Y</v>
      </c>
      <c r="G124" s="37">
        <f t="shared" si="46"/>
        <v>-12</v>
      </c>
      <c r="H124" s="36" t="str">
        <f t="shared" si="35"/>
        <v>Y</v>
      </c>
      <c r="I124" s="37" t="str">
        <f t="shared" si="47"/>
        <v/>
      </c>
      <c r="J124" s="35"/>
      <c r="K124" s="36" t="str">
        <f t="shared" si="48"/>
        <v>Y</v>
      </c>
      <c r="L124" s="37">
        <f t="shared" si="49"/>
        <v>-18</v>
      </c>
      <c r="M124" s="37">
        <f t="shared" si="36"/>
        <v>-19</v>
      </c>
      <c r="N124" s="36" t="str">
        <f t="shared" si="50"/>
        <v>Y</v>
      </c>
      <c r="O124" s="37">
        <f t="shared" si="51"/>
        <v>-2</v>
      </c>
      <c r="P124" s="36" t="str">
        <f t="shared" si="52"/>
        <v>Y</v>
      </c>
      <c r="Q124" s="37">
        <f t="shared" si="53"/>
        <v>-46</v>
      </c>
      <c r="R124" s="36" t="str">
        <f t="shared" si="54"/>
        <v>Y</v>
      </c>
      <c r="S124" s="37">
        <f t="shared" si="55"/>
        <v>-32</v>
      </c>
      <c r="T124" s="36" t="str">
        <f t="shared" si="56"/>
        <v xml:space="preserve">  </v>
      </c>
      <c r="U124" s="37">
        <f t="shared" si="57"/>
        <v>-39</v>
      </c>
      <c r="V124" s="36" t="str">
        <f t="shared" si="58"/>
        <v>Y</v>
      </c>
      <c r="W124" s="37" t="str">
        <f t="shared" si="59"/>
        <v xml:space="preserve">  </v>
      </c>
      <c r="X124" s="36" t="str">
        <f t="shared" si="60"/>
        <v xml:space="preserve">  </v>
      </c>
      <c r="Y124" s="37" t="str">
        <f t="shared" si="61"/>
        <v xml:space="preserve">  </v>
      </c>
      <c r="Z124" s="36" t="str">
        <f t="shared" si="62"/>
        <v xml:space="preserve">  </v>
      </c>
      <c r="AA124" s="37" t="str">
        <f t="shared" si="63"/>
        <v xml:space="preserve">  </v>
      </c>
      <c r="AB124" s="36" t="str">
        <f t="shared" si="64"/>
        <v xml:space="preserve">  </v>
      </c>
      <c r="AC124" s="37" t="str">
        <f t="shared" si="65"/>
        <v xml:space="preserve">  </v>
      </c>
      <c r="AD124" s="36" t="str">
        <f t="shared" si="66"/>
        <v xml:space="preserve">  </v>
      </c>
      <c r="AE124" s="37">
        <f t="shared" si="67"/>
        <v>-14</v>
      </c>
      <c r="AF124" s="38">
        <f ca="1">_xlfn.IFNA(IF(AG124="",TODAY()+(VLOOKUP(A124,'Date Calcs'!A:G,7,0)*7),VLOOKUP(A124,'Actual Dates'!A:AE,21,FALSE())),"")</f>
        <v>46123</v>
      </c>
      <c r="AG124" s="38">
        <f>IF(VLOOKUP(A124,'Actual Dates'!A:AE,20,0)="","",VLOOKUP(A124,'Actual Dates'!A:AE,20,0))</f>
        <v>46102</v>
      </c>
      <c r="AH124" s="38" t="str">
        <f>_xlfn.IFNA(IF($AG124="","",IF(X124="Y","DONE",VLOOKUP(A124,'Ship Date'!A:AE,27,0))),"")</f>
        <v/>
      </c>
      <c r="AI124" s="12">
        <f t="shared" ca="1" si="37"/>
        <v>0</v>
      </c>
      <c r="AJ124" s="38" t="str">
        <f>_xlfn.IFNA(IF($AG124="","",IF(AB124="Y","DONE",VLOOKUP(A124,'Ship Date'!A:AG,29,0))),"")</f>
        <v/>
      </c>
      <c r="AK124" s="12">
        <f t="shared" ca="1" si="38"/>
        <v>0</v>
      </c>
      <c r="AL124" s="38" t="str">
        <f>_xlfn.IFNA(IF($AG124="","",IF(Z124="Y","DONE",VLOOKUP(A124,'Ship Date'!A:AI,28,0))),"")</f>
        <v/>
      </c>
      <c r="AM124" s="12">
        <f t="shared" ca="1" si="39"/>
        <v>0</v>
      </c>
      <c r="AN124" s="38" t="str">
        <f>_xlfn.IFNA(IF(T124="Y","DONE",VLOOKUP(A124,'Ship Date'!A:AE,25,0)),"")</f>
        <v/>
      </c>
      <c r="AO124" s="12">
        <f t="shared" si="40"/>
        <v>0</v>
      </c>
      <c r="AP124" s="38" t="str">
        <f>_xlfn.IFNA(IF(AD124="Y","DONE",VLOOKUP(A124,'Ship Date'!A:AE,30,0)),"")</f>
        <v/>
      </c>
      <c r="AQ124" s="12">
        <f t="shared" ca="1" si="41"/>
        <v>0</v>
      </c>
      <c r="AR124" s="38" t="str">
        <f>IFERROR(_xlfn.IFNA(VLOOKUP(A124,'Ship Date'!A:C,3,0),""),"")</f>
        <v/>
      </c>
      <c r="AS124" s="12" t="str">
        <f t="shared" ca="1" si="42"/>
        <v/>
      </c>
      <c r="AT124" s="38" t="str">
        <f>_xlfn.IFNA(IF(VLOOKUP(A124,'Actual Dates'!A:AF,32,0)="N/A"," ",VLOOKUP(A124,'Actual Dates'!A:AF,32,0))," ")</f>
        <v xml:space="preserve"> </v>
      </c>
      <c r="AU124" s="39"/>
      <c r="AV124" s="38">
        <f>_xlfn.IFNA(IF(VLOOKUP(A124,'Actual Dates'!A:AE,31,0)="","",VLOOKUP(A124,'Actual Dates'!A:AE,31,0)),"")</f>
        <v>46118</v>
      </c>
      <c r="AW124" s="40"/>
    </row>
    <row r="125" spans="1:49" ht="23.25" x14ac:dyDescent="0.25">
      <c r="A125" s="12" t="str">
        <f>'Actual Dates'!A124</f>
        <v>26-027</v>
      </c>
      <c r="B125" s="13" t="str">
        <f t="shared" si="34"/>
        <v>Kemira</v>
      </c>
      <c r="C125" s="35"/>
      <c r="D125" s="36" t="str">
        <f t="shared" si="43"/>
        <v>Y</v>
      </c>
      <c r="E125" s="37" t="str">
        <f t="shared" si="44"/>
        <v xml:space="preserve">  </v>
      </c>
      <c r="F125" s="36" t="str">
        <f t="shared" si="45"/>
        <v>Y</v>
      </c>
      <c r="G125" s="37" t="str">
        <f t="shared" si="46"/>
        <v/>
      </c>
      <c r="H125" s="36" t="str">
        <f t="shared" si="35"/>
        <v xml:space="preserve">  </v>
      </c>
      <c r="I125" s="37" t="str">
        <f t="shared" si="47"/>
        <v xml:space="preserve">  </v>
      </c>
      <c r="J125" s="35"/>
      <c r="K125" s="36" t="str">
        <f t="shared" si="48"/>
        <v>Y</v>
      </c>
      <c r="L125" s="37" t="str">
        <f t="shared" si="49"/>
        <v/>
      </c>
      <c r="M125" s="37" t="str">
        <f t="shared" si="36"/>
        <v xml:space="preserve">  </v>
      </c>
      <c r="N125" s="36" t="str">
        <f t="shared" si="50"/>
        <v xml:space="preserve">  </v>
      </c>
      <c r="O125" s="37" t="str">
        <f t="shared" si="51"/>
        <v xml:space="preserve">  </v>
      </c>
      <c r="P125" s="36" t="str">
        <f t="shared" si="52"/>
        <v xml:space="preserve">  </v>
      </c>
      <c r="Q125" s="37" t="str">
        <f t="shared" si="53"/>
        <v/>
      </c>
      <c r="R125" s="36" t="str">
        <f t="shared" si="54"/>
        <v>Y</v>
      </c>
      <c r="S125" s="37" t="str">
        <f t="shared" si="55"/>
        <v/>
      </c>
      <c r="T125" s="36" t="str">
        <f t="shared" si="56"/>
        <v>Y</v>
      </c>
      <c r="U125" s="37" t="str">
        <f t="shared" si="57"/>
        <v xml:space="preserve">  </v>
      </c>
      <c r="V125" s="36" t="str">
        <f t="shared" si="58"/>
        <v xml:space="preserve">  </v>
      </c>
      <c r="W125" s="37" t="str">
        <f t="shared" si="59"/>
        <v/>
      </c>
      <c r="X125" s="36" t="str">
        <f t="shared" si="60"/>
        <v>Y</v>
      </c>
      <c r="Y125" s="37" t="str">
        <f t="shared" si="61"/>
        <v/>
      </c>
      <c r="Z125" s="36" t="str">
        <f t="shared" si="62"/>
        <v>Y</v>
      </c>
      <c r="AA125" s="37" t="str">
        <f t="shared" si="63"/>
        <v/>
      </c>
      <c r="AB125" s="36" t="str">
        <f t="shared" si="64"/>
        <v>Y</v>
      </c>
      <c r="AC125" s="37" t="str">
        <f t="shared" si="65"/>
        <v/>
      </c>
      <c r="AD125" s="36" t="str">
        <f t="shared" si="66"/>
        <v>Y</v>
      </c>
      <c r="AE125" s="37" t="str">
        <f t="shared" si="67"/>
        <v/>
      </c>
      <c r="AF125" s="38">
        <f ca="1">_xlfn.IFNA(IF(AG125="",TODAY()+(VLOOKUP(A125,'Date Calcs'!A:G,7,0)*7),VLOOKUP(A125,'Actual Dates'!A:AE,21,FALSE())),"")</f>
        <v>46115</v>
      </c>
      <c r="AG125" s="38" t="str">
        <f>IF(VLOOKUP(A125,'Actual Dates'!A:AE,20,0)="","",VLOOKUP(A125,'Actual Dates'!A:AE,20,0))</f>
        <v/>
      </c>
      <c r="AH125" s="38" t="str">
        <f>_xlfn.IFNA(IF($AG125="","",IF(X125="Y","DONE",VLOOKUP(A125,'Ship Date'!A:AE,27,0))),"")</f>
        <v/>
      </c>
      <c r="AI125" s="12">
        <f t="shared" ca="1" si="37"/>
        <v>0</v>
      </c>
      <c r="AJ125" s="38" t="str">
        <f>_xlfn.IFNA(IF($AG125="","",IF(AB125="Y","DONE",VLOOKUP(A125,'Ship Date'!A:AG,29,0))),"")</f>
        <v/>
      </c>
      <c r="AK125" s="12">
        <f t="shared" ca="1" si="38"/>
        <v>0</v>
      </c>
      <c r="AL125" s="38" t="str">
        <f>_xlfn.IFNA(IF($AG125="","",IF(Z125="Y","DONE",VLOOKUP(A125,'Ship Date'!A:AI,28,0))),"")</f>
        <v/>
      </c>
      <c r="AM125" s="12">
        <f t="shared" ca="1" si="39"/>
        <v>0</v>
      </c>
      <c r="AN125" s="38" t="str">
        <f>_xlfn.IFNA(IF(T125="Y","DONE",VLOOKUP(A125,'Ship Date'!A:AE,25,0)),"")</f>
        <v>DONE</v>
      </c>
      <c r="AO125" s="12">
        <f t="shared" si="40"/>
        <v>0</v>
      </c>
      <c r="AP125" s="38" t="str">
        <f>_xlfn.IFNA(IF(AD125="Y","DONE",VLOOKUP(A125,'Ship Date'!A:AE,30,0)),"")</f>
        <v>DONE</v>
      </c>
      <c r="AQ125" s="12">
        <f t="shared" ca="1" si="41"/>
        <v>0</v>
      </c>
      <c r="AR125" s="38" t="str">
        <f>IFERROR(_xlfn.IFNA(VLOOKUP(A125,'Ship Date'!A:C,3,0),""),"")</f>
        <v/>
      </c>
      <c r="AS125" s="12" t="str">
        <f t="shared" ca="1" si="42"/>
        <v/>
      </c>
      <c r="AT125" s="38" t="str">
        <f>_xlfn.IFNA(IF(VLOOKUP(A125,'Actual Dates'!A:AF,32,0)="N/A"," ",VLOOKUP(A125,'Actual Dates'!A:AF,32,0))," ")</f>
        <v xml:space="preserve"> </v>
      </c>
      <c r="AU125" s="39"/>
      <c r="AV125" s="38" t="str">
        <f>_xlfn.IFNA(IF(VLOOKUP(A125,'Actual Dates'!A:AE,31,0)="","",VLOOKUP(A125,'Actual Dates'!A:AE,31,0)),"")</f>
        <v>n/a</v>
      </c>
      <c r="AW125" s="40"/>
    </row>
    <row r="126" spans="1:49" ht="23.25" x14ac:dyDescent="0.25">
      <c r="A126" s="12" t="str">
        <f>'Actual Dates'!A125</f>
        <v>26-028</v>
      </c>
      <c r="B126" s="13" t="str">
        <f t="shared" si="34"/>
        <v>Kemira</v>
      </c>
      <c r="C126" s="35"/>
      <c r="D126" s="36" t="str">
        <f t="shared" si="43"/>
        <v>Y</v>
      </c>
      <c r="E126" s="37" t="str">
        <f t="shared" si="44"/>
        <v xml:space="preserve">  </v>
      </c>
      <c r="F126" s="36" t="str">
        <f t="shared" si="45"/>
        <v>Y</v>
      </c>
      <c r="G126" s="37" t="str">
        <f t="shared" si="46"/>
        <v/>
      </c>
      <c r="H126" s="36" t="str">
        <f t="shared" si="35"/>
        <v xml:space="preserve">  </v>
      </c>
      <c r="I126" s="37" t="str">
        <f t="shared" si="47"/>
        <v xml:space="preserve">  </v>
      </c>
      <c r="J126" s="35"/>
      <c r="K126" s="36" t="str">
        <f t="shared" si="48"/>
        <v>Y</v>
      </c>
      <c r="L126" s="37" t="str">
        <f t="shared" si="49"/>
        <v/>
      </c>
      <c r="M126" s="37" t="str">
        <f t="shared" si="36"/>
        <v xml:space="preserve">  </v>
      </c>
      <c r="N126" s="36" t="str">
        <f t="shared" si="50"/>
        <v xml:space="preserve">  </v>
      </c>
      <c r="O126" s="37" t="str">
        <f t="shared" si="51"/>
        <v xml:space="preserve">  </v>
      </c>
      <c r="P126" s="36" t="str">
        <f t="shared" si="52"/>
        <v xml:space="preserve">  </v>
      </c>
      <c r="Q126" s="37" t="str">
        <f t="shared" si="53"/>
        <v/>
      </c>
      <c r="R126" s="36" t="str">
        <f t="shared" si="54"/>
        <v>Y</v>
      </c>
      <c r="S126" s="37" t="str">
        <f t="shared" si="55"/>
        <v/>
      </c>
      <c r="T126" s="36" t="str">
        <f t="shared" si="56"/>
        <v>Y</v>
      </c>
      <c r="U126" s="37" t="str">
        <f t="shared" si="57"/>
        <v xml:space="preserve">  </v>
      </c>
      <c r="V126" s="36" t="str">
        <f t="shared" si="58"/>
        <v xml:space="preserve">  </v>
      </c>
      <c r="W126" s="37" t="str">
        <f t="shared" si="59"/>
        <v/>
      </c>
      <c r="X126" s="36" t="str">
        <f t="shared" si="60"/>
        <v>Y</v>
      </c>
      <c r="Y126" s="37" t="str">
        <f t="shared" si="61"/>
        <v/>
      </c>
      <c r="Z126" s="36" t="str">
        <f t="shared" si="62"/>
        <v>Y</v>
      </c>
      <c r="AA126" s="37" t="str">
        <f t="shared" si="63"/>
        <v/>
      </c>
      <c r="AB126" s="36" t="str">
        <f t="shared" si="64"/>
        <v>Y</v>
      </c>
      <c r="AC126" s="37" t="str">
        <f t="shared" si="65"/>
        <v/>
      </c>
      <c r="AD126" s="36" t="str">
        <f t="shared" si="66"/>
        <v>Y</v>
      </c>
      <c r="AE126" s="37" t="str">
        <f t="shared" si="67"/>
        <v/>
      </c>
      <c r="AF126" s="38">
        <f ca="1">_xlfn.IFNA(IF(AG126="",TODAY()+(VLOOKUP(A126,'Date Calcs'!A:G,7,0)*7),VLOOKUP(A126,'Actual Dates'!A:AE,21,FALSE())),"")</f>
        <v>46115</v>
      </c>
      <c r="AG126" s="38" t="str">
        <f>IF(VLOOKUP(A126,'Actual Dates'!A:AE,20,0)="","",VLOOKUP(A126,'Actual Dates'!A:AE,20,0))</f>
        <v/>
      </c>
      <c r="AH126" s="38" t="str">
        <f>_xlfn.IFNA(IF($AG126="","",IF(X126="Y","DONE",VLOOKUP(A126,'Ship Date'!A:AE,27,0))),"")</f>
        <v/>
      </c>
      <c r="AI126" s="12">
        <f t="shared" ca="1" si="37"/>
        <v>0</v>
      </c>
      <c r="AJ126" s="38" t="str">
        <f>_xlfn.IFNA(IF($AG126="","",IF(AB126="Y","DONE",VLOOKUP(A126,'Ship Date'!A:AG,29,0))),"")</f>
        <v/>
      </c>
      <c r="AK126" s="12">
        <f t="shared" ca="1" si="38"/>
        <v>0</v>
      </c>
      <c r="AL126" s="38" t="str">
        <f>_xlfn.IFNA(IF($AG126="","",IF(Z126="Y","DONE",VLOOKUP(A126,'Ship Date'!A:AI,28,0))),"")</f>
        <v/>
      </c>
      <c r="AM126" s="12">
        <f t="shared" ca="1" si="39"/>
        <v>0</v>
      </c>
      <c r="AN126" s="38" t="str">
        <f>_xlfn.IFNA(IF(T126="Y","DONE",VLOOKUP(A126,'Ship Date'!A:AE,25,0)),"")</f>
        <v>DONE</v>
      </c>
      <c r="AO126" s="12">
        <f t="shared" si="40"/>
        <v>0</v>
      </c>
      <c r="AP126" s="38" t="str">
        <f>_xlfn.IFNA(IF(AD126="Y","DONE",VLOOKUP(A126,'Ship Date'!A:AE,30,0)),"")</f>
        <v>DONE</v>
      </c>
      <c r="AQ126" s="12">
        <f t="shared" ca="1" si="41"/>
        <v>0</v>
      </c>
      <c r="AR126" s="38" t="str">
        <f>IFERROR(_xlfn.IFNA(VLOOKUP(A126,'Ship Date'!A:C,3,0),""),"")</f>
        <v/>
      </c>
      <c r="AS126" s="12" t="str">
        <f t="shared" ca="1" si="42"/>
        <v/>
      </c>
      <c r="AT126" s="38" t="str">
        <f>_xlfn.IFNA(IF(VLOOKUP(A126,'Actual Dates'!A:AF,32,0)="N/A"," ",VLOOKUP(A126,'Actual Dates'!A:AF,32,0))," ")</f>
        <v xml:space="preserve"> </v>
      </c>
      <c r="AU126" s="39"/>
      <c r="AV126" s="38" t="str">
        <f>_xlfn.IFNA(IF(VLOOKUP(A126,'Actual Dates'!A:AE,31,0)="","",VLOOKUP(A126,'Actual Dates'!A:AE,31,0)),"")</f>
        <v>n/a</v>
      </c>
      <c r="AW126" s="40"/>
    </row>
    <row r="127" spans="1:49" ht="23.25" x14ac:dyDescent="0.25">
      <c r="A127" s="12" t="str">
        <f>'Actual Dates'!A126</f>
        <v>26-030</v>
      </c>
      <c r="B127" s="13" t="str">
        <f t="shared" si="34"/>
        <v>Symrise</v>
      </c>
      <c r="C127" s="35"/>
      <c r="D127" s="36" t="str">
        <f t="shared" si="43"/>
        <v>Y</v>
      </c>
      <c r="E127" s="37">
        <f t="shared" si="44"/>
        <v>-16</v>
      </c>
      <c r="F127" s="36" t="str">
        <f t="shared" si="45"/>
        <v>Y</v>
      </c>
      <c r="G127" s="37">
        <f t="shared" si="46"/>
        <v>-8</v>
      </c>
      <c r="H127" s="36" t="str">
        <f t="shared" si="35"/>
        <v xml:space="preserve">  </v>
      </c>
      <c r="I127" s="37" t="str">
        <f t="shared" si="47"/>
        <v xml:space="preserve">  </v>
      </c>
      <c r="J127" s="35"/>
      <c r="K127" s="36" t="str">
        <f t="shared" si="48"/>
        <v>Y</v>
      </c>
      <c r="L127" s="37" t="str">
        <f t="shared" si="49"/>
        <v/>
      </c>
      <c r="M127" s="37" t="str">
        <f t="shared" si="36"/>
        <v xml:space="preserve">  </v>
      </c>
      <c r="N127" s="36" t="str">
        <f t="shared" si="50"/>
        <v xml:space="preserve">  </v>
      </c>
      <c r="O127" s="37" t="str">
        <f t="shared" si="51"/>
        <v xml:space="preserve">  </v>
      </c>
      <c r="P127" s="36" t="str">
        <f t="shared" si="52"/>
        <v xml:space="preserve">  </v>
      </c>
      <c r="Q127" s="37" t="str">
        <f t="shared" si="53"/>
        <v xml:space="preserve">  </v>
      </c>
      <c r="R127" s="36" t="str">
        <f t="shared" si="54"/>
        <v xml:space="preserve">  </v>
      </c>
      <c r="S127" s="37" t="str">
        <f t="shared" si="55"/>
        <v xml:space="preserve">  </v>
      </c>
      <c r="T127" s="36" t="str">
        <f t="shared" si="56"/>
        <v xml:space="preserve">  </v>
      </c>
      <c r="U127" s="37" t="str">
        <f t="shared" si="57"/>
        <v xml:space="preserve">  </v>
      </c>
      <c r="V127" s="36" t="str">
        <f t="shared" si="58"/>
        <v xml:space="preserve">  </v>
      </c>
      <c r="W127" s="37" t="str">
        <f t="shared" si="59"/>
        <v xml:space="preserve">  </v>
      </c>
      <c r="X127" s="36" t="str">
        <f t="shared" si="60"/>
        <v xml:space="preserve">  </v>
      </c>
      <c r="Y127" s="37" t="str">
        <f t="shared" si="61"/>
        <v xml:space="preserve">  </v>
      </c>
      <c r="Z127" s="36" t="str">
        <f t="shared" si="62"/>
        <v xml:space="preserve">  </v>
      </c>
      <c r="AA127" s="37" t="str">
        <f t="shared" si="63"/>
        <v xml:space="preserve">  </v>
      </c>
      <c r="AB127" s="36" t="str">
        <f t="shared" si="64"/>
        <v xml:space="preserve">  </v>
      </c>
      <c r="AC127" s="37" t="str">
        <f t="shared" si="65"/>
        <v xml:space="preserve">  </v>
      </c>
      <c r="AD127" s="36" t="str">
        <f t="shared" si="66"/>
        <v xml:space="preserve">  </v>
      </c>
      <c r="AE127" s="37" t="str">
        <f t="shared" si="67"/>
        <v xml:space="preserve">  </v>
      </c>
      <c r="AF127" s="38">
        <f ca="1">_xlfn.IFNA(IF(AG127="",TODAY()+(VLOOKUP(A127,'Date Calcs'!A:G,7,0)*7),VLOOKUP(A127,'Actual Dates'!A:AE,21,FALSE())),"")</f>
        <v>46234</v>
      </c>
      <c r="AG127" s="38" t="str">
        <f>IF(VLOOKUP(A127,'Actual Dates'!A:AE,20,0)="","",VLOOKUP(A127,'Actual Dates'!A:AE,20,0))</f>
        <v/>
      </c>
      <c r="AH127" s="38" t="str">
        <f>_xlfn.IFNA(IF($AG127="","",IF(X127="Y","DONE",VLOOKUP(A127,'Ship Date'!A:AE,27,0))),"")</f>
        <v/>
      </c>
      <c r="AI127" s="12">
        <f t="shared" ca="1" si="37"/>
        <v>0</v>
      </c>
      <c r="AJ127" s="38" t="str">
        <f>_xlfn.IFNA(IF($AG127="","",IF(AB127="Y","DONE",VLOOKUP(A127,'Ship Date'!A:AG,29,0))),"")</f>
        <v/>
      </c>
      <c r="AK127" s="12">
        <f t="shared" ca="1" si="38"/>
        <v>0</v>
      </c>
      <c r="AL127" s="38" t="str">
        <f>_xlfn.IFNA(IF($AG127="","",IF(Z127="Y","DONE",VLOOKUP(A127,'Ship Date'!A:AI,28,0))),"")</f>
        <v/>
      </c>
      <c r="AM127" s="12">
        <f t="shared" ca="1" si="39"/>
        <v>0</v>
      </c>
      <c r="AN127" s="38">
        <f>_xlfn.IFNA(IF(T127="Y","DONE",VLOOKUP(A127,'Ship Date'!A:AE,25,0)),"")</f>
        <v>46188</v>
      </c>
      <c r="AO127" s="12">
        <f t="shared" si="40"/>
        <v>7</v>
      </c>
      <c r="AP127" s="38">
        <f>_xlfn.IFNA(IF(AD127="Y","DONE",VLOOKUP(A127,'Ship Date'!A:AE,30,0)),"")</f>
        <v>46195</v>
      </c>
      <c r="AQ127" s="12">
        <f t="shared" ca="1" si="41"/>
        <v>80</v>
      </c>
      <c r="AR127" s="38">
        <f>IFERROR(_xlfn.IFNA(VLOOKUP(A127,'Ship Date'!A:C,3,0),""),"")</f>
        <v>46244</v>
      </c>
      <c r="AS127" s="12">
        <f t="shared" ca="1" si="42"/>
        <v>-10</v>
      </c>
      <c r="AT127" s="38">
        <f>_xlfn.IFNA(IF(VLOOKUP(A127,'Actual Dates'!A:AF,32,0)="N/A"," ",VLOOKUP(A127,'Actual Dates'!A:AF,32,0))," ")</f>
        <v>46105</v>
      </c>
      <c r="AU127" s="39"/>
      <c r="AV127" s="38" t="str">
        <f>_xlfn.IFNA(IF(VLOOKUP(A127,'Actual Dates'!A:AE,31,0)="","",VLOOKUP(A127,'Actual Dates'!A:AE,31,0)),"")</f>
        <v/>
      </c>
      <c r="AW127" s="40"/>
    </row>
    <row r="128" spans="1:49" ht="23.25" x14ac:dyDescent="0.25">
      <c r="A128" s="12" t="str">
        <f>'Actual Dates'!A127</f>
        <v>26-031</v>
      </c>
      <c r="B128" s="13" t="str">
        <f t="shared" si="34"/>
        <v>Sysenqo</v>
      </c>
      <c r="C128" s="35"/>
      <c r="D128" s="36" t="str">
        <f t="shared" si="43"/>
        <v>Y</v>
      </c>
      <c r="E128" s="37" t="str">
        <f t="shared" si="44"/>
        <v xml:space="preserve">  </v>
      </c>
      <c r="F128" s="36" t="str">
        <f t="shared" si="45"/>
        <v>Y</v>
      </c>
      <c r="G128" s="37">
        <f t="shared" si="46"/>
        <v>-10</v>
      </c>
      <c r="H128" s="36" t="str">
        <f t="shared" si="35"/>
        <v xml:space="preserve">  </v>
      </c>
      <c r="I128" s="37" t="str">
        <f t="shared" si="47"/>
        <v xml:space="preserve">  </v>
      </c>
      <c r="J128" s="35"/>
      <c r="K128" s="36" t="str">
        <f t="shared" si="48"/>
        <v>Y</v>
      </c>
      <c r="L128" s="37" t="str">
        <f t="shared" si="49"/>
        <v/>
      </c>
      <c r="M128" s="37" t="str">
        <f t="shared" si="36"/>
        <v xml:space="preserve">  </v>
      </c>
      <c r="N128" s="36" t="str">
        <f t="shared" si="50"/>
        <v xml:space="preserve">  </v>
      </c>
      <c r="O128" s="37" t="str">
        <f t="shared" si="51"/>
        <v xml:space="preserve">  </v>
      </c>
      <c r="P128" s="36" t="str">
        <f t="shared" si="52"/>
        <v xml:space="preserve">  </v>
      </c>
      <c r="Q128" s="37" t="str">
        <f t="shared" si="53"/>
        <v xml:space="preserve">  </v>
      </c>
      <c r="R128" s="36" t="str">
        <f t="shared" si="54"/>
        <v xml:space="preserve">  </v>
      </c>
      <c r="S128" s="37" t="str">
        <f t="shared" si="55"/>
        <v xml:space="preserve">  </v>
      </c>
      <c r="T128" s="36" t="str">
        <f t="shared" si="56"/>
        <v xml:space="preserve">  </v>
      </c>
      <c r="U128" s="37" t="str">
        <f t="shared" si="57"/>
        <v xml:space="preserve">  </v>
      </c>
      <c r="V128" s="36" t="str">
        <f t="shared" si="58"/>
        <v xml:space="preserve">  </v>
      </c>
      <c r="W128" s="37" t="str">
        <f t="shared" si="59"/>
        <v xml:space="preserve">  </v>
      </c>
      <c r="X128" s="36" t="str">
        <f t="shared" si="60"/>
        <v xml:space="preserve">  </v>
      </c>
      <c r="Y128" s="37" t="str">
        <f t="shared" si="61"/>
        <v xml:space="preserve">  </v>
      </c>
      <c r="Z128" s="36" t="str">
        <f t="shared" si="62"/>
        <v xml:space="preserve">  </v>
      </c>
      <c r="AA128" s="37" t="str">
        <f t="shared" si="63"/>
        <v xml:space="preserve">  </v>
      </c>
      <c r="AB128" s="36" t="str">
        <f t="shared" si="64"/>
        <v xml:space="preserve">  </v>
      </c>
      <c r="AC128" s="37" t="str">
        <f t="shared" si="65"/>
        <v xml:space="preserve">  </v>
      </c>
      <c r="AD128" s="36" t="str">
        <f t="shared" si="66"/>
        <v xml:space="preserve">  </v>
      </c>
      <c r="AE128" s="37" t="str">
        <f t="shared" si="67"/>
        <v xml:space="preserve">  </v>
      </c>
      <c r="AF128" s="38">
        <f ca="1">_xlfn.IFNA(IF(AG128="",TODAY()+(VLOOKUP(A128,'Date Calcs'!A:G,7,0)*7),VLOOKUP(A128,'Actual Dates'!A:AE,21,FALSE())),"")</f>
        <v>46248</v>
      </c>
      <c r="AG128" s="38" t="str">
        <f>IF(VLOOKUP(A128,'Actual Dates'!A:AE,20,0)="","",VLOOKUP(A128,'Actual Dates'!A:AE,20,0))</f>
        <v/>
      </c>
      <c r="AH128" s="38" t="str">
        <f>_xlfn.IFNA(IF($AG128="","",IF(X128="Y","DONE",VLOOKUP(A128,'Ship Date'!A:AE,27,0))),"")</f>
        <v/>
      </c>
      <c r="AI128" s="12">
        <f t="shared" ca="1" si="37"/>
        <v>0</v>
      </c>
      <c r="AJ128" s="38" t="str">
        <f>_xlfn.IFNA(IF($AG128="","",IF(AB128="Y","DONE",VLOOKUP(A128,'Ship Date'!A:AG,29,0))),"")</f>
        <v/>
      </c>
      <c r="AK128" s="12">
        <f t="shared" ca="1" si="38"/>
        <v>0</v>
      </c>
      <c r="AL128" s="38" t="str">
        <f>_xlfn.IFNA(IF($AG128="","",IF(Z128="Y","DONE",VLOOKUP(A128,'Ship Date'!A:AI,28,0))),"")</f>
        <v/>
      </c>
      <c r="AM128" s="12">
        <f t="shared" ca="1" si="39"/>
        <v>0</v>
      </c>
      <c r="AN128" s="38">
        <f>_xlfn.IFNA(IF(T128="Y","DONE",VLOOKUP(A128,'Ship Date'!A:AE,25,0)),"")</f>
        <v>46223</v>
      </c>
      <c r="AO128" s="12">
        <f t="shared" si="40"/>
        <v>7</v>
      </c>
      <c r="AP128" s="38">
        <f>_xlfn.IFNA(IF(AD128="Y","DONE",VLOOKUP(A128,'Ship Date'!A:AE,30,0)),"")</f>
        <v>46230</v>
      </c>
      <c r="AQ128" s="12">
        <f t="shared" ca="1" si="41"/>
        <v>115</v>
      </c>
      <c r="AR128" s="38">
        <f>IFERROR(_xlfn.IFNA(VLOOKUP(A128,'Ship Date'!A:C,3,0),""),"")</f>
        <v>46279</v>
      </c>
      <c r="AS128" s="12">
        <f t="shared" ca="1" si="42"/>
        <v>-31</v>
      </c>
      <c r="AT128" s="38">
        <f>_xlfn.IFNA(IF(VLOOKUP(A128,'Actual Dates'!A:AF,32,0)="N/A"," ",VLOOKUP(A128,'Actual Dates'!A:AF,32,0))," ")</f>
        <v>46105</v>
      </c>
      <c r="AU128" s="39"/>
      <c r="AV128" s="38" t="str">
        <f>_xlfn.IFNA(IF(VLOOKUP(A128,'Actual Dates'!A:AE,31,0)="","",VLOOKUP(A128,'Actual Dates'!A:AE,31,0)),"")</f>
        <v/>
      </c>
      <c r="AW128" s="40"/>
    </row>
    <row r="129" spans="1:49" ht="23.25" x14ac:dyDescent="0.25">
      <c r="A129" s="12" t="str">
        <f>'Actual Dates'!A128</f>
        <v>26-032</v>
      </c>
      <c r="B129" s="13" t="str">
        <f t="shared" si="34"/>
        <v>Kimberly-Clark</v>
      </c>
      <c r="C129" s="35"/>
      <c r="D129" s="36" t="str">
        <f t="shared" si="43"/>
        <v>Y</v>
      </c>
      <c r="E129" s="37" t="str">
        <f t="shared" si="44"/>
        <v xml:space="preserve">  </v>
      </c>
      <c r="F129" s="36" t="str">
        <f t="shared" si="45"/>
        <v xml:space="preserve">  </v>
      </c>
      <c r="G129" s="37" t="str">
        <f t="shared" si="46"/>
        <v xml:space="preserve">  </v>
      </c>
      <c r="H129" s="36" t="str">
        <f t="shared" si="35"/>
        <v xml:space="preserve">  </v>
      </c>
      <c r="I129" s="37" t="str">
        <f t="shared" si="47"/>
        <v xml:space="preserve">  </v>
      </c>
      <c r="J129" s="35"/>
      <c r="K129" s="36" t="str">
        <f t="shared" si="48"/>
        <v>Y</v>
      </c>
      <c r="L129" s="37" t="str">
        <f t="shared" si="49"/>
        <v/>
      </c>
      <c r="M129" s="37" t="str">
        <f t="shared" si="36"/>
        <v xml:space="preserve">  </v>
      </c>
      <c r="N129" s="36" t="str">
        <f t="shared" si="50"/>
        <v xml:space="preserve">  </v>
      </c>
      <c r="O129" s="37" t="str">
        <f t="shared" si="51"/>
        <v xml:space="preserve">  </v>
      </c>
      <c r="P129" s="36" t="str">
        <f t="shared" si="52"/>
        <v xml:space="preserve">  </v>
      </c>
      <c r="Q129" s="37" t="str">
        <f t="shared" si="53"/>
        <v xml:space="preserve">  </v>
      </c>
      <c r="R129" s="36" t="str">
        <f t="shared" si="54"/>
        <v xml:space="preserve">  </v>
      </c>
      <c r="S129" s="37" t="str">
        <f t="shared" si="55"/>
        <v xml:space="preserve">  </v>
      </c>
      <c r="T129" s="36" t="str">
        <f t="shared" si="56"/>
        <v xml:space="preserve">  </v>
      </c>
      <c r="U129" s="37" t="str">
        <f t="shared" si="57"/>
        <v xml:space="preserve">  </v>
      </c>
      <c r="V129" s="36" t="str">
        <f t="shared" si="58"/>
        <v xml:space="preserve">  </v>
      </c>
      <c r="W129" s="37" t="str">
        <f t="shared" si="59"/>
        <v xml:space="preserve">  </v>
      </c>
      <c r="X129" s="36" t="str">
        <f t="shared" si="60"/>
        <v xml:space="preserve">  </v>
      </c>
      <c r="Y129" s="37" t="str">
        <f t="shared" si="61"/>
        <v xml:space="preserve">  </v>
      </c>
      <c r="Z129" s="36" t="str">
        <f t="shared" si="62"/>
        <v xml:space="preserve">  </v>
      </c>
      <c r="AA129" s="37" t="str">
        <f t="shared" si="63"/>
        <v xml:space="preserve">  </v>
      </c>
      <c r="AB129" s="36" t="str">
        <f t="shared" si="64"/>
        <v xml:space="preserve">  </v>
      </c>
      <c r="AC129" s="37" t="str">
        <f t="shared" si="65"/>
        <v xml:space="preserve">  </v>
      </c>
      <c r="AD129" s="36" t="str">
        <f t="shared" si="66"/>
        <v xml:space="preserve">  </v>
      </c>
      <c r="AE129" s="37" t="str">
        <f t="shared" si="67"/>
        <v xml:space="preserve">  </v>
      </c>
      <c r="AF129" s="38">
        <f ca="1">_xlfn.IFNA(IF(AG129="",TODAY()+(VLOOKUP(A129,'Date Calcs'!A:G,7,0)*7),VLOOKUP(A129,'Actual Dates'!A:AE,21,FALSE())),"")</f>
        <v>46241</v>
      </c>
      <c r="AG129" s="38" t="str">
        <f>IF(VLOOKUP(A129,'Actual Dates'!A:AE,20,0)="","",VLOOKUP(A129,'Actual Dates'!A:AE,20,0))</f>
        <v/>
      </c>
      <c r="AH129" s="38" t="str">
        <f>_xlfn.IFNA(IF($AG129="","",IF(X129="Y","DONE",VLOOKUP(A129,'Ship Date'!A:AE,27,0))),"")</f>
        <v/>
      </c>
      <c r="AI129" s="12">
        <f t="shared" ca="1" si="37"/>
        <v>0</v>
      </c>
      <c r="AJ129" s="38" t="str">
        <f>_xlfn.IFNA(IF($AG129="","",IF(AB129="Y","DONE",VLOOKUP(A129,'Ship Date'!A:AG,29,0))),"")</f>
        <v/>
      </c>
      <c r="AK129" s="12">
        <f t="shared" ca="1" si="38"/>
        <v>0</v>
      </c>
      <c r="AL129" s="38" t="str">
        <f>_xlfn.IFNA(IF($AG129="","",IF(Z129="Y","DONE",VLOOKUP(A129,'Ship Date'!A:AI,28,0))),"")</f>
        <v/>
      </c>
      <c r="AM129" s="12">
        <f t="shared" ca="1" si="39"/>
        <v>0</v>
      </c>
      <c r="AN129" s="38">
        <f>_xlfn.IFNA(IF(T129="Y","DONE",VLOOKUP(A129,'Ship Date'!A:AE,25,0)),"")</f>
        <v>46205.5</v>
      </c>
      <c r="AO129" s="12">
        <f t="shared" si="40"/>
        <v>7</v>
      </c>
      <c r="AP129" s="38">
        <f>_xlfn.IFNA(IF(AD129="Y","DONE",VLOOKUP(A129,'Ship Date'!A:AE,30,0)),"")</f>
        <v>46212.5</v>
      </c>
      <c r="AQ129" s="12">
        <f t="shared" ca="1" si="41"/>
        <v>97.5</v>
      </c>
      <c r="AR129" s="38">
        <f>IFERROR(_xlfn.IFNA(VLOOKUP(A129,'Ship Date'!A:C,3,0),""),"")</f>
        <v>46265</v>
      </c>
      <c r="AS129" s="12">
        <f t="shared" ca="1" si="42"/>
        <v>-24</v>
      </c>
      <c r="AT129" s="38">
        <f>_xlfn.IFNA(IF(VLOOKUP(A129,'Actual Dates'!A:AF,32,0)="N/A"," ",VLOOKUP(A129,'Actual Dates'!A:AF,32,0))," ")</f>
        <v>46105</v>
      </c>
      <c r="AU129" s="39"/>
      <c r="AV129" s="38" t="str">
        <f>_xlfn.IFNA(IF(VLOOKUP(A129,'Actual Dates'!A:AE,31,0)="","",VLOOKUP(A129,'Actual Dates'!A:AE,31,0)),"")</f>
        <v/>
      </c>
      <c r="AW129" s="40"/>
    </row>
    <row r="130" spans="1:49" ht="23.25" x14ac:dyDescent="0.25">
      <c r="A130" s="12" t="str">
        <f>'Actual Dates'!A129</f>
        <v>26-033</v>
      </c>
      <c r="B130" s="13" t="str">
        <f t="shared" si="34"/>
        <v>Kimberly-Clark</v>
      </c>
      <c r="C130" s="35"/>
      <c r="D130" s="36" t="str">
        <f t="shared" si="43"/>
        <v>Y</v>
      </c>
      <c r="E130" s="37" t="str">
        <f t="shared" si="44"/>
        <v xml:space="preserve">  </v>
      </c>
      <c r="F130" s="36" t="str">
        <f t="shared" si="45"/>
        <v>Y</v>
      </c>
      <c r="G130" s="37" t="str">
        <f t="shared" si="46"/>
        <v/>
      </c>
      <c r="H130" s="36" t="str">
        <f t="shared" si="35"/>
        <v xml:space="preserve">  </v>
      </c>
      <c r="I130" s="37" t="str">
        <f t="shared" si="47"/>
        <v xml:space="preserve">  </v>
      </c>
      <c r="J130" s="35"/>
      <c r="K130" s="36" t="str">
        <f t="shared" si="48"/>
        <v>Y</v>
      </c>
      <c r="L130" s="37" t="str">
        <f t="shared" si="49"/>
        <v/>
      </c>
      <c r="M130" s="37" t="str">
        <f t="shared" si="36"/>
        <v xml:space="preserve">  </v>
      </c>
      <c r="N130" s="36" t="str">
        <f t="shared" si="50"/>
        <v xml:space="preserve">  </v>
      </c>
      <c r="O130" s="37" t="str">
        <f t="shared" si="51"/>
        <v xml:space="preserve">  </v>
      </c>
      <c r="P130" s="36" t="str">
        <f t="shared" si="52"/>
        <v xml:space="preserve">  </v>
      </c>
      <c r="Q130" s="37" t="str">
        <f t="shared" si="53"/>
        <v xml:space="preserve">  </v>
      </c>
      <c r="R130" s="36" t="str">
        <f t="shared" si="54"/>
        <v xml:space="preserve">  </v>
      </c>
      <c r="S130" s="37" t="str">
        <f t="shared" si="55"/>
        <v xml:space="preserve">  </v>
      </c>
      <c r="T130" s="36" t="str">
        <f t="shared" si="56"/>
        <v xml:space="preserve">  </v>
      </c>
      <c r="U130" s="37" t="str">
        <f t="shared" si="57"/>
        <v xml:space="preserve">  </v>
      </c>
      <c r="V130" s="36" t="str">
        <f t="shared" si="58"/>
        <v xml:space="preserve">  </v>
      </c>
      <c r="W130" s="37" t="str">
        <f t="shared" si="59"/>
        <v xml:space="preserve">  </v>
      </c>
      <c r="X130" s="36" t="str">
        <f t="shared" si="60"/>
        <v xml:space="preserve">  </v>
      </c>
      <c r="Y130" s="37" t="str">
        <f t="shared" si="61"/>
        <v xml:space="preserve">  </v>
      </c>
      <c r="Z130" s="36" t="str">
        <f t="shared" si="62"/>
        <v xml:space="preserve">  </v>
      </c>
      <c r="AA130" s="37" t="str">
        <f t="shared" si="63"/>
        <v xml:space="preserve">  </v>
      </c>
      <c r="AB130" s="36" t="str">
        <f t="shared" si="64"/>
        <v xml:space="preserve">  </v>
      </c>
      <c r="AC130" s="37" t="str">
        <f t="shared" si="65"/>
        <v xml:space="preserve">  </v>
      </c>
      <c r="AD130" s="36" t="str">
        <f t="shared" si="66"/>
        <v xml:space="preserve">  </v>
      </c>
      <c r="AE130" s="37" t="str">
        <f t="shared" si="67"/>
        <v xml:space="preserve">  </v>
      </c>
      <c r="AF130" s="38">
        <f ca="1">_xlfn.IFNA(IF(AG130="",TODAY()+(VLOOKUP(A130,'Date Calcs'!A:G,7,0)*7),VLOOKUP(A130,'Actual Dates'!A:AE,21,FALSE())),"")</f>
        <v>46213</v>
      </c>
      <c r="AG130" s="38" t="str">
        <f>IF(VLOOKUP(A130,'Actual Dates'!A:AE,20,0)="","",VLOOKUP(A130,'Actual Dates'!A:AE,20,0))</f>
        <v/>
      </c>
      <c r="AH130" s="38" t="str">
        <f>_xlfn.IFNA(IF($AG130="","",IF(X130="Y","DONE",VLOOKUP(A130,'Ship Date'!A:AE,27,0))),"")</f>
        <v/>
      </c>
      <c r="AI130" s="12">
        <f t="shared" ca="1" si="37"/>
        <v>0</v>
      </c>
      <c r="AJ130" s="38" t="str">
        <f>_xlfn.IFNA(IF($AG130="","",IF(AB130="Y","DONE",VLOOKUP(A130,'Ship Date'!A:AG,29,0))),"")</f>
        <v/>
      </c>
      <c r="AK130" s="12">
        <f t="shared" ca="1" si="38"/>
        <v>0</v>
      </c>
      <c r="AL130" s="38" t="str">
        <f>_xlfn.IFNA(IF($AG130="","",IF(Z130="Y","DONE",VLOOKUP(A130,'Ship Date'!A:AI,28,0))),"")</f>
        <v/>
      </c>
      <c r="AM130" s="12">
        <f t="shared" ca="1" si="39"/>
        <v>0</v>
      </c>
      <c r="AN130" s="38">
        <f>_xlfn.IFNA(IF(T130="Y","DONE",VLOOKUP(A130,'Ship Date'!A:AE,25,0)),"")</f>
        <v>46188</v>
      </c>
      <c r="AO130" s="12">
        <f t="shared" si="40"/>
        <v>7</v>
      </c>
      <c r="AP130" s="38">
        <f>_xlfn.IFNA(IF(AD130="Y","DONE",VLOOKUP(A130,'Ship Date'!A:AE,30,0)),"")</f>
        <v>46195</v>
      </c>
      <c r="AQ130" s="12">
        <f t="shared" ca="1" si="41"/>
        <v>80</v>
      </c>
      <c r="AR130" s="38">
        <f>IFERROR(_xlfn.IFNA(VLOOKUP(A130,'Ship Date'!A:C,3,0),""),"")</f>
        <v>46237</v>
      </c>
      <c r="AS130" s="12">
        <f t="shared" ca="1" si="42"/>
        <v>-24</v>
      </c>
      <c r="AT130" s="38" t="str">
        <f>_xlfn.IFNA(IF(VLOOKUP(A130,'Actual Dates'!A:AF,32,0)="N/A"," ",VLOOKUP(A130,'Actual Dates'!A:AF,32,0))," ")</f>
        <v xml:space="preserve"> </v>
      </c>
      <c r="AU130" s="39"/>
      <c r="AV130" s="38" t="str">
        <f>_xlfn.IFNA(IF(VLOOKUP(A130,'Actual Dates'!A:AE,31,0)="","",VLOOKUP(A130,'Actual Dates'!A:AE,31,0)),"")</f>
        <v/>
      </c>
      <c r="AW130" s="40"/>
    </row>
    <row r="131" spans="1:49" ht="23.25" x14ac:dyDescent="0.25">
      <c r="A131" s="12">
        <f>'Actual Dates'!A130</f>
        <v>0</v>
      </c>
      <c r="B131" s="13" t="str">
        <f t="shared" si="34"/>
        <v/>
      </c>
      <c r="C131" s="35"/>
      <c r="D131" s="36" t="str">
        <f t="shared" si="43"/>
        <v/>
      </c>
      <c r="E131" s="37" t="str">
        <f t="shared" si="44"/>
        <v xml:space="preserve">  </v>
      </c>
      <c r="F131" s="36" t="str">
        <f t="shared" si="45"/>
        <v xml:space="preserve">  </v>
      </c>
      <c r="G131" s="37" t="str">
        <f t="shared" si="46"/>
        <v xml:space="preserve">  </v>
      </c>
      <c r="H131" s="36" t="str">
        <f t="shared" si="35"/>
        <v xml:space="preserve">  </v>
      </c>
      <c r="I131" s="37" t="str">
        <f t="shared" si="47"/>
        <v xml:space="preserve">  </v>
      </c>
      <c r="J131" s="35"/>
      <c r="K131" s="36" t="str">
        <f t="shared" si="48"/>
        <v>Y</v>
      </c>
      <c r="L131" s="37" t="str">
        <f t="shared" si="49"/>
        <v/>
      </c>
      <c r="M131" s="37" t="str">
        <f t="shared" si="36"/>
        <v xml:space="preserve">  </v>
      </c>
      <c r="N131" s="36" t="str">
        <f t="shared" si="50"/>
        <v xml:space="preserve">  </v>
      </c>
      <c r="O131" s="37" t="str">
        <f t="shared" si="51"/>
        <v/>
      </c>
      <c r="P131" s="36" t="str">
        <f t="shared" si="52"/>
        <v xml:space="preserve">  </v>
      </c>
      <c r="Q131" s="37" t="str">
        <f t="shared" si="53"/>
        <v xml:space="preserve">  </v>
      </c>
      <c r="R131" s="36" t="str">
        <f t="shared" si="54"/>
        <v xml:space="preserve">  </v>
      </c>
      <c r="S131" s="37" t="str">
        <f t="shared" si="55"/>
        <v xml:space="preserve">  </v>
      </c>
      <c r="T131" s="36" t="str">
        <f t="shared" si="56"/>
        <v xml:space="preserve">  </v>
      </c>
      <c r="U131" s="37" t="str">
        <f t="shared" si="57"/>
        <v xml:space="preserve">  </v>
      </c>
      <c r="V131" s="36" t="str">
        <f t="shared" si="58"/>
        <v xml:space="preserve">  </v>
      </c>
      <c r="W131" s="37" t="str">
        <f t="shared" si="59"/>
        <v xml:space="preserve">  </v>
      </c>
      <c r="X131" s="36" t="str">
        <f t="shared" si="60"/>
        <v xml:space="preserve">  </v>
      </c>
      <c r="Y131" s="37" t="str">
        <f t="shared" si="61"/>
        <v xml:space="preserve">  </v>
      </c>
      <c r="Z131" s="36" t="str">
        <f t="shared" si="62"/>
        <v xml:space="preserve">  </v>
      </c>
      <c r="AA131" s="37" t="str">
        <f t="shared" si="63"/>
        <v xml:space="preserve">  </v>
      </c>
      <c r="AB131" s="36" t="str">
        <f t="shared" si="64"/>
        <v xml:space="preserve">  </v>
      </c>
      <c r="AC131" s="37" t="str">
        <f t="shared" si="65"/>
        <v xml:space="preserve">  </v>
      </c>
      <c r="AD131" s="36" t="str">
        <f t="shared" si="66"/>
        <v xml:space="preserve">  </v>
      </c>
      <c r="AE131" s="37" t="str">
        <f t="shared" si="67"/>
        <v xml:space="preserve">  </v>
      </c>
      <c r="AF131" s="38" t="str">
        <f ca="1">_xlfn.IFNA(IF(AG131="",TODAY()+(VLOOKUP(A131,'Date Calcs'!A:G,7,0)*7),VLOOKUP(A131,'Actual Dates'!A:AE,21,FALSE())),"")</f>
        <v/>
      </c>
      <c r="AG131" s="38" t="str">
        <f>IF(VLOOKUP(A131,'Actual Dates'!A:AE,20,0)="","",VLOOKUP(A131,'Actual Dates'!A:AE,20,0))</f>
        <v/>
      </c>
      <c r="AH131" s="38" t="str">
        <f>_xlfn.IFNA(IF($AG131="","",IF(X131="Y","DONE",VLOOKUP(A131,'Ship Date'!A:AE,27,0))),"")</f>
        <v/>
      </c>
      <c r="AI131" s="12">
        <f t="shared" ca="1" si="37"/>
        <v>0</v>
      </c>
      <c r="AJ131" s="38" t="str">
        <f>_xlfn.IFNA(IF($AG131="","",IF(AB131="Y","DONE",VLOOKUP(A131,'Ship Date'!A:AG,29,0))),"")</f>
        <v/>
      </c>
      <c r="AK131" s="12">
        <f t="shared" ca="1" si="38"/>
        <v>0</v>
      </c>
      <c r="AL131" s="38" t="str">
        <f>_xlfn.IFNA(IF($AG131="","",IF(Z131="Y","DONE",VLOOKUP(A131,'Ship Date'!A:AI,28,0))),"")</f>
        <v/>
      </c>
      <c r="AM131" s="12">
        <f t="shared" ca="1" si="39"/>
        <v>0</v>
      </c>
      <c r="AN131" s="38" t="str">
        <f>_xlfn.IFNA(IF(T131="Y","DONE",VLOOKUP(A131,'Ship Date'!A:AE,25,0)),"")</f>
        <v/>
      </c>
      <c r="AO131" s="12">
        <f t="shared" si="40"/>
        <v>0</v>
      </c>
      <c r="AP131" s="38" t="str">
        <f>_xlfn.IFNA(IF(AD131="Y","DONE",VLOOKUP(A131,'Ship Date'!A:AE,30,0)),"")</f>
        <v/>
      </c>
      <c r="AQ131" s="12">
        <f t="shared" ca="1" si="41"/>
        <v>0</v>
      </c>
      <c r="AR131" s="38" t="str">
        <f>IFERROR(_xlfn.IFNA(VLOOKUP(A131,'Ship Date'!A:C,3,0),""),"")</f>
        <v/>
      </c>
      <c r="AS131" s="12" t="str">
        <f t="shared" ca="1" si="42"/>
        <v/>
      </c>
      <c r="AT131" s="38">
        <f>_xlfn.IFNA(IF(VLOOKUP(A131,'Actual Dates'!A:AF,32,0)="N/A"," ",VLOOKUP(A131,'Actual Dates'!A:AF,32,0))," ")</f>
        <v>0</v>
      </c>
      <c r="AU131" s="39"/>
      <c r="AV131" s="38" t="str">
        <f>_xlfn.IFNA(IF(VLOOKUP(A131,'Actual Dates'!A:AE,31,0)="","",VLOOKUP(A131,'Actual Dates'!A:AE,31,0)),"")</f>
        <v/>
      </c>
      <c r="AW131" s="40"/>
    </row>
    <row r="132" spans="1:49" ht="23.25" x14ac:dyDescent="0.25">
      <c r="A132" s="12">
        <f>'Actual Dates'!A131</f>
        <v>0</v>
      </c>
      <c r="B132" s="13" t="str">
        <f t="shared" si="34"/>
        <v/>
      </c>
      <c r="C132" s="35"/>
      <c r="D132" s="36" t="str">
        <f t="shared" si="43"/>
        <v/>
      </c>
      <c r="E132" s="37" t="str">
        <f t="shared" si="44"/>
        <v xml:space="preserve">  </v>
      </c>
      <c r="F132" s="36" t="str">
        <f t="shared" si="45"/>
        <v xml:space="preserve">  </v>
      </c>
      <c r="G132" s="37" t="str">
        <f t="shared" si="46"/>
        <v xml:space="preserve">  </v>
      </c>
      <c r="H132" s="36" t="str">
        <f t="shared" si="35"/>
        <v xml:space="preserve">  </v>
      </c>
      <c r="I132" s="37" t="str">
        <f t="shared" si="47"/>
        <v xml:space="preserve">  </v>
      </c>
      <c r="J132" s="35"/>
      <c r="K132" s="36" t="str">
        <f t="shared" si="48"/>
        <v>Y</v>
      </c>
      <c r="L132" s="37" t="str">
        <f t="shared" si="49"/>
        <v/>
      </c>
      <c r="M132" s="37" t="str">
        <f t="shared" si="36"/>
        <v xml:space="preserve">  </v>
      </c>
      <c r="N132" s="36" t="str">
        <f t="shared" si="50"/>
        <v xml:space="preserve">  </v>
      </c>
      <c r="O132" s="37" t="str">
        <f t="shared" si="51"/>
        <v/>
      </c>
      <c r="P132" s="36" t="str">
        <f t="shared" si="52"/>
        <v xml:space="preserve">  </v>
      </c>
      <c r="Q132" s="37" t="str">
        <f t="shared" si="53"/>
        <v xml:space="preserve">  </v>
      </c>
      <c r="R132" s="36" t="str">
        <f t="shared" si="54"/>
        <v xml:space="preserve">  </v>
      </c>
      <c r="S132" s="37" t="str">
        <f t="shared" si="55"/>
        <v xml:space="preserve">  </v>
      </c>
      <c r="T132" s="36" t="str">
        <f t="shared" si="56"/>
        <v xml:space="preserve">  </v>
      </c>
      <c r="U132" s="37" t="str">
        <f t="shared" si="57"/>
        <v xml:space="preserve">  </v>
      </c>
      <c r="V132" s="36" t="str">
        <f t="shared" si="58"/>
        <v xml:space="preserve">  </v>
      </c>
      <c r="W132" s="37" t="str">
        <f t="shared" si="59"/>
        <v xml:space="preserve">  </v>
      </c>
      <c r="X132" s="36" t="str">
        <f t="shared" si="60"/>
        <v xml:space="preserve">  </v>
      </c>
      <c r="Y132" s="37" t="str">
        <f t="shared" si="61"/>
        <v xml:space="preserve">  </v>
      </c>
      <c r="Z132" s="36" t="str">
        <f t="shared" si="62"/>
        <v xml:space="preserve">  </v>
      </c>
      <c r="AA132" s="37" t="str">
        <f t="shared" si="63"/>
        <v xml:space="preserve">  </v>
      </c>
      <c r="AB132" s="36" t="str">
        <f t="shared" si="64"/>
        <v xml:space="preserve">  </v>
      </c>
      <c r="AC132" s="37" t="str">
        <f t="shared" si="65"/>
        <v xml:space="preserve">  </v>
      </c>
      <c r="AD132" s="36" t="str">
        <f t="shared" si="66"/>
        <v xml:space="preserve">  </v>
      </c>
      <c r="AE132" s="37" t="str">
        <f t="shared" si="67"/>
        <v xml:space="preserve">  </v>
      </c>
      <c r="AF132" s="38" t="str">
        <f ca="1">_xlfn.IFNA(IF(AG132="",TODAY()+(VLOOKUP(A132,'Date Calcs'!A:G,7,0)*7),VLOOKUP(A132,'Actual Dates'!A:AE,21,FALSE())),"")</f>
        <v/>
      </c>
      <c r="AG132" s="38" t="str">
        <f>IF(VLOOKUP(A132,'Actual Dates'!A:AE,20,0)="","",VLOOKUP(A132,'Actual Dates'!A:AE,20,0))</f>
        <v/>
      </c>
      <c r="AH132" s="38" t="str">
        <f>_xlfn.IFNA(IF($AG132="","",IF(X132="Y","DONE",VLOOKUP(A132,'Ship Date'!A:AE,27,0))),"")</f>
        <v/>
      </c>
      <c r="AI132" s="12">
        <f t="shared" ca="1" si="37"/>
        <v>0</v>
      </c>
      <c r="AJ132" s="38" t="str">
        <f>_xlfn.IFNA(IF($AG132="","",IF(AB132="Y","DONE",VLOOKUP(A132,'Ship Date'!A:AG,29,0))),"")</f>
        <v/>
      </c>
      <c r="AK132" s="12">
        <f t="shared" ca="1" si="38"/>
        <v>0</v>
      </c>
      <c r="AL132" s="38" t="str">
        <f>_xlfn.IFNA(IF($AG132="","",IF(Z132="Y","DONE",VLOOKUP(A132,'Ship Date'!A:AI,28,0))),"")</f>
        <v/>
      </c>
      <c r="AM132" s="12">
        <f t="shared" ca="1" si="39"/>
        <v>0</v>
      </c>
      <c r="AN132" s="38" t="str">
        <f>_xlfn.IFNA(IF(T132="Y","DONE",VLOOKUP(A132,'Ship Date'!A:AE,25,0)),"")</f>
        <v/>
      </c>
      <c r="AO132" s="12">
        <f t="shared" si="40"/>
        <v>0</v>
      </c>
      <c r="AP132" s="38" t="str">
        <f>_xlfn.IFNA(IF(AD132="Y","DONE",VLOOKUP(A132,'Ship Date'!A:AE,30,0)),"")</f>
        <v/>
      </c>
      <c r="AQ132" s="12">
        <f t="shared" ca="1" si="41"/>
        <v>0</v>
      </c>
      <c r="AR132" s="38" t="str">
        <f>IFERROR(_xlfn.IFNA(VLOOKUP(A132,'Ship Date'!A:C,3,0),""),"")</f>
        <v/>
      </c>
      <c r="AS132" s="12" t="str">
        <f t="shared" ca="1" si="42"/>
        <v/>
      </c>
      <c r="AT132" s="38">
        <f>_xlfn.IFNA(IF(VLOOKUP(A132,'Actual Dates'!A:AF,32,0)="N/A"," ",VLOOKUP(A132,'Actual Dates'!A:AF,32,0))," ")</f>
        <v>0</v>
      </c>
      <c r="AU132" s="39"/>
      <c r="AV132" s="38" t="str">
        <f>_xlfn.IFNA(IF(VLOOKUP(A132,'Actual Dates'!A:AE,31,0)="","",VLOOKUP(A132,'Actual Dates'!A:AE,31,0)),"")</f>
        <v/>
      </c>
      <c r="AW132" s="40"/>
    </row>
    <row r="133" spans="1:49" ht="23.25" x14ac:dyDescent="0.25">
      <c r="A133" s="12">
        <f>'Actual Dates'!A132</f>
        <v>0</v>
      </c>
      <c r="B133" s="13" t="str">
        <f t="shared" ref="B133:B196" si="68">_xlfn.IFNA(VLOOKUP(A133,Jobs,2,),"")</f>
        <v/>
      </c>
      <c r="C133" s="35"/>
      <c r="D133" s="36" t="str">
        <f t="shared" si="43"/>
        <v/>
      </c>
      <c r="E133" s="37" t="str">
        <f t="shared" si="44"/>
        <v xml:space="preserve">  </v>
      </c>
      <c r="F133" s="36" t="str">
        <f t="shared" si="45"/>
        <v xml:space="preserve">  </v>
      </c>
      <c r="G133" s="37" t="str">
        <f t="shared" si="46"/>
        <v xml:space="preserve">  </v>
      </c>
      <c r="H133" s="36" t="str">
        <f t="shared" ref="H133:H196" si="69">_xlfn.IFNA(IF(VLOOKUP($A139,Dates,17,)&gt;0,"Y","  "),"")</f>
        <v xml:space="preserve">  </v>
      </c>
      <c r="I133" s="37" t="str">
        <f t="shared" si="47"/>
        <v xml:space="preserve">  </v>
      </c>
      <c r="J133" s="35"/>
      <c r="K133" s="36" t="str">
        <f t="shared" si="48"/>
        <v>Y</v>
      </c>
      <c r="L133" s="37" t="str">
        <f t="shared" si="49"/>
        <v/>
      </c>
      <c r="M133" s="37" t="str">
        <f t="shared" ref="M133:M196" si="70">IF(VLOOKUP($A133,Dates,20,)&gt;0,VLOOKUP($A133,Dates,20,)-VLOOKUP($A133,Jobs,20,),"  ")</f>
        <v xml:space="preserve">  </v>
      </c>
      <c r="N133" s="36" t="str">
        <f t="shared" si="50"/>
        <v xml:space="preserve">  </v>
      </c>
      <c r="O133" s="37" t="str">
        <f t="shared" si="51"/>
        <v/>
      </c>
      <c r="P133" s="36" t="str">
        <f t="shared" si="52"/>
        <v xml:space="preserve">  </v>
      </c>
      <c r="Q133" s="37" t="str">
        <f t="shared" si="53"/>
        <v xml:space="preserve">  </v>
      </c>
      <c r="R133" s="36" t="str">
        <f t="shared" si="54"/>
        <v xml:space="preserve">  </v>
      </c>
      <c r="S133" s="37" t="str">
        <f t="shared" si="55"/>
        <v xml:space="preserve">  </v>
      </c>
      <c r="T133" s="36" t="str">
        <f t="shared" si="56"/>
        <v xml:space="preserve">  </v>
      </c>
      <c r="U133" s="37" t="str">
        <f t="shared" si="57"/>
        <v xml:space="preserve">  </v>
      </c>
      <c r="V133" s="36" t="str">
        <f t="shared" si="58"/>
        <v xml:space="preserve">  </v>
      </c>
      <c r="W133" s="37" t="str">
        <f t="shared" si="59"/>
        <v xml:space="preserve">  </v>
      </c>
      <c r="X133" s="36" t="str">
        <f t="shared" si="60"/>
        <v xml:space="preserve">  </v>
      </c>
      <c r="Y133" s="37" t="str">
        <f t="shared" si="61"/>
        <v xml:space="preserve">  </v>
      </c>
      <c r="Z133" s="36" t="str">
        <f t="shared" si="62"/>
        <v xml:space="preserve">  </v>
      </c>
      <c r="AA133" s="37" t="str">
        <f t="shared" si="63"/>
        <v xml:space="preserve">  </v>
      </c>
      <c r="AB133" s="36" t="str">
        <f t="shared" si="64"/>
        <v xml:space="preserve">  </v>
      </c>
      <c r="AC133" s="37" t="str">
        <f t="shared" si="65"/>
        <v xml:space="preserve">  </v>
      </c>
      <c r="AD133" s="36" t="str">
        <f t="shared" si="66"/>
        <v xml:space="preserve">  </v>
      </c>
      <c r="AE133" s="37" t="str">
        <f t="shared" si="67"/>
        <v xml:space="preserve">  </v>
      </c>
      <c r="AF133" s="38" t="str">
        <f ca="1">_xlfn.IFNA(IF(AG133="",TODAY()+(VLOOKUP(A133,'Date Calcs'!A:G,7,0)*7),VLOOKUP(A133,'Actual Dates'!A:AE,21,FALSE())),"")</f>
        <v/>
      </c>
      <c r="AG133" s="38" t="str">
        <f>IF(VLOOKUP(A133,'Actual Dates'!A:AE,20,0)="","",VLOOKUP(A133,'Actual Dates'!A:AE,20,0))</f>
        <v/>
      </c>
      <c r="AH133" s="38" t="str">
        <f>_xlfn.IFNA(IF($AG133="","",IF(X133="Y","DONE",VLOOKUP(A133,'Ship Date'!A:AE,27,0))),"")</f>
        <v/>
      </c>
      <c r="AI133" s="12">
        <f t="shared" ref="AI133:AI196" ca="1" si="71">IFERROR(AH133-TODAY(),0)</f>
        <v>0</v>
      </c>
      <c r="AJ133" s="38" t="str">
        <f>_xlfn.IFNA(IF($AG133="","",IF(AB133="Y","DONE",VLOOKUP(A133,'Ship Date'!A:AG,29,0))),"")</f>
        <v/>
      </c>
      <c r="AK133" s="12">
        <f t="shared" ref="AK133:AK196" ca="1" si="72">IFERROR(AJ133-TODAY(),0)</f>
        <v>0</v>
      </c>
      <c r="AL133" s="38" t="str">
        <f>_xlfn.IFNA(IF($AG133="","",IF(Z133="Y","DONE",VLOOKUP(A133,'Ship Date'!A:AI,28,0))),"")</f>
        <v/>
      </c>
      <c r="AM133" s="12">
        <f t="shared" ref="AM133:AM196" ca="1" si="73">IFERROR(AL133-TODAY(),0)</f>
        <v>0</v>
      </c>
      <c r="AN133" s="38" t="str">
        <f>_xlfn.IFNA(IF(T133="Y","DONE",VLOOKUP(A133,'Ship Date'!A:AE,25,0)),"")</f>
        <v/>
      </c>
      <c r="AO133" s="12">
        <f t="shared" ref="AO133:AO196" si="74">IFERROR(AP133-AN133,0)</f>
        <v>0</v>
      </c>
      <c r="AP133" s="38" t="str">
        <f>_xlfn.IFNA(IF(AD133="Y","DONE",VLOOKUP(A133,'Ship Date'!A:AE,30,0)),"")</f>
        <v/>
      </c>
      <c r="AQ133" s="12">
        <f t="shared" ref="AQ133:AQ196" ca="1" si="75">IFERROR(AP133-TODAY(),0)</f>
        <v>0</v>
      </c>
      <c r="AR133" s="38" t="str">
        <f>IFERROR(_xlfn.IFNA(VLOOKUP(A133,'Ship Date'!A:C,3,0),""),"")</f>
        <v/>
      </c>
      <c r="AS133" s="12" t="str">
        <f t="shared" ref="AS133:AS196" ca="1" si="76">IFERROR(AF133-AR133,"")</f>
        <v/>
      </c>
      <c r="AT133" s="38">
        <f>_xlfn.IFNA(IF(VLOOKUP(A133,'Actual Dates'!A:AF,32,0)="N/A"," ",VLOOKUP(A133,'Actual Dates'!A:AF,32,0))," ")</f>
        <v>0</v>
      </c>
      <c r="AU133" s="39"/>
      <c r="AV133" s="38" t="str">
        <f>_xlfn.IFNA(IF(VLOOKUP(A133,'Actual Dates'!A:AE,31,0)="","",VLOOKUP(A133,'Actual Dates'!A:AE,31,0)),"")</f>
        <v/>
      </c>
      <c r="AW133" s="40"/>
    </row>
    <row r="134" spans="1:49" ht="23.25" x14ac:dyDescent="0.25">
      <c r="A134" s="12">
        <f>'Actual Dates'!A133</f>
        <v>0</v>
      </c>
      <c r="B134" s="13" t="str">
        <f t="shared" si="68"/>
        <v/>
      </c>
      <c r="C134" s="35"/>
      <c r="D134" s="36" t="str">
        <f t="shared" ref="D134:D197" si="77">_xlfn.IFNA(IF(VLOOKUP($A134,Jobs,8,)&gt;0,"Y","  "),"")</f>
        <v/>
      </c>
      <c r="E134" s="37" t="str">
        <f t="shared" ref="E134:E197" si="78">IFERROR(IF(VLOOKUP($A134,Dates,8,)&gt;0,VLOOKUP($A134,Dates,8,)-VLOOKUP($A134,Jobs,8,),"  "),"")</f>
        <v xml:space="preserve">  </v>
      </c>
      <c r="F134" s="36" t="str">
        <f t="shared" ref="F134:F197" si="79">_xlfn.IFNA(IF(VLOOKUP($A134,Dates,16,)&gt;0,"Y","  "),"")</f>
        <v xml:space="preserve">  </v>
      </c>
      <c r="G134" s="37" t="str">
        <f t="shared" ref="G134:G197" si="80">IFERROR(IF(VLOOKUP($A134,Dates,16,)&gt;0,VLOOKUP($A134,Dates,16,)-VLOOKUP($A134,Jobs,16,),"  "),"")</f>
        <v xml:space="preserve">  </v>
      </c>
      <c r="H134" s="36" t="str">
        <f t="shared" si="69"/>
        <v xml:space="preserve">  </v>
      </c>
      <c r="I134" s="37" t="str">
        <f t="shared" ref="I134:I197" si="81">IFERROR(IF(VLOOKUP($A140,Dates,17,)&gt;0,VLOOKUP($A140,Dates,17,)-VLOOKUP($A140,Jobs,17,),"  "),"")</f>
        <v xml:space="preserve">  </v>
      </c>
      <c r="J134" s="35"/>
      <c r="K134" s="36" t="str">
        <f t="shared" ref="K134:K197" si="82">_xlfn.IFNA(IF(VLOOKUP($A134,Dates,19,)&gt;0,"Y","  "),"")</f>
        <v>Y</v>
      </c>
      <c r="L134" s="37" t="str">
        <f t="shared" ref="L134:L197" si="83">IFERROR(IF(VLOOKUP($A134,Dates,19,)&gt;0,VLOOKUP($A134,Dates,19,)-VLOOKUP($A134,Jobs,19,),"  "),"")</f>
        <v/>
      </c>
      <c r="M134" s="37" t="str">
        <f t="shared" si="70"/>
        <v xml:space="preserve">  </v>
      </c>
      <c r="N134" s="36" t="str">
        <f t="shared" ref="N134:N197" si="84">_xlfn.IFNA(IF(VLOOKUP($A134,Dates,20,)&gt;0,"Y","  "),"")</f>
        <v xml:space="preserve">  </v>
      </c>
      <c r="O134" s="37" t="str">
        <f t="shared" ref="O134:O197" si="85">IFERROR(IF(VLOOKUP($A134,Dates,21,)&gt;0,VLOOKUP($A134,Dates,21,)-VLOOKUP($A134,Jobs,21,),"  "),"")</f>
        <v/>
      </c>
      <c r="P134" s="36" t="str">
        <f t="shared" ref="P134:P197" si="86">_xlfn.IFNA(IF(VLOOKUP($A134,Dates,22,)&gt;0,"Y","  "),"")</f>
        <v xml:space="preserve">  </v>
      </c>
      <c r="Q134" s="37" t="str">
        <f t="shared" ref="Q134:Q197" si="87">IFERROR(IF(VLOOKUP($A134,Dates,23,)&gt;0,VLOOKUP($A134,Dates,23,)-VLOOKUP($A134,Jobs,24,),"  "),"")</f>
        <v xml:space="preserve">  </v>
      </c>
      <c r="R134" s="36" t="str">
        <f t="shared" ref="R134:R197" si="88">_xlfn.IFNA(IF(VLOOKUP($A134,Dates,23,)&gt;0,"Y","  "),"")</f>
        <v xml:space="preserve">  </v>
      </c>
      <c r="S134" s="37" t="str">
        <f t="shared" ref="S134:S197" si="89">IFERROR(IF(VLOOKUP($A134,Dates,24,)&gt;0,VLOOKUP($A134,Dates,24,)-VLOOKUP($A134,Jobs,25,),"  "),"")</f>
        <v xml:space="preserve">  </v>
      </c>
      <c r="T134" s="36" t="str">
        <f t="shared" ref="T134:T197" si="90">_xlfn.IFNA(IF(VLOOKUP($A134,Dates,25,)&gt;0,"Y","  "),"")</f>
        <v xml:space="preserve">  </v>
      </c>
      <c r="U134" s="37" t="str">
        <f t="shared" ref="U134:U197" si="91">IFERROR(IF(VLOOKUP($A134,Dates,26,)&gt;0,VLOOKUP($A134,Dates,26,)-VLOOKUP($A134,Jobs,26,),"  "),"")</f>
        <v xml:space="preserve">  </v>
      </c>
      <c r="V134" s="36" t="str">
        <f t="shared" ref="V134:V197" si="92">_xlfn.IFNA(IF(VLOOKUP($A134,Dates,26,)&gt;0,"Y","  "),"")</f>
        <v xml:space="preserve">  </v>
      </c>
      <c r="W134" s="37" t="str">
        <f t="shared" ref="W134:W197" si="93">IFERROR(IF(VLOOKUP($A134,Dates,27,)&gt;0,VLOOKUP($A134,Dates,27,)-VLOOKUP($A134,Jobs,27,),"  "),"")</f>
        <v xml:space="preserve">  </v>
      </c>
      <c r="X134" s="36" t="str">
        <f t="shared" ref="X134:X197" si="94">_xlfn.IFNA(IF(VLOOKUP($A134,Dates,27,)&gt;0,"Y","  "),"")</f>
        <v xml:space="preserve">  </v>
      </c>
      <c r="Y134" s="37" t="str">
        <f t="shared" ref="Y134:Y197" si="95">IFERROR(IF(VLOOKUP($A134,Dates,28,)&gt;0,VLOOKUP($A134,Dates,28,)-VLOOKUP($A134,Jobs,28,),"  "),"")</f>
        <v xml:space="preserve">  </v>
      </c>
      <c r="Z134" s="36" t="str">
        <f t="shared" ref="Z134:Z197" si="96">_xlfn.IFNA(IF(VLOOKUP($A134,Dates,28,)&gt;0,"Y","  "),"")</f>
        <v xml:space="preserve">  </v>
      </c>
      <c r="AA134" s="37" t="str">
        <f t="shared" ref="AA134:AA197" si="97">IFERROR(IF(VLOOKUP($A134,Dates,29,)&gt;0,VLOOKUP($A134,Dates,29,)-VLOOKUP($A134,Jobs,29,),"  "),"")</f>
        <v xml:space="preserve">  </v>
      </c>
      <c r="AB134" s="36" t="str">
        <f t="shared" ref="AB134:AB197" si="98">_xlfn.IFNA(IF(VLOOKUP($A134,Dates,29,)&gt;0,"Y","  "),"")</f>
        <v xml:space="preserve">  </v>
      </c>
      <c r="AC134" s="37" t="str">
        <f t="shared" ref="AC134:AC197" si="99">IFERROR(IF(VLOOKUP($A134,Dates,30,)&gt;0,VLOOKUP($A134,Dates,30,)-VLOOKUP($A134,Jobs,30,),"  "),"")</f>
        <v xml:space="preserve">  </v>
      </c>
      <c r="AD134" s="36" t="str">
        <f t="shared" ref="AD134:AD197" si="100">_xlfn.IFNA(IF(VLOOKUP($A134,Dates,30,)&gt;0,"Y","  "),"")</f>
        <v xml:space="preserve">  </v>
      </c>
      <c r="AE134" s="37" t="str">
        <f t="shared" ref="AE134:AE197" si="101">IFERROR(IF(VLOOKUP($A134,Dates,31,)&gt;0,VLOOKUP($A134,Dates,31,)-VLOOKUP($A134,Jobs,31,),"  "),"")</f>
        <v xml:space="preserve">  </v>
      </c>
      <c r="AF134" s="38" t="str">
        <f ca="1">_xlfn.IFNA(IF(AG134="",TODAY()+(VLOOKUP(A134,'Date Calcs'!A:G,7,0)*7),VLOOKUP(A134,'Actual Dates'!A:AE,21,FALSE())),"")</f>
        <v/>
      </c>
      <c r="AG134" s="38" t="str">
        <f>IF(VLOOKUP(A134,'Actual Dates'!A:AE,20,0)="","",VLOOKUP(A134,'Actual Dates'!A:AE,20,0))</f>
        <v/>
      </c>
      <c r="AH134" s="38" t="str">
        <f>_xlfn.IFNA(IF($AG134="","",IF(X134="Y","DONE",VLOOKUP(A134,'Ship Date'!A:AE,27,0))),"")</f>
        <v/>
      </c>
      <c r="AI134" s="12">
        <f t="shared" ca="1" si="71"/>
        <v>0</v>
      </c>
      <c r="AJ134" s="38" t="str">
        <f>_xlfn.IFNA(IF($AG134="","",IF(AB134="Y","DONE",VLOOKUP(A134,'Ship Date'!A:AG,29,0))),"")</f>
        <v/>
      </c>
      <c r="AK134" s="12">
        <f t="shared" ca="1" si="72"/>
        <v>0</v>
      </c>
      <c r="AL134" s="38" t="str">
        <f>_xlfn.IFNA(IF($AG134="","",IF(Z134="Y","DONE",VLOOKUP(A134,'Ship Date'!A:AI,28,0))),"")</f>
        <v/>
      </c>
      <c r="AM134" s="12">
        <f t="shared" ca="1" si="73"/>
        <v>0</v>
      </c>
      <c r="AN134" s="38" t="str">
        <f>_xlfn.IFNA(IF(T134="Y","DONE",VLOOKUP(A134,'Ship Date'!A:AE,25,0)),"")</f>
        <v/>
      </c>
      <c r="AO134" s="12">
        <f t="shared" si="74"/>
        <v>0</v>
      </c>
      <c r="AP134" s="38" t="str">
        <f>_xlfn.IFNA(IF(AD134="Y","DONE",VLOOKUP(A134,'Ship Date'!A:AE,30,0)),"")</f>
        <v/>
      </c>
      <c r="AQ134" s="12">
        <f t="shared" ca="1" si="75"/>
        <v>0</v>
      </c>
      <c r="AR134" s="38" t="str">
        <f>IFERROR(_xlfn.IFNA(VLOOKUP(A134,'Ship Date'!A:C,3,0),""),"")</f>
        <v/>
      </c>
      <c r="AS134" s="12" t="str">
        <f t="shared" ca="1" si="76"/>
        <v/>
      </c>
      <c r="AT134" s="38">
        <f>_xlfn.IFNA(IF(VLOOKUP(A134,'Actual Dates'!A:AF,32,0)="N/A"," ",VLOOKUP(A134,'Actual Dates'!A:AF,32,0))," ")</f>
        <v>0</v>
      </c>
      <c r="AU134" s="39"/>
      <c r="AV134" s="38" t="str">
        <f>_xlfn.IFNA(IF(VLOOKUP(A134,'Actual Dates'!A:AE,31,0)="","",VLOOKUP(A134,'Actual Dates'!A:AE,31,0)),"")</f>
        <v/>
      </c>
      <c r="AW134" s="40"/>
    </row>
    <row r="135" spans="1:49" ht="23.25" x14ac:dyDescent="0.25">
      <c r="A135" s="12">
        <f>'Actual Dates'!A134</f>
        <v>0</v>
      </c>
      <c r="B135" s="13" t="str">
        <f t="shared" si="68"/>
        <v/>
      </c>
      <c r="C135" s="35"/>
      <c r="D135" s="36" t="str">
        <f t="shared" si="77"/>
        <v/>
      </c>
      <c r="E135" s="37" t="str">
        <f t="shared" si="78"/>
        <v xml:space="preserve">  </v>
      </c>
      <c r="F135" s="36" t="str">
        <f t="shared" si="79"/>
        <v xml:space="preserve">  </v>
      </c>
      <c r="G135" s="37" t="str">
        <f t="shared" si="80"/>
        <v xml:space="preserve">  </v>
      </c>
      <c r="H135" s="36" t="str">
        <f t="shared" si="69"/>
        <v xml:space="preserve">  </v>
      </c>
      <c r="I135" s="37" t="str">
        <f t="shared" si="81"/>
        <v xml:space="preserve">  </v>
      </c>
      <c r="J135" s="35"/>
      <c r="K135" s="36" t="str">
        <f t="shared" si="82"/>
        <v>Y</v>
      </c>
      <c r="L135" s="37" t="str">
        <f t="shared" si="83"/>
        <v/>
      </c>
      <c r="M135" s="37" t="str">
        <f t="shared" si="70"/>
        <v xml:space="preserve">  </v>
      </c>
      <c r="N135" s="36" t="str">
        <f t="shared" si="84"/>
        <v xml:space="preserve">  </v>
      </c>
      <c r="O135" s="37" t="str">
        <f t="shared" si="85"/>
        <v/>
      </c>
      <c r="P135" s="36" t="str">
        <f t="shared" si="86"/>
        <v xml:space="preserve">  </v>
      </c>
      <c r="Q135" s="37" t="str">
        <f t="shared" si="87"/>
        <v xml:space="preserve">  </v>
      </c>
      <c r="R135" s="36" t="str">
        <f t="shared" si="88"/>
        <v xml:space="preserve">  </v>
      </c>
      <c r="S135" s="37" t="str">
        <f t="shared" si="89"/>
        <v xml:space="preserve">  </v>
      </c>
      <c r="T135" s="36" t="str">
        <f t="shared" si="90"/>
        <v xml:space="preserve">  </v>
      </c>
      <c r="U135" s="37" t="str">
        <f t="shared" si="91"/>
        <v xml:space="preserve">  </v>
      </c>
      <c r="V135" s="36" t="str">
        <f t="shared" si="92"/>
        <v xml:space="preserve">  </v>
      </c>
      <c r="W135" s="37" t="str">
        <f t="shared" si="93"/>
        <v xml:space="preserve">  </v>
      </c>
      <c r="X135" s="36" t="str">
        <f t="shared" si="94"/>
        <v xml:space="preserve">  </v>
      </c>
      <c r="Y135" s="37" t="str">
        <f t="shared" si="95"/>
        <v xml:space="preserve">  </v>
      </c>
      <c r="Z135" s="36" t="str">
        <f t="shared" si="96"/>
        <v xml:space="preserve">  </v>
      </c>
      <c r="AA135" s="37" t="str">
        <f t="shared" si="97"/>
        <v xml:space="preserve">  </v>
      </c>
      <c r="AB135" s="36" t="str">
        <f t="shared" si="98"/>
        <v xml:space="preserve">  </v>
      </c>
      <c r="AC135" s="37" t="str">
        <f t="shared" si="99"/>
        <v xml:space="preserve">  </v>
      </c>
      <c r="AD135" s="36" t="str">
        <f t="shared" si="100"/>
        <v xml:space="preserve">  </v>
      </c>
      <c r="AE135" s="37" t="str">
        <f t="shared" si="101"/>
        <v xml:space="preserve">  </v>
      </c>
      <c r="AF135" s="38" t="str">
        <f ca="1">_xlfn.IFNA(IF(AG135="",TODAY()+(VLOOKUP(A135,'Date Calcs'!A:G,7,0)*7),VLOOKUP(A135,'Actual Dates'!A:AE,21,FALSE())),"")</f>
        <v/>
      </c>
      <c r="AG135" s="38" t="str">
        <f>IF(VLOOKUP(A135,'Actual Dates'!A:AE,20,0)="","",VLOOKUP(A135,'Actual Dates'!A:AE,20,0))</f>
        <v/>
      </c>
      <c r="AH135" s="38" t="str">
        <f>_xlfn.IFNA(IF($AG135="","",IF(X135="Y","DONE",VLOOKUP(A135,'Ship Date'!A:AE,27,0))),"")</f>
        <v/>
      </c>
      <c r="AI135" s="12">
        <f t="shared" ca="1" si="71"/>
        <v>0</v>
      </c>
      <c r="AJ135" s="38" t="str">
        <f>_xlfn.IFNA(IF($AG135="","",IF(AB135="Y","DONE",VLOOKUP(A135,'Ship Date'!A:AG,29,0))),"")</f>
        <v/>
      </c>
      <c r="AK135" s="12">
        <f t="shared" ca="1" si="72"/>
        <v>0</v>
      </c>
      <c r="AL135" s="38" t="str">
        <f>_xlfn.IFNA(IF($AG135="","",IF(Z135="Y","DONE",VLOOKUP(A135,'Ship Date'!A:AI,28,0))),"")</f>
        <v/>
      </c>
      <c r="AM135" s="12">
        <f t="shared" ca="1" si="73"/>
        <v>0</v>
      </c>
      <c r="AN135" s="38" t="str">
        <f>_xlfn.IFNA(IF(T135="Y","DONE",VLOOKUP(A135,'Ship Date'!A:AE,25,0)),"")</f>
        <v/>
      </c>
      <c r="AO135" s="12">
        <f t="shared" si="74"/>
        <v>0</v>
      </c>
      <c r="AP135" s="38" t="str">
        <f>_xlfn.IFNA(IF(AD135="Y","DONE",VLOOKUP(A135,'Ship Date'!A:AE,30,0)),"")</f>
        <v/>
      </c>
      <c r="AQ135" s="12">
        <f t="shared" ca="1" si="75"/>
        <v>0</v>
      </c>
      <c r="AR135" s="38" t="str">
        <f>IFERROR(_xlfn.IFNA(VLOOKUP(A135,'Ship Date'!A:C,3,0),""),"")</f>
        <v/>
      </c>
      <c r="AS135" s="12" t="str">
        <f t="shared" ca="1" si="76"/>
        <v/>
      </c>
      <c r="AT135" s="38">
        <f>_xlfn.IFNA(IF(VLOOKUP(A135,'Actual Dates'!A:AF,32,0)="N/A"," ",VLOOKUP(A135,'Actual Dates'!A:AF,32,0))," ")</f>
        <v>0</v>
      </c>
      <c r="AU135" s="39"/>
      <c r="AV135" s="38" t="str">
        <f>_xlfn.IFNA(IF(VLOOKUP(A135,'Actual Dates'!A:AE,31,0)="","",VLOOKUP(A135,'Actual Dates'!A:AE,31,0)),"")</f>
        <v/>
      </c>
      <c r="AW135" s="40"/>
    </row>
    <row r="136" spans="1:49" ht="23.25" x14ac:dyDescent="0.25">
      <c r="A136" s="12">
        <f>'Actual Dates'!A135</f>
        <v>0</v>
      </c>
      <c r="B136" s="13" t="str">
        <f t="shared" si="68"/>
        <v/>
      </c>
      <c r="C136" s="35"/>
      <c r="D136" s="36" t="str">
        <f t="shared" si="77"/>
        <v/>
      </c>
      <c r="E136" s="37" t="str">
        <f t="shared" si="78"/>
        <v xml:space="preserve">  </v>
      </c>
      <c r="F136" s="36" t="str">
        <f t="shared" si="79"/>
        <v xml:space="preserve">  </v>
      </c>
      <c r="G136" s="37" t="str">
        <f t="shared" si="80"/>
        <v xml:space="preserve">  </v>
      </c>
      <c r="H136" s="36" t="str">
        <f t="shared" si="69"/>
        <v xml:space="preserve">  </v>
      </c>
      <c r="I136" s="37" t="str">
        <f t="shared" si="81"/>
        <v xml:space="preserve">  </v>
      </c>
      <c r="J136" s="35"/>
      <c r="K136" s="36" t="str">
        <f t="shared" si="82"/>
        <v>Y</v>
      </c>
      <c r="L136" s="37" t="str">
        <f t="shared" si="83"/>
        <v/>
      </c>
      <c r="M136" s="37" t="str">
        <f t="shared" si="70"/>
        <v xml:space="preserve">  </v>
      </c>
      <c r="N136" s="36" t="str">
        <f t="shared" si="84"/>
        <v xml:space="preserve">  </v>
      </c>
      <c r="O136" s="37" t="str">
        <f t="shared" si="85"/>
        <v/>
      </c>
      <c r="P136" s="36" t="str">
        <f t="shared" si="86"/>
        <v xml:space="preserve">  </v>
      </c>
      <c r="Q136" s="37" t="str">
        <f t="shared" si="87"/>
        <v xml:space="preserve">  </v>
      </c>
      <c r="R136" s="36" t="str">
        <f t="shared" si="88"/>
        <v xml:space="preserve">  </v>
      </c>
      <c r="S136" s="37" t="str">
        <f t="shared" si="89"/>
        <v xml:space="preserve">  </v>
      </c>
      <c r="T136" s="36" t="str">
        <f t="shared" si="90"/>
        <v xml:space="preserve">  </v>
      </c>
      <c r="U136" s="37" t="str">
        <f t="shared" si="91"/>
        <v xml:space="preserve">  </v>
      </c>
      <c r="V136" s="36" t="str">
        <f t="shared" si="92"/>
        <v xml:space="preserve">  </v>
      </c>
      <c r="W136" s="37" t="str">
        <f t="shared" si="93"/>
        <v xml:space="preserve">  </v>
      </c>
      <c r="X136" s="36" t="str">
        <f t="shared" si="94"/>
        <v xml:space="preserve">  </v>
      </c>
      <c r="Y136" s="37" t="str">
        <f t="shared" si="95"/>
        <v xml:space="preserve">  </v>
      </c>
      <c r="Z136" s="36" t="str">
        <f t="shared" si="96"/>
        <v xml:space="preserve">  </v>
      </c>
      <c r="AA136" s="37" t="str">
        <f t="shared" si="97"/>
        <v xml:space="preserve">  </v>
      </c>
      <c r="AB136" s="36" t="str">
        <f t="shared" si="98"/>
        <v xml:space="preserve">  </v>
      </c>
      <c r="AC136" s="37" t="str">
        <f t="shared" si="99"/>
        <v xml:space="preserve">  </v>
      </c>
      <c r="AD136" s="36" t="str">
        <f t="shared" si="100"/>
        <v xml:space="preserve">  </v>
      </c>
      <c r="AE136" s="37" t="str">
        <f t="shared" si="101"/>
        <v xml:space="preserve">  </v>
      </c>
      <c r="AF136" s="38" t="str">
        <f ca="1">_xlfn.IFNA(IF(AG136="",TODAY()+(VLOOKUP(A136,'Date Calcs'!A:G,7,0)*7),VLOOKUP(A136,'Actual Dates'!A:AE,21,FALSE())),"")</f>
        <v/>
      </c>
      <c r="AG136" s="38" t="str">
        <f>IF(VLOOKUP(A136,'Actual Dates'!A:AE,20,0)="","",VLOOKUP(A136,'Actual Dates'!A:AE,20,0))</f>
        <v/>
      </c>
      <c r="AH136" s="38" t="str">
        <f>_xlfn.IFNA(IF($AG136="","",IF(X136="Y","DONE",VLOOKUP(A136,'Ship Date'!A:AE,27,0))),"")</f>
        <v/>
      </c>
      <c r="AI136" s="12">
        <f t="shared" ca="1" si="71"/>
        <v>0</v>
      </c>
      <c r="AJ136" s="38" t="str">
        <f>_xlfn.IFNA(IF($AG136="","",IF(AB136="Y","DONE",VLOOKUP(A136,'Ship Date'!A:AG,29,0))),"")</f>
        <v/>
      </c>
      <c r="AK136" s="12">
        <f t="shared" ca="1" si="72"/>
        <v>0</v>
      </c>
      <c r="AL136" s="38" t="str">
        <f>_xlfn.IFNA(IF($AG136="","",IF(Z136="Y","DONE",VLOOKUP(A136,'Ship Date'!A:AI,28,0))),"")</f>
        <v/>
      </c>
      <c r="AM136" s="12">
        <f t="shared" ca="1" si="73"/>
        <v>0</v>
      </c>
      <c r="AN136" s="38" t="str">
        <f>_xlfn.IFNA(IF(T136="Y","DONE",VLOOKUP(A136,'Ship Date'!A:AE,25,0)),"")</f>
        <v/>
      </c>
      <c r="AO136" s="12">
        <f t="shared" si="74"/>
        <v>0</v>
      </c>
      <c r="AP136" s="38" t="str">
        <f>_xlfn.IFNA(IF(AD136="Y","DONE",VLOOKUP(A136,'Ship Date'!A:AE,30,0)),"")</f>
        <v/>
      </c>
      <c r="AQ136" s="12">
        <f t="shared" ca="1" si="75"/>
        <v>0</v>
      </c>
      <c r="AR136" s="38" t="str">
        <f>IFERROR(_xlfn.IFNA(VLOOKUP(A136,'Ship Date'!A:C,3,0),""),"")</f>
        <v/>
      </c>
      <c r="AS136" s="12" t="str">
        <f t="shared" ca="1" si="76"/>
        <v/>
      </c>
      <c r="AT136" s="38">
        <f>_xlfn.IFNA(IF(VLOOKUP(A136,'Actual Dates'!A:AF,32,0)="N/A"," ",VLOOKUP(A136,'Actual Dates'!A:AF,32,0))," ")</f>
        <v>0</v>
      </c>
      <c r="AU136" s="39"/>
      <c r="AV136" s="38" t="str">
        <f>_xlfn.IFNA(IF(VLOOKUP(A136,'Actual Dates'!A:AE,31,0)="","",VLOOKUP(A136,'Actual Dates'!A:AE,31,0)),"")</f>
        <v/>
      </c>
      <c r="AW136" s="40"/>
    </row>
    <row r="137" spans="1:49" ht="23.25" x14ac:dyDescent="0.25">
      <c r="A137" s="12">
        <f>'Actual Dates'!A136</f>
        <v>0</v>
      </c>
      <c r="B137" s="13" t="str">
        <f t="shared" si="68"/>
        <v/>
      </c>
      <c r="C137" s="35"/>
      <c r="D137" s="36" t="str">
        <f t="shared" si="77"/>
        <v/>
      </c>
      <c r="E137" s="37" t="str">
        <f t="shared" si="78"/>
        <v xml:space="preserve">  </v>
      </c>
      <c r="F137" s="36" t="str">
        <f t="shared" si="79"/>
        <v xml:space="preserve">  </v>
      </c>
      <c r="G137" s="37" t="str">
        <f t="shared" si="80"/>
        <v xml:space="preserve">  </v>
      </c>
      <c r="H137" s="36" t="str">
        <f t="shared" si="69"/>
        <v xml:space="preserve">  </v>
      </c>
      <c r="I137" s="37" t="str">
        <f t="shared" si="81"/>
        <v xml:space="preserve">  </v>
      </c>
      <c r="J137" s="35"/>
      <c r="K137" s="36" t="str">
        <f t="shared" si="82"/>
        <v>Y</v>
      </c>
      <c r="L137" s="37" t="str">
        <f t="shared" si="83"/>
        <v/>
      </c>
      <c r="M137" s="37" t="str">
        <f t="shared" si="70"/>
        <v xml:space="preserve">  </v>
      </c>
      <c r="N137" s="36" t="str">
        <f t="shared" si="84"/>
        <v xml:space="preserve">  </v>
      </c>
      <c r="O137" s="37" t="str">
        <f t="shared" si="85"/>
        <v/>
      </c>
      <c r="P137" s="36" t="str">
        <f t="shared" si="86"/>
        <v xml:space="preserve">  </v>
      </c>
      <c r="Q137" s="37" t="str">
        <f t="shared" si="87"/>
        <v xml:space="preserve">  </v>
      </c>
      <c r="R137" s="36" t="str">
        <f t="shared" si="88"/>
        <v xml:space="preserve">  </v>
      </c>
      <c r="S137" s="37" t="str">
        <f t="shared" si="89"/>
        <v xml:space="preserve">  </v>
      </c>
      <c r="T137" s="36" t="str">
        <f t="shared" si="90"/>
        <v xml:space="preserve">  </v>
      </c>
      <c r="U137" s="37" t="str">
        <f t="shared" si="91"/>
        <v xml:space="preserve">  </v>
      </c>
      <c r="V137" s="36" t="str">
        <f t="shared" si="92"/>
        <v xml:space="preserve">  </v>
      </c>
      <c r="W137" s="37" t="str">
        <f t="shared" si="93"/>
        <v xml:space="preserve">  </v>
      </c>
      <c r="X137" s="36" t="str">
        <f t="shared" si="94"/>
        <v xml:space="preserve">  </v>
      </c>
      <c r="Y137" s="37" t="str">
        <f t="shared" si="95"/>
        <v xml:space="preserve">  </v>
      </c>
      <c r="Z137" s="36" t="str">
        <f t="shared" si="96"/>
        <v xml:space="preserve">  </v>
      </c>
      <c r="AA137" s="37" t="str">
        <f t="shared" si="97"/>
        <v xml:space="preserve">  </v>
      </c>
      <c r="AB137" s="36" t="str">
        <f t="shared" si="98"/>
        <v xml:space="preserve">  </v>
      </c>
      <c r="AC137" s="37" t="str">
        <f t="shared" si="99"/>
        <v xml:space="preserve">  </v>
      </c>
      <c r="AD137" s="36" t="str">
        <f t="shared" si="100"/>
        <v xml:space="preserve">  </v>
      </c>
      <c r="AE137" s="37" t="str">
        <f t="shared" si="101"/>
        <v xml:space="preserve">  </v>
      </c>
      <c r="AF137" s="38" t="str">
        <f ca="1">_xlfn.IFNA(IF(AG137="",TODAY()+(VLOOKUP(A137,'Date Calcs'!A:G,7,0)*7),VLOOKUP(A137,'Actual Dates'!A:AE,21,FALSE())),"")</f>
        <v/>
      </c>
      <c r="AG137" s="38" t="str">
        <f>IF(VLOOKUP(A137,'Actual Dates'!A:AE,20,0)="","",VLOOKUP(A137,'Actual Dates'!A:AE,20,0))</f>
        <v/>
      </c>
      <c r="AH137" s="38" t="str">
        <f>_xlfn.IFNA(IF($AG137="","",IF(X137="Y","DONE",VLOOKUP(A137,'Ship Date'!A:AE,27,0))),"")</f>
        <v/>
      </c>
      <c r="AI137" s="12">
        <f t="shared" ca="1" si="71"/>
        <v>0</v>
      </c>
      <c r="AJ137" s="38" t="str">
        <f>_xlfn.IFNA(IF($AG137="","",IF(AB137="Y","DONE",VLOOKUP(A137,'Ship Date'!A:AG,29,0))),"")</f>
        <v/>
      </c>
      <c r="AK137" s="12">
        <f t="shared" ca="1" si="72"/>
        <v>0</v>
      </c>
      <c r="AL137" s="38" t="str">
        <f>_xlfn.IFNA(IF($AG137="","",IF(Z137="Y","DONE",VLOOKUP(A137,'Ship Date'!A:AI,28,0))),"")</f>
        <v/>
      </c>
      <c r="AM137" s="12">
        <f t="shared" ca="1" si="73"/>
        <v>0</v>
      </c>
      <c r="AN137" s="38" t="str">
        <f>_xlfn.IFNA(IF(T137="Y","DONE",VLOOKUP(A137,'Ship Date'!A:AE,25,0)),"")</f>
        <v/>
      </c>
      <c r="AO137" s="12">
        <f t="shared" si="74"/>
        <v>0</v>
      </c>
      <c r="AP137" s="38" t="str">
        <f>_xlfn.IFNA(IF(AD137="Y","DONE",VLOOKUP(A137,'Ship Date'!A:AE,30,0)),"")</f>
        <v/>
      </c>
      <c r="AQ137" s="12">
        <f t="shared" ca="1" si="75"/>
        <v>0</v>
      </c>
      <c r="AR137" s="38" t="str">
        <f>IFERROR(_xlfn.IFNA(VLOOKUP(A137,'Ship Date'!A:C,3,0),""),"")</f>
        <v/>
      </c>
      <c r="AS137" s="12" t="str">
        <f t="shared" ca="1" si="76"/>
        <v/>
      </c>
      <c r="AT137" s="38">
        <f>_xlfn.IFNA(IF(VLOOKUP(A137,'Actual Dates'!A:AF,32,0)="N/A"," ",VLOOKUP(A137,'Actual Dates'!A:AF,32,0))," ")</f>
        <v>0</v>
      </c>
      <c r="AU137" s="39"/>
      <c r="AV137" s="38" t="str">
        <f>_xlfn.IFNA(IF(VLOOKUP(A137,'Actual Dates'!A:AE,31,0)="","",VLOOKUP(A137,'Actual Dates'!A:AE,31,0)),"")</f>
        <v/>
      </c>
      <c r="AW137" s="40"/>
    </row>
    <row r="138" spans="1:49" ht="23.25" x14ac:dyDescent="0.25">
      <c r="A138" s="12">
        <f>'Actual Dates'!A137</f>
        <v>0</v>
      </c>
      <c r="B138" s="13" t="str">
        <f t="shared" si="68"/>
        <v/>
      </c>
      <c r="C138" s="35"/>
      <c r="D138" s="36" t="str">
        <f t="shared" si="77"/>
        <v/>
      </c>
      <c r="E138" s="37" t="str">
        <f t="shared" si="78"/>
        <v xml:space="preserve">  </v>
      </c>
      <c r="F138" s="36" t="str">
        <f t="shared" si="79"/>
        <v xml:space="preserve">  </v>
      </c>
      <c r="G138" s="37" t="str">
        <f t="shared" si="80"/>
        <v xml:space="preserve">  </v>
      </c>
      <c r="H138" s="36" t="str">
        <f t="shared" si="69"/>
        <v xml:space="preserve">  </v>
      </c>
      <c r="I138" s="37" t="str">
        <f t="shared" si="81"/>
        <v xml:space="preserve">  </v>
      </c>
      <c r="J138" s="35"/>
      <c r="K138" s="36" t="str">
        <f t="shared" si="82"/>
        <v>Y</v>
      </c>
      <c r="L138" s="37" t="str">
        <f t="shared" si="83"/>
        <v/>
      </c>
      <c r="M138" s="37" t="str">
        <f t="shared" si="70"/>
        <v xml:space="preserve">  </v>
      </c>
      <c r="N138" s="36" t="str">
        <f t="shared" si="84"/>
        <v xml:space="preserve">  </v>
      </c>
      <c r="O138" s="37" t="str">
        <f t="shared" si="85"/>
        <v/>
      </c>
      <c r="P138" s="36" t="str">
        <f t="shared" si="86"/>
        <v xml:space="preserve">  </v>
      </c>
      <c r="Q138" s="37" t="str">
        <f t="shared" si="87"/>
        <v xml:space="preserve">  </v>
      </c>
      <c r="R138" s="36" t="str">
        <f t="shared" si="88"/>
        <v xml:space="preserve">  </v>
      </c>
      <c r="S138" s="37" t="str">
        <f t="shared" si="89"/>
        <v xml:space="preserve">  </v>
      </c>
      <c r="T138" s="36" t="str">
        <f t="shared" si="90"/>
        <v xml:space="preserve">  </v>
      </c>
      <c r="U138" s="37" t="str">
        <f t="shared" si="91"/>
        <v xml:space="preserve">  </v>
      </c>
      <c r="V138" s="36" t="str">
        <f t="shared" si="92"/>
        <v xml:space="preserve">  </v>
      </c>
      <c r="W138" s="37" t="str">
        <f t="shared" si="93"/>
        <v xml:space="preserve">  </v>
      </c>
      <c r="X138" s="36" t="str">
        <f t="shared" si="94"/>
        <v xml:space="preserve">  </v>
      </c>
      <c r="Y138" s="37" t="str">
        <f t="shared" si="95"/>
        <v xml:space="preserve">  </v>
      </c>
      <c r="Z138" s="36" t="str">
        <f t="shared" si="96"/>
        <v xml:space="preserve">  </v>
      </c>
      <c r="AA138" s="37" t="str">
        <f t="shared" si="97"/>
        <v xml:space="preserve">  </v>
      </c>
      <c r="AB138" s="36" t="str">
        <f t="shared" si="98"/>
        <v xml:space="preserve">  </v>
      </c>
      <c r="AC138" s="37" t="str">
        <f t="shared" si="99"/>
        <v xml:space="preserve">  </v>
      </c>
      <c r="AD138" s="36" t="str">
        <f t="shared" si="100"/>
        <v xml:space="preserve">  </v>
      </c>
      <c r="AE138" s="37" t="str">
        <f t="shared" si="101"/>
        <v xml:space="preserve">  </v>
      </c>
      <c r="AF138" s="38" t="str">
        <f ca="1">_xlfn.IFNA(IF(AG138="",TODAY()+(VLOOKUP(A138,'Date Calcs'!A:G,7,0)*7),VLOOKUP(A138,'Actual Dates'!A:AE,21,FALSE())),"")</f>
        <v/>
      </c>
      <c r="AG138" s="38" t="str">
        <f>IF(VLOOKUP(A138,'Actual Dates'!A:AE,20,0)="","",VLOOKUP(A138,'Actual Dates'!A:AE,20,0))</f>
        <v/>
      </c>
      <c r="AH138" s="38" t="str">
        <f>_xlfn.IFNA(IF($AG138="","",IF(X138="Y","DONE",VLOOKUP(A138,'Ship Date'!A:AE,27,0))),"")</f>
        <v/>
      </c>
      <c r="AI138" s="12">
        <f t="shared" ca="1" si="71"/>
        <v>0</v>
      </c>
      <c r="AJ138" s="38" t="str">
        <f>_xlfn.IFNA(IF($AG138="","",IF(AB138="Y","DONE",VLOOKUP(A138,'Ship Date'!A:AG,29,0))),"")</f>
        <v/>
      </c>
      <c r="AK138" s="12">
        <f t="shared" ca="1" si="72"/>
        <v>0</v>
      </c>
      <c r="AL138" s="38" t="str">
        <f>_xlfn.IFNA(IF($AG138="","",IF(Z138="Y","DONE",VLOOKUP(A138,'Ship Date'!A:AI,28,0))),"")</f>
        <v/>
      </c>
      <c r="AM138" s="12">
        <f t="shared" ca="1" si="73"/>
        <v>0</v>
      </c>
      <c r="AN138" s="38" t="str">
        <f>_xlfn.IFNA(IF(T138="Y","DONE",VLOOKUP(A138,'Ship Date'!A:AE,25,0)),"")</f>
        <v/>
      </c>
      <c r="AO138" s="12">
        <f t="shared" si="74"/>
        <v>0</v>
      </c>
      <c r="AP138" s="38" t="str">
        <f>_xlfn.IFNA(IF(AD138="Y","DONE",VLOOKUP(A138,'Ship Date'!A:AE,30,0)),"")</f>
        <v/>
      </c>
      <c r="AQ138" s="12">
        <f t="shared" ca="1" si="75"/>
        <v>0</v>
      </c>
      <c r="AR138" s="38" t="str">
        <f>IFERROR(_xlfn.IFNA(VLOOKUP(A138,'Ship Date'!A:C,3,0),""),"")</f>
        <v/>
      </c>
      <c r="AS138" s="12" t="str">
        <f t="shared" ca="1" si="76"/>
        <v/>
      </c>
      <c r="AT138" s="38">
        <f>_xlfn.IFNA(IF(VLOOKUP(A138,'Actual Dates'!A:AF,32,0)="N/A"," ",VLOOKUP(A138,'Actual Dates'!A:AF,32,0))," ")</f>
        <v>0</v>
      </c>
      <c r="AU138" s="39"/>
      <c r="AV138" s="38" t="str">
        <f>_xlfn.IFNA(IF(VLOOKUP(A138,'Actual Dates'!A:AE,31,0)="","",VLOOKUP(A138,'Actual Dates'!A:AE,31,0)),"")</f>
        <v/>
      </c>
      <c r="AW138" s="40"/>
    </row>
    <row r="139" spans="1:49" ht="23.25" x14ac:dyDescent="0.25">
      <c r="A139" s="12">
        <f>'Actual Dates'!A138</f>
        <v>0</v>
      </c>
      <c r="B139" s="13" t="str">
        <f t="shared" si="68"/>
        <v/>
      </c>
      <c r="C139" s="35"/>
      <c r="D139" s="36" t="str">
        <f t="shared" si="77"/>
        <v/>
      </c>
      <c r="E139" s="37" t="str">
        <f t="shared" si="78"/>
        <v xml:space="preserve">  </v>
      </c>
      <c r="F139" s="36" t="str">
        <f t="shared" si="79"/>
        <v xml:space="preserve">  </v>
      </c>
      <c r="G139" s="37" t="str">
        <f t="shared" si="80"/>
        <v xml:space="preserve">  </v>
      </c>
      <c r="H139" s="36" t="str">
        <f t="shared" si="69"/>
        <v xml:space="preserve">  </v>
      </c>
      <c r="I139" s="37" t="str">
        <f t="shared" si="81"/>
        <v xml:space="preserve">  </v>
      </c>
      <c r="J139" s="35"/>
      <c r="K139" s="36" t="str">
        <f t="shared" si="82"/>
        <v>Y</v>
      </c>
      <c r="L139" s="37" t="str">
        <f t="shared" si="83"/>
        <v/>
      </c>
      <c r="M139" s="37" t="str">
        <f t="shared" si="70"/>
        <v xml:space="preserve">  </v>
      </c>
      <c r="N139" s="36" t="str">
        <f t="shared" si="84"/>
        <v xml:space="preserve">  </v>
      </c>
      <c r="O139" s="37" t="str">
        <f t="shared" si="85"/>
        <v/>
      </c>
      <c r="P139" s="36" t="str">
        <f t="shared" si="86"/>
        <v xml:space="preserve">  </v>
      </c>
      <c r="Q139" s="37" t="str">
        <f t="shared" si="87"/>
        <v xml:space="preserve">  </v>
      </c>
      <c r="R139" s="36" t="str">
        <f t="shared" si="88"/>
        <v xml:space="preserve">  </v>
      </c>
      <c r="S139" s="37" t="str">
        <f t="shared" si="89"/>
        <v xml:space="preserve">  </v>
      </c>
      <c r="T139" s="36" t="str">
        <f t="shared" si="90"/>
        <v xml:space="preserve">  </v>
      </c>
      <c r="U139" s="37" t="str">
        <f t="shared" si="91"/>
        <v xml:space="preserve">  </v>
      </c>
      <c r="V139" s="36" t="str">
        <f t="shared" si="92"/>
        <v xml:space="preserve">  </v>
      </c>
      <c r="W139" s="37" t="str">
        <f t="shared" si="93"/>
        <v xml:space="preserve">  </v>
      </c>
      <c r="X139" s="36" t="str">
        <f t="shared" si="94"/>
        <v xml:space="preserve">  </v>
      </c>
      <c r="Y139" s="37" t="str">
        <f t="shared" si="95"/>
        <v xml:space="preserve">  </v>
      </c>
      <c r="Z139" s="36" t="str">
        <f t="shared" si="96"/>
        <v xml:space="preserve">  </v>
      </c>
      <c r="AA139" s="37" t="str">
        <f t="shared" si="97"/>
        <v xml:space="preserve">  </v>
      </c>
      <c r="AB139" s="36" t="str">
        <f t="shared" si="98"/>
        <v xml:space="preserve">  </v>
      </c>
      <c r="AC139" s="37" t="str">
        <f t="shared" si="99"/>
        <v xml:space="preserve">  </v>
      </c>
      <c r="AD139" s="36" t="str">
        <f t="shared" si="100"/>
        <v xml:space="preserve">  </v>
      </c>
      <c r="AE139" s="37" t="str">
        <f t="shared" si="101"/>
        <v xml:space="preserve">  </v>
      </c>
      <c r="AF139" s="38" t="str">
        <f ca="1">_xlfn.IFNA(IF(AG139="",TODAY()+(VLOOKUP(A139,'Date Calcs'!A:G,7,0)*7),VLOOKUP(A139,'Actual Dates'!A:AE,21,FALSE())),"")</f>
        <v/>
      </c>
      <c r="AG139" s="38" t="str">
        <f>IF(VLOOKUP(A139,'Actual Dates'!A:AE,20,0)="","",VLOOKUP(A139,'Actual Dates'!A:AE,20,0))</f>
        <v/>
      </c>
      <c r="AH139" s="38" t="str">
        <f>_xlfn.IFNA(IF($AG139="","",IF(X139="Y","DONE",VLOOKUP(A139,'Ship Date'!A:AE,27,0))),"")</f>
        <v/>
      </c>
      <c r="AI139" s="12">
        <f t="shared" ca="1" si="71"/>
        <v>0</v>
      </c>
      <c r="AJ139" s="38" t="str">
        <f>_xlfn.IFNA(IF($AG139="","",IF(AB139="Y","DONE",VLOOKUP(A139,'Ship Date'!A:AG,29,0))),"")</f>
        <v/>
      </c>
      <c r="AK139" s="12">
        <f t="shared" ca="1" si="72"/>
        <v>0</v>
      </c>
      <c r="AL139" s="38" t="str">
        <f>_xlfn.IFNA(IF($AG139="","",IF(Z139="Y","DONE",VLOOKUP(A139,'Ship Date'!A:AI,28,0))),"")</f>
        <v/>
      </c>
      <c r="AM139" s="12">
        <f t="shared" ca="1" si="73"/>
        <v>0</v>
      </c>
      <c r="AN139" s="38" t="str">
        <f>_xlfn.IFNA(IF(T139="Y","DONE",VLOOKUP(A139,'Ship Date'!A:AE,25,0)),"")</f>
        <v/>
      </c>
      <c r="AO139" s="12">
        <f t="shared" si="74"/>
        <v>0</v>
      </c>
      <c r="AP139" s="38" t="str">
        <f>_xlfn.IFNA(IF(AD139="Y","DONE",VLOOKUP(A139,'Ship Date'!A:AE,30,0)),"")</f>
        <v/>
      </c>
      <c r="AQ139" s="12">
        <f t="shared" ca="1" si="75"/>
        <v>0</v>
      </c>
      <c r="AR139" s="38" t="str">
        <f>IFERROR(_xlfn.IFNA(VLOOKUP(A139,'Ship Date'!A:C,3,0),""),"")</f>
        <v/>
      </c>
      <c r="AS139" s="12" t="str">
        <f t="shared" ca="1" si="76"/>
        <v/>
      </c>
      <c r="AT139" s="38">
        <f>_xlfn.IFNA(IF(VLOOKUP(A139,'Actual Dates'!A:AF,32,0)="N/A"," ",VLOOKUP(A139,'Actual Dates'!A:AF,32,0))," ")</f>
        <v>0</v>
      </c>
      <c r="AU139" s="39"/>
      <c r="AV139" s="38" t="str">
        <f>_xlfn.IFNA(IF(VLOOKUP(A139,'Actual Dates'!A:AE,31,0)="","",VLOOKUP(A139,'Actual Dates'!A:AE,31,0)),"")</f>
        <v/>
      </c>
      <c r="AW139" s="40"/>
    </row>
    <row r="140" spans="1:49" ht="23.25" x14ac:dyDescent="0.25">
      <c r="A140" s="12">
        <f>'Actual Dates'!A139</f>
        <v>0</v>
      </c>
      <c r="B140" s="13" t="str">
        <f t="shared" si="68"/>
        <v/>
      </c>
      <c r="C140" s="35"/>
      <c r="D140" s="36" t="str">
        <f t="shared" si="77"/>
        <v/>
      </c>
      <c r="E140" s="37" t="str">
        <f t="shared" si="78"/>
        <v xml:space="preserve">  </v>
      </c>
      <c r="F140" s="36" t="str">
        <f t="shared" si="79"/>
        <v xml:space="preserve">  </v>
      </c>
      <c r="G140" s="37" t="str">
        <f t="shared" si="80"/>
        <v xml:space="preserve">  </v>
      </c>
      <c r="H140" s="36" t="str">
        <f t="shared" si="69"/>
        <v xml:space="preserve">  </v>
      </c>
      <c r="I140" s="37" t="str">
        <f t="shared" si="81"/>
        <v xml:space="preserve">  </v>
      </c>
      <c r="J140" s="35"/>
      <c r="K140" s="36" t="str">
        <f t="shared" si="82"/>
        <v>Y</v>
      </c>
      <c r="L140" s="37" t="str">
        <f t="shared" si="83"/>
        <v/>
      </c>
      <c r="M140" s="37" t="str">
        <f t="shared" si="70"/>
        <v xml:space="preserve">  </v>
      </c>
      <c r="N140" s="36" t="str">
        <f t="shared" si="84"/>
        <v xml:space="preserve">  </v>
      </c>
      <c r="O140" s="37" t="str">
        <f t="shared" si="85"/>
        <v/>
      </c>
      <c r="P140" s="36" t="str">
        <f t="shared" si="86"/>
        <v xml:space="preserve">  </v>
      </c>
      <c r="Q140" s="37" t="str">
        <f t="shared" si="87"/>
        <v xml:space="preserve">  </v>
      </c>
      <c r="R140" s="36" t="str">
        <f t="shared" si="88"/>
        <v xml:space="preserve">  </v>
      </c>
      <c r="S140" s="37" t="str">
        <f t="shared" si="89"/>
        <v xml:space="preserve">  </v>
      </c>
      <c r="T140" s="36" t="str">
        <f t="shared" si="90"/>
        <v xml:space="preserve">  </v>
      </c>
      <c r="U140" s="37" t="str">
        <f t="shared" si="91"/>
        <v xml:space="preserve">  </v>
      </c>
      <c r="V140" s="36" t="str">
        <f t="shared" si="92"/>
        <v xml:space="preserve">  </v>
      </c>
      <c r="W140" s="37" t="str">
        <f t="shared" si="93"/>
        <v xml:space="preserve">  </v>
      </c>
      <c r="X140" s="36" t="str">
        <f t="shared" si="94"/>
        <v xml:space="preserve">  </v>
      </c>
      <c r="Y140" s="37" t="str">
        <f t="shared" si="95"/>
        <v xml:space="preserve">  </v>
      </c>
      <c r="Z140" s="36" t="str">
        <f t="shared" si="96"/>
        <v xml:space="preserve">  </v>
      </c>
      <c r="AA140" s="37" t="str">
        <f t="shared" si="97"/>
        <v xml:space="preserve">  </v>
      </c>
      <c r="AB140" s="36" t="str">
        <f t="shared" si="98"/>
        <v xml:space="preserve">  </v>
      </c>
      <c r="AC140" s="37" t="str">
        <f t="shared" si="99"/>
        <v xml:space="preserve">  </v>
      </c>
      <c r="AD140" s="36" t="str">
        <f t="shared" si="100"/>
        <v xml:space="preserve">  </v>
      </c>
      <c r="AE140" s="37" t="str">
        <f t="shared" si="101"/>
        <v xml:space="preserve">  </v>
      </c>
      <c r="AF140" s="38" t="str">
        <f ca="1">_xlfn.IFNA(IF(AG140="",TODAY()+(VLOOKUP(A140,'Date Calcs'!A:G,7,0)*7),VLOOKUP(A140,'Actual Dates'!A:AE,21,FALSE())),"")</f>
        <v/>
      </c>
      <c r="AG140" s="38" t="str">
        <f>IF(VLOOKUP(A140,'Actual Dates'!A:AE,20,0)="","",VLOOKUP(A140,'Actual Dates'!A:AE,20,0))</f>
        <v/>
      </c>
      <c r="AH140" s="38" t="str">
        <f>_xlfn.IFNA(IF($AG140="","",IF(X140="Y","DONE",VLOOKUP(A140,'Ship Date'!A:AE,27,0))),"")</f>
        <v/>
      </c>
      <c r="AI140" s="12">
        <f t="shared" ca="1" si="71"/>
        <v>0</v>
      </c>
      <c r="AJ140" s="38" t="str">
        <f>_xlfn.IFNA(IF($AG140="","",IF(AB140="Y","DONE",VLOOKUP(A140,'Ship Date'!A:AG,29,0))),"")</f>
        <v/>
      </c>
      <c r="AK140" s="12">
        <f t="shared" ca="1" si="72"/>
        <v>0</v>
      </c>
      <c r="AL140" s="38" t="str">
        <f>_xlfn.IFNA(IF($AG140="","",IF(Z140="Y","DONE",VLOOKUP(A140,'Ship Date'!A:AI,28,0))),"")</f>
        <v/>
      </c>
      <c r="AM140" s="12">
        <f t="shared" ca="1" si="73"/>
        <v>0</v>
      </c>
      <c r="AN140" s="38" t="str">
        <f>_xlfn.IFNA(IF(T140="Y","DONE",VLOOKUP(A140,'Ship Date'!A:AE,25,0)),"")</f>
        <v/>
      </c>
      <c r="AO140" s="12">
        <f t="shared" si="74"/>
        <v>0</v>
      </c>
      <c r="AP140" s="38" t="str">
        <f>_xlfn.IFNA(IF(AD140="Y","DONE",VLOOKUP(A140,'Ship Date'!A:AE,30,0)),"")</f>
        <v/>
      </c>
      <c r="AQ140" s="12">
        <f t="shared" ca="1" si="75"/>
        <v>0</v>
      </c>
      <c r="AR140" s="38" t="str">
        <f>IFERROR(_xlfn.IFNA(VLOOKUP(A140,'Ship Date'!A:C,3,0),""),"")</f>
        <v/>
      </c>
      <c r="AS140" s="12" t="str">
        <f t="shared" ca="1" si="76"/>
        <v/>
      </c>
      <c r="AT140" s="38">
        <f>_xlfn.IFNA(IF(VLOOKUP(A140,'Actual Dates'!A:AF,32,0)="N/A"," ",VLOOKUP(A140,'Actual Dates'!A:AF,32,0))," ")</f>
        <v>0</v>
      </c>
      <c r="AU140" s="39"/>
      <c r="AV140" s="38" t="str">
        <f>_xlfn.IFNA(IF(VLOOKUP(A140,'Actual Dates'!A:AE,31,0)="","",VLOOKUP(A140,'Actual Dates'!A:AE,31,0)),"")</f>
        <v/>
      </c>
      <c r="AW140" s="40"/>
    </row>
    <row r="141" spans="1:49" ht="23.25" x14ac:dyDescent="0.25">
      <c r="A141" s="12">
        <f>'Actual Dates'!A140</f>
        <v>0</v>
      </c>
      <c r="B141" s="13" t="str">
        <f t="shared" si="68"/>
        <v/>
      </c>
      <c r="C141" s="35"/>
      <c r="D141" s="36" t="str">
        <f t="shared" si="77"/>
        <v/>
      </c>
      <c r="E141" s="37" t="str">
        <f t="shared" si="78"/>
        <v xml:space="preserve">  </v>
      </c>
      <c r="F141" s="36" t="str">
        <f t="shared" si="79"/>
        <v xml:space="preserve">  </v>
      </c>
      <c r="G141" s="37" t="str">
        <f t="shared" si="80"/>
        <v xml:space="preserve">  </v>
      </c>
      <c r="H141" s="36" t="str">
        <f t="shared" si="69"/>
        <v xml:space="preserve">  </v>
      </c>
      <c r="I141" s="37" t="str">
        <f t="shared" si="81"/>
        <v xml:space="preserve">  </v>
      </c>
      <c r="J141" s="35"/>
      <c r="K141" s="36" t="str">
        <f t="shared" si="82"/>
        <v>Y</v>
      </c>
      <c r="L141" s="37" t="str">
        <f t="shared" si="83"/>
        <v/>
      </c>
      <c r="M141" s="37" t="str">
        <f t="shared" si="70"/>
        <v xml:space="preserve">  </v>
      </c>
      <c r="N141" s="36" t="str">
        <f t="shared" si="84"/>
        <v xml:space="preserve">  </v>
      </c>
      <c r="O141" s="37" t="str">
        <f t="shared" si="85"/>
        <v/>
      </c>
      <c r="P141" s="36" t="str">
        <f t="shared" si="86"/>
        <v xml:space="preserve">  </v>
      </c>
      <c r="Q141" s="37" t="str">
        <f t="shared" si="87"/>
        <v xml:space="preserve">  </v>
      </c>
      <c r="R141" s="36" t="str">
        <f t="shared" si="88"/>
        <v xml:space="preserve">  </v>
      </c>
      <c r="S141" s="37" t="str">
        <f t="shared" si="89"/>
        <v xml:space="preserve">  </v>
      </c>
      <c r="T141" s="36" t="str">
        <f t="shared" si="90"/>
        <v xml:space="preserve">  </v>
      </c>
      <c r="U141" s="37" t="str">
        <f t="shared" si="91"/>
        <v xml:space="preserve">  </v>
      </c>
      <c r="V141" s="36" t="str">
        <f t="shared" si="92"/>
        <v xml:space="preserve">  </v>
      </c>
      <c r="W141" s="37" t="str">
        <f t="shared" si="93"/>
        <v xml:space="preserve">  </v>
      </c>
      <c r="X141" s="36" t="str">
        <f t="shared" si="94"/>
        <v xml:space="preserve">  </v>
      </c>
      <c r="Y141" s="37" t="str">
        <f t="shared" si="95"/>
        <v xml:space="preserve">  </v>
      </c>
      <c r="Z141" s="36" t="str">
        <f t="shared" si="96"/>
        <v xml:space="preserve">  </v>
      </c>
      <c r="AA141" s="37" t="str">
        <f t="shared" si="97"/>
        <v xml:space="preserve">  </v>
      </c>
      <c r="AB141" s="36" t="str">
        <f t="shared" si="98"/>
        <v xml:space="preserve">  </v>
      </c>
      <c r="AC141" s="37" t="str">
        <f t="shared" si="99"/>
        <v xml:space="preserve">  </v>
      </c>
      <c r="AD141" s="36" t="str">
        <f t="shared" si="100"/>
        <v xml:space="preserve">  </v>
      </c>
      <c r="AE141" s="37" t="str">
        <f t="shared" si="101"/>
        <v xml:space="preserve">  </v>
      </c>
      <c r="AF141" s="38" t="str">
        <f ca="1">_xlfn.IFNA(IF(AG141="",TODAY()+(VLOOKUP(A141,'Date Calcs'!A:G,7,0)*7),VLOOKUP(A141,'Actual Dates'!A:AE,21,FALSE())),"")</f>
        <v/>
      </c>
      <c r="AG141" s="38" t="str">
        <f>IF(VLOOKUP(A141,'Actual Dates'!A:AE,20,0)="","",VLOOKUP(A141,'Actual Dates'!A:AE,20,0))</f>
        <v/>
      </c>
      <c r="AH141" s="38" t="str">
        <f>_xlfn.IFNA(IF($AG141="","",IF(X141="Y","DONE",VLOOKUP(A141,'Ship Date'!A:AE,27,0))),"")</f>
        <v/>
      </c>
      <c r="AI141" s="12">
        <f t="shared" ca="1" si="71"/>
        <v>0</v>
      </c>
      <c r="AJ141" s="38" t="str">
        <f>_xlfn.IFNA(IF($AG141="","",IF(AB141="Y","DONE",VLOOKUP(A141,'Ship Date'!A:AG,29,0))),"")</f>
        <v/>
      </c>
      <c r="AK141" s="12">
        <f t="shared" ca="1" si="72"/>
        <v>0</v>
      </c>
      <c r="AL141" s="38" t="str">
        <f>_xlfn.IFNA(IF($AG141="","",IF(Z141="Y","DONE",VLOOKUP(A141,'Ship Date'!A:AI,28,0))),"")</f>
        <v/>
      </c>
      <c r="AM141" s="12">
        <f t="shared" ca="1" si="73"/>
        <v>0</v>
      </c>
      <c r="AN141" s="38" t="str">
        <f>_xlfn.IFNA(IF(T141="Y","DONE",VLOOKUP(A141,'Ship Date'!A:AE,25,0)),"")</f>
        <v/>
      </c>
      <c r="AO141" s="12">
        <f t="shared" si="74"/>
        <v>0</v>
      </c>
      <c r="AP141" s="38" t="str">
        <f>_xlfn.IFNA(IF(AD141="Y","DONE",VLOOKUP(A141,'Ship Date'!A:AE,30,0)),"")</f>
        <v/>
      </c>
      <c r="AQ141" s="12">
        <f t="shared" ca="1" si="75"/>
        <v>0</v>
      </c>
      <c r="AR141" s="38" t="str">
        <f>IFERROR(_xlfn.IFNA(VLOOKUP(A141,'Ship Date'!A:C,3,0),""),"")</f>
        <v/>
      </c>
      <c r="AS141" s="12" t="str">
        <f t="shared" ca="1" si="76"/>
        <v/>
      </c>
      <c r="AT141" s="38">
        <f>_xlfn.IFNA(IF(VLOOKUP(A141,'Actual Dates'!A:AF,32,0)="N/A"," ",VLOOKUP(A141,'Actual Dates'!A:AF,32,0))," ")</f>
        <v>0</v>
      </c>
      <c r="AU141" s="39"/>
      <c r="AV141" s="38" t="str">
        <f>_xlfn.IFNA(IF(VLOOKUP(A141,'Actual Dates'!A:AE,31,0)="","",VLOOKUP(A141,'Actual Dates'!A:AE,31,0)),"")</f>
        <v/>
      </c>
      <c r="AW141" s="40"/>
    </row>
    <row r="142" spans="1:49" ht="23.25" x14ac:dyDescent="0.25">
      <c r="A142" s="12">
        <f>'Actual Dates'!A141</f>
        <v>0</v>
      </c>
      <c r="B142" s="13" t="str">
        <f t="shared" si="68"/>
        <v/>
      </c>
      <c r="C142" s="35"/>
      <c r="D142" s="36" t="str">
        <f t="shared" si="77"/>
        <v/>
      </c>
      <c r="E142" s="37" t="str">
        <f t="shared" si="78"/>
        <v xml:space="preserve">  </v>
      </c>
      <c r="F142" s="36" t="str">
        <f t="shared" si="79"/>
        <v xml:space="preserve">  </v>
      </c>
      <c r="G142" s="37" t="str">
        <f t="shared" si="80"/>
        <v xml:space="preserve">  </v>
      </c>
      <c r="H142" s="36" t="str">
        <f t="shared" si="69"/>
        <v xml:space="preserve">  </v>
      </c>
      <c r="I142" s="37" t="str">
        <f t="shared" si="81"/>
        <v xml:space="preserve">  </v>
      </c>
      <c r="J142" s="35"/>
      <c r="K142" s="36" t="str">
        <f t="shared" si="82"/>
        <v>Y</v>
      </c>
      <c r="L142" s="37" t="str">
        <f t="shared" si="83"/>
        <v/>
      </c>
      <c r="M142" s="37" t="str">
        <f t="shared" si="70"/>
        <v xml:space="preserve">  </v>
      </c>
      <c r="N142" s="36" t="str">
        <f t="shared" si="84"/>
        <v xml:space="preserve">  </v>
      </c>
      <c r="O142" s="37" t="str">
        <f t="shared" si="85"/>
        <v/>
      </c>
      <c r="P142" s="36" t="str">
        <f t="shared" si="86"/>
        <v xml:space="preserve">  </v>
      </c>
      <c r="Q142" s="37" t="str">
        <f t="shared" si="87"/>
        <v xml:space="preserve">  </v>
      </c>
      <c r="R142" s="36" t="str">
        <f t="shared" si="88"/>
        <v xml:space="preserve">  </v>
      </c>
      <c r="S142" s="37" t="str">
        <f t="shared" si="89"/>
        <v xml:space="preserve">  </v>
      </c>
      <c r="T142" s="36" t="str">
        <f t="shared" si="90"/>
        <v xml:space="preserve">  </v>
      </c>
      <c r="U142" s="37" t="str">
        <f t="shared" si="91"/>
        <v xml:space="preserve">  </v>
      </c>
      <c r="V142" s="36" t="str">
        <f t="shared" si="92"/>
        <v xml:space="preserve">  </v>
      </c>
      <c r="W142" s="37" t="str">
        <f t="shared" si="93"/>
        <v xml:space="preserve">  </v>
      </c>
      <c r="X142" s="36" t="str">
        <f t="shared" si="94"/>
        <v xml:space="preserve">  </v>
      </c>
      <c r="Y142" s="37" t="str">
        <f t="shared" si="95"/>
        <v xml:space="preserve">  </v>
      </c>
      <c r="Z142" s="36" t="str">
        <f t="shared" si="96"/>
        <v xml:space="preserve">  </v>
      </c>
      <c r="AA142" s="37" t="str">
        <f t="shared" si="97"/>
        <v xml:space="preserve">  </v>
      </c>
      <c r="AB142" s="36" t="str">
        <f t="shared" si="98"/>
        <v xml:space="preserve">  </v>
      </c>
      <c r="AC142" s="37" t="str">
        <f t="shared" si="99"/>
        <v xml:space="preserve">  </v>
      </c>
      <c r="AD142" s="36" t="str">
        <f t="shared" si="100"/>
        <v xml:space="preserve">  </v>
      </c>
      <c r="AE142" s="37" t="str">
        <f t="shared" si="101"/>
        <v xml:space="preserve">  </v>
      </c>
      <c r="AF142" s="38" t="str">
        <f ca="1">_xlfn.IFNA(IF(AG142="",TODAY()+(VLOOKUP(A142,'Date Calcs'!A:G,7,0)*7),VLOOKUP(A142,'Actual Dates'!A:AE,21,FALSE())),"")</f>
        <v/>
      </c>
      <c r="AG142" s="38" t="str">
        <f>IF(VLOOKUP(A142,'Actual Dates'!A:AE,20,0)="","",VLOOKUP(A142,'Actual Dates'!A:AE,20,0))</f>
        <v/>
      </c>
      <c r="AH142" s="38" t="str">
        <f>_xlfn.IFNA(IF($AG142="","",IF(X142="Y","DONE",VLOOKUP(A142,'Ship Date'!A:AE,27,0))),"")</f>
        <v/>
      </c>
      <c r="AI142" s="12">
        <f t="shared" ca="1" si="71"/>
        <v>0</v>
      </c>
      <c r="AJ142" s="38" t="str">
        <f>_xlfn.IFNA(IF($AG142="","",IF(AB142="Y","DONE",VLOOKUP(A142,'Ship Date'!A:AG,29,0))),"")</f>
        <v/>
      </c>
      <c r="AK142" s="12">
        <f t="shared" ca="1" si="72"/>
        <v>0</v>
      </c>
      <c r="AL142" s="38" t="str">
        <f>_xlfn.IFNA(IF($AG142="","",IF(Z142="Y","DONE",VLOOKUP(A142,'Ship Date'!A:AI,28,0))),"")</f>
        <v/>
      </c>
      <c r="AM142" s="12">
        <f t="shared" ca="1" si="73"/>
        <v>0</v>
      </c>
      <c r="AN142" s="38" t="str">
        <f>_xlfn.IFNA(IF(T142="Y","DONE",VLOOKUP(A142,'Ship Date'!A:AE,25,0)),"")</f>
        <v/>
      </c>
      <c r="AO142" s="12">
        <f t="shared" si="74"/>
        <v>0</v>
      </c>
      <c r="AP142" s="38" t="str">
        <f>_xlfn.IFNA(IF(AD142="Y","DONE",VLOOKUP(A142,'Ship Date'!A:AE,30,0)),"")</f>
        <v/>
      </c>
      <c r="AQ142" s="12">
        <f t="shared" ca="1" si="75"/>
        <v>0</v>
      </c>
      <c r="AR142" s="38" t="str">
        <f>IFERROR(_xlfn.IFNA(VLOOKUP(A142,'Ship Date'!A:C,3,0),""),"")</f>
        <v/>
      </c>
      <c r="AS142" s="12" t="str">
        <f t="shared" ca="1" si="76"/>
        <v/>
      </c>
      <c r="AT142" s="38">
        <f>_xlfn.IFNA(IF(VLOOKUP(A142,'Actual Dates'!A:AF,32,0)="N/A"," ",VLOOKUP(A142,'Actual Dates'!A:AF,32,0))," ")</f>
        <v>0</v>
      </c>
      <c r="AU142" s="39"/>
      <c r="AV142" s="38" t="str">
        <f>_xlfn.IFNA(IF(VLOOKUP(A142,'Actual Dates'!A:AE,31,0)="","",VLOOKUP(A142,'Actual Dates'!A:AE,31,0)),"")</f>
        <v/>
      </c>
      <c r="AW142" s="40"/>
    </row>
    <row r="143" spans="1:49" ht="23.25" x14ac:dyDescent="0.25">
      <c r="A143" s="12">
        <f>'Actual Dates'!A142</f>
        <v>0</v>
      </c>
      <c r="B143" s="13" t="str">
        <f t="shared" si="68"/>
        <v/>
      </c>
      <c r="C143" s="35"/>
      <c r="D143" s="36" t="str">
        <f t="shared" si="77"/>
        <v/>
      </c>
      <c r="E143" s="37" t="str">
        <f t="shared" si="78"/>
        <v xml:space="preserve">  </v>
      </c>
      <c r="F143" s="36" t="str">
        <f t="shared" si="79"/>
        <v xml:space="preserve">  </v>
      </c>
      <c r="G143" s="37" t="str">
        <f t="shared" si="80"/>
        <v xml:space="preserve">  </v>
      </c>
      <c r="H143" s="36" t="str">
        <f t="shared" si="69"/>
        <v xml:space="preserve">  </v>
      </c>
      <c r="I143" s="37" t="str">
        <f t="shared" si="81"/>
        <v xml:space="preserve">  </v>
      </c>
      <c r="J143" s="35"/>
      <c r="K143" s="36" t="str">
        <f t="shared" si="82"/>
        <v>Y</v>
      </c>
      <c r="L143" s="37" t="str">
        <f t="shared" si="83"/>
        <v/>
      </c>
      <c r="M143" s="37" t="str">
        <f t="shared" si="70"/>
        <v xml:space="preserve">  </v>
      </c>
      <c r="N143" s="36" t="str">
        <f t="shared" si="84"/>
        <v xml:space="preserve">  </v>
      </c>
      <c r="O143" s="37" t="str">
        <f t="shared" si="85"/>
        <v/>
      </c>
      <c r="P143" s="36" t="str">
        <f t="shared" si="86"/>
        <v xml:space="preserve">  </v>
      </c>
      <c r="Q143" s="37" t="str">
        <f t="shared" si="87"/>
        <v xml:space="preserve">  </v>
      </c>
      <c r="R143" s="36" t="str">
        <f t="shared" si="88"/>
        <v xml:space="preserve">  </v>
      </c>
      <c r="S143" s="37" t="str">
        <f t="shared" si="89"/>
        <v xml:space="preserve">  </v>
      </c>
      <c r="T143" s="36" t="str">
        <f t="shared" si="90"/>
        <v xml:space="preserve">  </v>
      </c>
      <c r="U143" s="37" t="str">
        <f t="shared" si="91"/>
        <v xml:space="preserve">  </v>
      </c>
      <c r="V143" s="36" t="str">
        <f t="shared" si="92"/>
        <v xml:space="preserve">  </v>
      </c>
      <c r="W143" s="37" t="str">
        <f t="shared" si="93"/>
        <v xml:space="preserve">  </v>
      </c>
      <c r="X143" s="36" t="str">
        <f t="shared" si="94"/>
        <v xml:space="preserve">  </v>
      </c>
      <c r="Y143" s="37" t="str">
        <f t="shared" si="95"/>
        <v xml:space="preserve">  </v>
      </c>
      <c r="Z143" s="36" t="str">
        <f t="shared" si="96"/>
        <v xml:space="preserve">  </v>
      </c>
      <c r="AA143" s="37" t="str">
        <f t="shared" si="97"/>
        <v xml:space="preserve">  </v>
      </c>
      <c r="AB143" s="36" t="str">
        <f t="shared" si="98"/>
        <v xml:space="preserve">  </v>
      </c>
      <c r="AC143" s="37" t="str">
        <f t="shared" si="99"/>
        <v xml:space="preserve">  </v>
      </c>
      <c r="AD143" s="36" t="str">
        <f t="shared" si="100"/>
        <v xml:space="preserve">  </v>
      </c>
      <c r="AE143" s="37" t="str">
        <f t="shared" si="101"/>
        <v xml:space="preserve">  </v>
      </c>
      <c r="AF143" s="38" t="str">
        <f ca="1">_xlfn.IFNA(IF(AG143="",TODAY()+(VLOOKUP(A143,'Date Calcs'!A:G,7,0)*7),VLOOKUP(A143,'Actual Dates'!A:AE,21,FALSE())),"")</f>
        <v/>
      </c>
      <c r="AG143" s="38" t="str">
        <f>IF(VLOOKUP(A143,'Actual Dates'!A:AE,20,0)="","",VLOOKUP(A143,'Actual Dates'!A:AE,20,0))</f>
        <v/>
      </c>
      <c r="AH143" s="38" t="str">
        <f>_xlfn.IFNA(IF($AG143="","",IF(X143="Y","DONE",VLOOKUP(A143,'Ship Date'!A:AE,27,0))),"")</f>
        <v/>
      </c>
      <c r="AI143" s="12">
        <f t="shared" ca="1" si="71"/>
        <v>0</v>
      </c>
      <c r="AJ143" s="38" t="str">
        <f>_xlfn.IFNA(IF($AG143="","",IF(AB143="Y","DONE",VLOOKUP(A143,'Ship Date'!A:AG,29,0))),"")</f>
        <v/>
      </c>
      <c r="AK143" s="12">
        <f t="shared" ca="1" si="72"/>
        <v>0</v>
      </c>
      <c r="AL143" s="38" t="str">
        <f>_xlfn.IFNA(IF($AG143="","",IF(Z143="Y","DONE",VLOOKUP(A143,'Ship Date'!A:AI,28,0))),"")</f>
        <v/>
      </c>
      <c r="AM143" s="12">
        <f t="shared" ca="1" si="73"/>
        <v>0</v>
      </c>
      <c r="AN143" s="38" t="str">
        <f>_xlfn.IFNA(IF(T143="Y","DONE",VLOOKUP(A143,'Ship Date'!A:AE,25,0)),"")</f>
        <v/>
      </c>
      <c r="AO143" s="12">
        <f t="shared" si="74"/>
        <v>0</v>
      </c>
      <c r="AP143" s="38" t="str">
        <f>_xlfn.IFNA(IF(AD143="Y","DONE",VLOOKUP(A143,'Ship Date'!A:AE,30,0)),"")</f>
        <v/>
      </c>
      <c r="AQ143" s="12">
        <f t="shared" ca="1" si="75"/>
        <v>0</v>
      </c>
      <c r="AR143" s="38" t="str">
        <f>IFERROR(_xlfn.IFNA(VLOOKUP(A143,'Ship Date'!A:C,3,0),""),"")</f>
        <v/>
      </c>
      <c r="AS143" s="12" t="str">
        <f t="shared" ca="1" si="76"/>
        <v/>
      </c>
      <c r="AT143" s="38">
        <f>_xlfn.IFNA(IF(VLOOKUP(A143,'Actual Dates'!A:AF,32,0)="N/A"," ",VLOOKUP(A143,'Actual Dates'!A:AF,32,0))," ")</f>
        <v>0</v>
      </c>
      <c r="AU143" s="39"/>
      <c r="AV143" s="38" t="str">
        <f>_xlfn.IFNA(IF(VLOOKUP(A143,'Actual Dates'!A:AE,31,0)="","",VLOOKUP(A143,'Actual Dates'!A:AE,31,0)),"")</f>
        <v/>
      </c>
      <c r="AW143" s="40"/>
    </row>
    <row r="144" spans="1:49" ht="23.25" x14ac:dyDescent="0.25">
      <c r="A144" s="12">
        <f>'Actual Dates'!A143</f>
        <v>0</v>
      </c>
      <c r="B144" s="13" t="str">
        <f t="shared" si="68"/>
        <v/>
      </c>
      <c r="C144" s="35"/>
      <c r="D144" s="36" t="str">
        <f t="shared" si="77"/>
        <v/>
      </c>
      <c r="E144" s="37" t="str">
        <f t="shared" si="78"/>
        <v xml:space="preserve">  </v>
      </c>
      <c r="F144" s="36" t="str">
        <f t="shared" si="79"/>
        <v xml:space="preserve">  </v>
      </c>
      <c r="G144" s="37" t="str">
        <f t="shared" si="80"/>
        <v xml:space="preserve">  </v>
      </c>
      <c r="H144" s="36" t="str">
        <f t="shared" si="69"/>
        <v xml:space="preserve">  </v>
      </c>
      <c r="I144" s="37" t="str">
        <f t="shared" si="81"/>
        <v xml:space="preserve">  </v>
      </c>
      <c r="J144" s="35"/>
      <c r="K144" s="36" t="str">
        <f t="shared" si="82"/>
        <v>Y</v>
      </c>
      <c r="L144" s="37" t="str">
        <f t="shared" si="83"/>
        <v/>
      </c>
      <c r="M144" s="37" t="str">
        <f t="shared" si="70"/>
        <v xml:space="preserve">  </v>
      </c>
      <c r="N144" s="36" t="str">
        <f t="shared" si="84"/>
        <v xml:space="preserve">  </v>
      </c>
      <c r="O144" s="37" t="str">
        <f t="shared" si="85"/>
        <v/>
      </c>
      <c r="P144" s="36" t="str">
        <f t="shared" si="86"/>
        <v xml:space="preserve">  </v>
      </c>
      <c r="Q144" s="37" t="str">
        <f t="shared" si="87"/>
        <v xml:space="preserve">  </v>
      </c>
      <c r="R144" s="36" t="str">
        <f t="shared" si="88"/>
        <v xml:space="preserve">  </v>
      </c>
      <c r="S144" s="37" t="str">
        <f t="shared" si="89"/>
        <v xml:space="preserve">  </v>
      </c>
      <c r="T144" s="36" t="str">
        <f t="shared" si="90"/>
        <v xml:space="preserve">  </v>
      </c>
      <c r="U144" s="37" t="str">
        <f t="shared" si="91"/>
        <v xml:space="preserve">  </v>
      </c>
      <c r="V144" s="36" t="str">
        <f t="shared" si="92"/>
        <v xml:space="preserve">  </v>
      </c>
      <c r="W144" s="37" t="str">
        <f t="shared" si="93"/>
        <v xml:space="preserve">  </v>
      </c>
      <c r="X144" s="36" t="str">
        <f t="shared" si="94"/>
        <v xml:space="preserve">  </v>
      </c>
      <c r="Y144" s="37" t="str">
        <f t="shared" si="95"/>
        <v xml:space="preserve">  </v>
      </c>
      <c r="Z144" s="36" t="str">
        <f t="shared" si="96"/>
        <v xml:space="preserve">  </v>
      </c>
      <c r="AA144" s="37" t="str">
        <f t="shared" si="97"/>
        <v xml:space="preserve">  </v>
      </c>
      <c r="AB144" s="36" t="str">
        <f t="shared" si="98"/>
        <v xml:space="preserve">  </v>
      </c>
      <c r="AC144" s="37" t="str">
        <f t="shared" si="99"/>
        <v xml:space="preserve">  </v>
      </c>
      <c r="AD144" s="36" t="str">
        <f t="shared" si="100"/>
        <v xml:space="preserve">  </v>
      </c>
      <c r="AE144" s="37" t="str">
        <f t="shared" si="101"/>
        <v xml:space="preserve">  </v>
      </c>
      <c r="AF144" s="38" t="str">
        <f ca="1">_xlfn.IFNA(IF(AG144="",TODAY()+(VLOOKUP(A144,'Date Calcs'!A:G,7,0)*7),VLOOKUP(A144,'Actual Dates'!A:AE,21,FALSE())),"")</f>
        <v/>
      </c>
      <c r="AG144" s="38" t="str">
        <f>IF(VLOOKUP(A144,'Actual Dates'!A:AE,20,0)="","",VLOOKUP(A144,'Actual Dates'!A:AE,20,0))</f>
        <v/>
      </c>
      <c r="AH144" s="38" t="str">
        <f>_xlfn.IFNA(IF($AG144="","",IF(X144="Y","DONE",VLOOKUP(A144,'Ship Date'!A:AE,27,0))),"")</f>
        <v/>
      </c>
      <c r="AI144" s="12">
        <f t="shared" ca="1" si="71"/>
        <v>0</v>
      </c>
      <c r="AJ144" s="38" t="str">
        <f>_xlfn.IFNA(IF($AG144="","",IF(AB144="Y","DONE",VLOOKUP(A144,'Ship Date'!A:AG,29,0))),"")</f>
        <v/>
      </c>
      <c r="AK144" s="12">
        <f t="shared" ca="1" si="72"/>
        <v>0</v>
      </c>
      <c r="AL144" s="38" t="str">
        <f>_xlfn.IFNA(IF($AG144="","",IF(Z144="Y","DONE",VLOOKUP(A144,'Ship Date'!A:AI,28,0))),"")</f>
        <v/>
      </c>
      <c r="AM144" s="12">
        <f t="shared" ca="1" si="73"/>
        <v>0</v>
      </c>
      <c r="AN144" s="38" t="str">
        <f>_xlfn.IFNA(IF(T144="Y","DONE",VLOOKUP(A144,'Ship Date'!A:AE,25,0)),"")</f>
        <v/>
      </c>
      <c r="AO144" s="12">
        <f t="shared" si="74"/>
        <v>0</v>
      </c>
      <c r="AP144" s="38" t="str">
        <f>_xlfn.IFNA(IF(AD144="Y","DONE",VLOOKUP(A144,'Ship Date'!A:AE,30,0)),"")</f>
        <v/>
      </c>
      <c r="AQ144" s="12">
        <f t="shared" ca="1" si="75"/>
        <v>0</v>
      </c>
      <c r="AR144" s="38" t="str">
        <f>IFERROR(_xlfn.IFNA(VLOOKUP(A144,'Ship Date'!A:C,3,0),""),"")</f>
        <v/>
      </c>
      <c r="AS144" s="12" t="str">
        <f t="shared" ca="1" si="76"/>
        <v/>
      </c>
      <c r="AT144" s="38">
        <f>_xlfn.IFNA(IF(VLOOKUP(A144,'Actual Dates'!A:AF,32,0)="N/A"," ",VLOOKUP(A144,'Actual Dates'!A:AF,32,0))," ")</f>
        <v>0</v>
      </c>
      <c r="AU144" s="39"/>
      <c r="AV144" s="38" t="str">
        <f>_xlfn.IFNA(IF(VLOOKUP(A144,'Actual Dates'!A:AE,31,0)="","",VLOOKUP(A144,'Actual Dates'!A:AE,31,0)),"")</f>
        <v/>
      </c>
      <c r="AW144" s="40"/>
    </row>
    <row r="145" spans="1:49" ht="23.25" x14ac:dyDescent="0.25">
      <c r="A145" s="12">
        <f>'Actual Dates'!A144</f>
        <v>0</v>
      </c>
      <c r="B145" s="13" t="str">
        <f t="shared" si="68"/>
        <v/>
      </c>
      <c r="C145" s="35"/>
      <c r="D145" s="36" t="str">
        <f t="shared" si="77"/>
        <v/>
      </c>
      <c r="E145" s="37" t="str">
        <f t="shared" si="78"/>
        <v xml:space="preserve">  </v>
      </c>
      <c r="F145" s="36" t="str">
        <f t="shared" si="79"/>
        <v xml:space="preserve">  </v>
      </c>
      <c r="G145" s="37" t="str">
        <f t="shared" si="80"/>
        <v xml:space="preserve">  </v>
      </c>
      <c r="H145" s="36" t="str">
        <f t="shared" si="69"/>
        <v xml:space="preserve">  </v>
      </c>
      <c r="I145" s="37" t="str">
        <f t="shared" si="81"/>
        <v xml:space="preserve">  </v>
      </c>
      <c r="J145" s="35"/>
      <c r="K145" s="36" t="str">
        <f t="shared" si="82"/>
        <v>Y</v>
      </c>
      <c r="L145" s="37" t="str">
        <f t="shared" si="83"/>
        <v/>
      </c>
      <c r="M145" s="37" t="str">
        <f t="shared" si="70"/>
        <v xml:space="preserve">  </v>
      </c>
      <c r="N145" s="36" t="str">
        <f t="shared" si="84"/>
        <v xml:space="preserve">  </v>
      </c>
      <c r="O145" s="37" t="str">
        <f t="shared" si="85"/>
        <v/>
      </c>
      <c r="P145" s="36" t="str">
        <f t="shared" si="86"/>
        <v xml:space="preserve">  </v>
      </c>
      <c r="Q145" s="37" t="str">
        <f t="shared" si="87"/>
        <v xml:space="preserve">  </v>
      </c>
      <c r="R145" s="36" t="str">
        <f t="shared" si="88"/>
        <v xml:space="preserve">  </v>
      </c>
      <c r="S145" s="37" t="str">
        <f t="shared" si="89"/>
        <v xml:space="preserve">  </v>
      </c>
      <c r="T145" s="36" t="str">
        <f t="shared" si="90"/>
        <v xml:space="preserve">  </v>
      </c>
      <c r="U145" s="37" t="str">
        <f t="shared" si="91"/>
        <v xml:space="preserve">  </v>
      </c>
      <c r="V145" s="36" t="str">
        <f t="shared" si="92"/>
        <v xml:space="preserve">  </v>
      </c>
      <c r="W145" s="37" t="str">
        <f t="shared" si="93"/>
        <v xml:space="preserve">  </v>
      </c>
      <c r="X145" s="36" t="str">
        <f t="shared" si="94"/>
        <v xml:space="preserve">  </v>
      </c>
      <c r="Y145" s="37" t="str">
        <f t="shared" si="95"/>
        <v xml:space="preserve">  </v>
      </c>
      <c r="Z145" s="36" t="str">
        <f t="shared" si="96"/>
        <v xml:space="preserve">  </v>
      </c>
      <c r="AA145" s="37" t="str">
        <f t="shared" si="97"/>
        <v xml:space="preserve">  </v>
      </c>
      <c r="AB145" s="36" t="str">
        <f t="shared" si="98"/>
        <v xml:space="preserve">  </v>
      </c>
      <c r="AC145" s="37" t="str">
        <f t="shared" si="99"/>
        <v xml:space="preserve">  </v>
      </c>
      <c r="AD145" s="36" t="str">
        <f t="shared" si="100"/>
        <v xml:space="preserve">  </v>
      </c>
      <c r="AE145" s="37" t="str">
        <f t="shared" si="101"/>
        <v xml:space="preserve">  </v>
      </c>
      <c r="AF145" s="38" t="str">
        <f ca="1">_xlfn.IFNA(IF(AG145="",TODAY()+(VLOOKUP(A145,'Date Calcs'!A:G,7,0)*7),VLOOKUP(A145,'Actual Dates'!A:AE,21,FALSE())),"")</f>
        <v/>
      </c>
      <c r="AG145" s="38" t="str">
        <f>IF(VLOOKUP(A145,'Actual Dates'!A:AE,20,0)="","",VLOOKUP(A145,'Actual Dates'!A:AE,20,0))</f>
        <v/>
      </c>
      <c r="AH145" s="38" t="str">
        <f>_xlfn.IFNA(IF($AG145="","",IF(X145="Y","DONE",VLOOKUP(A145,'Ship Date'!A:AE,27,0))),"")</f>
        <v/>
      </c>
      <c r="AI145" s="12">
        <f t="shared" ca="1" si="71"/>
        <v>0</v>
      </c>
      <c r="AJ145" s="38" t="str">
        <f>_xlfn.IFNA(IF($AG145="","",IF(AB145="Y","DONE",VLOOKUP(A145,'Ship Date'!A:AG,29,0))),"")</f>
        <v/>
      </c>
      <c r="AK145" s="12">
        <f t="shared" ca="1" si="72"/>
        <v>0</v>
      </c>
      <c r="AL145" s="38" t="str">
        <f>_xlfn.IFNA(IF($AG145="","",IF(Z145="Y","DONE",VLOOKUP(A145,'Ship Date'!A:AI,28,0))),"")</f>
        <v/>
      </c>
      <c r="AM145" s="12">
        <f t="shared" ca="1" si="73"/>
        <v>0</v>
      </c>
      <c r="AN145" s="38" t="str">
        <f>_xlfn.IFNA(IF(T145="Y","DONE",VLOOKUP(A145,'Ship Date'!A:AE,25,0)),"")</f>
        <v/>
      </c>
      <c r="AO145" s="12">
        <f t="shared" si="74"/>
        <v>0</v>
      </c>
      <c r="AP145" s="38" t="str">
        <f>_xlfn.IFNA(IF(AD145="Y","DONE",VLOOKUP(A145,'Ship Date'!A:AE,30,0)),"")</f>
        <v/>
      </c>
      <c r="AQ145" s="12">
        <f t="shared" ca="1" si="75"/>
        <v>0</v>
      </c>
      <c r="AR145" s="38" t="str">
        <f>IFERROR(_xlfn.IFNA(VLOOKUP(A145,'Ship Date'!A:C,3,0),""),"")</f>
        <v/>
      </c>
      <c r="AS145" s="12" t="str">
        <f t="shared" ca="1" si="76"/>
        <v/>
      </c>
      <c r="AT145" s="38">
        <f>_xlfn.IFNA(IF(VLOOKUP(A145,'Actual Dates'!A:AF,32,0)="N/A"," ",VLOOKUP(A145,'Actual Dates'!A:AF,32,0))," ")</f>
        <v>0</v>
      </c>
      <c r="AU145" s="39"/>
      <c r="AV145" s="38" t="str">
        <f>_xlfn.IFNA(IF(VLOOKUP(A145,'Actual Dates'!A:AE,31,0)="","",VLOOKUP(A145,'Actual Dates'!A:AE,31,0)),"")</f>
        <v/>
      </c>
      <c r="AW145" s="40"/>
    </row>
    <row r="146" spans="1:49" ht="23.25" x14ac:dyDescent="0.25">
      <c r="A146" s="12">
        <f>'Actual Dates'!A145</f>
        <v>0</v>
      </c>
      <c r="B146" s="13" t="str">
        <f t="shared" si="68"/>
        <v/>
      </c>
      <c r="C146" s="35"/>
      <c r="D146" s="36" t="str">
        <f t="shared" si="77"/>
        <v/>
      </c>
      <c r="E146" s="37" t="str">
        <f t="shared" si="78"/>
        <v xml:space="preserve">  </v>
      </c>
      <c r="F146" s="36" t="str">
        <f t="shared" si="79"/>
        <v xml:space="preserve">  </v>
      </c>
      <c r="G146" s="37" t="str">
        <f t="shared" si="80"/>
        <v xml:space="preserve">  </v>
      </c>
      <c r="H146" s="36" t="str">
        <f t="shared" si="69"/>
        <v xml:space="preserve">  </v>
      </c>
      <c r="I146" s="37" t="str">
        <f t="shared" si="81"/>
        <v xml:space="preserve">  </v>
      </c>
      <c r="J146" s="35"/>
      <c r="K146" s="36" t="str">
        <f t="shared" si="82"/>
        <v>Y</v>
      </c>
      <c r="L146" s="37" t="str">
        <f t="shared" si="83"/>
        <v/>
      </c>
      <c r="M146" s="37" t="str">
        <f t="shared" si="70"/>
        <v xml:space="preserve">  </v>
      </c>
      <c r="N146" s="36" t="str">
        <f t="shared" si="84"/>
        <v xml:space="preserve">  </v>
      </c>
      <c r="O146" s="37" t="str">
        <f t="shared" si="85"/>
        <v/>
      </c>
      <c r="P146" s="36" t="str">
        <f t="shared" si="86"/>
        <v xml:space="preserve">  </v>
      </c>
      <c r="Q146" s="37" t="str">
        <f t="shared" si="87"/>
        <v xml:space="preserve">  </v>
      </c>
      <c r="R146" s="36" t="str">
        <f t="shared" si="88"/>
        <v xml:space="preserve">  </v>
      </c>
      <c r="S146" s="37" t="str">
        <f t="shared" si="89"/>
        <v xml:space="preserve">  </v>
      </c>
      <c r="T146" s="36" t="str">
        <f t="shared" si="90"/>
        <v xml:space="preserve">  </v>
      </c>
      <c r="U146" s="37" t="str">
        <f t="shared" si="91"/>
        <v xml:space="preserve">  </v>
      </c>
      <c r="V146" s="36" t="str">
        <f t="shared" si="92"/>
        <v xml:space="preserve">  </v>
      </c>
      <c r="W146" s="37" t="str">
        <f t="shared" si="93"/>
        <v xml:space="preserve">  </v>
      </c>
      <c r="X146" s="36" t="str">
        <f t="shared" si="94"/>
        <v xml:space="preserve">  </v>
      </c>
      <c r="Y146" s="37" t="str">
        <f t="shared" si="95"/>
        <v xml:space="preserve">  </v>
      </c>
      <c r="Z146" s="36" t="str">
        <f t="shared" si="96"/>
        <v xml:space="preserve">  </v>
      </c>
      <c r="AA146" s="37" t="str">
        <f t="shared" si="97"/>
        <v xml:space="preserve">  </v>
      </c>
      <c r="AB146" s="36" t="str">
        <f t="shared" si="98"/>
        <v xml:space="preserve">  </v>
      </c>
      <c r="AC146" s="37" t="str">
        <f t="shared" si="99"/>
        <v xml:space="preserve">  </v>
      </c>
      <c r="AD146" s="36" t="str">
        <f t="shared" si="100"/>
        <v xml:space="preserve">  </v>
      </c>
      <c r="AE146" s="37" t="str">
        <f t="shared" si="101"/>
        <v xml:space="preserve">  </v>
      </c>
      <c r="AF146" s="38" t="str">
        <f ca="1">_xlfn.IFNA(IF(AG146="",TODAY()+(VLOOKUP(A146,'Date Calcs'!A:G,7,0)*7),VLOOKUP(A146,'Actual Dates'!A:AE,21,FALSE())),"")</f>
        <v/>
      </c>
      <c r="AG146" s="38" t="str">
        <f>IF(VLOOKUP(A146,'Actual Dates'!A:AE,20,0)="","",VLOOKUP(A146,'Actual Dates'!A:AE,20,0))</f>
        <v/>
      </c>
      <c r="AH146" s="38" t="str">
        <f>_xlfn.IFNA(IF($AG146="","",IF(X146="Y","DONE",VLOOKUP(A146,'Ship Date'!A:AE,27,0))),"")</f>
        <v/>
      </c>
      <c r="AI146" s="12">
        <f t="shared" ca="1" si="71"/>
        <v>0</v>
      </c>
      <c r="AJ146" s="38" t="str">
        <f>_xlfn.IFNA(IF($AG146="","",IF(AB146="Y","DONE",VLOOKUP(A146,'Ship Date'!A:AG,29,0))),"")</f>
        <v/>
      </c>
      <c r="AK146" s="12">
        <f t="shared" ca="1" si="72"/>
        <v>0</v>
      </c>
      <c r="AL146" s="38" t="str">
        <f>_xlfn.IFNA(IF($AG146="","",IF(Z146="Y","DONE",VLOOKUP(A146,'Ship Date'!A:AI,28,0))),"")</f>
        <v/>
      </c>
      <c r="AM146" s="12">
        <f t="shared" ca="1" si="73"/>
        <v>0</v>
      </c>
      <c r="AN146" s="38" t="str">
        <f>_xlfn.IFNA(IF(T146="Y","DONE",VLOOKUP(A146,'Ship Date'!A:AE,25,0)),"")</f>
        <v/>
      </c>
      <c r="AO146" s="12">
        <f t="shared" si="74"/>
        <v>0</v>
      </c>
      <c r="AP146" s="38" t="str">
        <f>_xlfn.IFNA(IF(AD146="Y","DONE",VLOOKUP(A146,'Ship Date'!A:AE,30,0)),"")</f>
        <v/>
      </c>
      <c r="AQ146" s="12">
        <f t="shared" ca="1" si="75"/>
        <v>0</v>
      </c>
      <c r="AR146" s="38" t="str">
        <f>IFERROR(_xlfn.IFNA(VLOOKUP(A146,'Ship Date'!A:C,3,0),""),"")</f>
        <v/>
      </c>
      <c r="AS146" s="12" t="str">
        <f t="shared" ca="1" si="76"/>
        <v/>
      </c>
      <c r="AT146" s="38">
        <f>_xlfn.IFNA(IF(VLOOKUP(A146,'Actual Dates'!A:AF,32,0)="N/A"," ",VLOOKUP(A146,'Actual Dates'!A:AF,32,0))," ")</f>
        <v>0</v>
      </c>
      <c r="AU146" s="39"/>
      <c r="AV146" s="38" t="str">
        <f>_xlfn.IFNA(IF(VLOOKUP(A146,'Actual Dates'!A:AE,31,0)="","",VLOOKUP(A146,'Actual Dates'!A:AE,31,0)),"")</f>
        <v/>
      </c>
      <c r="AW146" s="40"/>
    </row>
    <row r="147" spans="1:49" ht="23.25" x14ac:dyDescent="0.25">
      <c r="A147" s="12">
        <f>'Actual Dates'!A146</f>
        <v>0</v>
      </c>
      <c r="B147" s="13" t="str">
        <f t="shared" si="68"/>
        <v/>
      </c>
      <c r="C147" s="35"/>
      <c r="D147" s="36" t="str">
        <f t="shared" si="77"/>
        <v/>
      </c>
      <c r="E147" s="37" t="str">
        <f t="shared" si="78"/>
        <v xml:space="preserve">  </v>
      </c>
      <c r="F147" s="36" t="str">
        <f t="shared" si="79"/>
        <v xml:space="preserve">  </v>
      </c>
      <c r="G147" s="37" t="str">
        <f t="shared" si="80"/>
        <v xml:space="preserve">  </v>
      </c>
      <c r="H147" s="36" t="str">
        <f t="shared" si="69"/>
        <v xml:space="preserve">  </v>
      </c>
      <c r="I147" s="37" t="str">
        <f t="shared" si="81"/>
        <v xml:space="preserve">  </v>
      </c>
      <c r="J147" s="35"/>
      <c r="K147" s="36" t="str">
        <f t="shared" si="82"/>
        <v>Y</v>
      </c>
      <c r="L147" s="37" t="str">
        <f t="shared" si="83"/>
        <v/>
      </c>
      <c r="M147" s="37" t="str">
        <f t="shared" si="70"/>
        <v xml:space="preserve">  </v>
      </c>
      <c r="N147" s="36" t="str">
        <f t="shared" si="84"/>
        <v xml:space="preserve">  </v>
      </c>
      <c r="O147" s="37" t="str">
        <f t="shared" si="85"/>
        <v/>
      </c>
      <c r="P147" s="36" t="str">
        <f t="shared" si="86"/>
        <v xml:space="preserve">  </v>
      </c>
      <c r="Q147" s="37" t="str">
        <f t="shared" si="87"/>
        <v xml:space="preserve">  </v>
      </c>
      <c r="R147" s="36" t="str">
        <f t="shared" si="88"/>
        <v xml:space="preserve">  </v>
      </c>
      <c r="S147" s="37" t="str">
        <f t="shared" si="89"/>
        <v xml:space="preserve">  </v>
      </c>
      <c r="T147" s="36" t="str">
        <f t="shared" si="90"/>
        <v xml:space="preserve">  </v>
      </c>
      <c r="U147" s="37" t="str">
        <f t="shared" si="91"/>
        <v xml:space="preserve">  </v>
      </c>
      <c r="V147" s="36" t="str">
        <f t="shared" si="92"/>
        <v xml:space="preserve">  </v>
      </c>
      <c r="W147" s="37" t="str">
        <f t="shared" si="93"/>
        <v xml:space="preserve">  </v>
      </c>
      <c r="X147" s="36" t="str">
        <f t="shared" si="94"/>
        <v xml:space="preserve">  </v>
      </c>
      <c r="Y147" s="37" t="str">
        <f t="shared" si="95"/>
        <v xml:space="preserve">  </v>
      </c>
      <c r="Z147" s="36" t="str">
        <f t="shared" si="96"/>
        <v xml:space="preserve">  </v>
      </c>
      <c r="AA147" s="37" t="str">
        <f t="shared" si="97"/>
        <v xml:space="preserve">  </v>
      </c>
      <c r="AB147" s="36" t="str">
        <f t="shared" si="98"/>
        <v xml:space="preserve">  </v>
      </c>
      <c r="AC147" s="37" t="str">
        <f t="shared" si="99"/>
        <v xml:space="preserve">  </v>
      </c>
      <c r="AD147" s="36" t="str">
        <f t="shared" si="100"/>
        <v xml:space="preserve">  </v>
      </c>
      <c r="AE147" s="37" t="str">
        <f t="shared" si="101"/>
        <v xml:space="preserve">  </v>
      </c>
      <c r="AF147" s="38" t="str">
        <f ca="1">_xlfn.IFNA(IF(AG147="",TODAY()+(VLOOKUP(A147,'Date Calcs'!A:G,7,0)*7),VLOOKUP(A147,'Actual Dates'!A:AE,21,FALSE())),"")</f>
        <v/>
      </c>
      <c r="AG147" s="38" t="str">
        <f>IF(VLOOKUP(A147,'Actual Dates'!A:AE,20,0)="","",VLOOKUP(A147,'Actual Dates'!A:AE,20,0))</f>
        <v/>
      </c>
      <c r="AH147" s="38" t="str">
        <f>_xlfn.IFNA(IF($AG147="","",IF(X147="Y","DONE",VLOOKUP(A147,'Ship Date'!A:AE,27,0))),"")</f>
        <v/>
      </c>
      <c r="AI147" s="12">
        <f t="shared" ca="1" si="71"/>
        <v>0</v>
      </c>
      <c r="AJ147" s="38" t="str">
        <f>_xlfn.IFNA(IF($AG147="","",IF(AB147="Y","DONE",VLOOKUP(A147,'Ship Date'!A:AG,29,0))),"")</f>
        <v/>
      </c>
      <c r="AK147" s="12">
        <f t="shared" ca="1" si="72"/>
        <v>0</v>
      </c>
      <c r="AL147" s="38" t="str">
        <f>_xlfn.IFNA(IF($AG147="","",IF(Z147="Y","DONE",VLOOKUP(A147,'Ship Date'!A:AI,28,0))),"")</f>
        <v/>
      </c>
      <c r="AM147" s="12">
        <f t="shared" ca="1" si="73"/>
        <v>0</v>
      </c>
      <c r="AN147" s="38" t="str">
        <f>_xlfn.IFNA(IF(T147="Y","DONE",VLOOKUP(A147,'Ship Date'!A:AE,25,0)),"")</f>
        <v/>
      </c>
      <c r="AO147" s="12">
        <f t="shared" si="74"/>
        <v>0</v>
      </c>
      <c r="AP147" s="38" t="str">
        <f>_xlfn.IFNA(IF(AD147="Y","DONE",VLOOKUP(A147,'Ship Date'!A:AE,30,0)),"")</f>
        <v/>
      </c>
      <c r="AQ147" s="12">
        <f t="shared" ca="1" si="75"/>
        <v>0</v>
      </c>
      <c r="AR147" s="38" t="str">
        <f>IFERROR(_xlfn.IFNA(VLOOKUP(A147,'Ship Date'!A:C,3,0),""),"")</f>
        <v/>
      </c>
      <c r="AS147" s="12" t="str">
        <f t="shared" ca="1" si="76"/>
        <v/>
      </c>
      <c r="AT147" s="38">
        <f>_xlfn.IFNA(IF(VLOOKUP(A147,'Actual Dates'!A:AF,32,0)="N/A"," ",VLOOKUP(A147,'Actual Dates'!A:AF,32,0))," ")</f>
        <v>0</v>
      </c>
      <c r="AU147" s="39"/>
      <c r="AV147" s="38" t="str">
        <f>_xlfn.IFNA(IF(VLOOKUP(A147,'Actual Dates'!A:AE,31,0)="","",VLOOKUP(A147,'Actual Dates'!A:AE,31,0)),"")</f>
        <v/>
      </c>
      <c r="AW147" s="40"/>
    </row>
    <row r="148" spans="1:49" ht="23.25" x14ac:dyDescent="0.25">
      <c r="A148" s="12">
        <f>'Actual Dates'!A147</f>
        <v>0</v>
      </c>
      <c r="B148" s="13" t="str">
        <f t="shared" si="68"/>
        <v/>
      </c>
      <c r="C148" s="35"/>
      <c r="D148" s="36" t="str">
        <f t="shared" si="77"/>
        <v/>
      </c>
      <c r="E148" s="37" t="str">
        <f t="shared" si="78"/>
        <v xml:space="preserve">  </v>
      </c>
      <c r="F148" s="36" t="str">
        <f t="shared" si="79"/>
        <v xml:space="preserve">  </v>
      </c>
      <c r="G148" s="37" t="str">
        <f t="shared" si="80"/>
        <v xml:space="preserve">  </v>
      </c>
      <c r="H148" s="36" t="str">
        <f t="shared" si="69"/>
        <v xml:space="preserve">  </v>
      </c>
      <c r="I148" s="37" t="str">
        <f t="shared" si="81"/>
        <v xml:space="preserve">  </v>
      </c>
      <c r="J148" s="35"/>
      <c r="K148" s="36" t="str">
        <f t="shared" si="82"/>
        <v>Y</v>
      </c>
      <c r="L148" s="37" t="str">
        <f t="shared" si="83"/>
        <v/>
      </c>
      <c r="M148" s="37" t="str">
        <f t="shared" si="70"/>
        <v xml:space="preserve">  </v>
      </c>
      <c r="N148" s="36" t="str">
        <f t="shared" si="84"/>
        <v xml:space="preserve">  </v>
      </c>
      <c r="O148" s="37" t="str">
        <f t="shared" si="85"/>
        <v/>
      </c>
      <c r="P148" s="36" t="str">
        <f t="shared" si="86"/>
        <v xml:space="preserve">  </v>
      </c>
      <c r="Q148" s="37" t="str">
        <f t="shared" si="87"/>
        <v xml:space="preserve">  </v>
      </c>
      <c r="R148" s="36" t="str">
        <f t="shared" si="88"/>
        <v xml:space="preserve">  </v>
      </c>
      <c r="S148" s="37" t="str">
        <f t="shared" si="89"/>
        <v xml:space="preserve">  </v>
      </c>
      <c r="T148" s="36" t="str">
        <f t="shared" si="90"/>
        <v xml:space="preserve">  </v>
      </c>
      <c r="U148" s="37" t="str">
        <f t="shared" si="91"/>
        <v xml:space="preserve">  </v>
      </c>
      <c r="V148" s="36" t="str">
        <f t="shared" si="92"/>
        <v xml:space="preserve">  </v>
      </c>
      <c r="W148" s="37" t="str">
        <f t="shared" si="93"/>
        <v xml:space="preserve">  </v>
      </c>
      <c r="X148" s="36" t="str">
        <f t="shared" si="94"/>
        <v xml:space="preserve">  </v>
      </c>
      <c r="Y148" s="37" t="str">
        <f t="shared" si="95"/>
        <v xml:space="preserve">  </v>
      </c>
      <c r="Z148" s="36" t="str">
        <f t="shared" si="96"/>
        <v xml:space="preserve">  </v>
      </c>
      <c r="AA148" s="37" t="str">
        <f t="shared" si="97"/>
        <v xml:space="preserve">  </v>
      </c>
      <c r="AB148" s="36" t="str">
        <f t="shared" si="98"/>
        <v xml:space="preserve">  </v>
      </c>
      <c r="AC148" s="37" t="str">
        <f t="shared" si="99"/>
        <v xml:space="preserve">  </v>
      </c>
      <c r="AD148" s="36" t="str">
        <f t="shared" si="100"/>
        <v xml:space="preserve">  </v>
      </c>
      <c r="AE148" s="37" t="str">
        <f t="shared" si="101"/>
        <v xml:space="preserve">  </v>
      </c>
      <c r="AF148" s="38" t="str">
        <f ca="1">_xlfn.IFNA(IF(AG148="",TODAY()+(VLOOKUP(A148,'Date Calcs'!A:G,7,0)*7),VLOOKUP(A148,'Actual Dates'!A:AE,21,FALSE())),"")</f>
        <v/>
      </c>
      <c r="AG148" s="38" t="str">
        <f>IF(VLOOKUP(A148,'Actual Dates'!A:AE,20,0)="","",VLOOKUP(A148,'Actual Dates'!A:AE,20,0))</f>
        <v/>
      </c>
      <c r="AH148" s="38" t="str">
        <f>_xlfn.IFNA(IF($AG148="","",IF(X148="Y","DONE",VLOOKUP(A148,'Ship Date'!A:AE,27,0))),"")</f>
        <v/>
      </c>
      <c r="AI148" s="12">
        <f t="shared" ca="1" si="71"/>
        <v>0</v>
      </c>
      <c r="AJ148" s="38" t="str">
        <f>_xlfn.IFNA(IF($AG148="","",IF(AB148="Y","DONE",VLOOKUP(A148,'Ship Date'!A:AG,29,0))),"")</f>
        <v/>
      </c>
      <c r="AK148" s="12">
        <f t="shared" ca="1" si="72"/>
        <v>0</v>
      </c>
      <c r="AL148" s="38" t="str">
        <f>_xlfn.IFNA(IF($AG148="","",IF(Z148="Y","DONE",VLOOKUP(A148,'Ship Date'!A:AI,28,0))),"")</f>
        <v/>
      </c>
      <c r="AM148" s="12">
        <f t="shared" ca="1" si="73"/>
        <v>0</v>
      </c>
      <c r="AN148" s="38" t="str">
        <f>_xlfn.IFNA(IF(T148="Y","DONE",VLOOKUP(A148,'Ship Date'!A:AE,25,0)),"")</f>
        <v/>
      </c>
      <c r="AO148" s="12">
        <f t="shared" si="74"/>
        <v>0</v>
      </c>
      <c r="AP148" s="38" t="str">
        <f>_xlfn.IFNA(IF(AD148="Y","DONE",VLOOKUP(A148,'Ship Date'!A:AE,30,0)),"")</f>
        <v/>
      </c>
      <c r="AQ148" s="12">
        <f t="shared" ca="1" si="75"/>
        <v>0</v>
      </c>
      <c r="AR148" s="38" t="str">
        <f>IFERROR(_xlfn.IFNA(VLOOKUP(A148,'Ship Date'!A:C,3,0),""),"")</f>
        <v/>
      </c>
      <c r="AS148" s="12" t="str">
        <f t="shared" ca="1" si="76"/>
        <v/>
      </c>
      <c r="AT148" s="38">
        <f>_xlfn.IFNA(IF(VLOOKUP(A148,'Actual Dates'!A:AF,32,0)="N/A"," ",VLOOKUP(A148,'Actual Dates'!A:AF,32,0))," ")</f>
        <v>0</v>
      </c>
      <c r="AU148" s="39"/>
      <c r="AV148" s="38" t="str">
        <f>_xlfn.IFNA(IF(VLOOKUP(A148,'Actual Dates'!A:AE,31,0)="","",VLOOKUP(A148,'Actual Dates'!A:AE,31,0)),"")</f>
        <v/>
      </c>
      <c r="AW148" s="40"/>
    </row>
    <row r="149" spans="1:49" ht="23.25" x14ac:dyDescent="0.25">
      <c r="A149" s="12">
        <f>'Actual Dates'!A148</f>
        <v>0</v>
      </c>
      <c r="B149" s="13" t="str">
        <f t="shared" si="68"/>
        <v/>
      </c>
      <c r="C149" s="35"/>
      <c r="D149" s="36" t="str">
        <f t="shared" si="77"/>
        <v/>
      </c>
      <c r="E149" s="37" t="str">
        <f t="shared" si="78"/>
        <v xml:space="preserve">  </v>
      </c>
      <c r="F149" s="36" t="str">
        <f t="shared" si="79"/>
        <v xml:space="preserve">  </v>
      </c>
      <c r="G149" s="37" t="str">
        <f t="shared" si="80"/>
        <v xml:space="preserve">  </v>
      </c>
      <c r="H149" s="36" t="str">
        <f t="shared" si="69"/>
        <v xml:space="preserve">  </v>
      </c>
      <c r="I149" s="37" t="str">
        <f t="shared" si="81"/>
        <v xml:space="preserve">  </v>
      </c>
      <c r="J149" s="35"/>
      <c r="K149" s="36" t="str">
        <f t="shared" si="82"/>
        <v>Y</v>
      </c>
      <c r="L149" s="37" t="str">
        <f t="shared" si="83"/>
        <v/>
      </c>
      <c r="M149" s="37" t="str">
        <f t="shared" si="70"/>
        <v xml:space="preserve">  </v>
      </c>
      <c r="N149" s="36" t="str">
        <f t="shared" si="84"/>
        <v xml:space="preserve">  </v>
      </c>
      <c r="O149" s="37" t="str">
        <f t="shared" si="85"/>
        <v/>
      </c>
      <c r="P149" s="36" t="str">
        <f t="shared" si="86"/>
        <v xml:space="preserve">  </v>
      </c>
      <c r="Q149" s="37" t="str">
        <f t="shared" si="87"/>
        <v xml:space="preserve">  </v>
      </c>
      <c r="R149" s="36" t="str">
        <f t="shared" si="88"/>
        <v xml:space="preserve">  </v>
      </c>
      <c r="S149" s="37" t="str">
        <f t="shared" si="89"/>
        <v xml:space="preserve">  </v>
      </c>
      <c r="T149" s="36" t="str">
        <f t="shared" si="90"/>
        <v xml:space="preserve">  </v>
      </c>
      <c r="U149" s="37" t="str">
        <f t="shared" si="91"/>
        <v xml:space="preserve">  </v>
      </c>
      <c r="V149" s="36" t="str">
        <f t="shared" si="92"/>
        <v xml:space="preserve">  </v>
      </c>
      <c r="W149" s="37" t="str">
        <f t="shared" si="93"/>
        <v xml:space="preserve">  </v>
      </c>
      <c r="X149" s="36" t="str">
        <f t="shared" si="94"/>
        <v xml:space="preserve">  </v>
      </c>
      <c r="Y149" s="37" t="str">
        <f t="shared" si="95"/>
        <v xml:space="preserve">  </v>
      </c>
      <c r="Z149" s="36" t="str">
        <f t="shared" si="96"/>
        <v xml:space="preserve">  </v>
      </c>
      <c r="AA149" s="37" t="str">
        <f t="shared" si="97"/>
        <v xml:space="preserve">  </v>
      </c>
      <c r="AB149" s="36" t="str">
        <f t="shared" si="98"/>
        <v xml:space="preserve">  </v>
      </c>
      <c r="AC149" s="37" t="str">
        <f t="shared" si="99"/>
        <v xml:space="preserve">  </v>
      </c>
      <c r="AD149" s="36" t="str">
        <f t="shared" si="100"/>
        <v xml:space="preserve">  </v>
      </c>
      <c r="AE149" s="37" t="str">
        <f t="shared" si="101"/>
        <v xml:space="preserve">  </v>
      </c>
      <c r="AF149" s="38" t="str">
        <f ca="1">_xlfn.IFNA(IF(AG149="",TODAY()+(VLOOKUP(A149,'Date Calcs'!A:G,7,0)*7),VLOOKUP(A149,'Actual Dates'!A:AE,21,FALSE())),"")</f>
        <v/>
      </c>
      <c r="AG149" s="38" t="str">
        <f>IF(VLOOKUP(A149,'Actual Dates'!A:AE,20,0)="","",VLOOKUP(A149,'Actual Dates'!A:AE,20,0))</f>
        <v/>
      </c>
      <c r="AH149" s="38" t="str">
        <f>_xlfn.IFNA(IF($AG149="","",IF(X149="Y","DONE",VLOOKUP(A149,'Ship Date'!A:AE,27,0))),"")</f>
        <v/>
      </c>
      <c r="AI149" s="12">
        <f t="shared" ca="1" si="71"/>
        <v>0</v>
      </c>
      <c r="AJ149" s="38" t="str">
        <f>_xlfn.IFNA(IF($AG149="","",IF(AB149="Y","DONE",VLOOKUP(A149,'Ship Date'!A:AG,29,0))),"")</f>
        <v/>
      </c>
      <c r="AK149" s="12">
        <f t="shared" ca="1" si="72"/>
        <v>0</v>
      </c>
      <c r="AL149" s="38" t="str">
        <f>_xlfn.IFNA(IF($AG149="","",IF(Z149="Y","DONE",VLOOKUP(A149,'Ship Date'!A:AI,28,0))),"")</f>
        <v/>
      </c>
      <c r="AM149" s="12">
        <f t="shared" ca="1" si="73"/>
        <v>0</v>
      </c>
      <c r="AN149" s="38" t="str">
        <f>_xlfn.IFNA(IF(T149="Y","DONE",VLOOKUP(A149,'Ship Date'!A:AE,25,0)),"")</f>
        <v/>
      </c>
      <c r="AO149" s="12">
        <f t="shared" si="74"/>
        <v>0</v>
      </c>
      <c r="AP149" s="38" t="str">
        <f>_xlfn.IFNA(IF(AD149="Y","DONE",VLOOKUP(A149,'Ship Date'!A:AE,30,0)),"")</f>
        <v/>
      </c>
      <c r="AQ149" s="12">
        <f t="shared" ca="1" si="75"/>
        <v>0</v>
      </c>
      <c r="AR149" s="38" t="str">
        <f>IFERROR(_xlfn.IFNA(VLOOKUP(A149,'Ship Date'!A:C,3,0),""),"")</f>
        <v/>
      </c>
      <c r="AS149" s="12" t="str">
        <f t="shared" ca="1" si="76"/>
        <v/>
      </c>
      <c r="AT149" s="38">
        <f>_xlfn.IFNA(IF(VLOOKUP(A149,'Actual Dates'!A:AF,32,0)="N/A"," ",VLOOKUP(A149,'Actual Dates'!A:AF,32,0))," ")</f>
        <v>0</v>
      </c>
      <c r="AU149" s="39"/>
      <c r="AV149" s="38" t="str">
        <f>_xlfn.IFNA(IF(VLOOKUP(A149,'Actual Dates'!A:AE,31,0)="","",VLOOKUP(A149,'Actual Dates'!A:AE,31,0)),"")</f>
        <v/>
      </c>
      <c r="AW149" s="40"/>
    </row>
    <row r="150" spans="1:49" ht="23.25" x14ac:dyDescent="0.25">
      <c r="A150" s="12">
        <f>'Actual Dates'!A149</f>
        <v>0</v>
      </c>
      <c r="B150" s="13" t="str">
        <f t="shared" si="68"/>
        <v/>
      </c>
      <c r="C150" s="35"/>
      <c r="D150" s="36" t="str">
        <f t="shared" si="77"/>
        <v/>
      </c>
      <c r="E150" s="37" t="str">
        <f t="shared" si="78"/>
        <v xml:space="preserve">  </v>
      </c>
      <c r="F150" s="36" t="str">
        <f t="shared" si="79"/>
        <v xml:space="preserve">  </v>
      </c>
      <c r="G150" s="37" t="str">
        <f t="shared" si="80"/>
        <v xml:space="preserve">  </v>
      </c>
      <c r="H150" s="36" t="str">
        <f t="shared" si="69"/>
        <v xml:space="preserve">  </v>
      </c>
      <c r="I150" s="37" t="str">
        <f t="shared" si="81"/>
        <v xml:space="preserve">  </v>
      </c>
      <c r="J150" s="35"/>
      <c r="K150" s="36" t="str">
        <f t="shared" si="82"/>
        <v>Y</v>
      </c>
      <c r="L150" s="37" t="str">
        <f t="shared" si="83"/>
        <v/>
      </c>
      <c r="M150" s="37" t="str">
        <f t="shared" si="70"/>
        <v xml:space="preserve">  </v>
      </c>
      <c r="N150" s="36" t="str">
        <f t="shared" si="84"/>
        <v xml:space="preserve">  </v>
      </c>
      <c r="O150" s="37" t="str">
        <f t="shared" si="85"/>
        <v/>
      </c>
      <c r="P150" s="36" t="str">
        <f t="shared" si="86"/>
        <v xml:space="preserve">  </v>
      </c>
      <c r="Q150" s="37" t="str">
        <f t="shared" si="87"/>
        <v xml:space="preserve">  </v>
      </c>
      <c r="R150" s="36" t="str">
        <f t="shared" si="88"/>
        <v xml:space="preserve">  </v>
      </c>
      <c r="S150" s="37" t="str">
        <f t="shared" si="89"/>
        <v xml:space="preserve">  </v>
      </c>
      <c r="T150" s="36" t="str">
        <f t="shared" si="90"/>
        <v xml:space="preserve">  </v>
      </c>
      <c r="U150" s="37" t="str">
        <f t="shared" si="91"/>
        <v xml:space="preserve">  </v>
      </c>
      <c r="V150" s="36" t="str">
        <f t="shared" si="92"/>
        <v xml:space="preserve">  </v>
      </c>
      <c r="W150" s="37" t="str">
        <f t="shared" si="93"/>
        <v xml:space="preserve">  </v>
      </c>
      <c r="X150" s="36" t="str">
        <f t="shared" si="94"/>
        <v xml:space="preserve">  </v>
      </c>
      <c r="Y150" s="37" t="str">
        <f t="shared" si="95"/>
        <v xml:space="preserve">  </v>
      </c>
      <c r="Z150" s="36" t="str">
        <f t="shared" si="96"/>
        <v xml:space="preserve">  </v>
      </c>
      <c r="AA150" s="37" t="str">
        <f t="shared" si="97"/>
        <v xml:space="preserve">  </v>
      </c>
      <c r="AB150" s="36" t="str">
        <f t="shared" si="98"/>
        <v xml:space="preserve">  </v>
      </c>
      <c r="AC150" s="37" t="str">
        <f t="shared" si="99"/>
        <v xml:space="preserve">  </v>
      </c>
      <c r="AD150" s="36" t="str">
        <f t="shared" si="100"/>
        <v xml:space="preserve">  </v>
      </c>
      <c r="AE150" s="37" t="str">
        <f t="shared" si="101"/>
        <v xml:space="preserve">  </v>
      </c>
      <c r="AF150" s="38" t="str">
        <f ca="1">_xlfn.IFNA(IF(AG150="",TODAY()+(VLOOKUP(A150,'Date Calcs'!A:G,7,0)*7),VLOOKUP(A150,'Actual Dates'!A:AE,21,FALSE())),"")</f>
        <v/>
      </c>
      <c r="AG150" s="38" t="str">
        <f>IF(VLOOKUP(A150,'Actual Dates'!A:AE,20,0)="","",VLOOKUP(A150,'Actual Dates'!A:AE,20,0))</f>
        <v/>
      </c>
      <c r="AH150" s="38" t="str">
        <f>_xlfn.IFNA(IF($AG150="","",IF(X150="Y","DONE",VLOOKUP(A150,'Ship Date'!A:AE,27,0))),"")</f>
        <v/>
      </c>
      <c r="AI150" s="12">
        <f t="shared" ca="1" si="71"/>
        <v>0</v>
      </c>
      <c r="AJ150" s="38" t="str">
        <f>_xlfn.IFNA(IF($AG150="","",IF(AB150="Y","DONE",VLOOKUP(A150,'Ship Date'!A:AG,29,0))),"")</f>
        <v/>
      </c>
      <c r="AK150" s="12">
        <f t="shared" ca="1" si="72"/>
        <v>0</v>
      </c>
      <c r="AL150" s="38" t="str">
        <f>_xlfn.IFNA(IF($AG150="","",IF(Z150="Y","DONE",VLOOKUP(A150,'Ship Date'!A:AI,28,0))),"")</f>
        <v/>
      </c>
      <c r="AM150" s="12">
        <f t="shared" ca="1" si="73"/>
        <v>0</v>
      </c>
      <c r="AN150" s="38" t="str">
        <f>_xlfn.IFNA(IF(T150="Y","DONE",VLOOKUP(A150,'Ship Date'!A:AE,25,0)),"")</f>
        <v/>
      </c>
      <c r="AO150" s="12">
        <f t="shared" si="74"/>
        <v>0</v>
      </c>
      <c r="AP150" s="38" t="str">
        <f>_xlfn.IFNA(IF(AD150="Y","DONE",VLOOKUP(A150,'Ship Date'!A:AE,30,0)),"")</f>
        <v/>
      </c>
      <c r="AQ150" s="12">
        <f t="shared" ca="1" si="75"/>
        <v>0</v>
      </c>
      <c r="AR150" s="38" t="str">
        <f>IFERROR(_xlfn.IFNA(VLOOKUP(A150,'Ship Date'!A:C,3,0),""),"")</f>
        <v/>
      </c>
      <c r="AS150" s="12" t="str">
        <f t="shared" ca="1" si="76"/>
        <v/>
      </c>
      <c r="AT150" s="38">
        <f>_xlfn.IFNA(IF(VLOOKUP(A150,'Actual Dates'!A:AF,32,0)="N/A"," ",VLOOKUP(A150,'Actual Dates'!A:AF,32,0))," ")</f>
        <v>0</v>
      </c>
      <c r="AU150" s="39"/>
      <c r="AV150" s="38" t="str">
        <f>_xlfn.IFNA(IF(VLOOKUP(A150,'Actual Dates'!A:AE,31,0)="","",VLOOKUP(A150,'Actual Dates'!A:AE,31,0)),"")</f>
        <v/>
      </c>
      <c r="AW150" s="40"/>
    </row>
    <row r="151" spans="1:49" ht="23.25" x14ac:dyDescent="0.25">
      <c r="A151" s="12">
        <f>'Actual Dates'!A150</f>
        <v>0</v>
      </c>
      <c r="B151" s="13" t="str">
        <f t="shared" si="68"/>
        <v/>
      </c>
      <c r="C151" s="35"/>
      <c r="D151" s="36" t="str">
        <f t="shared" si="77"/>
        <v/>
      </c>
      <c r="E151" s="37" t="str">
        <f t="shared" si="78"/>
        <v xml:space="preserve">  </v>
      </c>
      <c r="F151" s="36" t="str">
        <f t="shared" si="79"/>
        <v xml:space="preserve">  </v>
      </c>
      <c r="G151" s="37" t="str">
        <f t="shared" si="80"/>
        <v xml:space="preserve">  </v>
      </c>
      <c r="H151" s="36" t="str">
        <f t="shared" si="69"/>
        <v xml:space="preserve">  </v>
      </c>
      <c r="I151" s="37" t="str">
        <f t="shared" si="81"/>
        <v xml:space="preserve">  </v>
      </c>
      <c r="J151" s="35"/>
      <c r="K151" s="36" t="str">
        <f t="shared" si="82"/>
        <v>Y</v>
      </c>
      <c r="L151" s="37" t="str">
        <f t="shared" si="83"/>
        <v/>
      </c>
      <c r="M151" s="37" t="str">
        <f t="shared" si="70"/>
        <v xml:space="preserve">  </v>
      </c>
      <c r="N151" s="36" t="str">
        <f t="shared" si="84"/>
        <v xml:space="preserve">  </v>
      </c>
      <c r="O151" s="37" t="str">
        <f t="shared" si="85"/>
        <v/>
      </c>
      <c r="P151" s="36" t="str">
        <f t="shared" si="86"/>
        <v xml:space="preserve">  </v>
      </c>
      <c r="Q151" s="37" t="str">
        <f t="shared" si="87"/>
        <v xml:space="preserve">  </v>
      </c>
      <c r="R151" s="36" t="str">
        <f t="shared" si="88"/>
        <v xml:space="preserve">  </v>
      </c>
      <c r="S151" s="37" t="str">
        <f t="shared" si="89"/>
        <v xml:space="preserve">  </v>
      </c>
      <c r="T151" s="36" t="str">
        <f t="shared" si="90"/>
        <v xml:space="preserve">  </v>
      </c>
      <c r="U151" s="37" t="str">
        <f t="shared" si="91"/>
        <v xml:space="preserve">  </v>
      </c>
      <c r="V151" s="36" t="str">
        <f t="shared" si="92"/>
        <v xml:space="preserve">  </v>
      </c>
      <c r="W151" s="37" t="str">
        <f t="shared" si="93"/>
        <v xml:space="preserve">  </v>
      </c>
      <c r="X151" s="36" t="str">
        <f t="shared" si="94"/>
        <v xml:space="preserve">  </v>
      </c>
      <c r="Y151" s="37" t="str">
        <f t="shared" si="95"/>
        <v xml:space="preserve">  </v>
      </c>
      <c r="Z151" s="36" t="str">
        <f t="shared" si="96"/>
        <v xml:space="preserve">  </v>
      </c>
      <c r="AA151" s="37" t="str">
        <f t="shared" si="97"/>
        <v xml:space="preserve">  </v>
      </c>
      <c r="AB151" s="36" t="str">
        <f t="shared" si="98"/>
        <v xml:space="preserve">  </v>
      </c>
      <c r="AC151" s="37" t="str">
        <f t="shared" si="99"/>
        <v xml:space="preserve">  </v>
      </c>
      <c r="AD151" s="36" t="str">
        <f t="shared" si="100"/>
        <v xml:space="preserve">  </v>
      </c>
      <c r="AE151" s="37" t="str">
        <f t="shared" si="101"/>
        <v xml:space="preserve">  </v>
      </c>
      <c r="AF151" s="38" t="str">
        <f ca="1">_xlfn.IFNA(IF(AG151="",TODAY()+(VLOOKUP(A151,'Date Calcs'!A:G,7,0)*7),VLOOKUP(A151,'Actual Dates'!A:AE,21,FALSE())),"")</f>
        <v/>
      </c>
      <c r="AG151" s="38" t="str">
        <f>IF(VLOOKUP(A151,'Actual Dates'!A:AE,20,0)="","",VLOOKUP(A151,'Actual Dates'!A:AE,20,0))</f>
        <v/>
      </c>
      <c r="AH151" s="38" t="str">
        <f>_xlfn.IFNA(IF($AG151="","",IF(X151="Y","DONE",VLOOKUP(A151,'Ship Date'!A:AE,27,0))),"")</f>
        <v/>
      </c>
      <c r="AI151" s="12">
        <f t="shared" ca="1" si="71"/>
        <v>0</v>
      </c>
      <c r="AJ151" s="38" t="str">
        <f>_xlfn.IFNA(IF($AG151="","",IF(AB151="Y","DONE",VLOOKUP(A151,'Ship Date'!A:AG,29,0))),"")</f>
        <v/>
      </c>
      <c r="AK151" s="12">
        <f t="shared" ca="1" si="72"/>
        <v>0</v>
      </c>
      <c r="AL151" s="38" t="str">
        <f>_xlfn.IFNA(IF($AG151="","",IF(Z151="Y","DONE",VLOOKUP(A151,'Ship Date'!A:AI,28,0))),"")</f>
        <v/>
      </c>
      <c r="AM151" s="12">
        <f t="shared" ca="1" si="73"/>
        <v>0</v>
      </c>
      <c r="AN151" s="38" t="str">
        <f>_xlfn.IFNA(IF(T151="Y","DONE",VLOOKUP(A151,'Ship Date'!A:AE,25,0)),"")</f>
        <v/>
      </c>
      <c r="AO151" s="12">
        <f t="shared" si="74"/>
        <v>0</v>
      </c>
      <c r="AP151" s="38" t="str">
        <f>_xlfn.IFNA(IF(AD151="Y","DONE",VLOOKUP(A151,'Ship Date'!A:AE,30,0)),"")</f>
        <v/>
      </c>
      <c r="AQ151" s="12">
        <f t="shared" ca="1" si="75"/>
        <v>0</v>
      </c>
      <c r="AR151" s="38" t="str">
        <f>IFERROR(_xlfn.IFNA(VLOOKUP(A151,'Ship Date'!A:C,3,0),""),"")</f>
        <v/>
      </c>
      <c r="AS151" s="12" t="str">
        <f t="shared" ca="1" si="76"/>
        <v/>
      </c>
      <c r="AT151" s="38">
        <f>_xlfn.IFNA(IF(VLOOKUP(A151,'Actual Dates'!A:AF,32,0)="N/A"," ",VLOOKUP(A151,'Actual Dates'!A:AF,32,0))," ")</f>
        <v>0</v>
      </c>
      <c r="AU151" s="39"/>
      <c r="AV151" s="38" t="str">
        <f>_xlfn.IFNA(IF(VLOOKUP(A151,'Actual Dates'!A:AE,31,0)="","",VLOOKUP(A151,'Actual Dates'!A:AE,31,0)),"")</f>
        <v/>
      </c>
      <c r="AW151" s="40"/>
    </row>
    <row r="152" spans="1:49" ht="23.25" x14ac:dyDescent="0.25">
      <c r="A152" s="12">
        <f>'Actual Dates'!A151</f>
        <v>0</v>
      </c>
      <c r="B152" s="13" t="str">
        <f t="shared" si="68"/>
        <v/>
      </c>
      <c r="C152" s="35"/>
      <c r="D152" s="36" t="str">
        <f t="shared" si="77"/>
        <v/>
      </c>
      <c r="E152" s="37" t="str">
        <f t="shared" si="78"/>
        <v xml:space="preserve">  </v>
      </c>
      <c r="F152" s="36" t="str">
        <f t="shared" si="79"/>
        <v xml:space="preserve">  </v>
      </c>
      <c r="G152" s="37" t="str">
        <f t="shared" si="80"/>
        <v xml:space="preserve">  </v>
      </c>
      <c r="H152" s="36" t="str">
        <f t="shared" si="69"/>
        <v xml:space="preserve">  </v>
      </c>
      <c r="I152" s="37" t="str">
        <f t="shared" si="81"/>
        <v xml:space="preserve">  </v>
      </c>
      <c r="J152" s="35"/>
      <c r="K152" s="36" t="str">
        <f t="shared" si="82"/>
        <v>Y</v>
      </c>
      <c r="L152" s="37" t="str">
        <f t="shared" si="83"/>
        <v/>
      </c>
      <c r="M152" s="37" t="str">
        <f t="shared" si="70"/>
        <v xml:space="preserve">  </v>
      </c>
      <c r="N152" s="36" t="str">
        <f t="shared" si="84"/>
        <v xml:space="preserve">  </v>
      </c>
      <c r="O152" s="37" t="str">
        <f t="shared" si="85"/>
        <v/>
      </c>
      <c r="P152" s="36" t="str">
        <f t="shared" si="86"/>
        <v xml:space="preserve">  </v>
      </c>
      <c r="Q152" s="37" t="str">
        <f t="shared" si="87"/>
        <v xml:space="preserve">  </v>
      </c>
      <c r="R152" s="36" t="str">
        <f t="shared" si="88"/>
        <v xml:space="preserve">  </v>
      </c>
      <c r="S152" s="37" t="str">
        <f t="shared" si="89"/>
        <v xml:space="preserve">  </v>
      </c>
      <c r="T152" s="36" t="str">
        <f t="shared" si="90"/>
        <v xml:space="preserve">  </v>
      </c>
      <c r="U152" s="37" t="str">
        <f t="shared" si="91"/>
        <v xml:space="preserve">  </v>
      </c>
      <c r="V152" s="36" t="str">
        <f t="shared" si="92"/>
        <v xml:space="preserve">  </v>
      </c>
      <c r="W152" s="37" t="str">
        <f t="shared" si="93"/>
        <v xml:space="preserve">  </v>
      </c>
      <c r="X152" s="36" t="str">
        <f t="shared" si="94"/>
        <v xml:space="preserve">  </v>
      </c>
      <c r="Y152" s="37" t="str">
        <f t="shared" si="95"/>
        <v xml:space="preserve">  </v>
      </c>
      <c r="Z152" s="36" t="str">
        <f t="shared" si="96"/>
        <v xml:space="preserve">  </v>
      </c>
      <c r="AA152" s="37" t="str">
        <f t="shared" si="97"/>
        <v xml:space="preserve">  </v>
      </c>
      <c r="AB152" s="36" t="str">
        <f t="shared" si="98"/>
        <v xml:space="preserve">  </v>
      </c>
      <c r="AC152" s="37" t="str">
        <f t="shared" si="99"/>
        <v xml:space="preserve">  </v>
      </c>
      <c r="AD152" s="36" t="str">
        <f t="shared" si="100"/>
        <v xml:space="preserve">  </v>
      </c>
      <c r="AE152" s="37" t="str">
        <f t="shared" si="101"/>
        <v xml:space="preserve">  </v>
      </c>
      <c r="AF152" s="38" t="str">
        <f ca="1">_xlfn.IFNA(IF(AG152="",TODAY()+(VLOOKUP(A152,'Date Calcs'!A:G,7,0)*7),VLOOKUP(A152,'Actual Dates'!A:AE,21,FALSE())),"")</f>
        <v/>
      </c>
      <c r="AG152" s="38" t="str">
        <f>IF(VLOOKUP(A152,'Actual Dates'!A:AE,20,0)="","",VLOOKUP(A152,'Actual Dates'!A:AE,20,0))</f>
        <v/>
      </c>
      <c r="AH152" s="38" t="str">
        <f>_xlfn.IFNA(IF($AG152="","",IF(X152="Y","DONE",VLOOKUP(A152,'Ship Date'!A:AE,27,0))),"")</f>
        <v/>
      </c>
      <c r="AI152" s="12">
        <f t="shared" ca="1" si="71"/>
        <v>0</v>
      </c>
      <c r="AJ152" s="38" t="str">
        <f>_xlfn.IFNA(IF($AG152="","",IF(AB152="Y","DONE",VLOOKUP(A152,'Ship Date'!A:AG,29,0))),"")</f>
        <v/>
      </c>
      <c r="AK152" s="12">
        <f t="shared" ca="1" si="72"/>
        <v>0</v>
      </c>
      <c r="AL152" s="38" t="str">
        <f>_xlfn.IFNA(IF($AG152="","",IF(Z152="Y","DONE",VLOOKUP(A152,'Ship Date'!A:AI,28,0))),"")</f>
        <v/>
      </c>
      <c r="AM152" s="12">
        <f t="shared" ca="1" si="73"/>
        <v>0</v>
      </c>
      <c r="AN152" s="38" t="str">
        <f>_xlfn.IFNA(IF(T152="Y","DONE",VLOOKUP(A152,'Ship Date'!A:AE,25,0)),"")</f>
        <v/>
      </c>
      <c r="AO152" s="12">
        <f t="shared" si="74"/>
        <v>0</v>
      </c>
      <c r="AP152" s="38" t="str">
        <f>_xlfn.IFNA(IF(AD152="Y","DONE",VLOOKUP(A152,'Ship Date'!A:AE,30,0)),"")</f>
        <v/>
      </c>
      <c r="AQ152" s="12">
        <f t="shared" ca="1" si="75"/>
        <v>0</v>
      </c>
      <c r="AR152" s="38" t="str">
        <f>IFERROR(_xlfn.IFNA(VLOOKUP(A152,'Ship Date'!A:C,3,0),""),"")</f>
        <v/>
      </c>
      <c r="AS152" s="12" t="str">
        <f t="shared" ca="1" si="76"/>
        <v/>
      </c>
      <c r="AT152" s="38">
        <f>_xlfn.IFNA(IF(VLOOKUP(A152,'Actual Dates'!A:AF,32,0)="N/A"," ",VLOOKUP(A152,'Actual Dates'!A:AF,32,0))," ")</f>
        <v>0</v>
      </c>
      <c r="AU152" s="39"/>
      <c r="AV152" s="38" t="str">
        <f>_xlfn.IFNA(IF(VLOOKUP(A152,'Actual Dates'!A:AE,31,0)="","",VLOOKUP(A152,'Actual Dates'!A:AE,31,0)),"")</f>
        <v/>
      </c>
      <c r="AW152" s="40"/>
    </row>
    <row r="153" spans="1:49" ht="23.25" x14ac:dyDescent="0.25">
      <c r="A153" s="12">
        <f>'Actual Dates'!A152</f>
        <v>0</v>
      </c>
      <c r="B153" s="13" t="str">
        <f t="shared" si="68"/>
        <v/>
      </c>
      <c r="C153" s="35"/>
      <c r="D153" s="36" t="str">
        <f t="shared" si="77"/>
        <v/>
      </c>
      <c r="E153" s="37" t="str">
        <f t="shared" si="78"/>
        <v xml:space="preserve">  </v>
      </c>
      <c r="F153" s="36" t="str">
        <f t="shared" si="79"/>
        <v xml:space="preserve">  </v>
      </c>
      <c r="G153" s="37" t="str">
        <f t="shared" si="80"/>
        <v xml:space="preserve">  </v>
      </c>
      <c r="H153" s="36" t="str">
        <f t="shared" si="69"/>
        <v xml:space="preserve">  </v>
      </c>
      <c r="I153" s="37" t="str">
        <f t="shared" si="81"/>
        <v xml:space="preserve">  </v>
      </c>
      <c r="J153" s="35"/>
      <c r="K153" s="36" t="str">
        <f t="shared" si="82"/>
        <v>Y</v>
      </c>
      <c r="L153" s="37" t="str">
        <f t="shared" si="83"/>
        <v/>
      </c>
      <c r="M153" s="37" t="str">
        <f t="shared" si="70"/>
        <v xml:space="preserve">  </v>
      </c>
      <c r="N153" s="36" t="str">
        <f t="shared" si="84"/>
        <v xml:space="preserve">  </v>
      </c>
      <c r="O153" s="37" t="str">
        <f t="shared" si="85"/>
        <v/>
      </c>
      <c r="P153" s="36" t="str">
        <f t="shared" si="86"/>
        <v xml:space="preserve">  </v>
      </c>
      <c r="Q153" s="37" t="str">
        <f t="shared" si="87"/>
        <v xml:space="preserve">  </v>
      </c>
      <c r="R153" s="36" t="str">
        <f t="shared" si="88"/>
        <v xml:space="preserve">  </v>
      </c>
      <c r="S153" s="37" t="str">
        <f t="shared" si="89"/>
        <v xml:space="preserve">  </v>
      </c>
      <c r="T153" s="36" t="str">
        <f t="shared" si="90"/>
        <v xml:space="preserve">  </v>
      </c>
      <c r="U153" s="37" t="str">
        <f t="shared" si="91"/>
        <v xml:space="preserve">  </v>
      </c>
      <c r="V153" s="36" t="str">
        <f t="shared" si="92"/>
        <v xml:space="preserve">  </v>
      </c>
      <c r="W153" s="37" t="str">
        <f t="shared" si="93"/>
        <v xml:space="preserve">  </v>
      </c>
      <c r="X153" s="36" t="str">
        <f t="shared" si="94"/>
        <v xml:space="preserve">  </v>
      </c>
      <c r="Y153" s="37" t="str">
        <f t="shared" si="95"/>
        <v xml:space="preserve">  </v>
      </c>
      <c r="Z153" s="36" t="str">
        <f t="shared" si="96"/>
        <v xml:space="preserve">  </v>
      </c>
      <c r="AA153" s="37" t="str">
        <f t="shared" si="97"/>
        <v xml:space="preserve">  </v>
      </c>
      <c r="AB153" s="36" t="str">
        <f t="shared" si="98"/>
        <v xml:space="preserve">  </v>
      </c>
      <c r="AC153" s="37" t="str">
        <f t="shared" si="99"/>
        <v xml:space="preserve">  </v>
      </c>
      <c r="AD153" s="36" t="str">
        <f t="shared" si="100"/>
        <v xml:space="preserve">  </v>
      </c>
      <c r="AE153" s="37" t="str">
        <f t="shared" si="101"/>
        <v xml:space="preserve">  </v>
      </c>
      <c r="AF153" s="38" t="str">
        <f ca="1">_xlfn.IFNA(IF(AG153="",TODAY()+(VLOOKUP(A153,'Date Calcs'!A:G,7,0)*7),VLOOKUP(A153,'Actual Dates'!A:AE,21,FALSE())),"")</f>
        <v/>
      </c>
      <c r="AG153" s="38" t="str">
        <f>IF(VLOOKUP(A153,'Actual Dates'!A:AE,20,0)="","",VLOOKUP(A153,'Actual Dates'!A:AE,20,0))</f>
        <v/>
      </c>
      <c r="AH153" s="38" t="str">
        <f>_xlfn.IFNA(IF($AG153="","",IF(X153="Y","DONE",VLOOKUP(A153,'Ship Date'!A:AE,27,0))),"")</f>
        <v/>
      </c>
      <c r="AI153" s="12">
        <f t="shared" ca="1" si="71"/>
        <v>0</v>
      </c>
      <c r="AJ153" s="38" t="str">
        <f>_xlfn.IFNA(IF($AG153="","",IF(AB153="Y","DONE",VLOOKUP(A153,'Ship Date'!A:AG,29,0))),"")</f>
        <v/>
      </c>
      <c r="AK153" s="12">
        <f t="shared" ca="1" si="72"/>
        <v>0</v>
      </c>
      <c r="AL153" s="38" t="str">
        <f>_xlfn.IFNA(IF($AG153="","",IF(Z153="Y","DONE",VLOOKUP(A153,'Ship Date'!A:AI,28,0))),"")</f>
        <v/>
      </c>
      <c r="AM153" s="12">
        <f t="shared" ca="1" si="73"/>
        <v>0</v>
      </c>
      <c r="AN153" s="38" t="str">
        <f>_xlfn.IFNA(IF(T153="Y","DONE",VLOOKUP(A153,'Ship Date'!A:AE,25,0)),"")</f>
        <v/>
      </c>
      <c r="AO153" s="12">
        <f t="shared" si="74"/>
        <v>0</v>
      </c>
      <c r="AP153" s="38" t="str">
        <f>_xlfn.IFNA(IF(AD153="Y","DONE",VLOOKUP(A153,'Ship Date'!A:AE,30,0)),"")</f>
        <v/>
      </c>
      <c r="AQ153" s="12">
        <f t="shared" ca="1" si="75"/>
        <v>0</v>
      </c>
      <c r="AR153" s="38" t="str">
        <f>IFERROR(_xlfn.IFNA(VLOOKUP(A153,'Ship Date'!A:C,3,0),""),"")</f>
        <v/>
      </c>
      <c r="AS153" s="12" t="str">
        <f t="shared" ca="1" si="76"/>
        <v/>
      </c>
      <c r="AT153" s="38">
        <f>_xlfn.IFNA(IF(VLOOKUP(A153,'Actual Dates'!A:AF,32,0)="N/A"," ",VLOOKUP(A153,'Actual Dates'!A:AF,32,0))," ")</f>
        <v>0</v>
      </c>
      <c r="AU153" s="39"/>
      <c r="AV153" s="38" t="str">
        <f>_xlfn.IFNA(IF(VLOOKUP(A153,'Actual Dates'!A:AE,31,0)="","",VLOOKUP(A153,'Actual Dates'!A:AE,31,0)),"")</f>
        <v/>
      </c>
      <c r="AW153" s="40"/>
    </row>
    <row r="154" spans="1:49" ht="23.25" x14ac:dyDescent="0.25">
      <c r="A154" s="12">
        <f>'Actual Dates'!A153</f>
        <v>0</v>
      </c>
      <c r="B154" s="13" t="str">
        <f t="shared" si="68"/>
        <v/>
      </c>
      <c r="C154" s="35"/>
      <c r="D154" s="36" t="str">
        <f t="shared" si="77"/>
        <v/>
      </c>
      <c r="E154" s="37" t="str">
        <f t="shared" si="78"/>
        <v xml:space="preserve">  </v>
      </c>
      <c r="F154" s="36" t="str">
        <f t="shared" si="79"/>
        <v xml:space="preserve">  </v>
      </c>
      <c r="G154" s="37" t="str">
        <f t="shared" si="80"/>
        <v xml:space="preserve">  </v>
      </c>
      <c r="H154" s="36" t="str">
        <f t="shared" si="69"/>
        <v xml:space="preserve">  </v>
      </c>
      <c r="I154" s="37" t="str">
        <f t="shared" si="81"/>
        <v xml:space="preserve">  </v>
      </c>
      <c r="J154" s="35"/>
      <c r="K154" s="36" t="str">
        <f t="shared" si="82"/>
        <v>Y</v>
      </c>
      <c r="L154" s="37" t="str">
        <f t="shared" si="83"/>
        <v/>
      </c>
      <c r="M154" s="37" t="str">
        <f t="shared" si="70"/>
        <v xml:space="preserve">  </v>
      </c>
      <c r="N154" s="36" t="str">
        <f t="shared" si="84"/>
        <v xml:space="preserve">  </v>
      </c>
      <c r="O154" s="37" t="str">
        <f t="shared" si="85"/>
        <v/>
      </c>
      <c r="P154" s="36" t="str">
        <f t="shared" si="86"/>
        <v xml:space="preserve">  </v>
      </c>
      <c r="Q154" s="37" t="str">
        <f t="shared" si="87"/>
        <v xml:space="preserve">  </v>
      </c>
      <c r="R154" s="36" t="str">
        <f t="shared" si="88"/>
        <v xml:space="preserve">  </v>
      </c>
      <c r="S154" s="37" t="str">
        <f t="shared" si="89"/>
        <v xml:space="preserve">  </v>
      </c>
      <c r="T154" s="36" t="str">
        <f t="shared" si="90"/>
        <v xml:space="preserve">  </v>
      </c>
      <c r="U154" s="37" t="str">
        <f t="shared" si="91"/>
        <v xml:space="preserve">  </v>
      </c>
      <c r="V154" s="36" t="str">
        <f t="shared" si="92"/>
        <v xml:space="preserve">  </v>
      </c>
      <c r="W154" s="37" t="str">
        <f t="shared" si="93"/>
        <v xml:space="preserve">  </v>
      </c>
      <c r="X154" s="36" t="str">
        <f t="shared" si="94"/>
        <v xml:space="preserve">  </v>
      </c>
      <c r="Y154" s="37" t="str">
        <f t="shared" si="95"/>
        <v xml:space="preserve">  </v>
      </c>
      <c r="Z154" s="36" t="str">
        <f t="shared" si="96"/>
        <v xml:space="preserve">  </v>
      </c>
      <c r="AA154" s="37" t="str">
        <f t="shared" si="97"/>
        <v xml:space="preserve">  </v>
      </c>
      <c r="AB154" s="36" t="str">
        <f t="shared" si="98"/>
        <v xml:space="preserve">  </v>
      </c>
      <c r="AC154" s="37" t="str">
        <f t="shared" si="99"/>
        <v xml:space="preserve">  </v>
      </c>
      <c r="AD154" s="36" t="str">
        <f t="shared" si="100"/>
        <v xml:space="preserve">  </v>
      </c>
      <c r="AE154" s="37" t="str">
        <f t="shared" si="101"/>
        <v xml:space="preserve">  </v>
      </c>
      <c r="AF154" s="38" t="str">
        <f ca="1">_xlfn.IFNA(IF(AG154="",TODAY()+(VLOOKUP(A154,'Date Calcs'!A:G,7,0)*7),VLOOKUP(A154,'Actual Dates'!A:AE,21,FALSE())),"")</f>
        <v/>
      </c>
      <c r="AG154" s="38" t="str">
        <f>IF(VLOOKUP(A154,'Actual Dates'!A:AE,20,0)="","",VLOOKUP(A154,'Actual Dates'!A:AE,20,0))</f>
        <v/>
      </c>
      <c r="AH154" s="38" t="str">
        <f>_xlfn.IFNA(IF($AG154="","",IF(X154="Y","DONE",VLOOKUP(A154,'Ship Date'!A:AE,27,0))),"")</f>
        <v/>
      </c>
      <c r="AI154" s="12">
        <f t="shared" ca="1" si="71"/>
        <v>0</v>
      </c>
      <c r="AJ154" s="38" t="str">
        <f>_xlfn.IFNA(IF($AG154="","",IF(AB154="Y","DONE",VLOOKUP(A154,'Ship Date'!A:AG,29,0))),"")</f>
        <v/>
      </c>
      <c r="AK154" s="12">
        <f t="shared" ca="1" si="72"/>
        <v>0</v>
      </c>
      <c r="AL154" s="38" t="str">
        <f>_xlfn.IFNA(IF($AG154="","",IF(Z154="Y","DONE",VLOOKUP(A154,'Ship Date'!A:AI,28,0))),"")</f>
        <v/>
      </c>
      <c r="AM154" s="12">
        <f t="shared" ca="1" si="73"/>
        <v>0</v>
      </c>
      <c r="AN154" s="38" t="str">
        <f>_xlfn.IFNA(IF(T154="Y","DONE",VLOOKUP(A154,'Ship Date'!A:AE,25,0)),"")</f>
        <v/>
      </c>
      <c r="AO154" s="12">
        <f t="shared" si="74"/>
        <v>0</v>
      </c>
      <c r="AP154" s="38" t="str">
        <f>_xlfn.IFNA(IF(AD154="Y","DONE",VLOOKUP(A154,'Ship Date'!A:AE,30,0)),"")</f>
        <v/>
      </c>
      <c r="AQ154" s="12">
        <f t="shared" ca="1" si="75"/>
        <v>0</v>
      </c>
      <c r="AR154" s="38" t="str">
        <f>IFERROR(_xlfn.IFNA(VLOOKUP(A154,'Ship Date'!A:C,3,0),""),"")</f>
        <v/>
      </c>
      <c r="AS154" s="12" t="str">
        <f t="shared" ca="1" si="76"/>
        <v/>
      </c>
      <c r="AT154" s="38">
        <f>_xlfn.IFNA(IF(VLOOKUP(A154,'Actual Dates'!A:AF,32,0)="N/A"," ",VLOOKUP(A154,'Actual Dates'!A:AF,32,0))," ")</f>
        <v>0</v>
      </c>
      <c r="AU154" s="39"/>
      <c r="AV154" s="38" t="str">
        <f>_xlfn.IFNA(IF(VLOOKUP(A154,'Actual Dates'!A:AE,31,0)="","",VLOOKUP(A154,'Actual Dates'!A:AE,31,0)),"")</f>
        <v/>
      </c>
      <c r="AW154" s="40"/>
    </row>
    <row r="155" spans="1:49" ht="23.25" x14ac:dyDescent="0.25">
      <c r="A155" s="12">
        <f>'Actual Dates'!A154</f>
        <v>0</v>
      </c>
      <c r="B155" s="13" t="str">
        <f t="shared" si="68"/>
        <v/>
      </c>
      <c r="C155" s="35"/>
      <c r="D155" s="36" t="str">
        <f t="shared" si="77"/>
        <v/>
      </c>
      <c r="E155" s="37" t="str">
        <f t="shared" si="78"/>
        <v xml:space="preserve">  </v>
      </c>
      <c r="F155" s="36" t="str">
        <f t="shared" si="79"/>
        <v xml:space="preserve">  </v>
      </c>
      <c r="G155" s="37" t="str">
        <f t="shared" si="80"/>
        <v xml:space="preserve">  </v>
      </c>
      <c r="H155" s="36" t="str">
        <f t="shared" si="69"/>
        <v xml:space="preserve">  </v>
      </c>
      <c r="I155" s="37" t="str">
        <f t="shared" si="81"/>
        <v xml:space="preserve">  </v>
      </c>
      <c r="J155" s="35"/>
      <c r="K155" s="36" t="str">
        <f t="shared" si="82"/>
        <v>Y</v>
      </c>
      <c r="L155" s="37" t="str">
        <f t="shared" si="83"/>
        <v/>
      </c>
      <c r="M155" s="37" t="str">
        <f t="shared" si="70"/>
        <v xml:space="preserve">  </v>
      </c>
      <c r="N155" s="36" t="str">
        <f t="shared" si="84"/>
        <v xml:space="preserve">  </v>
      </c>
      <c r="O155" s="37" t="str">
        <f t="shared" si="85"/>
        <v/>
      </c>
      <c r="P155" s="36" t="str">
        <f t="shared" si="86"/>
        <v xml:space="preserve">  </v>
      </c>
      <c r="Q155" s="37" t="str">
        <f t="shared" si="87"/>
        <v xml:space="preserve">  </v>
      </c>
      <c r="R155" s="36" t="str">
        <f t="shared" si="88"/>
        <v xml:space="preserve">  </v>
      </c>
      <c r="S155" s="37" t="str">
        <f t="shared" si="89"/>
        <v xml:space="preserve">  </v>
      </c>
      <c r="T155" s="36" t="str">
        <f t="shared" si="90"/>
        <v xml:space="preserve">  </v>
      </c>
      <c r="U155" s="37" t="str">
        <f t="shared" si="91"/>
        <v xml:space="preserve">  </v>
      </c>
      <c r="V155" s="36" t="str">
        <f t="shared" si="92"/>
        <v xml:space="preserve">  </v>
      </c>
      <c r="W155" s="37" t="str">
        <f t="shared" si="93"/>
        <v xml:space="preserve">  </v>
      </c>
      <c r="X155" s="36" t="str">
        <f t="shared" si="94"/>
        <v xml:space="preserve">  </v>
      </c>
      <c r="Y155" s="37" t="str">
        <f t="shared" si="95"/>
        <v xml:space="preserve">  </v>
      </c>
      <c r="Z155" s="36" t="str">
        <f t="shared" si="96"/>
        <v xml:space="preserve">  </v>
      </c>
      <c r="AA155" s="37" t="str">
        <f t="shared" si="97"/>
        <v xml:space="preserve">  </v>
      </c>
      <c r="AB155" s="36" t="str">
        <f t="shared" si="98"/>
        <v xml:space="preserve">  </v>
      </c>
      <c r="AC155" s="37" t="str">
        <f t="shared" si="99"/>
        <v xml:space="preserve">  </v>
      </c>
      <c r="AD155" s="36" t="str">
        <f t="shared" si="100"/>
        <v xml:space="preserve">  </v>
      </c>
      <c r="AE155" s="37" t="str">
        <f t="shared" si="101"/>
        <v xml:space="preserve">  </v>
      </c>
      <c r="AF155" s="38" t="str">
        <f ca="1">_xlfn.IFNA(IF(AG155="",TODAY()+(VLOOKUP(A155,'Date Calcs'!A:G,7,0)*7),VLOOKUP(A155,'Actual Dates'!A:AE,21,FALSE())),"")</f>
        <v/>
      </c>
      <c r="AG155" s="38" t="str">
        <f>IF(VLOOKUP(A155,'Actual Dates'!A:AE,20,0)="","",VLOOKUP(A155,'Actual Dates'!A:AE,20,0))</f>
        <v/>
      </c>
      <c r="AH155" s="38" t="str">
        <f>_xlfn.IFNA(IF($AG155="","",IF(X155="Y","DONE",VLOOKUP(A155,'Ship Date'!A:AE,27,0))),"")</f>
        <v/>
      </c>
      <c r="AI155" s="12">
        <f t="shared" ca="1" si="71"/>
        <v>0</v>
      </c>
      <c r="AJ155" s="38" t="str">
        <f>_xlfn.IFNA(IF($AG155="","",IF(AB155="Y","DONE",VLOOKUP(A155,'Ship Date'!A:AG,29,0))),"")</f>
        <v/>
      </c>
      <c r="AK155" s="12">
        <f t="shared" ca="1" si="72"/>
        <v>0</v>
      </c>
      <c r="AL155" s="38" t="str">
        <f>_xlfn.IFNA(IF($AG155="","",IF(Z155="Y","DONE",VLOOKUP(A155,'Ship Date'!A:AI,28,0))),"")</f>
        <v/>
      </c>
      <c r="AM155" s="12">
        <f t="shared" ca="1" si="73"/>
        <v>0</v>
      </c>
      <c r="AN155" s="38" t="str">
        <f>_xlfn.IFNA(IF(T155="Y","DONE",VLOOKUP(A155,'Ship Date'!A:AE,25,0)),"")</f>
        <v/>
      </c>
      <c r="AO155" s="12">
        <f t="shared" si="74"/>
        <v>0</v>
      </c>
      <c r="AP155" s="38" t="str">
        <f>_xlfn.IFNA(IF(AD155="Y","DONE",VLOOKUP(A155,'Ship Date'!A:AE,30,0)),"")</f>
        <v/>
      </c>
      <c r="AQ155" s="12">
        <f t="shared" ca="1" si="75"/>
        <v>0</v>
      </c>
      <c r="AR155" s="38" t="str">
        <f>IFERROR(_xlfn.IFNA(VLOOKUP(A155,'Ship Date'!A:C,3,0),""),"")</f>
        <v/>
      </c>
      <c r="AS155" s="12" t="str">
        <f t="shared" ca="1" si="76"/>
        <v/>
      </c>
      <c r="AT155" s="38">
        <f>_xlfn.IFNA(IF(VLOOKUP(A155,'Actual Dates'!A:AF,32,0)="N/A"," ",VLOOKUP(A155,'Actual Dates'!A:AF,32,0))," ")</f>
        <v>0</v>
      </c>
      <c r="AU155" s="39"/>
      <c r="AV155" s="38" t="str">
        <f>_xlfn.IFNA(IF(VLOOKUP(A155,'Actual Dates'!A:AE,31,0)="","",VLOOKUP(A155,'Actual Dates'!A:AE,31,0)),"")</f>
        <v/>
      </c>
      <c r="AW155" s="40"/>
    </row>
    <row r="156" spans="1:49" ht="23.25" x14ac:dyDescent="0.25">
      <c r="A156" s="12">
        <f>'Actual Dates'!A155</f>
        <v>0</v>
      </c>
      <c r="B156" s="13" t="str">
        <f t="shared" si="68"/>
        <v/>
      </c>
      <c r="C156" s="35"/>
      <c r="D156" s="36" t="str">
        <f t="shared" si="77"/>
        <v/>
      </c>
      <c r="E156" s="37" t="str">
        <f t="shared" si="78"/>
        <v xml:space="preserve">  </v>
      </c>
      <c r="F156" s="36" t="str">
        <f t="shared" si="79"/>
        <v xml:space="preserve">  </v>
      </c>
      <c r="G156" s="37" t="str">
        <f t="shared" si="80"/>
        <v xml:space="preserve">  </v>
      </c>
      <c r="H156" s="36" t="str">
        <f t="shared" si="69"/>
        <v xml:space="preserve">  </v>
      </c>
      <c r="I156" s="37" t="str">
        <f t="shared" si="81"/>
        <v xml:space="preserve">  </v>
      </c>
      <c r="J156" s="35"/>
      <c r="K156" s="36" t="str">
        <f t="shared" si="82"/>
        <v>Y</v>
      </c>
      <c r="L156" s="37" t="str">
        <f t="shared" si="83"/>
        <v/>
      </c>
      <c r="M156" s="37" t="str">
        <f t="shared" si="70"/>
        <v xml:space="preserve">  </v>
      </c>
      <c r="N156" s="36" t="str">
        <f t="shared" si="84"/>
        <v xml:space="preserve">  </v>
      </c>
      <c r="O156" s="37" t="str">
        <f t="shared" si="85"/>
        <v/>
      </c>
      <c r="P156" s="36" t="str">
        <f t="shared" si="86"/>
        <v xml:space="preserve">  </v>
      </c>
      <c r="Q156" s="37" t="str">
        <f t="shared" si="87"/>
        <v xml:space="preserve">  </v>
      </c>
      <c r="R156" s="36" t="str">
        <f t="shared" si="88"/>
        <v xml:space="preserve">  </v>
      </c>
      <c r="S156" s="37" t="str">
        <f t="shared" si="89"/>
        <v xml:space="preserve">  </v>
      </c>
      <c r="T156" s="36" t="str">
        <f t="shared" si="90"/>
        <v xml:space="preserve">  </v>
      </c>
      <c r="U156" s="37" t="str">
        <f t="shared" si="91"/>
        <v xml:space="preserve">  </v>
      </c>
      <c r="V156" s="36" t="str">
        <f t="shared" si="92"/>
        <v xml:space="preserve">  </v>
      </c>
      <c r="W156" s="37" t="str">
        <f t="shared" si="93"/>
        <v xml:space="preserve">  </v>
      </c>
      <c r="X156" s="36" t="str">
        <f t="shared" si="94"/>
        <v xml:space="preserve">  </v>
      </c>
      <c r="Y156" s="37" t="str">
        <f t="shared" si="95"/>
        <v xml:space="preserve">  </v>
      </c>
      <c r="Z156" s="36" t="str">
        <f t="shared" si="96"/>
        <v xml:space="preserve">  </v>
      </c>
      <c r="AA156" s="37" t="str">
        <f t="shared" si="97"/>
        <v xml:space="preserve">  </v>
      </c>
      <c r="AB156" s="36" t="str">
        <f t="shared" si="98"/>
        <v xml:space="preserve">  </v>
      </c>
      <c r="AC156" s="37" t="str">
        <f t="shared" si="99"/>
        <v xml:space="preserve">  </v>
      </c>
      <c r="AD156" s="36" t="str">
        <f t="shared" si="100"/>
        <v xml:space="preserve">  </v>
      </c>
      <c r="AE156" s="37" t="str">
        <f t="shared" si="101"/>
        <v xml:space="preserve">  </v>
      </c>
      <c r="AF156" s="38" t="str">
        <f ca="1">_xlfn.IFNA(IF(AG156="",TODAY()+(VLOOKUP(A156,'Date Calcs'!A:G,7,0)*7),VLOOKUP(A156,'Actual Dates'!A:AE,21,FALSE())),"")</f>
        <v/>
      </c>
      <c r="AG156" s="38" t="str">
        <f>IF(VLOOKUP(A156,'Actual Dates'!A:AE,20,0)="","",VLOOKUP(A156,'Actual Dates'!A:AE,20,0))</f>
        <v/>
      </c>
      <c r="AH156" s="38" t="str">
        <f>_xlfn.IFNA(IF($AG156="","",IF(X156="Y","DONE",VLOOKUP(A156,'Ship Date'!A:AE,27,0))),"")</f>
        <v/>
      </c>
      <c r="AI156" s="12">
        <f t="shared" ca="1" si="71"/>
        <v>0</v>
      </c>
      <c r="AJ156" s="38" t="str">
        <f>_xlfn.IFNA(IF($AG156="","",IF(AB156="Y","DONE",VLOOKUP(A156,'Ship Date'!A:AG,29,0))),"")</f>
        <v/>
      </c>
      <c r="AK156" s="12">
        <f t="shared" ca="1" si="72"/>
        <v>0</v>
      </c>
      <c r="AL156" s="38" t="str">
        <f>_xlfn.IFNA(IF($AG156="","",IF(Z156="Y","DONE",VLOOKUP(A156,'Ship Date'!A:AI,28,0))),"")</f>
        <v/>
      </c>
      <c r="AM156" s="12">
        <f t="shared" ca="1" si="73"/>
        <v>0</v>
      </c>
      <c r="AN156" s="38" t="str">
        <f>_xlfn.IFNA(IF(T156="Y","DONE",VLOOKUP(A156,'Ship Date'!A:AE,25,0)),"")</f>
        <v/>
      </c>
      <c r="AO156" s="12">
        <f t="shared" si="74"/>
        <v>0</v>
      </c>
      <c r="AP156" s="38" t="str">
        <f>_xlfn.IFNA(IF(AD156="Y","DONE",VLOOKUP(A156,'Ship Date'!A:AE,30,0)),"")</f>
        <v/>
      </c>
      <c r="AQ156" s="12">
        <f t="shared" ca="1" si="75"/>
        <v>0</v>
      </c>
      <c r="AR156" s="38" t="str">
        <f>IFERROR(_xlfn.IFNA(VLOOKUP(A156,'Ship Date'!A:C,3,0),""),"")</f>
        <v/>
      </c>
      <c r="AS156" s="12" t="str">
        <f t="shared" ca="1" si="76"/>
        <v/>
      </c>
      <c r="AT156" s="38">
        <f>_xlfn.IFNA(IF(VLOOKUP(A156,'Actual Dates'!A:AF,32,0)="N/A"," ",VLOOKUP(A156,'Actual Dates'!A:AF,32,0))," ")</f>
        <v>0</v>
      </c>
      <c r="AU156" s="39"/>
      <c r="AV156" s="38" t="str">
        <f>_xlfn.IFNA(IF(VLOOKUP(A156,'Actual Dates'!A:AE,31,0)="","",VLOOKUP(A156,'Actual Dates'!A:AE,31,0)),"")</f>
        <v/>
      </c>
      <c r="AW156" s="40"/>
    </row>
    <row r="157" spans="1:49" ht="23.25" x14ac:dyDescent="0.25">
      <c r="A157" s="12">
        <f>'Actual Dates'!A156</f>
        <v>0</v>
      </c>
      <c r="B157" s="13" t="str">
        <f t="shared" si="68"/>
        <v/>
      </c>
      <c r="C157" s="35"/>
      <c r="D157" s="36" t="str">
        <f t="shared" si="77"/>
        <v/>
      </c>
      <c r="E157" s="37" t="str">
        <f t="shared" si="78"/>
        <v xml:space="preserve">  </v>
      </c>
      <c r="F157" s="36" t="str">
        <f t="shared" si="79"/>
        <v xml:space="preserve">  </v>
      </c>
      <c r="G157" s="37" t="str">
        <f t="shared" si="80"/>
        <v xml:space="preserve">  </v>
      </c>
      <c r="H157" s="36" t="str">
        <f t="shared" si="69"/>
        <v xml:space="preserve">  </v>
      </c>
      <c r="I157" s="37" t="str">
        <f t="shared" si="81"/>
        <v xml:space="preserve">  </v>
      </c>
      <c r="J157" s="35"/>
      <c r="K157" s="36" t="str">
        <f t="shared" si="82"/>
        <v>Y</v>
      </c>
      <c r="L157" s="37" t="str">
        <f t="shared" si="83"/>
        <v/>
      </c>
      <c r="M157" s="37" t="str">
        <f t="shared" si="70"/>
        <v xml:space="preserve">  </v>
      </c>
      <c r="N157" s="36" t="str">
        <f t="shared" si="84"/>
        <v xml:space="preserve">  </v>
      </c>
      <c r="O157" s="37" t="str">
        <f t="shared" si="85"/>
        <v/>
      </c>
      <c r="P157" s="36" t="str">
        <f t="shared" si="86"/>
        <v xml:space="preserve">  </v>
      </c>
      <c r="Q157" s="37" t="str">
        <f t="shared" si="87"/>
        <v xml:space="preserve">  </v>
      </c>
      <c r="R157" s="36" t="str">
        <f t="shared" si="88"/>
        <v xml:space="preserve">  </v>
      </c>
      <c r="S157" s="37" t="str">
        <f t="shared" si="89"/>
        <v xml:space="preserve">  </v>
      </c>
      <c r="T157" s="36" t="str">
        <f t="shared" si="90"/>
        <v xml:space="preserve">  </v>
      </c>
      <c r="U157" s="37" t="str">
        <f t="shared" si="91"/>
        <v xml:space="preserve">  </v>
      </c>
      <c r="V157" s="36" t="str">
        <f t="shared" si="92"/>
        <v xml:space="preserve">  </v>
      </c>
      <c r="W157" s="37" t="str">
        <f t="shared" si="93"/>
        <v xml:space="preserve">  </v>
      </c>
      <c r="X157" s="36" t="str">
        <f t="shared" si="94"/>
        <v xml:space="preserve">  </v>
      </c>
      <c r="Y157" s="37" t="str">
        <f t="shared" si="95"/>
        <v xml:space="preserve">  </v>
      </c>
      <c r="Z157" s="36" t="str">
        <f t="shared" si="96"/>
        <v xml:space="preserve">  </v>
      </c>
      <c r="AA157" s="37" t="str">
        <f t="shared" si="97"/>
        <v xml:space="preserve">  </v>
      </c>
      <c r="AB157" s="36" t="str">
        <f t="shared" si="98"/>
        <v xml:space="preserve">  </v>
      </c>
      <c r="AC157" s="37" t="str">
        <f t="shared" si="99"/>
        <v xml:space="preserve">  </v>
      </c>
      <c r="AD157" s="36" t="str">
        <f t="shared" si="100"/>
        <v xml:space="preserve">  </v>
      </c>
      <c r="AE157" s="37" t="str">
        <f t="shared" si="101"/>
        <v xml:space="preserve">  </v>
      </c>
      <c r="AF157" s="38" t="str">
        <f ca="1">_xlfn.IFNA(IF(AG157="",TODAY()+(VLOOKUP(A157,'Date Calcs'!A:G,7,0)*7),VLOOKUP(A157,'Actual Dates'!A:AE,21,FALSE())),"")</f>
        <v/>
      </c>
      <c r="AG157" s="38" t="str">
        <f>IF(VLOOKUP(A157,'Actual Dates'!A:AE,20,0)="","",VLOOKUP(A157,'Actual Dates'!A:AE,20,0))</f>
        <v/>
      </c>
      <c r="AH157" s="38" t="str">
        <f>_xlfn.IFNA(IF($AG157="","",IF(X157="Y","DONE",VLOOKUP(A157,'Ship Date'!A:AE,27,0))),"")</f>
        <v/>
      </c>
      <c r="AI157" s="12">
        <f t="shared" ca="1" si="71"/>
        <v>0</v>
      </c>
      <c r="AJ157" s="38" t="str">
        <f>_xlfn.IFNA(IF($AG157="","",IF(AB157="Y","DONE",VLOOKUP(A157,'Ship Date'!A:AG,29,0))),"")</f>
        <v/>
      </c>
      <c r="AK157" s="12">
        <f t="shared" ca="1" si="72"/>
        <v>0</v>
      </c>
      <c r="AL157" s="38" t="str">
        <f>_xlfn.IFNA(IF($AG157="","",IF(Z157="Y","DONE",VLOOKUP(A157,'Ship Date'!A:AI,28,0))),"")</f>
        <v/>
      </c>
      <c r="AM157" s="12">
        <f t="shared" ca="1" si="73"/>
        <v>0</v>
      </c>
      <c r="AN157" s="38" t="str">
        <f>_xlfn.IFNA(IF(T157="Y","DONE",VLOOKUP(A157,'Ship Date'!A:AE,25,0)),"")</f>
        <v/>
      </c>
      <c r="AO157" s="12">
        <f t="shared" si="74"/>
        <v>0</v>
      </c>
      <c r="AP157" s="38" t="str">
        <f>_xlfn.IFNA(IF(AD157="Y","DONE",VLOOKUP(A157,'Ship Date'!A:AE,30,0)),"")</f>
        <v/>
      </c>
      <c r="AQ157" s="12">
        <f t="shared" ca="1" si="75"/>
        <v>0</v>
      </c>
      <c r="AR157" s="38" t="str">
        <f>IFERROR(_xlfn.IFNA(VLOOKUP(A157,'Ship Date'!A:C,3,0),""),"")</f>
        <v/>
      </c>
      <c r="AS157" s="12" t="str">
        <f t="shared" ca="1" si="76"/>
        <v/>
      </c>
      <c r="AT157" s="38">
        <f>_xlfn.IFNA(IF(VLOOKUP(A157,'Actual Dates'!A:AF,32,0)="N/A"," ",VLOOKUP(A157,'Actual Dates'!A:AF,32,0))," ")</f>
        <v>0</v>
      </c>
      <c r="AU157" s="39"/>
      <c r="AV157" s="38" t="str">
        <f>_xlfn.IFNA(IF(VLOOKUP(A157,'Actual Dates'!A:AE,31,0)="","",VLOOKUP(A157,'Actual Dates'!A:AE,31,0)),"")</f>
        <v/>
      </c>
      <c r="AW157" s="40"/>
    </row>
    <row r="158" spans="1:49" ht="23.25" x14ac:dyDescent="0.25">
      <c r="A158" s="12">
        <f>'Actual Dates'!A157</f>
        <v>0</v>
      </c>
      <c r="B158" s="13" t="str">
        <f t="shared" si="68"/>
        <v/>
      </c>
      <c r="C158" s="35"/>
      <c r="D158" s="36" t="str">
        <f t="shared" si="77"/>
        <v/>
      </c>
      <c r="E158" s="37" t="str">
        <f t="shared" si="78"/>
        <v xml:space="preserve">  </v>
      </c>
      <c r="F158" s="36" t="str">
        <f t="shared" si="79"/>
        <v xml:space="preserve">  </v>
      </c>
      <c r="G158" s="37" t="str">
        <f t="shared" si="80"/>
        <v xml:space="preserve">  </v>
      </c>
      <c r="H158" s="36" t="str">
        <f t="shared" si="69"/>
        <v xml:space="preserve">  </v>
      </c>
      <c r="I158" s="37" t="str">
        <f t="shared" si="81"/>
        <v xml:space="preserve">  </v>
      </c>
      <c r="J158" s="35"/>
      <c r="K158" s="36" t="str">
        <f t="shared" si="82"/>
        <v>Y</v>
      </c>
      <c r="L158" s="37" t="str">
        <f t="shared" si="83"/>
        <v/>
      </c>
      <c r="M158" s="37" t="str">
        <f t="shared" si="70"/>
        <v xml:space="preserve">  </v>
      </c>
      <c r="N158" s="36" t="str">
        <f t="shared" si="84"/>
        <v xml:space="preserve">  </v>
      </c>
      <c r="O158" s="37" t="str">
        <f t="shared" si="85"/>
        <v/>
      </c>
      <c r="P158" s="36" t="str">
        <f t="shared" si="86"/>
        <v xml:space="preserve">  </v>
      </c>
      <c r="Q158" s="37" t="str">
        <f t="shared" si="87"/>
        <v xml:space="preserve">  </v>
      </c>
      <c r="R158" s="36" t="str">
        <f t="shared" si="88"/>
        <v xml:space="preserve">  </v>
      </c>
      <c r="S158" s="37" t="str">
        <f t="shared" si="89"/>
        <v xml:space="preserve">  </v>
      </c>
      <c r="T158" s="36" t="str">
        <f t="shared" si="90"/>
        <v xml:space="preserve">  </v>
      </c>
      <c r="U158" s="37" t="str">
        <f t="shared" si="91"/>
        <v xml:space="preserve">  </v>
      </c>
      <c r="V158" s="36" t="str">
        <f t="shared" si="92"/>
        <v xml:space="preserve">  </v>
      </c>
      <c r="W158" s="37" t="str">
        <f t="shared" si="93"/>
        <v xml:space="preserve">  </v>
      </c>
      <c r="X158" s="36" t="str">
        <f t="shared" si="94"/>
        <v xml:space="preserve">  </v>
      </c>
      <c r="Y158" s="37" t="str">
        <f t="shared" si="95"/>
        <v xml:space="preserve">  </v>
      </c>
      <c r="Z158" s="36" t="str">
        <f t="shared" si="96"/>
        <v xml:space="preserve">  </v>
      </c>
      <c r="AA158" s="37" t="str">
        <f t="shared" si="97"/>
        <v xml:space="preserve">  </v>
      </c>
      <c r="AB158" s="36" t="str">
        <f t="shared" si="98"/>
        <v xml:space="preserve">  </v>
      </c>
      <c r="AC158" s="37" t="str">
        <f t="shared" si="99"/>
        <v xml:space="preserve">  </v>
      </c>
      <c r="AD158" s="36" t="str">
        <f t="shared" si="100"/>
        <v xml:space="preserve">  </v>
      </c>
      <c r="AE158" s="37" t="str">
        <f t="shared" si="101"/>
        <v xml:space="preserve">  </v>
      </c>
      <c r="AF158" s="38" t="str">
        <f ca="1">_xlfn.IFNA(IF(AG158="",TODAY()+(VLOOKUP(A158,'Date Calcs'!A:G,7,0)*7),VLOOKUP(A158,'Actual Dates'!A:AE,21,FALSE())),"")</f>
        <v/>
      </c>
      <c r="AG158" s="38" t="str">
        <f>IF(VLOOKUP(A158,'Actual Dates'!A:AE,20,0)="","",VLOOKUP(A158,'Actual Dates'!A:AE,20,0))</f>
        <v/>
      </c>
      <c r="AH158" s="38" t="str">
        <f>_xlfn.IFNA(IF($AG158="","",IF(X158="Y","DONE",VLOOKUP(A158,'Ship Date'!A:AE,27,0))),"")</f>
        <v/>
      </c>
      <c r="AI158" s="12">
        <f t="shared" ca="1" si="71"/>
        <v>0</v>
      </c>
      <c r="AJ158" s="38" t="str">
        <f>_xlfn.IFNA(IF($AG158="","",IF(AB158="Y","DONE",VLOOKUP(A158,'Ship Date'!A:AG,29,0))),"")</f>
        <v/>
      </c>
      <c r="AK158" s="12">
        <f t="shared" ca="1" si="72"/>
        <v>0</v>
      </c>
      <c r="AL158" s="38" t="str">
        <f>_xlfn.IFNA(IF($AG158="","",IF(Z158="Y","DONE",VLOOKUP(A158,'Ship Date'!A:AI,28,0))),"")</f>
        <v/>
      </c>
      <c r="AM158" s="12">
        <f t="shared" ca="1" si="73"/>
        <v>0</v>
      </c>
      <c r="AN158" s="38" t="str">
        <f>_xlfn.IFNA(IF(T158="Y","DONE",VLOOKUP(A158,'Ship Date'!A:AE,25,0)),"")</f>
        <v/>
      </c>
      <c r="AO158" s="12">
        <f t="shared" si="74"/>
        <v>0</v>
      </c>
      <c r="AP158" s="38" t="str">
        <f>_xlfn.IFNA(IF(AD158="Y","DONE",VLOOKUP(A158,'Ship Date'!A:AE,30,0)),"")</f>
        <v/>
      </c>
      <c r="AQ158" s="12">
        <f t="shared" ca="1" si="75"/>
        <v>0</v>
      </c>
      <c r="AR158" s="38" t="str">
        <f>IFERROR(_xlfn.IFNA(VLOOKUP(A158,'Ship Date'!A:C,3,0),""),"")</f>
        <v/>
      </c>
      <c r="AS158" s="12" t="str">
        <f t="shared" ca="1" si="76"/>
        <v/>
      </c>
      <c r="AT158" s="38">
        <f>_xlfn.IFNA(IF(VLOOKUP(A158,'Actual Dates'!A:AF,32,0)="N/A"," ",VLOOKUP(A158,'Actual Dates'!A:AF,32,0))," ")</f>
        <v>0</v>
      </c>
      <c r="AU158" s="39"/>
      <c r="AV158" s="38" t="str">
        <f>_xlfn.IFNA(IF(VLOOKUP(A158,'Actual Dates'!A:AE,31,0)="","",VLOOKUP(A158,'Actual Dates'!A:AE,31,0)),"")</f>
        <v/>
      </c>
      <c r="AW158" s="40"/>
    </row>
    <row r="159" spans="1:49" ht="23.25" x14ac:dyDescent="0.25">
      <c r="A159" s="12">
        <f>'Actual Dates'!A158</f>
        <v>0</v>
      </c>
      <c r="B159" s="13" t="str">
        <f t="shared" si="68"/>
        <v/>
      </c>
      <c r="C159" s="35"/>
      <c r="D159" s="36" t="str">
        <f t="shared" si="77"/>
        <v/>
      </c>
      <c r="E159" s="37" t="str">
        <f t="shared" si="78"/>
        <v xml:space="preserve">  </v>
      </c>
      <c r="F159" s="36" t="str">
        <f t="shared" si="79"/>
        <v xml:space="preserve">  </v>
      </c>
      <c r="G159" s="37" t="str">
        <f t="shared" si="80"/>
        <v xml:space="preserve">  </v>
      </c>
      <c r="H159" s="36" t="str">
        <f t="shared" si="69"/>
        <v xml:space="preserve">  </v>
      </c>
      <c r="I159" s="37" t="str">
        <f t="shared" si="81"/>
        <v xml:space="preserve">  </v>
      </c>
      <c r="J159" s="35"/>
      <c r="K159" s="36" t="str">
        <f t="shared" si="82"/>
        <v>Y</v>
      </c>
      <c r="L159" s="37" t="str">
        <f t="shared" si="83"/>
        <v/>
      </c>
      <c r="M159" s="37" t="str">
        <f t="shared" si="70"/>
        <v xml:space="preserve">  </v>
      </c>
      <c r="N159" s="36" t="str">
        <f t="shared" si="84"/>
        <v xml:space="preserve">  </v>
      </c>
      <c r="O159" s="37" t="str">
        <f t="shared" si="85"/>
        <v/>
      </c>
      <c r="P159" s="36" t="str">
        <f t="shared" si="86"/>
        <v xml:space="preserve">  </v>
      </c>
      <c r="Q159" s="37" t="str">
        <f t="shared" si="87"/>
        <v xml:space="preserve">  </v>
      </c>
      <c r="R159" s="36" t="str">
        <f t="shared" si="88"/>
        <v xml:space="preserve">  </v>
      </c>
      <c r="S159" s="37" t="str">
        <f t="shared" si="89"/>
        <v xml:space="preserve">  </v>
      </c>
      <c r="T159" s="36" t="str">
        <f t="shared" si="90"/>
        <v xml:space="preserve">  </v>
      </c>
      <c r="U159" s="37" t="str">
        <f t="shared" si="91"/>
        <v xml:space="preserve">  </v>
      </c>
      <c r="V159" s="36" t="str">
        <f t="shared" si="92"/>
        <v xml:space="preserve">  </v>
      </c>
      <c r="W159" s="37" t="str">
        <f t="shared" si="93"/>
        <v xml:space="preserve">  </v>
      </c>
      <c r="X159" s="36" t="str">
        <f t="shared" si="94"/>
        <v xml:space="preserve">  </v>
      </c>
      <c r="Y159" s="37" t="str">
        <f t="shared" si="95"/>
        <v xml:space="preserve">  </v>
      </c>
      <c r="Z159" s="36" t="str">
        <f t="shared" si="96"/>
        <v xml:space="preserve">  </v>
      </c>
      <c r="AA159" s="37" t="str">
        <f t="shared" si="97"/>
        <v xml:space="preserve">  </v>
      </c>
      <c r="AB159" s="36" t="str">
        <f t="shared" si="98"/>
        <v xml:space="preserve">  </v>
      </c>
      <c r="AC159" s="37" t="str">
        <f t="shared" si="99"/>
        <v xml:space="preserve">  </v>
      </c>
      <c r="AD159" s="36" t="str">
        <f t="shared" si="100"/>
        <v xml:space="preserve">  </v>
      </c>
      <c r="AE159" s="37" t="str">
        <f t="shared" si="101"/>
        <v xml:space="preserve">  </v>
      </c>
      <c r="AF159" s="38" t="str">
        <f ca="1">_xlfn.IFNA(IF(AG159="",TODAY()+(VLOOKUP(A159,'Date Calcs'!A:G,7,0)*7),VLOOKUP(A159,'Actual Dates'!A:AE,21,FALSE())),"")</f>
        <v/>
      </c>
      <c r="AG159" s="38" t="str">
        <f>IF(VLOOKUP(A159,'Actual Dates'!A:AE,20,0)="","",VLOOKUP(A159,'Actual Dates'!A:AE,20,0))</f>
        <v/>
      </c>
      <c r="AH159" s="38" t="str">
        <f>_xlfn.IFNA(IF($AG159="","",IF(X159="Y","DONE",VLOOKUP(A159,'Ship Date'!A:AE,27,0))),"")</f>
        <v/>
      </c>
      <c r="AI159" s="12">
        <f t="shared" ca="1" si="71"/>
        <v>0</v>
      </c>
      <c r="AJ159" s="38" t="str">
        <f>_xlfn.IFNA(IF($AG159="","",IF(AB159="Y","DONE",VLOOKUP(A159,'Ship Date'!A:AG,29,0))),"")</f>
        <v/>
      </c>
      <c r="AK159" s="12">
        <f t="shared" ca="1" si="72"/>
        <v>0</v>
      </c>
      <c r="AL159" s="38" t="str">
        <f>_xlfn.IFNA(IF($AG159="","",IF(Z159="Y","DONE",VLOOKUP(A159,'Ship Date'!A:AI,28,0))),"")</f>
        <v/>
      </c>
      <c r="AM159" s="12">
        <f t="shared" ca="1" si="73"/>
        <v>0</v>
      </c>
      <c r="AN159" s="38" t="str">
        <f>_xlfn.IFNA(IF(T159="Y","DONE",VLOOKUP(A159,'Ship Date'!A:AE,25,0)),"")</f>
        <v/>
      </c>
      <c r="AO159" s="12">
        <f t="shared" si="74"/>
        <v>0</v>
      </c>
      <c r="AP159" s="38" t="str">
        <f>_xlfn.IFNA(IF(AD159="Y","DONE",VLOOKUP(A159,'Ship Date'!A:AE,30,0)),"")</f>
        <v/>
      </c>
      <c r="AQ159" s="12">
        <f t="shared" ca="1" si="75"/>
        <v>0</v>
      </c>
      <c r="AR159" s="38" t="str">
        <f>IFERROR(_xlfn.IFNA(VLOOKUP(A159,'Ship Date'!A:C,3,0),""),"")</f>
        <v/>
      </c>
      <c r="AS159" s="12" t="str">
        <f t="shared" ca="1" si="76"/>
        <v/>
      </c>
      <c r="AT159" s="38">
        <f>_xlfn.IFNA(IF(VLOOKUP(A159,'Actual Dates'!A:AF,32,0)="N/A"," ",VLOOKUP(A159,'Actual Dates'!A:AF,32,0))," ")</f>
        <v>0</v>
      </c>
      <c r="AU159" s="39"/>
      <c r="AV159" s="38" t="str">
        <f>_xlfn.IFNA(IF(VLOOKUP(A159,'Actual Dates'!A:AE,31,0)="","",VLOOKUP(A159,'Actual Dates'!A:AE,31,0)),"")</f>
        <v/>
      </c>
      <c r="AW159" s="40"/>
    </row>
    <row r="160" spans="1:49" ht="23.25" x14ac:dyDescent="0.25">
      <c r="A160" s="12">
        <f>'Actual Dates'!A159</f>
        <v>0</v>
      </c>
      <c r="B160" s="13" t="str">
        <f t="shared" si="68"/>
        <v/>
      </c>
      <c r="C160" s="35"/>
      <c r="D160" s="36" t="str">
        <f t="shared" si="77"/>
        <v/>
      </c>
      <c r="E160" s="37" t="str">
        <f t="shared" si="78"/>
        <v xml:space="preserve">  </v>
      </c>
      <c r="F160" s="36" t="str">
        <f t="shared" si="79"/>
        <v xml:space="preserve">  </v>
      </c>
      <c r="G160" s="37" t="str">
        <f t="shared" si="80"/>
        <v xml:space="preserve">  </v>
      </c>
      <c r="H160" s="36" t="str">
        <f t="shared" si="69"/>
        <v xml:space="preserve">  </v>
      </c>
      <c r="I160" s="37" t="str">
        <f t="shared" si="81"/>
        <v xml:space="preserve">  </v>
      </c>
      <c r="J160" s="35"/>
      <c r="K160" s="36" t="str">
        <f t="shared" si="82"/>
        <v>Y</v>
      </c>
      <c r="L160" s="37" t="str">
        <f t="shared" si="83"/>
        <v/>
      </c>
      <c r="M160" s="37" t="str">
        <f t="shared" si="70"/>
        <v xml:space="preserve">  </v>
      </c>
      <c r="N160" s="36" t="str">
        <f t="shared" si="84"/>
        <v xml:space="preserve">  </v>
      </c>
      <c r="O160" s="37" t="str">
        <f t="shared" si="85"/>
        <v/>
      </c>
      <c r="P160" s="36" t="str">
        <f t="shared" si="86"/>
        <v xml:space="preserve">  </v>
      </c>
      <c r="Q160" s="37" t="str">
        <f t="shared" si="87"/>
        <v xml:space="preserve">  </v>
      </c>
      <c r="R160" s="36" t="str">
        <f t="shared" si="88"/>
        <v xml:space="preserve">  </v>
      </c>
      <c r="S160" s="37" t="str">
        <f t="shared" si="89"/>
        <v xml:space="preserve">  </v>
      </c>
      <c r="T160" s="36" t="str">
        <f t="shared" si="90"/>
        <v xml:space="preserve">  </v>
      </c>
      <c r="U160" s="37" t="str">
        <f t="shared" si="91"/>
        <v xml:space="preserve">  </v>
      </c>
      <c r="V160" s="36" t="str">
        <f t="shared" si="92"/>
        <v xml:space="preserve">  </v>
      </c>
      <c r="W160" s="37" t="str">
        <f t="shared" si="93"/>
        <v xml:space="preserve">  </v>
      </c>
      <c r="X160" s="36" t="str">
        <f t="shared" si="94"/>
        <v xml:space="preserve">  </v>
      </c>
      <c r="Y160" s="37" t="str">
        <f t="shared" si="95"/>
        <v xml:space="preserve">  </v>
      </c>
      <c r="Z160" s="36" t="str">
        <f t="shared" si="96"/>
        <v xml:space="preserve">  </v>
      </c>
      <c r="AA160" s="37" t="str">
        <f t="shared" si="97"/>
        <v xml:space="preserve">  </v>
      </c>
      <c r="AB160" s="36" t="str">
        <f t="shared" si="98"/>
        <v xml:space="preserve">  </v>
      </c>
      <c r="AC160" s="37" t="str">
        <f t="shared" si="99"/>
        <v xml:space="preserve">  </v>
      </c>
      <c r="AD160" s="36" t="str">
        <f t="shared" si="100"/>
        <v xml:space="preserve">  </v>
      </c>
      <c r="AE160" s="37" t="str">
        <f t="shared" si="101"/>
        <v xml:space="preserve">  </v>
      </c>
      <c r="AF160" s="38" t="str">
        <f ca="1">_xlfn.IFNA(IF(AG160="",TODAY()+(VLOOKUP(A160,'Date Calcs'!A:G,7,0)*7),VLOOKUP(A160,'Actual Dates'!A:AE,21,FALSE())),"")</f>
        <v/>
      </c>
      <c r="AG160" s="38" t="str">
        <f>IF(VLOOKUP(A160,'Actual Dates'!A:AE,20,0)="","",VLOOKUP(A160,'Actual Dates'!A:AE,20,0))</f>
        <v/>
      </c>
      <c r="AH160" s="38" t="str">
        <f>_xlfn.IFNA(IF($AG160="","",IF(X160="Y","DONE",VLOOKUP(A160,'Ship Date'!A:AE,27,0))),"")</f>
        <v/>
      </c>
      <c r="AI160" s="12">
        <f t="shared" ca="1" si="71"/>
        <v>0</v>
      </c>
      <c r="AJ160" s="38" t="str">
        <f>_xlfn.IFNA(IF($AG160="","",IF(AB160="Y","DONE",VLOOKUP(A160,'Ship Date'!A:AG,29,0))),"")</f>
        <v/>
      </c>
      <c r="AK160" s="12">
        <f t="shared" ca="1" si="72"/>
        <v>0</v>
      </c>
      <c r="AL160" s="38" t="str">
        <f>_xlfn.IFNA(IF($AG160="","",IF(Z160="Y","DONE",VLOOKUP(A160,'Ship Date'!A:AI,28,0))),"")</f>
        <v/>
      </c>
      <c r="AM160" s="12">
        <f t="shared" ca="1" si="73"/>
        <v>0</v>
      </c>
      <c r="AN160" s="38" t="str">
        <f>_xlfn.IFNA(IF(T160="Y","DONE",VLOOKUP(A160,'Ship Date'!A:AE,25,0)),"")</f>
        <v/>
      </c>
      <c r="AO160" s="12">
        <f t="shared" si="74"/>
        <v>0</v>
      </c>
      <c r="AP160" s="38" t="str">
        <f>_xlfn.IFNA(IF(AD160="Y","DONE",VLOOKUP(A160,'Ship Date'!A:AE,30,0)),"")</f>
        <v/>
      </c>
      <c r="AQ160" s="12">
        <f t="shared" ca="1" si="75"/>
        <v>0</v>
      </c>
      <c r="AR160" s="38" t="str">
        <f>IFERROR(_xlfn.IFNA(VLOOKUP(A160,'Ship Date'!A:C,3,0),""),"")</f>
        <v/>
      </c>
      <c r="AS160" s="12" t="str">
        <f t="shared" ca="1" si="76"/>
        <v/>
      </c>
      <c r="AT160" s="38">
        <f>_xlfn.IFNA(IF(VLOOKUP(A160,'Actual Dates'!A:AF,32,0)="N/A"," ",VLOOKUP(A160,'Actual Dates'!A:AF,32,0))," ")</f>
        <v>0</v>
      </c>
      <c r="AU160" s="39"/>
      <c r="AV160" s="38" t="str">
        <f>_xlfn.IFNA(IF(VLOOKUP(A160,'Actual Dates'!A:AE,31,0)="","",VLOOKUP(A160,'Actual Dates'!A:AE,31,0)),"")</f>
        <v/>
      </c>
      <c r="AW160" s="40"/>
    </row>
    <row r="161" spans="1:49" ht="23.25" x14ac:dyDescent="0.25">
      <c r="A161" s="12">
        <f>'Actual Dates'!A160</f>
        <v>0</v>
      </c>
      <c r="B161" s="13" t="str">
        <f t="shared" si="68"/>
        <v/>
      </c>
      <c r="C161" s="35"/>
      <c r="D161" s="36" t="str">
        <f t="shared" si="77"/>
        <v/>
      </c>
      <c r="E161" s="37" t="str">
        <f t="shared" si="78"/>
        <v xml:space="preserve">  </v>
      </c>
      <c r="F161" s="36" t="str">
        <f t="shared" si="79"/>
        <v xml:space="preserve">  </v>
      </c>
      <c r="G161" s="37" t="str">
        <f t="shared" si="80"/>
        <v xml:space="preserve">  </v>
      </c>
      <c r="H161" s="36" t="str">
        <f t="shared" si="69"/>
        <v xml:space="preserve">  </v>
      </c>
      <c r="I161" s="37" t="str">
        <f t="shared" si="81"/>
        <v xml:space="preserve">  </v>
      </c>
      <c r="J161" s="35"/>
      <c r="K161" s="36" t="str">
        <f t="shared" si="82"/>
        <v>Y</v>
      </c>
      <c r="L161" s="37" t="str">
        <f t="shared" si="83"/>
        <v/>
      </c>
      <c r="M161" s="37" t="str">
        <f t="shared" si="70"/>
        <v xml:space="preserve">  </v>
      </c>
      <c r="N161" s="36" t="str">
        <f t="shared" si="84"/>
        <v xml:space="preserve">  </v>
      </c>
      <c r="O161" s="37" t="str">
        <f t="shared" si="85"/>
        <v/>
      </c>
      <c r="P161" s="36" t="str">
        <f t="shared" si="86"/>
        <v xml:space="preserve">  </v>
      </c>
      <c r="Q161" s="37" t="str">
        <f t="shared" si="87"/>
        <v xml:space="preserve">  </v>
      </c>
      <c r="R161" s="36" t="str">
        <f t="shared" si="88"/>
        <v xml:space="preserve">  </v>
      </c>
      <c r="S161" s="37" t="str">
        <f t="shared" si="89"/>
        <v xml:space="preserve">  </v>
      </c>
      <c r="T161" s="36" t="str">
        <f t="shared" si="90"/>
        <v xml:space="preserve">  </v>
      </c>
      <c r="U161" s="37" t="str">
        <f t="shared" si="91"/>
        <v xml:space="preserve">  </v>
      </c>
      <c r="V161" s="36" t="str">
        <f t="shared" si="92"/>
        <v xml:space="preserve">  </v>
      </c>
      <c r="W161" s="37" t="str">
        <f t="shared" si="93"/>
        <v xml:space="preserve">  </v>
      </c>
      <c r="X161" s="36" t="str">
        <f t="shared" si="94"/>
        <v xml:space="preserve">  </v>
      </c>
      <c r="Y161" s="37" t="str">
        <f t="shared" si="95"/>
        <v xml:space="preserve">  </v>
      </c>
      <c r="Z161" s="36" t="str">
        <f t="shared" si="96"/>
        <v xml:space="preserve">  </v>
      </c>
      <c r="AA161" s="37" t="str">
        <f t="shared" si="97"/>
        <v xml:space="preserve">  </v>
      </c>
      <c r="AB161" s="36" t="str">
        <f t="shared" si="98"/>
        <v xml:space="preserve">  </v>
      </c>
      <c r="AC161" s="37" t="str">
        <f t="shared" si="99"/>
        <v xml:space="preserve">  </v>
      </c>
      <c r="AD161" s="36" t="str">
        <f t="shared" si="100"/>
        <v xml:space="preserve">  </v>
      </c>
      <c r="AE161" s="37" t="str">
        <f t="shared" si="101"/>
        <v xml:space="preserve">  </v>
      </c>
      <c r="AF161" s="38" t="str">
        <f ca="1">_xlfn.IFNA(IF(AG161="",TODAY()+(VLOOKUP(A161,'Date Calcs'!A:G,7,0)*7),VLOOKUP(A161,'Actual Dates'!A:AE,21,FALSE())),"")</f>
        <v/>
      </c>
      <c r="AG161" s="38" t="str">
        <f>IF(VLOOKUP(A161,'Actual Dates'!A:AE,20,0)="","",VLOOKUP(A161,'Actual Dates'!A:AE,20,0))</f>
        <v/>
      </c>
      <c r="AH161" s="38" t="str">
        <f>_xlfn.IFNA(IF($AG161="","",IF(X161="Y","DONE",VLOOKUP(A161,'Ship Date'!A:AE,27,0))),"")</f>
        <v/>
      </c>
      <c r="AI161" s="12">
        <f t="shared" ca="1" si="71"/>
        <v>0</v>
      </c>
      <c r="AJ161" s="38" t="str">
        <f>_xlfn.IFNA(IF($AG161="","",IF(AB161="Y","DONE",VLOOKUP(A161,'Ship Date'!A:AG,29,0))),"")</f>
        <v/>
      </c>
      <c r="AK161" s="12">
        <f t="shared" ca="1" si="72"/>
        <v>0</v>
      </c>
      <c r="AL161" s="38" t="str">
        <f>_xlfn.IFNA(IF($AG161="","",IF(Z161="Y","DONE",VLOOKUP(A161,'Ship Date'!A:AI,28,0))),"")</f>
        <v/>
      </c>
      <c r="AM161" s="12">
        <f t="shared" ca="1" si="73"/>
        <v>0</v>
      </c>
      <c r="AN161" s="38" t="str">
        <f>_xlfn.IFNA(IF(T161="Y","DONE",VLOOKUP(A161,'Ship Date'!A:AE,25,0)),"")</f>
        <v/>
      </c>
      <c r="AO161" s="12">
        <f t="shared" si="74"/>
        <v>0</v>
      </c>
      <c r="AP161" s="38" t="str">
        <f>_xlfn.IFNA(IF(AD161="Y","DONE",VLOOKUP(A161,'Ship Date'!A:AE,30,0)),"")</f>
        <v/>
      </c>
      <c r="AQ161" s="12">
        <f t="shared" ca="1" si="75"/>
        <v>0</v>
      </c>
      <c r="AR161" s="38" t="str">
        <f>IFERROR(_xlfn.IFNA(VLOOKUP(A161,'Ship Date'!A:C,3,0),""),"")</f>
        <v/>
      </c>
      <c r="AS161" s="12" t="str">
        <f t="shared" ca="1" si="76"/>
        <v/>
      </c>
      <c r="AT161" s="38">
        <f>_xlfn.IFNA(IF(VLOOKUP(A161,'Actual Dates'!A:AF,32,0)="N/A"," ",VLOOKUP(A161,'Actual Dates'!A:AF,32,0))," ")</f>
        <v>0</v>
      </c>
      <c r="AU161" s="39"/>
      <c r="AV161" s="38" t="str">
        <f>_xlfn.IFNA(IF(VLOOKUP(A161,'Actual Dates'!A:AE,31,0)="","",VLOOKUP(A161,'Actual Dates'!A:AE,31,0)),"")</f>
        <v/>
      </c>
      <c r="AW161" s="40"/>
    </row>
    <row r="162" spans="1:49" ht="23.25" x14ac:dyDescent="0.25">
      <c r="A162" s="12">
        <f>'Actual Dates'!A161</f>
        <v>0</v>
      </c>
      <c r="B162" s="13" t="str">
        <f t="shared" si="68"/>
        <v/>
      </c>
      <c r="C162" s="35"/>
      <c r="D162" s="36" t="str">
        <f t="shared" si="77"/>
        <v/>
      </c>
      <c r="E162" s="37" t="str">
        <f t="shared" si="78"/>
        <v xml:space="preserve">  </v>
      </c>
      <c r="F162" s="36" t="str">
        <f t="shared" si="79"/>
        <v xml:space="preserve">  </v>
      </c>
      <c r="G162" s="37" t="str">
        <f t="shared" si="80"/>
        <v xml:space="preserve">  </v>
      </c>
      <c r="H162" s="36" t="str">
        <f t="shared" si="69"/>
        <v xml:space="preserve">  </v>
      </c>
      <c r="I162" s="37" t="str">
        <f t="shared" si="81"/>
        <v xml:space="preserve">  </v>
      </c>
      <c r="J162" s="35"/>
      <c r="K162" s="36" t="str">
        <f t="shared" si="82"/>
        <v>Y</v>
      </c>
      <c r="L162" s="37" t="str">
        <f t="shared" si="83"/>
        <v/>
      </c>
      <c r="M162" s="37" t="str">
        <f t="shared" si="70"/>
        <v xml:space="preserve">  </v>
      </c>
      <c r="N162" s="36" t="str">
        <f t="shared" si="84"/>
        <v xml:space="preserve">  </v>
      </c>
      <c r="O162" s="37" t="str">
        <f t="shared" si="85"/>
        <v/>
      </c>
      <c r="P162" s="36" t="str">
        <f t="shared" si="86"/>
        <v xml:space="preserve">  </v>
      </c>
      <c r="Q162" s="37" t="str">
        <f t="shared" si="87"/>
        <v xml:space="preserve">  </v>
      </c>
      <c r="R162" s="36" t="str">
        <f t="shared" si="88"/>
        <v xml:space="preserve">  </v>
      </c>
      <c r="S162" s="37" t="str">
        <f t="shared" si="89"/>
        <v xml:space="preserve">  </v>
      </c>
      <c r="T162" s="36" t="str">
        <f t="shared" si="90"/>
        <v xml:space="preserve">  </v>
      </c>
      <c r="U162" s="37" t="str">
        <f t="shared" si="91"/>
        <v xml:space="preserve">  </v>
      </c>
      <c r="V162" s="36" t="str">
        <f t="shared" si="92"/>
        <v xml:space="preserve">  </v>
      </c>
      <c r="W162" s="37" t="str">
        <f t="shared" si="93"/>
        <v xml:space="preserve">  </v>
      </c>
      <c r="X162" s="36" t="str">
        <f t="shared" si="94"/>
        <v xml:space="preserve">  </v>
      </c>
      <c r="Y162" s="37" t="str">
        <f t="shared" si="95"/>
        <v xml:space="preserve">  </v>
      </c>
      <c r="Z162" s="36" t="str">
        <f t="shared" si="96"/>
        <v xml:space="preserve">  </v>
      </c>
      <c r="AA162" s="37" t="str">
        <f t="shared" si="97"/>
        <v xml:space="preserve">  </v>
      </c>
      <c r="AB162" s="36" t="str">
        <f t="shared" si="98"/>
        <v xml:space="preserve">  </v>
      </c>
      <c r="AC162" s="37" t="str">
        <f t="shared" si="99"/>
        <v xml:space="preserve">  </v>
      </c>
      <c r="AD162" s="36" t="str">
        <f t="shared" si="100"/>
        <v xml:space="preserve">  </v>
      </c>
      <c r="AE162" s="37" t="str">
        <f t="shared" si="101"/>
        <v xml:space="preserve">  </v>
      </c>
      <c r="AF162" s="38" t="str">
        <f ca="1">_xlfn.IFNA(IF(AG162="",TODAY()+(VLOOKUP(A162,'Date Calcs'!A:G,7,0)*7),VLOOKUP(A162,'Actual Dates'!A:AE,21,FALSE())),"")</f>
        <v/>
      </c>
      <c r="AG162" s="38" t="str">
        <f>IF(VLOOKUP(A162,'Actual Dates'!A:AE,20,0)="","",VLOOKUP(A162,'Actual Dates'!A:AE,20,0))</f>
        <v/>
      </c>
      <c r="AH162" s="38" t="str">
        <f>_xlfn.IFNA(IF($AG162="","",IF(X162="Y","DONE",VLOOKUP(A162,'Ship Date'!A:AE,27,0))),"")</f>
        <v/>
      </c>
      <c r="AI162" s="12">
        <f t="shared" ca="1" si="71"/>
        <v>0</v>
      </c>
      <c r="AJ162" s="38" t="str">
        <f>_xlfn.IFNA(IF($AG162="","",IF(AB162="Y","DONE",VLOOKUP(A162,'Ship Date'!A:AG,29,0))),"")</f>
        <v/>
      </c>
      <c r="AK162" s="12">
        <f t="shared" ca="1" si="72"/>
        <v>0</v>
      </c>
      <c r="AL162" s="38" t="str">
        <f>_xlfn.IFNA(IF($AG162="","",IF(Z162="Y","DONE",VLOOKUP(A162,'Ship Date'!A:AI,28,0))),"")</f>
        <v/>
      </c>
      <c r="AM162" s="12">
        <f t="shared" ca="1" si="73"/>
        <v>0</v>
      </c>
      <c r="AN162" s="38" t="str">
        <f>_xlfn.IFNA(IF(T162="Y","DONE",VLOOKUP(A162,'Ship Date'!A:AE,25,0)),"")</f>
        <v/>
      </c>
      <c r="AO162" s="12">
        <f t="shared" si="74"/>
        <v>0</v>
      </c>
      <c r="AP162" s="38" t="str">
        <f>_xlfn.IFNA(IF(AD162="Y","DONE",VLOOKUP(A162,'Ship Date'!A:AE,30,0)),"")</f>
        <v/>
      </c>
      <c r="AQ162" s="12">
        <f t="shared" ca="1" si="75"/>
        <v>0</v>
      </c>
      <c r="AR162" s="38" t="str">
        <f>IFERROR(_xlfn.IFNA(VLOOKUP(A162,'Ship Date'!A:C,3,0),""),"")</f>
        <v/>
      </c>
      <c r="AS162" s="12" t="str">
        <f t="shared" ca="1" si="76"/>
        <v/>
      </c>
      <c r="AT162" s="38">
        <f>_xlfn.IFNA(IF(VLOOKUP(A162,'Actual Dates'!A:AF,32,0)="N/A"," ",VLOOKUP(A162,'Actual Dates'!A:AF,32,0))," ")</f>
        <v>0</v>
      </c>
      <c r="AU162" s="39"/>
      <c r="AV162" s="38" t="str">
        <f>_xlfn.IFNA(IF(VLOOKUP(A162,'Actual Dates'!A:AE,31,0)="","",VLOOKUP(A162,'Actual Dates'!A:AE,31,0)),"")</f>
        <v/>
      </c>
      <c r="AW162" s="40"/>
    </row>
    <row r="163" spans="1:49" ht="23.25" x14ac:dyDescent="0.25">
      <c r="A163" s="12">
        <f>'Actual Dates'!A162</f>
        <v>0</v>
      </c>
      <c r="B163" s="13" t="str">
        <f t="shared" si="68"/>
        <v/>
      </c>
      <c r="C163" s="35"/>
      <c r="D163" s="36" t="str">
        <f t="shared" si="77"/>
        <v/>
      </c>
      <c r="E163" s="37" t="str">
        <f t="shared" si="78"/>
        <v xml:space="preserve">  </v>
      </c>
      <c r="F163" s="36" t="str">
        <f t="shared" si="79"/>
        <v xml:space="preserve">  </v>
      </c>
      <c r="G163" s="37" t="str">
        <f t="shared" si="80"/>
        <v xml:space="preserve">  </v>
      </c>
      <c r="H163" s="36" t="str">
        <f t="shared" si="69"/>
        <v xml:space="preserve">  </v>
      </c>
      <c r="I163" s="37" t="str">
        <f t="shared" si="81"/>
        <v xml:space="preserve">  </v>
      </c>
      <c r="J163" s="35"/>
      <c r="K163" s="36" t="str">
        <f t="shared" si="82"/>
        <v>Y</v>
      </c>
      <c r="L163" s="37" t="str">
        <f t="shared" si="83"/>
        <v/>
      </c>
      <c r="M163" s="37" t="str">
        <f t="shared" si="70"/>
        <v xml:space="preserve">  </v>
      </c>
      <c r="N163" s="36" t="str">
        <f t="shared" si="84"/>
        <v xml:space="preserve">  </v>
      </c>
      <c r="O163" s="37" t="str">
        <f t="shared" si="85"/>
        <v/>
      </c>
      <c r="P163" s="36" t="str">
        <f t="shared" si="86"/>
        <v xml:space="preserve">  </v>
      </c>
      <c r="Q163" s="37" t="str">
        <f t="shared" si="87"/>
        <v xml:space="preserve">  </v>
      </c>
      <c r="R163" s="36" t="str">
        <f t="shared" si="88"/>
        <v xml:space="preserve">  </v>
      </c>
      <c r="S163" s="37" t="str">
        <f t="shared" si="89"/>
        <v xml:space="preserve">  </v>
      </c>
      <c r="T163" s="36" t="str">
        <f t="shared" si="90"/>
        <v xml:space="preserve">  </v>
      </c>
      <c r="U163" s="37" t="str">
        <f t="shared" si="91"/>
        <v xml:space="preserve">  </v>
      </c>
      <c r="V163" s="36" t="str">
        <f t="shared" si="92"/>
        <v xml:space="preserve">  </v>
      </c>
      <c r="W163" s="37" t="str">
        <f t="shared" si="93"/>
        <v xml:space="preserve">  </v>
      </c>
      <c r="X163" s="36" t="str">
        <f t="shared" si="94"/>
        <v xml:space="preserve">  </v>
      </c>
      <c r="Y163" s="37" t="str">
        <f t="shared" si="95"/>
        <v xml:space="preserve">  </v>
      </c>
      <c r="Z163" s="36" t="str">
        <f t="shared" si="96"/>
        <v xml:space="preserve">  </v>
      </c>
      <c r="AA163" s="37" t="str">
        <f t="shared" si="97"/>
        <v xml:space="preserve">  </v>
      </c>
      <c r="AB163" s="36" t="str">
        <f t="shared" si="98"/>
        <v xml:space="preserve">  </v>
      </c>
      <c r="AC163" s="37" t="str">
        <f t="shared" si="99"/>
        <v xml:space="preserve">  </v>
      </c>
      <c r="AD163" s="36" t="str">
        <f t="shared" si="100"/>
        <v xml:space="preserve">  </v>
      </c>
      <c r="AE163" s="37" t="str">
        <f t="shared" si="101"/>
        <v xml:space="preserve">  </v>
      </c>
      <c r="AF163" s="38" t="str">
        <f ca="1">_xlfn.IFNA(IF(AG163="",TODAY()+(VLOOKUP(A163,'Date Calcs'!A:G,7,0)*7),VLOOKUP(A163,'Actual Dates'!A:AE,21,FALSE())),"")</f>
        <v/>
      </c>
      <c r="AG163" s="38" t="str">
        <f>IF(VLOOKUP(A163,'Actual Dates'!A:AE,20,0)="","",VLOOKUP(A163,'Actual Dates'!A:AE,20,0))</f>
        <v/>
      </c>
      <c r="AH163" s="38" t="str">
        <f>_xlfn.IFNA(IF($AG163="","",IF(X163="Y","DONE",VLOOKUP(A163,'Ship Date'!A:AE,27,0))),"")</f>
        <v/>
      </c>
      <c r="AI163" s="12">
        <f t="shared" ca="1" si="71"/>
        <v>0</v>
      </c>
      <c r="AJ163" s="38" t="str">
        <f>_xlfn.IFNA(IF($AG163="","",IF(AB163="Y","DONE",VLOOKUP(A163,'Ship Date'!A:AG,29,0))),"")</f>
        <v/>
      </c>
      <c r="AK163" s="12">
        <f t="shared" ca="1" si="72"/>
        <v>0</v>
      </c>
      <c r="AL163" s="38" t="str">
        <f>_xlfn.IFNA(IF($AG163="","",IF(Z163="Y","DONE",VLOOKUP(A163,'Ship Date'!A:AI,28,0))),"")</f>
        <v/>
      </c>
      <c r="AM163" s="12">
        <f t="shared" ca="1" si="73"/>
        <v>0</v>
      </c>
      <c r="AN163" s="38" t="str">
        <f>_xlfn.IFNA(IF(T163="Y","DONE",VLOOKUP(A163,'Ship Date'!A:AE,25,0)),"")</f>
        <v/>
      </c>
      <c r="AO163" s="12">
        <f t="shared" si="74"/>
        <v>0</v>
      </c>
      <c r="AP163" s="38" t="str">
        <f>_xlfn.IFNA(IF(AD163="Y","DONE",VLOOKUP(A163,'Ship Date'!A:AE,30,0)),"")</f>
        <v/>
      </c>
      <c r="AQ163" s="12">
        <f t="shared" ca="1" si="75"/>
        <v>0</v>
      </c>
      <c r="AR163" s="38" t="str">
        <f>IFERROR(_xlfn.IFNA(VLOOKUP(A163,'Ship Date'!A:C,3,0),""),"")</f>
        <v/>
      </c>
      <c r="AS163" s="12" t="str">
        <f t="shared" ca="1" si="76"/>
        <v/>
      </c>
      <c r="AT163" s="38">
        <f>_xlfn.IFNA(IF(VLOOKUP(A163,'Actual Dates'!A:AF,32,0)="N/A"," ",VLOOKUP(A163,'Actual Dates'!A:AF,32,0))," ")</f>
        <v>0</v>
      </c>
      <c r="AU163" s="39"/>
      <c r="AV163" s="38" t="str">
        <f>_xlfn.IFNA(IF(VLOOKUP(A163,'Actual Dates'!A:AE,31,0)="","",VLOOKUP(A163,'Actual Dates'!A:AE,31,0)),"")</f>
        <v/>
      </c>
      <c r="AW163" s="40"/>
    </row>
    <row r="164" spans="1:49" ht="23.25" x14ac:dyDescent="0.25">
      <c r="A164" s="12">
        <f>'Actual Dates'!A163</f>
        <v>0</v>
      </c>
      <c r="B164" s="13" t="str">
        <f t="shared" si="68"/>
        <v/>
      </c>
      <c r="C164" s="35"/>
      <c r="D164" s="36" t="str">
        <f t="shared" si="77"/>
        <v/>
      </c>
      <c r="E164" s="37" t="str">
        <f t="shared" si="78"/>
        <v xml:space="preserve">  </v>
      </c>
      <c r="F164" s="36" t="str">
        <f t="shared" si="79"/>
        <v xml:space="preserve">  </v>
      </c>
      <c r="G164" s="37" t="str">
        <f t="shared" si="80"/>
        <v xml:space="preserve">  </v>
      </c>
      <c r="H164" s="36" t="str">
        <f t="shared" si="69"/>
        <v xml:space="preserve">  </v>
      </c>
      <c r="I164" s="37" t="str">
        <f t="shared" si="81"/>
        <v xml:space="preserve">  </v>
      </c>
      <c r="J164" s="35"/>
      <c r="K164" s="36" t="str">
        <f t="shared" si="82"/>
        <v>Y</v>
      </c>
      <c r="L164" s="37" t="str">
        <f t="shared" si="83"/>
        <v/>
      </c>
      <c r="M164" s="37" t="str">
        <f t="shared" si="70"/>
        <v xml:space="preserve">  </v>
      </c>
      <c r="N164" s="36" t="str">
        <f t="shared" si="84"/>
        <v xml:space="preserve">  </v>
      </c>
      <c r="O164" s="37" t="str">
        <f t="shared" si="85"/>
        <v/>
      </c>
      <c r="P164" s="36" t="str">
        <f t="shared" si="86"/>
        <v xml:space="preserve">  </v>
      </c>
      <c r="Q164" s="37" t="str">
        <f t="shared" si="87"/>
        <v xml:space="preserve">  </v>
      </c>
      <c r="R164" s="36" t="str">
        <f t="shared" si="88"/>
        <v xml:space="preserve">  </v>
      </c>
      <c r="S164" s="37" t="str">
        <f t="shared" si="89"/>
        <v xml:space="preserve">  </v>
      </c>
      <c r="T164" s="36" t="str">
        <f t="shared" si="90"/>
        <v xml:space="preserve">  </v>
      </c>
      <c r="U164" s="37" t="str">
        <f t="shared" si="91"/>
        <v xml:space="preserve">  </v>
      </c>
      <c r="V164" s="36" t="str">
        <f t="shared" si="92"/>
        <v xml:space="preserve">  </v>
      </c>
      <c r="W164" s="37" t="str">
        <f t="shared" si="93"/>
        <v xml:space="preserve">  </v>
      </c>
      <c r="X164" s="36" t="str">
        <f t="shared" si="94"/>
        <v xml:space="preserve">  </v>
      </c>
      <c r="Y164" s="37" t="str">
        <f t="shared" si="95"/>
        <v xml:space="preserve">  </v>
      </c>
      <c r="Z164" s="36" t="str">
        <f t="shared" si="96"/>
        <v xml:space="preserve">  </v>
      </c>
      <c r="AA164" s="37" t="str">
        <f t="shared" si="97"/>
        <v xml:space="preserve">  </v>
      </c>
      <c r="AB164" s="36" t="str">
        <f t="shared" si="98"/>
        <v xml:space="preserve">  </v>
      </c>
      <c r="AC164" s="37" t="str">
        <f t="shared" si="99"/>
        <v xml:space="preserve">  </v>
      </c>
      <c r="AD164" s="36" t="str">
        <f t="shared" si="100"/>
        <v xml:space="preserve">  </v>
      </c>
      <c r="AE164" s="37" t="str">
        <f t="shared" si="101"/>
        <v xml:space="preserve">  </v>
      </c>
      <c r="AF164" s="38" t="str">
        <f ca="1">_xlfn.IFNA(IF(AG164="",TODAY()+(VLOOKUP(A164,'Date Calcs'!A:G,7,0)*7),VLOOKUP(A164,'Actual Dates'!A:AE,21,FALSE())),"")</f>
        <v/>
      </c>
      <c r="AG164" s="38" t="str">
        <f>IF(VLOOKUP(A164,'Actual Dates'!A:AE,20,0)="","",VLOOKUP(A164,'Actual Dates'!A:AE,20,0))</f>
        <v/>
      </c>
      <c r="AH164" s="38" t="str">
        <f>_xlfn.IFNA(IF($AG164="","",IF(X164="Y","DONE",VLOOKUP(A164,'Ship Date'!A:AE,27,0))),"")</f>
        <v/>
      </c>
      <c r="AI164" s="12">
        <f t="shared" ca="1" si="71"/>
        <v>0</v>
      </c>
      <c r="AJ164" s="38" t="str">
        <f>_xlfn.IFNA(IF($AG164="","",IF(AB164="Y","DONE",VLOOKUP(A164,'Ship Date'!A:AG,29,0))),"")</f>
        <v/>
      </c>
      <c r="AK164" s="12">
        <f t="shared" ca="1" si="72"/>
        <v>0</v>
      </c>
      <c r="AL164" s="38" t="str">
        <f>_xlfn.IFNA(IF($AG164="","",IF(Z164="Y","DONE",VLOOKUP(A164,'Ship Date'!A:AI,28,0))),"")</f>
        <v/>
      </c>
      <c r="AM164" s="12">
        <f t="shared" ca="1" si="73"/>
        <v>0</v>
      </c>
      <c r="AN164" s="38" t="str">
        <f>_xlfn.IFNA(IF(T164="Y","DONE",VLOOKUP(A164,'Ship Date'!A:AE,25,0)),"")</f>
        <v/>
      </c>
      <c r="AO164" s="12">
        <f t="shared" si="74"/>
        <v>0</v>
      </c>
      <c r="AP164" s="38" t="str">
        <f>_xlfn.IFNA(IF(AD164="Y","DONE",VLOOKUP(A164,'Ship Date'!A:AE,30,0)),"")</f>
        <v/>
      </c>
      <c r="AQ164" s="12">
        <f t="shared" ca="1" si="75"/>
        <v>0</v>
      </c>
      <c r="AR164" s="38" t="str">
        <f>IFERROR(_xlfn.IFNA(VLOOKUP(A164,'Ship Date'!A:C,3,0),""),"")</f>
        <v/>
      </c>
      <c r="AS164" s="12" t="str">
        <f t="shared" ca="1" si="76"/>
        <v/>
      </c>
      <c r="AT164" s="38">
        <f>_xlfn.IFNA(IF(VLOOKUP(A164,'Actual Dates'!A:AF,32,0)="N/A"," ",VLOOKUP(A164,'Actual Dates'!A:AF,32,0))," ")</f>
        <v>0</v>
      </c>
      <c r="AU164" s="39"/>
      <c r="AV164" s="38" t="str">
        <f>_xlfn.IFNA(IF(VLOOKUP(A164,'Actual Dates'!A:AE,31,0)="","",VLOOKUP(A164,'Actual Dates'!A:AE,31,0)),"")</f>
        <v/>
      </c>
      <c r="AW164" s="40"/>
    </row>
    <row r="165" spans="1:49" ht="23.25" x14ac:dyDescent="0.25">
      <c r="A165" s="12">
        <f>'Actual Dates'!A164</f>
        <v>0</v>
      </c>
      <c r="B165" s="13" t="str">
        <f t="shared" si="68"/>
        <v/>
      </c>
      <c r="C165" s="35"/>
      <c r="D165" s="36" t="str">
        <f t="shared" si="77"/>
        <v/>
      </c>
      <c r="E165" s="37" t="str">
        <f t="shared" si="78"/>
        <v xml:space="preserve">  </v>
      </c>
      <c r="F165" s="36" t="str">
        <f t="shared" si="79"/>
        <v xml:space="preserve">  </v>
      </c>
      <c r="G165" s="37" t="str">
        <f t="shared" si="80"/>
        <v xml:space="preserve">  </v>
      </c>
      <c r="H165" s="36" t="str">
        <f t="shared" si="69"/>
        <v xml:space="preserve">  </v>
      </c>
      <c r="I165" s="37" t="str">
        <f t="shared" si="81"/>
        <v xml:space="preserve">  </v>
      </c>
      <c r="J165" s="35"/>
      <c r="K165" s="36" t="str">
        <f t="shared" si="82"/>
        <v>Y</v>
      </c>
      <c r="L165" s="37" t="str">
        <f t="shared" si="83"/>
        <v/>
      </c>
      <c r="M165" s="37" t="str">
        <f t="shared" si="70"/>
        <v xml:space="preserve">  </v>
      </c>
      <c r="N165" s="36" t="str">
        <f t="shared" si="84"/>
        <v xml:space="preserve">  </v>
      </c>
      <c r="O165" s="37" t="str">
        <f t="shared" si="85"/>
        <v/>
      </c>
      <c r="P165" s="36" t="str">
        <f t="shared" si="86"/>
        <v xml:space="preserve">  </v>
      </c>
      <c r="Q165" s="37" t="str">
        <f t="shared" si="87"/>
        <v xml:space="preserve">  </v>
      </c>
      <c r="R165" s="36" t="str">
        <f t="shared" si="88"/>
        <v xml:space="preserve">  </v>
      </c>
      <c r="S165" s="37" t="str">
        <f t="shared" si="89"/>
        <v xml:space="preserve">  </v>
      </c>
      <c r="T165" s="36" t="str">
        <f t="shared" si="90"/>
        <v xml:space="preserve">  </v>
      </c>
      <c r="U165" s="37" t="str">
        <f t="shared" si="91"/>
        <v xml:space="preserve">  </v>
      </c>
      <c r="V165" s="36" t="str">
        <f t="shared" si="92"/>
        <v xml:space="preserve">  </v>
      </c>
      <c r="W165" s="37" t="str">
        <f t="shared" si="93"/>
        <v xml:space="preserve">  </v>
      </c>
      <c r="X165" s="36" t="str">
        <f t="shared" si="94"/>
        <v xml:space="preserve">  </v>
      </c>
      <c r="Y165" s="37" t="str">
        <f t="shared" si="95"/>
        <v xml:space="preserve">  </v>
      </c>
      <c r="Z165" s="36" t="str">
        <f t="shared" si="96"/>
        <v xml:space="preserve">  </v>
      </c>
      <c r="AA165" s="37" t="str">
        <f t="shared" si="97"/>
        <v xml:space="preserve">  </v>
      </c>
      <c r="AB165" s="36" t="str">
        <f t="shared" si="98"/>
        <v xml:space="preserve">  </v>
      </c>
      <c r="AC165" s="37" t="str">
        <f t="shared" si="99"/>
        <v xml:space="preserve">  </v>
      </c>
      <c r="AD165" s="36" t="str">
        <f t="shared" si="100"/>
        <v xml:space="preserve">  </v>
      </c>
      <c r="AE165" s="37" t="str">
        <f t="shared" si="101"/>
        <v xml:space="preserve">  </v>
      </c>
      <c r="AF165" s="38" t="str">
        <f ca="1">_xlfn.IFNA(IF(AG165="",TODAY()+(VLOOKUP(A165,'Date Calcs'!A:G,7,0)*7),VLOOKUP(A165,'Actual Dates'!A:AE,21,FALSE())),"")</f>
        <v/>
      </c>
      <c r="AG165" s="38" t="str">
        <f>IF(VLOOKUP(A165,'Actual Dates'!A:AE,20,0)="","",VLOOKUP(A165,'Actual Dates'!A:AE,20,0))</f>
        <v/>
      </c>
      <c r="AH165" s="38" t="str">
        <f>_xlfn.IFNA(IF($AG165="","",IF(X165="Y","DONE",VLOOKUP(A165,'Ship Date'!A:AE,27,0))),"")</f>
        <v/>
      </c>
      <c r="AI165" s="12">
        <f t="shared" ca="1" si="71"/>
        <v>0</v>
      </c>
      <c r="AJ165" s="38" t="str">
        <f>_xlfn.IFNA(IF($AG165="","",IF(AB165="Y","DONE",VLOOKUP(A165,'Ship Date'!A:AG,29,0))),"")</f>
        <v/>
      </c>
      <c r="AK165" s="12">
        <f t="shared" ca="1" si="72"/>
        <v>0</v>
      </c>
      <c r="AL165" s="38" t="str">
        <f>_xlfn.IFNA(IF($AG165="","",IF(Z165="Y","DONE",VLOOKUP(A165,'Ship Date'!A:AI,28,0))),"")</f>
        <v/>
      </c>
      <c r="AM165" s="12">
        <f t="shared" ca="1" si="73"/>
        <v>0</v>
      </c>
      <c r="AN165" s="38" t="str">
        <f>_xlfn.IFNA(IF(T165="Y","DONE",VLOOKUP(A165,'Ship Date'!A:AE,25,0)),"")</f>
        <v/>
      </c>
      <c r="AO165" s="12">
        <f t="shared" si="74"/>
        <v>0</v>
      </c>
      <c r="AP165" s="38" t="str">
        <f>_xlfn.IFNA(IF(AD165="Y","DONE",VLOOKUP(A165,'Ship Date'!A:AE,30,0)),"")</f>
        <v/>
      </c>
      <c r="AQ165" s="12">
        <f t="shared" ca="1" si="75"/>
        <v>0</v>
      </c>
      <c r="AR165" s="38" t="str">
        <f>IFERROR(_xlfn.IFNA(VLOOKUP(A165,'Ship Date'!A:C,3,0),""),"")</f>
        <v/>
      </c>
      <c r="AS165" s="12" t="str">
        <f t="shared" ca="1" si="76"/>
        <v/>
      </c>
      <c r="AT165" s="38">
        <f>_xlfn.IFNA(IF(VLOOKUP(A165,'Actual Dates'!A:AF,32,0)="N/A"," ",VLOOKUP(A165,'Actual Dates'!A:AF,32,0))," ")</f>
        <v>0</v>
      </c>
      <c r="AU165" s="39"/>
      <c r="AV165" s="38" t="str">
        <f>_xlfn.IFNA(IF(VLOOKUP(A165,'Actual Dates'!A:AE,31,0)="","",VLOOKUP(A165,'Actual Dates'!A:AE,31,0)),"")</f>
        <v/>
      </c>
      <c r="AW165" s="40"/>
    </row>
    <row r="166" spans="1:49" ht="23.25" x14ac:dyDescent="0.25">
      <c r="A166" s="12">
        <f>'Actual Dates'!A165</f>
        <v>0</v>
      </c>
      <c r="B166" s="13" t="str">
        <f t="shared" si="68"/>
        <v/>
      </c>
      <c r="C166" s="35"/>
      <c r="D166" s="36" t="str">
        <f t="shared" si="77"/>
        <v/>
      </c>
      <c r="E166" s="37" t="str">
        <f t="shared" si="78"/>
        <v xml:space="preserve">  </v>
      </c>
      <c r="F166" s="36" t="str">
        <f t="shared" si="79"/>
        <v xml:space="preserve">  </v>
      </c>
      <c r="G166" s="37" t="str">
        <f t="shared" si="80"/>
        <v xml:space="preserve">  </v>
      </c>
      <c r="H166" s="36" t="str">
        <f t="shared" si="69"/>
        <v xml:space="preserve">  </v>
      </c>
      <c r="I166" s="37" t="str">
        <f t="shared" si="81"/>
        <v xml:space="preserve">  </v>
      </c>
      <c r="J166" s="35"/>
      <c r="K166" s="36" t="str">
        <f t="shared" si="82"/>
        <v>Y</v>
      </c>
      <c r="L166" s="37" t="str">
        <f t="shared" si="83"/>
        <v/>
      </c>
      <c r="M166" s="37" t="str">
        <f t="shared" si="70"/>
        <v xml:space="preserve">  </v>
      </c>
      <c r="N166" s="36" t="str">
        <f t="shared" si="84"/>
        <v xml:space="preserve">  </v>
      </c>
      <c r="O166" s="37" t="str">
        <f t="shared" si="85"/>
        <v/>
      </c>
      <c r="P166" s="36" t="str">
        <f t="shared" si="86"/>
        <v xml:space="preserve">  </v>
      </c>
      <c r="Q166" s="37" t="str">
        <f t="shared" si="87"/>
        <v xml:space="preserve">  </v>
      </c>
      <c r="R166" s="36" t="str">
        <f t="shared" si="88"/>
        <v xml:space="preserve">  </v>
      </c>
      <c r="S166" s="37" t="str">
        <f t="shared" si="89"/>
        <v xml:space="preserve">  </v>
      </c>
      <c r="T166" s="36" t="str">
        <f t="shared" si="90"/>
        <v xml:space="preserve">  </v>
      </c>
      <c r="U166" s="37" t="str">
        <f t="shared" si="91"/>
        <v xml:space="preserve">  </v>
      </c>
      <c r="V166" s="36" t="str">
        <f t="shared" si="92"/>
        <v xml:space="preserve">  </v>
      </c>
      <c r="W166" s="37" t="str">
        <f t="shared" si="93"/>
        <v xml:space="preserve">  </v>
      </c>
      <c r="X166" s="36" t="str">
        <f t="shared" si="94"/>
        <v xml:space="preserve">  </v>
      </c>
      <c r="Y166" s="37" t="str">
        <f t="shared" si="95"/>
        <v xml:space="preserve">  </v>
      </c>
      <c r="Z166" s="36" t="str">
        <f t="shared" si="96"/>
        <v xml:space="preserve">  </v>
      </c>
      <c r="AA166" s="37" t="str">
        <f t="shared" si="97"/>
        <v xml:space="preserve">  </v>
      </c>
      <c r="AB166" s="36" t="str">
        <f t="shared" si="98"/>
        <v xml:space="preserve">  </v>
      </c>
      <c r="AC166" s="37" t="str">
        <f t="shared" si="99"/>
        <v xml:space="preserve">  </v>
      </c>
      <c r="AD166" s="36" t="str">
        <f t="shared" si="100"/>
        <v xml:space="preserve">  </v>
      </c>
      <c r="AE166" s="37" t="str">
        <f t="shared" si="101"/>
        <v xml:space="preserve">  </v>
      </c>
      <c r="AF166" s="38" t="str">
        <f ca="1">_xlfn.IFNA(IF(AG166="",TODAY()+(VLOOKUP(A166,'Date Calcs'!A:G,7,0)*7),VLOOKUP(A166,'Actual Dates'!A:AE,21,FALSE())),"")</f>
        <v/>
      </c>
      <c r="AG166" s="38" t="str">
        <f>IF(VLOOKUP(A166,'Actual Dates'!A:AE,20,0)="","",VLOOKUP(A166,'Actual Dates'!A:AE,20,0))</f>
        <v/>
      </c>
      <c r="AH166" s="38" t="str">
        <f>_xlfn.IFNA(IF($AG166="","",IF(X166="Y","DONE",VLOOKUP(A166,'Ship Date'!A:AE,27,0))),"")</f>
        <v/>
      </c>
      <c r="AI166" s="12">
        <f t="shared" ca="1" si="71"/>
        <v>0</v>
      </c>
      <c r="AJ166" s="38" t="str">
        <f>_xlfn.IFNA(IF($AG166="","",IF(AB166="Y","DONE",VLOOKUP(A166,'Ship Date'!A:AG,29,0))),"")</f>
        <v/>
      </c>
      <c r="AK166" s="12">
        <f t="shared" ca="1" si="72"/>
        <v>0</v>
      </c>
      <c r="AL166" s="38" t="str">
        <f>_xlfn.IFNA(IF($AG166="","",IF(Z166="Y","DONE",VLOOKUP(A166,'Ship Date'!A:AI,28,0))),"")</f>
        <v/>
      </c>
      <c r="AM166" s="12">
        <f t="shared" ca="1" si="73"/>
        <v>0</v>
      </c>
      <c r="AN166" s="38" t="str">
        <f>_xlfn.IFNA(IF(T166="Y","DONE",VLOOKUP(A166,'Ship Date'!A:AE,25,0)),"")</f>
        <v/>
      </c>
      <c r="AO166" s="12">
        <f t="shared" si="74"/>
        <v>0</v>
      </c>
      <c r="AP166" s="38" t="str">
        <f>_xlfn.IFNA(IF(AD166="Y","DONE",VLOOKUP(A166,'Ship Date'!A:AE,30,0)),"")</f>
        <v/>
      </c>
      <c r="AQ166" s="12">
        <f t="shared" ca="1" si="75"/>
        <v>0</v>
      </c>
      <c r="AR166" s="38" t="str">
        <f>IFERROR(_xlfn.IFNA(VLOOKUP(A166,'Ship Date'!A:C,3,0),""),"")</f>
        <v/>
      </c>
      <c r="AS166" s="12" t="str">
        <f t="shared" ca="1" si="76"/>
        <v/>
      </c>
      <c r="AT166" s="38">
        <f>_xlfn.IFNA(IF(VLOOKUP(A166,'Actual Dates'!A:AF,32,0)="N/A"," ",VLOOKUP(A166,'Actual Dates'!A:AF,32,0))," ")</f>
        <v>0</v>
      </c>
      <c r="AU166" s="39"/>
      <c r="AV166" s="38" t="str">
        <f>_xlfn.IFNA(IF(VLOOKUP(A166,'Actual Dates'!A:AE,31,0)="","",VLOOKUP(A166,'Actual Dates'!A:AE,31,0)),"")</f>
        <v/>
      </c>
      <c r="AW166" s="40"/>
    </row>
    <row r="167" spans="1:49" ht="23.25" x14ac:dyDescent="0.25">
      <c r="A167" s="12">
        <f>'Actual Dates'!A166</f>
        <v>0</v>
      </c>
      <c r="B167" s="13" t="str">
        <f t="shared" si="68"/>
        <v/>
      </c>
      <c r="C167" s="35"/>
      <c r="D167" s="36" t="str">
        <f t="shared" si="77"/>
        <v/>
      </c>
      <c r="E167" s="37" t="str">
        <f t="shared" si="78"/>
        <v xml:space="preserve">  </v>
      </c>
      <c r="F167" s="36" t="str">
        <f t="shared" si="79"/>
        <v xml:space="preserve">  </v>
      </c>
      <c r="G167" s="37" t="str">
        <f t="shared" si="80"/>
        <v xml:space="preserve">  </v>
      </c>
      <c r="H167" s="36" t="str">
        <f t="shared" si="69"/>
        <v xml:space="preserve">  </v>
      </c>
      <c r="I167" s="37" t="str">
        <f t="shared" si="81"/>
        <v xml:space="preserve">  </v>
      </c>
      <c r="J167" s="35"/>
      <c r="K167" s="36" t="str">
        <f t="shared" si="82"/>
        <v>Y</v>
      </c>
      <c r="L167" s="37" t="str">
        <f t="shared" si="83"/>
        <v/>
      </c>
      <c r="M167" s="37" t="str">
        <f t="shared" si="70"/>
        <v xml:space="preserve">  </v>
      </c>
      <c r="N167" s="36" t="str">
        <f t="shared" si="84"/>
        <v xml:space="preserve">  </v>
      </c>
      <c r="O167" s="37" t="str">
        <f t="shared" si="85"/>
        <v/>
      </c>
      <c r="P167" s="36" t="str">
        <f t="shared" si="86"/>
        <v xml:space="preserve">  </v>
      </c>
      <c r="Q167" s="37" t="str">
        <f t="shared" si="87"/>
        <v xml:space="preserve">  </v>
      </c>
      <c r="R167" s="36" t="str">
        <f t="shared" si="88"/>
        <v xml:space="preserve">  </v>
      </c>
      <c r="S167" s="37" t="str">
        <f t="shared" si="89"/>
        <v xml:space="preserve">  </v>
      </c>
      <c r="T167" s="36" t="str">
        <f t="shared" si="90"/>
        <v xml:space="preserve">  </v>
      </c>
      <c r="U167" s="37" t="str">
        <f t="shared" si="91"/>
        <v xml:space="preserve">  </v>
      </c>
      <c r="V167" s="36" t="str">
        <f t="shared" si="92"/>
        <v xml:space="preserve">  </v>
      </c>
      <c r="W167" s="37" t="str">
        <f t="shared" si="93"/>
        <v xml:space="preserve">  </v>
      </c>
      <c r="X167" s="36" t="str">
        <f t="shared" si="94"/>
        <v xml:space="preserve">  </v>
      </c>
      <c r="Y167" s="37" t="str">
        <f t="shared" si="95"/>
        <v xml:space="preserve">  </v>
      </c>
      <c r="Z167" s="36" t="str">
        <f t="shared" si="96"/>
        <v xml:space="preserve">  </v>
      </c>
      <c r="AA167" s="37" t="str">
        <f t="shared" si="97"/>
        <v xml:space="preserve">  </v>
      </c>
      <c r="AB167" s="36" t="str">
        <f t="shared" si="98"/>
        <v xml:space="preserve">  </v>
      </c>
      <c r="AC167" s="37" t="str">
        <f t="shared" si="99"/>
        <v xml:space="preserve">  </v>
      </c>
      <c r="AD167" s="36" t="str">
        <f t="shared" si="100"/>
        <v xml:space="preserve">  </v>
      </c>
      <c r="AE167" s="37" t="str">
        <f t="shared" si="101"/>
        <v xml:space="preserve">  </v>
      </c>
      <c r="AF167" s="38" t="str">
        <f ca="1">_xlfn.IFNA(IF(AG167="",TODAY()+(VLOOKUP(A167,'Date Calcs'!A:G,7,0)*7),VLOOKUP(A167,'Actual Dates'!A:AE,21,FALSE())),"")</f>
        <v/>
      </c>
      <c r="AG167" s="38" t="str">
        <f>IF(VLOOKUP(A167,'Actual Dates'!A:AE,20,0)="","",VLOOKUP(A167,'Actual Dates'!A:AE,20,0))</f>
        <v/>
      </c>
      <c r="AH167" s="38" t="str">
        <f>_xlfn.IFNA(IF($AG167="","",IF(X167="Y","DONE",VLOOKUP(A167,'Ship Date'!A:AE,27,0))),"")</f>
        <v/>
      </c>
      <c r="AI167" s="12">
        <f t="shared" ca="1" si="71"/>
        <v>0</v>
      </c>
      <c r="AJ167" s="38" t="str">
        <f>_xlfn.IFNA(IF($AG167="","",IF(AB167="Y","DONE",VLOOKUP(A167,'Ship Date'!A:AG,29,0))),"")</f>
        <v/>
      </c>
      <c r="AK167" s="12">
        <f t="shared" ca="1" si="72"/>
        <v>0</v>
      </c>
      <c r="AL167" s="38" t="str">
        <f>_xlfn.IFNA(IF($AG167="","",IF(Z167="Y","DONE",VLOOKUP(A167,'Ship Date'!A:AI,28,0))),"")</f>
        <v/>
      </c>
      <c r="AM167" s="12">
        <f t="shared" ca="1" si="73"/>
        <v>0</v>
      </c>
      <c r="AN167" s="38" t="str">
        <f>_xlfn.IFNA(IF(T167="Y","DONE",VLOOKUP(A167,'Ship Date'!A:AE,25,0)),"")</f>
        <v/>
      </c>
      <c r="AO167" s="12">
        <f t="shared" si="74"/>
        <v>0</v>
      </c>
      <c r="AP167" s="38" t="str">
        <f>_xlfn.IFNA(IF(AD167="Y","DONE",VLOOKUP(A167,'Ship Date'!A:AE,30,0)),"")</f>
        <v/>
      </c>
      <c r="AQ167" s="12">
        <f t="shared" ca="1" si="75"/>
        <v>0</v>
      </c>
      <c r="AR167" s="38" t="str">
        <f>IFERROR(_xlfn.IFNA(VLOOKUP(A167,'Ship Date'!A:C,3,0),""),"")</f>
        <v/>
      </c>
      <c r="AS167" s="12" t="str">
        <f t="shared" ca="1" si="76"/>
        <v/>
      </c>
      <c r="AT167" s="38">
        <f>_xlfn.IFNA(IF(VLOOKUP(A167,'Actual Dates'!A:AF,32,0)="N/A"," ",VLOOKUP(A167,'Actual Dates'!A:AF,32,0))," ")</f>
        <v>0</v>
      </c>
      <c r="AU167" s="39"/>
      <c r="AV167" s="38" t="str">
        <f>_xlfn.IFNA(IF(VLOOKUP(A167,'Actual Dates'!A:AE,31,0)="","",VLOOKUP(A167,'Actual Dates'!A:AE,31,0)),"")</f>
        <v/>
      </c>
      <c r="AW167" s="40"/>
    </row>
    <row r="168" spans="1:49" ht="23.25" x14ac:dyDescent="0.25">
      <c r="A168" s="12">
        <f>'Actual Dates'!A167</f>
        <v>0</v>
      </c>
      <c r="B168" s="13" t="str">
        <f t="shared" si="68"/>
        <v/>
      </c>
      <c r="C168" s="35"/>
      <c r="D168" s="36" t="str">
        <f t="shared" si="77"/>
        <v/>
      </c>
      <c r="E168" s="37" t="str">
        <f t="shared" si="78"/>
        <v xml:space="preserve">  </v>
      </c>
      <c r="F168" s="36" t="str">
        <f t="shared" si="79"/>
        <v xml:space="preserve">  </v>
      </c>
      <c r="G168" s="37" t="str">
        <f t="shared" si="80"/>
        <v xml:space="preserve">  </v>
      </c>
      <c r="H168" s="36" t="str">
        <f t="shared" si="69"/>
        <v xml:space="preserve">  </v>
      </c>
      <c r="I168" s="37" t="str">
        <f t="shared" si="81"/>
        <v xml:space="preserve">  </v>
      </c>
      <c r="J168" s="35"/>
      <c r="K168" s="36" t="str">
        <f t="shared" si="82"/>
        <v>Y</v>
      </c>
      <c r="L168" s="37" t="str">
        <f t="shared" si="83"/>
        <v/>
      </c>
      <c r="M168" s="37" t="str">
        <f t="shared" si="70"/>
        <v xml:space="preserve">  </v>
      </c>
      <c r="N168" s="36" t="str">
        <f t="shared" si="84"/>
        <v xml:space="preserve">  </v>
      </c>
      <c r="O168" s="37" t="str">
        <f t="shared" si="85"/>
        <v/>
      </c>
      <c r="P168" s="36" t="str">
        <f t="shared" si="86"/>
        <v xml:space="preserve">  </v>
      </c>
      <c r="Q168" s="37" t="str">
        <f t="shared" si="87"/>
        <v xml:space="preserve">  </v>
      </c>
      <c r="R168" s="36" t="str">
        <f t="shared" si="88"/>
        <v xml:space="preserve">  </v>
      </c>
      <c r="S168" s="37" t="str">
        <f t="shared" si="89"/>
        <v xml:space="preserve">  </v>
      </c>
      <c r="T168" s="36" t="str">
        <f t="shared" si="90"/>
        <v xml:space="preserve">  </v>
      </c>
      <c r="U168" s="37" t="str">
        <f t="shared" si="91"/>
        <v xml:space="preserve">  </v>
      </c>
      <c r="V168" s="36" t="str">
        <f t="shared" si="92"/>
        <v xml:space="preserve">  </v>
      </c>
      <c r="W168" s="37" t="str">
        <f t="shared" si="93"/>
        <v xml:space="preserve">  </v>
      </c>
      <c r="X168" s="36" t="str">
        <f t="shared" si="94"/>
        <v xml:space="preserve">  </v>
      </c>
      <c r="Y168" s="37" t="str">
        <f t="shared" si="95"/>
        <v xml:space="preserve">  </v>
      </c>
      <c r="Z168" s="36" t="str">
        <f t="shared" si="96"/>
        <v xml:space="preserve">  </v>
      </c>
      <c r="AA168" s="37" t="str">
        <f t="shared" si="97"/>
        <v xml:space="preserve">  </v>
      </c>
      <c r="AB168" s="36" t="str">
        <f t="shared" si="98"/>
        <v xml:space="preserve">  </v>
      </c>
      <c r="AC168" s="37" t="str">
        <f t="shared" si="99"/>
        <v xml:space="preserve">  </v>
      </c>
      <c r="AD168" s="36" t="str">
        <f t="shared" si="100"/>
        <v xml:space="preserve">  </v>
      </c>
      <c r="AE168" s="37" t="str">
        <f t="shared" si="101"/>
        <v xml:space="preserve">  </v>
      </c>
      <c r="AF168" s="38" t="str">
        <f ca="1">_xlfn.IFNA(IF(AG168="",TODAY()+(VLOOKUP(A168,'Date Calcs'!A:G,7,0)*7),VLOOKUP(A168,'Actual Dates'!A:AE,21,FALSE())),"")</f>
        <v/>
      </c>
      <c r="AG168" s="38" t="str">
        <f>IF(VLOOKUP(A168,'Actual Dates'!A:AE,20,0)="","",VLOOKUP(A168,'Actual Dates'!A:AE,20,0))</f>
        <v/>
      </c>
      <c r="AH168" s="38" t="str">
        <f>_xlfn.IFNA(IF($AG168="","",IF(X168="Y","DONE",VLOOKUP(A168,'Ship Date'!A:AE,27,0))),"")</f>
        <v/>
      </c>
      <c r="AI168" s="12">
        <f t="shared" ca="1" si="71"/>
        <v>0</v>
      </c>
      <c r="AJ168" s="38" t="str">
        <f>_xlfn.IFNA(IF($AG168="","",IF(AB168="Y","DONE",VLOOKUP(A168,'Ship Date'!A:AG,29,0))),"")</f>
        <v/>
      </c>
      <c r="AK168" s="12">
        <f t="shared" ca="1" si="72"/>
        <v>0</v>
      </c>
      <c r="AL168" s="38" t="str">
        <f>_xlfn.IFNA(IF($AG168="","",IF(Z168="Y","DONE",VLOOKUP(A168,'Ship Date'!A:AI,28,0))),"")</f>
        <v/>
      </c>
      <c r="AM168" s="12">
        <f t="shared" ca="1" si="73"/>
        <v>0</v>
      </c>
      <c r="AN168" s="38" t="str">
        <f>_xlfn.IFNA(IF(T168="Y","DONE",VLOOKUP(A168,'Ship Date'!A:AE,25,0)),"")</f>
        <v/>
      </c>
      <c r="AO168" s="12">
        <f t="shared" si="74"/>
        <v>0</v>
      </c>
      <c r="AP168" s="38" t="str">
        <f>_xlfn.IFNA(IF(AD168="Y","DONE",VLOOKUP(A168,'Ship Date'!A:AE,30,0)),"")</f>
        <v/>
      </c>
      <c r="AQ168" s="12">
        <f t="shared" ca="1" si="75"/>
        <v>0</v>
      </c>
      <c r="AR168" s="38" t="str">
        <f>IFERROR(_xlfn.IFNA(VLOOKUP(A168,'Ship Date'!A:C,3,0),""),"")</f>
        <v/>
      </c>
      <c r="AS168" s="12" t="str">
        <f t="shared" ca="1" si="76"/>
        <v/>
      </c>
      <c r="AT168" s="38">
        <f>_xlfn.IFNA(IF(VLOOKUP(A168,'Actual Dates'!A:AF,32,0)="N/A"," ",VLOOKUP(A168,'Actual Dates'!A:AF,32,0))," ")</f>
        <v>0</v>
      </c>
      <c r="AU168" s="39"/>
      <c r="AV168" s="38" t="str">
        <f>_xlfn.IFNA(IF(VLOOKUP(A168,'Actual Dates'!A:AE,31,0)="","",VLOOKUP(A168,'Actual Dates'!A:AE,31,0)),"")</f>
        <v/>
      </c>
      <c r="AW168" s="40"/>
    </row>
    <row r="169" spans="1:49" ht="23.25" x14ac:dyDescent="0.25">
      <c r="A169" s="12">
        <f>'Actual Dates'!A168</f>
        <v>0</v>
      </c>
      <c r="B169" s="13" t="str">
        <f t="shared" si="68"/>
        <v/>
      </c>
      <c r="C169" s="35"/>
      <c r="D169" s="36" t="str">
        <f t="shared" si="77"/>
        <v/>
      </c>
      <c r="E169" s="37" t="str">
        <f t="shared" si="78"/>
        <v xml:space="preserve">  </v>
      </c>
      <c r="F169" s="36" t="str">
        <f t="shared" si="79"/>
        <v xml:space="preserve">  </v>
      </c>
      <c r="G169" s="37" t="str">
        <f t="shared" si="80"/>
        <v xml:space="preserve">  </v>
      </c>
      <c r="H169" s="36" t="str">
        <f t="shared" si="69"/>
        <v xml:space="preserve">  </v>
      </c>
      <c r="I169" s="37" t="str">
        <f t="shared" si="81"/>
        <v xml:space="preserve">  </v>
      </c>
      <c r="J169" s="35"/>
      <c r="K169" s="36" t="str">
        <f t="shared" si="82"/>
        <v>Y</v>
      </c>
      <c r="L169" s="37" t="str">
        <f t="shared" si="83"/>
        <v/>
      </c>
      <c r="M169" s="37" t="str">
        <f t="shared" si="70"/>
        <v xml:space="preserve">  </v>
      </c>
      <c r="N169" s="36" t="str">
        <f t="shared" si="84"/>
        <v xml:space="preserve">  </v>
      </c>
      <c r="O169" s="37" t="str">
        <f t="shared" si="85"/>
        <v/>
      </c>
      <c r="P169" s="36" t="str">
        <f t="shared" si="86"/>
        <v xml:space="preserve">  </v>
      </c>
      <c r="Q169" s="37" t="str">
        <f t="shared" si="87"/>
        <v xml:space="preserve">  </v>
      </c>
      <c r="R169" s="36" t="str">
        <f t="shared" si="88"/>
        <v xml:space="preserve">  </v>
      </c>
      <c r="S169" s="37" t="str">
        <f t="shared" si="89"/>
        <v xml:space="preserve">  </v>
      </c>
      <c r="T169" s="36" t="str">
        <f t="shared" si="90"/>
        <v xml:space="preserve">  </v>
      </c>
      <c r="U169" s="37" t="str">
        <f t="shared" si="91"/>
        <v xml:space="preserve">  </v>
      </c>
      <c r="V169" s="36" t="str">
        <f t="shared" si="92"/>
        <v xml:space="preserve">  </v>
      </c>
      <c r="W169" s="37" t="str">
        <f t="shared" si="93"/>
        <v xml:space="preserve">  </v>
      </c>
      <c r="X169" s="36" t="str">
        <f t="shared" si="94"/>
        <v xml:space="preserve">  </v>
      </c>
      <c r="Y169" s="37" t="str">
        <f t="shared" si="95"/>
        <v xml:space="preserve">  </v>
      </c>
      <c r="Z169" s="36" t="str">
        <f t="shared" si="96"/>
        <v xml:space="preserve">  </v>
      </c>
      <c r="AA169" s="37" t="str">
        <f t="shared" si="97"/>
        <v xml:space="preserve">  </v>
      </c>
      <c r="AB169" s="36" t="str">
        <f t="shared" si="98"/>
        <v xml:space="preserve">  </v>
      </c>
      <c r="AC169" s="37" t="str">
        <f t="shared" si="99"/>
        <v xml:space="preserve">  </v>
      </c>
      <c r="AD169" s="36" t="str">
        <f t="shared" si="100"/>
        <v xml:space="preserve">  </v>
      </c>
      <c r="AE169" s="37" t="str">
        <f t="shared" si="101"/>
        <v xml:space="preserve">  </v>
      </c>
      <c r="AF169" s="38" t="str">
        <f ca="1">_xlfn.IFNA(IF(AG169="",TODAY()+(VLOOKUP(A169,'Date Calcs'!A:G,7,0)*7),VLOOKUP(A169,'Actual Dates'!A:AE,21,FALSE())),"")</f>
        <v/>
      </c>
      <c r="AG169" s="38" t="str">
        <f>IF(VLOOKUP(A169,'Actual Dates'!A:AE,20,0)="","",VLOOKUP(A169,'Actual Dates'!A:AE,20,0))</f>
        <v/>
      </c>
      <c r="AH169" s="38" t="str">
        <f>_xlfn.IFNA(IF($AG169="","",IF(X169="Y","DONE",VLOOKUP(A169,'Ship Date'!A:AE,27,0))),"")</f>
        <v/>
      </c>
      <c r="AI169" s="12">
        <f t="shared" ca="1" si="71"/>
        <v>0</v>
      </c>
      <c r="AJ169" s="38" t="str">
        <f>_xlfn.IFNA(IF($AG169="","",IF(AB169="Y","DONE",VLOOKUP(A169,'Ship Date'!A:AG,29,0))),"")</f>
        <v/>
      </c>
      <c r="AK169" s="12">
        <f t="shared" ca="1" si="72"/>
        <v>0</v>
      </c>
      <c r="AL169" s="38" t="str">
        <f>_xlfn.IFNA(IF($AG169="","",IF(Z169="Y","DONE",VLOOKUP(A169,'Ship Date'!A:AI,28,0))),"")</f>
        <v/>
      </c>
      <c r="AM169" s="12">
        <f t="shared" ca="1" si="73"/>
        <v>0</v>
      </c>
      <c r="AN169" s="38" t="str">
        <f>_xlfn.IFNA(IF(T169="Y","DONE",VLOOKUP(A169,'Ship Date'!A:AE,25,0)),"")</f>
        <v/>
      </c>
      <c r="AO169" s="12">
        <f t="shared" si="74"/>
        <v>0</v>
      </c>
      <c r="AP169" s="38" t="str">
        <f>_xlfn.IFNA(IF(AD169="Y","DONE",VLOOKUP(A169,'Ship Date'!A:AE,30,0)),"")</f>
        <v/>
      </c>
      <c r="AQ169" s="12">
        <f t="shared" ca="1" si="75"/>
        <v>0</v>
      </c>
      <c r="AR169" s="38" t="str">
        <f>IFERROR(_xlfn.IFNA(VLOOKUP(A169,'Ship Date'!A:C,3,0),""),"")</f>
        <v/>
      </c>
      <c r="AS169" s="12" t="str">
        <f t="shared" ca="1" si="76"/>
        <v/>
      </c>
      <c r="AT169" s="38">
        <f>_xlfn.IFNA(IF(VLOOKUP(A169,'Actual Dates'!A:AF,32,0)="N/A"," ",VLOOKUP(A169,'Actual Dates'!A:AF,32,0))," ")</f>
        <v>0</v>
      </c>
      <c r="AU169" s="39"/>
      <c r="AV169" s="38" t="str">
        <f>_xlfn.IFNA(IF(VLOOKUP(A169,'Actual Dates'!A:AE,31,0)="","",VLOOKUP(A169,'Actual Dates'!A:AE,31,0)),"")</f>
        <v/>
      </c>
      <c r="AW169" s="40"/>
    </row>
    <row r="170" spans="1:49" ht="23.25" x14ac:dyDescent="0.25">
      <c r="A170" s="12">
        <f>'Actual Dates'!A169</f>
        <v>0</v>
      </c>
      <c r="B170" s="13" t="str">
        <f t="shared" si="68"/>
        <v/>
      </c>
      <c r="C170" s="35"/>
      <c r="D170" s="36" t="str">
        <f t="shared" si="77"/>
        <v/>
      </c>
      <c r="E170" s="37" t="str">
        <f t="shared" si="78"/>
        <v xml:space="preserve">  </v>
      </c>
      <c r="F170" s="36" t="str">
        <f t="shared" si="79"/>
        <v xml:space="preserve">  </v>
      </c>
      <c r="G170" s="37" t="str">
        <f t="shared" si="80"/>
        <v xml:space="preserve">  </v>
      </c>
      <c r="H170" s="36" t="str">
        <f t="shared" si="69"/>
        <v xml:space="preserve">  </v>
      </c>
      <c r="I170" s="37" t="str">
        <f t="shared" si="81"/>
        <v xml:space="preserve">  </v>
      </c>
      <c r="J170" s="35"/>
      <c r="K170" s="36" t="str">
        <f t="shared" si="82"/>
        <v>Y</v>
      </c>
      <c r="L170" s="37" t="str">
        <f t="shared" si="83"/>
        <v/>
      </c>
      <c r="M170" s="37" t="str">
        <f t="shared" si="70"/>
        <v xml:space="preserve">  </v>
      </c>
      <c r="N170" s="36" t="str">
        <f t="shared" si="84"/>
        <v xml:space="preserve">  </v>
      </c>
      <c r="O170" s="37" t="str">
        <f t="shared" si="85"/>
        <v/>
      </c>
      <c r="P170" s="36" t="str">
        <f t="shared" si="86"/>
        <v xml:space="preserve">  </v>
      </c>
      <c r="Q170" s="37" t="str">
        <f t="shared" si="87"/>
        <v xml:space="preserve">  </v>
      </c>
      <c r="R170" s="36" t="str">
        <f t="shared" si="88"/>
        <v xml:space="preserve">  </v>
      </c>
      <c r="S170" s="37" t="str">
        <f t="shared" si="89"/>
        <v xml:space="preserve">  </v>
      </c>
      <c r="T170" s="36" t="str">
        <f t="shared" si="90"/>
        <v xml:space="preserve">  </v>
      </c>
      <c r="U170" s="37" t="str">
        <f t="shared" si="91"/>
        <v xml:space="preserve">  </v>
      </c>
      <c r="V170" s="36" t="str">
        <f t="shared" si="92"/>
        <v xml:space="preserve">  </v>
      </c>
      <c r="W170" s="37" t="str">
        <f t="shared" si="93"/>
        <v xml:space="preserve">  </v>
      </c>
      <c r="X170" s="36" t="str">
        <f t="shared" si="94"/>
        <v xml:space="preserve">  </v>
      </c>
      <c r="Y170" s="37" t="str">
        <f t="shared" si="95"/>
        <v xml:space="preserve">  </v>
      </c>
      <c r="Z170" s="36" t="str">
        <f t="shared" si="96"/>
        <v xml:space="preserve">  </v>
      </c>
      <c r="AA170" s="37" t="str">
        <f t="shared" si="97"/>
        <v xml:space="preserve">  </v>
      </c>
      <c r="AB170" s="36" t="str">
        <f t="shared" si="98"/>
        <v xml:space="preserve">  </v>
      </c>
      <c r="AC170" s="37" t="str">
        <f t="shared" si="99"/>
        <v xml:space="preserve">  </v>
      </c>
      <c r="AD170" s="36" t="str">
        <f t="shared" si="100"/>
        <v xml:space="preserve">  </v>
      </c>
      <c r="AE170" s="37" t="str">
        <f t="shared" si="101"/>
        <v xml:space="preserve">  </v>
      </c>
      <c r="AF170" s="38" t="str">
        <f ca="1">_xlfn.IFNA(IF(AG170="",TODAY()+(VLOOKUP(A170,'Date Calcs'!A:G,7,0)*7),VLOOKUP(A170,'Actual Dates'!A:AE,21,FALSE())),"")</f>
        <v/>
      </c>
      <c r="AG170" s="38" t="str">
        <f>IF(VLOOKUP(A170,'Actual Dates'!A:AE,20,0)="","",VLOOKUP(A170,'Actual Dates'!A:AE,20,0))</f>
        <v/>
      </c>
      <c r="AH170" s="38" t="str">
        <f>_xlfn.IFNA(IF($AG170="","",IF(X170="Y","DONE",VLOOKUP(A170,'Ship Date'!A:AE,27,0))),"")</f>
        <v/>
      </c>
      <c r="AI170" s="12">
        <f t="shared" ca="1" si="71"/>
        <v>0</v>
      </c>
      <c r="AJ170" s="38" t="str">
        <f>_xlfn.IFNA(IF($AG170="","",IF(AB170="Y","DONE",VLOOKUP(A170,'Ship Date'!A:AG,29,0))),"")</f>
        <v/>
      </c>
      <c r="AK170" s="12">
        <f t="shared" ca="1" si="72"/>
        <v>0</v>
      </c>
      <c r="AL170" s="38" t="str">
        <f>_xlfn.IFNA(IF($AG170="","",IF(Z170="Y","DONE",VLOOKUP(A170,'Ship Date'!A:AI,28,0))),"")</f>
        <v/>
      </c>
      <c r="AM170" s="12">
        <f t="shared" ca="1" si="73"/>
        <v>0</v>
      </c>
      <c r="AN170" s="38" t="str">
        <f>_xlfn.IFNA(IF(T170="Y","DONE",VLOOKUP(A170,'Ship Date'!A:AE,25,0)),"")</f>
        <v/>
      </c>
      <c r="AO170" s="12">
        <f t="shared" si="74"/>
        <v>0</v>
      </c>
      <c r="AP170" s="38" t="str">
        <f>_xlfn.IFNA(IF(AD170="Y","DONE",VLOOKUP(A170,'Ship Date'!A:AE,30,0)),"")</f>
        <v/>
      </c>
      <c r="AQ170" s="12">
        <f t="shared" ca="1" si="75"/>
        <v>0</v>
      </c>
      <c r="AR170" s="38" t="str">
        <f>IFERROR(_xlfn.IFNA(VLOOKUP(A170,'Ship Date'!A:C,3,0),""),"")</f>
        <v/>
      </c>
      <c r="AS170" s="12" t="str">
        <f t="shared" ca="1" si="76"/>
        <v/>
      </c>
      <c r="AT170" s="38">
        <f>_xlfn.IFNA(IF(VLOOKUP(A170,'Actual Dates'!A:AF,32,0)="N/A"," ",VLOOKUP(A170,'Actual Dates'!A:AF,32,0))," ")</f>
        <v>0</v>
      </c>
      <c r="AU170" s="39"/>
      <c r="AV170" s="38" t="str">
        <f>_xlfn.IFNA(IF(VLOOKUP(A170,'Actual Dates'!A:AE,31,0)="","",VLOOKUP(A170,'Actual Dates'!A:AE,31,0)),"")</f>
        <v/>
      </c>
      <c r="AW170" s="40"/>
    </row>
    <row r="171" spans="1:49" ht="23.25" x14ac:dyDescent="0.25">
      <c r="A171" s="12">
        <f>'Actual Dates'!A170</f>
        <v>0</v>
      </c>
      <c r="B171" s="13" t="str">
        <f t="shared" si="68"/>
        <v/>
      </c>
      <c r="C171" s="35"/>
      <c r="D171" s="36" t="str">
        <f t="shared" si="77"/>
        <v/>
      </c>
      <c r="E171" s="37" t="str">
        <f t="shared" si="78"/>
        <v xml:space="preserve">  </v>
      </c>
      <c r="F171" s="36" t="str">
        <f t="shared" si="79"/>
        <v xml:space="preserve">  </v>
      </c>
      <c r="G171" s="37" t="str">
        <f t="shared" si="80"/>
        <v xml:space="preserve">  </v>
      </c>
      <c r="H171" s="36" t="str">
        <f t="shared" si="69"/>
        <v xml:space="preserve">  </v>
      </c>
      <c r="I171" s="37" t="str">
        <f t="shared" si="81"/>
        <v xml:space="preserve">  </v>
      </c>
      <c r="J171" s="35"/>
      <c r="K171" s="36" t="str">
        <f t="shared" si="82"/>
        <v>Y</v>
      </c>
      <c r="L171" s="37" t="str">
        <f t="shared" si="83"/>
        <v/>
      </c>
      <c r="M171" s="37" t="str">
        <f t="shared" si="70"/>
        <v xml:space="preserve">  </v>
      </c>
      <c r="N171" s="36" t="str">
        <f t="shared" si="84"/>
        <v xml:space="preserve">  </v>
      </c>
      <c r="O171" s="37" t="str">
        <f t="shared" si="85"/>
        <v/>
      </c>
      <c r="P171" s="36" t="str">
        <f t="shared" si="86"/>
        <v xml:space="preserve">  </v>
      </c>
      <c r="Q171" s="37" t="str">
        <f t="shared" si="87"/>
        <v xml:space="preserve">  </v>
      </c>
      <c r="R171" s="36" t="str">
        <f t="shared" si="88"/>
        <v xml:space="preserve">  </v>
      </c>
      <c r="S171" s="37" t="str">
        <f t="shared" si="89"/>
        <v xml:space="preserve">  </v>
      </c>
      <c r="T171" s="36" t="str">
        <f t="shared" si="90"/>
        <v xml:space="preserve">  </v>
      </c>
      <c r="U171" s="37" t="str">
        <f t="shared" si="91"/>
        <v xml:space="preserve">  </v>
      </c>
      <c r="V171" s="36" t="str">
        <f t="shared" si="92"/>
        <v xml:space="preserve">  </v>
      </c>
      <c r="W171" s="37" t="str">
        <f t="shared" si="93"/>
        <v xml:space="preserve">  </v>
      </c>
      <c r="X171" s="36" t="str">
        <f t="shared" si="94"/>
        <v xml:space="preserve">  </v>
      </c>
      <c r="Y171" s="37" t="str">
        <f t="shared" si="95"/>
        <v xml:space="preserve">  </v>
      </c>
      <c r="Z171" s="36" t="str">
        <f t="shared" si="96"/>
        <v xml:space="preserve">  </v>
      </c>
      <c r="AA171" s="37" t="str">
        <f t="shared" si="97"/>
        <v xml:space="preserve">  </v>
      </c>
      <c r="AB171" s="36" t="str">
        <f t="shared" si="98"/>
        <v xml:space="preserve">  </v>
      </c>
      <c r="AC171" s="37" t="str">
        <f t="shared" si="99"/>
        <v xml:space="preserve">  </v>
      </c>
      <c r="AD171" s="36" t="str">
        <f t="shared" si="100"/>
        <v xml:space="preserve">  </v>
      </c>
      <c r="AE171" s="37" t="str">
        <f t="shared" si="101"/>
        <v xml:space="preserve">  </v>
      </c>
      <c r="AF171" s="38" t="str">
        <f ca="1">_xlfn.IFNA(IF(AG171="",TODAY()+(VLOOKUP(A171,'Date Calcs'!A:G,7,0)*7),VLOOKUP(A171,'Actual Dates'!A:AE,21,FALSE())),"")</f>
        <v/>
      </c>
      <c r="AG171" s="38" t="str">
        <f>IF(VLOOKUP(A171,'Actual Dates'!A:AE,20,0)="","",VLOOKUP(A171,'Actual Dates'!A:AE,20,0))</f>
        <v/>
      </c>
      <c r="AH171" s="38" t="str">
        <f>_xlfn.IFNA(IF($AG171="","",IF(X171="Y","DONE",VLOOKUP(A171,'Ship Date'!A:AE,27,0))),"")</f>
        <v/>
      </c>
      <c r="AI171" s="12">
        <f t="shared" ca="1" si="71"/>
        <v>0</v>
      </c>
      <c r="AJ171" s="38" t="str">
        <f>_xlfn.IFNA(IF($AG171="","",IF(AB171="Y","DONE",VLOOKUP(A171,'Ship Date'!A:AG,29,0))),"")</f>
        <v/>
      </c>
      <c r="AK171" s="12">
        <f t="shared" ca="1" si="72"/>
        <v>0</v>
      </c>
      <c r="AL171" s="38" t="str">
        <f>_xlfn.IFNA(IF($AG171="","",IF(Z171="Y","DONE",VLOOKUP(A171,'Ship Date'!A:AI,28,0))),"")</f>
        <v/>
      </c>
      <c r="AM171" s="12">
        <f t="shared" ca="1" si="73"/>
        <v>0</v>
      </c>
      <c r="AN171" s="38" t="str">
        <f>_xlfn.IFNA(IF(T171="Y","DONE",VLOOKUP(A171,'Ship Date'!A:AE,25,0)),"")</f>
        <v/>
      </c>
      <c r="AO171" s="12">
        <f t="shared" si="74"/>
        <v>0</v>
      </c>
      <c r="AP171" s="38" t="str">
        <f>_xlfn.IFNA(IF(AD171="Y","DONE",VLOOKUP(A171,'Ship Date'!A:AE,30,0)),"")</f>
        <v/>
      </c>
      <c r="AQ171" s="12">
        <f t="shared" ca="1" si="75"/>
        <v>0</v>
      </c>
      <c r="AR171" s="38" t="str">
        <f>IFERROR(_xlfn.IFNA(VLOOKUP(A171,'Ship Date'!A:C,3,0),""),"")</f>
        <v/>
      </c>
      <c r="AS171" s="12" t="str">
        <f t="shared" ca="1" si="76"/>
        <v/>
      </c>
      <c r="AT171" s="38">
        <f>_xlfn.IFNA(IF(VLOOKUP(A171,'Actual Dates'!A:AF,32,0)="N/A"," ",VLOOKUP(A171,'Actual Dates'!A:AF,32,0))," ")</f>
        <v>0</v>
      </c>
      <c r="AU171" s="39"/>
      <c r="AV171" s="38" t="str">
        <f>_xlfn.IFNA(IF(VLOOKUP(A171,'Actual Dates'!A:AE,31,0)="","",VLOOKUP(A171,'Actual Dates'!A:AE,31,0)),"")</f>
        <v/>
      </c>
      <c r="AW171" s="40"/>
    </row>
    <row r="172" spans="1:49" ht="23.25" x14ac:dyDescent="0.25">
      <c r="A172" s="12">
        <f>'Actual Dates'!A171</f>
        <v>0</v>
      </c>
      <c r="B172" s="13" t="str">
        <f t="shared" si="68"/>
        <v/>
      </c>
      <c r="C172" s="35"/>
      <c r="D172" s="36" t="str">
        <f t="shared" si="77"/>
        <v/>
      </c>
      <c r="E172" s="37" t="str">
        <f t="shared" si="78"/>
        <v xml:space="preserve">  </v>
      </c>
      <c r="F172" s="36" t="str">
        <f t="shared" si="79"/>
        <v xml:space="preserve">  </v>
      </c>
      <c r="G172" s="37" t="str">
        <f t="shared" si="80"/>
        <v xml:space="preserve">  </v>
      </c>
      <c r="H172" s="36" t="str">
        <f t="shared" si="69"/>
        <v xml:space="preserve">  </v>
      </c>
      <c r="I172" s="37" t="str">
        <f t="shared" si="81"/>
        <v xml:space="preserve">  </v>
      </c>
      <c r="J172" s="35"/>
      <c r="K172" s="36" t="str">
        <f t="shared" si="82"/>
        <v>Y</v>
      </c>
      <c r="L172" s="37" t="str">
        <f t="shared" si="83"/>
        <v/>
      </c>
      <c r="M172" s="37" t="str">
        <f t="shared" si="70"/>
        <v xml:space="preserve">  </v>
      </c>
      <c r="N172" s="36" t="str">
        <f t="shared" si="84"/>
        <v xml:space="preserve">  </v>
      </c>
      <c r="O172" s="37" t="str">
        <f t="shared" si="85"/>
        <v/>
      </c>
      <c r="P172" s="36" t="str">
        <f t="shared" si="86"/>
        <v xml:space="preserve">  </v>
      </c>
      <c r="Q172" s="37" t="str">
        <f t="shared" si="87"/>
        <v xml:space="preserve">  </v>
      </c>
      <c r="R172" s="36" t="str">
        <f t="shared" si="88"/>
        <v xml:space="preserve">  </v>
      </c>
      <c r="S172" s="37" t="str">
        <f t="shared" si="89"/>
        <v xml:space="preserve">  </v>
      </c>
      <c r="T172" s="36" t="str">
        <f t="shared" si="90"/>
        <v xml:space="preserve">  </v>
      </c>
      <c r="U172" s="37" t="str">
        <f t="shared" si="91"/>
        <v xml:space="preserve">  </v>
      </c>
      <c r="V172" s="36" t="str">
        <f t="shared" si="92"/>
        <v xml:space="preserve">  </v>
      </c>
      <c r="W172" s="37" t="str">
        <f t="shared" si="93"/>
        <v xml:space="preserve">  </v>
      </c>
      <c r="X172" s="36" t="str">
        <f t="shared" si="94"/>
        <v xml:space="preserve">  </v>
      </c>
      <c r="Y172" s="37" t="str">
        <f t="shared" si="95"/>
        <v xml:space="preserve">  </v>
      </c>
      <c r="Z172" s="36" t="str">
        <f t="shared" si="96"/>
        <v xml:space="preserve">  </v>
      </c>
      <c r="AA172" s="37" t="str">
        <f t="shared" si="97"/>
        <v xml:space="preserve">  </v>
      </c>
      <c r="AB172" s="36" t="str">
        <f t="shared" si="98"/>
        <v xml:space="preserve">  </v>
      </c>
      <c r="AC172" s="37" t="str">
        <f t="shared" si="99"/>
        <v xml:space="preserve">  </v>
      </c>
      <c r="AD172" s="36" t="str">
        <f t="shared" si="100"/>
        <v xml:space="preserve">  </v>
      </c>
      <c r="AE172" s="37" t="str">
        <f t="shared" si="101"/>
        <v xml:space="preserve">  </v>
      </c>
      <c r="AF172" s="38" t="str">
        <f ca="1">_xlfn.IFNA(IF(AG172="",TODAY()+(VLOOKUP(A172,'Date Calcs'!A:G,7,0)*7),VLOOKUP(A172,'Actual Dates'!A:AE,21,FALSE())),"")</f>
        <v/>
      </c>
      <c r="AG172" s="38" t="str">
        <f>IF(VLOOKUP(A172,'Actual Dates'!A:AE,20,0)="","",VLOOKUP(A172,'Actual Dates'!A:AE,20,0))</f>
        <v/>
      </c>
      <c r="AH172" s="38" t="str">
        <f>_xlfn.IFNA(IF($AG172="","",IF(X172="Y","DONE",VLOOKUP(A172,'Ship Date'!A:AE,27,0))),"")</f>
        <v/>
      </c>
      <c r="AI172" s="12">
        <f t="shared" ca="1" si="71"/>
        <v>0</v>
      </c>
      <c r="AJ172" s="38" t="str">
        <f>_xlfn.IFNA(IF($AG172="","",IF(AB172="Y","DONE",VLOOKUP(A172,'Ship Date'!A:AG,29,0))),"")</f>
        <v/>
      </c>
      <c r="AK172" s="12">
        <f t="shared" ca="1" si="72"/>
        <v>0</v>
      </c>
      <c r="AL172" s="38" t="str">
        <f>_xlfn.IFNA(IF($AG172="","",IF(Z172="Y","DONE",VLOOKUP(A172,'Ship Date'!A:AI,28,0))),"")</f>
        <v/>
      </c>
      <c r="AM172" s="12">
        <f t="shared" ca="1" si="73"/>
        <v>0</v>
      </c>
      <c r="AN172" s="38" t="str">
        <f>_xlfn.IFNA(IF(T172="Y","DONE",VLOOKUP(A172,'Ship Date'!A:AE,25,0)),"")</f>
        <v/>
      </c>
      <c r="AO172" s="12">
        <f t="shared" si="74"/>
        <v>0</v>
      </c>
      <c r="AP172" s="38" t="str">
        <f>_xlfn.IFNA(IF(AD172="Y","DONE",VLOOKUP(A172,'Ship Date'!A:AE,30,0)),"")</f>
        <v/>
      </c>
      <c r="AQ172" s="12">
        <f t="shared" ca="1" si="75"/>
        <v>0</v>
      </c>
      <c r="AR172" s="38" t="str">
        <f>IFERROR(_xlfn.IFNA(VLOOKUP(A172,'Ship Date'!A:C,3,0),""),"")</f>
        <v/>
      </c>
      <c r="AS172" s="12" t="str">
        <f t="shared" ca="1" si="76"/>
        <v/>
      </c>
      <c r="AT172" s="38">
        <f>_xlfn.IFNA(IF(VLOOKUP(A172,'Actual Dates'!A:AF,32,0)="N/A"," ",VLOOKUP(A172,'Actual Dates'!A:AF,32,0))," ")</f>
        <v>0</v>
      </c>
      <c r="AU172" s="39"/>
      <c r="AV172" s="38" t="str">
        <f>_xlfn.IFNA(IF(VLOOKUP(A172,'Actual Dates'!A:AE,31,0)="","",VLOOKUP(A172,'Actual Dates'!A:AE,31,0)),"")</f>
        <v/>
      </c>
      <c r="AW172" s="40"/>
    </row>
    <row r="173" spans="1:49" ht="23.25" x14ac:dyDescent="0.25">
      <c r="A173" s="12">
        <f>'Actual Dates'!A172</f>
        <v>0</v>
      </c>
      <c r="B173" s="13" t="str">
        <f t="shared" si="68"/>
        <v/>
      </c>
      <c r="C173" s="35"/>
      <c r="D173" s="36" t="str">
        <f t="shared" si="77"/>
        <v/>
      </c>
      <c r="E173" s="37" t="str">
        <f t="shared" si="78"/>
        <v xml:space="preserve">  </v>
      </c>
      <c r="F173" s="36" t="str">
        <f t="shared" si="79"/>
        <v xml:space="preserve">  </v>
      </c>
      <c r="G173" s="37" t="str">
        <f t="shared" si="80"/>
        <v xml:space="preserve">  </v>
      </c>
      <c r="H173" s="36" t="str">
        <f t="shared" si="69"/>
        <v xml:space="preserve">  </v>
      </c>
      <c r="I173" s="37" t="str">
        <f t="shared" si="81"/>
        <v xml:space="preserve">  </v>
      </c>
      <c r="J173" s="35"/>
      <c r="K173" s="36" t="str">
        <f t="shared" si="82"/>
        <v>Y</v>
      </c>
      <c r="L173" s="37" t="str">
        <f t="shared" si="83"/>
        <v/>
      </c>
      <c r="M173" s="37" t="str">
        <f t="shared" si="70"/>
        <v xml:space="preserve">  </v>
      </c>
      <c r="N173" s="36" t="str">
        <f t="shared" si="84"/>
        <v xml:space="preserve">  </v>
      </c>
      <c r="O173" s="37" t="str">
        <f t="shared" si="85"/>
        <v/>
      </c>
      <c r="P173" s="36" t="str">
        <f t="shared" si="86"/>
        <v xml:space="preserve">  </v>
      </c>
      <c r="Q173" s="37" t="str">
        <f t="shared" si="87"/>
        <v xml:space="preserve">  </v>
      </c>
      <c r="R173" s="36" t="str">
        <f t="shared" si="88"/>
        <v xml:space="preserve">  </v>
      </c>
      <c r="S173" s="37" t="str">
        <f t="shared" si="89"/>
        <v xml:space="preserve">  </v>
      </c>
      <c r="T173" s="36" t="str">
        <f t="shared" si="90"/>
        <v xml:space="preserve">  </v>
      </c>
      <c r="U173" s="37" t="str">
        <f t="shared" si="91"/>
        <v xml:space="preserve">  </v>
      </c>
      <c r="V173" s="36" t="str">
        <f t="shared" si="92"/>
        <v xml:space="preserve">  </v>
      </c>
      <c r="W173" s="37" t="str">
        <f t="shared" si="93"/>
        <v xml:space="preserve">  </v>
      </c>
      <c r="X173" s="36" t="str">
        <f t="shared" si="94"/>
        <v xml:space="preserve">  </v>
      </c>
      <c r="Y173" s="37" t="str">
        <f t="shared" si="95"/>
        <v xml:space="preserve">  </v>
      </c>
      <c r="Z173" s="36" t="str">
        <f t="shared" si="96"/>
        <v xml:space="preserve">  </v>
      </c>
      <c r="AA173" s="37" t="str">
        <f t="shared" si="97"/>
        <v xml:space="preserve">  </v>
      </c>
      <c r="AB173" s="36" t="str">
        <f t="shared" si="98"/>
        <v xml:space="preserve">  </v>
      </c>
      <c r="AC173" s="37" t="str">
        <f t="shared" si="99"/>
        <v xml:space="preserve">  </v>
      </c>
      <c r="AD173" s="36" t="str">
        <f t="shared" si="100"/>
        <v xml:space="preserve">  </v>
      </c>
      <c r="AE173" s="37" t="str">
        <f t="shared" si="101"/>
        <v xml:space="preserve">  </v>
      </c>
      <c r="AF173" s="38" t="str">
        <f ca="1">_xlfn.IFNA(IF(AG173="",TODAY()+(VLOOKUP(A173,'Date Calcs'!A:G,7,0)*7),VLOOKUP(A173,'Actual Dates'!A:AE,21,FALSE())),"")</f>
        <v/>
      </c>
      <c r="AG173" s="38" t="str">
        <f>IF(VLOOKUP(A173,'Actual Dates'!A:AE,20,0)="","",VLOOKUP(A173,'Actual Dates'!A:AE,20,0))</f>
        <v/>
      </c>
      <c r="AH173" s="38" t="str">
        <f>_xlfn.IFNA(IF($AG173="","",IF(X173="Y","DONE",VLOOKUP(A173,'Ship Date'!A:AE,27,0))),"")</f>
        <v/>
      </c>
      <c r="AI173" s="12">
        <f t="shared" ca="1" si="71"/>
        <v>0</v>
      </c>
      <c r="AJ173" s="38" t="str">
        <f>_xlfn.IFNA(IF($AG173="","",IF(AB173="Y","DONE",VLOOKUP(A173,'Ship Date'!A:AG,29,0))),"")</f>
        <v/>
      </c>
      <c r="AK173" s="12">
        <f t="shared" ca="1" si="72"/>
        <v>0</v>
      </c>
      <c r="AL173" s="38" t="str">
        <f>_xlfn.IFNA(IF($AG173="","",IF(Z173="Y","DONE",VLOOKUP(A173,'Ship Date'!A:AI,28,0))),"")</f>
        <v/>
      </c>
      <c r="AM173" s="12">
        <f t="shared" ca="1" si="73"/>
        <v>0</v>
      </c>
      <c r="AN173" s="38" t="str">
        <f>_xlfn.IFNA(IF(T173="Y","DONE",VLOOKUP(A173,'Ship Date'!A:AE,25,0)),"")</f>
        <v/>
      </c>
      <c r="AO173" s="12">
        <f t="shared" si="74"/>
        <v>0</v>
      </c>
      <c r="AP173" s="38" t="str">
        <f>_xlfn.IFNA(IF(AD173="Y","DONE",VLOOKUP(A173,'Ship Date'!A:AE,30,0)),"")</f>
        <v/>
      </c>
      <c r="AQ173" s="12">
        <f t="shared" ca="1" si="75"/>
        <v>0</v>
      </c>
      <c r="AR173" s="38" t="str">
        <f>IFERROR(_xlfn.IFNA(VLOOKUP(A173,'Ship Date'!A:C,3,0),""),"")</f>
        <v/>
      </c>
      <c r="AS173" s="12" t="str">
        <f t="shared" ca="1" si="76"/>
        <v/>
      </c>
      <c r="AT173" s="38">
        <f>_xlfn.IFNA(IF(VLOOKUP(A173,'Actual Dates'!A:AF,32,0)="N/A"," ",VLOOKUP(A173,'Actual Dates'!A:AF,32,0))," ")</f>
        <v>0</v>
      </c>
      <c r="AU173" s="39"/>
      <c r="AV173" s="38" t="str">
        <f>_xlfn.IFNA(IF(VLOOKUP(A173,'Actual Dates'!A:AE,31,0)="","",VLOOKUP(A173,'Actual Dates'!A:AE,31,0)),"")</f>
        <v/>
      </c>
      <c r="AW173" s="40"/>
    </row>
    <row r="174" spans="1:49" ht="23.25" x14ac:dyDescent="0.25">
      <c r="A174" s="12">
        <f>'Actual Dates'!A173</f>
        <v>0</v>
      </c>
      <c r="B174" s="13" t="str">
        <f t="shared" si="68"/>
        <v/>
      </c>
      <c r="C174" s="35"/>
      <c r="D174" s="36" t="str">
        <f t="shared" si="77"/>
        <v/>
      </c>
      <c r="E174" s="37" t="str">
        <f t="shared" si="78"/>
        <v xml:space="preserve">  </v>
      </c>
      <c r="F174" s="36" t="str">
        <f t="shared" si="79"/>
        <v xml:space="preserve">  </v>
      </c>
      <c r="G174" s="37" t="str">
        <f t="shared" si="80"/>
        <v xml:space="preserve">  </v>
      </c>
      <c r="H174" s="36" t="str">
        <f t="shared" si="69"/>
        <v xml:space="preserve">  </v>
      </c>
      <c r="I174" s="37" t="str">
        <f t="shared" si="81"/>
        <v xml:space="preserve">  </v>
      </c>
      <c r="J174" s="35"/>
      <c r="K174" s="36" t="str">
        <f t="shared" si="82"/>
        <v>Y</v>
      </c>
      <c r="L174" s="37" t="str">
        <f t="shared" si="83"/>
        <v/>
      </c>
      <c r="M174" s="37" t="str">
        <f t="shared" si="70"/>
        <v xml:space="preserve">  </v>
      </c>
      <c r="N174" s="36" t="str">
        <f t="shared" si="84"/>
        <v xml:space="preserve">  </v>
      </c>
      <c r="O174" s="37" t="str">
        <f t="shared" si="85"/>
        <v/>
      </c>
      <c r="P174" s="36" t="str">
        <f t="shared" si="86"/>
        <v xml:space="preserve">  </v>
      </c>
      <c r="Q174" s="37" t="str">
        <f t="shared" si="87"/>
        <v xml:space="preserve">  </v>
      </c>
      <c r="R174" s="36" t="str">
        <f t="shared" si="88"/>
        <v xml:space="preserve">  </v>
      </c>
      <c r="S174" s="37" t="str">
        <f t="shared" si="89"/>
        <v xml:space="preserve">  </v>
      </c>
      <c r="T174" s="36" t="str">
        <f t="shared" si="90"/>
        <v xml:space="preserve">  </v>
      </c>
      <c r="U174" s="37" t="str">
        <f t="shared" si="91"/>
        <v xml:space="preserve">  </v>
      </c>
      <c r="V174" s="36" t="str">
        <f t="shared" si="92"/>
        <v xml:space="preserve">  </v>
      </c>
      <c r="W174" s="37" t="str">
        <f t="shared" si="93"/>
        <v xml:space="preserve">  </v>
      </c>
      <c r="X174" s="36" t="str">
        <f t="shared" si="94"/>
        <v xml:space="preserve">  </v>
      </c>
      <c r="Y174" s="37" t="str">
        <f t="shared" si="95"/>
        <v xml:space="preserve">  </v>
      </c>
      <c r="Z174" s="36" t="str">
        <f t="shared" si="96"/>
        <v xml:space="preserve">  </v>
      </c>
      <c r="AA174" s="37" t="str">
        <f t="shared" si="97"/>
        <v xml:space="preserve">  </v>
      </c>
      <c r="AB174" s="36" t="str">
        <f t="shared" si="98"/>
        <v xml:space="preserve">  </v>
      </c>
      <c r="AC174" s="37" t="str">
        <f t="shared" si="99"/>
        <v xml:space="preserve">  </v>
      </c>
      <c r="AD174" s="36" t="str">
        <f t="shared" si="100"/>
        <v xml:space="preserve">  </v>
      </c>
      <c r="AE174" s="37" t="str">
        <f t="shared" si="101"/>
        <v xml:space="preserve">  </v>
      </c>
      <c r="AF174" s="38" t="str">
        <f ca="1">_xlfn.IFNA(IF(AG174="",TODAY()+(VLOOKUP(A174,'Date Calcs'!A:G,7,0)*7),VLOOKUP(A174,'Actual Dates'!A:AE,21,FALSE())),"")</f>
        <v/>
      </c>
      <c r="AG174" s="38" t="str">
        <f>IF(VLOOKUP(A174,'Actual Dates'!A:AE,20,0)="","",VLOOKUP(A174,'Actual Dates'!A:AE,20,0))</f>
        <v/>
      </c>
      <c r="AH174" s="38" t="str">
        <f>_xlfn.IFNA(IF($AG174="","",IF(X174="Y","DONE",VLOOKUP(A174,'Ship Date'!A:AE,27,0))),"")</f>
        <v/>
      </c>
      <c r="AI174" s="12">
        <f t="shared" ca="1" si="71"/>
        <v>0</v>
      </c>
      <c r="AJ174" s="38" t="str">
        <f>_xlfn.IFNA(IF($AG174="","",IF(AB174="Y","DONE",VLOOKUP(A174,'Ship Date'!A:AG,29,0))),"")</f>
        <v/>
      </c>
      <c r="AK174" s="12">
        <f t="shared" ca="1" si="72"/>
        <v>0</v>
      </c>
      <c r="AL174" s="38" t="str">
        <f>_xlfn.IFNA(IF($AG174="","",IF(Z174="Y","DONE",VLOOKUP(A174,'Ship Date'!A:AI,28,0))),"")</f>
        <v/>
      </c>
      <c r="AM174" s="12">
        <f t="shared" ca="1" si="73"/>
        <v>0</v>
      </c>
      <c r="AN174" s="38" t="str">
        <f>_xlfn.IFNA(IF(T174="Y","DONE",VLOOKUP(A174,'Ship Date'!A:AE,25,0)),"")</f>
        <v/>
      </c>
      <c r="AO174" s="12">
        <f t="shared" si="74"/>
        <v>0</v>
      </c>
      <c r="AP174" s="38" t="str">
        <f>_xlfn.IFNA(IF(AD174="Y","DONE",VLOOKUP(A174,'Ship Date'!A:AE,30,0)),"")</f>
        <v/>
      </c>
      <c r="AQ174" s="12">
        <f t="shared" ca="1" si="75"/>
        <v>0</v>
      </c>
      <c r="AR174" s="38" t="str">
        <f>IFERROR(_xlfn.IFNA(VLOOKUP(A174,'Ship Date'!A:C,3,0),""),"")</f>
        <v/>
      </c>
      <c r="AS174" s="12" t="str">
        <f t="shared" ca="1" si="76"/>
        <v/>
      </c>
      <c r="AT174" s="38">
        <f>_xlfn.IFNA(IF(VLOOKUP(A174,'Actual Dates'!A:AF,32,0)="N/A"," ",VLOOKUP(A174,'Actual Dates'!A:AF,32,0))," ")</f>
        <v>0</v>
      </c>
      <c r="AU174" s="39"/>
      <c r="AV174" s="38" t="str">
        <f>_xlfn.IFNA(IF(VLOOKUP(A174,'Actual Dates'!A:AE,31,0)="","",VLOOKUP(A174,'Actual Dates'!A:AE,31,0)),"")</f>
        <v/>
      </c>
      <c r="AW174" s="40"/>
    </row>
    <row r="175" spans="1:49" ht="23.25" x14ac:dyDescent="0.25">
      <c r="A175" s="12">
        <f>'Actual Dates'!A174</f>
        <v>0</v>
      </c>
      <c r="B175" s="13" t="str">
        <f t="shared" si="68"/>
        <v/>
      </c>
      <c r="C175" s="35"/>
      <c r="D175" s="36" t="str">
        <f t="shared" si="77"/>
        <v/>
      </c>
      <c r="E175" s="37" t="str">
        <f t="shared" si="78"/>
        <v xml:space="preserve">  </v>
      </c>
      <c r="F175" s="36" t="str">
        <f t="shared" si="79"/>
        <v xml:space="preserve">  </v>
      </c>
      <c r="G175" s="37" t="str">
        <f t="shared" si="80"/>
        <v xml:space="preserve">  </v>
      </c>
      <c r="H175" s="36" t="str">
        <f t="shared" si="69"/>
        <v xml:space="preserve">  </v>
      </c>
      <c r="I175" s="37" t="str">
        <f t="shared" si="81"/>
        <v xml:space="preserve">  </v>
      </c>
      <c r="J175" s="35"/>
      <c r="K175" s="36" t="str">
        <f t="shared" si="82"/>
        <v>Y</v>
      </c>
      <c r="L175" s="37" t="str">
        <f t="shared" si="83"/>
        <v/>
      </c>
      <c r="M175" s="37" t="str">
        <f t="shared" si="70"/>
        <v xml:space="preserve">  </v>
      </c>
      <c r="N175" s="36" t="str">
        <f t="shared" si="84"/>
        <v xml:space="preserve">  </v>
      </c>
      <c r="O175" s="37" t="str">
        <f t="shared" si="85"/>
        <v/>
      </c>
      <c r="P175" s="36" t="str">
        <f t="shared" si="86"/>
        <v xml:space="preserve">  </v>
      </c>
      <c r="Q175" s="37" t="str">
        <f t="shared" si="87"/>
        <v xml:space="preserve">  </v>
      </c>
      <c r="R175" s="36" t="str">
        <f t="shared" si="88"/>
        <v xml:space="preserve">  </v>
      </c>
      <c r="S175" s="37" t="str">
        <f t="shared" si="89"/>
        <v xml:space="preserve">  </v>
      </c>
      <c r="T175" s="36" t="str">
        <f t="shared" si="90"/>
        <v xml:space="preserve">  </v>
      </c>
      <c r="U175" s="37" t="str">
        <f t="shared" si="91"/>
        <v xml:space="preserve">  </v>
      </c>
      <c r="V175" s="36" t="str">
        <f t="shared" si="92"/>
        <v xml:space="preserve">  </v>
      </c>
      <c r="W175" s="37" t="str">
        <f t="shared" si="93"/>
        <v xml:space="preserve">  </v>
      </c>
      <c r="X175" s="36" t="str">
        <f t="shared" si="94"/>
        <v xml:space="preserve">  </v>
      </c>
      <c r="Y175" s="37" t="str">
        <f t="shared" si="95"/>
        <v xml:space="preserve">  </v>
      </c>
      <c r="Z175" s="36" t="str">
        <f t="shared" si="96"/>
        <v xml:space="preserve">  </v>
      </c>
      <c r="AA175" s="37" t="str">
        <f t="shared" si="97"/>
        <v xml:space="preserve">  </v>
      </c>
      <c r="AB175" s="36" t="str">
        <f t="shared" si="98"/>
        <v xml:space="preserve">  </v>
      </c>
      <c r="AC175" s="37" t="str">
        <f t="shared" si="99"/>
        <v xml:space="preserve">  </v>
      </c>
      <c r="AD175" s="36" t="str">
        <f t="shared" si="100"/>
        <v xml:space="preserve">  </v>
      </c>
      <c r="AE175" s="37" t="str">
        <f t="shared" si="101"/>
        <v xml:space="preserve">  </v>
      </c>
      <c r="AF175" s="38" t="str">
        <f ca="1">_xlfn.IFNA(IF(AG175="",TODAY()+(VLOOKUP(A175,'Date Calcs'!A:G,7,0)*7),VLOOKUP(A175,'Actual Dates'!A:AE,21,FALSE())),"")</f>
        <v/>
      </c>
      <c r="AG175" s="38" t="str">
        <f>IF(VLOOKUP(A175,'Actual Dates'!A:AE,20,0)="","",VLOOKUP(A175,'Actual Dates'!A:AE,20,0))</f>
        <v/>
      </c>
      <c r="AH175" s="38" t="str">
        <f>_xlfn.IFNA(IF($AG175="","",IF(X175="Y","DONE",VLOOKUP(A175,'Ship Date'!A:AE,27,0))),"")</f>
        <v/>
      </c>
      <c r="AI175" s="12">
        <f t="shared" ca="1" si="71"/>
        <v>0</v>
      </c>
      <c r="AJ175" s="38" t="str">
        <f>_xlfn.IFNA(IF($AG175="","",IF(AB175="Y","DONE",VLOOKUP(A175,'Ship Date'!A:AG,29,0))),"")</f>
        <v/>
      </c>
      <c r="AK175" s="12">
        <f t="shared" ca="1" si="72"/>
        <v>0</v>
      </c>
      <c r="AL175" s="38" t="str">
        <f>_xlfn.IFNA(IF($AG175="","",IF(Z175="Y","DONE",VLOOKUP(A175,'Ship Date'!A:AI,28,0))),"")</f>
        <v/>
      </c>
      <c r="AM175" s="12">
        <f t="shared" ca="1" si="73"/>
        <v>0</v>
      </c>
      <c r="AN175" s="38" t="str">
        <f>_xlfn.IFNA(IF(T175="Y","DONE",VLOOKUP(A175,'Ship Date'!A:AE,25,0)),"")</f>
        <v/>
      </c>
      <c r="AO175" s="12">
        <f t="shared" si="74"/>
        <v>0</v>
      </c>
      <c r="AP175" s="38" t="str">
        <f>_xlfn.IFNA(IF(AD175="Y","DONE",VLOOKUP(A175,'Ship Date'!A:AE,30,0)),"")</f>
        <v/>
      </c>
      <c r="AQ175" s="12">
        <f t="shared" ca="1" si="75"/>
        <v>0</v>
      </c>
      <c r="AR175" s="38" t="str">
        <f>IFERROR(_xlfn.IFNA(VLOOKUP(A175,'Ship Date'!A:C,3,0),""),"")</f>
        <v/>
      </c>
      <c r="AS175" s="12" t="str">
        <f t="shared" ca="1" si="76"/>
        <v/>
      </c>
      <c r="AT175" s="38">
        <f>_xlfn.IFNA(IF(VLOOKUP(A175,'Actual Dates'!A:AF,32,0)="N/A"," ",VLOOKUP(A175,'Actual Dates'!A:AF,32,0))," ")</f>
        <v>0</v>
      </c>
      <c r="AU175" s="39"/>
      <c r="AV175" s="38" t="str">
        <f>_xlfn.IFNA(IF(VLOOKUP(A175,'Actual Dates'!A:AE,31,0)="","",VLOOKUP(A175,'Actual Dates'!A:AE,31,0)),"")</f>
        <v/>
      </c>
      <c r="AW175" s="40"/>
    </row>
    <row r="176" spans="1:49" ht="23.25" x14ac:dyDescent="0.25">
      <c r="A176" s="12">
        <f>'Actual Dates'!A175</f>
        <v>0</v>
      </c>
      <c r="B176" s="13" t="str">
        <f t="shared" si="68"/>
        <v/>
      </c>
      <c r="C176" s="35"/>
      <c r="D176" s="36" t="str">
        <f t="shared" si="77"/>
        <v/>
      </c>
      <c r="E176" s="37" t="str">
        <f t="shared" si="78"/>
        <v xml:space="preserve">  </v>
      </c>
      <c r="F176" s="36" t="str">
        <f t="shared" si="79"/>
        <v xml:space="preserve">  </v>
      </c>
      <c r="G176" s="37" t="str">
        <f t="shared" si="80"/>
        <v xml:space="preserve">  </v>
      </c>
      <c r="H176" s="36" t="str">
        <f t="shared" si="69"/>
        <v xml:space="preserve">  </v>
      </c>
      <c r="I176" s="37" t="str">
        <f t="shared" si="81"/>
        <v xml:space="preserve">  </v>
      </c>
      <c r="J176" s="35"/>
      <c r="K176" s="36" t="str">
        <f t="shared" si="82"/>
        <v>Y</v>
      </c>
      <c r="L176" s="37" t="str">
        <f t="shared" si="83"/>
        <v/>
      </c>
      <c r="M176" s="37" t="str">
        <f t="shared" si="70"/>
        <v xml:space="preserve">  </v>
      </c>
      <c r="N176" s="36" t="str">
        <f t="shared" si="84"/>
        <v xml:space="preserve">  </v>
      </c>
      <c r="O176" s="37" t="str">
        <f t="shared" si="85"/>
        <v/>
      </c>
      <c r="P176" s="36" t="str">
        <f t="shared" si="86"/>
        <v xml:space="preserve">  </v>
      </c>
      <c r="Q176" s="37" t="str">
        <f t="shared" si="87"/>
        <v xml:space="preserve">  </v>
      </c>
      <c r="R176" s="36" t="str">
        <f t="shared" si="88"/>
        <v xml:space="preserve">  </v>
      </c>
      <c r="S176" s="37" t="str">
        <f t="shared" si="89"/>
        <v xml:space="preserve">  </v>
      </c>
      <c r="T176" s="36" t="str">
        <f t="shared" si="90"/>
        <v xml:space="preserve">  </v>
      </c>
      <c r="U176" s="37" t="str">
        <f t="shared" si="91"/>
        <v xml:space="preserve">  </v>
      </c>
      <c r="V176" s="36" t="str">
        <f t="shared" si="92"/>
        <v xml:space="preserve">  </v>
      </c>
      <c r="W176" s="37" t="str">
        <f t="shared" si="93"/>
        <v xml:space="preserve">  </v>
      </c>
      <c r="X176" s="36" t="str">
        <f t="shared" si="94"/>
        <v xml:space="preserve">  </v>
      </c>
      <c r="Y176" s="37" t="str">
        <f t="shared" si="95"/>
        <v xml:space="preserve">  </v>
      </c>
      <c r="Z176" s="36" t="str">
        <f t="shared" si="96"/>
        <v xml:space="preserve">  </v>
      </c>
      <c r="AA176" s="37" t="str">
        <f t="shared" si="97"/>
        <v xml:space="preserve">  </v>
      </c>
      <c r="AB176" s="36" t="str">
        <f t="shared" si="98"/>
        <v xml:space="preserve">  </v>
      </c>
      <c r="AC176" s="37" t="str">
        <f t="shared" si="99"/>
        <v xml:space="preserve">  </v>
      </c>
      <c r="AD176" s="36" t="str">
        <f t="shared" si="100"/>
        <v xml:space="preserve">  </v>
      </c>
      <c r="AE176" s="37" t="str">
        <f t="shared" si="101"/>
        <v xml:space="preserve">  </v>
      </c>
      <c r="AF176" s="38" t="str">
        <f ca="1">_xlfn.IFNA(IF(AG176="",TODAY()+(VLOOKUP(A176,'Date Calcs'!A:G,7,0)*7),VLOOKUP(A176,'Actual Dates'!A:AE,21,FALSE())),"")</f>
        <v/>
      </c>
      <c r="AG176" s="38" t="str">
        <f>IF(VLOOKUP(A176,'Actual Dates'!A:AE,20,0)="","",VLOOKUP(A176,'Actual Dates'!A:AE,20,0))</f>
        <v/>
      </c>
      <c r="AH176" s="38" t="str">
        <f>_xlfn.IFNA(IF($AG176="","",IF(X176="Y","DONE",VLOOKUP(A176,'Ship Date'!A:AE,27,0))),"")</f>
        <v/>
      </c>
      <c r="AI176" s="12">
        <f t="shared" ca="1" si="71"/>
        <v>0</v>
      </c>
      <c r="AJ176" s="38" t="str">
        <f>_xlfn.IFNA(IF($AG176="","",IF(AB176="Y","DONE",VLOOKUP(A176,'Ship Date'!A:AG,29,0))),"")</f>
        <v/>
      </c>
      <c r="AK176" s="12">
        <f t="shared" ca="1" si="72"/>
        <v>0</v>
      </c>
      <c r="AL176" s="38" t="str">
        <f>_xlfn.IFNA(IF($AG176="","",IF(Z176="Y","DONE",VLOOKUP(A176,'Ship Date'!A:AI,28,0))),"")</f>
        <v/>
      </c>
      <c r="AM176" s="12">
        <f t="shared" ca="1" si="73"/>
        <v>0</v>
      </c>
      <c r="AN176" s="38" t="str">
        <f>_xlfn.IFNA(IF(T176="Y","DONE",VLOOKUP(A176,'Ship Date'!A:AE,25,0)),"")</f>
        <v/>
      </c>
      <c r="AO176" s="12">
        <f t="shared" si="74"/>
        <v>0</v>
      </c>
      <c r="AP176" s="38" t="str">
        <f>_xlfn.IFNA(IF(AD176="Y","DONE",VLOOKUP(A176,'Ship Date'!A:AE,30,0)),"")</f>
        <v/>
      </c>
      <c r="AQ176" s="12">
        <f t="shared" ca="1" si="75"/>
        <v>0</v>
      </c>
      <c r="AR176" s="38" t="str">
        <f>IFERROR(_xlfn.IFNA(VLOOKUP(A176,'Ship Date'!A:C,3,0),""),"")</f>
        <v/>
      </c>
      <c r="AS176" s="12" t="str">
        <f t="shared" ca="1" si="76"/>
        <v/>
      </c>
      <c r="AT176" s="38">
        <f>_xlfn.IFNA(IF(VLOOKUP(A176,'Actual Dates'!A:AF,32,0)="N/A"," ",VLOOKUP(A176,'Actual Dates'!A:AF,32,0))," ")</f>
        <v>0</v>
      </c>
      <c r="AU176" s="39"/>
      <c r="AV176" s="38" t="str">
        <f>_xlfn.IFNA(IF(VLOOKUP(A176,'Actual Dates'!A:AE,31,0)="","",VLOOKUP(A176,'Actual Dates'!A:AE,31,0)),"")</f>
        <v/>
      </c>
      <c r="AW176" s="40"/>
    </row>
    <row r="177" spans="1:49" ht="23.25" x14ac:dyDescent="0.25">
      <c r="A177" s="12">
        <f>'Actual Dates'!A176</f>
        <v>0</v>
      </c>
      <c r="B177" s="13" t="str">
        <f t="shared" si="68"/>
        <v/>
      </c>
      <c r="C177" s="35"/>
      <c r="D177" s="36" t="str">
        <f t="shared" si="77"/>
        <v/>
      </c>
      <c r="E177" s="37" t="str">
        <f t="shared" si="78"/>
        <v xml:space="preserve">  </v>
      </c>
      <c r="F177" s="36" t="str">
        <f t="shared" si="79"/>
        <v xml:space="preserve">  </v>
      </c>
      <c r="G177" s="37" t="str">
        <f t="shared" si="80"/>
        <v xml:space="preserve">  </v>
      </c>
      <c r="H177" s="36" t="str">
        <f t="shared" si="69"/>
        <v xml:space="preserve">  </v>
      </c>
      <c r="I177" s="37" t="str">
        <f t="shared" si="81"/>
        <v xml:space="preserve">  </v>
      </c>
      <c r="J177" s="35"/>
      <c r="K177" s="36" t="str">
        <f t="shared" si="82"/>
        <v>Y</v>
      </c>
      <c r="L177" s="37" t="str">
        <f t="shared" si="83"/>
        <v/>
      </c>
      <c r="M177" s="37" t="str">
        <f t="shared" si="70"/>
        <v xml:space="preserve">  </v>
      </c>
      <c r="N177" s="36" t="str">
        <f t="shared" si="84"/>
        <v xml:space="preserve">  </v>
      </c>
      <c r="O177" s="37" t="str">
        <f t="shared" si="85"/>
        <v/>
      </c>
      <c r="P177" s="36" t="str">
        <f t="shared" si="86"/>
        <v xml:space="preserve">  </v>
      </c>
      <c r="Q177" s="37" t="str">
        <f t="shared" si="87"/>
        <v xml:space="preserve">  </v>
      </c>
      <c r="R177" s="36" t="str">
        <f t="shared" si="88"/>
        <v xml:space="preserve">  </v>
      </c>
      <c r="S177" s="37" t="str">
        <f t="shared" si="89"/>
        <v xml:space="preserve">  </v>
      </c>
      <c r="T177" s="36" t="str">
        <f t="shared" si="90"/>
        <v xml:space="preserve">  </v>
      </c>
      <c r="U177" s="37" t="str">
        <f t="shared" si="91"/>
        <v xml:space="preserve">  </v>
      </c>
      <c r="V177" s="36" t="str">
        <f t="shared" si="92"/>
        <v xml:space="preserve">  </v>
      </c>
      <c r="W177" s="37" t="str">
        <f t="shared" si="93"/>
        <v xml:space="preserve">  </v>
      </c>
      <c r="X177" s="36" t="str">
        <f t="shared" si="94"/>
        <v xml:space="preserve">  </v>
      </c>
      <c r="Y177" s="37" t="str">
        <f t="shared" si="95"/>
        <v xml:space="preserve">  </v>
      </c>
      <c r="Z177" s="36" t="str">
        <f t="shared" si="96"/>
        <v xml:space="preserve">  </v>
      </c>
      <c r="AA177" s="37" t="str">
        <f t="shared" si="97"/>
        <v xml:space="preserve">  </v>
      </c>
      <c r="AB177" s="36" t="str">
        <f t="shared" si="98"/>
        <v xml:space="preserve">  </v>
      </c>
      <c r="AC177" s="37" t="str">
        <f t="shared" si="99"/>
        <v xml:space="preserve">  </v>
      </c>
      <c r="AD177" s="36" t="str">
        <f t="shared" si="100"/>
        <v xml:space="preserve">  </v>
      </c>
      <c r="AE177" s="37" t="str">
        <f t="shared" si="101"/>
        <v xml:space="preserve">  </v>
      </c>
      <c r="AF177" s="38" t="str">
        <f ca="1">_xlfn.IFNA(IF(AG177="",TODAY()+(VLOOKUP(A177,'Date Calcs'!A:G,7,0)*7),VLOOKUP(A177,'Actual Dates'!A:AE,21,FALSE())),"")</f>
        <v/>
      </c>
      <c r="AG177" s="38" t="str">
        <f>IF(VLOOKUP(A177,'Actual Dates'!A:AE,20,0)="","",VLOOKUP(A177,'Actual Dates'!A:AE,20,0))</f>
        <v/>
      </c>
      <c r="AH177" s="38" t="str">
        <f>_xlfn.IFNA(IF($AG177="","",IF(X177="Y","DONE",VLOOKUP(A177,'Ship Date'!A:AE,27,0))),"")</f>
        <v/>
      </c>
      <c r="AI177" s="12">
        <f t="shared" ca="1" si="71"/>
        <v>0</v>
      </c>
      <c r="AJ177" s="38" t="str">
        <f>_xlfn.IFNA(IF($AG177="","",IF(AB177="Y","DONE",VLOOKUP(A177,'Ship Date'!A:AG,29,0))),"")</f>
        <v/>
      </c>
      <c r="AK177" s="12">
        <f t="shared" ca="1" si="72"/>
        <v>0</v>
      </c>
      <c r="AL177" s="38" t="str">
        <f>_xlfn.IFNA(IF($AG177="","",IF(Z177="Y","DONE",VLOOKUP(A177,'Ship Date'!A:AI,28,0))),"")</f>
        <v/>
      </c>
      <c r="AM177" s="12">
        <f t="shared" ca="1" si="73"/>
        <v>0</v>
      </c>
      <c r="AN177" s="38" t="str">
        <f>_xlfn.IFNA(IF(T177="Y","DONE",VLOOKUP(A177,'Ship Date'!A:AE,25,0)),"")</f>
        <v/>
      </c>
      <c r="AO177" s="12">
        <f t="shared" si="74"/>
        <v>0</v>
      </c>
      <c r="AP177" s="38" t="str">
        <f>_xlfn.IFNA(IF(AD177="Y","DONE",VLOOKUP(A177,'Ship Date'!A:AE,30,0)),"")</f>
        <v/>
      </c>
      <c r="AQ177" s="12">
        <f t="shared" ca="1" si="75"/>
        <v>0</v>
      </c>
      <c r="AR177" s="38" t="str">
        <f>IFERROR(_xlfn.IFNA(VLOOKUP(A177,'Ship Date'!A:C,3,0),""),"")</f>
        <v/>
      </c>
      <c r="AS177" s="12" t="str">
        <f t="shared" ca="1" si="76"/>
        <v/>
      </c>
      <c r="AT177" s="38">
        <f>_xlfn.IFNA(IF(VLOOKUP(A177,'Actual Dates'!A:AF,32,0)="N/A"," ",VLOOKUP(A177,'Actual Dates'!A:AF,32,0))," ")</f>
        <v>0</v>
      </c>
      <c r="AU177" s="39"/>
      <c r="AV177" s="38" t="str">
        <f>_xlfn.IFNA(IF(VLOOKUP(A177,'Actual Dates'!A:AE,31,0)="","",VLOOKUP(A177,'Actual Dates'!A:AE,31,0)),"")</f>
        <v/>
      </c>
      <c r="AW177" s="40"/>
    </row>
    <row r="178" spans="1:49" ht="23.25" x14ac:dyDescent="0.25">
      <c r="A178" s="12">
        <f>'Actual Dates'!A177</f>
        <v>0</v>
      </c>
      <c r="B178" s="13" t="str">
        <f t="shared" si="68"/>
        <v/>
      </c>
      <c r="C178" s="35"/>
      <c r="D178" s="36" t="str">
        <f t="shared" si="77"/>
        <v/>
      </c>
      <c r="E178" s="37" t="str">
        <f t="shared" si="78"/>
        <v xml:space="preserve">  </v>
      </c>
      <c r="F178" s="36" t="str">
        <f t="shared" si="79"/>
        <v xml:space="preserve">  </v>
      </c>
      <c r="G178" s="37" t="str">
        <f t="shared" si="80"/>
        <v xml:space="preserve">  </v>
      </c>
      <c r="H178" s="36" t="str">
        <f t="shared" si="69"/>
        <v xml:space="preserve">  </v>
      </c>
      <c r="I178" s="37" t="str">
        <f t="shared" si="81"/>
        <v xml:space="preserve">  </v>
      </c>
      <c r="J178" s="35"/>
      <c r="K178" s="36" t="str">
        <f t="shared" si="82"/>
        <v>Y</v>
      </c>
      <c r="L178" s="37" t="str">
        <f t="shared" si="83"/>
        <v/>
      </c>
      <c r="M178" s="37" t="str">
        <f t="shared" si="70"/>
        <v xml:space="preserve">  </v>
      </c>
      <c r="N178" s="36" t="str">
        <f t="shared" si="84"/>
        <v xml:space="preserve">  </v>
      </c>
      <c r="O178" s="37" t="str">
        <f t="shared" si="85"/>
        <v/>
      </c>
      <c r="P178" s="36" t="str">
        <f t="shared" si="86"/>
        <v xml:space="preserve">  </v>
      </c>
      <c r="Q178" s="37" t="str">
        <f t="shared" si="87"/>
        <v xml:space="preserve">  </v>
      </c>
      <c r="R178" s="36" t="str">
        <f t="shared" si="88"/>
        <v xml:space="preserve">  </v>
      </c>
      <c r="S178" s="37" t="str">
        <f t="shared" si="89"/>
        <v xml:space="preserve">  </v>
      </c>
      <c r="T178" s="36" t="str">
        <f t="shared" si="90"/>
        <v xml:space="preserve">  </v>
      </c>
      <c r="U178" s="37" t="str">
        <f t="shared" si="91"/>
        <v xml:space="preserve">  </v>
      </c>
      <c r="V178" s="36" t="str">
        <f t="shared" si="92"/>
        <v xml:space="preserve">  </v>
      </c>
      <c r="W178" s="37" t="str">
        <f t="shared" si="93"/>
        <v xml:space="preserve">  </v>
      </c>
      <c r="X178" s="36" t="str">
        <f t="shared" si="94"/>
        <v xml:space="preserve">  </v>
      </c>
      <c r="Y178" s="37" t="str">
        <f t="shared" si="95"/>
        <v xml:space="preserve">  </v>
      </c>
      <c r="Z178" s="36" t="str">
        <f t="shared" si="96"/>
        <v xml:space="preserve">  </v>
      </c>
      <c r="AA178" s="37" t="str">
        <f t="shared" si="97"/>
        <v xml:space="preserve">  </v>
      </c>
      <c r="AB178" s="36" t="str">
        <f t="shared" si="98"/>
        <v xml:space="preserve">  </v>
      </c>
      <c r="AC178" s="37" t="str">
        <f t="shared" si="99"/>
        <v xml:space="preserve">  </v>
      </c>
      <c r="AD178" s="36" t="str">
        <f t="shared" si="100"/>
        <v xml:space="preserve">  </v>
      </c>
      <c r="AE178" s="37" t="str">
        <f t="shared" si="101"/>
        <v xml:space="preserve">  </v>
      </c>
      <c r="AF178" s="38" t="str">
        <f ca="1">_xlfn.IFNA(IF(AG178="",TODAY()+(VLOOKUP(A178,'Date Calcs'!A:G,7,0)*7),VLOOKUP(A178,'Actual Dates'!A:AE,21,FALSE())),"")</f>
        <v/>
      </c>
      <c r="AG178" s="38" t="str">
        <f>IF(VLOOKUP(A178,'Actual Dates'!A:AE,20,0)="","",VLOOKUP(A178,'Actual Dates'!A:AE,20,0))</f>
        <v/>
      </c>
      <c r="AH178" s="38" t="str">
        <f>_xlfn.IFNA(IF($AG178="","",IF(X178="Y","DONE",VLOOKUP(A178,'Ship Date'!A:AE,27,0))),"")</f>
        <v/>
      </c>
      <c r="AI178" s="12">
        <f t="shared" ca="1" si="71"/>
        <v>0</v>
      </c>
      <c r="AJ178" s="38" t="str">
        <f>_xlfn.IFNA(IF($AG178="","",IF(AB178="Y","DONE",VLOOKUP(A178,'Ship Date'!A:AG,29,0))),"")</f>
        <v/>
      </c>
      <c r="AK178" s="12">
        <f t="shared" ca="1" si="72"/>
        <v>0</v>
      </c>
      <c r="AL178" s="38" t="str">
        <f>_xlfn.IFNA(IF($AG178="","",IF(Z178="Y","DONE",VLOOKUP(A178,'Ship Date'!A:AI,28,0))),"")</f>
        <v/>
      </c>
      <c r="AM178" s="12">
        <f t="shared" ca="1" si="73"/>
        <v>0</v>
      </c>
      <c r="AN178" s="38" t="str">
        <f>_xlfn.IFNA(IF(T178="Y","DONE",VLOOKUP(A178,'Ship Date'!A:AE,25,0)),"")</f>
        <v/>
      </c>
      <c r="AO178" s="12">
        <f t="shared" si="74"/>
        <v>0</v>
      </c>
      <c r="AP178" s="38" t="str">
        <f>_xlfn.IFNA(IF(AD178="Y","DONE",VLOOKUP(A178,'Ship Date'!A:AE,30,0)),"")</f>
        <v/>
      </c>
      <c r="AQ178" s="12">
        <f t="shared" ca="1" si="75"/>
        <v>0</v>
      </c>
      <c r="AR178" s="38" t="str">
        <f>IFERROR(_xlfn.IFNA(VLOOKUP(A178,'Ship Date'!A:C,3,0),""),"")</f>
        <v/>
      </c>
      <c r="AS178" s="12" t="str">
        <f t="shared" ca="1" si="76"/>
        <v/>
      </c>
      <c r="AT178" s="38">
        <f>_xlfn.IFNA(IF(VLOOKUP(A178,'Actual Dates'!A:AF,32,0)="N/A"," ",VLOOKUP(A178,'Actual Dates'!A:AF,32,0))," ")</f>
        <v>0</v>
      </c>
      <c r="AU178" s="39"/>
      <c r="AV178" s="38" t="str">
        <f>_xlfn.IFNA(IF(VLOOKUP(A178,'Actual Dates'!A:AE,31,0)="","",VLOOKUP(A178,'Actual Dates'!A:AE,31,0)),"")</f>
        <v/>
      </c>
      <c r="AW178" s="40"/>
    </row>
    <row r="179" spans="1:49" ht="23.25" x14ac:dyDescent="0.25">
      <c r="A179" s="12">
        <f>'Actual Dates'!A178</f>
        <v>0</v>
      </c>
      <c r="B179" s="13" t="str">
        <f t="shared" si="68"/>
        <v/>
      </c>
      <c r="C179" s="35"/>
      <c r="D179" s="36" t="str">
        <f t="shared" si="77"/>
        <v/>
      </c>
      <c r="E179" s="37" t="str">
        <f t="shared" si="78"/>
        <v xml:space="preserve">  </v>
      </c>
      <c r="F179" s="36" t="str">
        <f t="shared" si="79"/>
        <v xml:space="preserve">  </v>
      </c>
      <c r="G179" s="37" t="str">
        <f t="shared" si="80"/>
        <v xml:space="preserve">  </v>
      </c>
      <c r="H179" s="36" t="str">
        <f t="shared" si="69"/>
        <v xml:space="preserve">  </v>
      </c>
      <c r="I179" s="37" t="str">
        <f t="shared" si="81"/>
        <v xml:space="preserve">  </v>
      </c>
      <c r="J179" s="35"/>
      <c r="K179" s="36" t="str">
        <f t="shared" si="82"/>
        <v>Y</v>
      </c>
      <c r="L179" s="37" t="str">
        <f t="shared" si="83"/>
        <v/>
      </c>
      <c r="M179" s="37" t="str">
        <f t="shared" si="70"/>
        <v xml:space="preserve">  </v>
      </c>
      <c r="N179" s="36" t="str">
        <f t="shared" si="84"/>
        <v xml:space="preserve">  </v>
      </c>
      <c r="O179" s="37" t="str">
        <f t="shared" si="85"/>
        <v/>
      </c>
      <c r="P179" s="36" t="str">
        <f t="shared" si="86"/>
        <v xml:space="preserve">  </v>
      </c>
      <c r="Q179" s="37" t="str">
        <f t="shared" si="87"/>
        <v xml:space="preserve">  </v>
      </c>
      <c r="R179" s="36" t="str">
        <f t="shared" si="88"/>
        <v xml:space="preserve">  </v>
      </c>
      <c r="S179" s="37" t="str">
        <f t="shared" si="89"/>
        <v xml:space="preserve">  </v>
      </c>
      <c r="T179" s="36" t="str">
        <f t="shared" si="90"/>
        <v xml:space="preserve">  </v>
      </c>
      <c r="U179" s="37" t="str">
        <f t="shared" si="91"/>
        <v xml:space="preserve">  </v>
      </c>
      <c r="V179" s="36" t="str">
        <f t="shared" si="92"/>
        <v xml:space="preserve">  </v>
      </c>
      <c r="W179" s="37" t="str">
        <f t="shared" si="93"/>
        <v xml:space="preserve">  </v>
      </c>
      <c r="X179" s="36" t="str">
        <f t="shared" si="94"/>
        <v xml:space="preserve">  </v>
      </c>
      <c r="Y179" s="37" t="str">
        <f t="shared" si="95"/>
        <v xml:space="preserve">  </v>
      </c>
      <c r="Z179" s="36" t="str">
        <f t="shared" si="96"/>
        <v xml:space="preserve">  </v>
      </c>
      <c r="AA179" s="37" t="str">
        <f t="shared" si="97"/>
        <v xml:space="preserve">  </v>
      </c>
      <c r="AB179" s="36" t="str">
        <f t="shared" si="98"/>
        <v xml:space="preserve">  </v>
      </c>
      <c r="AC179" s="37" t="str">
        <f t="shared" si="99"/>
        <v xml:space="preserve">  </v>
      </c>
      <c r="AD179" s="36" t="str">
        <f t="shared" si="100"/>
        <v xml:space="preserve">  </v>
      </c>
      <c r="AE179" s="37" t="str">
        <f t="shared" si="101"/>
        <v xml:space="preserve">  </v>
      </c>
      <c r="AF179" s="38" t="str">
        <f ca="1">_xlfn.IFNA(IF(AG179="",TODAY()+(VLOOKUP(A179,'Date Calcs'!A:G,7,0)*7),VLOOKUP(A179,'Actual Dates'!A:AE,21,FALSE())),"")</f>
        <v/>
      </c>
      <c r="AG179" s="38" t="str">
        <f>IF(VLOOKUP(A179,'Actual Dates'!A:AE,20,0)="","",VLOOKUP(A179,'Actual Dates'!A:AE,20,0))</f>
        <v/>
      </c>
      <c r="AH179" s="38" t="str">
        <f>_xlfn.IFNA(IF($AG179="","",IF(X179="Y","DONE",VLOOKUP(A179,'Ship Date'!A:AE,27,0))),"")</f>
        <v/>
      </c>
      <c r="AI179" s="12">
        <f t="shared" ca="1" si="71"/>
        <v>0</v>
      </c>
      <c r="AJ179" s="38" t="str">
        <f>_xlfn.IFNA(IF($AG179="","",IF(AB179="Y","DONE",VLOOKUP(A179,'Ship Date'!A:AG,29,0))),"")</f>
        <v/>
      </c>
      <c r="AK179" s="12">
        <f t="shared" ca="1" si="72"/>
        <v>0</v>
      </c>
      <c r="AL179" s="38" t="str">
        <f>_xlfn.IFNA(IF($AG179="","",IF(Z179="Y","DONE",VLOOKUP(A179,'Ship Date'!A:AI,28,0))),"")</f>
        <v/>
      </c>
      <c r="AM179" s="12">
        <f t="shared" ca="1" si="73"/>
        <v>0</v>
      </c>
      <c r="AN179" s="38" t="str">
        <f>_xlfn.IFNA(IF(T179="Y","DONE",VLOOKUP(A179,'Ship Date'!A:AE,25,0)),"")</f>
        <v/>
      </c>
      <c r="AO179" s="12">
        <f t="shared" si="74"/>
        <v>0</v>
      </c>
      <c r="AP179" s="38" t="str">
        <f>_xlfn.IFNA(IF(AD179="Y","DONE",VLOOKUP(A179,'Ship Date'!A:AE,30,0)),"")</f>
        <v/>
      </c>
      <c r="AQ179" s="12">
        <f t="shared" ca="1" si="75"/>
        <v>0</v>
      </c>
      <c r="AR179" s="38" t="str">
        <f>IFERROR(_xlfn.IFNA(VLOOKUP(A179,'Ship Date'!A:C,3,0),""),"")</f>
        <v/>
      </c>
      <c r="AS179" s="12" t="str">
        <f t="shared" ca="1" si="76"/>
        <v/>
      </c>
      <c r="AT179" s="38">
        <f>_xlfn.IFNA(IF(VLOOKUP(A179,'Actual Dates'!A:AF,32,0)="N/A"," ",VLOOKUP(A179,'Actual Dates'!A:AF,32,0))," ")</f>
        <v>0</v>
      </c>
      <c r="AU179" s="39"/>
      <c r="AV179" s="38" t="str">
        <f>_xlfn.IFNA(IF(VLOOKUP(A179,'Actual Dates'!A:AE,31,0)="","",VLOOKUP(A179,'Actual Dates'!A:AE,31,0)),"")</f>
        <v/>
      </c>
      <c r="AW179" s="40"/>
    </row>
    <row r="180" spans="1:49" ht="23.25" x14ac:dyDescent="0.25">
      <c r="A180" s="12">
        <f>'Actual Dates'!A179</f>
        <v>0</v>
      </c>
      <c r="B180" s="13" t="str">
        <f t="shared" si="68"/>
        <v/>
      </c>
      <c r="C180" s="35"/>
      <c r="D180" s="36" t="str">
        <f t="shared" si="77"/>
        <v/>
      </c>
      <c r="E180" s="37" t="str">
        <f t="shared" si="78"/>
        <v xml:space="preserve">  </v>
      </c>
      <c r="F180" s="36" t="str">
        <f t="shared" si="79"/>
        <v xml:space="preserve">  </v>
      </c>
      <c r="G180" s="37" t="str">
        <f t="shared" si="80"/>
        <v xml:space="preserve">  </v>
      </c>
      <c r="H180" s="36" t="str">
        <f t="shared" si="69"/>
        <v xml:space="preserve">  </v>
      </c>
      <c r="I180" s="37" t="str">
        <f t="shared" si="81"/>
        <v xml:space="preserve">  </v>
      </c>
      <c r="J180" s="35"/>
      <c r="K180" s="36" t="str">
        <f t="shared" si="82"/>
        <v>Y</v>
      </c>
      <c r="L180" s="37" t="str">
        <f t="shared" si="83"/>
        <v/>
      </c>
      <c r="M180" s="37" t="str">
        <f t="shared" si="70"/>
        <v xml:space="preserve">  </v>
      </c>
      <c r="N180" s="36" t="str">
        <f t="shared" si="84"/>
        <v xml:space="preserve">  </v>
      </c>
      <c r="O180" s="37" t="str">
        <f t="shared" si="85"/>
        <v/>
      </c>
      <c r="P180" s="36" t="str">
        <f t="shared" si="86"/>
        <v xml:space="preserve">  </v>
      </c>
      <c r="Q180" s="37" t="str">
        <f t="shared" si="87"/>
        <v xml:space="preserve">  </v>
      </c>
      <c r="R180" s="36" t="str">
        <f t="shared" si="88"/>
        <v xml:space="preserve">  </v>
      </c>
      <c r="S180" s="37" t="str">
        <f t="shared" si="89"/>
        <v xml:space="preserve">  </v>
      </c>
      <c r="T180" s="36" t="str">
        <f t="shared" si="90"/>
        <v xml:space="preserve">  </v>
      </c>
      <c r="U180" s="37" t="str">
        <f t="shared" si="91"/>
        <v xml:space="preserve">  </v>
      </c>
      <c r="V180" s="36" t="str">
        <f t="shared" si="92"/>
        <v xml:space="preserve">  </v>
      </c>
      <c r="W180" s="37" t="str">
        <f t="shared" si="93"/>
        <v xml:space="preserve">  </v>
      </c>
      <c r="X180" s="36" t="str">
        <f t="shared" si="94"/>
        <v xml:space="preserve">  </v>
      </c>
      <c r="Y180" s="37" t="str">
        <f t="shared" si="95"/>
        <v xml:space="preserve">  </v>
      </c>
      <c r="Z180" s="36" t="str">
        <f t="shared" si="96"/>
        <v xml:space="preserve">  </v>
      </c>
      <c r="AA180" s="37" t="str">
        <f t="shared" si="97"/>
        <v xml:space="preserve">  </v>
      </c>
      <c r="AB180" s="36" t="str">
        <f t="shared" si="98"/>
        <v xml:space="preserve">  </v>
      </c>
      <c r="AC180" s="37" t="str">
        <f t="shared" si="99"/>
        <v xml:space="preserve">  </v>
      </c>
      <c r="AD180" s="36" t="str">
        <f t="shared" si="100"/>
        <v xml:space="preserve">  </v>
      </c>
      <c r="AE180" s="37" t="str">
        <f t="shared" si="101"/>
        <v xml:space="preserve">  </v>
      </c>
      <c r="AF180" s="38" t="str">
        <f ca="1">_xlfn.IFNA(IF(AG180="",TODAY()+(VLOOKUP(A180,'Date Calcs'!A:G,7,0)*7),VLOOKUP(A180,'Actual Dates'!A:AE,21,FALSE())),"")</f>
        <v/>
      </c>
      <c r="AG180" s="38" t="str">
        <f>IF(VLOOKUP(A180,'Actual Dates'!A:AE,20,0)="","",VLOOKUP(A180,'Actual Dates'!A:AE,20,0))</f>
        <v/>
      </c>
      <c r="AH180" s="38" t="str">
        <f>_xlfn.IFNA(IF($AG180="","",IF(X180="Y","DONE",VLOOKUP(A180,'Ship Date'!A:AE,27,0))),"")</f>
        <v/>
      </c>
      <c r="AI180" s="12">
        <f t="shared" ca="1" si="71"/>
        <v>0</v>
      </c>
      <c r="AJ180" s="38" t="str">
        <f>_xlfn.IFNA(IF($AG180="","",IF(AB180="Y","DONE",VLOOKUP(A180,'Ship Date'!A:AG,29,0))),"")</f>
        <v/>
      </c>
      <c r="AK180" s="12">
        <f t="shared" ca="1" si="72"/>
        <v>0</v>
      </c>
      <c r="AL180" s="38" t="str">
        <f>_xlfn.IFNA(IF($AG180="","",IF(Z180="Y","DONE",VLOOKUP(A180,'Ship Date'!A:AI,28,0))),"")</f>
        <v/>
      </c>
      <c r="AM180" s="12">
        <f t="shared" ca="1" si="73"/>
        <v>0</v>
      </c>
      <c r="AN180" s="38" t="str">
        <f>_xlfn.IFNA(IF(T180="Y","DONE",VLOOKUP(A180,'Ship Date'!A:AE,25,0)),"")</f>
        <v/>
      </c>
      <c r="AO180" s="12">
        <f t="shared" si="74"/>
        <v>0</v>
      </c>
      <c r="AP180" s="38" t="str">
        <f>_xlfn.IFNA(IF(AD180="Y","DONE",VLOOKUP(A180,'Ship Date'!A:AE,30,0)),"")</f>
        <v/>
      </c>
      <c r="AQ180" s="12">
        <f t="shared" ca="1" si="75"/>
        <v>0</v>
      </c>
      <c r="AR180" s="38" t="str">
        <f>IFERROR(_xlfn.IFNA(VLOOKUP(A180,'Ship Date'!A:C,3,0),""),"")</f>
        <v/>
      </c>
      <c r="AS180" s="12" t="str">
        <f t="shared" ca="1" si="76"/>
        <v/>
      </c>
      <c r="AT180" s="38">
        <f>_xlfn.IFNA(IF(VLOOKUP(A180,'Actual Dates'!A:AF,32,0)="N/A"," ",VLOOKUP(A180,'Actual Dates'!A:AF,32,0))," ")</f>
        <v>0</v>
      </c>
      <c r="AU180" s="39"/>
      <c r="AV180" s="38" t="str">
        <f>_xlfn.IFNA(IF(VLOOKUP(A180,'Actual Dates'!A:AE,31,0)="","",VLOOKUP(A180,'Actual Dates'!A:AE,31,0)),"")</f>
        <v/>
      </c>
      <c r="AW180" s="40"/>
    </row>
    <row r="181" spans="1:49" ht="23.25" x14ac:dyDescent="0.25">
      <c r="A181" s="12">
        <f>'Actual Dates'!A180</f>
        <v>0</v>
      </c>
      <c r="B181" s="13" t="str">
        <f t="shared" si="68"/>
        <v/>
      </c>
      <c r="C181" s="35"/>
      <c r="D181" s="36" t="str">
        <f t="shared" si="77"/>
        <v/>
      </c>
      <c r="E181" s="37" t="str">
        <f t="shared" si="78"/>
        <v xml:space="preserve">  </v>
      </c>
      <c r="F181" s="36" t="str">
        <f t="shared" si="79"/>
        <v xml:space="preserve">  </v>
      </c>
      <c r="G181" s="37" t="str">
        <f t="shared" si="80"/>
        <v xml:space="preserve">  </v>
      </c>
      <c r="H181" s="36" t="str">
        <f t="shared" si="69"/>
        <v xml:space="preserve">  </v>
      </c>
      <c r="I181" s="37" t="str">
        <f t="shared" si="81"/>
        <v xml:space="preserve">  </v>
      </c>
      <c r="J181" s="35"/>
      <c r="K181" s="36" t="str">
        <f t="shared" si="82"/>
        <v>Y</v>
      </c>
      <c r="L181" s="37" t="str">
        <f t="shared" si="83"/>
        <v/>
      </c>
      <c r="M181" s="37" t="str">
        <f t="shared" si="70"/>
        <v xml:space="preserve">  </v>
      </c>
      <c r="N181" s="36" t="str">
        <f t="shared" si="84"/>
        <v xml:space="preserve">  </v>
      </c>
      <c r="O181" s="37" t="str">
        <f t="shared" si="85"/>
        <v/>
      </c>
      <c r="P181" s="36" t="str">
        <f t="shared" si="86"/>
        <v xml:space="preserve">  </v>
      </c>
      <c r="Q181" s="37" t="str">
        <f t="shared" si="87"/>
        <v xml:space="preserve">  </v>
      </c>
      <c r="R181" s="36" t="str">
        <f t="shared" si="88"/>
        <v xml:space="preserve">  </v>
      </c>
      <c r="S181" s="37" t="str">
        <f t="shared" si="89"/>
        <v xml:space="preserve">  </v>
      </c>
      <c r="T181" s="36" t="str">
        <f t="shared" si="90"/>
        <v xml:space="preserve">  </v>
      </c>
      <c r="U181" s="37" t="str">
        <f t="shared" si="91"/>
        <v xml:space="preserve">  </v>
      </c>
      <c r="V181" s="36" t="str">
        <f t="shared" si="92"/>
        <v xml:space="preserve">  </v>
      </c>
      <c r="W181" s="37" t="str">
        <f t="shared" si="93"/>
        <v xml:space="preserve">  </v>
      </c>
      <c r="X181" s="36" t="str">
        <f t="shared" si="94"/>
        <v xml:space="preserve">  </v>
      </c>
      <c r="Y181" s="37" t="str">
        <f t="shared" si="95"/>
        <v xml:space="preserve">  </v>
      </c>
      <c r="Z181" s="36" t="str">
        <f t="shared" si="96"/>
        <v xml:space="preserve">  </v>
      </c>
      <c r="AA181" s="37" t="str">
        <f t="shared" si="97"/>
        <v xml:space="preserve">  </v>
      </c>
      <c r="AB181" s="36" t="str">
        <f t="shared" si="98"/>
        <v xml:space="preserve">  </v>
      </c>
      <c r="AC181" s="37" t="str">
        <f t="shared" si="99"/>
        <v xml:space="preserve">  </v>
      </c>
      <c r="AD181" s="36" t="str">
        <f t="shared" si="100"/>
        <v xml:space="preserve">  </v>
      </c>
      <c r="AE181" s="37" t="str">
        <f t="shared" si="101"/>
        <v xml:space="preserve">  </v>
      </c>
      <c r="AF181" s="38" t="str">
        <f ca="1">_xlfn.IFNA(IF(AG181="",TODAY()+(VLOOKUP(A181,'Date Calcs'!A:G,7,0)*7),VLOOKUP(A181,'Actual Dates'!A:AE,21,FALSE())),"")</f>
        <v/>
      </c>
      <c r="AG181" s="38" t="str">
        <f>IF(VLOOKUP(A181,'Actual Dates'!A:AE,20,0)="","",VLOOKUP(A181,'Actual Dates'!A:AE,20,0))</f>
        <v/>
      </c>
      <c r="AH181" s="38" t="str">
        <f>_xlfn.IFNA(IF($AG181="","",IF(X181="Y","DONE",VLOOKUP(A181,'Ship Date'!A:AE,27,0))),"")</f>
        <v/>
      </c>
      <c r="AI181" s="12">
        <f t="shared" ca="1" si="71"/>
        <v>0</v>
      </c>
      <c r="AJ181" s="38" t="str">
        <f>_xlfn.IFNA(IF($AG181="","",IF(AB181="Y","DONE",VLOOKUP(A181,'Ship Date'!A:AG,29,0))),"")</f>
        <v/>
      </c>
      <c r="AK181" s="12">
        <f t="shared" ca="1" si="72"/>
        <v>0</v>
      </c>
      <c r="AL181" s="38" t="str">
        <f>_xlfn.IFNA(IF($AG181="","",IF(Z181="Y","DONE",VLOOKUP(A181,'Ship Date'!A:AI,28,0))),"")</f>
        <v/>
      </c>
      <c r="AM181" s="12">
        <f t="shared" ca="1" si="73"/>
        <v>0</v>
      </c>
      <c r="AN181" s="38" t="str">
        <f>_xlfn.IFNA(IF(T181="Y","DONE",VLOOKUP(A181,'Ship Date'!A:AE,25,0)),"")</f>
        <v/>
      </c>
      <c r="AO181" s="12">
        <f t="shared" si="74"/>
        <v>0</v>
      </c>
      <c r="AP181" s="38" t="str">
        <f>_xlfn.IFNA(IF(AD181="Y","DONE",VLOOKUP(A181,'Ship Date'!A:AE,30,0)),"")</f>
        <v/>
      </c>
      <c r="AQ181" s="12">
        <f t="shared" ca="1" si="75"/>
        <v>0</v>
      </c>
      <c r="AR181" s="38" t="str">
        <f>IFERROR(_xlfn.IFNA(VLOOKUP(A181,'Ship Date'!A:C,3,0),""),"")</f>
        <v/>
      </c>
      <c r="AS181" s="12" t="str">
        <f t="shared" ca="1" si="76"/>
        <v/>
      </c>
      <c r="AT181" s="38">
        <f>_xlfn.IFNA(IF(VLOOKUP(A181,'Actual Dates'!A:AF,32,0)="N/A"," ",VLOOKUP(A181,'Actual Dates'!A:AF,32,0))," ")</f>
        <v>0</v>
      </c>
      <c r="AU181" s="39"/>
      <c r="AV181" s="38" t="str">
        <f>_xlfn.IFNA(IF(VLOOKUP(A181,'Actual Dates'!A:AE,31,0)="","",VLOOKUP(A181,'Actual Dates'!A:AE,31,0)),"")</f>
        <v/>
      </c>
      <c r="AW181" s="40"/>
    </row>
    <row r="182" spans="1:49" ht="23.25" x14ac:dyDescent="0.25">
      <c r="A182" s="12">
        <f>'Actual Dates'!A181</f>
        <v>0</v>
      </c>
      <c r="B182" s="13" t="str">
        <f t="shared" si="68"/>
        <v/>
      </c>
      <c r="C182" s="35"/>
      <c r="D182" s="36" t="str">
        <f t="shared" si="77"/>
        <v/>
      </c>
      <c r="E182" s="37" t="str">
        <f t="shared" si="78"/>
        <v xml:space="preserve">  </v>
      </c>
      <c r="F182" s="36" t="str">
        <f t="shared" si="79"/>
        <v xml:space="preserve">  </v>
      </c>
      <c r="G182" s="37" t="str">
        <f t="shared" si="80"/>
        <v xml:space="preserve">  </v>
      </c>
      <c r="H182" s="36" t="str">
        <f t="shared" si="69"/>
        <v xml:space="preserve">  </v>
      </c>
      <c r="I182" s="37" t="str">
        <f t="shared" si="81"/>
        <v xml:space="preserve">  </v>
      </c>
      <c r="J182" s="35"/>
      <c r="K182" s="36" t="str">
        <f t="shared" si="82"/>
        <v>Y</v>
      </c>
      <c r="L182" s="37" t="str">
        <f t="shared" si="83"/>
        <v/>
      </c>
      <c r="M182" s="37" t="str">
        <f t="shared" si="70"/>
        <v xml:space="preserve">  </v>
      </c>
      <c r="N182" s="36" t="str">
        <f t="shared" si="84"/>
        <v xml:space="preserve">  </v>
      </c>
      <c r="O182" s="37" t="str">
        <f t="shared" si="85"/>
        <v/>
      </c>
      <c r="P182" s="36" t="str">
        <f t="shared" si="86"/>
        <v xml:space="preserve">  </v>
      </c>
      <c r="Q182" s="37" t="str">
        <f t="shared" si="87"/>
        <v xml:space="preserve">  </v>
      </c>
      <c r="R182" s="36" t="str">
        <f t="shared" si="88"/>
        <v xml:space="preserve">  </v>
      </c>
      <c r="S182" s="37" t="str">
        <f t="shared" si="89"/>
        <v xml:space="preserve">  </v>
      </c>
      <c r="T182" s="36" t="str">
        <f t="shared" si="90"/>
        <v xml:space="preserve">  </v>
      </c>
      <c r="U182" s="37" t="str">
        <f t="shared" si="91"/>
        <v xml:space="preserve">  </v>
      </c>
      <c r="V182" s="36" t="str">
        <f t="shared" si="92"/>
        <v xml:space="preserve">  </v>
      </c>
      <c r="W182" s="37" t="str">
        <f t="shared" si="93"/>
        <v xml:space="preserve">  </v>
      </c>
      <c r="X182" s="36" t="str">
        <f t="shared" si="94"/>
        <v xml:space="preserve">  </v>
      </c>
      <c r="Y182" s="37" t="str">
        <f t="shared" si="95"/>
        <v xml:space="preserve">  </v>
      </c>
      <c r="Z182" s="36" t="str">
        <f t="shared" si="96"/>
        <v xml:space="preserve">  </v>
      </c>
      <c r="AA182" s="37" t="str">
        <f t="shared" si="97"/>
        <v xml:space="preserve">  </v>
      </c>
      <c r="AB182" s="36" t="str">
        <f t="shared" si="98"/>
        <v xml:space="preserve">  </v>
      </c>
      <c r="AC182" s="37" t="str">
        <f t="shared" si="99"/>
        <v xml:space="preserve">  </v>
      </c>
      <c r="AD182" s="36" t="str">
        <f t="shared" si="100"/>
        <v xml:space="preserve">  </v>
      </c>
      <c r="AE182" s="37" t="str">
        <f t="shared" si="101"/>
        <v xml:space="preserve">  </v>
      </c>
      <c r="AF182" s="38" t="str">
        <f ca="1">_xlfn.IFNA(IF(AG182="",TODAY()+(VLOOKUP(A182,'Date Calcs'!A:G,7,0)*7),VLOOKUP(A182,'Actual Dates'!A:AE,21,FALSE())),"")</f>
        <v/>
      </c>
      <c r="AG182" s="38" t="str">
        <f>IF(VLOOKUP(A182,'Actual Dates'!A:AE,20,0)="","",VLOOKUP(A182,'Actual Dates'!A:AE,20,0))</f>
        <v/>
      </c>
      <c r="AH182" s="38" t="str">
        <f>_xlfn.IFNA(IF($AG182="","",IF(X182="Y","DONE",VLOOKUP(A182,'Ship Date'!A:AE,27,0))),"")</f>
        <v/>
      </c>
      <c r="AI182" s="12">
        <f t="shared" ca="1" si="71"/>
        <v>0</v>
      </c>
      <c r="AJ182" s="38" t="str">
        <f>_xlfn.IFNA(IF($AG182="","",IF(AB182="Y","DONE",VLOOKUP(A182,'Ship Date'!A:AG,29,0))),"")</f>
        <v/>
      </c>
      <c r="AK182" s="12">
        <f t="shared" ca="1" si="72"/>
        <v>0</v>
      </c>
      <c r="AL182" s="38" t="str">
        <f>_xlfn.IFNA(IF($AG182="","",IF(Z182="Y","DONE",VLOOKUP(A182,'Ship Date'!A:AI,28,0))),"")</f>
        <v/>
      </c>
      <c r="AM182" s="12">
        <f t="shared" ca="1" si="73"/>
        <v>0</v>
      </c>
      <c r="AN182" s="38" t="str">
        <f>_xlfn.IFNA(IF(T182="Y","DONE",VLOOKUP(A182,'Ship Date'!A:AE,25,0)),"")</f>
        <v/>
      </c>
      <c r="AO182" s="12">
        <f t="shared" si="74"/>
        <v>0</v>
      </c>
      <c r="AP182" s="38" t="str">
        <f>_xlfn.IFNA(IF(AD182="Y","DONE",VLOOKUP(A182,'Ship Date'!A:AE,30,0)),"")</f>
        <v/>
      </c>
      <c r="AQ182" s="12">
        <f t="shared" ca="1" si="75"/>
        <v>0</v>
      </c>
      <c r="AR182" s="38" t="str">
        <f>IFERROR(_xlfn.IFNA(VLOOKUP(A182,'Ship Date'!A:C,3,0),""),"")</f>
        <v/>
      </c>
      <c r="AS182" s="12" t="str">
        <f t="shared" ca="1" si="76"/>
        <v/>
      </c>
      <c r="AT182" s="38">
        <f>_xlfn.IFNA(IF(VLOOKUP(A182,'Actual Dates'!A:AF,32,0)="N/A"," ",VLOOKUP(A182,'Actual Dates'!A:AF,32,0))," ")</f>
        <v>0</v>
      </c>
      <c r="AU182" s="39"/>
      <c r="AV182" s="38" t="str">
        <f>_xlfn.IFNA(IF(VLOOKUP(A182,'Actual Dates'!A:AE,31,0)="","",VLOOKUP(A182,'Actual Dates'!A:AE,31,0)),"")</f>
        <v/>
      </c>
      <c r="AW182" s="40"/>
    </row>
    <row r="183" spans="1:49" ht="23.25" x14ac:dyDescent="0.25">
      <c r="A183" s="12">
        <f>'Actual Dates'!A182</f>
        <v>0</v>
      </c>
      <c r="B183" s="13" t="str">
        <f t="shared" si="68"/>
        <v/>
      </c>
      <c r="C183" s="35"/>
      <c r="D183" s="36" t="str">
        <f t="shared" si="77"/>
        <v/>
      </c>
      <c r="E183" s="37" t="str">
        <f t="shared" si="78"/>
        <v xml:space="preserve">  </v>
      </c>
      <c r="F183" s="36" t="str">
        <f t="shared" si="79"/>
        <v xml:space="preserve">  </v>
      </c>
      <c r="G183" s="37" t="str">
        <f t="shared" si="80"/>
        <v xml:space="preserve">  </v>
      </c>
      <c r="H183" s="36" t="str">
        <f t="shared" si="69"/>
        <v xml:space="preserve">  </v>
      </c>
      <c r="I183" s="37" t="str">
        <f t="shared" si="81"/>
        <v xml:space="preserve">  </v>
      </c>
      <c r="J183" s="35"/>
      <c r="K183" s="36" t="str">
        <f t="shared" si="82"/>
        <v>Y</v>
      </c>
      <c r="L183" s="37" t="str">
        <f t="shared" si="83"/>
        <v/>
      </c>
      <c r="M183" s="37" t="str">
        <f t="shared" si="70"/>
        <v xml:space="preserve">  </v>
      </c>
      <c r="N183" s="36" t="str">
        <f t="shared" si="84"/>
        <v xml:space="preserve">  </v>
      </c>
      <c r="O183" s="37" t="str">
        <f t="shared" si="85"/>
        <v/>
      </c>
      <c r="P183" s="36" t="str">
        <f t="shared" si="86"/>
        <v xml:space="preserve">  </v>
      </c>
      <c r="Q183" s="37" t="str">
        <f t="shared" si="87"/>
        <v xml:space="preserve">  </v>
      </c>
      <c r="R183" s="36" t="str">
        <f t="shared" si="88"/>
        <v xml:space="preserve">  </v>
      </c>
      <c r="S183" s="37" t="str">
        <f t="shared" si="89"/>
        <v xml:space="preserve">  </v>
      </c>
      <c r="T183" s="36" t="str">
        <f t="shared" si="90"/>
        <v xml:space="preserve">  </v>
      </c>
      <c r="U183" s="37" t="str">
        <f t="shared" si="91"/>
        <v xml:space="preserve">  </v>
      </c>
      <c r="V183" s="36" t="str">
        <f t="shared" si="92"/>
        <v xml:space="preserve">  </v>
      </c>
      <c r="W183" s="37" t="str">
        <f t="shared" si="93"/>
        <v xml:space="preserve">  </v>
      </c>
      <c r="X183" s="36" t="str">
        <f t="shared" si="94"/>
        <v xml:space="preserve">  </v>
      </c>
      <c r="Y183" s="37" t="str">
        <f t="shared" si="95"/>
        <v xml:space="preserve">  </v>
      </c>
      <c r="Z183" s="36" t="str">
        <f t="shared" si="96"/>
        <v xml:space="preserve">  </v>
      </c>
      <c r="AA183" s="37" t="str">
        <f t="shared" si="97"/>
        <v xml:space="preserve">  </v>
      </c>
      <c r="AB183" s="36" t="str">
        <f t="shared" si="98"/>
        <v xml:space="preserve">  </v>
      </c>
      <c r="AC183" s="37" t="str">
        <f t="shared" si="99"/>
        <v xml:space="preserve">  </v>
      </c>
      <c r="AD183" s="36" t="str">
        <f t="shared" si="100"/>
        <v xml:space="preserve">  </v>
      </c>
      <c r="AE183" s="37" t="str">
        <f t="shared" si="101"/>
        <v xml:space="preserve">  </v>
      </c>
      <c r="AF183" s="38" t="str">
        <f ca="1">_xlfn.IFNA(IF(AG183="",TODAY()+(VLOOKUP(A183,'Date Calcs'!A:G,7,0)*7),VLOOKUP(A183,'Actual Dates'!A:AE,21,FALSE())),"")</f>
        <v/>
      </c>
      <c r="AG183" s="38" t="str">
        <f>IF(VLOOKUP(A183,'Actual Dates'!A:AE,20,0)="","",VLOOKUP(A183,'Actual Dates'!A:AE,20,0))</f>
        <v/>
      </c>
      <c r="AH183" s="38" t="str">
        <f>_xlfn.IFNA(IF($AG183="","",IF(X183="Y","DONE",VLOOKUP(A183,'Ship Date'!A:AE,27,0))),"")</f>
        <v/>
      </c>
      <c r="AI183" s="12">
        <f t="shared" ca="1" si="71"/>
        <v>0</v>
      </c>
      <c r="AJ183" s="38" t="str">
        <f>_xlfn.IFNA(IF($AG183="","",IF(AB183="Y","DONE",VLOOKUP(A183,'Ship Date'!A:AG,29,0))),"")</f>
        <v/>
      </c>
      <c r="AK183" s="12">
        <f t="shared" ca="1" si="72"/>
        <v>0</v>
      </c>
      <c r="AL183" s="38" t="str">
        <f>_xlfn.IFNA(IF($AG183="","",IF(Z183="Y","DONE",VLOOKUP(A183,'Ship Date'!A:AI,28,0))),"")</f>
        <v/>
      </c>
      <c r="AM183" s="12">
        <f t="shared" ca="1" si="73"/>
        <v>0</v>
      </c>
      <c r="AN183" s="38" t="str">
        <f>_xlfn.IFNA(IF(T183="Y","DONE",VLOOKUP(A183,'Ship Date'!A:AE,25,0)),"")</f>
        <v/>
      </c>
      <c r="AO183" s="12">
        <f t="shared" si="74"/>
        <v>0</v>
      </c>
      <c r="AP183" s="38" t="str">
        <f>_xlfn.IFNA(IF(AD183="Y","DONE",VLOOKUP(A183,'Ship Date'!A:AE,30,0)),"")</f>
        <v/>
      </c>
      <c r="AQ183" s="12">
        <f t="shared" ca="1" si="75"/>
        <v>0</v>
      </c>
      <c r="AR183" s="38" t="str">
        <f>IFERROR(_xlfn.IFNA(VLOOKUP(A183,'Ship Date'!A:C,3,0),""),"")</f>
        <v/>
      </c>
      <c r="AS183" s="12" t="str">
        <f t="shared" ca="1" si="76"/>
        <v/>
      </c>
      <c r="AT183" s="38">
        <f>_xlfn.IFNA(IF(VLOOKUP(A183,'Actual Dates'!A:AF,32,0)="N/A"," ",VLOOKUP(A183,'Actual Dates'!A:AF,32,0))," ")</f>
        <v>0</v>
      </c>
      <c r="AU183" s="39"/>
      <c r="AV183" s="38" t="str">
        <f>_xlfn.IFNA(IF(VLOOKUP(A183,'Actual Dates'!A:AE,31,0)="","",VLOOKUP(A183,'Actual Dates'!A:AE,31,0)),"")</f>
        <v/>
      </c>
      <c r="AW183" s="40"/>
    </row>
    <row r="184" spans="1:49" ht="23.25" x14ac:dyDescent="0.25">
      <c r="A184" s="12">
        <f>'Actual Dates'!A183</f>
        <v>0</v>
      </c>
      <c r="B184" s="13" t="str">
        <f t="shared" si="68"/>
        <v/>
      </c>
      <c r="C184" s="35"/>
      <c r="D184" s="36" t="str">
        <f t="shared" si="77"/>
        <v/>
      </c>
      <c r="E184" s="37" t="str">
        <f t="shared" si="78"/>
        <v xml:space="preserve">  </v>
      </c>
      <c r="F184" s="36" t="str">
        <f t="shared" si="79"/>
        <v xml:space="preserve">  </v>
      </c>
      <c r="G184" s="37" t="str">
        <f t="shared" si="80"/>
        <v xml:space="preserve">  </v>
      </c>
      <c r="H184" s="36" t="str">
        <f t="shared" si="69"/>
        <v xml:space="preserve">  </v>
      </c>
      <c r="I184" s="37" t="str">
        <f t="shared" si="81"/>
        <v xml:space="preserve">  </v>
      </c>
      <c r="J184" s="35"/>
      <c r="K184" s="36" t="str">
        <f t="shared" si="82"/>
        <v>Y</v>
      </c>
      <c r="L184" s="37" t="str">
        <f t="shared" si="83"/>
        <v/>
      </c>
      <c r="M184" s="37" t="str">
        <f t="shared" si="70"/>
        <v xml:space="preserve">  </v>
      </c>
      <c r="N184" s="36" t="str">
        <f t="shared" si="84"/>
        <v xml:space="preserve">  </v>
      </c>
      <c r="O184" s="37" t="str">
        <f t="shared" si="85"/>
        <v/>
      </c>
      <c r="P184" s="36" t="str">
        <f t="shared" si="86"/>
        <v xml:space="preserve">  </v>
      </c>
      <c r="Q184" s="37" t="str">
        <f t="shared" si="87"/>
        <v xml:space="preserve">  </v>
      </c>
      <c r="R184" s="36" t="str">
        <f t="shared" si="88"/>
        <v xml:space="preserve">  </v>
      </c>
      <c r="S184" s="37" t="str">
        <f t="shared" si="89"/>
        <v xml:space="preserve">  </v>
      </c>
      <c r="T184" s="36" t="str">
        <f t="shared" si="90"/>
        <v xml:space="preserve">  </v>
      </c>
      <c r="U184" s="37" t="str">
        <f t="shared" si="91"/>
        <v xml:space="preserve">  </v>
      </c>
      <c r="V184" s="36" t="str">
        <f t="shared" si="92"/>
        <v xml:space="preserve">  </v>
      </c>
      <c r="W184" s="37" t="str">
        <f t="shared" si="93"/>
        <v xml:space="preserve">  </v>
      </c>
      <c r="X184" s="36" t="str">
        <f t="shared" si="94"/>
        <v xml:space="preserve">  </v>
      </c>
      <c r="Y184" s="37" t="str">
        <f t="shared" si="95"/>
        <v xml:space="preserve">  </v>
      </c>
      <c r="Z184" s="36" t="str">
        <f t="shared" si="96"/>
        <v xml:space="preserve">  </v>
      </c>
      <c r="AA184" s="37" t="str">
        <f t="shared" si="97"/>
        <v xml:space="preserve">  </v>
      </c>
      <c r="AB184" s="36" t="str">
        <f t="shared" si="98"/>
        <v xml:space="preserve">  </v>
      </c>
      <c r="AC184" s="37" t="str">
        <f t="shared" si="99"/>
        <v xml:space="preserve">  </v>
      </c>
      <c r="AD184" s="36" t="str">
        <f t="shared" si="100"/>
        <v xml:space="preserve">  </v>
      </c>
      <c r="AE184" s="37" t="str">
        <f t="shared" si="101"/>
        <v xml:space="preserve">  </v>
      </c>
      <c r="AF184" s="38" t="str">
        <f ca="1">_xlfn.IFNA(IF(AG184="",TODAY()+(VLOOKUP(A184,'Date Calcs'!A:G,7,0)*7),VLOOKUP(A184,'Actual Dates'!A:AE,21,FALSE())),"")</f>
        <v/>
      </c>
      <c r="AG184" s="38" t="str">
        <f>IF(VLOOKUP(A184,'Actual Dates'!A:AE,20,0)="","",VLOOKUP(A184,'Actual Dates'!A:AE,20,0))</f>
        <v/>
      </c>
      <c r="AH184" s="38" t="str">
        <f>_xlfn.IFNA(IF($AG184="","",IF(X184="Y","DONE",VLOOKUP(A184,'Ship Date'!A:AE,27,0))),"")</f>
        <v/>
      </c>
      <c r="AI184" s="12">
        <f t="shared" ca="1" si="71"/>
        <v>0</v>
      </c>
      <c r="AJ184" s="38" t="str">
        <f>_xlfn.IFNA(IF($AG184="","",IF(AB184="Y","DONE",VLOOKUP(A184,'Ship Date'!A:AG,29,0))),"")</f>
        <v/>
      </c>
      <c r="AK184" s="12">
        <f t="shared" ca="1" si="72"/>
        <v>0</v>
      </c>
      <c r="AL184" s="38" t="str">
        <f>_xlfn.IFNA(IF($AG184="","",IF(Z184="Y","DONE",VLOOKUP(A184,'Ship Date'!A:AI,28,0))),"")</f>
        <v/>
      </c>
      <c r="AM184" s="12">
        <f t="shared" ca="1" si="73"/>
        <v>0</v>
      </c>
      <c r="AN184" s="38" t="str">
        <f>_xlfn.IFNA(IF(T184="Y","DONE",VLOOKUP(A184,'Ship Date'!A:AE,25,0)),"")</f>
        <v/>
      </c>
      <c r="AO184" s="12">
        <f t="shared" si="74"/>
        <v>0</v>
      </c>
      <c r="AP184" s="38" t="str">
        <f>_xlfn.IFNA(IF(AD184="Y","DONE",VLOOKUP(A184,'Ship Date'!A:AE,30,0)),"")</f>
        <v/>
      </c>
      <c r="AQ184" s="12">
        <f t="shared" ca="1" si="75"/>
        <v>0</v>
      </c>
      <c r="AR184" s="38" t="str">
        <f>IFERROR(_xlfn.IFNA(VLOOKUP(A184,'Ship Date'!A:C,3,0),""),"")</f>
        <v/>
      </c>
      <c r="AS184" s="12" t="str">
        <f t="shared" ca="1" si="76"/>
        <v/>
      </c>
      <c r="AT184" s="38">
        <f>_xlfn.IFNA(IF(VLOOKUP(A184,'Actual Dates'!A:AF,32,0)="N/A"," ",VLOOKUP(A184,'Actual Dates'!A:AF,32,0))," ")</f>
        <v>0</v>
      </c>
      <c r="AU184" s="39"/>
      <c r="AV184" s="38" t="str">
        <f>_xlfn.IFNA(IF(VLOOKUP(A184,'Actual Dates'!A:AE,31,0)="","",VLOOKUP(A184,'Actual Dates'!A:AE,31,0)),"")</f>
        <v/>
      </c>
      <c r="AW184" s="40"/>
    </row>
    <row r="185" spans="1:49" ht="23.25" x14ac:dyDescent="0.25">
      <c r="A185" s="12">
        <f>'Actual Dates'!A184</f>
        <v>0</v>
      </c>
      <c r="B185" s="13" t="str">
        <f t="shared" si="68"/>
        <v/>
      </c>
      <c r="C185" s="35"/>
      <c r="D185" s="36" t="str">
        <f t="shared" si="77"/>
        <v/>
      </c>
      <c r="E185" s="37" t="str">
        <f t="shared" si="78"/>
        <v xml:space="preserve">  </v>
      </c>
      <c r="F185" s="36" t="str">
        <f t="shared" si="79"/>
        <v xml:space="preserve">  </v>
      </c>
      <c r="G185" s="37" t="str">
        <f t="shared" si="80"/>
        <v xml:space="preserve">  </v>
      </c>
      <c r="H185" s="36" t="str">
        <f t="shared" si="69"/>
        <v xml:space="preserve">  </v>
      </c>
      <c r="I185" s="37" t="str">
        <f t="shared" si="81"/>
        <v xml:space="preserve">  </v>
      </c>
      <c r="J185" s="35"/>
      <c r="K185" s="36" t="str">
        <f t="shared" si="82"/>
        <v>Y</v>
      </c>
      <c r="L185" s="37" t="str">
        <f t="shared" si="83"/>
        <v/>
      </c>
      <c r="M185" s="37" t="str">
        <f t="shared" si="70"/>
        <v xml:space="preserve">  </v>
      </c>
      <c r="N185" s="36" t="str">
        <f t="shared" si="84"/>
        <v xml:space="preserve">  </v>
      </c>
      <c r="O185" s="37" t="str">
        <f t="shared" si="85"/>
        <v/>
      </c>
      <c r="P185" s="36" t="str">
        <f t="shared" si="86"/>
        <v xml:space="preserve">  </v>
      </c>
      <c r="Q185" s="37" t="str">
        <f t="shared" si="87"/>
        <v xml:space="preserve">  </v>
      </c>
      <c r="R185" s="36" t="str">
        <f t="shared" si="88"/>
        <v xml:space="preserve">  </v>
      </c>
      <c r="S185" s="37" t="str">
        <f t="shared" si="89"/>
        <v xml:space="preserve">  </v>
      </c>
      <c r="T185" s="36" t="str">
        <f t="shared" si="90"/>
        <v xml:space="preserve">  </v>
      </c>
      <c r="U185" s="37" t="str">
        <f t="shared" si="91"/>
        <v xml:space="preserve">  </v>
      </c>
      <c r="V185" s="36" t="str">
        <f t="shared" si="92"/>
        <v xml:space="preserve">  </v>
      </c>
      <c r="W185" s="37" t="str">
        <f t="shared" si="93"/>
        <v xml:space="preserve">  </v>
      </c>
      <c r="X185" s="36" t="str">
        <f t="shared" si="94"/>
        <v xml:space="preserve">  </v>
      </c>
      <c r="Y185" s="37" t="str">
        <f t="shared" si="95"/>
        <v xml:space="preserve">  </v>
      </c>
      <c r="Z185" s="36" t="str">
        <f t="shared" si="96"/>
        <v xml:space="preserve">  </v>
      </c>
      <c r="AA185" s="37" t="str">
        <f t="shared" si="97"/>
        <v xml:space="preserve">  </v>
      </c>
      <c r="AB185" s="36" t="str">
        <f t="shared" si="98"/>
        <v xml:space="preserve">  </v>
      </c>
      <c r="AC185" s="37" t="str">
        <f t="shared" si="99"/>
        <v xml:space="preserve">  </v>
      </c>
      <c r="AD185" s="36" t="str">
        <f t="shared" si="100"/>
        <v xml:space="preserve">  </v>
      </c>
      <c r="AE185" s="37" t="str">
        <f t="shared" si="101"/>
        <v xml:space="preserve">  </v>
      </c>
      <c r="AF185" s="38" t="str">
        <f ca="1">_xlfn.IFNA(IF(AG185="",TODAY()+(VLOOKUP(A185,'Date Calcs'!A:G,7,0)*7),VLOOKUP(A185,'Actual Dates'!A:AE,21,FALSE())),"")</f>
        <v/>
      </c>
      <c r="AG185" s="38" t="str">
        <f>IF(VLOOKUP(A185,'Actual Dates'!A:AE,20,0)="","",VLOOKUP(A185,'Actual Dates'!A:AE,20,0))</f>
        <v/>
      </c>
      <c r="AH185" s="38" t="str">
        <f>_xlfn.IFNA(IF($AG185="","",IF(X185="Y","DONE",VLOOKUP(A185,'Ship Date'!A:AE,27,0))),"")</f>
        <v/>
      </c>
      <c r="AI185" s="12">
        <f t="shared" ca="1" si="71"/>
        <v>0</v>
      </c>
      <c r="AJ185" s="38" t="str">
        <f>_xlfn.IFNA(IF($AG185="","",IF(AB185="Y","DONE",VLOOKUP(A185,'Ship Date'!A:AG,29,0))),"")</f>
        <v/>
      </c>
      <c r="AK185" s="12">
        <f t="shared" ca="1" si="72"/>
        <v>0</v>
      </c>
      <c r="AL185" s="38" t="str">
        <f>_xlfn.IFNA(IF($AG185="","",IF(Z185="Y","DONE",VLOOKUP(A185,'Ship Date'!A:AI,28,0))),"")</f>
        <v/>
      </c>
      <c r="AM185" s="12">
        <f t="shared" ca="1" si="73"/>
        <v>0</v>
      </c>
      <c r="AN185" s="38" t="str">
        <f>_xlfn.IFNA(IF(T185="Y","DONE",VLOOKUP(A185,'Ship Date'!A:AE,25,0)),"")</f>
        <v/>
      </c>
      <c r="AO185" s="12">
        <f t="shared" si="74"/>
        <v>0</v>
      </c>
      <c r="AP185" s="38" t="str">
        <f>_xlfn.IFNA(IF(AD185="Y","DONE",VLOOKUP(A185,'Ship Date'!A:AE,30,0)),"")</f>
        <v/>
      </c>
      <c r="AQ185" s="12">
        <f t="shared" ca="1" si="75"/>
        <v>0</v>
      </c>
      <c r="AR185" s="38" t="str">
        <f>IFERROR(_xlfn.IFNA(VLOOKUP(A185,'Ship Date'!A:C,3,0),""),"")</f>
        <v/>
      </c>
      <c r="AS185" s="12" t="str">
        <f t="shared" ca="1" si="76"/>
        <v/>
      </c>
      <c r="AT185" s="38">
        <f>_xlfn.IFNA(IF(VLOOKUP(A185,'Actual Dates'!A:AF,32,0)="N/A"," ",VLOOKUP(A185,'Actual Dates'!A:AF,32,0))," ")</f>
        <v>0</v>
      </c>
      <c r="AU185" s="39"/>
      <c r="AV185" s="38" t="str">
        <f>_xlfn.IFNA(IF(VLOOKUP(A185,'Actual Dates'!A:AE,31,0)="","",VLOOKUP(A185,'Actual Dates'!A:AE,31,0)),"")</f>
        <v/>
      </c>
      <c r="AW185" s="40"/>
    </row>
    <row r="186" spans="1:49" ht="23.25" x14ac:dyDescent="0.25">
      <c r="A186" s="12">
        <f>'Actual Dates'!A185</f>
        <v>0</v>
      </c>
      <c r="B186" s="13" t="str">
        <f t="shared" si="68"/>
        <v/>
      </c>
      <c r="C186" s="35"/>
      <c r="D186" s="36" t="str">
        <f t="shared" si="77"/>
        <v/>
      </c>
      <c r="E186" s="37" t="str">
        <f t="shared" si="78"/>
        <v xml:space="preserve">  </v>
      </c>
      <c r="F186" s="36" t="str">
        <f t="shared" si="79"/>
        <v xml:space="preserve">  </v>
      </c>
      <c r="G186" s="37" t="str">
        <f t="shared" si="80"/>
        <v xml:space="preserve">  </v>
      </c>
      <c r="H186" s="36" t="str">
        <f t="shared" si="69"/>
        <v xml:space="preserve">  </v>
      </c>
      <c r="I186" s="37" t="str">
        <f t="shared" si="81"/>
        <v xml:space="preserve">  </v>
      </c>
      <c r="J186" s="35"/>
      <c r="K186" s="36" t="str">
        <f t="shared" si="82"/>
        <v>Y</v>
      </c>
      <c r="L186" s="37" t="str">
        <f t="shared" si="83"/>
        <v/>
      </c>
      <c r="M186" s="37" t="str">
        <f t="shared" si="70"/>
        <v xml:space="preserve">  </v>
      </c>
      <c r="N186" s="36" t="str">
        <f t="shared" si="84"/>
        <v xml:space="preserve">  </v>
      </c>
      <c r="O186" s="37" t="str">
        <f t="shared" si="85"/>
        <v/>
      </c>
      <c r="P186" s="36" t="str">
        <f t="shared" si="86"/>
        <v xml:space="preserve">  </v>
      </c>
      <c r="Q186" s="37" t="str">
        <f t="shared" si="87"/>
        <v xml:space="preserve">  </v>
      </c>
      <c r="R186" s="36" t="str">
        <f t="shared" si="88"/>
        <v xml:space="preserve">  </v>
      </c>
      <c r="S186" s="37" t="str">
        <f t="shared" si="89"/>
        <v xml:space="preserve">  </v>
      </c>
      <c r="T186" s="36" t="str">
        <f t="shared" si="90"/>
        <v xml:space="preserve">  </v>
      </c>
      <c r="U186" s="37" t="str">
        <f t="shared" si="91"/>
        <v xml:space="preserve">  </v>
      </c>
      <c r="V186" s="36" t="str">
        <f t="shared" si="92"/>
        <v xml:space="preserve">  </v>
      </c>
      <c r="W186" s="37" t="str">
        <f t="shared" si="93"/>
        <v xml:space="preserve">  </v>
      </c>
      <c r="X186" s="36" t="str">
        <f t="shared" si="94"/>
        <v xml:space="preserve">  </v>
      </c>
      <c r="Y186" s="37" t="str">
        <f t="shared" si="95"/>
        <v xml:space="preserve">  </v>
      </c>
      <c r="Z186" s="36" t="str">
        <f t="shared" si="96"/>
        <v xml:space="preserve">  </v>
      </c>
      <c r="AA186" s="37" t="str">
        <f t="shared" si="97"/>
        <v xml:space="preserve">  </v>
      </c>
      <c r="AB186" s="36" t="str">
        <f t="shared" si="98"/>
        <v xml:space="preserve">  </v>
      </c>
      <c r="AC186" s="37" t="str">
        <f t="shared" si="99"/>
        <v xml:space="preserve">  </v>
      </c>
      <c r="AD186" s="36" t="str">
        <f t="shared" si="100"/>
        <v xml:space="preserve">  </v>
      </c>
      <c r="AE186" s="37" t="str">
        <f t="shared" si="101"/>
        <v xml:space="preserve">  </v>
      </c>
      <c r="AF186" s="38" t="str">
        <f ca="1">_xlfn.IFNA(IF(AG186="",TODAY()+(VLOOKUP(A186,'Date Calcs'!A:G,7,0)*7),VLOOKUP(A186,'Actual Dates'!A:AE,21,FALSE())),"")</f>
        <v/>
      </c>
      <c r="AG186" s="38" t="str">
        <f>IF(VLOOKUP(A186,'Actual Dates'!A:AE,20,0)="","",VLOOKUP(A186,'Actual Dates'!A:AE,20,0))</f>
        <v/>
      </c>
      <c r="AH186" s="38" t="str">
        <f>_xlfn.IFNA(IF($AG186="","",IF(X186="Y","DONE",VLOOKUP(A186,'Ship Date'!A:AE,27,0))),"")</f>
        <v/>
      </c>
      <c r="AI186" s="12">
        <f t="shared" ca="1" si="71"/>
        <v>0</v>
      </c>
      <c r="AJ186" s="38" t="str">
        <f>_xlfn.IFNA(IF($AG186="","",IF(AB186="Y","DONE",VLOOKUP(A186,'Ship Date'!A:AG,29,0))),"")</f>
        <v/>
      </c>
      <c r="AK186" s="12">
        <f t="shared" ca="1" si="72"/>
        <v>0</v>
      </c>
      <c r="AL186" s="38" t="str">
        <f>_xlfn.IFNA(IF($AG186="","",IF(Z186="Y","DONE",VLOOKUP(A186,'Ship Date'!A:AI,28,0))),"")</f>
        <v/>
      </c>
      <c r="AM186" s="12">
        <f t="shared" ca="1" si="73"/>
        <v>0</v>
      </c>
      <c r="AN186" s="38" t="str">
        <f>_xlfn.IFNA(IF(T186="Y","DONE",VLOOKUP(A186,'Ship Date'!A:AE,25,0)),"")</f>
        <v/>
      </c>
      <c r="AO186" s="12">
        <f t="shared" si="74"/>
        <v>0</v>
      </c>
      <c r="AP186" s="38" t="str">
        <f>_xlfn.IFNA(IF(AD186="Y","DONE",VLOOKUP(A186,'Ship Date'!A:AE,30,0)),"")</f>
        <v/>
      </c>
      <c r="AQ186" s="12">
        <f t="shared" ca="1" si="75"/>
        <v>0</v>
      </c>
      <c r="AR186" s="38" t="str">
        <f>IFERROR(_xlfn.IFNA(VLOOKUP(A186,'Ship Date'!A:C,3,0),""),"")</f>
        <v/>
      </c>
      <c r="AS186" s="12" t="str">
        <f t="shared" ca="1" si="76"/>
        <v/>
      </c>
      <c r="AT186" s="38">
        <f>_xlfn.IFNA(IF(VLOOKUP(A186,'Actual Dates'!A:AF,32,0)="N/A"," ",VLOOKUP(A186,'Actual Dates'!A:AF,32,0))," ")</f>
        <v>0</v>
      </c>
      <c r="AU186" s="39"/>
      <c r="AV186" s="38" t="str">
        <f>_xlfn.IFNA(IF(VLOOKUP(A186,'Actual Dates'!A:AE,31,0)="","",VLOOKUP(A186,'Actual Dates'!A:AE,31,0)),"")</f>
        <v/>
      </c>
      <c r="AW186" s="40"/>
    </row>
    <row r="187" spans="1:49" ht="23.25" x14ac:dyDescent="0.25">
      <c r="A187" s="12">
        <f>'Actual Dates'!A186</f>
        <v>0</v>
      </c>
      <c r="B187" s="13" t="str">
        <f t="shared" si="68"/>
        <v/>
      </c>
      <c r="C187" s="35"/>
      <c r="D187" s="36" t="str">
        <f t="shared" si="77"/>
        <v/>
      </c>
      <c r="E187" s="37" t="str">
        <f t="shared" si="78"/>
        <v xml:space="preserve">  </v>
      </c>
      <c r="F187" s="36" t="str">
        <f t="shared" si="79"/>
        <v xml:space="preserve">  </v>
      </c>
      <c r="G187" s="37" t="str">
        <f t="shared" si="80"/>
        <v xml:space="preserve">  </v>
      </c>
      <c r="H187" s="36" t="str">
        <f t="shared" si="69"/>
        <v xml:space="preserve">  </v>
      </c>
      <c r="I187" s="37" t="str">
        <f t="shared" si="81"/>
        <v xml:space="preserve">  </v>
      </c>
      <c r="J187" s="35"/>
      <c r="K187" s="36" t="str">
        <f t="shared" si="82"/>
        <v>Y</v>
      </c>
      <c r="L187" s="37" t="str">
        <f t="shared" si="83"/>
        <v/>
      </c>
      <c r="M187" s="37" t="str">
        <f t="shared" si="70"/>
        <v xml:space="preserve">  </v>
      </c>
      <c r="N187" s="36" t="str">
        <f t="shared" si="84"/>
        <v xml:space="preserve">  </v>
      </c>
      <c r="O187" s="37" t="str">
        <f t="shared" si="85"/>
        <v/>
      </c>
      <c r="P187" s="36" t="str">
        <f t="shared" si="86"/>
        <v xml:space="preserve">  </v>
      </c>
      <c r="Q187" s="37" t="str">
        <f t="shared" si="87"/>
        <v xml:space="preserve">  </v>
      </c>
      <c r="R187" s="36" t="str">
        <f t="shared" si="88"/>
        <v xml:space="preserve">  </v>
      </c>
      <c r="S187" s="37" t="str">
        <f t="shared" si="89"/>
        <v xml:space="preserve">  </v>
      </c>
      <c r="T187" s="36" t="str">
        <f t="shared" si="90"/>
        <v xml:space="preserve">  </v>
      </c>
      <c r="U187" s="37" t="str">
        <f t="shared" si="91"/>
        <v xml:space="preserve">  </v>
      </c>
      <c r="V187" s="36" t="str">
        <f t="shared" si="92"/>
        <v xml:space="preserve">  </v>
      </c>
      <c r="W187" s="37" t="str">
        <f t="shared" si="93"/>
        <v xml:space="preserve">  </v>
      </c>
      <c r="X187" s="36" t="str">
        <f t="shared" si="94"/>
        <v xml:space="preserve">  </v>
      </c>
      <c r="Y187" s="37" t="str">
        <f t="shared" si="95"/>
        <v xml:space="preserve">  </v>
      </c>
      <c r="Z187" s="36" t="str">
        <f t="shared" si="96"/>
        <v xml:space="preserve">  </v>
      </c>
      <c r="AA187" s="37" t="str">
        <f t="shared" si="97"/>
        <v xml:space="preserve">  </v>
      </c>
      <c r="AB187" s="36" t="str">
        <f t="shared" si="98"/>
        <v xml:space="preserve">  </v>
      </c>
      <c r="AC187" s="37" t="str">
        <f t="shared" si="99"/>
        <v xml:space="preserve">  </v>
      </c>
      <c r="AD187" s="36" t="str">
        <f t="shared" si="100"/>
        <v xml:space="preserve">  </v>
      </c>
      <c r="AE187" s="37" t="str">
        <f t="shared" si="101"/>
        <v xml:space="preserve">  </v>
      </c>
      <c r="AF187" s="38" t="str">
        <f ca="1">_xlfn.IFNA(IF(AG187="",TODAY()+(VLOOKUP(A187,'Date Calcs'!A:G,7,0)*7),VLOOKUP(A187,'Actual Dates'!A:AE,21,FALSE())),"")</f>
        <v/>
      </c>
      <c r="AG187" s="38" t="str">
        <f>IF(VLOOKUP(A187,'Actual Dates'!A:AE,20,0)="","",VLOOKUP(A187,'Actual Dates'!A:AE,20,0))</f>
        <v/>
      </c>
      <c r="AH187" s="38" t="str">
        <f>_xlfn.IFNA(IF($AG187="","",IF(X187="Y","DONE",VLOOKUP(A187,'Ship Date'!A:AE,27,0))),"")</f>
        <v/>
      </c>
      <c r="AI187" s="12">
        <f t="shared" ca="1" si="71"/>
        <v>0</v>
      </c>
      <c r="AJ187" s="38" t="str">
        <f>_xlfn.IFNA(IF($AG187="","",IF(AB187="Y","DONE",VLOOKUP(A187,'Ship Date'!A:AG,29,0))),"")</f>
        <v/>
      </c>
      <c r="AK187" s="12">
        <f t="shared" ca="1" si="72"/>
        <v>0</v>
      </c>
      <c r="AL187" s="38" t="str">
        <f>_xlfn.IFNA(IF($AG187="","",IF(Z187="Y","DONE",VLOOKUP(A187,'Ship Date'!A:AI,28,0))),"")</f>
        <v/>
      </c>
      <c r="AM187" s="12">
        <f t="shared" ca="1" si="73"/>
        <v>0</v>
      </c>
      <c r="AN187" s="38" t="str">
        <f>_xlfn.IFNA(IF(T187="Y","DONE",VLOOKUP(A187,'Ship Date'!A:AE,25,0)),"")</f>
        <v/>
      </c>
      <c r="AO187" s="12">
        <f t="shared" si="74"/>
        <v>0</v>
      </c>
      <c r="AP187" s="38" t="str">
        <f>_xlfn.IFNA(IF(AD187="Y","DONE",VLOOKUP(A187,'Ship Date'!A:AE,30,0)),"")</f>
        <v/>
      </c>
      <c r="AQ187" s="12">
        <f t="shared" ca="1" si="75"/>
        <v>0</v>
      </c>
      <c r="AR187" s="38" t="str">
        <f>IFERROR(_xlfn.IFNA(VLOOKUP(A187,'Ship Date'!A:C,3,0),""),"")</f>
        <v/>
      </c>
      <c r="AS187" s="12" t="str">
        <f t="shared" ca="1" si="76"/>
        <v/>
      </c>
      <c r="AT187" s="38">
        <f>_xlfn.IFNA(IF(VLOOKUP(A187,'Actual Dates'!A:AF,32,0)="N/A"," ",VLOOKUP(A187,'Actual Dates'!A:AF,32,0))," ")</f>
        <v>0</v>
      </c>
      <c r="AU187" s="39"/>
      <c r="AV187" s="38" t="str">
        <f>_xlfn.IFNA(IF(VLOOKUP(A187,'Actual Dates'!A:AE,31,0)="","",VLOOKUP(A187,'Actual Dates'!A:AE,31,0)),"")</f>
        <v/>
      </c>
      <c r="AW187" s="40"/>
    </row>
    <row r="188" spans="1:49" ht="23.25" x14ac:dyDescent="0.25">
      <c r="A188" s="12">
        <f>'Actual Dates'!A187</f>
        <v>0</v>
      </c>
      <c r="B188" s="13" t="str">
        <f t="shared" si="68"/>
        <v/>
      </c>
      <c r="C188" s="35"/>
      <c r="D188" s="36" t="str">
        <f t="shared" si="77"/>
        <v/>
      </c>
      <c r="E188" s="37" t="str">
        <f t="shared" si="78"/>
        <v xml:space="preserve">  </v>
      </c>
      <c r="F188" s="36" t="str">
        <f t="shared" si="79"/>
        <v xml:space="preserve">  </v>
      </c>
      <c r="G188" s="37" t="str">
        <f t="shared" si="80"/>
        <v xml:space="preserve">  </v>
      </c>
      <c r="H188" s="36" t="str">
        <f t="shared" si="69"/>
        <v xml:space="preserve">  </v>
      </c>
      <c r="I188" s="37" t="str">
        <f t="shared" si="81"/>
        <v xml:space="preserve">  </v>
      </c>
      <c r="J188" s="35"/>
      <c r="K188" s="36" t="str">
        <f t="shared" si="82"/>
        <v>Y</v>
      </c>
      <c r="L188" s="37" t="str">
        <f t="shared" si="83"/>
        <v/>
      </c>
      <c r="M188" s="37" t="str">
        <f t="shared" si="70"/>
        <v xml:space="preserve">  </v>
      </c>
      <c r="N188" s="36" t="str">
        <f t="shared" si="84"/>
        <v xml:space="preserve">  </v>
      </c>
      <c r="O188" s="37" t="str">
        <f t="shared" si="85"/>
        <v/>
      </c>
      <c r="P188" s="36" t="str">
        <f t="shared" si="86"/>
        <v xml:space="preserve">  </v>
      </c>
      <c r="Q188" s="37" t="str">
        <f t="shared" si="87"/>
        <v xml:space="preserve">  </v>
      </c>
      <c r="R188" s="36" t="str">
        <f t="shared" si="88"/>
        <v xml:space="preserve">  </v>
      </c>
      <c r="S188" s="37" t="str">
        <f t="shared" si="89"/>
        <v xml:space="preserve">  </v>
      </c>
      <c r="T188" s="36" t="str">
        <f t="shared" si="90"/>
        <v xml:space="preserve">  </v>
      </c>
      <c r="U188" s="37" t="str">
        <f t="shared" si="91"/>
        <v xml:space="preserve">  </v>
      </c>
      <c r="V188" s="36" t="str">
        <f t="shared" si="92"/>
        <v xml:space="preserve">  </v>
      </c>
      <c r="W188" s="37" t="str">
        <f t="shared" si="93"/>
        <v xml:space="preserve">  </v>
      </c>
      <c r="X188" s="36" t="str">
        <f t="shared" si="94"/>
        <v xml:space="preserve">  </v>
      </c>
      <c r="Y188" s="37" t="str">
        <f t="shared" si="95"/>
        <v xml:space="preserve">  </v>
      </c>
      <c r="Z188" s="36" t="str">
        <f t="shared" si="96"/>
        <v xml:space="preserve">  </v>
      </c>
      <c r="AA188" s="37" t="str">
        <f t="shared" si="97"/>
        <v xml:space="preserve">  </v>
      </c>
      <c r="AB188" s="36" t="str">
        <f t="shared" si="98"/>
        <v xml:space="preserve">  </v>
      </c>
      <c r="AC188" s="37" t="str">
        <f t="shared" si="99"/>
        <v xml:space="preserve">  </v>
      </c>
      <c r="AD188" s="36" t="str">
        <f t="shared" si="100"/>
        <v xml:space="preserve">  </v>
      </c>
      <c r="AE188" s="37" t="str">
        <f t="shared" si="101"/>
        <v xml:space="preserve">  </v>
      </c>
      <c r="AF188" s="38" t="str">
        <f ca="1">_xlfn.IFNA(IF(AG188="",TODAY()+(VLOOKUP(A188,'Date Calcs'!A:G,7,0)*7),VLOOKUP(A188,'Actual Dates'!A:AE,21,FALSE())),"")</f>
        <v/>
      </c>
      <c r="AG188" s="38" t="str">
        <f>IF(VLOOKUP(A188,'Actual Dates'!A:AE,20,0)="","",VLOOKUP(A188,'Actual Dates'!A:AE,20,0))</f>
        <v/>
      </c>
      <c r="AH188" s="38" t="str">
        <f>_xlfn.IFNA(IF($AG188="","",IF(X188="Y","DONE",VLOOKUP(A188,'Ship Date'!A:AE,27,0))),"")</f>
        <v/>
      </c>
      <c r="AI188" s="12">
        <f t="shared" ca="1" si="71"/>
        <v>0</v>
      </c>
      <c r="AJ188" s="38" t="str">
        <f>_xlfn.IFNA(IF($AG188="","",IF(AB188="Y","DONE",VLOOKUP(A188,'Ship Date'!A:AG,29,0))),"")</f>
        <v/>
      </c>
      <c r="AK188" s="12">
        <f t="shared" ca="1" si="72"/>
        <v>0</v>
      </c>
      <c r="AL188" s="38" t="str">
        <f>_xlfn.IFNA(IF($AG188="","",IF(Z188="Y","DONE",VLOOKUP(A188,'Ship Date'!A:AI,28,0))),"")</f>
        <v/>
      </c>
      <c r="AM188" s="12">
        <f t="shared" ca="1" si="73"/>
        <v>0</v>
      </c>
      <c r="AN188" s="38" t="str">
        <f>_xlfn.IFNA(IF(T188="Y","DONE",VLOOKUP(A188,'Ship Date'!A:AE,25,0)),"")</f>
        <v/>
      </c>
      <c r="AO188" s="12">
        <f t="shared" si="74"/>
        <v>0</v>
      </c>
      <c r="AP188" s="38" t="str">
        <f>_xlfn.IFNA(IF(AD188="Y","DONE",VLOOKUP(A188,'Ship Date'!A:AE,30,0)),"")</f>
        <v/>
      </c>
      <c r="AQ188" s="12">
        <f t="shared" ca="1" si="75"/>
        <v>0</v>
      </c>
      <c r="AR188" s="38" t="str">
        <f>IFERROR(_xlfn.IFNA(VLOOKUP(A188,'Ship Date'!A:C,3,0),""),"")</f>
        <v/>
      </c>
      <c r="AS188" s="12" t="str">
        <f t="shared" ca="1" si="76"/>
        <v/>
      </c>
      <c r="AT188" s="38">
        <f>_xlfn.IFNA(IF(VLOOKUP(A188,'Actual Dates'!A:AF,32,0)="N/A"," ",VLOOKUP(A188,'Actual Dates'!A:AF,32,0))," ")</f>
        <v>0</v>
      </c>
      <c r="AU188" s="39"/>
      <c r="AV188" s="38" t="str">
        <f>_xlfn.IFNA(IF(VLOOKUP(A188,'Actual Dates'!A:AE,31,0)="","",VLOOKUP(A188,'Actual Dates'!A:AE,31,0)),"")</f>
        <v/>
      </c>
      <c r="AW188" s="40"/>
    </row>
    <row r="189" spans="1:49" ht="23.25" x14ac:dyDescent="0.25">
      <c r="A189" s="12">
        <f>'Actual Dates'!A188</f>
        <v>0</v>
      </c>
      <c r="B189" s="13" t="str">
        <f t="shared" si="68"/>
        <v/>
      </c>
      <c r="C189" s="35"/>
      <c r="D189" s="36" t="str">
        <f t="shared" si="77"/>
        <v/>
      </c>
      <c r="E189" s="37" t="str">
        <f t="shared" si="78"/>
        <v xml:space="preserve">  </v>
      </c>
      <c r="F189" s="36" t="str">
        <f t="shared" si="79"/>
        <v xml:space="preserve">  </v>
      </c>
      <c r="G189" s="37" t="str">
        <f t="shared" si="80"/>
        <v xml:space="preserve">  </v>
      </c>
      <c r="H189" s="36" t="str">
        <f t="shared" si="69"/>
        <v xml:space="preserve">  </v>
      </c>
      <c r="I189" s="37" t="str">
        <f t="shared" si="81"/>
        <v xml:space="preserve">  </v>
      </c>
      <c r="J189" s="35"/>
      <c r="K189" s="36" t="str">
        <f t="shared" si="82"/>
        <v>Y</v>
      </c>
      <c r="L189" s="37" t="str">
        <f t="shared" si="83"/>
        <v/>
      </c>
      <c r="M189" s="37" t="str">
        <f t="shared" si="70"/>
        <v xml:space="preserve">  </v>
      </c>
      <c r="N189" s="36" t="str">
        <f t="shared" si="84"/>
        <v xml:space="preserve">  </v>
      </c>
      <c r="O189" s="37" t="str">
        <f t="shared" si="85"/>
        <v/>
      </c>
      <c r="P189" s="36" t="str">
        <f t="shared" si="86"/>
        <v xml:space="preserve">  </v>
      </c>
      <c r="Q189" s="37" t="str">
        <f t="shared" si="87"/>
        <v xml:space="preserve">  </v>
      </c>
      <c r="R189" s="36" t="str">
        <f t="shared" si="88"/>
        <v xml:space="preserve">  </v>
      </c>
      <c r="S189" s="37" t="str">
        <f t="shared" si="89"/>
        <v xml:space="preserve">  </v>
      </c>
      <c r="T189" s="36" t="str">
        <f t="shared" si="90"/>
        <v xml:space="preserve">  </v>
      </c>
      <c r="U189" s="37" t="str">
        <f t="shared" si="91"/>
        <v xml:space="preserve">  </v>
      </c>
      <c r="V189" s="36" t="str">
        <f t="shared" si="92"/>
        <v xml:space="preserve">  </v>
      </c>
      <c r="W189" s="37" t="str">
        <f t="shared" si="93"/>
        <v xml:space="preserve">  </v>
      </c>
      <c r="X189" s="36" t="str">
        <f t="shared" si="94"/>
        <v xml:space="preserve">  </v>
      </c>
      <c r="Y189" s="37" t="str">
        <f t="shared" si="95"/>
        <v xml:space="preserve">  </v>
      </c>
      <c r="Z189" s="36" t="str">
        <f t="shared" si="96"/>
        <v xml:space="preserve">  </v>
      </c>
      <c r="AA189" s="37" t="str">
        <f t="shared" si="97"/>
        <v xml:space="preserve">  </v>
      </c>
      <c r="AB189" s="36" t="str">
        <f t="shared" si="98"/>
        <v xml:space="preserve">  </v>
      </c>
      <c r="AC189" s="37" t="str">
        <f t="shared" si="99"/>
        <v xml:space="preserve">  </v>
      </c>
      <c r="AD189" s="36" t="str">
        <f t="shared" si="100"/>
        <v xml:space="preserve">  </v>
      </c>
      <c r="AE189" s="37" t="str">
        <f t="shared" si="101"/>
        <v xml:space="preserve">  </v>
      </c>
      <c r="AF189" s="38" t="str">
        <f ca="1">_xlfn.IFNA(IF(AG189="",TODAY()+(VLOOKUP(A189,'Date Calcs'!A:G,7,0)*7),VLOOKUP(A189,'Actual Dates'!A:AE,21,FALSE())),"")</f>
        <v/>
      </c>
      <c r="AG189" s="38" t="str">
        <f>IF(VLOOKUP(A189,'Actual Dates'!A:AE,20,0)="","",VLOOKUP(A189,'Actual Dates'!A:AE,20,0))</f>
        <v/>
      </c>
      <c r="AH189" s="38" t="str">
        <f>_xlfn.IFNA(IF($AG189="","",IF(X189="Y","DONE",VLOOKUP(A189,'Ship Date'!A:AE,27,0))),"")</f>
        <v/>
      </c>
      <c r="AI189" s="12">
        <f t="shared" ca="1" si="71"/>
        <v>0</v>
      </c>
      <c r="AJ189" s="38" t="str">
        <f>_xlfn.IFNA(IF($AG189="","",IF(AB189="Y","DONE",VLOOKUP(A189,'Ship Date'!A:AG,29,0))),"")</f>
        <v/>
      </c>
      <c r="AK189" s="12">
        <f t="shared" ca="1" si="72"/>
        <v>0</v>
      </c>
      <c r="AL189" s="38" t="str">
        <f>_xlfn.IFNA(IF($AG189="","",IF(Z189="Y","DONE",VLOOKUP(A189,'Ship Date'!A:AI,28,0))),"")</f>
        <v/>
      </c>
      <c r="AM189" s="12">
        <f t="shared" ca="1" si="73"/>
        <v>0</v>
      </c>
      <c r="AN189" s="38" t="str">
        <f>_xlfn.IFNA(IF(T189="Y","DONE",VLOOKUP(A189,'Ship Date'!A:AE,25,0)),"")</f>
        <v/>
      </c>
      <c r="AO189" s="12">
        <f t="shared" si="74"/>
        <v>0</v>
      </c>
      <c r="AP189" s="38" t="str">
        <f>_xlfn.IFNA(IF(AD189="Y","DONE",VLOOKUP(A189,'Ship Date'!A:AE,30,0)),"")</f>
        <v/>
      </c>
      <c r="AQ189" s="12">
        <f t="shared" ca="1" si="75"/>
        <v>0</v>
      </c>
      <c r="AR189" s="38" t="str">
        <f>IFERROR(_xlfn.IFNA(VLOOKUP(A189,'Ship Date'!A:C,3,0),""),"")</f>
        <v/>
      </c>
      <c r="AS189" s="12" t="str">
        <f t="shared" ca="1" si="76"/>
        <v/>
      </c>
      <c r="AT189" s="38">
        <f>_xlfn.IFNA(IF(VLOOKUP(A189,'Actual Dates'!A:AF,32,0)="N/A"," ",VLOOKUP(A189,'Actual Dates'!A:AF,32,0))," ")</f>
        <v>0</v>
      </c>
      <c r="AU189" s="39"/>
      <c r="AV189" s="38" t="str">
        <f>_xlfn.IFNA(IF(VLOOKUP(A189,'Actual Dates'!A:AE,31,0)="","",VLOOKUP(A189,'Actual Dates'!A:AE,31,0)),"")</f>
        <v/>
      </c>
      <c r="AW189" s="40"/>
    </row>
    <row r="190" spans="1:49" ht="23.25" x14ac:dyDescent="0.25">
      <c r="A190" s="12">
        <f>'Actual Dates'!A189</f>
        <v>0</v>
      </c>
      <c r="B190" s="13" t="str">
        <f t="shared" si="68"/>
        <v/>
      </c>
      <c r="C190" s="35"/>
      <c r="D190" s="36" t="str">
        <f t="shared" si="77"/>
        <v/>
      </c>
      <c r="E190" s="37" t="str">
        <f t="shared" si="78"/>
        <v xml:space="preserve">  </v>
      </c>
      <c r="F190" s="36" t="str">
        <f t="shared" si="79"/>
        <v xml:space="preserve">  </v>
      </c>
      <c r="G190" s="37" t="str">
        <f t="shared" si="80"/>
        <v xml:space="preserve">  </v>
      </c>
      <c r="H190" s="36" t="str">
        <f t="shared" si="69"/>
        <v xml:space="preserve">  </v>
      </c>
      <c r="I190" s="37" t="str">
        <f t="shared" si="81"/>
        <v xml:space="preserve">  </v>
      </c>
      <c r="J190" s="35"/>
      <c r="K190" s="36" t="str">
        <f t="shared" si="82"/>
        <v>Y</v>
      </c>
      <c r="L190" s="37" t="str">
        <f t="shared" si="83"/>
        <v/>
      </c>
      <c r="M190" s="37" t="str">
        <f t="shared" si="70"/>
        <v xml:space="preserve">  </v>
      </c>
      <c r="N190" s="36" t="str">
        <f t="shared" si="84"/>
        <v xml:space="preserve">  </v>
      </c>
      <c r="O190" s="37" t="str">
        <f t="shared" si="85"/>
        <v/>
      </c>
      <c r="P190" s="36" t="str">
        <f t="shared" si="86"/>
        <v xml:space="preserve">  </v>
      </c>
      <c r="Q190" s="37" t="str">
        <f t="shared" si="87"/>
        <v xml:space="preserve">  </v>
      </c>
      <c r="R190" s="36" t="str">
        <f t="shared" si="88"/>
        <v xml:space="preserve">  </v>
      </c>
      <c r="S190" s="37" t="str">
        <f t="shared" si="89"/>
        <v xml:space="preserve">  </v>
      </c>
      <c r="T190" s="36" t="str">
        <f t="shared" si="90"/>
        <v xml:space="preserve">  </v>
      </c>
      <c r="U190" s="37" t="str">
        <f t="shared" si="91"/>
        <v xml:space="preserve">  </v>
      </c>
      <c r="V190" s="36" t="str">
        <f t="shared" si="92"/>
        <v xml:space="preserve">  </v>
      </c>
      <c r="W190" s="37" t="str">
        <f t="shared" si="93"/>
        <v xml:space="preserve">  </v>
      </c>
      <c r="X190" s="36" t="str">
        <f t="shared" si="94"/>
        <v xml:space="preserve">  </v>
      </c>
      <c r="Y190" s="37" t="str">
        <f t="shared" si="95"/>
        <v xml:space="preserve">  </v>
      </c>
      <c r="Z190" s="36" t="str">
        <f t="shared" si="96"/>
        <v xml:space="preserve">  </v>
      </c>
      <c r="AA190" s="37" t="str">
        <f t="shared" si="97"/>
        <v xml:space="preserve">  </v>
      </c>
      <c r="AB190" s="36" t="str">
        <f t="shared" si="98"/>
        <v xml:space="preserve">  </v>
      </c>
      <c r="AC190" s="37" t="str">
        <f t="shared" si="99"/>
        <v xml:space="preserve">  </v>
      </c>
      <c r="AD190" s="36" t="str">
        <f t="shared" si="100"/>
        <v xml:space="preserve">  </v>
      </c>
      <c r="AE190" s="37" t="str">
        <f t="shared" si="101"/>
        <v xml:space="preserve">  </v>
      </c>
      <c r="AF190" s="38" t="str">
        <f ca="1">_xlfn.IFNA(IF(AG190="",TODAY()+(VLOOKUP(A190,'Date Calcs'!A:G,7,0)*7),VLOOKUP(A190,'Actual Dates'!A:AE,21,FALSE())),"")</f>
        <v/>
      </c>
      <c r="AG190" s="38" t="str">
        <f>IF(VLOOKUP(A190,'Actual Dates'!A:AE,20,0)="","",VLOOKUP(A190,'Actual Dates'!A:AE,20,0))</f>
        <v/>
      </c>
      <c r="AH190" s="38" t="str">
        <f>_xlfn.IFNA(IF($AG190="","",IF(X190="Y","DONE",VLOOKUP(A190,'Ship Date'!A:AE,27,0))),"")</f>
        <v/>
      </c>
      <c r="AI190" s="12">
        <f t="shared" ca="1" si="71"/>
        <v>0</v>
      </c>
      <c r="AJ190" s="38" t="str">
        <f>_xlfn.IFNA(IF($AG190="","",IF(AB190="Y","DONE",VLOOKUP(A190,'Ship Date'!A:AG,29,0))),"")</f>
        <v/>
      </c>
      <c r="AK190" s="12">
        <f t="shared" ca="1" si="72"/>
        <v>0</v>
      </c>
      <c r="AL190" s="38" t="str">
        <f>_xlfn.IFNA(IF($AG190="","",IF(Z190="Y","DONE",VLOOKUP(A190,'Ship Date'!A:AI,28,0))),"")</f>
        <v/>
      </c>
      <c r="AM190" s="12">
        <f t="shared" ca="1" si="73"/>
        <v>0</v>
      </c>
      <c r="AN190" s="38" t="str">
        <f>_xlfn.IFNA(IF(T190="Y","DONE",VLOOKUP(A190,'Ship Date'!A:AE,25,0)),"")</f>
        <v/>
      </c>
      <c r="AO190" s="12">
        <f t="shared" si="74"/>
        <v>0</v>
      </c>
      <c r="AP190" s="38" t="str">
        <f>_xlfn.IFNA(IF(AD190="Y","DONE",VLOOKUP(A190,'Ship Date'!A:AE,30,0)),"")</f>
        <v/>
      </c>
      <c r="AQ190" s="12">
        <f t="shared" ca="1" si="75"/>
        <v>0</v>
      </c>
      <c r="AR190" s="38" t="str">
        <f>IFERROR(_xlfn.IFNA(VLOOKUP(A190,'Ship Date'!A:C,3,0),""),"")</f>
        <v/>
      </c>
      <c r="AS190" s="12" t="str">
        <f t="shared" ca="1" si="76"/>
        <v/>
      </c>
      <c r="AT190" s="38">
        <f>_xlfn.IFNA(IF(VLOOKUP(A190,'Actual Dates'!A:AF,32,0)="N/A"," ",VLOOKUP(A190,'Actual Dates'!A:AF,32,0))," ")</f>
        <v>0</v>
      </c>
      <c r="AU190" s="39"/>
      <c r="AV190" s="38" t="str">
        <f>_xlfn.IFNA(IF(VLOOKUP(A190,'Actual Dates'!A:AE,31,0)="","",VLOOKUP(A190,'Actual Dates'!A:AE,31,0)),"")</f>
        <v/>
      </c>
      <c r="AW190" s="40"/>
    </row>
    <row r="191" spans="1:49" ht="23.25" x14ac:dyDescent="0.25">
      <c r="A191" s="12">
        <f>'Actual Dates'!A190</f>
        <v>0</v>
      </c>
      <c r="B191" s="13" t="str">
        <f t="shared" si="68"/>
        <v/>
      </c>
      <c r="C191" s="35"/>
      <c r="D191" s="36" t="str">
        <f t="shared" si="77"/>
        <v/>
      </c>
      <c r="E191" s="37" t="str">
        <f t="shared" si="78"/>
        <v xml:space="preserve">  </v>
      </c>
      <c r="F191" s="36" t="str">
        <f t="shared" si="79"/>
        <v xml:space="preserve">  </v>
      </c>
      <c r="G191" s="37" t="str">
        <f t="shared" si="80"/>
        <v xml:space="preserve">  </v>
      </c>
      <c r="H191" s="36" t="str">
        <f t="shared" si="69"/>
        <v xml:space="preserve">  </v>
      </c>
      <c r="I191" s="37" t="str">
        <f t="shared" si="81"/>
        <v xml:space="preserve">  </v>
      </c>
      <c r="J191" s="35"/>
      <c r="K191" s="36" t="str">
        <f t="shared" si="82"/>
        <v>Y</v>
      </c>
      <c r="L191" s="37" t="str">
        <f t="shared" si="83"/>
        <v/>
      </c>
      <c r="M191" s="37" t="str">
        <f t="shared" si="70"/>
        <v xml:space="preserve">  </v>
      </c>
      <c r="N191" s="36" t="str">
        <f t="shared" si="84"/>
        <v xml:space="preserve">  </v>
      </c>
      <c r="O191" s="37" t="str">
        <f t="shared" si="85"/>
        <v/>
      </c>
      <c r="P191" s="36" t="str">
        <f t="shared" si="86"/>
        <v xml:space="preserve">  </v>
      </c>
      <c r="Q191" s="37" t="str">
        <f t="shared" si="87"/>
        <v xml:space="preserve">  </v>
      </c>
      <c r="R191" s="36" t="str">
        <f t="shared" si="88"/>
        <v xml:space="preserve">  </v>
      </c>
      <c r="S191" s="37" t="str">
        <f t="shared" si="89"/>
        <v xml:space="preserve">  </v>
      </c>
      <c r="T191" s="36" t="str">
        <f t="shared" si="90"/>
        <v xml:space="preserve">  </v>
      </c>
      <c r="U191" s="37" t="str">
        <f t="shared" si="91"/>
        <v xml:space="preserve">  </v>
      </c>
      <c r="V191" s="36" t="str">
        <f t="shared" si="92"/>
        <v xml:space="preserve">  </v>
      </c>
      <c r="W191" s="37" t="str">
        <f t="shared" si="93"/>
        <v xml:space="preserve">  </v>
      </c>
      <c r="X191" s="36" t="str">
        <f t="shared" si="94"/>
        <v xml:space="preserve">  </v>
      </c>
      <c r="Y191" s="37" t="str">
        <f t="shared" si="95"/>
        <v xml:space="preserve">  </v>
      </c>
      <c r="Z191" s="36" t="str">
        <f t="shared" si="96"/>
        <v xml:space="preserve">  </v>
      </c>
      <c r="AA191" s="37" t="str">
        <f t="shared" si="97"/>
        <v xml:space="preserve">  </v>
      </c>
      <c r="AB191" s="36" t="str">
        <f t="shared" si="98"/>
        <v xml:space="preserve">  </v>
      </c>
      <c r="AC191" s="37" t="str">
        <f t="shared" si="99"/>
        <v xml:space="preserve">  </v>
      </c>
      <c r="AD191" s="36" t="str">
        <f t="shared" si="100"/>
        <v xml:space="preserve">  </v>
      </c>
      <c r="AE191" s="37" t="str">
        <f t="shared" si="101"/>
        <v xml:space="preserve">  </v>
      </c>
      <c r="AF191" s="38" t="str">
        <f ca="1">_xlfn.IFNA(IF(AG191="",TODAY()+(VLOOKUP(A191,'Date Calcs'!A:G,7,0)*7),VLOOKUP(A191,'Actual Dates'!A:AE,21,FALSE())),"")</f>
        <v/>
      </c>
      <c r="AG191" s="38" t="str">
        <f>IF(VLOOKUP(A191,'Actual Dates'!A:AE,20,0)="","",VLOOKUP(A191,'Actual Dates'!A:AE,20,0))</f>
        <v/>
      </c>
      <c r="AH191" s="38" t="str">
        <f>_xlfn.IFNA(IF($AG191="","",IF(X191="Y","DONE",VLOOKUP(A191,'Ship Date'!A:AE,27,0))),"")</f>
        <v/>
      </c>
      <c r="AI191" s="12">
        <f t="shared" ca="1" si="71"/>
        <v>0</v>
      </c>
      <c r="AJ191" s="38" t="str">
        <f>_xlfn.IFNA(IF($AG191="","",IF(AB191="Y","DONE",VLOOKUP(A191,'Ship Date'!A:AG,29,0))),"")</f>
        <v/>
      </c>
      <c r="AK191" s="12">
        <f t="shared" ca="1" si="72"/>
        <v>0</v>
      </c>
      <c r="AL191" s="38" t="str">
        <f>_xlfn.IFNA(IF($AG191="","",IF(Z191="Y","DONE",VLOOKUP(A191,'Ship Date'!A:AI,28,0))),"")</f>
        <v/>
      </c>
      <c r="AM191" s="12">
        <f t="shared" ca="1" si="73"/>
        <v>0</v>
      </c>
      <c r="AN191" s="38" t="str">
        <f>_xlfn.IFNA(IF(T191="Y","DONE",VLOOKUP(A191,'Ship Date'!A:AE,25,0)),"")</f>
        <v/>
      </c>
      <c r="AO191" s="12">
        <f t="shared" si="74"/>
        <v>0</v>
      </c>
      <c r="AP191" s="38" t="str">
        <f>_xlfn.IFNA(IF(AD191="Y","DONE",VLOOKUP(A191,'Ship Date'!A:AE,30,0)),"")</f>
        <v/>
      </c>
      <c r="AQ191" s="12">
        <f t="shared" ca="1" si="75"/>
        <v>0</v>
      </c>
      <c r="AR191" s="38" t="str">
        <f>IFERROR(_xlfn.IFNA(VLOOKUP(A191,'Ship Date'!A:C,3,0),""),"")</f>
        <v/>
      </c>
      <c r="AS191" s="12" t="str">
        <f t="shared" ca="1" si="76"/>
        <v/>
      </c>
      <c r="AT191" s="38">
        <f>_xlfn.IFNA(IF(VLOOKUP(A191,'Actual Dates'!A:AF,32,0)="N/A"," ",VLOOKUP(A191,'Actual Dates'!A:AF,32,0))," ")</f>
        <v>0</v>
      </c>
      <c r="AU191" s="39"/>
      <c r="AV191" s="38" t="str">
        <f>_xlfn.IFNA(IF(VLOOKUP(A191,'Actual Dates'!A:AE,31,0)="","",VLOOKUP(A191,'Actual Dates'!A:AE,31,0)),"")</f>
        <v/>
      </c>
      <c r="AW191" s="40"/>
    </row>
    <row r="192" spans="1:49" ht="23.25" x14ac:dyDescent="0.25">
      <c r="A192" s="12">
        <f>'Actual Dates'!A191</f>
        <v>0</v>
      </c>
      <c r="B192" s="13" t="str">
        <f t="shared" si="68"/>
        <v/>
      </c>
      <c r="C192" s="35"/>
      <c r="D192" s="36" t="str">
        <f t="shared" si="77"/>
        <v/>
      </c>
      <c r="E192" s="37" t="str">
        <f t="shared" si="78"/>
        <v xml:space="preserve">  </v>
      </c>
      <c r="F192" s="36" t="str">
        <f t="shared" si="79"/>
        <v xml:space="preserve">  </v>
      </c>
      <c r="G192" s="37" t="str">
        <f t="shared" si="80"/>
        <v xml:space="preserve">  </v>
      </c>
      <c r="H192" s="36" t="str">
        <f t="shared" si="69"/>
        <v xml:space="preserve">  </v>
      </c>
      <c r="I192" s="37" t="str">
        <f t="shared" si="81"/>
        <v xml:space="preserve">  </v>
      </c>
      <c r="J192" s="35"/>
      <c r="K192" s="36" t="str">
        <f t="shared" si="82"/>
        <v>Y</v>
      </c>
      <c r="L192" s="37" t="str">
        <f t="shared" si="83"/>
        <v/>
      </c>
      <c r="M192" s="37" t="str">
        <f t="shared" si="70"/>
        <v xml:space="preserve">  </v>
      </c>
      <c r="N192" s="36" t="str">
        <f t="shared" si="84"/>
        <v xml:space="preserve">  </v>
      </c>
      <c r="O192" s="37" t="str">
        <f t="shared" si="85"/>
        <v/>
      </c>
      <c r="P192" s="36" t="str">
        <f t="shared" si="86"/>
        <v xml:space="preserve">  </v>
      </c>
      <c r="Q192" s="37" t="str">
        <f t="shared" si="87"/>
        <v xml:space="preserve">  </v>
      </c>
      <c r="R192" s="36" t="str">
        <f t="shared" si="88"/>
        <v xml:space="preserve">  </v>
      </c>
      <c r="S192" s="37" t="str">
        <f t="shared" si="89"/>
        <v xml:space="preserve">  </v>
      </c>
      <c r="T192" s="36" t="str">
        <f t="shared" si="90"/>
        <v xml:space="preserve">  </v>
      </c>
      <c r="U192" s="37" t="str">
        <f t="shared" si="91"/>
        <v xml:space="preserve">  </v>
      </c>
      <c r="V192" s="36" t="str">
        <f t="shared" si="92"/>
        <v xml:space="preserve">  </v>
      </c>
      <c r="W192" s="37" t="str">
        <f t="shared" si="93"/>
        <v xml:space="preserve">  </v>
      </c>
      <c r="X192" s="36" t="str">
        <f t="shared" si="94"/>
        <v xml:space="preserve">  </v>
      </c>
      <c r="Y192" s="37" t="str">
        <f t="shared" si="95"/>
        <v xml:space="preserve">  </v>
      </c>
      <c r="Z192" s="36" t="str">
        <f t="shared" si="96"/>
        <v xml:space="preserve">  </v>
      </c>
      <c r="AA192" s="37" t="str">
        <f t="shared" si="97"/>
        <v xml:space="preserve">  </v>
      </c>
      <c r="AB192" s="36" t="str">
        <f t="shared" si="98"/>
        <v xml:space="preserve">  </v>
      </c>
      <c r="AC192" s="37" t="str">
        <f t="shared" si="99"/>
        <v xml:space="preserve">  </v>
      </c>
      <c r="AD192" s="36" t="str">
        <f t="shared" si="100"/>
        <v xml:space="preserve">  </v>
      </c>
      <c r="AE192" s="37" t="str">
        <f t="shared" si="101"/>
        <v xml:space="preserve">  </v>
      </c>
      <c r="AF192" s="38" t="str">
        <f ca="1">_xlfn.IFNA(IF(AG192="",TODAY()+(VLOOKUP(A192,'Date Calcs'!A:G,7,0)*7),VLOOKUP(A192,'Actual Dates'!A:AE,21,FALSE())),"")</f>
        <v/>
      </c>
      <c r="AG192" s="38" t="str">
        <f>IF(VLOOKUP(A192,'Actual Dates'!A:AE,20,0)="","",VLOOKUP(A192,'Actual Dates'!A:AE,20,0))</f>
        <v/>
      </c>
      <c r="AH192" s="38" t="str">
        <f>_xlfn.IFNA(IF($AG192="","",IF(X192="Y","DONE",VLOOKUP(A192,'Ship Date'!A:AE,27,0))),"")</f>
        <v/>
      </c>
      <c r="AI192" s="12">
        <f t="shared" ca="1" si="71"/>
        <v>0</v>
      </c>
      <c r="AJ192" s="38" t="str">
        <f>_xlfn.IFNA(IF($AG192="","",IF(AB192="Y","DONE",VLOOKUP(A192,'Ship Date'!A:AG,29,0))),"")</f>
        <v/>
      </c>
      <c r="AK192" s="12">
        <f t="shared" ca="1" si="72"/>
        <v>0</v>
      </c>
      <c r="AL192" s="38" t="str">
        <f>_xlfn.IFNA(IF($AG192="","",IF(Z192="Y","DONE",VLOOKUP(A192,'Ship Date'!A:AI,28,0))),"")</f>
        <v/>
      </c>
      <c r="AM192" s="12">
        <f t="shared" ca="1" si="73"/>
        <v>0</v>
      </c>
      <c r="AN192" s="38" t="str">
        <f>_xlfn.IFNA(IF(T192="Y","DONE",VLOOKUP(A192,'Ship Date'!A:AE,25,0)),"")</f>
        <v/>
      </c>
      <c r="AO192" s="12">
        <f t="shared" si="74"/>
        <v>0</v>
      </c>
      <c r="AP192" s="38" t="str">
        <f>_xlfn.IFNA(IF(AD192="Y","DONE",VLOOKUP(A192,'Ship Date'!A:AE,30,0)),"")</f>
        <v/>
      </c>
      <c r="AQ192" s="12">
        <f t="shared" ca="1" si="75"/>
        <v>0</v>
      </c>
      <c r="AR192" s="38" t="str">
        <f>IFERROR(_xlfn.IFNA(VLOOKUP(A192,'Ship Date'!A:C,3,0),""),"")</f>
        <v/>
      </c>
      <c r="AS192" s="12" t="str">
        <f t="shared" ca="1" si="76"/>
        <v/>
      </c>
      <c r="AT192" s="38">
        <f>_xlfn.IFNA(IF(VLOOKUP(A192,'Actual Dates'!A:AF,32,0)="N/A"," ",VLOOKUP(A192,'Actual Dates'!A:AF,32,0))," ")</f>
        <v>0</v>
      </c>
      <c r="AU192" s="39"/>
      <c r="AV192" s="38" t="str">
        <f>_xlfn.IFNA(IF(VLOOKUP(A192,'Actual Dates'!A:AE,31,0)="","",VLOOKUP(A192,'Actual Dates'!A:AE,31,0)),"")</f>
        <v/>
      </c>
      <c r="AW192" s="40"/>
    </row>
    <row r="193" spans="1:49" ht="23.25" x14ac:dyDescent="0.25">
      <c r="A193" s="12">
        <f>'Actual Dates'!A192</f>
        <v>0</v>
      </c>
      <c r="B193" s="13" t="str">
        <f t="shared" si="68"/>
        <v/>
      </c>
      <c r="C193" s="35"/>
      <c r="D193" s="36" t="str">
        <f t="shared" si="77"/>
        <v/>
      </c>
      <c r="E193" s="37" t="str">
        <f t="shared" si="78"/>
        <v xml:space="preserve">  </v>
      </c>
      <c r="F193" s="36" t="str">
        <f t="shared" si="79"/>
        <v xml:space="preserve">  </v>
      </c>
      <c r="G193" s="37" t="str">
        <f t="shared" si="80"/>
        <v xml:space="preserve">  </v>
      </c>
      <c r="H193" s="36" t="str">
        <f t="shared" si="69"/>
        <v xml:space="preserve">  </v>
      </c>
      <c r="I193" s="37" t="str">
        <f t="shared" si="81"/>
        <v xml:space="preserve">  </v>
      </c>
      <c r="J193" s="35"/>
      <c r="K193" s="36" t="str">
        <f t="shared" si="82"/>
        <v>Y</v>
      </c>
      <c r="L193" s="37" t="str">
        <f t="shared" si="83"/>
        <v/>
      </c>
      <c r="M193" s="37" t="str">
        <f t="shared" si="70"/>
        <v xml:space="preserve">  </v>
      </c>
      <c r="N193" s="36" t="str">
        <f t="shared" si="84"/>
        <v xml:space="preserve">  </v>
      </c>
      <c r="O193" s="37" t="str">
        <f t="shared" si="85"/>
        <v/>
      </c>
      <c r="P193" s="36" t="str">
        <f t="shared" si="86"/>
        <v xml:space="preserve">  </v>
      </c>
      <c r="Q193" s="37" t="str">
        <f t="shared" si="87"/>
        <v xml:space="preserve">  </v>
      </c>
      <c r="R193" s="36" t="str">
        <f t="shared" si="88"/>
        <v xml:space="preserve">  </v>
      </c>
      <c r="S193" s="37" t="str">
        <f t="shared" si="89"/>
        <v xml:space="preserve">  </v>
      </c>
      <c r="T193" s="36" t="str">
        <f t="shared" si="90"/>
        <v xml:space="preserve">  </v>
      </c>
      <c r="U193" s="37" t="str">
        <f t="shared" si="91"/>
        <v xml:space="preserve">  </v>
      </c>
      <c r="V193" s="36" t="str">
        <f t="shared" si="92"/>
        <v xml:space="preserve">  </v>
      </c>
      <c r="W193" s="37" t="str">
        <f t="shared" si="93"/>
        <v xml:space="preserve">  </v>
      </c>
      <c r="X193" s="36" t="str">
        <f t="shared" si="94"/>
        <v xml:space="preserve">  </v>
      </c>
      <c r="Y193" s="37" t="str">
        <f t="shared" si="95"/>
        <v xml:space="preserve">  </v>
      </c>
      <c r="Z193" s="36" t="str">
        <f t="shared" si="96"/>
        <v xml:space="preserve">  </v>
      </c>
      <c r="AA193" s="37" t="str">
        <f t="shared" si="97"/>
        <v xml:space="preserve">  </v>
      </c>
      <c r="AB193" s="36" t="str">
        <f t="shared" si="98"/>
        <v xml:space="preserve">  </v>
      </c>
      <c r="AC193" s="37" t="str">
        <f t="shared" si="99"/>
        <v xml:space="preserve">  </v>
      </c>
      <c r="AD193" s="36" t="str">
        <f t="shared" si="100"/>
        <v xml:space="preserve">  </v>
      </c>
      <c r="AE193" s="37" t="str">
        <f t="shared" si="101"/>
        <v xml:space="preserve">  </v>
      </c>
      <c r="AF193" s="38" t="str">
        <f ca="1">_xlfn.IFNA(IF(AG193="",TODAY()+(VLOOKUP(A193,'Date Calcs'!A:G,7,0)*7),VLOOKUP(A193,'Actual Dates'!A:AE,21,FALSE())),"")</f>
        <v/>
      </c>
      <c r="AG193" s="38" t="str">
        <f>IF(VLOOKUP(A193,'Actual Dates'!A:AE,20,0)="","",VLOOKUP(A193,'Actual Dates'!A:AE,20,0))</f>
        <v/>
      </c>
      <c r="AH193" s="38" t="str">
        <f>_xlfn.IFNA(IF($AG193="","",IF(X193="Y","DONE",VLOOKUP(A193,'Ship Date'!A:AE,27,0))),"")</f>
        <v/>
      </c>
      <c r="AI193" s="12">
        <f t="shared" ca="1" si="71"/>
        <v>0</v>
      </c>
      <c r="AJ193" s="38" t="str">
        <f>_xlfn.IFNA(IF($AG193="","",IF(AB193="Y","DONE",VLOOKUP(A193,'Ship Date'!A:AG,29,0))),"")</f>
        <v/>
      </c>
      <c r="AK193" s="12">
        <f t="shared" ca="1" si="72"/>
        <v>0</v>
      </c>
      <c r="AL193" s="38" t="str">
        <f>_xlfn.IFNA(IF($AG193="","",IF(Z193="Y","DONE",VLOOKUP(A193,'Ship Date'!A:AI,28,0))),"")</f>
        <v/>
      </c>
      <c r="AM193" s="12">
        <f t="shared" ca="1" si="73"/>
        <v>0</v>
      </c>
      <c r="AN193" s="38" t="str">
        <f>_xlfn.IFNA(IF(T193="Y","DONE",VLOOKUP(A193,'Ship Date'!A:AE,25,0)),"")</f>
        <v/>
      </c>
      <c r="AO193" s="12">
        <f t="shared" si="74"/>
        <v>0</v>
      </c>
      <c r="AP193" s="38" t="str">
        <f>_xlfn.IFNA(IF(AD193="Y","DONE",VLOOKUP(A193,'Ship Date'!A:AE,30,0)),"")</f>
        <v/>
      </c>
      <c r="AQ193" s="12">
        <f t="shared" ca="1" si="75"/>
        <v>0</v>
      </c>
      <c r="AR193" s="38" t="str">
        <f>IFERROR(_xlfn.IFNA(VLOOKUP(A193,'Ship Date'!A:C,3,0),""),"")</f>
        <v/>
      </c>
      <c r="AS193" s="12" t="str">
        <f t="shared" ca="1" si="76"/>
        <v/>
      </c>
      <c r="AT193" s="38">
        <f>_xlfn.IFNA(IF(VLOOKUP(A193,'Actual Dates'!A:AF,32,0)="N/A"," ",VLOOKUP(A193,'Actual Dates'!A:AF,32,0))," ")</f>
        <v>0</v>
      </c>
      <c r="AU193" s="39"/>
      <c r="AV193" s="38" t="str">
        <f>_xlfn.IFNA(IF(VLOOKUP(A193,'Actual Dates'!A:AE,31,0)="","",VLOOKUP(A193,'Actual Dates'!A:AE,31,0)),"")</f>
        <v/>
      </c>
      <c r="AW193" s="40"/>
    </row>
    <row r="194" spans="1:49" ht="23.25" x14ac:dyDescent="0.25">
      <c r="A194" s="12">
        <f>'Actual Dates'!A193</f>
        <v>0</v>
      </c>
      <c r="B194" s="13" t="str">
        <f t="shared" si="68"/>
        <v/>
      </c>
      <c r="C194" s="35"/>
      <c r="D194" s="36" t="str">
        <f t="shared" si="77"/>
        <v/>
      </c>
      <c r="E194" s="37" t="str">
        <f t="shared" si="78"/>
        <v xml:space="preserve">  </v>
      </c>
      <c r="F194" s="36" t="str">
        <f t="shared" si="79"/>
        <v xml:space="preserve">  </v>
      </c>
      <c r="G194" s="37" t="str">
        <f t="shared" si="80"/>
        <v xml:space="preserve">  </v>
      </c>
      <c r="H194" s="36" t="str">
        <f t="shared" si="69"/>
        <v xml:space="preserve">  </v>
      </c>
      <c r="I194" s="37" t="str">
        <f t="shared" si="81"/>
        <v xml:space="preserve">  </v>
      </c>
      <c r="J194" s="35"/>
      <c r="K194" s="36" t="str">
        <f t="shared" si="82"/>
        <v>Y</v>
      </c>
      <c r="L194" s="37" t="str">
        <f t="shared" si="83"/>
        <v/>
      </c>
      <c r="M194" s="37" t="str">
        <f t="shared" si="70"/>
        <v xml:space="preserve">  </v>
      </c>
      <c r="N194" s="36" t="str">
        <f t="shared" si="84"/>
        <v xml:space="preserve">  </v>
      </c>
      <c r="O194" s="37" t="str">
        <f t="shared" si="85"/>
        <v/>
      </c>
      <c r="P194" s="36" t="str">
        <f t="shared" si="86"/>
        <v xml:space="preserve">  </v>
      </c>
      <c r="Q194" s="37" t="str">
        <f t="shared" si="87"/>
        <v xml:space="preserve">  </v>
      </c>
      <c r="R194" s="36" t="str">
        <f t="shared" si="88"/>
        <v xml:space="preserve">  </v>
      </c>
      <c r="S194" s="37" t="str">
        <f t="shared" si="89"/>
        <v xml:space="preserve">  </v>
      </c>
      <c r="T194" s="36" t="str">
        <f t="shared" si="90"/>
        <v xml:space="preserve">  </v>
      </c>
      <c r="U194" s="37" t="str">
        <f t="shared" si="91"/>
        <v xml:space="preserve">  </v>
      </c>
      <c r="V194" s="36" t="str">
        <f t="shared" si="92"/>
        <v xml:space="preserve">  </v>
      </c>
      <c r="W194" s="37" t="str">
        <f t="shared" si="93"/>
        <v xml:space="preserve">  </v>
      </c>
      <c r="X194" s="36" t="str">
        <f t="shared" si="94"/>
        <v xml:space="preserve">  </v>
      </c>
      <c r="Y194" s="37" t="str">
        <f t="shared" si="95"/>
        <v xml:space="preserve">  </v>
      </c>
      <c r="Z194" s="36" t="str">
        <f t="shared" si="96"/>
        <v xml:space="preserve">  </v>
      </c>
      <c r="AA194" s="37" t="str">
        <f t="shared" si="97"/>
        <v xml:space="preserve">  </v>
      </c>
      <c r="AB194" s="36" t="str">
        <f t="shared" si="98"/>
        <v xml:space="preserve">  </v>
      </c>
      <c r="AC194" s="37" t="str">
        <f t="shared" si="99"/>
        <v xml:space="preserve">  </v>
      </c>
      <c r="AD194" s="36" t="str">
        <f t="shared" si="100"/>
        <v xml:space="preserve">  </v>
      </c>
      <c r="AE194" s="37" t="str">
        <f t="shared" si="101"/>
        <v xml:space="preserve">  </v>
      </c>
      <c r="AF194" s="38" t="str">
        <f ca="1">_xlfn.IFNA(IF(AG194="",TODAY()+(VLOOKUP(A194,'Date Calcs'!A:G,7,0)*7),VLOOKUP(A194,'Actual Dates'!A:AE,21,FALSE())),"")</f>
        <v/>
      </c>
      <c r="AG194" s="38" t="str">
        <f>IF(VLOOKUP(A194,'Actual Dates'!A:AE,20,0)="","",VLOOKUP(A194,'Actual Dates'!A:AE,20,0))</f>
        <v/>
      </c>
      <c r="AH194" s="38" t="str">
        <f>_xlfn.IFNA(IF($AG194="","",IF(X194="Y","DONE",VLOOKUP(A194,'Ship Date'!A:AE,27,0))),"")</f>
        <v/>
      </c>
      <c r="AI194" s="12">
        <f t="shared" ca="1" si="71"/>
        <v>0</v>
      </c>
      <c r="AJ194" s="38" t="str">
        <f>_xlfn.IFNA(IF($AG194="","",IF(AB194="Y","DONE",VLOOKUP(A194,'Ship Date'!A:AG,29,0))),"")</f>
        <v/>
      </c>
      <c r="AK194" s="12">
        <f t="shared" ca="1" si="72"/>
        <v>0</v>
      </c>
      <c r="AL194" s="38" t="str">
        <f>_xlfn.IFNA(IF($AG194="","",IF(Z194="Y","DONE",VLOOKUP(A194,'Ship Date'!A:AI,28,0))),"")</f>
        <v/>
      </c>
      <c r="AM194" s="12">
        <f t="shared" ca="1" si="73"/>
        <v>0</v>
      </c>
      <c r="AN194" s="38" t="str">
        <f>_xlfn.IFNA(IF(T194="Y","DONE",VLOOKUP(A194,'Ship Date'!A:AE,25,0)),"")</f>
        <v/>
      </c>
      <c r="AO194" s="12">
        <f t="shared" si="74"/>
        <v>0</v>
      </c>
      <c r="AP194" s="38" t="str">
        <f>_xlfn.IFNA(IF(AD194="Y","DONE",VLOOKUP(A194,'Ship Date'!A:AE,30,0)),"")</f>
        <v/>
      </c>
      <c r="AQ194" s="12">
        <f t="shared" ca="1" si="75"/>
        <v>0</v>
      </c>
      <c r="AR194" s="38" t="str">
        <f>IFERROR(_xlfn.IFNA(VLOOKUP(A194,'Ship Date'!A:C,3,0),""),"")</f>
        <v/>
      </c>
      <c r="AS194" s="12" t="str">
        <f t="shared" ca="1" si="76"/>
        <v/>
      </c>
      <c r="AT194" s="38">
        <f>_xlfn.IFNA(IF(VLOOKUP(A194,'Actual Dates'!A:AF,32,0)="N/A"," ",VLOOKUP(A194,'Actual Dates'!A:AF,32,0))," ")</f>
        <v>0</v>
      </c>
      <c r="AU194" s="39"/>
      <c r="AV194" s="38" t="str">
        <f>_xlfn.IFNA(IF(VLOOKUP(A194,'Actual Dates'!A:AE,31,0)="","",VLOOKUP(A194,'Actual Dates'!A:AE,31,0)),"")</f>
        <v/>
      </c>
      <c r="AW194" s="40"/>
    </row>
    <row r="195" spans="1:49" ht="23.25" x14ac:dyDescent="0.25">
      <c r="A195" s="12">
        <f>'Actual Dates'!A194</f>
        <v>0</v>
      </c>
      <c r="B195" s="13" t="str">
        <f t="shared" si="68"/>
        <v/>
      </c>
      <c r="C195" s="35"/>
      <c r="D195" s="36" t="str">
        <f t="shared" si="77"/>
        <v/>
      </c>
      <c r="E195" s="37" t="str">
        <f t="shared" si="78"/>
        <v xml:space="preserve">  </v>
      </c>
      <c r="F195" s="36" t="str">
        <f t="shared" si="79"/>
        <v xml:space="preserve">  </v>
      </c>
      <c r="G195" s="37" t="str">
        <f t="shared" si="80"/>
        <v xml:space="preserve">  </v>
      </c>
      <c r="H195" s="36" t="str">
        <f t="shared" si="69"/>
        <v xml:space="preserve">  </v>
      </c>
      <c r="I195" s="37" t="str">
        <f t="shared" si="81"/>
        <v xml:space="preserve">  </v>
      </c>
      <c r="J195" s="35"/>
      <c r="K195" s="36" t="str">
        <f t="shared" si="82"/>
        <v>Y</v>
      </c>
      <c r="L195" s="37" t="str">
        <f t="shared" si="83"/>
        <v/>
      </c>
      <c r="M195" s="37" t="str">
        <f t="shared" si="70"/>
        <v xml:space="preserve">  </v>
      </c>
      <c r="N195" s="36" t="str">
        <f t="shared" si="84"/>
        <v xml:space="preserve">  </v>
      </c>
      <c r="O195" s="37" t="str">
        <f t="shared" si="85"/>
        <v/>
      </c>
      <c r="P195" s="36" t="str">
        <f t="shared" si="86"/>
        <v xml:space="preserve">  </v>
      </c>
      <c r="Q195" s="37" t="str">
        <f t="shared" si="87"/>
        <v xml:space="preserve">  </v>
      </c>
      <c r="R195" s="36" t="str">
        <f t="shared" si="88"/>
        <v xml:space="preserve">  </v>
      </c>
      <c r="S195" s="37" t="str">
        <f t="shared" si="89"/>
        <v xml:space="preserve">  </v>
      </c>
      <c r="T195" s="36" t="str">
        <f t="shared" si="90"/>
        <v xml:space="preserve">  </v>
      </c>
      <c r="U195" s="37" t="str">
        <f t="shared" si="91"/>
        <v xml:space="preserve">  </v>
      </c>
      <c r="V195" s="36" t="str">
        <f t="shared" si="92"/>
        <v xml:space="preserve">  </v>
      </c>
      <c r="W195" s="37" t="str">
        <f t="shared" si="93"/>
        <v xml:space="preserve">  </v>
      </c>
      <c r="X195" s="36" t="str">
        <f t="shared" si="94"/>
        <v xml:space="preserve">  </v>
      </c>
      <c r="Y195" s="37" t="str">
        <f t="shared" si="95"/>
        <v xml:space="preserve">  </v>
      </c>
      <c r="Z195" s="36" t="str">
        <f t="shared" si="96"/>
        <v xml:space="preserve">  </v>
      </c>
      <c r="AA195" s="37" t="str">
        <f t="shared" si="97"/>
        <v xml:space="preserve">  </v>
      </c>
      <c r="AB195" s="36" t="str">
        <f t="shared" si="98"/>
        <v xml:space="preserve">  </v>
      </c>
      <c r="AC195" s="37" t="str">
        <f t="shared" si="99"/>
        <v xml:space="preserve">  </v>
      </c>
      <c r="AD195" s="36" t="str">
        <f t="shared" si="100"/>
        <v xml:space="preserve">  </v>
      </c>
      <c r="AE195" s="37" t="str">
        <f t="shared" si="101"/>
        <v xml:space="preserve">  </v>
      </c>
      <c r="AF195" s="38" t="str">
        <f ca="1">_xlfn.IFNA(IF(AG195="",TODAY()+(VLOOKUP(A195,'Date Calcs'!A:G,7,0)*7),VLOOKUP(A195,'Actual Dates'!A:AE,21,FALSE())),"")</f>
        <v/>
      </c>
      <c r="AG195" s="38" t="str">
        <f>IF(VLOOKUP(A195,'Actual Dates'!A:AE,20,0)="","",VLOOKUP(A195,'Actual Dates'!A:AE,20,0))</f>
        <v/>
      </c>
      <c r="AH195" s="38" t="str">
        <f>_xlfn.IFNA(IF($AG195="","",IF(X195="Y","DONE",VLOOKUP(A195,'Ship Date'!A:AE,27,0))),"")</f>
        <v/>
      </c>
      <c r="AI195" s="12">
        <f t="shared" ca="1" si="71"/>
        <v>0</v>
      </c>
      <c r="AJ195" s="38" t="str">
        <f>_xlfn.IFNA(IF($AG195="","",IF(AB195="Y","DONE",VLOOKUP(A195,'Ship Date'!A:AG,29,0))),"")</f>
        <v/>
      </c>
      <c r="AK195" s="12">
        <f t="shared" ca="1" si="72"/>
        <v>0</v>
      </c>
      <c r="AL195" s="38" t="str">
        <f>_xlfn.IFNA(IF($AG195="","",IF(Z195="Y","DONE",VLOOKUP(A195,'Ship Date'!A:AI,28,0))),"")</f>
        <v/>
      </c>
      <c r="AM195" s="12">
        <f t="shared" ca="1" si="73"/>
        <v>0</v>
      </c>
      <c r="AN195" s="38" t="str">
        <f>_xlfn.IFNA(IF(T195="Y","DONE",VLOOKUP(A195,'Ship Date'!A:AE,25,0)),"")</f>
        <v/>
      </c>
      <c r="AO195" s="12">
        <f t="shared" si="74"/>
        <v>0</v>
      </c>
      <c r="AP195" s="38" t="str">
        <f>_xlfn.IFNA(IF(AD195="Y","DONE",VLOOKUP(A195,'Ship Date'!A:AE,30,0)),"")</f>
        <v/>
      </c>
      <c r="AQ195" s="12">
        <f t="shared" ca="1" si="75"/>
        <v>0</v>
      </c>
      <c r="AR195" s="38" t="str">
        <f>IFERROR(_xlfn.IFNA(VLOOKUP(A195,'Ship Date'!A:C,3,0),""),"")</f>
        <v/>
      </c>
      <c r="AS195" s="12" t="str">
        <f t="shared" ca="1" si="76"/>
        <v/>
      </c>
      <c r="AT195" s="38">
        <f>_xlfn.IFNA(IF(VLOOKUP(A195,'Actual Dates'!A:AF,32,0)="N/A"," ",VLOOKUP(A195,'Actual Dates'!A:AF,32,0))," ")</f>
        <v>0</v>
      </c>
      <c r="AU195" s="39"/>
      <c r="AV195" s="38" t="str">
        <f>_xlfn.IFNA(IF(VLOOKUP(A195,'Actual Dates'!A:AE,31,0)="","",VLOOKUP(A195,'Actual Dates'!A:AE,31,0)),"")</f>
        <v/>
      </c>
      <c r="AW195" s="40"/>
    </row>
    <row r="196" spans="1:49" ht="23.25" x14ac:dyDescent="0.25">
      <c r="A196" s="12">
        <f>'Actual Dates'!A195</f>
        <v>0</v>
      </c>
      <c r="B196" s="13" t="str">
        <f t="shared" si="68"/>
        <v/>
      </c>
      <c r="C196" s="35"/>
      <c r="D196" s="36" t="str">
        <f t="shared" si="77"/>
        <v/>
      </c>
      <c r="E196" s="37" t="str">
        <f t="shared" si="78"/>
        <v xml:space="preserve">  </v>
      </c>
      <c r="F196" s="36" t="str">
        <f t="shared" si="79"/>
        <v xml:space="preserve">  </v>
      </c>
      <c r="G196" s="37" t="str">
        <f t="shared" si="80"/>
        <v xml:space="preserve">  </v>
      </c>
      <c r="H196" s="36" t="str">
        <f t="shared" si="69"/>
        <v xml:space="preserve">  </v>
      </c>
      <c r="I196" s="37" t="str">
        <f t="shared" si="81"/>
        <v xml:space="preserve">  </v>
      </c>
      <c r="J196" s="35"/>
      <c r="K196" s="36" t="str">
        <f t="shared" si="82"/>
        <v>Y</v>
      </c>
      <c r="L196" s="37" t="str">
        <f t="shared" si="83"/>
        <v/>
      </c>
      <c r="M196" s="37" t="str">
        <f t="shared" si="70"/>
        <v xml:space="preserve">  </v>
      </c>
      <c r="N196" s="36" t="str">
        <f t="shared" si="84"/>
        <v xml:space="preserve">  </v>
      </c>
      <c r="O196" s="37" t="str">
        <f t="shared" si="85"/>
        <v/>
      </c>
      <c r="P196" s="36" t="str">
        <f t="shared" si="86"/>
        <v xml:space="preserve">  </v>
      </c>
      <c r="Q196" s="37" t="str">
        <f t="shared" si="87"/>
        <v xml:space="preserve">  </v>
      </c>
      <c r="R196" s="36" t="str">
        <f t="shared" si="88"/>
        <v xml:space="preserve">  </v>
      </c>
      <c r="S196" s="37" t="str">
        <f t="shared" si="89"/>
        <v xml:space="preserve">  </v>
      </c>
      <c r="T196" s="36" t="str">
        <f t="shared" si="90"/>
        <v xml:space="preserve">  </v>
      </c>
      <c r="U196" s="37" t="str">
        <f t="shared" si="91"/>
        <v xml:space="preserve">  </v>
      </c>
      <c r="V196" s="36" t="str">
        <f t="shared" si="92"/>
        <v xml:space="preserve">  </v>
      </c>
      <c r="W196" s="37" t="str">
        <f t="shared" si="93"/>
        <v xml:space="preserve">  </v>
      </c>
      <c r="X196" s="36" t="str">
        <f t="shared" si="94"/>
        <v xml:space="preserve">  </v>
      </c>
      <c r="Y196" s="37" t="str">
        <f t="shared" si="95"/>
        <v xml:space="preserve">  </v>
      </c>
      <c r="Z196" s="36" t="str">
        <f t="shared" si="96"/>
        <v xml:space="preserve">  </v>
      </c>
      <c r="AA196" s="37" t="str">
        <f t="shared" si="97"/>
        <v xml:space="preserve">  </v>
      </c>
      <c r="AB196" s="36" t="str">
        <f t="shared" si="98"/>
        <v xml:space="preserve">  </v>
      </c>
      <c r="AC196" s="37" t="str">
        <f t="shared" si="99"/>
        <v xml:space="preserve">  </v>
      </c>
      <c r="AD196" s="36" t="str">
        <f t="shared" si="100"/>
        <v xml:space="preserve">  </v>
      </c>
      <c r="AE196" s="37" t="str">
        <f t="shared" si="101"/>
        <v xml:space="preserve">  </v>
      </c>
      <c r="AF196" s="38" t="str">
        <f ca="1">_xlfn.IFNA(IF(AG196="",TODAY()+(VLOOKUP(A196,'Date Calcs'!A:G,7,0)*7),VLOOKUP(A196,'Actual Dates'!A:AE,21,FALSE())),"")</f>
        <v/>
      </c>
      <c r="AG196" s="38" t="str">
        <f>IF(VLOOKUP(A196,'Actual Dates'!A:AE,20,0)="","",VLOOKUP(A196,'Actual Dates'!A:AE,20,0))</f>
        <v/>
      </c>
      <c r="AH196" s="38" t="str">
        <f>_xlfn.IFNA(IF($AG196="","",IF(X196="Y","DONE",VLOOKUP(A196,'Ship Date'!A:AE,27,0))),"")</f>
        <v/>
      </c>
      <c r="AI196" s="12">
        <f t="shared" ca="1" si="71"/>
        <v>0</v>
      </c>
      <c r="AJ196" s="38" t="str">
        <f>_xlfn.IFNA(IF($AG196="","",IF(AB196="Y","DONE",VLOOKUP(A196,'Ship Date'!A:AG,29,0))),"")</f>
        <v/>
      </c>
      <c r="AK196" s="12">
        <f t="shared" ca="1" si="72"/>
        <v>0</v>
      </c>
      <c r="AL196" s="38" t="str">
        <f>_xlfn.IFNA(IF($AG196="","",IF(Z196="Y","DONE",VLOOKUP(A196,'Ship Date'!A:AI,28,0))),"")</f>
        <v/>
      </c>
      <c r="AM196" s="12">
        <f t="shared" ca="1" si="73"/>
        <v>0</v>
      </c>
      <c r="AN196" s="38" t="str">
        <f>_xlfn.IFNA(IF(T196="Y","DONE",VLOOKUP(A196,'Ship Date'!A:AE,25,0)),"")</f>
        <v/>
      </c>
      <c r="AO196" s="12">
        <f t="shared" si="74"/>
        <v>0</v>
      </c>
      <c r="AP196" s="38" t="str">
        <f>_xlfn.IFNA(IF(AD196="Y","DONE",VLOOKUP(A196,'Ship Date'!A:AE,30,0)),"")</f>
        <v/>
      </c>
      <c r="AQ196" s="12">
        <f t="shared" ca="1" si="75"/>
        <v>0</v>
      </c>
      <c r="AR196" s="38" t="str">
        <f>IFERROR(_xlfn.IFNA(VLOOKUP(A196,'Ship Date'!A:C,3,0),""),"")</f>
        <v/>
      </c>
      <c r="AS196" s="12" t="str">
        <f t="shared" ca="1" si="76"/>
        <v/>
      </c>
      <c r="AT196" s="38">
        <f>_xlfn.IFNA(IF(VLOOKUP(A196,'Actual Dates'!A:AF,32,0)="N/A"," ",VLOOKUP(A196,'Actual Dates'!A:AF,32,0))," ")</f>
        <v>0</v>
      </c>
      <c r="AU196" s="39"/>
      <c r="AV196" s="38" t="str">
        <f>_xlfn.IFNA(IF(VLOOKUP(A196,'Actual Dates'!A:AE,31,0)="","",VLOOKUP(A196,'Actual Dates'!A:AE,31,0)),"")</f>
        <v/>
      </c>
      <c r="AW196" s="40"/>
    </row>
    <row r="197" spans="1:49" ht="23.25" x14ac:dyDescent="0.25">
      <c r="A197" s="12">
        <f>'Actual Dates'!A196</f>
        <v>0</v>
      </c>
      <c r="B197" s="13" t="str">
        <f t="shared" ref="B197:B260" si="102">_xlfn.IFNA(VLOOKUP(A197,Jobs,2,),"")</f>
        <v/>
      </c>
      <c r="C197" s="35"/>
      <c r="D197" s="36" t="str">
        <f t="shared" si="77"/>
        <v/>
      </c>
      <c r="E197" s="37" t="str">
        <f t="shared" si="78"/>
        <v xml:space="preserve">  </v>
      </c>
      <c r="F197" s="36" t="str">
        <f t="shared" si="79"/>
        <v xml:space="preserve">  </v>
      </c>
      <c r="G197" s="37" t="str">
        <f t="shared" si="80"/>
        <v xml:space="preserve">  </v>
      </c>
      <c r="H197" s="36" t="str">
        <f t="shared" ref="H197:H260" si="103">_xlfn.IFNA(IF(VLOOKUP($A203,Dates,17,)&gt;0,"Y","  "),"")</f>
        <v xml:space="preserve">  </v>
      </c>
      <c r="I197" s="37" t="str">
        <f t="shared" si="81"/>
        <v xml:space="preserve">  </v>
      </c>
      <c r="J197" s="35"/>
      <c r="K197" s="36" t="str">
        <f t="shared" si="82"/>
        <v>Y</v>
      </c>
      <c r="L197" s="37" t="str">
        <f t="shared" si="83"/>
        <v/>
      </c>
      <c r="M197" s="37" t="str">
        <f t="shared" ref="M197:M260" si="104">IF(VLOOKUP($A197,Dates,20,)&gt;0,VLOOKUP($A197,Dates,20,)-VLOOKUP($A197,Jobs,20,),"  ")</f>
        <v xml:space="preserve">  </v>
      </c>
      <c r="N197" s="36" t="str">
        <f t="shared" si="84"/>
        <v xml:space="preserve">  </v>
      </c>
      <c r="O197" s="37" t="str">
        <f t="shared" si="85"/>
        <v/>
      </c>
      <c r="P197" s="36" t="str">
        <f t="shared" si="86"/>
        <v xml:space="preserve">  </v>
      </c>
      <c r="Q197" s="37" t="str">
        <f t="shared" si="87"/>
        <v xml:space="preserve">  </v>
      </c>
      <c r="R197" s="36" t="str">
        <f t="shared" si="88"/>
        <v xml:space="preserve">  </v>
      </c>
      <c r="S197" s="37" t="str">
        <f t="shared" si="89"/>
        <v xml:space="preserve">  </v>
      </c>
      <c r="T197" s="36" t="str">
        <f t="shared" si="90"/>
        <v xml:space="preserve">  </v>
      </c>
      <c r="U197" s="37" t="str">
        <f t="shared" si="91"/>
        <v xml:space="preserve">  </v>
      </c>
      <c r="V197" s="36" t="str">
        <f t="shared" si="92"/>
        <v xml:space="preserve">  </v>
      </c>
      <c r="W197" s="37" t="str">
        <f t="shared" si="93"/>
        <v xml:space="preserve">  </v>
      </c>
      <c r="X197" s="36" t="str">
        <f t="shared" si="94"/>
        <v xml:space="preserve">  </v>
      </c>
      <c r="Y197" s="37" t="str">
        <f t="shared" si="95"/>
        <v xml:space="preserve">  </v>
      </c>
      <c r="Z197" s="36" t="str">
        <f t="shared" si="96"/>
        <v xml:space="preserve">  </v>
      </c>
      <c r="AA197" s="37" t="str">
        <f t="shared" si="97"/>
        <v xml:space="preserve">  </v>
      </c>
      <c r="AB197" s="36" t="str">
        <f t="shared" si="98"/>
        <v xml:space="preserve">  </v>
      </c>
      <c r="AC197" s="37" t="str">
        <f t="shared" si="99"/>
        <v xml:space="preserve">  </v>
      </c>
      <c r="AD197" s="36" t="str">
        <f t="shared" si="100"/>
        <v xml:space="preserve">  </v>
      </c>
      <c r="AE197" s="37" t="str">
        <f t="shared" si="101"/>
        <v xml:space="preserve">  </v>
      </c>
      <c r="AF197" s="38" t="str">
        <f ca="1">_xlfn.IFNA(IF(AG197="",TODAY()+(VLOOKUP(A197,'Date Calcs'!A:G,7,0)*7),VLOOKUP(A197,'Actual Dates'!A:AE,21,FALSE())),"")</f>
        <v/>
      </c>
      <c r="AG197" s="38" t="str">
        <f>IF(VLOOKUP(A197,'Actual Dates'!A:AE,20,0)="","",VLOOKUP(A197,'Actual Dates'!A:AE,20,0))</f>
        <v/>
      </c>
      <c r="AH197" s="38" t="str">
        <f>_xlfn.IFNA(IF($AG197="","",IF(X197="Y","DONE",VLOOKUP(A197,'Ship Date'!A:AE,27,0))),"")</f>
        <v/>
      </c>
      <c r="AI197" s="12">
        <f t="shared" ref="AI197:AI260" ca="1" si="105">IFERROR(AH197-TODAY(),0)</f>
        <v>0</v>
      </c>
      <c r="AJ197" s="38" t="str">
        <f>_xlfn.IFNA(IF($AG197="","",IF(AB197="Y","DONE",VLOOKUP(A197,'Ship Date'!A:AG,29,0))),"")</f>
        <v/>
      </c>
      <c r="AK197" s="12">
        <f t="shared" ref="AK197:AK260" ca="1" si="106">IFERROR(AJ197-TODAY(),0)</f>
        <v>0</v>
      </c>
      <c r="AL197" s="38" t="str">
        <f>_xlfn.IFNA(IF($AG197="","",IF(Z197="Y","DONE",VLOOKUP(A197,'Ship Date'!A:AI,28,0))),"")</f>
        <v/>
      </c>
      <c r="AM197" s="12">
        <f t="shared" ref="AM197:AM260" ca="1" si="107">IFERROR(AL197-TODAY(),0)</f>
        <v>0</v>
      </c>
      <c r="AN197" s="38" t="str">
        <f>_xlfn.IFNA(IF(T197="Y","DONE",VLOOKUP(A197,'Ship Date'!A:AE,25,0)),"")</f>
        <v/>
      </c>
      <c r="AO197" s="12">
        <f t="shared" ref="AO197:AO260" si="108">IFERROR(AP197-AN197,0)</f>
        <v>0</v>
      </c>
      <c r="AP197" s="38" t="str">
        <f>_xlfn.IFNA(IF(AD197="Y","DONE",VLOOKUP(A197,'Ship Date'!A:AE,30,0)),"")</f>
        <v/>
      </c>
      <c r="AQ197" s="12">
        <f t="shared" ref="AQ197:AQ260" ca="1" si="109">IFERROR(AP197-TODAY(),0)</f>
        <v>0</v>
      </c>
      <c r="AR197" s="38" t="str">
        <f>IFERROR(_xlfn.IFNA(VLOOKUP(A197,'Ship Date'!A:C,3,0),""),"")</f>
        <v/>
      </c>
      <c r="AS197" s="12" t="str">
        <f t="shared" ref="AS197:AS260" ca="1" si="110">IFERROR(AF197-AR197,"")</f>
        <v/>
      </c>
      <c r="AT197" s="38">
        <f>_xlfn.IFNA(IF(VLOOKUP(A197,'Actual Dates'!A:AF,32,0)="N/A"," ",VLOOKUP(A197,'Actual Dates'!A:AF,32,0))," ")</f>
        <v>0</v>
      </c>
      <c r="AU197" s="39"/>
      <c r="AV197" s="38" t="str">
        <f>_xlfn.IFNA(IF(VLOOKUP(A197,'Actual Dates'!A:AE,31,0)="","",VLOOKUP(A197,'Actual Dates'!A:AE,31,0)),"")</f>
        <v/>
      </c>
      <c r="AW197" s="40"/>
    </row>
    <row r="198" spans="1:49" ht="23.25" x14ac:dyDescent="0.25">
      <c r="A198" s="12">
        <f>'Actual Dates'!A197</f>
        <v>0</v>
      </c>
      <c r="B198" s="13" t="str">
        <f t="shared" si="102"/>
        <v/>
      </c>
      <c r="C198" s="35"/>
      <c r="D198" s="36" t="str">
        <f t="shared" ref="D198:D260" si="111">_xlfn.IFNA(IF(VLOOKUP($A198,Jobs,8,)&gt;0,"Y","  "),"")</f>
        <v/>
      </c>
      <c r="E198" s="37" t="str">
        <f t="shared" ref="E198:E260" si="112">IFERROR(IF(VLOOKUP($A198,Dates,8,)&gt;0,VLOOKUP($A198,Dates,8,)-VLOOKUP($A198,Jobs,8,),"  "),"")</f>
        <v xml:space="preserve">  </v>
      </c>
      <c r="F198" s="36" t="str">
        <f t="shared" ref="F198:F260" si="113">_xlfn.IFNA(IF(VLOOKUP($A198,Dates,16,)&gt;0,"Y","  "),"")</f>
        <v xml:space="preserve">  </v>
      </c>
      <c r="G198" s="37" t="str">
        <f t="shared" ref="G198:G260" si="114">IFERROR(IF(VLOOKUP($A198,Dates,16,)&gt;0,VLOOKUP($A198,Dates,16,)-VLOOKUP($A198,Jobs,16,),"  "),"")</f>
        <v xml:space="preserve">  </v>
      </c>
      <c r="H198" s="36" t="str">
        <f t="shared" si="103"/>
        <v xml:space="preserve">  </v>
      </c>
      <c r="I198" s="37" t="str">
        <f t="shared" ref="I198:I260" si="115">IFERROR(IF(VLOOKUP($A204,Dates,17,)&gt;0,VLOOKUP($A204,Dates,17,)-VLOOKUP($A204,Jobs,17,),"  "),"")</f>
        <v xml:space="preserve">  </v>
      </c>
      <c r="J198" s="35"/>
      <c r="K198" s="36" t="str">
        <f t="shared" ref="K198:K260" si="116">_xlfn.IFNA(IF(VLOOKUP($A198,Dates,19,)&gt;0,"Y","  "),"")</f>
        <v>Y</v>
      </c>
      <c r="L198" s="37" t="str">
        <f t="shared" ref="L198:L260" si="117">IFERROR(IF(VLOOKUP($A198,Dates,19,)&gt;0,VLOOKUP($A198,Dates,19,)-VLOOKUP($A198,Jobs,19,),"  "),"")</f>
        <v/>
      </c>
      <c r="M198" s="37" t="str">
        <f t="shared" si="104"/>
        <v xml:space="preserve">  </v>
      </c>
      <c r="N198" s="36" t="str">
        <f t="shared" ref="N198:N260" si="118">_xlfn.IFNA(IF(VLOOKUP($A198,Dates,20,)&gt;0,"Y","  "),"")</f>
        <v xml:space="preserve">  </v>
      </c>
      <c r="O198" s="37" t="str">
        <f t="shared" ref="O198:O260" si="119">IFERROR(IF(VLOOKUP($A198,Dates,21,)&gt;0,VLOOKUP($A198,Dates,21,)-VLOOKUP($A198,Jobs,21,),"  "),"")</f>
        <v/>
      </c>
      <c r="P198" s="36" t="str">
        <f t="shared" ref="P198:P260" si="120">_xlfn.IFNA(IF(VLOOKUP($A198,Dates,22,)&gt;0,"Y","  "),"")</f>
        <v xml:space="preserve">  </v>
      </c>
      <c r="Q198" s="37" t="str">
        <f t="shared" ref="Q198:Q260" si="121">IFERROR(IF(VLOOKUP($A198,Dates,23,)&gt;0,VLOOKUP($A198,Dates,23,)-VLOOKUP($A198,Jobs,24,),"  "),"")</f>
        <v xml:space="preserve">  </v>
      </c>
      <c r="R198" s="36" t="str">
        <f t="shared" ref="R198:R260" si="122">_xlfn.IFNA(IF(VLOOKUP($A198,Dates,23,)&gt;0,"Y","  "),"")</f>
        <v xml:space="preserve">  </v>
      </c>
      <c r="S198" s="37" t="str">
        <f t="shared" ref="S198:S260" si="123">IFERROR(IF(VLOOKUP($A198,Dates,24,)&gt;0,VLOOKUP($A198,Dates,24,)-VLOOKUP($A198,Jobs,25,),"  "),"")</f>
        <v xml:space="preserve">  </v>
      </c>
      <c r="T198" s="36" t="str">
        <f t="shared" ref="T198:T260" si="124">_xlfn.IFNA(IF(VLOOKUP($A198,Dates,25,)&gt;0,"Y","  "),"")</f>
        <v xml:space="preserve">  </v>
      </c>
      <c r="U198" s="37" t="str">
        <f t="shared" ref="U198:U260" si="125">IFERROR(IF(VLOOKUP($A198,Dates,26,)&gt;0,VLOOKUP($A198,Dates,26,)-VLOOKUP($A198,Jobs,26,),"  "),"")</f>
        <v xml:space="preserve">  </v>
      </c>
      <c r="V198" s="36" t="str">
        <f t="shared" ref="V198:V260" si="126">_xlfn.IFNA(IF(VLOOKUP($A198,Dates,26,)&gt;0,"Y","  "),"")</f>
        <v xml:space="preserve">  </v>
      </c>
      <c r="W198" s="37" t="str">
        <f t="shared" ref="W198:W260" si="127">IFERROR(IF(VLOOKUP($A198,Dates,27,)&gt;0,VLOOKUP($A198,Dates,27,)-VLOOKUP($A198,Jobs,27,),"  "),"")</f>
        <v xml:space="preserve">  </v>
      </c>
      <c r="X198" s="36" t="str">
        <f t="shared" ref="X198:X260" si="128">_xlfn.IFNA(IF(VLOOKUP($A198,Dates,27,)&gt;0,"Y","  "),"")</f>
        <v xml:space="preserve">  </v>
      </c>
      <c r="Y198" s="37" t="str">
        <f t="shared" ref="Y198:Y260" si="129">IFERROR(IF(VLOOKUP($A198,Dates,28,)&gt;0,VLOOKUP($A198,Dates,28,)-VLOOKUP($A198,Jobs,28,),"  "),"")</f>
        <v xml:space="preserve">  </v>
      </c>
      <c r="Z198" s="36" t="str">
        <f t="shared" ref="Z198:Z260" si="130">_xlfn.IFNA(IF(VLOOKUP($A198,Dates,28,)&gt;0,"Y","  "),"")</f>
        <v xml:space="preserve">  </v>
      </c>
      <c r="AA198" s="37" t="str">
        <f t="shared" ref="AA198:AA260" si="131">IFERROR(IF(VLOOKUP($A198,Dates,29,)&gt;0,VLOOKUP($A198,Dates,29,)-VLOOKUP($A198,Jobs,29,),"  "),"")</f>
        <v xml:space="preserve">  </v>
      </c>
      <c r="AB198" s="36" t="str">
        <f t="shared" ref="AB198:AB260" si="132">_xlfn.IFNA(IF(VLOOKUP($A198,Dates,29,)&gt;0,"Y","  "),"")</f>
        <v xml:space="preserve">  </v>
      </c>
      <c r="AC198" s="37" t="str">
        <f t="shared" ref="AC198:AC260" si="133">IFERROR(IF(VLOOKUP($A198,Dates,30,)&gt;0,VLOOKUP($A198,Dates,30,)-VLOOKUP($A198,Jobs,30,),"  "),"")</f>
        <v xml:space="preserve">  </v>
      </c>
      <c r="AD198" s="36" t="str">
        <f t="shared" ref="AD198:AD260" si="134">_xlfn.IFNA(IF(VLOOKUP($A198,Dates,30,)&gt;0,"Y","  "),"")</f>
        <v xml:space="preserve">  </v>
      </c>
      <c r="AE198" s="37" t="str">
        <f t="shared" ref="AE198:AE260" si="135">IFERROR(IF(VLOOKUP($A198,Dates,31,)&gt;0,VLOOKUP($A198,Dates,31,)-VLOOKUP($A198,Jobs,31,),"  "),"")</f>
        <v xml:space="preserve">  </v>
      </c>
      <c r="AF198" s="38" t="str">
        <f ca="1">_xlfn.IFNA(IF(AG198="",TODAY()+(VLOOKUP(A198,'Date Calcs'!A:G,7,0)*7),VLOOKUP(A198,'Actual Dates'!A:AE,21,FALSE())),"")</f>
        <v/>
      </c>
      <c r="AG198" s="38" t="str">
        <f>IF(VLOOKUP(A198,'Actual Dates'!A:AE,20,0)="","",VLOOKUP(A198,'Actual Dates'!A:AE,20,0))</f>
        <v/>
      </c>
      <c r="AH198" s="38" t="str">
        <f>_xlfn.IFNA(IF($AG198="","",IF(X198="Y","DONE",VLOOKUP(A198,'Ship Date'!A:AE,27,0))),"")</f>
        <v/>
      </c>
      <c r="AI198" s="12">
        <f t="shared" ca="1" si="105"/>
        <v>0</v>
      </c>
      <c r="AJ198" s="38" t="str">
        <f>_xlfn.IFNA(IF($AG198="","",IF(AB198="Y","DONE",VLOOKUP(A198,'Ship Date'!A:AG,29,0))),"")</f>
        <v/>
      </c>
      <c r="AK198" s="12">
        <f t="shared" ca="1" si="106"/>
        <v>0</v>
      </c>
      <c r="AL198" s="38" t="str">
        <f>_xlfn.IFNA(IF($AG198="","",IF(Z198="Y","DONE",VLOOKUP(A198,'Ship Date'!A:AI,28,0))),"")</f>
        <v/>
      </c>
      <c r="AM198" s="12">
        <f t="shared" ca="1" si="107"/>
        <v>0</v>
      </c>
      <c r="AN198" s="38" t="str">
        <f>_xlfn.IFNA(IF(T198="Y","DONE",VLOOKUP(A198,'Ship Date'!A:AE,25,0)),"")</f>
        <v/>
      </c>
      <c r="AO198" s="12">
        <f t="shared" si="108"/>
        <v>0</v>
      </c>
      <c r="AP198" s="38" t="str">
        <f>_xlfn.IFNA(IF(AD198="Y","DONE",VLOOKUP(A198,'Ship Date'!A:AE,30,0)),"")</f>
        <v/>
      </c>
      <c r="AQ198" s="12">
        <f t="shared" ca="1" si="109"/>
        <v>0</v>
      </c>
      <c r="AR198" s="38" t="str">
        <f>IFERROR(_xlfn.IFNA(VLOOKUP(A198,'Ship Date'!A:C,3,0),""),"")</f>
        <v/>
      </c>
      <c r="AS198" s="12" t="str">
        <f t="shared" ca="1" si="110"/>
        <v/>
      </c>
      <c r="AT198" s="38">
        <f>_xlfn.IFNA(IF(VLOOKUP(A198,'Actual Dates'!A:AF,32,0)="N/A"," ",VLOOKUP(A198,'Actual Dates'!A:AF,32,0))," ")</f>
        <v>0</v>
      </c>
      <c r="AU198" s="39"/>
      <c r="AV198" s="38" t="str">
        <f>_xlfn.IFNA(IF(VLOOKUP(A198,'Actual Dates'!A:AE,31,0)="","",VLOOKUP(A198,'Actual Dates'!A:AE,31,0)),"")</f>
        <v/>
      </c>
      <c r="AW198" s="40"/>
    </row>
    <row r="199" spans="1:49" ht="23.25" x14ac:dyDescent="0.25">
      <c r="A199" s="12">
        <f>'Actual Dates'!A198</f>
        <v>0</v>
      </c>
      <c r="B199" s="13" t="str">
        <f t="shared" si="102"/>
        <v/>
      </c>
      <c r="C199" s="35"/>
      <c r="D199" s="36" t="str">
        <f t="shared" si="111"/>
        <v/>
      </c>
      <c r="E199" s="37" t="str">
        <f t="shared" si="112"/>
        <v xml:space="preserve">  </v>
      </c>
      <c r="F199" s="36" t="str">
        <f t="shared" si="113"/>
        <v xml:space="preserve">  </v>
      </c>
      <c r="G199" s="37" t="str">
        <f t="shared" si="114"/>
        <v xml:space="preserve">  </v>
      </c>
      <c r="H199" s="36" t="str">
        <f t="shared" si="103"/>
        <v xml:space="preserve">  </v>
      </c>
      <c r="I199" s="37" t="str">
        <f t="shared" si="115"/>
        <v xml:space="preserve">  </v>
      </c>
      <c r="J199" s="35"/>
      <c r="K199" s="36" t="str">
        <f t="shared" si="116"/>
        <v>Y</v>
      </c>
      <c r="L199" s="37" t="str">
        <f t="shared" si="117"/>
        <v/>
      </c>
      <c r="M199" s="37" t="str">
        <f t="shared" si="104"/>
        <v xml:space="preserve">  </v>
      </c>
      <c r="N199" s="36" t="str">
        <f t="shared" si="118"/>
        <v xml:space="preserve">  </v>
      </c>
      <c r="O199" s="37" t="str">
        <f t="shared" si="119"/>
        <v/>
      </c>
      <c r="P199" s="36" t="str">
        <f t="shared" si="120"/>
        <v xml:space="preserve">  </v>
      </c>
      <c r="Q199" s="37" t="str">
        <f t="shared" si="121"/>
        <v xml:space="preserve">  </v>
      </c>
      <c r="R199" s="36" t="str">
        <f t="shared" si="122"/>
        <v xml:space="preserve">  </v>
      </c>
      <c r="S199" s="37" t="str">
        <f t="shared" si="123"/>
        <v xml:space="preserve">  </v>
      </c>
      <c r="T199" s="36" t="str">
        <f t="shared" si="124"/>
        <v xml:space="preserve">  </v>
      </c>
      <c r="U199" s="37" t="str">
        <f t="shared" si="125"/>
        <v xml:space="preserve">  </v>
      </c>
      <c r="V199" s="36" t="str">
        <f t="shared" si="126"/>
        <v xml:space="preserve">  </v>
      </c>
      <c r="W199" s="37" t="str">
        <f t="shared" si="127"/>
        <v xml:space="preserve">  </v>
      </c>
      <c r="X199" s="36" t="str">
        <f t="shared" si="128"/>
        <v xml:space="preserve">  </v>
      </c>
      <c r="Y199" s="37" t="str">
        <f t="shared" si="129"/>
        <v xml:space="preserve">  </v>
      </c>
      <c r="Z199" s="36" t="str">
        <f t="shared" si="130"/>
        <v xml:space="preserve">  </v>
      </c>
      <c r="AA199" s="37" t="str">
        <f t="shared" si="131"/>
        <v xml:space="preserve">  </v>
      </c>
      <c r="AB199" s="36" t="str">
        <f t="shared" si="132"/>
        <v xml:space="preserve">  </v>
      </c>
      <c r="AC199" s="37" t="str">
        <f t="shared" si="133"/>
        <v xml:space="preserve">  </v>
      </c>
      <c r="AD199" s="36" t="str">
        <f t="shared" si="134"/>
        <v xml:space="preserve">  </v>
      </c>
      <c r="AE199" s="37" t="str">
        <f t="shared" si="135"/>
        <v xml:space="preserve">  </v>
      </c>
      <c r="AF199" s="38" t="str">
        <f ca="1">_xlfn.IFNA(IF(AG199="",TODAY()+(VLOOKUP(A199,'Date Calcs'!A:G,7,0)*7),VLOOKUP(A199,'Actual Dates'!A:AE,21,FALSE())),"")</f>
        <v/>
      </c>
      <c r="AG199" s="38" t="str">
        <f>IF(VLOOKUP(A199,'Actual Dates'!A:AE,20,0)="","",VLOOKUP(A199,'Actual Dates'!A:AE,20,0))</f>
        <v/>
      </c>
      <c r="AH199" s="38" t="str">
        <f>_xlfn.IFNA(IF($AG199="","",IF(X199="Y","DONE",VLOOKUP(A199,'Ship Date'!A:AE,27,0))),"")</f>
        <v/>
      </c>
      <c r="AI199" s="12">
        <f t="shared" ca="1" si="105"/>
        <v>0</v>
      </c>
      <c r="AJ199" s="38" t="str">
        <f>_xlfn.IFNA(IF($AG199="","",IF(AB199="Y","DONE",VLOOKUP(A199,'Ship Date'!A:AG,29,0))),"")</f>
        <v/>
      </c>
      <c r="AK199" s="12">
        <f t="shared" ca="1" si="106"/>
        <v>0</v>
      </c>
      <c r="AL199" s="38" t="str">
        <f>_xlfn.IFNA(IF($AG199="","",IF(Z199="Y","DONE",VLOOKUP(A199,'Ship Date'!A:AI,28,0))),"")</f>
        <v/>
      </c>
      <c r="AM199" s="12">
        <f t="shared" ca="1" si="107"/>
        <v>0</v>
      </c>
      <c r="AN199" s="38" t="str">
        <f>_xlfn.IFNA(IF(T199="Y","DONE",VLOOKUP(A199,'Ship Date'!A:AE,25,0)),"")</f>
        <v/>
      </c>
      <c r="AO199" s="12">
        <f t="shared" si="108"/>
        <v>0</v>
      </c>
      <c r="AP199" s="38" t="str">
        <f>_xlfn.IFNA(IF(AD199="Y","DONE",VLOOKUP(A199,'Ship Date'!A:AE,30,0)),"")</f>
        <v/>
      </c>
      <c r="AQ199" s="12">
        <f t="shared" ca="1" si="109"/>
        <v>0</v>
      </c>
      <c r="AR199" s="38" t="str">
        <f>IFERROR(_xlfn.IFNA(VLOOKUP(A199,'Ship Date'!A:C,3,0),""),"")</f>
        <v/>
      </c>
      <c r="AS199" s="12" t="str">
        <f t="shared" ca="1" si="110"/>
        <v/>
      </c>
      <c r="AT199" s="38">
        <f>_xlfn.IFNA(IF(VLOOKUP(A199,'Actual Dates'!A:AF,32,0)="N/A"," ",VLOOKUP(A199,'Actual Dates'!A:AF,32,0))," ")</f>
        <v>0</v>
      </c>
      <c r="AU199" s="39"/>
      <c r="AV199" s="38" t="str">
        <f>_xlfn.IFNA(IF(VLOOKUP(A199,'Actual Dates'!A:AE,31,0)="","",VLOOKUP(A199,'Actual Dates'!A:AE,31,0)),"")</f>
        <v/>
      </c>
      <c r="AW199" s="40"/>
    </row>
    <row r="200" spans="1:49" ht="23.25" x14ac:dyDescent="0.25">
      <c r="A200" s="12">
        <f>'Actual Dates'!A199</f>
        <v>0</v>
      </c>
      <c r="B200" s="13" t="str">
        <f t="shared" si="102"/>
        <v/>
      </c>
      <c r="C200" s="35"/>
      <c r="D200" s="36" t="str">
        <f t="shared" si="111"/>
        <v/>
      </c>
      <c r="E200" s="37" t="str">
        <f t="shared" si="112"/>
        <v xml:space="preserve">  </v>
      </c>
      <c r="F200" s="36" t="str">
        <f t="shared" si="113"/>
        <v xml:space="preserve">  </v>
      </c>
      <c r="G200" s="37" t="str">
        <f t="shared" si="114"/>
        <v xml:space="preserve">  </v>
      </c>
      <c r="H200" s="36" t="str">
        <f t="shared" si="103"/>
        <v xml:space="preserve">  </v>
      </c>
      <c r="I200" s="37" t="str">
        <f t="shared" si="115"/>
        <v xml:space="preserve">  </v>
      </c>
      <c r="J200" s="35"/>
      <c r="K200" s="36" t="str">
        <f t="shared" si="116"/>
        <v>Y</v>
      </c>
      <c r="L200" s="37" t="str">
        <f t="shared" si="117"/>
        <v/>
      </c>
      <c r="M200" s="37" t="str">
        <f t="shared" si="104"/>
        <v xml:space="preserve">  </v>
      </c>
      <c r="N200" s="36" t="str">
        <f t="shared" si="118"/>
        <v xml:space="preserve">  </v>
      </c>
      <c r="O200" s="37" t="str">
        <f t="shared" si="119"/>
        <v/>
      </c>
      <c r="P200" s="36" t="str">
        <f t="shared" si="120"/>
        <v xml:space="preserve">  </v>
      </c>
      <c r="Q200" s="37" t="str">
        <f t="shared" si="121"/>
        <v xml:space="preserve">  </v>
      </c>
      <c r="R200" s="36" t="str">
        <f t="shared" si="122"/>
        <v xml:space="preserve">  </v>
      </c>
      <c r="S200" s="37" t="str">
        <f t="shared" si="123"/>
        <v xml:space="preserve">  </v>
      </c>
      <c r="T200" s="36" t="str">
        <f t="shared" si="124"/>
        <v xml:space="preserve">  </v>
      </c>
      <c r="U200" s="37" t="str">
        <f t="shared" si="125"/>
        <v xml:space="preserve">  </v>
      </c>
      <c r="V200" s="36" t="str">
        <f t="shared" si="126"/>
        <v xml:space="preserve">  </v>
      </c>
      <c r="W200" s="37" t="str">
        <f t="shared" si="127"/>
        <v xml:space="preserve">  </v>
      </c>
      <c r="X200" s="36" t="str">
        <f t="shared" si="128"/>
        <v xml:space="preserve">  </v>
      </c>
      <c r="Y200" s="37" t="str">
        <f t="shared" si="129"/>
        <v xml:space="preserve">  </v>
      </c>
      <c r="Z200" s="36" t="str">
        <f t="shared" si="130"/>
        <v xml:space="preserve">  </v>
      </c>
      <c r="AA200" s="37" t="str">
        <f t="shared" si="131"/>
        <v xml:space="preserve">  </v>
      </c>
      <c r="AB200" s="36" t="str">
        <f t="shared" si="132"/>
        <v xml:space="preserve">  </v>
      </c>
      <c r="AC200" s="37" t="str">
        <f t="shared" si="133"/>
        <v xml:space="preserve">  </v>
      </c>
      <c r="AD200" s="36" t="str">
        <f t="shared" si="134"/>
        <v xml:space="preserve">  </v>
      </c>
      <c r="AE200" s="37" t="str">
        <f t="shared" si="135"/>
        <v xml:space="preserve">  </v>
      </c>
      <c r="AF200" s="38" t="str">
        <f ca="1">_xlfn.IFNA(IF(AG200="",TODAY()+(VLOOKUP(A200,'Date Calcs'!A:G,7,0)*7),VLOOKUP(A200,'Actual Dates'!A:AE,21,FALSE())),"")</f>
        <v/>
      </c>
      <c r="AG200" s="38" t="str">
        <f>IF(VLOOKUP(A200,'Actual Dates'!A:AE,20,0)="","",VLOOKUP(A200,'Actual Dates'!A:AE,20,0))</f>
        <v/>
      </c>
      <c r="AH200" s="38" t="str">
        <f>_xlfn.IFNA(IF($AG200="","",IF(X200="Y","DONE",VLOOKUP(A200,'Ship Date'!A:AE,27,0))),"")</f>
        <v/>
      </c>
      <c r="AI200" s="12">
        <f t="shared" ca="1" si="105"/>
        <v>0</v>
      </c>
      <c r="AJ200" s="38" t="str">
        <f>_xlfn.IFNA(IF($AG200="","",IF(AB200="Y","DONE",VLOOKUP(A200,'Ship Date'!A:AG,29,0))),"")</f>
        <v/>
      </c>
      <c r="AK200" s="12">
        <f t="shared" ca="1" si="106"/>
        <v>0</v>
      </c>
      <c r="AL200" s="38" t="str">
        <f>_xlfn.IFNA(IF($AG200="","",IF(Z200="Y","DONE",VLOOKUP(A200,'Ship Date'!A:AI,28,0))),"")</f>
        <v/>
      </c>
      <c r="AM200" s="12">
        <f t="shared" ca="1" si="107"/>
        <v>0</v>
      </c>
      <c r="AN200" s="38" t="str">
        <f>_xlfn.IFNA(IF(T200="Y","DONE",VLOOKUP(A200,'Ship Date'!A:AE,25,0)),"")</f>
        <v/>
      </c>
      <c r="AO200" s="12">
        <f t="shared" si="108"/>
        <v>0</v>
      </c>
      <c r="AP200" s="38" t="str">
        <f>_xlfn.IFNA(IF(AD200="Y","DONE",VLOOKUP(A200,'Ship Date'!A:AE,30,0)),"")</f>
        <v/>
      </c>
      <c r="AQ200" s="12">
        <f t="shared" ca="1" si="109"/>
        <v>0</v>
      </c>
      <c r="AR200" s="38" t="str">
        <f>IFERROR(_xlfn.IFNA(VLOOKUP(A200,'Ship Date'!A:C,3,0),""),"")</f>
        <v/>
      </c>
      <c r="AS200" s="12" t="str">
        <f t="shared" ca="1" si="110"/>
        <v/>
      </c>
      <c r="AT200" s="38">
        <f>_xlfn.IFNA(IF(VLOOKUP(A200,'Actual Dates'!A:AF,32,0)="N/A"," ",VLOOKUP(A200,'Actual Dates'!A:AF,32,0))," ")</f>
        <v>0</v>
      </c>
      <c r="AU200" s="39"/>
      <c r="AV200" s="38" t="str">
        <f>_xlfn.IFNA(IF(VLOOKUP(A200,'Actual Dates'!A:AE,31,0)="","",VLOOKUP(A200,'Actual Dates'!A:AE,31,0)),"")</f>
        <v/>
      </c>
      <c r="AW200" s="40"/>
    </row>
    <row r="201" spans="1:49" ht="23.25" x14ac:dyDescent="0.25">
      <c r="A201" s="12">
        <f>'Actual Dates'!A200</f>
        <v>0</v>
      </c>
      <c r="B201" s="13" t="str">
        <f t="shared" si="102"/>
        <v/>
      </c>
      <c r="C201" s="35"/>
      <c r="D201" s="36" t="str">
        <f t="shared" si="111"/>
        <v/>
      </c>
      <c r="E201" s="37" t="str">
        <f t="shared" si="112"/>
        <v xml:space="preserve">  </v>
      </c>
      <c r="F201" s="36" t="str">
        <f t="shared" si="113"/>
        <v xml:space="preserve">  </v>
      </c>
      <c r="G201" s="37" t="str">
        <f t="shared" si="114"/>
        <v xml:space="preserve">  </v>
      </c>
      <c r="H201" s="36" t="str">
        <f t="shared" si="103"/>
        <v xml:space="preserve">  </v>
      </c>
      <c r="I201" s="37" t="str">
        <f t="shared" si="115"/>
        <v xml:space="preserve">  </v>
      </c>
      <c r="J201" s="35"/>
      <c r="K201" s="36" t="str">
        <f t="shared" si="116"/>
        <v>Y</v>
      </c>
      <c r="L201" s="37" t="str">
        <f t="shared" si="117"/>
        <v/>
      </c>
      <c r="M201" s="37" t="str">
        <f t="shared" si="104"/>
        <v xml:space="preserve">  </v>
      </c>
      <c r="N201" s="36" t="str">
        <f t="shared" si="118"/>
        <v xml:space="preserve">  </v>
      </c>
      <c r="O201" s="37" t="str">
        <f t="shared" si="119"/>
        <v/>
      </c>
      <c r="P201" s="36" t="str">
        <f t="shared" si="120"/>
        <v xml:space="preserve">  </v>
      </c>
      <c r="Q201" s="37" t="str">
        <f t="shared" si="121"/>
        <v xml:space="preserve">  </v>
      </c>
      <c r="R201" s="36" t="str">
        <f t="shared" si="122"/>
        <v xml:space="preserve">  </v>
      </c>
      <c r="S201" s="37" t="str">
        <f t="shared" si="123"/>
        <v xml:space="preserve">  </v>
      </c>
      <c r="T201" s="36" t="str">
        <f t="shared" si="124"/>
        <v xml:space="preserve">  </v>
      </c>
      <c r="U201" s="37" t="str">
        <f t="shared" si="125"/>
        <v xml:space="preserve">  </v>
      </c>
      <c r="V201" s="36" t="str">
        <f t="shared" si="126"/>
        <v xml:space="preserve">  </v>
      </c>
      <c r="W201" s="37" t="str">
        <f t="shared" si="127"/>
        <v xml:space="preserve">  </v>
      </c>
      <c r="X201" s="36" t="str">
        <f t="shared" si="128"/>
        <v xml:space="preserve">  </v>
      </c>
      <c r="Y201" s="37" t="str">
        <f t="shared" si="129"/>
        <v xml:space="preserve">  </v>
      </c>
      <c r="Z201" s="36" t="str">
        <f t="shared" si="130"/>
        <v xml:space="preserve">  </v>
      </c>
      <c r="AA201" s="37" t="str">
        <f t="shared" si="131"/>
        <v xml:space="preserve">  </v>
      </c>
      <c r="AB201" s="36" t="str">
        <f t="shared" si="132"/>
        <v xml:space="preserve">  </v>
      </c>
      <c r="AC201" s="37" t="str">
        <f t="shared" si="133"/>
        <v xml:space="preserve">  </v>
      </c>
      <c r="AD201" s="36" t="str">
        <f t="shared" si="134"/>
        <v xml:space="preserve">  </v>
      </c>
      <c r="AE201" s="37" t="str">
        <f t="shared" si="135"/>
        <v xml:space="preserve">  </v>
      </c>
      <c r="AF201" s="38" t="str">
        <f ca="1">_xlfn.IFNA(IF(AG201="",TODAY()+(VLOOKUP(A201,'Date Calcs'!A:G,7,0)*7),VLOOKUP(A201,'Actual Dates'!A:AE,21,FALSE())),"")</f>
        <v/>
      </c>
      <c r="AG201" s="38" t="str">
        <f>IF(VLOOKUP(A201,'Actual Dates'!A:AE,20,0)="","",VLOOKUP(A201,'Actual Dates'!A:AE,20,0))</f>
        <v/>
      </c>
      <c r="AH201" s="38" t="str">
        <f>_xlfn.IFNA(IF($AG201="","",IF(X201="Y","DONE",VLOOKUP(A201,'Ship Date'!A:AE,27,0))),"")</f>
        <v/>
      </c>
      <c r="AI201" s="12">
        <f t="shared" ca="1" si="105"/>
        <v>0</v>
      </c>
      <c r="AJ201" s="38" t="str">
        <f>_xlfn.IFNA(IF($AG201="","",IF(AB201="Y","DONE",VLOOKUP(A201,'Ship Date'!A:AG,29,0))),"")</f>
        <v/>
      </c>
      <c r="AK201" s="12">
        <f t="shared" ca="1" si="106"/>
        <v>0</v>
      </c>
      <c r="AL201" s="38" t="str">
        <f>_xlfn.IFNA(IF($AG201="","",IF(Z201="Y","DONE",VLOOKUP(A201,'Ship Date'!A:AI,28,0))),"")</f>
        <v/>
      </c>
      <c r="AM201" s="12">
        <f t="shared" ca="1" si="107"/>
        <v>0</v>
      </c>
      <c r="AN201" s="38" t="str">
        <f>_xlfn.IFNA(IF(T201="Y","DONE",VLOOKUP(A201,'Ship Date'!A:AE,25,0)),"")</f>
        <v/>
      </c>
      <c r="AO201" s="12">
        <f t="shared" si="108"/>
        <v>0</v>
      </c>
      <c r="AP201" s="38" t="str">
        <f>_xlfn.IFNA(IF(AD201="Y","DONE",VLOOKUP(A201,'Ship Date'!A:AE,30,0)),"")</f>
        <v/>
      </c>
      <c r="AQ201" s="12">
        <f t="shared" ca="1" si="109"/>
        <v>0</v>
      </c>
      <c r="AR201" s="38" t="str">
        <f>IFERROR(_xlfn.IFNA(VLOOKUP(A201,'Ship Date'!A:C,3,0),""),"")</f>
        <v/>
      </c>
      <c r="AS201" s="12" t="str">
        <f t="shared" ca="1" si="110"/>
        <v/>
      </c>
      <c r="AT201" s="38">
        <f>_xlfn.IFNA(IF(VLOOKUP(A201,'Actual Dates'!A:AF,32,0)="N/A"," ",VLOOKUP(A201,'Actual Dates'!A:AF,32,0))," ")</f>
        <v>0</v>
      </c>
      <c r="AU201" s="39"/>
      <c r="AV201" s="38" t="str">
        <f>_xlfn.IFNA(IF(VLOOKUP(A201,'Actual Dates'!A:AE,31,0)="","",VLOOKUP(A201,'Actual Dates'!A:AE,31,0)),"")</f>
        <v/>
      </c>
      <c r="AW201" s="40"/>
    </row>
    <row r="202" spans="1:49" ht="23.25" x14ac:dyDescent="0.25">
      <c r="A202" s="12">
        <f>'Actual Dates'!A201</f>
        <v>0</v>
      </c>
      <c r="B202" s="13" t="str">
        <f t="shared" si="102"/>
        <v/>
      </c>
      <c r="C202" s="35"/>
      <c r="D202" s="36" t="str">
        <f t="shared" si="111"/>
        <v/>
      </c>
      <c r="E202" s="37" t="str">
        <f t="shared" si="112"/>
        <v xml:space="preserve">  </v>
      </c>
      <c r="F202" s="36" t="str">
        <f t="shared" si="113"/>
        <v xml:space="preserve">  </v>
      </c>
      <c r="G202" s="37" t="str">
        <f t="shared" si="114"/>
        <v xml:space="preserve">  </v>
      </c>
      <c r="H202" s="36" t="str">
        <f t="shared" si="103"/>
        <v xml:space="preserve">  </v>
      </c>
      <c r="I202" s="37" t="str">
        <f t="shared" si="115"/>
        <v xml:space="preserve">  </v>
      </c>
      <c r="J202" s="35"/>
      <c r="K202" s="36" t="str">
        <f t="shared" si="116"/>
        <v>Y</v>
      </c>
      <c r="L202" s="37" t="str">
        <f t="shared" si="117"/>
        <v/>
      </c>
      <c r="M202" s="37" t="str">
        <f t="shared" si="104"/>
        <v xml:space="preserve">  </v>
      </c>
      <c r="N202" s="36" t="str">
        <f t="shared" si="118"/>
        <v xml:space="preserve">  </v>
      </c>
      <c r="O202" s="37" t="str">
        <f t="shared" si="119"/>
        <v/>
      </c>
      <c r="P202" s="36" t="str">
        <f t="shared" si="120"/>
        <v xml:space="preserve">  </v>
      </c>
      <c r="Q202" s="37" t="str">
        <f t="shared" si="121"/>
        <v xml:space="preserve">  </v>
      </c>
      <c r="R202" s="36" t="str">
        <f t="shared" si="122"/>
        <v xml:space="preserve">  </v>
      </c>
      <c r="S202" s="37" t="str">
        <f t="shared" si="123"/>
        <v xml:space="preserve">  </v>
      </c>
      <c r="T202" s="36" t="str">
        <f t="shared" si="124"/>
        <v xml:space="preserve">  </v>
      </c>
      <c r="U202" s="37" t="str">
        <f t="shared" si="125"/>
        <v xml:space="preserve">  </v>
      </c>
      <c r="V202" s="36" t="str">
        <f t="shared" si="126"/>
        <v xml:space="preserve">  </v>
      </c>
      <c r="W202" s="37" t="str">
        <f t="shared" si="127"/>
        <v xml:space="preserve">  </v>
      </c>
      <c r="X202" s="36" t="str">
        <f t="shared" si="128"/>
        <v xml:space="preserve">  </v>
      </c>
      <c r="Y202" s="37" t="str">
        <f t="shared" si="129"/>
        <v xml:space="preserve">  </v>
      </c>
      <c r="Z202" s="36" t="str">
        <f t="shared" si="130"/>
        <v xml:space="preserve">  </v>
      </c>
      <c r="AA202" s="37" t="str">
        <f t="shared" si="131"/>
        <v xml:space="preserve">  </v>
      </c>
      <c r="AB202" s="36" t="str">
        <f t="shared" si="132"/>
        <v xml:space="preserve">  </v>
      </c>
      <c r="AC202" s="37" t="str">
        <f t="shared" si="133"/>
        <v xml:space="preserve">  </v>
      </c>
      <c r="AD202" s="36" t="str">
        <f t="shared" si="134"/>
        <v xml:space="preserve">  </v>
      </c>
      <c r="AE202" s="37" t="str">
        <f t="shared" si="135"/>
        <v xml:space="preserve">  </v>
      </c>
      <c r="AF202" s="38" t="str">
        <f ca="1">_xlfn.IFNA(IF(AG202="",TODAY()+(VLOOKUP(A202,'Date Calcs'!A:G,7,0)*7),VLOOKUP(A202,'Actual Dates'!A:AE,21,FALSE())),"")</f>
        <v/>
      </c>
      <c r="AG202" s="38" t="str">
        <f>IF(VLOOKUP(A202,'Actual Dates'!A:AE,20,0)="","",VLOOKUP(A202,'Actual Dates'!A:AE,20,0))</f>
        <v/>
      </c>
      <c r="AH202" s="38" t="str">
        <f>_xlfn.IFNA(IF($AG202="","",IF(X202="Y","DONE",VLOOKUP(A202,'Ship Date'!A:AE,27,0))),"")</f>
        <v/>
      </c>
      <c r="AI202" s="12">
        <f t="shared" ca="1" si="105"/>
        <v>0</v>
      </c>
      <c r="AJ202" s="38" t="str">
        <f>_xlfn.IFNA(IF($AG202="","",IF(AB202="Y","DONE",VLOOKUP(A202,'Ship Date'!A:AG,29,0))),"")</f>
        <v/>
      </c>
      <c r="AK202" s="12">
        <f t="shared" ca="1" si="106"/>
        <v>0</v>
      </c>
      <c r="AL202" s="38" t="str">
        <f>_xlfn.IFNA(IF($AG202="","",IF(Z202="Y","DONE",VLOOKUP(A202,'Ship Date'!A:AI,28,0))),"")</f>
        <v/>
      </c>
      <c r="AM202" s="12">
        <f t="shared" ca="1" si="107"/>
        <v>0</v>
      </c>
      <c r="AN202" s="38" t="str">
        <f>_xlfn.IFNA(IF(T202="Y","DONE",VLOOKUP(A202,'Ship Date'!A:AE,25,0)),"")</f>
        <v/>
      </c>
      <c r="AO202" s="12">
        <f t="shared" si="108"/>
        <v>0</v>
      </c>
      <c r="AP202" s="38" t="str">
        <f>_xlfn.IFNA(IF(AD202="Y","DONE",VLOOKUP(A202,'Ship Date'!A:AE,30,0)),"")</f>
        <v/>
      </c>
      <c r="AQ202" s="12">
        <f t="shared" ca="1" si="109"/>
        <v>0</v>
      </c>
      <c r="AR202" s="38" t="str">
        <f>IFERROR(_xlfn.IFNA(VLOOKUP(A202,'Ship Date'!A:C,3,0),""),"")</f>
        <v/>
      </c>
      <c r="AS202" s="12" t="str">
        <f t="shared" ca="1" si="110"/>
        <v/>
      </c>
      <c r="AT202" s="38">
        <f>_xlfn.IFNA(IF(VLOOKUP(A202,'Actual Dates'!A:AF,32,0)="N/A"," ",VLOOKUP(A202,'Actual Dates'!A:AF,32,0))," ")</f>
        <v>0</v>
      </c>
      <c r="AU202" s="39"/>
      <c r="AV202" s="38" t="str">
        <f>_xlfn.IFNA(IF(VLOOKUP(A202,'Actual Dates'!A:AE,31,0)="","",VLOOKUP(A202,'Actual Dates'!A:AE,31,0)),"")</f>
        <v/>
      </c>
      <c r="AW202" s="40"/>
    </row>
    <row r="203" spans="1:49" ht="23.25" x14ac:dyDescent="0.25">
      <c r="A203" s="12">
        <f>'Actual Dates'!A202</f>
        <v>0</v>
      </c>
      <c r="B203" s="13" t="str">
        <f t="shared" si="102"/>
        <v/>
      </c>
      <c r="C203" s="35"/>
      <c r="D203" s="36" t="str">
        <f t="shared" si="111"/>
        <v/>
      </c>
      <c r="E203" s="37" t="str">
        <f t="shared" si="112"/>
        <v xml:space="preserve">  </v>
      </c>
      <c r="F203" s="36" t="str">
        <f t="shared" si="113"/>
        <v xml:space="preserve">  </v>
      </c>
      <c r="G203" s="37" t="str">
        <f t="shared" si="114"/>
        <v xml:space="preserve">  </v>
      </c>
      <c r="H203" s="36" t="str">
        <f t="shared" si="103"/>
        <v xml:space="preserve">  </v>
      </c>
      <c r="I203" s="37" t="str">
        <f t="shared" si="115"/>
        <v xml:space="preserve">  </v>
      </c>
      <c r="J203" s="35"/>
      <c r="K203" s="36" t="str">
        <f t="shared" si="116"/>
        <v>Y</v>
      </c>
      <c r="L203" s="37" t="str">
        <f t="shared" si="117"/>
        <v/>
      </c>
      <c r="M203" s="37" t="str">
        <f t="shared" si="104"/>
        <v xml:space="preserve">  </v>
      </c>
      <c r="N203" s="36" t="str">
        <f t="shared" si="118"/>
        <v xml:space="preserve">  </v>
      </c>
      <c r="O203" s="37" t="str">
        <f t="shared" si="119"/>
        <v/>
      </c>
      <c r="P203" s="36" t="str">
        <f t="shared" si="120"/>
        <v xml:space="preserve">  </v>
      </c>
      <c r="Q203" s="37" t="str">
        <f t="shared" si="121"/>
        <v xml:space="preserve">  </v>
      </c>
      <c r="R203" s="36" t="str">
        <f t="shared" si="122"/>
        <v xml:space="preserve">  </v>
      </c>
      <c r="S203" s="37" t="str">
        <f t="shared" si="123"/>
        <v xml:space="preserve">  </v>
      </c>
      <c r="T203" s="36" t="str">
        <f t="shared" si="124"/>
        <v xml:space="preserve">  </v>
      </c>
      <c r="U203" s="37" t="str">
        <f t="shared" si="125"/>
        <v xml:space="preserve">  </v>
      </c>
      <c r="V203" s="36" t="str">
        <f t="shared" si="126"/>
        <v xml:space="preserve">  </v>
      </c>
      <c r="W203" s="37" t="str">
        <f t="shared" si="127"/>
        <v xml:space="preserve">  </v>
      </c>
      <c r="X203" s="36" t="str">
        <f t="shared" si="128"/>
        <v xml:space="preserve">  </v>
      </c>
      <c r="Y203" s="37" t="str">
        <f t="shared" si="129"/>
        <v xml:space="preserve">  </v>
      </c>
      <c r="Z203" s="36" t="str">
        <f t="shared" si="130"/>
        <v xml:space="preserve">  </v>
      </c>
      <c r="AA203" s="37" t="str">
        <f t="shared" si="131"/>
        <v xml:space="preserve">  </v>
      </c>
      <c r="AB203" s="36" t="str">
        <f t="shared" si="132"/>
        <v xml:space="preserve">  </v>
      </c>
      <c r="AC203" s="37" t="str">
        <f t="shared" si="133"/>
        <v xml:space="preserve">  </v>
      </c>
      <c r="AD203" s="36" t="str">
        <f t="shared" si="134"/>
        <v xml:space="preserve">  </v>
      </c>
      <c r="AE203" s="37" t="str">
        <f t="shared" si="135"/>
        <v xml:space="preserve">  </v>
      </c>
      <c r="AF203" s="38" t="str">
        <f ca="1">_xlfn.IFNA(IF(AG203="",TODAY()+(VLOOKUP(A203,'Date Calcs'!A:G,7,0)*7),VLOOKUP(A203,'Actual Dates'!A:AE,21,FALSE())),"")</f>
        <v/>
      </c>
      <c r="AG203" s="38" t="str">
        <f>IF(VLOOKUP(A203,'Actual Dates'!A:AE,20,0)="","",VLOOKUP(A203,'Actual Dates'!A:AE,20,0))</f>
        <v/>
      </c>
      <c r="AH203" s="38" t="str">
        <f>_xlfn.IFNA(IF($AG203="","",IF(X203="Y","DONE",VLOOKUP(A203,'Ship Date'!A:AE,27,0))),"")</f>
        <v/>
      </c>
      <c r="AI203" s="12">
        <f t="shared" ca="1" si="105"/>
        <v>0</v>
      </c>
      <c r="AJ203" s="38" t="str">
        <f>_xlfn.IFNA(IF($AG203="","",IF(AB203="Y","DONE",VLOOKUP(A203,'Ship Date'!A:AG,29,0))),"")</f>
        <v/>
      </c>
      <c r="AK203" s="12">
        <f t="shared" ca="1" si="106"/>
        <v>0</v>
      </c>
      <c r="AL203" s="38" t="str">
        <f>_xlfn.IFNA(IF($AG203="","",IF(Z203="Y","DONE",VLOOKUP(A203,'Ship Date'!A:AI,28,0))),"")</f>
        <v/>
      </c>
      <c r="AM203" s="12">
        <f t="shared" ca="1" si="107"/>
        <v>0</v>
      </c>
      <c r="AN203" s="38" t="str">
        <f>_xlfn.IFNA(IF(T203="Y","DONE",VLOOKUP(A203,'Ship Date'!A:AE,25,0)),"")</f>
        <v/>
      </c>
      <c r="AO203" s="12">
        <f t="shared" si="108"/>
        <v>0</v>
      </c>
      <c r="AP203" s="38" t="str">
        <f>_xlfn.IFNA(IF(AD203="Y","DONE",VLOOKUP(A203,'Ship Date'!A:AE,30,0)),"")</f>
        <v/>
      </c>
      <c r="AQ203" s="12">
        <f t="shared" ca="1" si="109"/>
        <v>0</v>
      </c>
      <c r="AR203" s="38" t="str">
        <f>IFERROR(_xlfn.IFNA(VLOOKUP(A203,'Ship Date'!A:C,3,0),""),"")</f>
        <v/>
      </c>
      <c r="AS203" s="12" t="str">
        <f t="shared" ca="1" si="110"/>
        <v/>
      </c>
      <c r="AT203" s="38">
        <f>_xlfn.IFNA(IF(VLOOKUP(A203,'Actual Dates'!A:AF,32,0)="N/A"," ",VLOOKUP(A203,'Actual Dates'!A:AF,32,0))," ")</f>
        <v>0</v>
      </c>
      <c r="AU203" s="39"/>
      <c r="AV203" s="38" t="str">
        <f>_xlfn.IFNA(IF(VLOOKUP(A203,'Actual Dates'!A:AE,31,0)="","",VLOOKUP(A203,'Actual Dates'!A:AE,31,0)),"")</f>
        <v/>
      </c>
      <c r="AW203" s="40"/>
    </row>
    <row r="204" spans="1:49" ht="23.25" x14ac:dyDescent="0.25">
      <c r="A204" s="12">
        <f>'Actual Dates'!A203</f>
        <v>0</v>
      </c>
      <c r="B204" s="13" t="str">
        <f t="shared" si="102"/>
        <v/>
      </c>
      <c r="C204" s="35"/>
      <c r="D204" s="36" t="str">
        <f t="shared" si="111"/>
        <v/>
      </c>
      <c r="E204" s="37" t="str">
        <f t="shared" si="112"/>
        <v xml:space="preserve">  </v>
      </c>
      <c r="F204" s="36" t="str">
        <f t="shared" si="113"/>
        <v xml:space="preserve">  </v>
      </c>
      <c r="G204" s="37" t="str">
        <f t="shared" si="114"/>
        <v xml:space="preserve">  </v>
      </c>
      <c r="H204" s="36" t="str">
        <f t="shared" si="103"/>
        <v xml:space="preserve">  </v>
      </c>
      <c r="I204" s="37" t="str">
        <f t="shared" si="115"/>
        <v xml:space="preserve">  </v>
      </c>
      <c r="J204" s="35"/>
      <c r="K204" s="36" t="str">
        <f t="shared" si="116"/>
        <v>Y</v>
      </c>
      <c r="L204" s="37" t="str">
        <f t="shared" si="117"/>
        <v/>
      </c>
      <c r="M204" s="37" t="str">
        <f t="shared" si="104"/>
        <v xml:space="preserve">  </v>
      </c>
      <c r="N204" s="36" t="str">
        <f t="shared" si="118"/>
        <v xml:space="preserve">  </v>
      </c>
      <c r="O204" s="37" t="str">
        <f t="shared" si="119"/>
        <v/>
      </c>
      <c r="P204" s="36" t="str">
        <f t="shared" si="120"/>
        <v xml:space="preserve">  </v>
      </c>
      <c r="Q204" s="37" t="str">
        <f t="shared" si="121"/>
        <v xml:space="preserve">  </v>
      </c>
      <c r="R204" s="36" t="str">
        <f t="shared" si="122"/>
        <v xml:space="preserve">  </v>
      </c>
      <c r="S204" s="37" t="str">
        <f t="shared" si="123"/>
        <v xml:space="preserve">  </v>
      </c>
      <c r="T204" s="36" t="str">
        <f t="shared" si="124"/>
        <v xml:space="preserve">  </v>
      </c>
      <c r="U204" s="37" t="str">
        <f t="shared" si="125"/>
        <v xml:space="preserve">  </v>
      </c>
      <c r="V204" s="36" t="str">
        <f t="shared" si="126"/>
        <v xml:space="preserve">  </v>
      </c>
      <c r="W204" s="37" t="str">
        <f t="shared" si="127"/>
        <v xml:space="preserve">  </v>
      </c>
      <c r="X204" s="36" t="str">
        <f t="shared" si="128"/>
        <v xml:space="preserve">  </v>
      </c>
      <c r="Y204" s="37" t="str">
        <f t="shared" si="129"/>
        <v xml:space="preserve">  </v>
      </c>
      <c r="Z204" s="36" t="str">
        <f t="shared" si="130"/>
        <v xml:space="preserve">  </v>
      </c>
      <c r="AA204" s="37" t="str">
        <f t="shared" si="131"/>
        <v xml:space="preserve">  </v>
      </c>
      <c r="AB204" s="36" t="str">
        <f t="shared" si="132"/>
        <v xml:space="preserve">  </v>
      </c>
      <c r="AC204" s="37" t="str">
        <f t="shared" si="133"/>
        <v xml:space="preserve">  </v>
      </c>
      <c r="AD204" s="36" t="str">
        <f t="shared" si="134"/>
        <v xml:space="preserve">  </v>
      </c>
      <c r="AE204" s="37" t="str">
        <f t="shared" si="135"/>
        <v xml:space="preserve">  </v>
      </c>
      <c r="AF204" s="38" t="str">
        <f ca="1">_xlfn.IFNA(IF(AG204="",TODAY()+(VLOOKUP(A204,'Date Calcs'!A:G,7,0)*7),VLOOKUP(A204,'Actual Dates'!A:AE,21,FALSE())),"")</f>
        <v/>
      </c>
      <c r="AG204" s="38" t="str">
        <f>IF(VLOOKUP(A204,'Actual Dates'!A:AE,20,0)="","",VLOOKUP(A204,'Actual Dates'!A:AE,20,0))</f>
        <v/>
      </c>
      <c r="AH204" s="38" t="str">
        <f>_xlfn.IFNA(IF($AG204="","",IF(X204="Y","DONE",VLOOKUP(A204,'Ship Date'!A:AE,27,0))),"")</f>
        <v/>
      </c>
      <c r="AI204" s="12">
        <f t="shared" ca="1" si="105"/>
        <v>0</v>
      </c>
      <c r="AJ204" s="38" t="str">
        <f>_xlfn.IFNA(IF($AG204="","",IF(AB204="Y","DONE",VLOOKUP(A204,'Ship Date'!A:AG,29,0))),"")</f>
        <v/>
      </c>
      <c r="AK204" s="12">
        <f t="shared" ca="1" si="106"/>
        <v>0</v>
      </c>
      <c r="AL204" s="38" t="str">
        <f>_xlfn.IFNA(IF($AG204="","",IF(Z204="Y","DONE",VLOOKUP(A204,'Ship Date'!A:AI,28,0))),"")</f>
        <v/>
      </c>
      <c r="AM204" s="12">
        <f t="shared" ca="1" si="107"/>
        <v>0</v>
      </c>
      <c r="AN204" s="38" t="str">
        <f>_xlfn.IFNA(IF(T204="Y","DONE",VLOOKUP(A204,'Ship Date'!A:AE,25,0)),"")</f>
        <v/>
      </c>
      <c r="AO204" s="12">
        <f t="shared" si="108"/>
        <v>0</v>
      </c>
      <c r="AP204" s="38" t="str">
        <f>_xlfn.IFNA(IF(AD204="Y","DONE",VLOOKUP(A204,'Ship Date'!A:AE,30,0)),"")</f>
        <v/>
      </c>
      <c r="AQ204" s="12">
        <f t="shared" ca="1" si="109"/>
        <v>0</v>
      </c>
      <c r="AR204" s="38" t="str">
        <f>IFERROR(_xlfn.IFNA(VLOOKUP(A204,'Ship Date'!A:C,3,0),""),"")</f>
        <v/>
      </c>
      <c r="AS204" s="12" t="str">
        <f t="shared" ca="1" si="110"/>
        <v/>
      </c>
      <c r="AT204" s="38">
        <f>_xlfn.IFNA(IF(VLOOKUP(A204,'Actual Dates'!A:AF,32,0)="N/A"," ",VLOOKUP(A204,'Actual Dates'!A:AF,32,0))," ")</f>
        <v>0</v>
      </c>
      <c r="AU204" s="39"/>
      <c r="AV204" s="38" t="str">
        <f>_xlfn.IFNA(IF(VLOOKUP(A204,'Actual Dates'!A:AE,31,0)="","",VLOOKUP(A204,'Actual Dates'!A:AE,31,0)),"")</f>
        <v/>
      </c>
      <c r="AW204" s="40"/>
    </row>
    <row r="205" spans="1:49" ht="23.25" x14ac:dyDescent="0.25">
      <c r="A205" s="12">
        <f>'Actual Dates'!A204</f>
        <v>0</v>
      </c>
      <c r="B205" s="13" t="str">
        <f t="shared" si="102"/>
        <v/>
      </c>
      <c r="C205" s="35"/>
      <c r="D205" s="36" t="str">
        <f t="shared" si="111"/>
        <v/>
      </c>
      <c r="E205" s="37" t="str">
        <f t="shared" si="112"/>
        <v xml:space="preserve">  </v>
      </c>
      <c r="F205" s="36" t="str">
        <f t="shared" si="113"/>
        <v xml:space="preserve">  </v>
      </c>
      <c r="G205" s="37" t="str">
        <f t="shared" si="114"/>
        <v xml:space="preserve">  </v>
      </c>
      <c r="H205" s="36" t="str">
        <f t="shared" si="103"/>
        <v xml:space="preserve">  </v>
      </c>
      <c r="I205" s="37" t="str">
        <f t="shared" si="115"/>
        <v xml:space="preserve">  </v>
      </c>
      <c r="J205" s="35"/>
      <c r="K205" s="36" t="str">
        <f t="shared" si="116"/>
        <v>Y</v>
      </c>
      <c r="L205" s="37" t="str">
        <f t="shared" si="117"/>
        <v/>
      </c>
      <c r="M205" s="37" t="str">
        <f t="shared" si="104"/>
        <v xml:space="preserve">  </v>
      </c>
      <c r="N205" s="36" t="str">
        <f t="shared" si="118"/>
        <v xml:space="preserve">  </v>
      </c>
      <c r="O205" s="37" t="str">
        <f t="shared" si="119"/>
        <v/>
      </c>
      <c r="P205" s="36" t="str">
        <f t="shared" si="120"/>
        <v xml:space="preserve">  </v>
      </c>
      <c r="Q205" s="37" t="str">
        <f t="shared" si="121"/>
        <v xml:space="preserve">  </v>
      </c>
      <c r="R205" s="36" t="str">
        <f t="shared" si="122"/>
        <v xml:space="preserve">  </v>
      </c>
      <c r="S205" s="37" t="str">
        <f t="shared" si="123"/>
        <v xml:space="preserve">  </v>
      </c>
      <c r="T205" s="36" t="str">
        <f t="shared" si="124"/>
        <v xml:space="preserve">  </v>
      </c>
      <c r="U205" s="37" t="str">
        <f t="shared" si="125"/>
        <v xml:space="preserve">  </v>
      </c>
      <c r="V205" s="36" t="str">
        <f t="shared" si="126"/>
        <v xml:space="preserve">  </v>
      </c>
      <c r="W205" s="37" t="str">
        <f t="shared" si="127"/>
        <v xml:space="preserve">  </v>
      </c>
      <c r="X205" s="36" t="str">
        <f t="shared" si="128"/>
        <v xml:space="preserve">  </v>
      </c>
      <c r="Y205" s="37" t="str">
        <f t="shared" si="129"/>
        <v xml:space="preserve">  </v>
      </c>
      <c r="Z205" s="36" t="str">
        <f t="shared" si="130"/>
        <v xml:space="preserve">  </v>
      </c>
      <c r="AA205" s="37" t="str">
        <f t="shared" si="131"/>
        <v xml:space="preserve">  </v>
      </c>
      <c r="AB205" s="36" t="str">
        <f t="shared" si="132"/>
        <v xml:space="preserve">  </v>
      </c>
      <c r="AC205" s="37" t="str">
        <f t="shared" si="133"/>
        <v xml:space="preserve">  </v>
      </c>
      <c r="AD205" s="36" t="str">
        <f t="shared" si="134"/>
        <v xml:space="preserve">  </v>
      </c>
      <c r="AE205" s="37" t="str">
        <f t="shared" si="135"/>
        <v xml:space="preserve">  </v>
      </c>
      <c r="AF205" s="38" t="str">
        <f ca="1">_xlfn.IFNA(IF(AG205="",TODAY()+(VLOOKUP(A205,'Date Calcs'!A:G,7,0)*7),VLOOKUP(A205,'Actual Dates'!A:AE,21,FALSE())),"")</f>
        <v/>
      </c>
      <c r="AG205" s="38" t="str">
        <f>IF(VLOOKUP(A205,'Actual Dates'!A:AE,20,0)="","",VLOOKUP(A205,'Actual Dates'!A:AE,20,0))</f>
        <v/>
      </c>
      <c r="AH205" s="38" t="str">
        <f>_xlfn.IFNA(IF($AG205="","",IF(X205="Y","DONE",VLOOKUP(A205,'Ship Date'!A:AE,27,0))),"")</f>
        <v/>
      </c>
      <c r="AI205" s="12">
        <f t="shared" ca="1" si="105"/>
        <v>0</v>
      </c>
      <c r="AJ205" s="38" t="str">
        <f>_xlfn.IFNA(IF($AG205="","",IF(AB205="Y","DONE",VLOOKUP(A205,'Ship Date'!A:AG,29,0))),"")</f>
        <v/>
      </c>
      <c r="AK205" s="12">
        <f t="shared" ca="1" si="106"/>
        <v>0</v>
      </c>
      <c r="AL205" s="38" t="str">
        <f>_xlfn.IFNA(IF($AG205="","",IF(Z205="Y","DONE",VLOOKUP(A205,'Ship Date'!A:AI,28,0))),"")</f>
        <v/>
      </c>
      <c r="AM205" s="12">
        <f t="shared" ca="1" si="107"/>
        <v>0</v>
      </c>
      <c r="AN205" s="38" t="str">
        <f>_xlfn.IFNA(IF(T205="Y","DONE",VLOOKUP(A205,'Ship Date'!A:AE,25,0)),"")</f>
        <v/>
      </c>
      <c r="AO205" s="12">
        <f t="shared" si="108"/>
        <v>0</v>
      </c>
      <c r="AP205" s="38" t="str">
        <f>_xlfn.IFNA(IF(AD205="Y","DONE",VLOOKUP(A205,'Ship Date'!A:AE,30,0)),"")</f>
        <v/>
      </c>
      <c r="AQ205" s="12">
        <f t="shared" ca="1" si="109"/>
        <v>0</v>
      </c>
      <c r="AR205" s="38" t="str">
        <f>IFERROR(_xlfn.IFNA(VLOOKUP(A205,'Ship Date'!A:C,3,0),""),"")</f>
        <v/>
      </c>
      <c r="AS205" s="12" t="str">
        <f t="shared" ca="1" si="110"/>
        <v/>
      </c>
      <c r="AT205" s="38">
        <f>_xlfn.IFNA(IF(VLOOKUP(A205,'Actual Dates'!A:AF,32,0)="N/A"," ",VLOOKUP(A205,'Actual Dates'!A:AF,32,0))," ")</f>
        <v>0</v>
      </c>
      <c r="AU205" s="39"/>
      <c r="AV205" s="38" t="str">
        <f>_xlfn.IFNA(IF(VLOOKUP(A205,'Actual Dates'!A:AE,31,0)="","",VLOOKUP(A205,'Actual Dates'!A:AE,31,0)),"")</f>
        <v/>
      </c>
      <c r="AW205" s="40"/>
    </row>
    <row r="206" spans="1:49" ht="23.25" x14ac:dyDescent="0.25">
      <c r="A206" s="12">
        <f>'Actual Dates'!A205</f>
        <v>0</v>
      </c>
      <c r="B206" s="13" t="str">
        <f t="shared" si="102"/>
        <v/>
      </c>
      <c r="C206" s="35"/>
      <c r="D206" s="36" t="str">
        <f t="shared" si="111"/>
        <v/>
      </c>
      <c r="E206" s="37" t="str">
        <f t="shared" si="112"/>
        <v xml:space="preserve">  </v>
      </c>
      <c r="F206" s="36" t="str">
        <f t="shared" si="113"/>
        <v xml:space="preserve">  </v>
      </c>
      <c r="G206" s="37" t="str">
        <f t="shared" si="114"/>
        <v xml:space="preserve">  </v>
      </c>
      <c r="H206" s="36" t="str">
        <f t="shared" si="103"/>
        <v xml:space="preserve">  </v>
      </c>
      <c r="I206" s="37" t="str">
        <f t="shared" si="115"/>
        <v xml:space="preserve">  </v>
      </c>
      <c r="J206" s="35"/>
      <c r="K206" s="36" t="str">
        <f t="shared" si="116"/>
        <v>Y</v>
      </c>
      <c r="L206" s="37" t="str">
        <f t="shared" si="117"/>
        <v/>
      </c>
      <c r="M206" s="37" t="str">
        <f t="shared" si="104"/>
        <v xml:space="preserve">  </v>
      </c>
      <c r="N206" s="36" t="str">
        <f t="shared" si="118"/>
        <v xml:space="preserve">  </v>
      </c>
      <c r="O206" s="37" t="str">
        <f t="shared" si="119"/>
        <v/>
      </c>
      <c r="P206" s="36" t="str">
        <f t="shared" si="120"/>
        <v xml:space="preserve">  </v>
      </c>
      <c r="Q206" s="37" t="str">
        <f t="shared" si="121"/>
        <v xml:space="preserve">  </v>
      </c>
      <c r="R206" s="36" t="str">
        <f t="shared" si="122"/>
        <v xml:space="preserve">  </v>
      </c>
      <c r="S206" s="37" t="str">
        <f t="shared" si="123"/>
        <v xml:space="preserve">  </v>
      </c>
      <c r="T206" s="36" t="str">
        <f t="shared" si="124"/>
        <v xml:space="preserve">  </v>
      </c>
      <c r="U206" s="37" t="str">
        <f t="shared" si="125"/>
        <v xml:space="preserve">  </v>
      </c>
      <c r="V206" s="36" t="str">
        <f t="shared" si="126"/>
        <v xml:space="preserve">  </v>
      </c>
      <c r="W206" s="37" t="str">
        <f t="shared" si="127"/>
        <v xml:space="preserve">  </v>
      </c>
      <c r="X206" s="36" t="str">
        <f t="shared" si="128"/>
        <v xml:space="preserve">  </v>
      </c>
      <c r="Y206" s="37" t="str">
        <f t="shared" si="129"/>
        <v xml:space="preserve">  </v>
      </c>
      <c r="Z206" s="36" t="str">
        <f t="shared" si="130"/>
        <v xml:space="preserve">  </v>
      </c>
      <c r="AA206" s="37" t="str">
        <f t="shared" si="131"/>
        <v xml:space="preserve">  </v>
      </c>
      <c r="AB206" s="36" t="str">
        <f t="shared" si="132"/>
        <v xml:space="preserve">  </v>
      </c>
      <c r="AC206" s="37" t="str">
        <f t="shared" si="133"/>
        <v xml:space="preserve">  </v>
      </c>
      <c r="AD206" s="36" t="str">
        <f t="shared" si="134"/>
        <v xml:space="preserve">  </v>
      </c>
      <c r="AE206" s="37" t="str">
        <f t="shared" si="135"/>
        <v xml:space="preserve">  </v>
      </c>
      <c r="AF206" s="38" t="str">
        <f ca="1">_xlfn.IFNA(IF(AG206="",TODAY()+(VLOOKUP(A206,'Date Calcs'!A:G,7,0)*7),VLOOKUP(A206,'Actual Dates'!A:AE,21,FALSE())),"")</f>
        <v/>
      </c>
      <c r="AG206" s="38" t="str">
        <f>IF(VLOOKUP(A206,'Actual Dates'!A:AE,20,0)="","",VLOOKUP(A206,'Actual Dates'!A:AE,20,0))</f>
        <v/>
      </c>
      <c r="AH206" s="38" t="str">
        <f>_xlfn.IFNA(IF($AG206="","",IF(X206="Y","DONE",VLOOKUP(A206,'Ship Date'!A:AE,27,0))),"")</f>
        <v/>
      </c>
      <c r="AI206" s="12">
        <f t="shared" ca="1" si="105"/>
        <v>0</v>
      </c>
      <c r="AJ206" s="38" t="str">
        <f>_xlfn.IFNA(IF($AG206="","",IF(AB206="Y","DONE",VLOOKUP(A206,'Ship Date'!A:AG,29,0))),"")</f>
        <v/>
      </c>
      <c r="AK206" s="12">
        <f t="shared" ca="1" si="106"/>
        <v>0</v>
      </c>
      <c r="AL206" s="38" t="str">
        <f>_xlfn.IFNA(IF($AG206="","",IF(Z206="Y","DONE",VLOOKUP(A206,'Ship Date'!A:AI,28,0))),"")</f>
        <v/>
      </c>
      <c r="AM206" s="12">
        <f t="shared" ca="1" si="107"/>
        <v>0</v>
      </c>
      <c r="AN206" s="38" t="str">
        <f>_xlfn.IFNA(IF(T206="Y","DONE",VLOOKUP(A206,'Ship Date'!A:AE,25,0)),"")</f>
        <v/>
      </c>
      <c r="AO206" s="12">
        <f t="shared" si="108"/>
        <v>0</v>
      </c>
      <c r="AP206" s="38" t="str">
        <f>_xlfn.IFNA(IF(AD206="Y","DONE",VLOOKUP(A206,'Ship Date'!A:AE,30,0)),"")</f>
        <v/>
      </c>
      <c r="AQ206" s="12">
        <f t="shared" ca="1" si="109"/>
        <v>0</v>
      </c>
      <c r="AR206" s="38" t="str">
        <f>IFERROR(_xlfn.IFNA(VLOOKUP(A206,'Ship Date'!A:C,3,0),""),"")</f>
        <v/>
      </c>
      <c r="AS206" s="12" t="str">
        <f t="shared" ca="1" si="110"/>
        <v/>
      </c>
      <c r="AT206" s="38">
        <f>_xlfn.IFNA(IF(VLOOKUP(A206,'Actual Dates'!A:AF,32,0)="N/A"," ",VLOOKUP(A206,'Actual Dates'!A:AF,32,0))," ")</f>
        <v>0</v>
      </c>
      <c r="AU206" s="39"/>
      <c r="AV206" s="38" t="str">
        <f>_xlfn.IFNA(IF(VLOOKUP(A206,'Actual Dates'!A:AE,31,0)="","",VLOOKUP(A206,'Actual Dates'!A:AE,31,0)),"")</f>
        <v/>
      </c>
      <c r="AW206" s="40"/>
    </row>
    <row r="207" spans="1:49" ht="23.25" x14ac:dyDescent="0.25">
      <c r="A207" s="12">
        <f>'Actual Dates'!A206</f>
        <v>0</v>
      </c>
      <c r="B207" s="13" t="str">
        <f t="shared" si="102"/>
        <v/>
      </c>
      <c r="C207" s="35"/>
      <c r="D207" s="36" t="str">
        <f t="shared" si="111"/>
        <v/>
      </c>
      <c r="E207" s="37" t="str">
        <f t="shared" si="112"/>
        <v xml:space="preserve">  </v>
      </c>
      <c r="F207" s="36" t="str">
        <f t="shared" si="113"/>
        <v xml:space="preserve">  </v>
      </c>
      <c r="G207" s="37" t="str">
        <f t="shared" si="114"/>
        <v xml:space="preserve">  </v>
      </c>
      <c r="H207" s="36" t="str">
        <f t="shared" si="103"/>
        <v xml:space="preserve">  </v>
      </c>
      <c r="I207" s="37" t="str">
        <f t="shared" si="115"/>
        <v xml:space="preserve">  </v>
      </c>
      <c r="J207" s="35"/>
      <c r="K207" s="36" t="str">
        <f t="shared" si="116"/>
        <v>Y</v>
      </c>
      <c r="L207" s="37" t="str">
        <f t="shared" si="117"/>
        <v/>
      </c>
      <c r="M207" s="37" t="str">
        <f t="shared" si="104"/>
        <v xml:space="preserve">  </v>
      </c>
      <c r="N207" s="36" t="str">
        <f t="shared" si="118"/>
        <v xml:space="preserve">  </v>
      </c>
      <c r="O207" s="37" t="str">
        <f t="shared" si="119"/>
        <v/>
      </c>
      <c r="P207" s="36" t="str">
        <f t="shared" si="120"/>
        <v xml:space="preserve">  </v>
      </c>
      <c r="Q207" s="37" t="str">
        <f t="shared" si="121"/>
        <v xml:space="preserve">  </v>
      </c>
      <c r="R207" s="36" t="str">
        <f t="shared" si="122"/>
        <v xml:space="preserve">  </v>
      </c>
      <c r="S207" s="37" t="str">
        <f t="shared" si="123"/>
        <v xml:space="preserve">  </v>
      </c>
      <c r="T207" s="36" t="str">
        <f t="shared" si="124"/>
        <v xml:space="preserve">  </v>
      </c>
      <c r="U207" s="37" t="str">
        <f t="shared" si="125"/>
        <v xml:space="preserve">  </v>
      </c>
      <c r="V207" s="36" t="str">
        <f t="shared" si="126"/>
        <v xml:space="preserve">  </v>
      </c>
      <c r="W207" s="37" t="str">
        <f t="shared" si="127"/>
        <v xml:space="preserve">  </v>
      </c>
      <c r="X207" s="36" t="str">
        <f t="shared" si="128"/>
        <v xml:space="preserve">  </v>
      </c>
      <c r="Y207" s="37" t="str">
        <f t="shared" si="129"/>
        <v xml:space="preserve">  </v>
      </c>
      <c r="Z207" s="36" t="str">
        <f t="shared" si="130"/>
        <v xml:space="preserve">  </v>
      </c>
      <c r="AA207" s="37" t="str">
        <f t="shared" si="131"/>
        <v xml:space="preserve">  </v>
      </c>
      <c r="AB207" s="36" t="str">
        <f t="shared" si="132"/>
        <v xml:space="preserve">  </v>
      </c>
      <c r="AC207" s="37" t="str">
        <f t="shared" si="133"/>
        <v xml:space="preserve">  </v>
      </c>
      <c r="AD207" s="36" t="str">
        <f t="shared" si="134"/>
        <v xml:space="preserve">  </v>
      </c>
      <c r="AE207" s="37" t="str">
        <f t="shared" si="135"/>
        <v xml:space="preserve">  </v>
      </c>
      <c r="AF207" s="38" t="str">
        <f ca="1">_xlfn.IFNA(IF(AG207="",TODAY()+(VLOOKUP(A207,'Date Calcs'!A:G,7,0)*7),VLOOKUP(A207,'Actual Dates'!A:AE,21,FALSE())),"")</f>
        <v/>
      </c>
      <c r="AG207" s="38" t="str">
        <f>IF(VLOOKUP(A207,'Actual Dates'!A:AE,20,0)="","",VLOOKUP(A207,'Actual Dates'!A:AE,20,0))</f>
        <v/>
      </c>
      <c r="AH207" s="38" t="str">
        <f>_xlfn.IFNA(IF($AG207="","",IF(X207="Y","DONE",VLOOKUP(A207,'Ship Date'!A:AE,27,0))),"")</f>
        <v/>
      </c>
      <c r="AI207" s="12">
        <f t="shared" ca="1" si="105"/>
        <v>0</v>
      </c>
      <c r="AJ207" s="38" t="str">
        <f>_xlfn.IFNA(IF($AG207="","",IF(AB207="Y","DONE",VLOOKUP(A207,'Ship Date'!A:AG,29,0))),"")</f>
        <v/>
      </c>
      <c r="AK207" s="12">
        <f t="shared" ca="1" si="106"/>
        <v>0</v>
      </c>
      <c r="AL207" s="38" t="str">
        <f>_xlfn.IFNA(IF($AG207="","",IF(Z207="Y","DONE",VLOOKUP(A207,'Ship Date'!A:AI,28,0))),"")</f>
        <v/>
      </c>
      <c r="AM207" s="12">
        <f t="shared" ca="1" si="107"/>
        <v>0</v>
      </c>
      <c r="AN207" s="38" t="str">
        <f>_xlfn.IFNA(IF(T207="Y","DONE",VLOOKUP(A207,'Ship Date'!A:AE,25,0)),"")</f>
        <v/>
      </c>
      <c r="AO207" s="12">
        <f t="shared" si="108"/>
        <v>0</v>
      </c>
      <c r="AP207" s="38" t="str">
        <f>_xlfn.IFNA(IF(AD207="Y","DONE",VLOOKUP(A207,'Ship Date'!A:AE,30,0)),"")</f>
        <v/>
      </c>
      <c r="AQ207" s="12">
        <f t="shared" ca="1" si="109"/>
        <v>0</v>
      </c>
      <c r="AR207" s="38" t="str">
        <f>IFERROR(_xlfn.IFNA(VLOOKUP(A207,'Ship Date'!A:C,3,0),""),"")</f>
        <v/>
      </c>
      <c r="AS207" s="12" t="str">
        <f t="shared" ca="1" si="110"/>
        <v/>
      </c>
      <c r="AT207" s="38">
        <f>_xlfn.IFNA(IF(VLOOKUP(A207,'Actual Dates'!A:AF,32,0)="N/A"," ",VLOOKUP(A207,'Actual Dates'!A:AF,32,0))," ")</f>
        <v>0</v>
      </c>
      <c r="AU207" s="39"/>
      <c r="AV207" s="38" t="str">
        <f>_xlfn.IFNA(IF(VLOOKUP(A207,'Actual Dates'!A:AE,31,0)="","",VLOOKUP(A207,'Actual Dates'!A:AE,31,0)),"")</f>
        <v/>
      </c>
      <c r="AW207" s="40"/>
    </row>
    <row r="208" spans="1:49" ht="23.25" x14ac:dyDescent="0.25">
      <c r="A208" s="12">
        <f>'Actual Dates'!A207</f>
        <v>0</v>
      </c>
      <c r="B208" s="13" t="str">
        <f t="shared" si="102"/>
        <v/>
      </c>
      <c r="C208" s="35"/>
      <c r="D208" s="36" t="str">
        <f t="shared" si="111"/>
        <v/>
      </c>
      <c r="E208" s="37" t="str">
        <f t="shared" si="112"/>
        <v xml:space="preserve">  </v>
      </c>
      <c r="F208" s="36" t="str">
        <f t="shared" si="113"/>
        <v xml:space="preserve">  </v>
      </c>
      <c r="G208" s="37" t="str">
        <f t="shared" si="114"/>
        <v xml:space="preserve">  </v>
      </c>
      <c r="H208" s="36" t="str">
        <f t="shared" si="103"/>
        <v xml:space="preserve">  </v>
      </c>
      <c r="I208" s="37" t="str">
        <f t="shared" si="115"/>
        <v xml:space="preserve">  </v>
      </c>
      <c r="J208" s="35"/>
      <c r="K208" s="36" t="str">
        <f t="shared" si="116"/>
        <v>Y</v>
      </c>
      <c r="L208" s="37" t="str">
        <f t="shared" si="117"/>
        <v/>
      </c>
      <c r="M208" s="37" t="str">
        <f t="shared" si="104"/>
        <v xml:space="preserve">  </v>
      </c>
      <c r="N208" s="36" t="str">
        <f t="shared" si="118"/>
        <v xml:space="preserve">  </v>
      </c>
      <c r="O208" s="37" t="str">
        <f t="shared" si="119"/>
        <v/>
      </c>
      <c r="P208" s="36" t="str">
        <f t="shared" si="120"/>
        <v xml:space="preserve">  </v>
      </c>
      <c r="Q208" s="37" t="str">
        <f t="shared" si="121"/>
        <v xml:space="preserve">  </v>
      </c>
      <c r="R208" s="36" t="str">
        <f t="shared" si="122"/>
        <v xml:space="preserve">  </v>
      </c>
      <c r="S208" s="37" t="str">
        <f t="shared" si="123"/>
        <v xml:space="preserve">  </v>
      </c>
      <c r="T208" s="36" t="str">
        <f t="shared" si="124"/>
        <v xml:space="preserve">  </v>
      </c>
      <c r="U208" s="37" t="str">
        <f t="shared" si="125"/>
        <v xml:space="preserve">  </v>
      </c>
      <c r="V208" s="36" t="str">
        <f t="shared" si="126"/>
        <v xml:space="preserve">  </v>
      </c>
      <c r="W208" s="37" t="str">
        <f t="shared" si="127"/>
        <v xml:space="preserve">  </v>
      </c>
      <c r="X208" s="36" t="str">
        <f t="shared" si="128"/>
        <v xml:space="preserve">  </v>
      </c>
      <c r="Y208" s="37" t="str">
        <f t="shared" si="129"/>
        <v xml:space="preserve">  </v>
      </c>
      <c r="Z208" s="36" t="str">
        <f t="shared" si="130"/>
        <v xml:space="preserve">  </v>
      </c>
      <c r="AA208" s="37" t="str">
        <f t="shared" si="131"/>
        <v xml:space="preserve">  </v>
      </c>
      <c r="AB208" s="36" t="str">
        <f t="shared" si="132"/>
        <v xml:space="preserve">  </v>
      </c>
      <c r="AC208" s="37" t="str">
        <f t="shared" si="133"/>
        <v xml:space="preserve">  </v>
      </c>
      <c r="AD208" s="36" t="str">
        <f t="shared" si="134"/>
        <v xml:space="preserve">  </v>
      </c>
      <c r="AE208" s="37" t="str">
        <f t="shared" si="135"/>
        <v xml:space="preserve">  </v>
      </c>
      <c r="AF208" s="38" t="str">
        <f ca="1">_xlfn.IFNA(IF(AG208="",TODAY()+(VLOOKUP(A208,'Date Calcs'!A:G,7,0)*7),VLOOKUP(A208,'Actual Dates'!A:AE,21,FALSE())),"")</f>
        <v/>
      </c>
      <c r="AG208" s="38" t="str">
        <f>IF(VLOOKUP(A208,'Actual Dates'!A:AE,20,0)="","",VLOOKUP(A208,'Actual Dates'!A:AE,20,0))</f>
        <v/>
      </c>
      <c r="AH208" s="38" t="str">
        <f>_xlfn.IFNA(IF($AG208="","",IF(X208="Y","DONE",VLOOKUP(A208,'Ship Date'!A:AE,27,0))),"")</f>
        <v/>
      </c>
      <c r="AI208" s="12">
        <f t="shared" ca="1" si="105"/>
        <v>0</v>
      </c>
      <c r="AJ208" s="38" t="str">
        <f>_xlfn.IFNA(IF($AG208="","",IF(AB208="Y","DONE",VLOOKUP(A208,'Ship Date'!A:AG,29,0))),"")</f>
        <v/>
      </c>
      <c r="AK208" s="12">
        <f t="shared" ca="1" si="106"/>
        <v>0</v>
      </c>
      <c r="AL208" s="38" t="str">
        <f>_xlfn.IFNA(IF($AG208="","",IF(Z208="Y","DONE",VLOOKUP(A208,'Ship Date'!A:AI,28,0))),"")</f>
        <v/>
      </c>
      <c r="AM208" s="12">
        <f t="shared" ca="1" si="107"/>
        <v>0</v>
      </c>
      <c r="AN208" s="38" t="str">
        <f>_xlfn.IFNA(IF(T208="Y","DONE",VLOOKUP(A208,'Ship Date'!A:AE,25,0)),"")</f>
        <v/>
      </c>
      <c r="AO208" s="12">
        <f t="shared" si="108"/>
        <v>0</v>
      </c>
      <c r="AP208" s="38" t="str">
        <f>_xlfn.IFNA(IF(AD208="Y","DONE",VLOOKUP(A208,'Ship Date'!A:AE,30,0)),"")</f>
        <v/>
      </c>
      <c r="AQ208" s="12">
        <f t="shared" ca="1" si="109"/>
        <v>0</v>
      </c>
      <c r="AR208" s="38" t="str">
        <f>IFERROR(_xlfn.IFNA(VLOOKUP(A208,'Ship Date'!A:C,3,0),""),"")</f>
        <v/>
      </c>
      <c r="AS208" s="12" t="str">
        <f t="shared" ca="1" si="110"/>
        <v/>
      </c>
      <c r="AT208" s="38">
        <f>_xlfn.IFNA(IF(VLOOKUP(A208,'Actual Dates'!A:AF,32,0)="N/A"," ",VLOOKUP(A208,'Actual Dates'!A:AF,32,0))," ")</f>
        <v>0</v>
      </c>
      <c r="AU208" s="39"/>
      <c r="AV208" s="38" t="str">
        <f>_xlfn.IFNA(IF(VLOOKUP(A208,'Actual Dates'!A:AE,31,0)="","",VLOOKUP(A208,'Actual Dates'!A:AE,31,0)),"")</f>
        <v/>
      </c>
      <c r="AW208" s="40"/>
    </row>
    <row r="209" spans="1:49" ht="23.25" x14ac:dyDescent="0.25">
      <c r="A209" s="12">
        <f>'Actual Dates'!A208</f>
        <v>0</v>
      </c>
      <c r="B209" s="13" t="str">
        <f t="shared" si="102"/>
        <v/>
      </c>
      <c r="C209" s="35"/>
      <c r="D209" s="36" t="str">
        <f t="shared" si="111"/>
        <v/>
      </c>
      <c r="E209" s="37" t="str">
        <f t="shared" si="112"/>
        <v xml:space="preserve">  </v>
      </c>
      <c r="F209" s="36" t="str">
        <f t="shared" si="113"/>
        <v xml:space="preserve">  </v>
      </c>
      <c r="G209" s="37" t="str">
        <f t="shared" si="114"/>
        <v xml:space="preserve">  </v>
      </c>
      <c r="H209" s="36" t="str">
        <f t="shared" si="103"/>
        <v xml:space="preserve">  </v>
      </c>
      <c r="I209" s="37" t="str">
        <f t="shared" si="115"/>
        <v xml:space="preserve">  </v>
      </c>
      <c r="J209" s="35"/>
      <c r="K209" s="36" t="str">
        <f t="shared" si="116"/>
        <v>Y</v>
      </c>
      <c r="L209" s="37" t="str">
        <f t="shared" si="117"/>
        <v/>
      </c>
      <c r="M209" s="37" t="str">
        <f t="shared" si="104"/>
        <v xml:space="preserve">  </v>
      </c>
      <c r="N209" s="36" t="str">
        <f t="shared" si="118"/>
        <v xml:space="preserve">  </v>
      </c>
      <c r="O209" s="37" t="str">
        <f t="shared" si="119"/>
        <v/>
      </c>
      <c r="P209" s="36" t="str">
        <f t="shared" si="120"/>
        <v xml:space="preserve">  </v>
      </c>
      <c r="Q209" s="37" t="str">
        <f t="shared" si="121"/>
        <v xml:space="preserve">  </v>
      </c>
      <c r="R209" s="36" t="str">
        <f t="shared" si="122"/>
        <v xml:space="preserve">  </v>
      </c>
      <c r="S209" s="37" t="str">
        <f t="shared" si="123"/>
        <v xml:space="preserve">  </v>
      </c>
      <c r="T209" s="36" t="str">
        <f t="shared" si="124"/>
        <v xml:space="preserve">  </v>
      </c>
      <c r="U209" s="37" t="str">
        <f t="shared" si="125"/>
        <v xml:space="preserve">  </v>
      </c>
      <c r="V209" s="36" t="str">
        <f t="shared" si="126"/>
        <v xml:space="preserve">  </v>
      </c>
      <c r="W209" s="37" t="str">
        <f t="shared" si="127"/>
        <v xml:space="preserve">  </v>
      </c>
      <c r="X209" s="36" t="str">
        <f t="shared" si="128"/>
        <v xml:space="preserve">  </v>
      </c>
      <c r="Y209" s="37" t="str">
        <f t="shared" si="129"/>
        <v xml:space="preserve">  </v>
      </c>
      <c r="Z209" s="36" t="str">
        <f t="shared" si="130"/>
        <v xml:space="preserve">  </v>
      </c>
      <c r="AA209" s="37" t="str">
        <f t="shared" si="131"/>
        <v xml:space="preserve">  </v>
      </c>
      <c r="AB209" s="36" t="str">
        <f t="shared" si="132"/>
        <v xml:space="preserve">  </v>
      </c>
      <c r="AC209" s="37" t="str">
        <f t="shared" si="133"/>
        <v xml:space="preserve">  </v>
      </c>
      <c r="AD209" s="36" t="str">
        <f t="shared" si="134"/>
        <v xml:space="preserve">  </v>
      </c>
      <c r="AE209" s="37" t="str">
        <f t="shared" si="135"/>
        <v xml:space="preserve">  </v>
      </c>
      <c r="AF209" s="38" t="str">
        <f ca="1">_xlfn.IFNA(IF(AG209="",TODAY()+(VLOOKUP(A209,'Date Calcs'!A:G,7,0)*7),VLOOKUP(A209,'Actual Dates'!A:AE,21,FALSE())),"")</f>
        <v/>
      </c>
      <c r="AG209" s="38" t="str">
        <f>IF(VLOOKUP(A209,'Actual Dates'!A:AE,20,0)="","",VLOOKUP(A209,'Actual Dates'!A:AE,20,0))</f>
        <v/>
      </c>
      <c r="AH209" s="38" t="str">
        <f>_xlfn.IFNA(IF($AG209="","",IF(X209="Y","DONE",VLOOKUP(A209,'Ship Date'!A:AE,27,0))),"")</f>
        <v/>
      </c>
      <c r="AI209" s="12">
        <f t="shared" ca="1" si="105"/>
        <v>0</v>
      </c>
      <c r="AJ209" s="38" t="str">
        <f>_xlfn.IFNA(IF($AG209="","",IF(AB209="Y","DONE",VLOOKUP(A209,'Ship Date'!A:AG,29,0))),"")</f>
        <v/>
      </c>
      <c r="AK209" s="12">
        <f t="shared" ca="1" si="106"/>
        <v>0</v>
      </c>
      <c r="AL209" s="38" t="str">
        <f>_xlfn.IFNA(IF($AG209="","",IF(Z209="Y","DONE",VLOOKUP(A209,'Ship Date'!A:AI,28,0))),"")</f>
        <v/>
      </c>
      <c r="AM209" s="12">
        <f t="shared" ca="1" si="107"/>
        <v>0</v>
      </c>
      <c r="AN209" s="38" t="str">
        <f>_xlfn.IFNA(IF(T209="Y","DONE",VLOOKUP(A209,'Ship Date'!A:AE,25,0)),"")</f>
        <v/>
      </c>
      <c r="AO209" s="12">
        <f t="shared" si="108"/>
        <v>0</v>
      </c>
      <c r="AP209" s="38" t="str">
        <f>_xlfn.IFNA(IF(AD209="Y","DONE",VLOOKUP(A209,'Ship Date'!A:AE,30,0)),"")</f>
        <v/>
      </c>
      <c r="AQ209" s="12">
        <f t="shared" ca="1" si="109"/>
        <v>0</v>
      </c>
      <c r="AR209" s="38" t="str">
        <f>IFERROR(_xlfn.IFNA(VLOOKUP(A209,'Ship Date'!A:C,3,0),""),"")</f>
        <v/>
      </c>
      <c r="AS209" s="12" t="str">
        <f t="shared" ca="1" si="110"/>
        <v/>
      </c>
      <c r="AT209" s="38">
        <f>_xlfn.IFNA(IF(VLOOKUP(A209,'Actual Dates'!A:AF,32,0)="N/A"," ",VLOOKUP(A209,'Actual Dates'!A:AF,32,0))," ")</f>
        <v>0</v>
      </c>
      <c r="AU209" s="39"/>
      <c r="AV209" s="38" t="str">
        <f>_xlfn.IFNA(IF(VLOOKUP(A209,'Actual Dates'!A:AE,31,0)="","",VLOOKUP(A209,'Actual Dates'!A:AE,31,0)),"")</f>
        <v/>
      </c>
      <c r="AW209" s="40"/>
    </row>
    <row r="210" spans="1:49" ht="23.25" x14ac:dyDescent="0.25">
      <c r="A210" s="12">
        <f>'Actual Dates'!A209</f>
        <v>0</v>
      </c>
      <c r="B210" s="13" t="str">
        <f t="shared" si="102"/>
        <v/>
      </c>
      <c r="C210" s="35"/>
      <c r="D210" s="36" t="str">
        <f t="shared" si="111"/>
        <v/>
      </c>
      <c r="E210" s="37" t="str">
        <f t="shared" si="112"/>
        <v xml:space="preserve">  </v>
      </c>
      <c r="F210" s="36" t="str">
        <f t="shared" si="113"/>
        <v xml:space="preserve">  </v>
      </c>
      <c r="G210" s="37" t="str">
        <f t="shared" si="114"/>
        <v xml:space="preserve">  </v>
      </c>
      <c r="H210" s="36" t="str">
        <f t="shared" si="103"/>
        <v xml:space="preserve">  </v>
      </c>
      <c r="I210" s="37" t="str">
        <f t="shared" si="115"/>
        <v xml:space="preserve">  </v>
      </c>
      <c r="J210" s="35"/>
      <c r="K210" s="36" t="str">
        <f t="shared" si="116"/>
        <v>Y</v>
      </c>
      <c r="L210" s="37" t="str">
        <f t="shared" si="117"/>
        <v/>
      </c>
      <c r="M210" s="37" t="str">
        <f t="shared" si="104"/>
        <v xml:space="preserve">  </v>
      </c>
      <c r="N210" s="36" t="str">
        <f t="shared" si="118"/>
        <v xml:space="preserve">  </v>
      </c>
      <c r="O210" s="37" t="str">
        <f t="shared" si="119"/>
        <v/>
      </c>
      <c r="P210" s="36" t="str">
        <f t="shared" si="120"/>
        <v xml:space="preserve">  </v>
      </c>
      <c r="Q210" s="37" t="str">
        <f t="shared" si="121"/>
        <v xml:space="preserve">  </v>
      </c>
      <c r="R210" s="36" t="str">
        <f t="shared" si="122"/>
        <v xml:space="preserve">  </v>
      </c>
      <c r="S210" s="37" t="str">
        <f t="shared" si="123"/>
        <v xml:space="preserve">  </v>
      </c>
      <c r="T210" s="36" t="str">
        <f t="shared" si="124"/>
        <v xml:space="preserve">  </v>
      </c>
      <c r="U210" s="37" t="str">
        <f t="shared" si="125"/>
        <v xml:space="preserve">  </v>
      </c>
      <c r="V210" s="36" t="str">
        <f t="shared" si="126"/>
        <v xml:space="preserve">  </v>
      </c>
      <c r="W210" s="37" t="str">
        <f t="shared" si="127"/>
        <v xml:space="preserve">  </v>
      </c>
      <c r="X210" s="36" t="str">
        <f t="shared" si="128"/>
        <v xml:space="preserve">  </v>
      </c>
      <c r="Y210" s="37" t="str">
        <f t="shared" si="129"/>
        <v xml:space="preserve">  </v>
      </c>
      <c r="Z210" s="36" t="str">
        <f t="shared" si="130"/>
        <v xml:space="preserve">  </v>
      </c>
      <c r="AA210" s="37" t="str">
        <f t="shared" si="131"/>
        <v xml:space="preserve">  </v>
      </c>
      <c r="AB210" s="36" t="str">
        <f t="shared" si="132"/>
        <v xml:space="preserve">  </v>
      </c>
      <c r="AC210" s="37" t="str">
        <f t="shared" si="133"/>
        <v xml:space="preserve">  </v>
      </c>
      <c r="AD210" s="36" t="str">
        <f t="shared" si="134"/>
        <v xml:space="preserve">  </v>
      </c>
      <c r="AE210" s="37" t="str">
        <f t="shared" si="135"/>
        <v xml:space="preserve">  </v>
      </c>
      <c r="AF210" s="38" t="str">
        <f ca="1">_xlfn.IFNA(IF(AG210="",TODAY()+(VLOOKUP(A210,'Date Calcs'!A:G,7,0)*7),VLOOKUP(A210,'Actual Dates'!A:AE,21,FALSE())),"")</f>
        <v/>
      </c>
      <c r="AG210" s="38" t="str">
        <f>IF(VLOOKUP(A210,'Actual Dates'!A:AE,20,0)="","",VLOOKUP(A210,'Actual Dates'!A:AE,20,0))</f>
        <v/>
      </c>
      <c r="AH210" s="38" t="str">
        <f>_xlfn.IFNA(IF($AG210="","",IF(X210="Y","DONE",VLOOKUP(A210,'Ship Date'!A:AE,27,0))),"")</f>
        <v/>
      </c>
      <c r="AI210" s="12">
        <f t="shared" ca="1" si="105"/>
        <v>0</v>
      </c>
      <c r="AJ210" s="38" t="str">
        <f>_xlfn.IFNA(IF($AG210="","",IF(AB210="Y","DONE",VLOOKUP(A210,'Ship Date'!A:AG,29,0))),"")</f>
        <v/>
      </c>
      <c r="AK210" s="12">
        <f t="shared" ca="1" si="106"/>
        <v>0</v>
      </c>
      <c r="AL210" s="38" t="str">
        <f>_xlfn.IFNA(IF($AG210="","",IF(Z210="Y","DONE",VLOOKUP(A210,'Ship Date'!A:AI,28,0))),"")</f>
        <v/>
      </c>
      <c r="AM210" s="12">
        <f t="shared" ca="1" si="107"/>
        <v>0</v>
      </c>
      <c r="AN210" s="38" t="str">
        <f>_xlfn.IFNA(IF(T210="Y","DONE",VLOOKUP(A210,'Ship Date'!A:AE,25,0)),"")</f>
        <v/>
      </c>
      <c r="AO210" s="12">
        <f t="shared" si="108"/>
        <v>0</v>
      </c>
      <c r="AP210" s="38" t="str">
        <f>_xlfn.IFNA(IF(AD210="Y","DONE",VLOOKUP(A210,'Ship Date'!A:AE,30,0)),"")</f>
        <v/>
      </c>
      <c r="AQ210" s="12">
        <f t="shared" ca="1" si="109"/>
        <v>0</v>
      </c>
      <c r="AR210" s="38" t="str">
        <f>IFERROR(_xlfn.IFNA(VLOOKUP(A210,'Ship Date'!A:C,3,0),""),"")</f>
        <v/>
      </c>
      <c r="AS210" s="12" t="str">
        <f t="shared" ca="1" si="110"/>
        <v/>
      </c>
      <c r="AT210" s="38">
        <f>_xlfn.IFNA(IF(VLOOKUP(A210,'Actual Dates'!A:AF,32,0)="N/A"," ",VLOOKUP(A210,'Actual Dates'!A:AF,32,0))," ")</f>
        <v>0</v>
      </c>
      <c r="AU210" s="39"/>
      <c r="AV210" s="38" t="str">
        <f>_xlfn.IFNA(IF(VLOOKUP(A210,'Actual Dates'!A:AE,31,0)="","",VLOOKUP(A210,'Actual Dates'!A:AE,31,0)),"")</f>
        <v/>
      </c>
      <c r="AW210" s="40"/>
    </row>
    <row r="211" spans="1:49" ht="23.25" x14ac:dyDescent="0.25">
      <c r="A211" s="12">
        <f>'Actual Dates'!A210</f>
        <v>0</v>
      </c>
      <c r="B211" s="13" t="str">
        <f t="shared" si="102"/>
        <v/>
      </c>
      <c r="C211" s="35"/>
      <c r="D211" s="36" t="str">
        <f t="shared" si="111"/>
        <v/>
      </c>
      <c r="E211" s="37" t="str">
        <f t="shared" si="112"/>
        <v xml:space="preserve">  </v>
      </c>
      <c r="F211" s="36" t="str">
        <f t="shared" si="113"/>
        <v xml:space="preserve">  </v>
      </c>
      <c r="G211" s="37" t="str">
        <f t="shared" si="114"/>
        <v xml:space="preserve">  </v>
      </c>
      <c r="H211" s="36" t="str">
        <f t="shared" si="103"/>
        <v xml:space="preserve">  </v>
      </c>
      <c r="I211" s="37" t="str">
        <f t="shared" si="115"/>
        <v xml:space="preserve">  </v>
      </c>
      <c r="J211" s="35"/>
      <c r="K211" s="36" t="str">
        <f t="shared" si="116"/>
        <v>Y</v>
      </c>
      <c r="L211" s="37" t="str">
        <f t="shared" si="117"/>
        <v/>
      </c>
      <c r="M211" s="37" t="str">
        <f t="shared" si="104"/>
        <v xml:space="preserve">  </v>
      </c>
      <c r="N211" s="36" t="str">
        <f t="shared" si="118"/>
        <v xml:space="preserve">  </v>
      </c>
      <c r="O211" s="37" t="str">
        <f t="shared" si="119"/>
        <v/>
      </c>
      <c r="P211" s="36" t="str">
        <f t="shared" si="120"/>
        <v xml:space="preserve">  </v>
      </c>
      <c r="Q211" s="37" t="str">
        <f t="shared" si="121"/>
        <v xml:space="preserve">  </v>
      </c>
      <c r="R211" s="36" t="str">
        <f t="shared" si="122"/>
        <v xml:space="preserve">  </v>
      </c>
      <c r="S211" s="37" t="str">
        <f t="shared" si="123"/>
        <v xml:space="preserve">  </v>
      </c>
      <c r="T211" s="36" t="str">
        <f t="shared" si="124"/>
        <v xml:space="preserve">  </v>
      </c>
      <c r="U211" s="37" t="str">
        <f t="shared" si="125"/>
        <v xml:space="preserve">  </v>
      </c>
      <c r="V211" s="36" t="str">
        <f t="shared" si="126"/>
        <v xml:space="preserve">  </v>
      </c>
      <c r="W211" s="37" t="str">
        <f t="shared" si="127"/>
        <v xml:space="preserve">  </v>
      </c>
      <c r="X211" s="36" t="str">
        <f t="shared" si="128"/>
        <v xml:space="preserve">  </v>
      </c>
      <c r="Y211" s="37" t="str">
        <f t="shared" si="129"/>
        <v xml:space="preserve">  </v>
      </c>
      <c r="Z211" s="36" t="str">
        <f t="shared" si="130"/>
        <v xml:space="preserve">  </v>
      </c>
      <c r="AA211" s="37" t="str">
        <f t="shared" si="131"/>
        <v xml:space="preserve">  </v>
      </c>
      <c r="AB211" s="36" t="str">
        <f t="shared" si="132"/>
        <v xml:space="preserve">  </v>
      </c>
      <c r="AC211" s="37" t="str">
        <f t="shared" si="133"/>
        <v xml:space="preserve">  </v>
      </c>
      <c r="AD211" s="36" t="str">
        <f t="shared" si="134"/>
        <v xml:space="preserve">  </v>
      </c>
      <c r="AE211" s="37" t="str">
        <f t="shared" si="135"/>
        <v xml:space="preserve">  </v>
      </c>
      <c r="AF211" s="38" t="str">
        <f ca="1">_xlfn.IFNA(IF(AG211="",TODAY()+(VLOOKUP(A211,'Date Calcs'!A:G,7,0)*7),VLOOKUP(A211,'Actual Dates'!A:AE,21,FALSE())),"")</f>
        <v/>
      </c>
      <c r="AG211" s="38" t="str">
        <f>IF(VLOOKUP(A211,'Actual Dates'!A:AE,20,0)="","",VLOOKUP(A211,'Actual Dates'!A:AE,20,0))</f>
        <v/>
      </c>
      <c r="AH211" s="38" t="str">
        <f>_xlfn.IFNA(IF($AG211="","",IF(X211="Y","DONE",VLOOKUP(A211,'Ship Date'!A:AE,27,0))),"")</f>
        <v/>
      </c>
      <c r="AI211" s="12">
        <f t="shared" ca="1" si="105"/>
        <v>0</v>
      </c>
      <c r="AJ211" s="38" t="str">
        <f>_xlfn.IFNA(IF($AG211="","",IF(AB211="Y","DONE",VLOOKUP(A211,'Ship Date'!A:AG,29,0))),"")</f>
        <v/>
      </c>
      <c r="AK211" s="12">
        <f t="shared" ca="1" si="106"/>
        <v>0</v>
      </c>
      <c r="AL211" s="38" t="str">
        <f>_xlfn.IFNA(IF($AG211="","",IF(Z211="Y","DONE",VLOOKUP(A211,'Ship Date'!A:AI,28,0))),"")</f>
        <v/>
      </c>
      <c r="AM211" s="12">
        <f t="shared" ca="1" si="107"/>
        <v>0</v>
      </c>
      <c r="AN211" s="38" t="str">
        <f>_xlfn.IFNA(IF(T211="Y","DONE",VLOOKUP(A211,'Ship Date'!A:AE,25,0)),"")</f>
        <v/>
      </c>
      <c r="AO211" s="12">
        <f t="shared" si="108"/>
        <v>0</v>
      </c>
      <c r="AP211" s="38" t="str">
        <f>_xlfn.IFNA(IF(AD211="Y","DONE",VLOOKUP(A211,'Ship Date'!A:AE,30,0)),"")</f>
        <v/>
      </c>
      <c r="AQ211" s="12">
        <f t="shared" ca="1" si="109"/>
        <v>0</v>
      </c>
      <c r="AR211" s="38" t="str">
        <f>IFERROR(_xlfn.IFNA(VLOOKUP(A211,'Ship Date'!A:C,3,0),""),"")</f>
        <v/>
      </c>
      <c r="AS211" s="12" t="str">
        <f t="shared" ca="1" si="110"/>
        <v/>
      </c>
      <c r="AT211" s="38">
        <f>_xlfn.IFNA(IF(VLOOKUP(A211,'Actual Dates'!A:AF,32,0)="N/A"," ",VLOOKUP(A211,'Actual Dates'!A:AF,32,0))," ")</f>
        <v>0</v>
      </c>
      <c r="AU211" s="39"/>
      <c r="AV211" s="38" t="str">
        <f>_xlfn.IFNA(IF(VLOOKUP(A211,'Actual Dates'!A:AE,31,0)="","",VLOOKUP(A211,'Actual Dates'!A:AE,31,0)),"")</f>
        <v/>
      </c>
      <c r="AW211" s="40"/>
    </row>
    <row r="212" spans="1:49" ht="23.25" x14ac:dyDescent="0.25">
      <c r="A212" s="12">
        <f>'Actual Dates'!A211</f>
        <v>0</v>
      </c>
      <c r="B212" s="13" t="str">
        <f t="shared" si="102"/>
        <v/>
      </c>
      <c r="C212" s="35"/>
      <c r="D212" s="36" t="str">
        <f t="shared" si="111"/>
        <v/>
      </c>
      <c r="E212" s="37" t="str">
        <f t="shared" si="112"/>
        <v xml:space="preserve">  </v>
      </c>
      <c r="F212" s="36" t="str">
        <f t="shared" si="113"/>
        <v xml:space="preserve">  </v>
      </c>
      <c r="G212" s="37" t="str">
        <f t="shared" si="114"/>
        <v xml:space="preserve">  </v>
      </c>
      <c r="H212" s="36" t="str">
        <f t="shared" si="103"/>
        <v xml:space="preserve">  </v>
      </c>
      <c r="I212" s="37" t="str">
        <f t="shared" si="115"/>
        <v xml:space="preserve">  </v>
      </c>
      <c r="J212" s="35"/>
      <c r="K212" s="36" t="str">
        <f t="shared" si="116"/>
        <v>Y</v>
      </c>
      <c r="L212" s="37" t="str">
        <f t="shared" si="117"/>
        <v/>
      </c>
      <c r="M212" s="37" t="str">
        <f t="shared" si="104"/>
        <v xml:space="preserve">  </v>
      </c>
      <c r="N212" s="36" t="str">
        <f t="shared" si="118"/>
        <v xml:space="preserve">  </v>
      </c>
      <c r="O212" s="37" t="str">
        <f t="shared" si="119"/>
        <v/>
      </c>
      <c r="P212" s="36" t="str">
        <f t="shared" si="120"/>
        <v xml:space="preserve">  </v>
      </c>
      <c r="Q212" s="37" t="str">
        <f t="shared" si="121"/>
        <v xml:space="preserve">  </v>
      </c>
      <c r="R212" s="36" t="str">
        <f t="shared" si="122"/>
        <v xml:space="preserve">  </v>
      </c>
      <c r="S212" s="37" t="str">
        <f t="shared" si="123"/>
        <v xml:space="preserve">  </v>
      </c>
      <c r="T212" s="36" t="str">
        <f t="shared" si="124"/>
        <v xml:space="preserve">  </v>
      </c>
      <c r="U212" s="37" t="str">
        <f t="shared" si="125"/>
        <v xml:space="preserve">  </v>
      </c>
      <c r="V212" s="36" t="str">
        <f t="shared" si="126"/>
        <v xml:space="preserve">  </v>
      </c>
      <c r="W212" s="37" t="str">
        <f t="shared" si="127"/>
        <v xml:space="preserve">  </v>
      </c>
      <c r="X212" s="36" t="str">
        <f t="shared" si="128"/>
        <v xml:space="preserve">  </v>
      </c>
      <c r="Y212" s="37" t="str">
        <f t="shared" si="129"/>
        <v xml:space="preserve">  </v>
      </c>
      <c r="Z212" s="36" t="str">
        <f t="shared" si="130"/>
        <v xml:space="preserve">  </v>
      </c>
      <c r="AA212" s="37" t="str">
        <f t="shared" si="131"/>
        <v xml:space="preserve">  </v>
      </c>
      <c r="AB212" s="36" t="str">
        <f t="shared" si="132"/>
        <v xml:space="preserve">  </v>
      </c>
      <c r="AC212" s="37" t="str">
        <f t="shared" si="133"/>
        <v xml:space="preserve">  </v>
      </c>
      <c r="AD212" s="36" t="str">
        <f t="shared" si="134"/>
        <v xml:space="preserve">  </v>
      </c>
      <c r="AE212" s="37" t="str">
        <f t="shared" si="135"/>
        <v xml:space="preserve">  </v>
      </c>
      <c r="AF212" s="38" t="str">
        <f ca="1">_xlfn.IFNA(IF(AG212="",TODAY()+(VLOOKUP(A212,'Date Calcs'!A:G,7,0)*7),VLOOKUP(A212,'Actual Dates'!A:AE,21,FALSE())),"")</f>
        <v/>
      </c>
      <c r="AG212" s="38" t="str">
        <f>IF(VLOOKUP(A212,'Actual Dates'!A:AE,20,0)="","",VLOOKUP(A212,'Actual Dates'!A:AE,20,0))</f>
        <v/>
      </c>
      <c r="AH212" s="38" t="str">
        <f>_xlfn.IFNA(IF($AG212="","",IF(X212="Y","DONE",VLOOKUP(A212,'Ship Date'!A:AE,27,0))),"")</f>
        <v/>
      </c>
      <c r="AI212" s="12">
        <f t="shared" ca="1" si="105"/>
        <v>0</v>
      </c>
      <c r="AJ212" s="38" t="str">
        <f>_xlfn.IFNA(IF($AG212="","",IF(AB212="Y","DONE",VLOOKUP(A212,'Ship Date'!A:AG,29,0))),"")</f>
        <v/>
      </c>
      <c r="AK212" s="12">
        <f t="shared" ca="1" si="106"/>
        <v>0</v>
      </c>
      <c r="AL212" s="38" t="str">
        <f>_xlfn.IFNA(IF($AG212="","",IF(Z212="Y","DONE",VLOOKUP(A212,'Ship Date'!A:AI,28,0))),"")</f>
        <v/>
      </c>
      <c r="AM212" s="12">
        <f t="shared" ca="1" si="107"/>
        <v>0</v>
      </c>
      <c r="AN212" s="38" t="str">
        <f>_xlfn.IFNA(IF(T212="Y","DONE",VLOOKUP(A212,'Ship Date'!A:AE,25,0)),"")</f>
        <v/>
      </c>
      <c r="AO212" s="12">
        <f t="shared" si="108"/>
        <v>0</v>
      </c>
      <c r="AP212" s="38" t="str">
        <f>_xlfn.IFNA(IF(AD212="Y","DONE",VLOOKUP(A212,'Ship Date'!A:AE,30,0)),"")</f>
        <v/>
      </c>
      <c r="AQ212" s="12">
        <f t="shared" ca="1" si="109"/>
        <v>0</v>
      </c>
      <c r="AR212" s="38" t="str">
        <f>IFERROR(_xlfn.IFNA(VLOOKUP(A212,'Ship Date'!A:C,3,0),""),"")</f>
        <v/>
      </c>
      <c r="AS212" s="12" t="str">
        <f t="shared" ca="1" si="110"/>
        <v/>
      </c>
      <c r="AT212" s="38">
        <f>_xlfn.IFNA(IF(VLOOKUP(A212,'Actual Dates'!A:AF,32,0)="N/A"," ",VLOOKUP(A212,'Actual Dates'!A:AF,32,0))," ")</f>
        <v>0</v>
      </c>
      <c r="AU212" s="39"/>
      <c r="AV212" s="38" t="str">
        <f>_xlfn.IFNA(IF(VLOOKUP(A212,'Actual Dates'!A:AE,31,0)="","",VLOOKUP(A212,'Actual Dates'!A:AE,31,0)),"")</f>
        <v/>
      </c>
      <c r="AW212" s="40"/>
    </row>
    <row r="213" spans="1:49" ht="23.25" x14ac:dyDescent="0.25">
      <c r="A213" s="12">
        <f>'Actual Dates'!A212</f>
        <v>0</v>
      </c>
      <c r="B213" s="13" t="str">
        <f t="shared" si="102"/>
        <v/>
      </c>
      <c r="C213" s="35"/>
      <c r="D213" s="36" t="str">
        <f t="shared" si="111"/>
        <v/>
      </c>
      <c r="E213" s="37" t="str">
        <f t="shared" si="112"/>
        <v xml:space="preserve">  </v>
      </c>
      <c r="F213" s="36" t="str">
        <f t="shared" si="113"/>
        <v xml:space="preserve">  </v>
      </c>
      <c r="G213" s="37" t="str">
        <f t="shared" si="114"/>
        <v xml:space="preserve">  </v>
      </c>
      <c r="H213" s="36" t="str">
        <f t="shared" si="103"/>
        <v xml:space="preserve">  </v>
      </c>
      <c r="I213" s="37" t="str">
        <f t="shared" si="115"/>
        <v xml:space="preserve">  </v>
      </c>
      <c r="J213" s="35"/>
      <c r="K213" s="36" t="str">
        <f t="shared" si="116"/>
        <v>Y</v>
      </c>
      <c r="L213" s="37" t="str">
        <f t="shared" si="117"/>
        <v/>
      </c>
      <c r="M213" s="37" t="str">
        <f t="shared" si="104"/>
        <v xml:space="preserve">  </v>
      </c>
      <c r="N213" s="36" t="str">
        <f t="shared" si="118"/>
        <v xml:space="preserve">  </v>
      </c>
      <c r="O213" s="37" t="str">
        <f t="shared" si="119"/>
        <v/>
      </c>
      <c r="P213" s="36" t="str">
        <f t="shared" si="120"/>
        <v xml:space="preserve">  </v>
      </c>
      <c r="Q213" s="37" t="str">
        <f t="shared" si="121"/>
        <v xml:space="preserve">  </v>
      </c>
      <c r="R213" s="36" t="str">
        <f t="shared" si="122"/>
        <v xml:space="preserve">  </v>
      </c>
      <c r="S213" s="37" t="str">
        <f t="shared" si="123"/>
        <v xml:space="preserve">  </v>
      </c>
      <c r="T213" s="36" t="str">
        <f t="shared" si="124"/>
        <v xml:space="preserve">  </v>
      </c>
      <c r="U213" s="37" t="str">
        <f t="shared" si="125"/>
        <v xml:space="preserve">  </v>
      </c>
      <c r="V213" s="36" t="str">
        <f t="shared" si="126"/>
        <v xml:space="preserve">  </v>
      </c>
      <c r="W213" s="37" t="str">
        <f t="shared" si="127"/>
        <v xml:space="preserve">  </v>
      </c>
      <c r="X213" s="36" t="str">
        <f t="shared" si="128"/>
        <v xml:space="preserve">  </v>
      </c>
      <c r="Y213" s="37" t="str">
        <f t="shared" si="129"/>
        <v xml:space="preserve">  </v>
      </c>
      <c r="Z213" s="36" t="str">
        <f t="shared" si="130"/>
        <v xml:space="preserve">  </v>
      </c>
      <c r="AA213" s="37" t="str">
        <f t="shared" si="131"/>
        <v xml:space="preserve">  </v>
      </c>
      <c r="AB213" s="36" t="str">
        <f t="shared" si="132"/>
        <v xml:space="preserve">  </v>
      </c>
      <c r="AC213" s="37" t="str">
        <f t="shared" si="133"/>
        <v xml:space="preserve">  </v>
      </c>
      <c r="AD213" s="36" t="str">
        <f t="shared" si="134"/>
        <v xml:space="preserve">  </v>
      </c>
      <c r="AE213" s="37" t="str">
        <f t="shared" si="135"/>
        <v xml:space="preserve">  </v>
      </c>
      <c r="AF213" s="38" t="str">
        <f ca="1">_xlfn.IFNA(IF(AG213="",TODAY()+(VLOOKUP(A213,'Date Calcs'!A:G,7,0)*7),VLOOKUP(A213,'Actual Dates'!A:AE,21,FALSE())),"")</f>
        <v/>
      </c>
      <c r="AG213" s="38" t="str">
        <f>IF(VLOOKUP(A213,'Actual Dates'!A:AE,20,0)="","",VLOOKUP(A213,'Actual Dates'!A:AE,20,0))</f>
        <v/>
      </c>
      <c r="AH213" s="38" t="str">
        <f>_xlfn.IFNA(IF($AG213="","",IF(X213="Y","DONE",VLOOKUP(A213,'Ship Date'!A:AE,27,0))),"")</f>
        <v/>
      </c>
      <c r="AI213" s="12">
        <f t="shared" ca="1" si="105"/>
        <v>0</v>
      </c>
      <c r="AJ213" s="38" t="str">
        <f>_xlfn.IFNA(IF($AG213="","",IF(AB213="Y","DONE",VLOOKUP(A213,'Ship Date'!A:AG,29,0))),"")</f>
        <v/>
      </c>
      <c r="AK213" s="12">
        <f t="shared" ca="1" si="106"/>
        <v>0</v>
      </c>
      <c r="AL213" s="38" t="str">
        <f>_xlfn.IFNA(IF($AG213="","",IF(Z213="Y","DONE",VLOOKUP(A213,'Ship Date'!A:AI,28,0))),"")</f>
        <v/>
      </c>
      <c r="AM213" s="12">
        <f t="shared" ca="1" si="107"/>
        <v>0</v>
      </c>
      <c r="AN213" s="38" t="str">
        <f>_xlfn.IFNA(IF(T213="Y","DONE",VLOOKUP(A213,'Ship Date'!A:AE,25,0)),"")</f>
        <v/>
      </c>
      <c r="AO213" s="12">
        <f t="shared" si="108"/>
        <v>0</v>
      </c>
      <c r="AP213" s="38" t="str">
        <f>_xlfn.IFNA(IF(AD213="Y","DONE",VLOOKUP(A213,'Ship Date'!A:AE,30,0)),"")</f>
        <v/>
      </c>
      <c r="AQ213" s="12">
        <f t="shared" ca="1" si="109"/>
        <v>0</v>
      </c>
      <c r="AR213" s="38" t="str">
        <f>IFERROR(_xlfn.IFNA(VLOOKUP(A213,'Ship Date'!A:C,3,0),""),"")</f>
        <v/>
      </c>
      <c r="AS213" s="12" t="str">
        <f t="shared" ca="1" si="110"/>
        <v/>
      </c>
      <c r="AT213" s="38">
        <f>_xlfn.IFNA(IF(VLOOKUP(A213,'Actual Dates'!A:AF,32,0)="N/A"," ",VLOOKUP(A213,'Actual Dates'!A:AF,32,0))," ")</f>
        <v>0</v>
      </c>
      <c r="AU213" s="39"/>
      <c r="AV213" s="38" t="str">
        <f>_xlfn.IFNA(IF(VLOOKUP(A213,'Actual Dates'!A:AE,31,0)="","",VLOOKUP(A213,'Actual Dates'!A:AE,31,0)),"")</f>
        <v/>
      </c>
      <c r="AW213" s="40"/>
    </row>
    <row r="214" spans="1:49" ht="23.25" x14ac:dyDescent="0.25">
      <c r="A214" s="12">
        <f>'Actual Dates'!A213</f>
        <v>0</v>
      </c>
      <c r="B214" s="13" t="str">
        <f t="shared" si="102"/>
        <v/>
      </c>
      <c r="C214" s="35"/>
      <c r="D214" s="36" t="str">
        <f t="shared" si="111"/>
        <v/>
      </c>
      <c r="E214" s="37" t="str">
        <f t="shared" si="112"/>
        <v xml:space="preserve">  </v>
      </c>
      <c r="F214" s="36" t="str">
        <f t="shared" si="113"/>
        <v xml:space="preserve">  </v>
      </c>
      <c r="G214" s="37" t="str">
        <f t="shared" si="114"/>
        <v xml:space="preserve">  </v>
      </c>
      <c r="H214" s="36" t="str">
        <f t="shared" si="103"/>
        <v xml:space="preserve">  </v>
      </c>
      <c r="I214" s="37" t="str">
        <f t="shared" si="115"/>
        <v xml:space="preserve">  </v>
      </c>
      <c r="J214" s="35"/>
      <c r="K214" s="36" t="str">
        <f t="shared" si="116"/>
        <v>Y</v>
      </c>
      <c r="L214" s="37" t="str">
        <f t="shared" si="117"/>
        <v/>
      </c>
      <c r="M214" s="37" t="str">
        <f t="shared" si="104"/>
        <v xml:space="preserve">  </v>
      </c>
      <c r="N214" s="36" t="str">
        <f t="shared" si="118"/>
        <v xml:space="preserve">  </v>
      </c>
      <c r="O214" s="37" t="str">
        <f t="shared" si="119"/>
        <v/>
      </c>
      <c r="P214" s="36" t="str">
        <f t="shared" si="120"/>
        <v xml:space="preserve">  </v>
      </c>
      <c r="Q214" s="37" t="str">
        <f t="shared" si="121"/>
        <v xml:space="preserve">  </v>
      </c>
      <c r="R214" s="36" t="str">
        <f t="shared" si="122"/>
        <v xml:space="preserve">  </v>
      </c>
      <c r="S214" s="37" t="str">
        <f t="shared" si="123"/>
        <v xml:space="preserve">  </v>
      </c>
      <c r="T214" s="36" t="str">
        <f t="shared" si="124"/>
        <v xml:space="preserve">  </v>
      </c>
      <c r="U214" s="37" t="str">
        <f t="shared" si="125"/>
        <v xml:space="preserve">  </v>
      </c>
      <c r="V214" s="36" t="str">
        <f t="shared" si="126"/>
        <v xml:space="preserve">  </v>
      </c>
      <c r="W214" s="37" t="str">
        <f t="shared" si="127"/>
        <v xml:space="preserve">  </v>
      </c>
      <c r="X214" s="36" t="str">
        <f t="shared" si="128"/>
        <v xml:space="preserve">  </v>
      </c>
      <c r="Y214" s="37" t="str">
        <f t="shared" si="129"/>
        <v xml:space="preserve">  </v>
      </c>
      <c r="Z214" s="36" t="str">
        <f t="shared" si="130"/>
        <v xml:space="preserve">  </v>
      </c>
      <c r="AA214" s="37" t="str">
        <f t="shared" si="131"/>
        <v xml:space="preserve">  </v>
      </c>
      <c r="AB214" s="36" t="str">
        <f t="shared" si="132"/>
        <v xml:space="preserve">  </v>
      </c>
      <c r="AC214" s="37" t="str">
        <f t="shared" si="133"/>
        <v xml:space="preserve">  </v>
      </c>
      <c r="AD214" s="36" t="str">
        <f t="shared" si="134"/>
        <v xml:space="preserve">  </v>
      </c>
      <c r="AE214" s="37" t="str">
        <f t="shared" si="135"/>
        <v xml:space="preserve">  </v>
      </c>
      <c r="AF214" s="38" t="str">
        <f ca="1">_xlfn.IFNA(IF(AG214="",TODAY()+(VLOOKUP(A214,'Date Calcs'!A:G,7,0)*7),VLOOKUP(A214,'Actual Dates'!A:AE,21,FALSE())),"")</f>
        <v/>
      </c>
      <c r="AG214" s="38" t="str">
        <f>IF(VLOOKUP(A214,'Actual Dates'!A:AE,20,0)="","",VLOOKUP(A214,'Actual Dates'!A:AE,20,0))</f>
        <v/>
      </c>
      <c r="AH214" s="38" t="str">
        <f>_xlfn.IFNA(IF($AG214="","",IF(X214="Y","DONE",VLOOKUP(A214,'Ship Date'!A:AE,27,0))),"")</f>
        <v/>
      </c>
      <c r="AI214" s="12">
        <f t="shared" ca="1" si="105"/>
        <v>0</v>
      </c>
      <c r="AJ214" s="38" t="str">
        <f>_xlfn.IFNA(IF($AG214="","",IF(AB214="Y","DONE",VLOOKUP(A214,'Ship Date'!A:AG,29,0))),"")</f>
        <v/>
      </c>
      <c r="AK214" s="12">
        <f t="shared" ca="1" si="106"/>
        <v>0</v>
      </c>
      <c r="AL214" s="38" t="str">
        <f>_xlfn.IFNA(IF($AG214="","",IF(Z214="Y","DONE",VLOOKUP(A214,'Ship Date'!A:AI,28,0))),"")</f>
        <v/>
      </c>
      <c r="AM214" s="12">
        <f t="shared" ca="1" si="107"/>
        <v>0</v>
      </c>
      <c r="AN214" s="38" t="str">
        <f>_xlfn.IFNA(IF(T214="Y","DONE",VLOOKUP(A214,'Ship Date'!A:AE,25,0)),"")</f>
        <v/>
      </c>
      <c r="AO214" s="12">
        <f t="shared" si="108"/>
        <v>0</v>
      </c>
      <c r="AP214" s="38" t="str">
        <f>_xlfn.IFNA(IF(AD214="Y","DONE",VLOOKUP(A214,'Ship Date'!A:AE,30,0)),"")</f>
        <v/>
      </c>
      <c r="AQ214" s="12">
        <f t="shared" ca="1" si="109"/>
        <v>0</v>
      </c>
      <c r="AR214" s="38" t="str">
        <f>IFERROR(_xlfn.IFNA(VLOOKUP(A214,'Ship Date'!A:C,3,0),""),"")</f>
        <v/>
      </c>
      <c r="AS214" s="12" t="str">
        <f t="shared" ca="1" si="110"/>
        <v/>
      </c>
      <c r="AT214" s="38">
        <f>_xlfn.IFNA(IF(VLOOKUP(A214,'Actual Dates'!A:AF,32,0)="N/A"," ",VLOOKUP(A214,'Actual Dates'!A:AF,32,0))," ")</f>
        <v>0</v>
      </c>
      <c r="AU214" s="39"/>
      <c r="AV214" s="38" t="str">
        <f>_xlfn.IFNA(IF(VLOOKUP(A214,'Actual Dates'!A:AE,31,0)="","",VLOOKUP(A214,'Actual Dates'!A:AE,31,0)),"")</f>
        <v/>
      </c>
      <c r="AW214" s="40"/>
    </row>
    <row r="215" spans="1:49" ht="23.25" x14ac:dyDescent="0.25">
      <c r="A215" s="12">
        <f>'Actual Dates'!A214</f>
        <v>0</v>
      </c>
      <c r="B215" s="13" t="str">
        <f t="shared" si="102"/>
        <v/>
      </c>
      <c r="C215" s="35"/>
      <c r="D215" s="36" t="str">
        <f t="shared" si="111"/>
        <v/>
      </c>
      <c r="E215" s="37" t="str">
        <f t="shared" si="112"/>
        <v xml:space="preserve">  </v>
      </c>
      <c r="F215" s="36" t="str">
        <f t="shared" si="113"/>
        <v xml:space="preserve">  </v>
      </c>
      <c r="G215" s="37" t="str">
        <f t="shared" si="114"/>
        <v xml:space="preserve">  </v>
      </c>
      <c r="H215" s="36" t="str">
        <f t="shared" si="103"/>
        <v xml:space="preserve">  </v>
      </c>
      <c r="I215" s="37" t="str">
        <f t="shared" si="115"/>
        <v xml:space="preserve">  </v>
      </c>
      <c r="J215" s="35"/>
      <c r="K215" s="36" t="str">
        <f t="shared" si="116"/>
        <v>Y</v>
      </c>
      <c r="L215" s="37" t="str">
        <f t="shared" si="117"/>
        <v/>
      </c>
      <c r="M215" s="37" t="str">
        <f t="shared" si="104"/>
        <v xml:space="preserve">  </v>
      </c>
      <c r="N215" s="36" t="str">
        <f t="shared" si="118"/>
        <v xml:space="preserve">  </v>
      </c>
      <c r="O215" s="37" t="str">
        <f t="shared" si="119"/>
        <v/>
      </c>
      <c r="P215" s="36" t="str">
        <f t="shared" si="120"/>
        <v xml:space="preserve">  </v>
      </c>
      <c r="Q215" s="37" t="str">
        <f t="shared" si="121"/>
        <v xml:space="preserve">  </v>
      </c>
      <c r="R215" s="36" t="str">
        <f t="shared" si="122"/>
        <v xml:space="preserve">  </v>
      </c>
      <c r="S215" s="37" t="str">
        <f t="shared" si="123"/>
        <v xml:space="preserve">  </v>
      </c>
      <c r="T215" s="36" t="str">
        <f t="shared" si="124"/>
        <v xml:space="preserve">  </v>
      </c>
      <c r="U215" s="37" t="str">
        <f t="shared" si="125"/>
        <v xml:space="preserve">  </v>
      </c>
      <c r="V215" s="36" t="str">
        <f t="shared" si="126"/>
        <v xml:space="preserve">  </v>
      </c>
      <c r="W215" s="37" t="str">
        <f t="shared" si="127"/>
        <v xml:space="preserve">  </v>
      </c>
      <c r="X215" s="36" t="str">
        <f t="shared" si="128"/>
        <v xml:space="preserve">  </v>
      </c>
      <c r="Y215" s="37" t="str">
        <f t="shared" si="129"/>
        <v xml:space="preserve">  </v>
      </c>
      <c r="Z215" s="36" t="str">
        <f t="shared" si="130"/>
        <v xml:space="preserve">  </v>
      </c>
      <c r="AA215" s="37" t="str">
        <f t="shared" si="131"/>
        <v xml:space="preserve">  </v>
      </c>
      <c r="AB215" s="36" t="str">
        <f t="shared" si="132"/>
        <v xml:space="preserve">  </v>
      </c>
      <c r="AC215" s="37" t="str">
        <f t="shared" si="133"/>
        <v xml:space="preserve">  </v>
      </c>
      <c r="AD215" s="36" t="str">
        <f t="shared" si="134"/>
        <v xml:space="preserve">  </v>
      </c>
      <c r="AE215" s="37" t="str">
        <f t="shared" si="135"/>
        <v xml:space="preserve">  </v>
      </c>
      <c r="AF215" s="38" t="str">
        <f ca="1">_xlfn.IFNA(IF(AG215="",TODAY()+(VLOOKUP(A215,'Date Calcs'!A:G,7,0)*7),VLOOKUP(A215,'Actual Dates'!A:AE,21,FALSE())),"")</f>
        <v/>
      </c>
      <c r="AG215" s="38" t="str">
        <f>IF(VLOOKUP(A215,'Actual Dates'!A:AE,20,0)="","",VLOOKUP(A215,'Actual Dates'!A:AE,20,0))</f>
        <v/>
      </c>
      <c r="AH215" s="38" t="str">
        <f>_xlfn.IFNA(IF($AG215="","",IF(X215="Y","DONE",VLOOKUP(A215,'Ship Date'!A:AE,27,0))),"")</f>
        <v/>
      </c>
      <c r="AI215" s="12">
        <f t="shared" ca="1" si="105"/>
        <v>0</v>
      </c>
      <c r="AJ215" s="38" t="str">
        <f>_xlfn.IFNA(IF($AG215="","",IF(AB215="Y","DONE",VLOOKUP(A215,'Ship Date'!A:AG,29,0))),"")</f>
        <v/>
      </c>
      <c r="AK215" s="12">
        <f t="shared" ca="1" si="106"/>
        <v>0</v>
      </c>
      <c r="AL215" s="38" t="str">
        <f>_xlfn.IFNA(IF($AG215="","",IF(Z215="Y","DONE",VLOOKUP(A215,'Ship Date'!A:AI,28,0))),"")</f>
        <v/>
      </c>
      <c r="AM215" s="12">
        <f t="shared" ca="1" si="107"/>
        <v>0</v>
      </c>
      <c r="AN215" s="38" t="str">
        <f>_xlfn.IFNA(IF(T215="Y","DONE",VLOOKUP(A215,'Ship Date'!A:AE,25,0)),"")</f>
        <v/>
      </c>
      <c r="AO215" s="12">
        <f t="shared" si="108"/>
        <v>0</v>
      </c>
      <c r="AP215" s="38" t="str">
        <f>_xlfn.IFNA(IF(AD215="Y","DONE",VLOOKUP(A215,'Ship Date'!A:AE,30,0)),"")</f>
        <v/>
      </c>
      <c r="AQ215" s="12">
        <f t="shared" ca="1" si="109"/>
        <v>0</v>
      </c>
      <c r="AR215" s="38" t="str">
        <f>IFERROR(_xlfn.IFNA(VLOOKUP(A215,'Ship Date'!A:C,3,0),""),"")</f>
        <v/>
      </c>
      <c r="AS215" s="12" t="str">
        <f t="shared" ca="1" si="110"/>
        <v/>
      </c>
      <c r="AT215" s="38">
        <f>_xlfn.IFNA(IF(VLOOKUP(A215,'Actual Dates'!A:AF,32,0)="N/A"," ",VLOOKUP(A215,'Actual Dates'!A:AF,32,0))," ")</f>
        <v>0</v>
      </c>
      <c r="AU215" s="39"/>
      <c r="AV215" s="38" t="str">
        <f>_xlfn.IFNA(IF(VLOOKUP(A215,'Actual Dates'!A:AE,31,0)="","",VLOOKUP(A215,'Actual Dates'!A:AE,31,0)),"")</f>
        <v/>
      </c>
      <c r="AW215" s="40"/>
    </row>
    <row r="216" spans="1:49" ht="23.25" x14ac:dyDescent="0.25">
      <c r="A216" s="12">
        <f>'Actual Dates'!A215</f>
        <v>0</v>
      </c>
      <c r="B216" s="13" t="str">
        <f t="shared" si="102"/>
        <v/>
      </c>
      <c r="C216" s="35"/>
      <c r="D216" s="36" t="str">
        <f t="shared" si="111"/>
        <v/>
      </c>
      <c r="E216" s="37" t="str">
        <f t="shared" si="112"/>
        <v xml:space="preserve">  </v>
      </c>
      <c r="F216" s="36" t="str">
        <f t="shared" si="113"/>
        <v xml:space="preserve">  </v>
      </c>
      <c r="G216" s="37" t="str">
        <f t="shared" si="114"/>
        <v xml:space="preserve">  </v>
      </c>
      <c r="H216" s="36" t="str">
        <f t="shared" si="103"/>
        <v xml:space="preserve">  </v>
      </c>
      <c r="I216" s="37" t="str">
        <f t="shared" si="115"/>
        <v xml:space="preserve">  </v>
      </c>
      <c r="J216" s="35"/>
      <c r="K216" s="36" t="str">
        <f t="shared" si="116"/>
        <v>Y</v>
      </c>
      <c r="L216" s="37" t="str">
        <f t="shared" si="117"/>
        <v/>
      </c>
      <c r="M216" s="37" t="str">
        <f t="shared" si="104"/>
        <v xml:space="preserve">  </v>
      </c>
      <c r="N216" s="36" t="str">
        <f t="shared" si="118"/>
        <v xml:space="preserve">  </v>
      </c>
      <c r="O216" s="37" t="str">
        <f t="shared" si="119"/>
        <v/>
      </c>
      <c r="P216" s="36" t="str">
        <f t="shared" si="120"/>
        <v xml:space="preserve">  </v>
      </c>
      <c r="Q216" s="37" t="str">
        <f t="shared" si="121"/>
        <v xml:space="preserve">  </v>
      </c>
      <c r="R216" s="36" t="str">
        <f t="shared" si="122"/>
        <v xml:space="preserve">  </v>
      </c>
      <c r="S216" s="37" t="str">
        <f t="shared" si="123"/>
        <v xml:space="preserve">  </v>
      </c>
      <c r="T216" s="36" t="str">
        <f t="shared" si="124"/>
        <v xml:space="preserve">  </v>
      </c>
      <c r="U216" s="37" t="str">
        <f t="shared" si="125"/>
        <v xml:space="preserve">  </v>
      </c>
      <c r="V216" s="36" t="str">
        <f t="shared" si="126"/>
        <v xml:space="preserve">  </v>
      </c>
      <c r="W216" s="37" t="str">
        <f t="shared" si="127"/>
        <v xml:space="preserve">  </v>
      </c>
      <c r="X216" s="36" t="str">
        <f t="shared" si="128"/>
        <v xml:space="preserve">  </v>
      </c>
      <c r="Y216" s="37" t="str">
        <f t="shared" si="129"/>
        <v xml:space="preserve">  </v>
      </c>
      <c r="Z216" s="36" t="str">
        <f t="shared" si="130"/>
        <v xml:space="preserve">  </v>
      </c>
      <c r="AA216" s="37" t="str">
        <f t="shared" si="131"/>
        <v xml:space="preserve">  </v>
      </c>
      <c r="AB216" s="36" t="str">
        <f t="shared" si="132"/>
        <v xml:space="preserve">  </v>
      </c>
      <c r="AC216" s="37" t="str">
        <f t="shared" si="133"/>
        <v xml:space="preserve">  </v>
      </c>
      <c r="AD216" s="36" t="str">
        <f t="shared" si="134"/>
        <v xml:space="preserve">  </v>
      </c>
      <c r="AE216" s="37" t="str">
        <f t="shared" si="135"/>
        <v xml:space="preserve">  </v>
      </c>
      <c r="AF216" s="38" t="str">
        <f ca="1">_xlfn.IFNA(IF(AG216="",TODAY()+(VLOOKUP(A216,'Date Calcs'!A:G,7,0)*7),VLOOKUP(A216,'Actual Dates'!A:AE,21,FALSE())),"")</f>
        <v/>
      </c>
      <c r="AG216" s="38" t="str">
        <f>IF(VLOOKUP(A216,'Actual Dates'!A:AE,20,0)="","",VLOOKUP(A216,'Actual Dates'!A:AE,20,0))</f>
        <v/>
      </c>
      <c r="AH216" s="38" t="str">
        <f>_xlfn.IFNA(IF($AG216="","",IF(X216="Y","DONE",VLOOKUP(A216,'Ship Date'!A:AE,27,0))),"")</f>
        <v/>
      </c>
      <c r="AI216" s="12">
        <f t="shared" ca="1" si="105"/>
        <v>0</v>
      </c>
      <c r="AJ216" s="38" t="str">
        <f>_xlfn.IFNA(IF($AG216="","",IF(AB216="Y","DONE",VLOOKUP(A216,'Ship Date'!A:AG,29,0))),"")</f>
        <v/>
      </c>
      <c r="AK216" s="12">
        <f t="shared" ca="1" si="106"/>
        <v>0</v>
      </c>
      <c r="AL216" s="38" t="str">
        <f>_xlfn.IFNA(IF($AG216="","",IF(Z216="Y","DONE",VLOOKUP(A216,'Ship Date'!A:AI,28,0))),"")</f>
        <v/>
      </c>
      <c r="AM216" s="12">
        <f t="shared" ca="1" si="107"/>
        <v>0</v>
      </c>
      <c r="AN216" s="38" t="str">
        <f>_xlfn.IFNA(IF(T216="Y","DONE",VLOOKUP(A216,'Ship Date'!A:AE,25,0)),"")</f>
        <v/>
      </c>
      <c r="AO216" s="12">
        <f t="shared" si="108"/>
        <v>0</v>
      </c>
      <c r="AP216" s="38" t="str">
        <f>_xlfn.IFNA(IF(AD216="Y","DONE",VLOOKUP(A216,'Ship Date'!A:AE,30,0)),"")</f>
        <v/>
      </c>
      <c r="AQ216" s="12">
        <f t="shared" ca="1" si="109"/>
        <v>0</v>
      </c>
      <c r="AR216" s="38" t="str">
        <f>IFERROR(_xlfn.IFNA(VLOOKUP(A216,'Ship Date'!A:C,3,0),""),"")</f>
        <v/>
      </c>
      <c r="AS216" s="12" t="str">
        <f t="shared" ca="1" si="110"/>
        <v/>
      </c>
      <c r="AT216" s="38">
        <f>_xlfn.IFNA(IF(VLOOKUP(A216,'Actual Dates'!A:AF,32,0)="N/A"," ",VLOOKUP(A216,'Actual Dates'!A:AF,32,0))," ")</f>
        <v>0</v>
      </c>
      <c r="AU216" s="39"/>
      <c r="AV216" s="38" t="str">
        <f>_xlfn.IFNA(IF(VLOOKUP(A216,'Actual Dates'!A:AE,31,0)="","",VLOOKUP(A216,'Actual Dates'!A:AE,31,0)),"")</f>
        <v/>
      </c>
      <c r="AW216" s="40"/>
    </row>
    <row r="217" spans="1:49" ht="23.25" x14ac:dyDescent="0.25">
      <c r="A217" s="12">
        <f>'Actual Dates'!A216</f>
        <v>0</v>
      </c>
      <c r="B217" s="13" t="str">
        <f t="shared" si="102"/>
        <v/>
      </c>
      <c r="C217" s="35"/>
      <c r="D217" s="36" t="str">
        <f t="shared" si="111"/>
        <v/>
      </c>
      <c r="E217" s="37" t="str">
        <f t="shared" si="112"/>
        <v xml:space="preserve">  </v>
      </c>
      <c r="F217" s="36" t="str">
        <f t="shared" si="113"/>
        <v xml:space="preserve">  </v>
      </c>
      <c r="G217" s="37" t="str">
        <f t="shared" si="114"/>
        <v xml:space="preserve">  </v>
      </c>
      <c r="H217" s="36" t="str">
        <f t="shared" si="103"/>
        <v xml:space="preserve">  </v>
      </c>
      <c r="I217" s="37" t="str">
        <f t="shared" si="115"/>
        <v xml:space="preserve">  </v>
      </c>
      <c r="J217" s="35"/>
      <c r="K217" s="36" t="str">
        <f t="shared" si="116"/>
        <v>Y</v>
      </c>
      <c r="L217" s="37" t="str">
        <f t="shared" si="117"/>
        <v/>
      </c>
      <c r="M217" s="37" t="str">
        <f t="shared" si="104"/>
        <v xml:space="preserve">  </v>
      </c>
      <c r="N217" s="36" t="str">
        <f t="shared" si="118"/>
        <v xml:space="preserve">  </v>
      </c>
      <c r="O217" s="37" t="str">
        <f t="shared" si="119"/>
        <v/>
      </c>
      <c r="P217" s="36" t="str">
        <f t="shared" si="120"/>
        <v xml:space="preserve">  </v>
      </c>
      <c r="Q217" s="37" t="str">
        <f t="shared" si="121"/>
        <v xml:space="preserve">  </v>
      </c>
      <c r="R217" s="36" t="str">
        <f t="shared" si="122"/>
        <v xml:space="preserve">  </v>
      </c>
      <c r="S217" s="37" t="str">
        <f t="shared" si="123"/>
        <v xml:space="preserve">  </v>
      </c>
      <c r="T217" s="36" t="str">
        <f t="shared" si="124"/>
        <v xml:space="preserve">  </v>
      </c>
      <c r="U217" s="37" t="str">
        <f t="shared" si="125"/>
        <v xml:space="preserve">  </v>
      </c>
      <c r="V217" s="36" t="str">
        <f t="shared" si="126"/>
        <v xml:space="preserve">  </v>
      </c>
      <c r="W217" s="37" t="str">
        <f t="shared" si="127"/>
        <v xml:space="preserve">  </v>
      </c>
      <c r="X217" s="36" t="str">
        <f t="shared" si="128"/>
        <v xml:space="preserve">  </v>
      </c>
      <c r="Y217" s="37" t="str">
        <f t="shared" si="129"/>
        <v xml:space="preserve">  </v>
      </c>
      <c r="Z217" s="36" t="str">
        <f t="shared" si="130"/>
        <v xml:space="preserve">  </v>
      </c>
      <c r="AA217" s="37" t="str">
        <f t="shared" si="131"/>
        <v xml:space="preserve">  </v>
      </c>
      <c r="AB217" s="36" t="str">
        <f t="shared" si="132"/>
        <v xml:space="preserve">  </v>
      </c>
      <c r="AC217" s="37" t="str">
        <f t="shared" si="133"/>
        <v xml:space="preserve">  </v>
      </c>
      <c r="AD217" s="36" t="str">
        <f t="shared" si="134"/>
        <v xml:space="preserve">  </v>
      </c>
      <c r="AE217" s="37" t="str">
        <f t="shared" si="135"/>
        <v xml:space="preserve">  </v>
      </c>
      <c r="AF217" s="38" t="str">
        <f ca="1">_xlfn.IFNA(IF(AG217="",TODAY()+(VLOOKUP(A217,'Date Calcs'!A:G,7,0)*7),VLOOKUP(A217,'Actual Dates'!A:AE,21,FALSE())),"")</f>
        <v/>
      </c>
      <c r="AG217" s="38" t="str">
        <f>IF(VLOOKUP(A217,'Actual Dates'!A:AE,20,0)="","",VLOOKUP(A217,'Actual Dates'!A:AE,20,0))</f>
        <v/>
      </c>
      <c r="AH217" s="38" t="str">
        <f>_xlfn.IFNA(IF($AG217="","",IF(X217="Y","DONE",VLOOKUP(A217,'Ship Date'!A:AE,27,0))),"")</f>
        <v/>
      </c>
      <c r="AI217" s="12">
        <f t="shared" ca="1" si="105"/>
        <v>0</v>
      </c>
      <c r="AJ217" s="38" t="str">
        <f>_xlfn.IFNA(IF($AG217="","",IF(AB217="Y","DONE",VLOOKUP(A217,'Ship Date'!A:AG,29,0))),"")</f>
        <v/>
      </c>
      <c r="AK217" s="12">
        <f t="shared" ca="1" si="106"/>
        <v>0</v>
      </c>
      <c r="AL217" s="38" t="str">
        <f>_xlfn.IFNA(IF($AG217="","",IF(Z217="Y","DONE",VLOOKUP(A217,'Ship Date'!A:AI,28,0))),"")</f>
        <v/>
      </c>
      <c r="AM217" s="12">
        <f t="shared" ca="1" si="107"/>
        <v>0</v>
      </c>
      <c r="AN217" s="38" t="str">
        <f>_xlfn.IFNA(IF(T217="Y","DONE",VLOOKUP(A217,'Ship Date'!A:AE,25,0)),"")</f>
        <v/>
      </c>
      <c r="AO217" s="12">
        <f t="shared" si="108"/>
        <v>0</v>
      </c>
      <c r="AP217" s="38" t="str">
        <f>_xlfn.IFNA(IF(AD217="Y","DONE",VLOOKUP(A217,'Ship Date'!A:AE,30,0)),"")</f>
        <v/>
      </c>
      <c r="AQ217" s="12">
        <f t="shared" ca="1" si="109"/>
        <v>0</v>
      </c>
      <c r="AR217" s="38" t="str">
        <f>IFERROR(_xlfn.IFNA(VLOOKUP(A217,'Ship Date'!A:C,3,0),""),"")</f>
        <v/>
      </c>
      <c r="AS217" s="12" t="str">
        <f t="shared" ca="1" si="110"/>
        <v/>
      </c>
      <c r="AT217" s="38">
        <f>_xlfn.IFNA(IF(VLOOKUP(A217,'Actual Dates'!A:AF,32,0)="N/A"," ",VLOOKUP(A217,'Actual Dates'!A:AF,32,0))," ")</f>
        <v>0</v>
      </c>
      <c r="AU217" s="39"/>
      <c r="AV217" s="38" t="str">
        <f>_xlfn.IFNA(IF(VLOOKUP(A217,'Actual Dates'!A:AE,31,0)="","",VLOOKUP(A217,'Actual Dates'!A:AE,31,0)),"")</f>
        <v/>
      </c>
      <c r="AW217" s="40"/>
    </row>
    <row r="218" spans="1:49" ht="23.25" x14ac:dyDescent="0.25">
      <c r="A218" s="12">
        <f>'Actual Dates'!A217</f>
        <v>0</v>
      </c>
      <c r="B218" s="13" t="str">
        <f t="shared" si="102"/>
        <v/>
      </c>
      <c r="C218" s="35"/>
      <c r="D218" s="36" t="str">
        <f t="shared" si="111"/>
        <v/>
      </c>
      <c r="E218" s="37" t="str">
        <f t="shared" si="112"/>
        <v xml:space="preserve">  </v>
      </c>
      <c r="F218" s="36" t="str">
        <f t="shared" si="113"/>
        <v xml:space="preserve">  </v>
      </c>
      <c r="G218" s="37" t="str">
        <f t="shared" si="114"/>
        <v xml:space="preserve">  </v>
      </c>
      <c r="H218" s="36" t="str">
        <f t="shared" si="103"/>
        <v xml:space="preserve">  </v>
      </c>
      <c r="I218" s="37" t="str">
        <f t="shared" si="115"/>
        <v xml:space="preserve">  </v>
      </c>
      <c r="J218" s="35"/>
      <c r="K218" s="36" t="str">
        <f t="shared" si="116"/>
        <v>Y</v>
      </c>
      <c r="L218" s="37" t="str">
        <f t="shared" si="117"/>
        <v/>
      </c>
      <c r="M218" s="37" t="str">
        <f t="shared" si="104"/>
        <v xml:space="preserve">  </v>
      </c>
      <c r="N218" s="36" t="str">
        <f t="shared" si="118"/>
        <v xml:space="preserve">  </v>
      </c>
      <c r="O218" s="37" t="str">
        <f t="shared" si="119"/>
        <v/>
      </c>
      <c r="P218" s="36" t="str">
        <f t="shared" si="120"/>
        <v xml:space="preserve">  </v>
      </c>
      <c r="Q218" s="37" t="str">
        <f t="shared" si="121"/>
        <v xml:space="preserve">  </v>
      </c>
      <c r="R218" s="36" t="str">
        <f t="shared" si="122"/>
        <v xml:space="preserve">  </v>
      </c>
      <c r="S218" s="37" t="str">
        <f t="shared" si="123"/>
        <v xml:space="preserve">  </v>
      </c>
      <c r="T218" s="36" t="str">
        <f t="shared" si="124"/>
        <v xml:space="preserve">  </v>
      </c>
      <c r="U218" s="37" t="str">
        <f t="shared" si="125"/>
        <v xml:space="preserve">  </v>
      </c>
      <c r="V218" s="36" t="str">
        <f t="shared" si="126"/>
        <v xml:space="preserve">  </v>
      </c>
      <c r="W218" s="37" t="str">
        <f t="shared" si="127"/>
        <v xml:space="preserve">  </v>
      </c>
      <c r="X218" s="36" t="str">
        <f t="shared" si="128"/>
        <v xml:space="preserve">  </v>
      </c>
      <c r="Y218" s="37" t="str">
        <f t="shared" si="129"/>
        <v xml:space="preserve">  </v>
      </c>
      <c r="Z218" s="36" t="str">
        <f t="shared" si="130"/>
        <v xml:space="preserve">  </v>
      </c>
      <c r="AA218" s="37" t="str">
        <f t="shared" si="131"/>
        <v xml:space="preserve">  </v>
      </c>
      <c r="AB218" s="36" t="str">
        <f t="shared" si="132"/>
        <v xml:space="preserve">  </v>
      </c>
      <c r="AC218" s="37" t="str">
        <f t="shared" si="133"/>
        <v xml:space="preserve">  </v>
      </c>
      <c r="AD218" s="36" t="str">
        <f t="shared" si="134"/>
        <v xml:space="preserve">  </v>
      </c>
      <c r="AE218" s="37" t="str">
        <f t="shared" si="135"/>
        <v xml:space="preserve">  </v>
      </c>
      <c r="AF218" s="38" t="str">
        <f ca="1">_xlfn.IFNA(IF(AG218="",TODAY()+(VLOOKUP(A218,'Date Calcs'!A:G,7,0)*7),VLOOKUP(A218,'Actual Dates'!A:AE,21,FALSE())),"")</f>
        <v/>
      </c>
      <c r="AG218" s="38" t="str">
        <f>IF(VLOOKUP(A218,'Actual Dates'!A:AE,20,0)="","",VLOOKUP(A218,'Actual Dates'!A:AE,20,0))</f>
        <v/>
      </c>
      <c r="AH218" s="38" t="str">
        <f>_xlfn.IFNA(IF($AG218="","",IF(X218="Y","DONE",VLOOKUP(A218,'Ship Date'!A:AE,27,0))),"")</f>
        <v/>
      </c>
      <c r="AI218" s="12">
        <f t="shared" ca="1" si="105"/>
        <v>0</v>
      </c>
      <c r="AJ218" s="38" t="str">
        <f>_xlfn.IFNA(IF($AG218="","",IF(AB218="Y","DONE",VLOOKUP(A218,'Ship Date'!A:AG,29,0))),"")</f>
        <v/>
      </c>
      <c r="AK218" s="12">
        <f t="shared" ca="1" si="106"/>
        <v>0</v>
      </c>
      <c r="AL218" s="38" t="str">
        <f>_xlfn.IFNA(IF($AG218="","",IF(Z218="Y","DONE",VLOOKUP(A218,'Ship Date'!A:AI,28,0))),"")</f>
        <v/>
      </c>
      <c r="AM218" s="12">
        <f t="shared" ca="1" si="107"/>
        <v>0</v>
      </c>
      <c r="AN218" s="38" t="str">
        <f>_xlfn.IFNA(IF(T218="Y","DONE",VLOOKUP(A218,'Ship Date'!A:AE,25,0)),"")</f>
        <v/>
      </c>
      <c r="AO218" s="12">
        <f t="shared" si="108"/>
        <v>0</v>
      </c>
      <c r="AP218" s="38" t="str">
        <f>_xlfn.IFNA(IF(AD218="Y","DONE",VLOOKUP(A218,'Ship Date'!A:AE,30,0)),"")</f>
        <v/>
      </c>
      <c r="AQ218" s="12">
        <f t="shared" ca="1" si="109"/>
        <v>0</v>
      </c>
      <c r="AR218" s="38" t="str">
        <f>IFERROR(_xlfn.IFNA(VLOOKUP(A218,'Ship Date'!A:C,3,0),""),"")</f>
        <v/>
      </c>
      <c r="AS218" s="12" t="str">
        <f t="shared" ca="1" si="110"/>
        <v/>
      </c>
      <c r="AT218" s="38">
        <f>_xlfn.IFNA(IF(VLOOKUP(A218,'Actual Dates'!A:AF,32,0)="N/A"," ",VLOOKUP(A218,'Actual Dates'!A:AF,32,0))," ")</f>
        <v>0</v>
      </c>
      <c r="AU218" s="39"/>
      <c r="AV218" s="38" t="str">
        <f>_xlfn.IFNA(IF(VLOOKUP(A218,'Actual Dates'!A:AE,31,0)="","",VLOOKUP(A218,'Actual Dates'!A:AE,31,0)),"")</f>
        <v/>
      </c>
      <c r="AW218" s="40"/>
    </row>
    <row r="219" spans="1:49" ht="23.25" x14ac:dyDescent="0.25">
      <c r="A219" s="12">
        <f>'Actual Dates'!A218</f>
        <v>0</v>
      </c>
      <c r="B219" s="13" t="str">
        <f t="shared" si="102"/>
        <v/>
      </c>
      <c r="C219" s="35"/>
      <c r="D219" s="36" t="str">
        <f t="shared" si="111"/>
        <v/>
      </c>
      <c r="E219" s="37" t="str">
        <f t="shared" si="112"/>
        <v xml:space="preserve">  </v>
      </c>
      <c r="F219" s="36" t="str">
        <f t="shared" si="113"/>
        <v xml:space="preserve">  </v>
      </c>
      <c r="G219" s="37" t="str">
        <f t="shared" si="114"/>
        <v xml:space="preserve">  </v>
      </c>
      <c r="H219" s="36" t="str">
        <f t="shared" si="103"/>
        <v xml:space="preserve">  </v>
      </c>
      <c r="I219" s="37" t="str">
        <f t="shared" si="115"/>
        <v xml:space="preserve">  </v>
      </c>
      <c r="J219" s="35"/>
      <c r="K219" s="36" t="str">
        <f t="shared" si="116"/>
        <v>Y</v>
      </c>
      <c r="L219" s="37" t="str">
        <f t="shared" si="117"/>
        <v/>
      </c>
      <c r="M219" s="37" t="str">
        <f t="shared" si="104"/>
        <v xml:space="preserve">  </v>
      </c>
      <c r="N219" s="36" t="str">
        <f t="shared" si="118"/>
        <v xml:space="preserve">  </v>
      </c>
      <c r="O219" s="37" t="str">
        <f t="shared" si="119"/>
        <v/>
      </c>
      <c r="P219" s="36" t="str">
        <f t="shared" si="120"/>
        <v xml:space="preserve">  </v>
      </c>
      <c r="Q219" s="37" t="str">
        <f t="shared" si="121"/>
        <v xml:space="preserve">  </v>
      </c>
      <c r="R219" s="36" t="str">
        <f t="shared" si="122"/>
        <v xml:space="preserve">  </v>
      </c>
      <c r="S219" s="37" t="str">
        <f t="shared" si="123"/>
        <v xml:space="preserve">  </v>
      </c>
      <c r="T219" s="36" t="str">
        <f t="shared" si="124"/>
        <v xml:space="preserve">  </v>
      </c>
      <c r="U219" s="37" t="str">
        <f t="shared" si="125"/>
        <v xml:space="preserve">  </v>
      </c>
      <c r="V219" s="36" t="str">
        <f t="shared" si="126"/>
        <v xml:space="preserve">  </v>
      </c>
      <c r="W219" s="37" t="str">
        <f t="shared" si="127"/>
        <v xml:space="preserve">  </v>
      </c>
      <c r="X219" s="36" t="str">
        <f t="shared" si="128"/>
        <v xml:space="preserve">  </v>
      </c>
      <c r="Y219" s="37" t="str">
        <f t="shared" si="129"/>
        <v xml:space="preserve">  </v>
      </c>
      <c r="Z219" s="36" t="str">
        <f t="shared" si="130"/>
        <v xml:space="preserve">  </v>
      </c>
      <c r="AA219" s="37" t="str">
        <f t="shared" si="131"/>
        <v xml:space="preserve">  </v>
      </c>
      <c r="AB219" s="36" t="str">
        <f t="shared" si="132"/>
        <v xml:space="preserve">  </v>
      </c>
      <c r="AC219" s="37" t="str">
        <f t="shared" si="133"/>
        <v xml:space="preserve">  </v>
      </c>
      <c r="AD219" s="36" t="str">
        <f t="shared" si="134"/>
        <v xml:space="preserve">  </v>
      </c>
      <c r="AE219" s="37" t="str">
        <f t="shared" si="135"/>
        <v xml:space="preserve">  </v>
      </c>
      <c r="AF219" s="38" t="str">
        <f ca="1">_xlfn.IFNA(IF(AG219="",TODAY()+(VLOOKUP(A219,'Date Calcs'!A:G,7,0)*7),VLOOKUP(A219,'Actual Dates'!A:AE,21,FALSE())),"")</f>
        <v/>
      </c>
      <c r="AG219" s="38" t="str">
        <f>IF(VLOOKUP(A219,'Actual Dates'!A:AE,20,0)="","",VLOOKUP(A219,'Actual Dates'!A:AE,20,0))</f>
        <v/>
      </c>
      <c r="AH219" s="38" t="str">
        <f>_xlfn.IFNA(IF($AG219="","",IF(X219="Y","DONE",VLOOKUP(A219,'Ship Date'!A:AE,27,0))),"")</f>
        <v/>
      </c>
      <c r="AI219" s="12">
        <f t="shared" ca="1" si="105"/>
        <v>0</v>
      </c>
      <c r="AJ219" s="38" t="str">
        <f>_xlfn.IFNA(IF($AG219="","",IF(AB219="Y","DONE",VLOOKUP(A219,'Ship Date'!A:AG,29,0))),"")</f>
        <v/>
      </c>
      <c r="AK219" s="12">
        <f t="shared" ca="1" si="106"/>
        <v>0</v>
      </c>
      <c r="AL219" s="38" t="str">
        <f>_xlfn.IFNA(IF($AG219="","",IF(Z219="Y","DONE",VLOOKUP(A219,'Ship Date'!A:AI,28,0))),"")</f>
        <v/>
      </c>
      <c r="AM219" s="12">
        <f t="shared" ca="1" si="107"/>
        <v>0</v>
      </c>
      <c r="AN219" s="38" t="str">
        <f>_xlfn.IFNA(IF(T219="Y","DONE",VLOOKUP(A219,'Ship Date'!A:AE,25,0)),"")</f>
        <v/>
      </c>
      <c r="AO219" s="12">
        <f t="shared" si="108"/>
        <v>0</v>
      </c>
      <c r="AP219" s="38" t="str">
        <f>_xlfn.IFNA(IF(AD219="Y","DONE",VLOOKUP(A219,'Ship Date'!A:AE,30,0)),"")</f>
        <v/>
      </c>
      <c r="AQ219" s="12">
        <f t="shared" ca="1" si="109"/>
        <v>0</v>
      </c>
      <c r="AR219" s="38" t="str">
        <f>IFERROR(_xlfn.IFNA(VLOOKUP(A219,'Ship Date'!A:C,3,0),""),"")</f>
        <v/>
      </c>
      <c r="AS219" s="12" t="str">
        <f t="shared" ca="1" si="110"/>
        <v/>
      </c>
      <c r="AT219" s="38">
        <f>_xlfn.IFNA(IF(VLOOKUP(A219,'Actual Dates'!A:AF,32,0)="N/A"," ",VLOOKUP(A219,'Actual Dates'!A:AF,32,0))," ")</f>
        <v>0</v>
      </c>
      <c r="AU219" s="39"/>
      <c r="AV219" s="38" t="str">
        <f>_xlfn.IFNA(IF(VLOOKUP(A219,'Actual Dates'!A:AE,31,0)="","",VLOOKUP(A219,'Actual Dates'!A:AE,31,0)),"")</f>
        <v/>
      </c>
      <c r="AW219" s="40"/>
    </row>
    <row r="220" spans="1:49" ht="23.25" x14ac:dyDescent="0.25">
      <c r="A220" s="12">
        <f>'Actual Dates'!A219</f>
        <v>0</v>
      </c>
      <c r="B220" s="13" t="str">
        <f t="shared" si="102"/>
        <v/>
      </c>
      <c r="C220" s="35"/>
      <c r="D220" s="36" t="str">
        <f t="shared" si="111"/>
        <v/>
      </c>
      <c r="E220" s="37" t="str">
        <f t="shared" si="112"/>
        <v xml:space="preserve">  </v>
      </c>
      <c r="F220" s="36" t="str">
        <f t="shared" si="113"/>
        <v xml:space="preserve">  </v>
      </c>
      <c r="G220" s="37" t="str">
        <f t="shared" si="114"/>
        <v xml:space="preserve">  </v>
      </c>
      <c r="H220" s="36" t="str">
        <f t="shared" si="103"/>
        <v xml:space="preserve">  </v>
      </c>
      <c r="I220" s="37" t="str">
        <f t="shared" si="115"/>
        <v xml:space="preserve">  </v>
      </c>
      <c r="J220" s="35"/>
      <c r="K220" s="36" t="str">
        <f t="shared" si="116"/>
        <v>Y</v>
      </c>
      <c r="L220" s="37" t="str">
        <f t="shared" si="117"/>
        <v/>
      </c>
      <c r="M220" s="37" t="str">
        <f t="shared" si="104"/>
        <v xml:space="preserve">  </v>
      </c>
      <c r="N220" s="36" t="str">
        <f t="shared" si="118"/>
        <v xml:space="preserve">  </v>
      </c>
      <c r="O220" s="37" t="str">
        <f t="shared" si="119"/>
        <v/>
      </c>
      <c r="P220" s="36" t="str">
        <f t="shared" si="120"/>
        <v xml:space="preserve">  </v>
      </c>
      <c r="Q220" s="37" t="str">
        <f t="shared" si="121"/>
        <v xml:space="preserve">  </v>
      </c>
      <c r="R220" s="36" t="str">
        <f t="shared" si="122"/>
        <v xml:space="preserve">  </v>
      </c>
      <c r="S220" s="37" t="str">
        <f t="shared" si="123"/>
        <v xml:space="preserve">  </v>
      </c>
      <c r="T220" s="36" t="str">
        <f t="shared" si="124"/>
        <v xml:space="preserve">  </v>
      </c>
      <c r="U220" s="37" t="str">
        <f t="shared" si="125"/>
        <v xml:space="preserve">  </v>
      </c>
      <c r="V220" s="36" t="str">
        <f t="shared" si="126"/>
        <v xml:space="preserve">  </v>
      </c>
      <c r="W220" s="37" t="str">
        <f t="shared" si="127"/>
        <v xml:space="preserve">  </v>
      </c>
      <c r="X220" s="36" t="str">
        <f t="shared" si="128"/>
        <v xml:space="preserve">  </v>
      </c>
      <c r="Y220" s="37" t="str">
        <f t="shared" si="129"/>
        <v xml:space="preserve">  </v>
      </c>
      <c r="Z220" s="36" t="str">
        <f t="shared" si="130"/>
        <v xml:space="preserve">  </v>
      </c>
      <c r="AA220" s="37" t="str">
        <f t="shared" si="131"/>
        <v xml:space="preserve">  </v>
      </c>
      <c r="AB220" s="36" t="str">
        <f t="shared" si="132"/>
        <v xml:space="preserve">  </v>
      </c>
      <c r="AC220" s="37" t="str">
        <f t="shared" si="133"/>
        <v xml:space="preserve">  </v>
      </c>
      <c r="AD220" s="36" t="str">
        <f t="shared" si="134"/>
        <v xml:space="preserve">  </v>
      </c>
      <c r="AE220" s="37" t="str">
        <f t="shared" si="135"/>
        <v xml:space="preserve">  </v>
      </c>
      <c r="AF220" s="38" t="str">
        <f ca="1">_xlfn.IFNA(IF(AG220="",TODAY()+(VLOOKUP(A220,'Date Calcs'!A:G,7,0)*7),VLOOKUP(A220,'Actual Dates'!A:AE,21,FALSE())),"")</f>
        <v/>
      </c>
      <c r="AG220" s="38" t="str">
        <f>IF(VLOOKUP(A220,'Actual Dates'!A:AE,20,0)="","",VLOOKUP(A220,'Actual Dates'!A:AE,20,0))</f>
        <v/>
      </c>
      <c r="AH220" s="38" t="str">
        <f>_xlfn.IFNA(IF($AG220="","",IF(X220="Y","DONE",VLOOKUP(A220,'Ship Date'!A:AE,27,0))),"")</f>
        <v/>
      </c>
      <c r="AI220" s="12">
        <f t="shared" ca="1" si="105"/>
        <v>0</v>
      </c>
      <c r="AJ220" s="38" t="str">
        <f>_xlfn.IFNA(IF($AG220="","",IF(AB220="Y","DONE",VLOOKUP(A220,'Ship Date'!A:AG,29,0))),"")</f>
        <v/>
      </c>
      <c r="AK220" s="12">
        <f t="shared" ca="1" si="106"/>
        <v>0</v>
      </c>
      <c r="AL220" s="38" t="str">
        <f>_xlfn.IFNA(IF($AG220="","",IF(Z220="Y","DONE",VLOOKUP(A220,'Ship Date'!A:AI,28,0))),"")</f>
        <v/>
      </c>
      <c r="AM220" s="12">
        <f t="shared" ca="1" si="107"/>
        <v>0</v>
      </c>
      <c r="AN220" s="38" t="str">
        <f>_xlfn.IFNA(IF(T220="Y","DONE",VLOOKUP(A220,'Ship Date'!A:AE,25,0)),"")</f>
        <v/>
      </c>
      <c r="AO220" s="12">
        <f t="shared" si="108"/>
        <v>0</v>
      </c>
      <c r="AP220" s="38" t="str">
        <f>_xlfn.IFNA(IF(AD220="Y","DONE",VLOOKUP(A220,'Ship Date'!A:AE,30,0)),"")</f>
        <v/>
      </c>
      <c r="AQ220" s="12">
        <f t="shared" ca="1" si="109"/>
        <v>0</v>
      </c>
      <c r="AR220" s="38" t="str">
        <f>IFERROR(_xlfn.IFNA(VLOOKUP(A220,'Ship Date'!A:C,3,0),""),"")</f>
        <v/>
      </c>
      <c r="AS220" s="12" t="str">
        <f t="shared" ca="1" si="110"/>
        <v/>
      </c>
      <c r="AT220" s="38">
        <f>_xlfn.IFNA(IF(VLOOKUP(A220,'Actual Dates'!A:AF,32,0)="N/A"," ",VLOOKUP(A220,'Actual Dates'!A:AF,32,0))," ")</f>
        <v>0</v>
      </c>
      <c r="AU220" s="39"/>
      <c r="AV220" s="38" t="str">
        <f>_xlfn.IFNA(IF(VLOOKUP(A220,'Actual Dates'!A:AE,31,0)="","",VLOOKUP(A220,'Actual Dates'!A:AE,31,0)),"")</f>
        <v/>
      </c>
      <c r="AW220" s="40"/>
    </row>
    <row r="221" spans="1:49" ht="23.25" x14ac:dyDescent="0.25">
      <c r="A221" s="12">
        <f>'Actual Dates'!A220</f>
        <v>0</v>
      </c>
      <c r="B221" s="13" t="str">
        <f t="shared" si="102"/>
        <v/>
      </c>
      <c r="C221" s="35"/>
      <c r="D221" s="36" t="str">
        <f t="shared" si="111"/>
        <v/>
      </c>
      <c r="E221" s="37" t="str">
        <f t="shared" si="112"/>
        <v xml:space="preserve">  </v>
      </c>
      <c r="F221" s="36" t="str">
        <f t="shared" si="113"/>
        <v xml:space="preserve">  </v>
      </c>
      <c r="G221" s="37" t="str">
        <f t="shared" si="114"/>
        <v xml:space="preserve">  </v>
      </c>
      <c r="H221" s="36" t="str">
        <f t="shared" si="103"/>
        <v xml:space="preserve">  </v>
      </c>
      <c r="I221" s="37" t="str">
        <f t="shared" si="115"/>
        <v xml:space="preserve">  </v>
      </c>
      <c r="J221" s="35"/>
      <c r="K221" s="36" t="str">
        <f t="shared" si="116"/>
        <v>Y</v>
      </c>
      <c r="L221" s="37" t="str">
        <f t="shared" si="117"/>
        <v/>
      </c>
      <c r="M221" s="37" t="str">
        <f t="shared" si="104"/>
        <v xml:space="preserve">  </v>
      </c>
      <c r="N221" s="36" t="str">
        <f t="shared" si="118"/>
        <v xml:space="preserve">  </v>
      </c>
      <c r="O221" s="37" t="str">
        <f t="shared" si="119"/>
        <v/>
      </c>
      <c r="P221" s="36" t="str">
        <f t="shared" si="120"/>
        <v xml:space="preserve">  </v>
      </c>
      <c r="Q221" s="37" t="str">
        <f t="shared" si="121"/>
        <v xml:space="preserve">  </v>
      </c>
      <c r="R221" s="36" t="str">
        <f t="shared" si="122"/>
        <v xml:space="preserve">  </v>
      </c>
      <c r="S221" s="37" t="str">
        <f t="shared" si="123"/>
        <v xml:space="preserve">  </v>
      </c>
      <c r="T221" s="36" t="str">
        <f t="shared" si="124"/>
        <v xml:space="preserve">  </v>
      </c>
      <c r="U221" s="37" t="str">
        <f t="shared" si="125"/>
        <v xml:space="preserve">  </v>
      </c>
      <c r="V221" s="36" t="str">
        <f t="shared" si="126"/>
        <v xml:space="preserve">  </v>
      </c>
      <c r="W221" s="37" t="str">
        <f t="shared" si="127"/>
        <v xml:space="preserve">  </v>
      </c>
      <c r="X221" s="36" t="str">
        <f t="shared" si="128"/>
        <v xml:space="preserve">  </v>
      </c>
      <c r="Y221" s="37" t="str">
        <f t="shared" si="129"/>
        <v xml:space="preserve">  </v>
      </c>
      <c r="Z221" s="36" t="str">
        <f t="shared" si="130"/>
        <v xml:space="preserve">  </v>
      </c>
      <c r="AA221" s="37" t="str">
        <f t="shared" si="131"/>
        <v xml:space="preserve">  </v>
      </c>
      <c r="AB221" s="36" t="str">
        <f t="shared" si="132"/>
        <v xml:space="preserve">  </v>
      </c>
      <c r="AC221" s="37" t="str">
        <f t="shared" si="133"/>
        <v xml:space="preserve">  </v>
      </c>
      <c r="AD221" s="36" t="str">
        <f t="shared" si="134"/>
        <v xml:space="preserve">  </v>
      </c>
      <c r="AE221" s="37" t="str">
        <f t="shared" si="135"/>
        <v xml:space="preserve">  </v>
      </c>
      <c r="AF221" s="38" t="str">
        <f ca="1">_xlfn.IFNA(IF(AG221="",TODAY()+(VLOOKUP(A221,'Date Calcs'!A:G,7,0)*7),VLOOKUP(A221,'Actual Dates'!A:AE,21,FALSE())),"")</f>
        <v/>
      </c>
      <c r="AG221" s="38" t="str">
        <f>IF(VLOOKUP(A221,'Actual Dates'!A:AE,20,0)="","",VLOOKUP(A221,'Actual Dates'!A:AE,20,0))</f>
        <v/>
      </c>
      <c r="AH221" s="38" t="str">
        <f>_xlfn.IFNA(IF($AG221="","",IF(X221="Y","DONE",VLOOKUP(A221,'Ship Date'!A:AE,27,0))),"")</f>
        <v/>
      </c>
      <c r="AI221" s="12">
        <f t="shared" ca="1" si="105"/>
        <v>0</v>
      </c>
      <c r="AJ221" s="38" t="str">
        <f>_xlfn.IFNA(IF($AG221="","",IF(AB221="Y","DONE",VLOOKUP(A221,'Ship Date'!A:AG,29,0))),"")</f>
        <v/>
      </c>
      <c r="AK221" s="12">
        <f t="shared" ca="1" si="106"/>
        <v>0</v>
      </c>
      <c r="AL221" s="38" t="str">
        <f>_xlfn.IFNA(IF($AG221="","",IF(Z221="Y","DONE",VLOOKUP(A221,'Ship Date'!A:AI,28,0))),"")</f>
        <v/>
      </c>
      <c r="AM221" s="12">
        <f t="shared" ca="1" si="107"/>
        <v>0</v>
      </c>
      <c r="AN221" s="38" t="str">
        <f>_xlfn.IFNA(IF(T221="Y","DONE",VLOOKUP(A221,'Ship Date'!A:AE,25,0)),"")</f>
        <v/>
      </c>
      <c r="AO221" s="12">
        <f t="shared" si="108"/>
        <v>0</v>
      </c>
      <c r="AP221" s="38" t="str">
        <f>_xlfn.IFNA(IF(AD221="Y","DONE",VLOOKUP(A221,'Ship Date'!A:AE,30,0)),"")</f>
        <v/>
      </c>
      <c r="AQ221" s="12">
        <f t="shared" ca="1" si="109"/>
        <v>0</v>
      </c>
      <c r="AR221" s="38" t="str">
        <f>IFERROR(_xlfn.IFNA(VLOOKUP(A221,'Ship Date'!A:C,3,0),""),"")</f>
        <v/>
      </c>
      <c r="AS221" s="12" t="str">
        <f t="shared" ca="1" si="110"/>
        <v/>
      </c>
      <c r="AT221" s="38">
        <f>_xlfn.IFNA(IF(VLOOKUP(A221,'Actual Dates'!A:AF,32,0)="N/A"," ",VLOOKUP(A221,'Actual Dates'!A:AF,32,0))," ")</f>
        <v>0</v>
      </c>
      <c r="AU221" s="39"/>
      <c r="AV221" s="38" t="str">
        <f>_xlfn.IFNA(IF(VLOOKUP(A221,'Actual Dates'!A:AE,31,0)="","",VLOOKUP(A221,'Actual Dates'!A:AE,31,0)),"")</f>
        <v/>
      </c>
      <c r="AW221" s="40"/>
    </row>
    <row r="222" spans="1:49" ht="23.25" x14ac:dyDescent="0.25">
      <c r="A222" s="12">
        <f>'Actual Dates'!A221</f>
        <v>0</v>
      </c>
      <c r="B222" s="13" t="str">
        <f t="shared" si="102"/>
        <v/>
      </c>
      <c r="C222" s="35"/>
      <c r="D222" s="36" t="str">
        <f t="shared" si="111"/>
        <v/>
      </c>
      <c r="E222" s="37" t="str">
        <f t="shared" si="112"/>
        <v xml:space="preserve">  </v>
      </c>
      <c r="F222" s="36" t="str">
        <f t="shared" si="113"/>
        <v xml:space="preserve">  </v>
      </c>
      <c r="G222" s="37" t="str">
        <f t="shared" si="114"/>
        <v xml:space="preserve">  </v>
      </c>
      <c r="H222" s="36" t="str">
        <f t="shared" si="103"/>
        <v xml:space="preserve">  </v>
      </c>
      <c r="I222" s="37" t="str">
        <f t="shared" si="115"/>
        <v xml:space="preserve">  </v>
      </c>
      <c r="J222" s="35"/>
      <c r="K222" s="36" t="str">
        <f t="shared" si="116"/>
        <v>Y</v>
      </c>
      <c r="L222" s="37" t="str">
        <f t="shared" si="117"/>
        <v/>
      </c>
      <c r="M222" s="37" t="str">
        <f t="shared" si="104"/>
        <v xml:space="preserve">  </v>
      </c>
      <c r="N222" s="36" t="str">
        <f t="shared" si="118"/>
        <v xml:space="preserve">  </v>
      </c>
      <c r="O222" s="37" t="str">
        <f t="shared" si="119"/>
        <v/>
      </c>
      <c r="P222" s="36" t="str">
        <f t="shared" si="120"/>
        <v xml:space="preserve">  </v>
      </c>
      <c r="Q222" s="37" t="str">
        <f t="shared" si="121"/>
        <v xml:space="preserve">  </v>
      </c>
      <c r="R222" s="36" t="str">
        <f t="shared" si="122"/>
        <v xml:space="preserve">  </v>
      </c>
      <c r="S222" s="37" t="str">
        <f t="shared" si="123"/>
        <v xml:space="preserve">  </v>
      </c>
      <c r="T222" s="36" t="str">
        <f t="shared" si="124"/>
        <v xml:space="preserve">  </v>
      </c>
      <c r="U222" s="37" t="str">
        <f t="shared" si="125"/>
        <v xml:space="preserve">  </v>
      </c>
      <c r="V222" s="36" t="str">
        <f t="shared" si="126"/>
        <v xml:space="preserve">  </v>
      </c>
      <c r="W222" s="37" t="str">
        <f t="shared" si="127"/>
        <v xml:space="preserve">  </v>
      </c>
      <c r="X222" s="36" t="str">
        <f t="shared" si="128"/>
        <v xml:space="preserve">  </v>
      </c>
      <c r="Y222" s="37" t="str">
        <f t="shared" si="129"/>
        <v xml:space="preserve">  </v>
      </c>
      <c r="Z222" s="36" t="str">
        <f t="shared" si="130"/>
        <v xml:space="preserve">  </v>
      </c>
      <c r="AA222" s="37" t="str">
        <f t="shared" si="131"/>
        <v xml:space="preserve">  </v>
      </c>
      <c r="AB222" s="36" t="str">
        <f t="shared" si="132"/>
        <v xml:space="preserve">  </v>
      </c>
      <c r="AC222" s="37" t="str">
        <f t="shared" si="133"/>
        <v xml:space="preserve">  </v>
      </c>
      <c r="AD222" s="36" t="str">
        <f t="shared" si="134"/>
        <v xml:space="preserve">  </v>
      </c>
      <c r="AE222" s="37" t="str">
        <f t="shared" si="135"/>
        <v xml:space="preserve">  </v>
      </c>
      <c r="AF222" s="38" t="str">
        <f ca="1">_xlfn.IFNA(IF(AG222="",TODAY()+(VLOOKUP(A222,'Date Calcs'!A:G,7,0)*7),VLOOKUP(A222,'Actual Dates'!A:AE,21,FALSE())),"")</f>
        <v/>
      </c>
      <c r="AG222" s="38" t="str">
        <f>IF(VLOOKUP(A222,'Actual Dates'!A:AE,20,0)="","",VLOOKUP(A222,'Actual Dates'!A:AE,20,0))</f>
        <v/>
      </c>
      <c r="AH222" s="38" t="str">
        <f>_xlfn.IFNA(IF($AG222="","",IF(X222="Y","DONE",VLOOKUP(A222,'Ship Date'!A:AE,27,0))),"")</f>
        <v/>
      </c>
      <c r="AI222" s="12">
        <f t="shared" ca="1" si="105"/>
        <v>0</v>
      </c>
      <c r="AJ222" s="38" t="str">
        <f>_xlfn.IFNA(IF($AG222="","",IF(AB222="Y","DONE",VLOOKUP(A222,'Ship Date'!A:AG,29,0))),"")</f>
        <v/>
      </c>
      <c r="AK222" s="12">
        <f t="shared" ca="1" si="106"/>
        <v>0</v>
      </c>
      <c r="AL222" s="38" t="str">
        <f>_xlfn.IFNA(IF($AG222="","",IF(Z222="Y","DONE",VLOOKUP(A222,'Ship Date'!A:AI,28,0))),"")</f>
        <v/>
      </c>
      <c r="AM222" s="12">
        <f t="shared" ca="1" si="107"/>
        <v>0</v>
      </c>
      <c r="AN222" s="38" t="str">
        <f>_xlfn.IFNA(IF(T222="Y","DONE",VLOOKUP(A222,'Ship Date'!A:AE,25,0)),"")</f>
        <v/>
      </c>
      <c r="AO222" s="12">
        <f t="shared" si="108"/>
        <v>0</v>
      </c>
      <c r="AP222" s="38" t="str">
        <f>_xlfn.IFNA(IF(AD222="Y","DONE",VLOOKUP(A222,'Ship Date'!A:AE,30,0)),"")</f>
        <v/>
      </c>
      <c r="AQ222" s="12">
        <f t="shared" ca="1" si="109"/>
        <v>0</v>
      </c>
      <c r="AR222" s="38" t="str">
        <f>IFERROR(_xlfn.IFNA(VLOOKUP(A222,'Ship Date'!A:C,3,0),""),"")</f>
        <v/>
      </c>
      <c r="AS222" s="12" t="str">
        <f t="shared" ca="1" si="110"/>
        <v/>
      </c>
      <c r="AT222" s="38">
        <f>_xlfn.IFNA(IF(VLOOKUP(A222,'Actual Dates'!A:AF,32,0)="N/A"," ",VLOOKUP(A222,'Actual Dates'!A:AF,32,0))," ")</f>
        <v>0</v>
      </c>
      <c r="AU222" s="39"/>
      <c r="AV222" s="38" t="str">
        <f>_xlfn.IFNA(IF(VLOOKUP(A222,'Actual Dates'!A:AE,31,0)="","",VLOOKUP(A222,'Actual Dates'!A:AE,31,0)),"")</f>
        <v/>
      </c>
      <c r="AW222" s="40"/>
    </row>
    <row r="223" spans="1:49" ht="23.25" x14ac:dyDescent="0.25">
      <c r="A223" s="12">
        <f>'Actual Dates'!A222</f>
        <v>0</v>
      </c>
      <c r="B223" s="13" t="str">
        <f t="shared" si="102"/>
        <v/>
      </c>
      <c r="C223" s="35"/>
      <c r="D223" s="36" t="str">
        <f t="shared" si="111"/>
        <v/>
      </c>
      <c r="E223" s="37" t="str">
        <f t="shared" si="112"/>
        <v xml:space="preserve">  </v>
      </c>
      <c r="F223" s="36" t="str">
        <f t="shared" si="113"/>
        <v xml:space="preserve">  </v>
      </c>
      <c r="G223" s="37" t="str">
        <f t="shared" si="114"/>
        <v xml:space="preserve">  </v>
      </c>
      <c r="H223" s="36" t="str">
        <f t="shared" si="103"/>
        <v xml:space="preserve">  </v>
      </c>
      <c r="I223" s="37" t="str">
        <f t="shared" si="115"/>
        <v xml:space="preserve">  </v>
      </c>
      <c r="J223" s="35"/>
      <c r="K223" s="36" t="str">
        <f t="shared" si="116"/>
        <v>Y</v>
      </c>
      <c r="L223" s="37" t="str">
        <f t="shared" si="117"/>
        <v/>
      </c>
      <c r="M223" s="37" t="str">
        <f t="shared" si="104"/>
        <v xml:space="preserve">  </v>
      </c>
      <c r="N223" s="36" t="str">
        <f t="shared" si="118"/>
        <v xml:space="preserve">  </v>
      </c>
      <c r="O223" s="37" t="str">
        <f t="shared" si="119"/>
        <v/>
      </c>
      <c r="P223" s="36" t="str">
        <f t="shared" si="120"/>
        <v xml:space="preserve">  </v>
      </c>
      <c r="Q223" s="37" t="str">
        <f t="shared" si="121"/>
        <v xml:space="preserve">  </v>
      </c>
      <c r="R223" s="36" t="str">
        <f t="shared" si="122"/>
        <v xml:space="preserve">  </v>
      </c>
      <c r="S223" s="37" t="str">
        <f t="shared" si="123"/>
        <v xml:space="preserve">  </v>
      </c>
      <c r="T223" s="36" t="str">
        <f t="shared" si="124"/>
        <v xml:space="preserve">  </v>
      </c>
      <c r="U223" s="37" t="str">
        <f t="shared" si="125"/>
        <v xml:space="preserve">  </v>
      </c>
      <c r="V223" s="36" t="str">
        <f t="shared" si="126"/>
        <v xml:space="preserve">  </v>
      </c>
      <c r="W223" s="37" t="str">
        <f t="shared" si="127"/>
        <v xml:space="preserve">  </v>
      </c>
      <c r="X223" s="36" t="str">
        <f t="shared" si="128"/>
        <v xml:space="preserve">  </v>
      </c>
      <c r="Y223" s="37" t="str">
        <f t="shared" si="129"/>
        <v xml:space="preserve">  </v>
      </c>
      <c r="Z223" s="36" t="str">
        <f t="shared" si="130"/>
        <v xml:space="preserve">  </v>
      </c>
      <c r="AA223" s="37" t="str">
        <f t="shared" si="131"/>
        <v xml:space="preserve">  </v>
      </c>
      <c r="AB223" s="36" t="str">
        <f t="shared" si="132"/>
        <v xml:space="preserve">  </v>
      </c>
      <c r="AC223" s="37" t="str">
        <f t="shared" si="133"/>
        <v xml:space="preserve">  </v>
      </c>
      <c r="AD223" s="36" t="str">
        <f t="shared" si="134"/>
        <v xml:space="preserve">  </v>
      </c>
      <c r="AE223" s="37" t="str">
        <f t="shared" si="135"/>
        <v xml:space="preserve">  </v>
      </c>
      <c r="AF223" s="38" t="str">
        <f ca="1">_xlfn.IFNA(IF(AG223="",TODAY()+(VLOOKUP(A223,'Date Calcs'!A:G,7,0)*7),VLOOKUP(A223,'Actual Dates'!A:AE,21,FALSE())),"")</f>
        <v/>
      </c>
      <c r="AG223" s="38" t="str">
        <f>IF(VLOOKUP(A223,'Actual Dates'!A:AE,20,0)="","",VLOOKUP(A223,'Actual Dates'!A:AE,20,0))</f>
        <v/>
      </c>
      <c r="AH223" s="38" t="str">
        <f>_xlfn.IFNA(IF($AG223="","",IF(X223="Y","DONE",VLOOKUP(A223,'Ship Date'!A:AE,27,0))),"")</f>
        <v/>
      </c>
      <c r="AI223" s="12">
        <f t="shared" ca="1" si="105"/>
        <v>0</v>
      </c>
      <c r="AJ223" s="38" t="str">
        <f>_xlfn.IFNA(IF($AG223="","",IF(AB223="Y","DONE",VLOOKUP(A223,'Ship Date'!A:AG,29,0))),"")</f>
        <v/>
      </c>
      <c r="AK223" s="12">
        <f t="shared" ca="1" si="106"/>
        <v>0</v>
      </c>
      <c r="AL223" s="38" t="str">
        <f>_xlfn.IFNA(IF($AG223="","",IF(Z223="Y","DONE",VLOOKUP(A223,'Ship Date'!A:AI,28,0))),"")</f>
        <v/>
      </c>
      <c r="AM223" s="12">
        <f t="shared" ca="1" si="107"/>
        <v>0</v>
      </c>
      <c r="AN223" s="38" t="str">
        <f>_xlfn.IFNA(IF(T223="Y","DONE",VLOOKUP(A223,'Ship Date'!A:AE,25,0)),"")</f>
        <v/>
      </c>
      <c r="AO223" s="12">
        <f t="shared" si="108"/>
        <v>0</v>
      </c>
      <c r="AP223" s="38" t="str">
        <f>_xlfn.IFNA(IF(AD223="Y","DONE",VLOOKUP(A223,'Ship Date'!A:AE,30,0)),"")</f>
        <v/>
      </c>
      <c r="AQ223" s="12">
        <f t="shared" ca="1" si="109"/>
        <v>0</v>
      </c>
      <c r="AR223" s="38" t="str">
        <f>IFERROR(_xlfn.IFNA(VLOOKUP(A223,'Ship Date'!A:C,3,0),""),"")</f>
        <v/>
      </c>
      <c r="AS223" s="12" t="str">
        <f t="shared" ca="1" si="110"/>
        <v/>
      </c>
      <c r="AT223" s="38">
        <f>_xlfn.IFNA(IF(VLOOKUP(A223,'Actual Dates'!A:AF,32,0)="N/A"," ",VLOOKUP(A223,'Actual Dates'!A:AF,32,0))," ")</f>
        <v>0</v>
      </c>
      <c r="AU223" s="39"/>
      <c r="AV223" s="38" t="str">
        <f>_xlfn.IFNA(IF(VLOOKUP(A223,'Actual Dates'!A:AE,31,0)="","",VLOOKUP(A223,'Actual Dates'!A:AE,31,0)),"")</f>
        <v/>
      </c>
      <c r="AW223" s="40"/>
    </row>
    <row r="224" spans="1:49" ht="23.25" x14ac:dyDescent="0.25">
      <c r="A224" s="12">
        <f>'Actual Dates'!A223</f>
        <v>0</v>
      </c>
      <c r="B224" s="13" t="str">
        <f t="shared" si="102"/>
        <v/>
      </c>
      <c r="C224" s="35"/>
      <c r="D224" s="36" t="str">
        <f t="shared" si="111"/>
        <v/>
      </c>
      <c r="E224" s="37" t="str">
        <f t="shared" si="112"/>
        <v xml:space="preserve">  </v>
      </c>
      <c r="F224" s="36" t="str">
        <f t="shared" si="113"/>
        <v xml:space="preserve">  </v>
      </c>
      <c r="G224" s="37" t="str">
        <f t="shared" si="114"/>
        <v xml:space="preserve">  </v>
      </c>
      <c r="H224" s="36" t="str">
        <f t="shared" si="103"/>
        <v xml:space="preserve">  </v>
      </c>
      <c r="I224" s="37" t="str">
        <f t="shared" si="115"/>
        <v xml:space="preserve">  </v>
      </c>
      <c r="J224" s="35"/>
      <c r="K224" s="36" t="str">
        <f t="shared" si="116"/>
        <v>Y</v>
      </c>
      <c r="L224" s="37" t="str">
        <f t="shared" si="117"/>
        <v/>
      </c>
      <c r="M224" s="37" t="str">
        <f t="shared" si="104"/>
        <v xml:space="preserve">  </v>
      </c>
      <c r="N224" s="36" t="str">
        <f t="shared" si="118"/>
        <v xml:space="preserve">  </v>
      </c>
      <c r="O224" s="37" t="str">
        <f t="shared" si="119"/>
        <v/>
      </c>
      <c r="P224" s="36" t="str">
        <f t="shared" si="120"/>
        <v xml:space="preserve">  </v>
      </c>
      <c r="Q224" s="37" t="str">
        <f t="shared" si="121"/>
        <v xml:space="preserve">  </v>
      </c>
      <c r="R224" s="36" t="str">
        <f t="shared" si="122"/>
        <v xml:space="preserve">  </v>
      </c>
      <c r="S224" s="37" t="str">
        <f t="shared" si="123"/>
        <v xml:space="preserve">  </v>
      </c>
      <c r="T224" s="36" t="str">
        <f t="shared" si="124"/>
        <v xml:space="preserve">  </v>
      </c>
      <c r="U224" s="37" t="str">
        <f t="shared" si="125"/>
        <v xml:space="preserve">  </v>
      </c>
      <c r="V224" s="36" t="str">
        <f t="shared" si="126"/>
        <v xml:space="preserve">  </v>
      </c>
      <c r="W224" s="37" t="str">
        <f t="shared" si="127"/>
        <v xml:space="preserve">  </v>
      </c>
      <c r="X224" s="36" t="str">
        <f t="shared" si="128"/>
        <v xml:space="preserve">  </v>
      </c>
      <c r="Y224" s="37" t="str">
        <f t="shared" si="129"/>
        <v xml:space="preserve">  </v>
      </c>
      <c r="Z224" s="36" t="str">
        <f t="shared" si="130"/>
        <v xml:space="preserve">  </v>
      </c>
      <c r="AA224" s="37" t="str">
        <f t="shared" si="131"/>
        <v xml:space="preserve">  </v>
      </c>
      <c r="AB224" s="36" t="str">
        <f t="shared" si="132"/>
        <v xml:space="preserve">  </v>
      </c>
      <c r="AC224" s="37" t="str">
        <f t="shared" si="133"/>
        <v xml:space="preserve">  </v>
      </c>
      <c r="AD224" s="36" t="str">
        <f t="shared" si="134"/>
        <v xml:space="preserve">  </v>
      </c>
      <c r="AE224" s="37" t="str">
        <f t="shared" si="135"/>
        <v xml:space="preserve">  </v>
      </c>
      <c r="AF224" s="38" t="str">
        <f ca="1">_xlfn.IFNA(IF(AG224="",TODAY()+(VLOOKUP(A224,'Date Calcs'!A:G,7,0)*7),VLOOKUP(A224,'Actual Dates'!A:AE,21,FALSE())),"")</f>
        <v/>
      </c>
      <c r="AG224" s="38" t="str">
        <f>IF(VLOOKUP(A224,'Actual Dates'!A:AE,20,0)="","",VLOOKUP(A224,'Actual Dates'!A:AE,20,0))</f>
        <v/>
      </c>
      <c r="AH224" s="38" t="str">
        <f>_xlfn.IFNA(IF($AG224="","",IF(X224="Y","DONE",VLOOKUP(A224,'Ship Date'!A:AE,27,0))),"")</f>
        <v/>
      </c>
      <c r="AI224" s="12">
        <f t="shared" ca="1" si="105"/>
        <v>0</v>
      </c>
      <c r="AJ224" s="38" t="str">
        <f>_xlfn.IFNA(IF($AG224="","",IF(AB224="Y","DONE",VLOOKUP(A224,'Ship Date'!A:AG,29,0))),"")</f>
        <v/>
      </c>
      <c r="AK224" s="12">
        <f t="shared" ca="1" si="106"/>
        <v>0</v>
      </c>
      <c r="AL224" s="38" t="str">
        <f>_xlfn.IFNA(IF($AG224="","",IF(Z224="Y","DONE",VLOOKUP(A224,'Ship Date'!A:AI,28,0))),"")</f>
        <v/>
      </c>
      <c r="AM224" s="12">
        <f t="shared" ca="1" si="107"/>
        <v>0</v>
      </c>
      <c r="AN224" s="38" t="str">
        <f>_xlfn.IFNA(IF(T224="Y","DONE",VLOOKUP(A224,'Ship Date'!A:AE,25,0)),"")</f>
        <v/>
      </c>
      <c r="AO224" s="12">
        <f t="shared" si="108"/>
        <v>0</v>
      </c>
      <c r="AP224" s="38" t="str">
        <f>_xlfn.IFNA(IF(AD224="Y","DONE",VLOOKUP(A224,'Ship Date'!A:AE,30,0)),"")</f>
        <v/>
      </c>
      <c r="AQ224" s="12">
        <f t="shared" ca="1" si="109"/>
        <v>0</v>
      </c>
      <c r="AR224" s="38" t="str">
        <f>IFERROR(_xlfn.IFNA(VLOOKUP(A224,'Ship Date'!A:C,3,0),""),"")</f>
        <v/>
      </c>
      <c r="AS224" s="12" t="str">
        <f t="shared" ca="1" si="110"/>
        <v/>
      </c>
      <c r="AT224" s="38">
        <f>_xlfn.IFNA(IF(VLOOKUP(A224,'Actual Dates'!A:AF,32,0)="N/A"," ",VLOOKUP(A224,'Actual Dates'!A:AF,32,0))," ")</f>
        <v>0</v>
      </c>
      <c r="AU224" s="39"/>
      <c r="AV224" s="38" t="str">
        <f>_xlfn.IFNA(IF(VLOOKUP(A224,'Actual Dates'!A:AE,31,0)="","",VLOOKUP(A224,'Actual Dates'!A:AE,31,0)),"")</f>
        <v/>
      </c>
      <c r="AW224" s="40"/>
    </row>
    <row r="225" spans="1:49" ht="23.25" x14ac:dyDescent="0.25">
      <c r="A225" s="12">
        <f>'Actual Dates'!A224</f>
        <v>0</v>
      </c>
      <c r="B225" s="13" t="str">
        <f t="shared" si="102"/>
        <v/>
      </c>
      <c r="C225" s="35"/>
      <c r="D225" s="36" t="str">
        <f t="shared" si="111"/>
        <v/>
      </c>
      <c r="E225" s="37" t="str">
        <f t="shared" si="112"/>
        <v xml:space="preserve">  </v>
      </c>
      <c r="F225" s="36" t="str">
        <f t="shared" si="113"/>
        <v xml:space="preserve">  </v>
      </c>
      <c r="G225" s="37" t="str">
        <f t="shared" si="114"/>
        <v xml:space="preserve">  </v>
      </c>
      <c r="H225" s="36" t="str">
        <f t="shared" si="103"/>
        <v xml:space="preserve">  </v>
      </c>
      <c r="I225" s="37" t="str">
        <f t="shared" si="115"/>
        <v xml:space="preserve">  </v>
      </c>
      <c r="J225" s="35"/>
      <c r="K225" s="36" t="str">
        <f t="shared" si="116"/>
        <v>Y</v>
      </c>
      <c r="L225" s="37" t="str">
        <f t="shared" si="117"/>
        <v/>
      </c>
      <c r="M225" s="37" t="str">
        <f t="shared" si="104"/>
        <v xml:space="preserve">  </v>
      </c>
      <c r="N225" s="36" t="str">
        <f t="shared" si="118"/>
        <v xml:space="preserve">  </v>
      </c>
      <c r="O225" s="37" t="str">
        <f t="shared" si="119"/>
        <v/>
      </c>
      <c r="P225" s="36" t="str">
        <f t="shared" si="120"/>
        <v xml:space="preserve">  </v>
      </c>
      <c r="Q225" s="37" t="str">
        <f t="shared" si="121"/>
        <v xml:space="preserve">  </v>
      </c>
      <c r="R225" s="36" t="str">
        <f t="shared" si="122"/>
        <v xml:space="preserve">  </v>
      </c>
      <c r="S225" s="37" t="str">
        <f t="shared" si="123"/>
        <v xml:space="preserve">  </v>
      </c>
      <c r="T225" s="36" t="str">
        <f t="shared" si="124"/>
        <v xml:space="preserve">  </v>
      </c>
      <c r="U225" s="37" t="str">
        <f t="shared" si="125"/>
        <v xml:space="preserve">  </v>
      </c>
      <c r="V225" s="36" t="str">
        <f t="shared" si="126"/>
        <v xml:space="preserve">  </v>
      </c>
      <c r="W225" s="37" t="str">
        <f t="shared" si="127"/>
        <v xml:space="preserve">  </v>
      </c>
      <c r="X225" s="36" t="str">
        <f t="shared" si="128"/>
        <v xml:space="preserve">  </v>
      </c>
      <c r="Y225" s="37" t="str">
        <f t="shared" si="129"/>
        <v xml:space="preserve">  </v>
      </c>
      <c r="Z225" s="36" t="str">
        <f t="shared" si="130"/>
        <v xml:space="preserve">  </v>
      </c>
      <c r="AA225" s="37" t="str">
        <f t="shared" si="131"/>
        <v xml:space="preserve">  </v>
      </c>
      <c r="AB225" s="36" t="str">
        <f t="shared" si="132"/>
        <v xml:space="preserve">  </v>
      </c>
      <c r="AC225" s="37" t="str">
        <f t="shared" si="133"/>
        <v xml:space="preserve">  </v>
      </c>
      <c r="AD225" s="36" t="str">
        <f t="shared" si="134"/>
        <v xml:space="preserve">  </v>
      </c>
      <c r="AE225" s="37" t="str">
        <f t="shared" si="135"/>
        <v xml:space="preserve">  </v>
      </c>
      <c r="AF225" s="38" t="str">
        <f ca="1">_xlfn.IFNA(IF(AG225="",TODAY()+(VLOOKUP(A225,'Date Calcs'!A:G,7,0)*7),VLOOKUP(A225,'Actual Dates'!A:AE,21,FALSE())),"")</f>
        <v/>
      </c>
      <c r="AG225" s="38" t="str">
        <f>IF(VLOOKUP(A225,'Actual Dates'!A:AE,20,0)="","",VLOOKUP(A225,'Actual Dates'!A:AE,20,0))</f>
        <v/>
      </c>
      <c r="AH225" s="38" t="str">
        <f>_xlfn.IFNA(IF($AG225="","",IF(X225="Y","DONE",VLOOKUP(A225,'Ship Date'!A:AE,27,0))),"")</f>
        <v/>
      </c>
      <c r="AI225" s="12">
        <f t="shared" ca="1" si="105"/>
        <v>0</v>
      </c>
      <c r="AJ225" s="38" t="str">
        <f>_xlfn.IFNA(IF($AG225="","",IF(AB225="Y","DONE",VLOOKUP(A225,'Ship Date'!A:AG,29,0))),"")</f>
        <v/>
      </c>
      <c r="AK225" s="12">
        <f t="shared" ca="1" si="106"/>
        <v>0</v>
      </c>
      <c r="AL225" s="38" t="str">
        <f>_xlfn.IFNA(IF($AG225="","",IF(Z225="Y","DONE",VLOOKUP(A225,'Ship Date'!A:AI,28,0))),"")</f>
        <v/>
      </c>
      <c r="AM225" s="12">
        <f t="shared" ca="1" si="107"/>
        <v>0</v>
      </c>
      <c r="AN225" s="38" t="str">
        <f>_xlfn.IFNA(IF(T225="Y","DONE",VLOOKUP(A225,'Ship Date'!A:AE,25,0)),"")</f>
        <v/>
      </c>
      <c r="AO225" s="12">
        <f t="shared" si="108"/>
        <v>0</v>
      </c>
      <c r="AP225" s="38" t="str">
        <f>_xlfn.IFNA(IF(AD225="Y","DONE",VLOOKUP(A225,'Ship Date'!A:AE,30,0)),"")</f>
        <v/>
      </c>
      <c r="AQ225" s="12">
        <f t="shared" ca="1" si="109"/>
        <v>0</v>
      </c>
      <c r="AR225" s="38" t="str">
        <f>IFERROR(_xlfn.IFNA(VLOOKUP(A225,'Ship Date'!A:C,3,0),""),"")</f>
        <v/>
      </c>
      <c r="AS225" s="12" t="str">
        <f t="shared" ca="1" si="110"/>
        <v/>
      </c>
      <c r="AT225" s="38">
        <f>_xlfn.IFNA(IF(VLOOKUP(A225,'Actual Dates'!A:AF,32,0)="N/A"," ",VLOOKUP(A225,'Actual Dates'!A:AF,32,0))," ")</f>
        <v>0</v>
      </c>
      <c r="AU225" s="39"/>
      <c r="AV225" s="38" t="str">
        <f>_xlfn.IFNA(IF(VLOOKUP(A225,'Actual Dates'!A:AE,31,0)="","",VLOOKUP(A225,'Actual Dates'!A:AE,31,0)),"")</f>
        <v/>
      </c>
      <c r="AW225" s="40"/>
    </row>
    <row r="226" spans="1:49" ht="23.25" x14ac:dyDescent="0.25">
      <c r="A226" s="12">
        <f>'Actual Dates'!A225</f>
        <v>0</v>
      </c>
      <c r="B226" s="13" t="str">
        <f t="shared" si="102"/>
        <v/>
      </c>
      <c r="C226" s="35"/>
      <c r="D226" s="36" t="str">
        <f t="shared" si="111"/>
        <v/>
      </c>
      <c r="E226" s="37" t="str">
        <f t="shared" si="112"/>
        <v xml:space="preserve">  </v>
      </c>
      <c r="F226" s="36" t="str">
        <f t="shared" si="113"/>
        <v xml:space="preserve">  </v>
      </c>
      <c r="G226" s="37" t="str">
        <f t="shared" si="114"/>
        <v xml:space="preserve">  </v>
      </c>
      <c r="H226" s="36" t="str">
        <f t="shared" si="103"/>
        <v xml:space="preserve">  </v>
      </c>
      <c r="I226" s="37" t="str">
        <f t="shared" si="115"/>
        <v xml:space="preserve">  </v>
      </c>
      <c r="J226" s="35"/>
      <c r="K226" s="36" t="str">
        <f t="shared" si="116"/>
        <v>Y</v>
      </c>
      <c r="L226" s="37" t="str">
        <f t="shared" si="117"/>
        <v/>
      </c>
      <c r="M226" s="37" t="str">
        <f t="shared" si="104"/>
        <v xml:space="preserve">  </v>
      </c>
      <c r="N226" s="36" t="str">
        <f t="shared" si="118"/>
        <v xml:space="preserve">  </v>
      </c>
      <c r="O226" s="37" t="str">
        <f t="shared" si="119"/>
        <v/>
      </c>
      <c r="P226" s="36" t="str">
        <f t="shared" si="120"/>
        <v xml:space="preserve">  </v>
      </c>
      <c r="Q226" s="37" t="str">
        <f t="shared" si="121"/>
        <v xml:space="preserve">  </v>
      </c>
      <c r="R226" s="36" t="str">
        <f t="shared" si="122"/>
        <v xml:space="preserve">  </v>
      </c>
      <c r="S226" s="37" t="str">
        <f t="shared" si="123"/>
        <v xml:space="preserve">  </v>
      </c>
      <c r="T226" s="36" t="str">
        <f t="shared" si="124"/>
        <v xml:space="preserve">  </v>
      </c>
      <c r="U226" s="37" t="str">
        <f t="shared" si="125"/>
        <v xml:space="preserve">  </v>
      </c>
      <c r="V226" s="36" t="str">
        <f t="shared" si="126"/>
        <v xml:space="preserve">  </v>
      </c>
      <c r="W226" s="37" t="str">
        <f t="shared" si="127"/>
        <v xml:space="preserve">  </v>
      </c>
      <c r="X226" s="36" t="str">
        <f t="shared" si="128"/>
        <v xml:space="preserve">  </v>
      </c>
      <c r="Y226" s="37" t="str">
        <f t="shared" si="129"/>
        <v xml:space="preserve">  </v>
      </c>
      <c r="Z226" s="36" t="str">
        <f t="shared" si="130"/>
        <v xml:space="preserve">  </v>
      </c>
      <c r="AA226" s="37" t="str">
        <f t="shared" si="131"/>
        <v xml:space="preserve">  </v>
      </c>
      <c r="AB226" s="36" t="str">
        <f t="shared" si="132"/>
        <v xml:space="preserve">  </v>
      </c>
      <c r="AC226" s="37" t="str">
        <f t="shared" si="133"/>
        <v xml:space="preserve">  </v>
      </c>
      <c r="AD226" s="36" t="str">
        <f t="shared" si="134"/>
        <v xml:space="preserve">  </v>
      </c>
      <c r="AE226" s="37" t="str">
        <f t="shared" si="135"/>
        <v xml:space="preserve">  </v>
      </c>
      <c r="AF226" s="38" t="str">
        <f ca="1">_xlfn.IFNA(IF(AG226="",TODAY()+(VLOOKUP(A226,'Date Calcs'!A:G,7,0)*7),VLOOKUP(A226,'Actual Dates'!A:AE,21,FALSE())),"")</f>
        <v/>
      </c>
      <c r="AG226" s="38" t="str">
        <f>IF(VLOOKUP(A226,'Actual Dates'!A:AE,20,0)="","",VLOOKUP(A226,'Actual Dates'!A:AE,20,0))</f>
        <v/>
      </c>
      <c r="AH226" s="38" t="str">
        <f>_xlfn.IFNA(IF($AG226="","",IF(X226="Y","DONE",VLOOKUP(A226,'Ship Date'!A:AE,27,0))),"")</f>
        <v/>
      </c>
      <c r="AI226" s="12">
        <f t="shared" ca="1" si="105"/>
        <v>0</v>
      </c>
      <c r="AJ226" s="38" t="str">
        <f>_xlfn.IFNA(IF($AG226="","",IF(AB226="Y","DONE",VLOOKUP(A226,'Ship Date'!A:AG,29,0))),"")</f>
        <v/>
      </c>
      <c r="AK226" s="12">
        <f t="shared" ca="1" si="106"/>
        <v>0</v>
      </c>
      <c r="AL226" s="38" t="str">
        <f>_xlfn.IFNA(IF($AG226="","",IF(Z226="Y","DONE",VLOOKUP(A226,'Ship Date'!A:AI,28,0))),"")</f>
        <v/>
      </c>
      <c r="AM226" s="12">
        <f t="shared" ca="1" si="107"/>
        <v>0</v>
      </c>
      <c r="AN226" s="38" t="str">
        <f>_xlfn.IFNA(IF(T226="Y","DONE",VLOOKUP(A226,'Ship Date'!A:AE,25,0)),"")</f>
        <v/>
      </c>
      <c r="AO226" s="12">
        <f t="shared" si="108"/>
        <v>0</v>
      </c>
      <c r="AP226" s="38" t="str">
        <f>_xlfn.IFNA(IF(AD226="Y","DONE",VLOOKUP(A226,'Ship Date'!A:AE,30,0)),"")</f>
        <v/>
      </c>
      <c r="AQ226" s="12">
        <f t="shared" ca="1" si="109"/>
        <v>0</v>
      </c>
      <c r="AR226" s="38" t="str">
        <f>IFERROR(_xlfn.IFNA(VLOOKUP(A226,'Ship Date'!A:C,3,0),""),"")</f>
        <v/>
      </c>
      <c r="AS226" s="12" t="str">
        <f t="shared" ca="1" si="110"/>
        <v/>
      </c>
      <c r="AT226" s="38">
        <f>_xlfn.IFNA(IF(VLOOKUP(A226,'Actual Dates'!A:AF,32,0)="N/A"," ",VLOOKUP(A226,'Actual Dates'!A:AF,32,0))," ")</f>
        <v>0</v>
      </c>
      <c r="AU226" s="39"/>
      <c r="AV226" s="38" t="str">
        <f>_xlfn.IFNA(IF(VLOOKUP(A226,'Actual Dates'!A:AE,31,0)="","",VLOOKUP(A226,'Actual Dates'!A:AE,31,0)),"")</f>
        <v/>
      </c>
      <c r="AW226" s="40"/>
    </row>
    <row r="227" spans="1:49" ht="23.25" x14ac:dyDescent="0.25">
      <c r="A227" s="12">
        <f>'Actual Dates'!A226</f>
        <v>0</v>
      </c>
      <c r="B227" s="13" t="str">
        <f t="shared" si="102"/>
        <v/>
      </c>
      <c r="C227" s="35"/>
      <c r="D227" s="36" t="str">
        <f t="shared" si="111"/>
        <v/>
      </c>
      <c r="E227" s="37" t="str">
        <f t="shared" si="112"/>
        <v xml:space="preserve">  </v>
      </c>
      <c r="F227" s="36" t="str">
        <f t="shared" si="113"/>
        <v xml:space="preserve">  </v>
      </c>
      <c r="G227" s="37" t="str">
        <f t="shared" si="114"/>
        <v xml:space="preserve">  </v>
      </c>
      <c r="H227" s="36" t="str">
        <f t="shared" si="103"/>
        <v xml:space="preserve">  </v>
      </c>
      <c r="I227" s="37" t="str">
        <f t="shared" si="115"/>
        <v xml:space="preserve">  </v>
      </c>
      <c r="J227" s="35"/>
      <c r="K227" s="36" t="str">
        <f t="shared" si="116"/>
        <v>Y</v>
      </c>
      <c r="L227" s="37" t="str">
        <f t="shared" si="117"/>
        <v/>
      </c>
      <c r="M227" s="37" t="str">
        <f t="shared" si="104"/>
        <v xml:space="preserve">  </v>
      </c>
      <c r="N227" s="36" t="str">
        <f t="shared" si="118"/>
        <v xml:space="preserve">  </v>
      </c>
      <c r="O227" s="37" t="str">
        <f t="shared" si="119"/>
        <v/>
      </c>
      <c r="P227" s="36" t="str">
        <f t="shared" si="120"/>
        <v xml:space="preserve">  </v>
      </c>
      <c r="Q227" s="37" t="str">
        <f t="shared" si="121"/>
        <v xml:space="preserve">  </v>
      </c>
      <c r="R227" s="36" t="str">
        <f t="shared" si="122"/>
        <v xml:space="preserve">  </v>
      </c>
      <c r="S227" s="37" t="str">
        <f t="shared" si="123"/>
        <v xml:space="preserve">  </v>
      </c>
      <c r="T227" s="36" t="str">
        <f t="shared" si="124"/>
        <v xml:space="preserve">  </v>
      </c>
      <c r="U227" s="37" t="str">
        <f t="shared" si="125"/>
        <v xml:space="preserve">  </v>
      </c>
      <c r="V227" s="36" t="str">
        <f t="shared" si="126"/>
        <v xml:space="preserve">  </v>
      </c>
      <c r="W227" s="37" t="str">
        <f t="shared" si="127"/>
        <v xml:space="preserve">  </v>
      </c>
      <c r="X227" s="36" t="str">
        <f t="shared" si="128"/>
        <v xml:space="preserve">  </v>
      </c>
      <c r="Y227" s="37" t="str">
        <f t="shared" si="129"/>
        <v xml:space="preserve">  </v>
      </c>
      <c r="Z227" s="36" t="str">
        <f t="shared" si="130"/>
        <v xml:space="preserve">  </v>
      </c>
      <c r="AA227" s="37" t="str">
        <f t="shared" si="131"/>
        <v xml:space="preserve">  </v>
      </c>
      <c r="AB227" s="36" t="str">
        <f t="shared" si="132"/>
        <v xml:space="preserve">  </v>
      </c>
      <c r="AC227" s="37" t="str">
        <f t="shared" si="133"/>
        <v xml:space="preserve">  </v>
      </c>
      <c r="AD227" s="36" t="str">
        <f t="shared" si="134"/>
        <v xml:space="preserve">  </v>
      </c>
      <c r="AE227" s="37" t="str">
        <f t="shared" si="135"/>
        <v xml:space="preserve">  </v>
      </c>
      <c r="AF227" s="38" t="str">
        <f ca="1">_xlfn.IFNA(IF(AG227="",TODAY()+(VLOOKUP(A227,'Date Calcs'!A:G,7,0)*7),VLOOKUP(A227,'Actual Dates'!A:AE,21,FALSE())),"")</f>
        <v/>
      </c>
      <c r="AG227" s="38" t="str">
        <f>IF(VLOOKUP(A227,'Actual Dates'!A:AE,20,0)="","",VLOOKUP(A227,'Actual Dates'!A:AE,20,0))</f>
        <v/>
      </c>
      <c r="AH227" s="38" t="str">
        <f>_xlfn.IFNA(IF($AG227="","",IF(X227="Y","DONE",VLOOKUP(A227,'Ship Date'!A:AE,27,0))),"")</f>
        <v/>
      </c>
      <c r="AI227" s="12">
        <f t="shared" ca="1" si="105"/>
        <v>0</v>
      </c>
      <c r="AJ227" s="38" t="str">
        <f>_xlfn.IFNA(IF($AG227="","",IF(AB227="Y","DONE",VLOOKUP(A227,'Ship Date'!A:AG,29,0))),"")</f>
        <v/>
      </c>
      <c r="AK227" s="12">
        <f t="shared" ca="1" si="106"/>
        <v>0</v>
      </c>
      <c r="AL227" s="38" t="str">
        <f>_xlfn.IFNA(IF($AG227="","",IF(Z227="Y","DONE",VLOOKUP(A227,'Ship Date'!A:AI,28,0))),"")</f>
        <v/>
      </c>
      <c r="AM227" s="12">
        <f t="shared" ca="1" si="107"/>
        <v>0</v>
      </c>
      <c r="AN227" s="38" t="str">
        <f>_xlfn.IFNA(IF(T227="Y","DONE",VLOOKUP(A227,'Ship Date'!A:AE,25,0)),"")</f>
        <v/>
      </c>
      <c r="AO227" s="12">
        <f t="shared" si="108"/>
        <v>0</v>
      </c>
      <c r="AP227" s="38" t="str">
        <f>_xlfn.IFNA(IF(AD227="Y","DONE",VLOOKUP(A227,'Ship Date'!A:AE,30,0)),"")</f>
        <v/>
      </c>
      <c r="AQ227" s="12">
        <f t="shared" ca="1" si="109"/>
        <v>0</v>
      </c>
      <c r="AR227" s="38" t="str">
        <f>IFERROR(_xlfn.IFNA(VLOOKUP(A227,'Ship Date'!A:C,3,0),""),"")</f>
        <v/>
      </c>
      <c r="AS227" s="12" t="str">
        <f t="shared" ca="1" si="110"/>
        <v/>
      </c>
      <c r="AT227" s="38">
        <f>_xlfn.IFNA(IF(VLOOKUP(A227,'Actual Dates'!A:AF,32,0)="N/A"," ",VLOOKUP(A227,'Actual Dates'!A:AF,32,0))," ")</f>
        <v>0</v>
      </c>
      <c r="AU227" s="39"/>
      <c r="AV227" s="38" t="str">
        <f>_xlfn.IFNA(IF(VLOOKUP(A227,'Actual Dates'!A:AE,31,0)="","",VLOOKUP(A227,'Actual Dates'!A:AE,31,0)),"")</f>
        <v/>
      </c>
      <c r="AW227" s="40"/>
    </row>
    <row r="228" spans="1:49" ht="23.25" x14ac:dyDescent="0.25">
      <c r="A228" s="12">
        <f>'Actual Dates'!A227</f>
        <v>0</v>
      </c>
      <c r="B228" s="13" t="str">
        <f t="shared" si="102"/>
        <v/>
      </c>
      <c r="C228" s="35"/>
      <c r="D228" s="36" t="str">
        <f t="shared" si="111"/>
        <v/>
      </c>
      <c r="E228" s="37" t="str">
        <f t="shared" si="112"/>
        <v xml:space="preserve">  </v>
      </c>
      <c r="F228" s="36" t="str">
        <f t="shared" si="113"/>
        <v xml:space="preserve">  </v>
      </c>
      <c r="G228" s="37" t="str">
        <f t="shared" si="114"/>
        <v xml:space="preserve">  </v>
      </c>
      <c r="H228" s="36" t="str">
        <f t="shared" si="103"/>
        <v xml:space="preserve">  </v>
      </c>
      <c r="I228" s="37" t="str">
        <f t="shared" si="115"/>
        <v xml:space="preserve">  </v>
      </c>
      <c r="J228" s="35"/>
      <c r="K228" s="36" t="str">
        <f t="shared" si="116"/>
        <v>Y</v>
      </c>
      <c r="L228" s="37" t="str">
        <f t="shared" si="117"/>
        <v/>
      </c>
      <c r="M228" s="37" t="str">
        <f t="shared" si="104"/>
        <v xml:space="preserve">  </v>
      </c>
      <c r="N228" s="36" t="str">
        <f t="shared" si="118"/>
        <v xml:space="preserve">  </v>
      </c>
      <c r="O228" s="37" t="str">
        <f t="shared" si="119"/>
        <v/>
      </c>
      <c r="P228" s="36" t="str">
        <f t="shared" si="120"/>
        <v xml:space="preserve">  </v>
      </c>
      <c r="Q228" s="37" t="str">
        <f t="shared" si="121"/>
        <v xml:space="preserve">  </v>
      </c>
      <c r="R228" s="36" t="str">
        <f t="shared" si="122"/>
        <v xml:space="preserve">  </v>
      </c>
      <c r="S228" s="37" t="str">
        <f t="shared" si="123"/>
        <v xml:space="preserve">  </v>
      </c>
      <c r="T228" s="36" t="str">
        <f t="shared" si="124"/>
        <v xml:space="preserve">  </v>
      </c>
      <c r="U228" s="37" t="str">
        <f t="shared" si="125"/>
        <v xml:space="preserve">  </v>
      </c>
      <c r="V228" s="36" t="str">
        <f t="shared" si="126"/>
        <v xml:space="preserve">  </v>
      </c>
      <c r="W228" s="37" t="str">
        <f t="shared" si="127"/>
        <v xml:space="preserve">  </v>
      </c>
      <c r="X228" s="36" t="str">
        <f t="shared" si="128"/>
        <v xml:space="preserve">  </v>
      </c>
      <c r="Y228" s="37" t="str">
        <f t="shared" si="129"/>
        <v xml:space="preserve">  </v>
      </c>
      <c r="Z228" s="36" t="str">
        <f t="shared" si="130"/>
        <v xml:space="preserve">  </v>
      </c>
      <c r="AA228" s="37" t="str">
        <f t="shared" si="131"/>
        <v xml:space="preserve">  </v>
      </c>
      <c r="AB228" s="36" t="str">
        <f t="shared" si="132"/>
        <v xml:space="preserve">  </v>
      </c>
      <c r="AC228" s="37" t="str">
        <f t="shared" si="133"/>
        <v xml:space="preserve">  </v>
      </c>
      <c r="AD228" s="36" t="str">
        <f t="shared" si="134"/>
        <v xml:space="preserve">  </v>
      </c>
      <c r="AE228" s="37" t="str">
        <f t="shared" si="135"/>
        <v xml:space="preserve">  </v>
      </c>
      <c r="AF228" s="38" t="str">
        <f ca="1">_xlfn.IFNA(IF(AG228="",TODAY()+(VLOOKUP(A228,'Date Calcs'!A:G,7,0)*7),VLOOKUP(A228,'Actual Dates'!A:AE,21,FALSE())),"")</f>
        <v/>
      </c>
      <c r="AG228" s="38" t="str">
        <f>IF(VLOOKUP(A228,'Actual Dates'!A:AE,20,0)="","",VLOOKUP(A228,'Actual Dates'!A:AE,20,0))</f>
        <v/>
      </c>
      <c r="AH228" s="38" t="str">
        <f>_xlfn.IFNA(IF($AG228="","",IF(X228="Y","DONE",VLOOKUP(A228,'Ship Date'!A:AE,27,0))),"")</f>
        <v/>
      </c>
      <c r="AI228" s="12">
        <f t="shared" ca="1" si="105"/>
        <v>0</v>
      </c>
      <c r="AJ228" s="38" t="str">
        <f>_xlfn.IFNA(IF($AG228="","",IF(AB228="Y","DONE",VLOOKUP(A228,'Ship Date'!A:AG,29,0))),"")</f>
        <v/>
      </c>
      <c r="AK228" s="12">
        <f t="shared" ca="1" si="106"/>
        <v>0</v>
      </c>
      <c r="AL228" s="38" t="str">
        <f>_xlfn.IFNA(IF($AG228="","",IF(Z228="Y","DONE",VLOOKUP(A228,'Ship Date'!A:AI,28,0))),"")</f>
        <v/>
      </c>
      <c r="AM228" s="12">
        <f t="shared" ca="1" si="107"/>
        <v>0</v>
      </c>
      <c r="AN228" s="38" t="str">
        <f>_xlfn.IFNA(IF(T228="Y","DONE",VLOOKUP(A228,'Ship Date'!A:AE,25,0)),"")</f>
        <v/>
      </c>
      <c r="AO228" s="12">
        <f t="shared" si="108"/>
        <v>0</v>
      </c>
      <c r="AP228" s="38" t="str">
        <f>_xlfn.IFNA(IF(AD228="Y","DONE",VLOOKUP(A228,'Ship Date'!A:AE,30,0)),"")</f>
        <v/>
      </c>
      <c r="AQ228" s="12">
        <f t="shared" ca="1" si="109"/>
        <v>0</v>
      </c>
      <c r="AR228" s="38" t="str">
        <f>IFERROR(_xlfn.IFNA(VLOOKUP(A228,'Ship Date'!A:C,3,0),""),"")</f>
        <v/>
      </c>
      <c r="AS228" s="12" t="str">
        <f t="shared" ca="1" si="110"/>
        <v/>
      </c>
      <c r="AT228" s="38">
        <f>_xlfn.IFNA(IF(VLOOKUP(A228,'Actual Dates'!A:AF,32,0)="N/A"," ",VLOOKUP(A228,'Actual Dates'!A:AF,32,0))," ")</f>
        <v>0</v>
      </c>
      <c r="AU228" s="39"/>
      <c r="AV228" s="38" t="str">
        <f>_xlfn.IFNA(IF(VLOOKUP(A228,'Actual Dates'!A:AE,31,0)="","",VLOOKUP(A228,'Actual Dates'!A:AE,31,0)),"")</f>
        <v/>
      </c>
      <c r="AW228" s="40"/>
    </row>
    <row r="229" spans="1:49" ht="23.25" x14ac:dyDescent="0.25">
      <c r="A229" s="12">
        <f>'Actual Dates'!A228</f>
        <v>0</v>
      </c>
      <c r="B229" s="13" t="str">
        <f t="shared" si="102"/>
        <v/>
      </c>
      <c r="C229" s="35"/>
      <c r="D229" s="36" t="str">
        <f t="shared" si="111"/>
        <v/>
      </c>
      <c r="E229" s="37" t="str">
        <f t="shared" si="112"/>
        <v xml:space="preserve">  </v>
      </c>
      <c r="F229" s="36" t="str">
        <f t="shared" si="113"/>
        <v xml:space="preserve">  </v>
      </c>
      <c r="G229" s="37" t="str">
        <f t="shared" si="114"/>
        <v xml:space="preserve">  </v>
      </c>
      <c r="H229" s="36" t="str">
        <f t="shared" si="103"/>
        <v xml:space="preserve">  </v>
      </c>
      <c r="I229" s="37" t="str">
        <f t="shared" si="115"/>
        <v xml:space="preserve">  </v>
      </c>
      <c r="J229" s="35"/>
      <c r="K229" s="36" t="str">
        <f t="shared" si="116"/>
        <v>Y</v>
      </c>
      <c r="L229" s="37" t="str">
        <f t="shared" si="117"/>
        <v/>
      </c>
      <c r="M229" s="37" t="str">
        <f t="shared" si="104"/>
        <v xml:space="preserve">  </v>
      </c>
      <c r="N229" s="36" t="str">
        <f t="shared" si="118"/>
        <v xml:space="preserve">  </v>
      </c>
      <c r="O229" s="37" t="str">
        <f t="shared" si="119"/>
        <v/>
      </c>
      <c r="P229" s="36" t="str">
        <f t="shared" si="120"/>
        <v xml:space="preserve">  </v>
      </c>
      <c r="Q229" s="37" t="str">
        <f t="shared" si="121"/>
        <v xml:space="preserve">  </v>
      </c>
      <c r="R229" s="36" t="str">
        <f t="shared" si="122"/>
        <v xml:space="preserve">  </v>
      </c>
      <c r="S229" s="37" t="str">
        <f t="shared" si="123"/>
        <v xml:space="preserve">  </v>
      </c>
      <c r="T229" s="36" t="str">
        <f t="shared" si="124"/>
        <v xml:space="preserve">  </v>
      </c>
      <c r="U229" s="37" t="str">
        <f t="shared" si="125"/>
        <v xml:space="preserve">  </v>
      </c>
      <c r="V229" s="36" t="str">
        <f t="shared" si="126"/>
        <v xml:space="preserve">  </v>
      </c>
      <c r="W229" s="37" t="str">
        <f t="shared" si="127"/>
        <v xml:space="preserve">  </v>
      </c>
      <c r="X229" s="36" t="str">
        <f t="shared" si="128"/>
        <v xml:space="preserve">  </v>
      </c>
      <c r="Y229" s="37" t="str">
        <f t="shared" si="129"/>
        <v xml:space="preserve">  </v>
      </c>
      <c r="Z229" s="36" t="str">
        <f t="shared" si="130"/>
        <v xml:space="preserve">  </v>
      </c>
      <c r="AA229" s="37" t="str">
        <f t="shared" si="131"/>
        <v xml:space="preserve">  </v>
      </c>
      <c r="AB229" s="36" t="str">
        <f t="shared" si="132"/>
        <v xml:space="preserve">  </v>
      </c>
      <c r="AC229" s="37" t="str">
        <f t="shared" si="133"/>
        <v xml:space="preserve">  </v>
      </c>
      <c r="AD229" s="36" t="str">
        <f t="shared" si="134"/>
        <v xml:space="preserve">  </v>
      </c>
      <c r="AE229" s="37" t="str">
        <f t="shared" si="135"/>
        <v xml:space="preserve">  </v>
      </c>
      <c r="AF229" s="38" t="str">
        <f ca="1">_xlfn.IFNA(IF(AG229="",TODAY()+(VLOOKUP(A229,'Date Calcs'!A:G,7,0)*7),VLOOKUP(A229,'Actual Dates'!A:AE,21,FALSE())),"")</f>
        <v/>
      </c>
      <c r="AG229" s="38" t="str">
        <f>IF(VLOOKUP(A229,'Actual Dates'!A:AE,20,0)="","",VLOOKUP(A229,'Actual Dates'!A:AE,20,0))</f>
        <v/>
      </c>
      <c r="AH229" s="38" t="str">
        <f>_xlfn.IFNA(IF($AG229="","",IF(X229="Y","DONE",VLOOKUP(A229,'Ship Date'!A:AE,27,0))),"")</f>
        <v/>
      </c>
      <c r="AI229" s="12">
        <f t="shared" ca="1" si="105"/>
        <v>0</v>
      </c>
      <c r="AJ229" s="38" t="str">
        <f>_xlfn.IFNA(IF($AG229="","",IF(AB229="Y","DONE",VLOOKUP(A229,'Ship Date'!A:AG,29,0))),"")</f>
        <v/>
      </c>
      <c r="AK229" s="12">
        <f t="shared" ca="1" si="106"/>
        <v>0</v>
      </c>
      <c r="AL229" s="38" t="str">
        <f>_xlfn.IFNA(IF($AG229="","",IF(Z229="Y","DONE",VLOOKUP(A229,'Ship Date'!A:AI,28,0))),"")</f>
        <v/>
      </c>
      <c r="AM229" s="12">
        <f t="shared" ca="1" si="107"/>
        <v>0</v>
      </c>
      <c r="AN229" s="38" t="str">
        <f>_xlfn.IFNA(IF(T229="Y","DONE",VLOOKUP(A229,'Ship Date'!A:AE,25,0)),"")</f>
        <v/>
      </c>
      <c r="AO229" s="12">
        <f t="shared" si="108"/>
        <v>0</v>
      </c>
      <c r="AP229" s="38" t="str">
        <f>_xlfn.IFNA(IF(AD229="Y","DONE",VLOOKUP(A229,'Ship Date'!A:AE,30,0)),"")</f>
        <v/>
      </c>
      <c r="AQ229" s="12">
        <f t="shared" ca="1" si="109"/>
        <v>0</v>
      </c>
      <c r="AR229" s="38" t="str">
        <f>IFERROR(_xlfn.IFNA(VLOOKUP(A229,'Ship Date'!A:C,3,0),""),"")</f>
        <v/>
      </c>
      <c r="AS229" s="12" t="str">
        <f t="shared" ca="1" si="110"/>
        <v/>
      </c>
      <c r="AT229" s="38">
        <f>_xlfn.IFNA(IF(VLOOKUP(A229,'Actual Dates'!A:AF,32,0)="N/A"," ",VLOOKUP(A229,'Actual Dates'!A:AF,32,0))," ")</f>
        <v>0</v>
      </c>
      <c r="AU229" s="39"/>
      <c r="AV229" s="38" t="str">
        <f>_xlfn.IFNA(IF(VLOOKUP(A229,'Actual Dates'!A:AE,31,0)="","",VLOOKUP(A229,'Actual Dates'!A:AE,31,0)),"")</f>
        <v/>
      </c>
      <c r="AW229" s="40"/>
    </row>
    <row r="230" spans="1:49" ht="23.25" x14ac:dyDescent="0.25">
      <c r="A230" s="12">
        <f>'Actual Dates'!A229</f>
        <v>0</v>
      </c>
      <c r="B230" s="13" t="str">
        <f t="shared" si="102"/>
        <v/>
      </c>
      <c r="C230" s="35"/>
      <c r="D230" s="36" t="str">
        <f t="shared" si="111"/>
        <v/>
      </c>
      <c r="E230" s="37" t="str">
        <f t="shared" si="112"/>
        <v xml:space="preserve">  </v>
      </c>
      <c r="F230" s="36" t="str">
        <f t="shared" si="113"/>
        <v xml:space="preserve">  </v>
      </c>
      <c r="G230" s="37" t="str">
        <f t="shared" si="114"/>
        <v xml:space="preserve">  </v>
      </c>
      <c r="H230" s="36" t="str">
        <f t="shared" si="103"/>
        <v xml:space="preserve">  </v>
      </c>
      <c r="I230" s="37" t="str">
        <f t="shared" si="115"/>
        <v xml:space="preserve">  </v>
      </c>
      <c r="J230" s="35"/>
      <c r="K230" s="36" t="str">
        <f t="shared" si="116"/>
        <v>Y</v>
      </c>
      <c r="L230" s="37" t="str">
        <f t="shared" si="117"/>
        <v/>
      </c>
      <c r="M230" s="37" t="str">
        <f t="shared" si="104"/>
        <v xml:space="preserve">  </v>
      </c>
      <c r="N230" s="36" t="str">
        <f t="shared" si="118"/>
        <v xml:space="preserve">  </v>
      </c>
      <c r="O230" s="37" t="str">
        <f t="shared" si="119"/>
        <v/>
      </c>
      <c r="P230" s="36" t="str">
        <f t="shared" si="120"/>
        <v xml:space="preserve">  </v>
      </c>
      <c r="Q230" s="37" t="str">
        <f t="shared" si="121"/>
        <v xml:space="preserve">  </v>
      </c>
      <c r="R230" s="36" t="str">
        <f t="shared" si="122"/>
        <v xml:space="preserve">  </v>
      </c>
      <c r="S230" s="37" t="str">
        <f t="shared" si="123"/>
        <v xml:space="preserve">  </v>
      </c>
      <c r="T230" s="36" t="str">
        <f t="shared" si="124"/>
        <v xml:space="preserve">  </v>
      </c>
      <c r="U230" s="37" t="str">
        <f t="shared" si="125"/>
        <v xml:space="preserve">  </v>
      </c>
      <c r="V230" s="36" t="str">
        <f t="shared" si="126"/>
        <v xml:space="preserve">  </v>
      </c>
      <c r="W230" s="37" t="str">
        <f t="shared" si="127"/>
        <v xml:space="preserve">  </v>
      </c>
      <c r="X230" s="36" t="str">
        <f t="shared" si="128"/>
        <v xml:space="preserve">  </v>
      </c>
      <c r="Y230" s="37" t="str">
        <f t="shared" si="129"/>
        <v xml:space="preserve">  </v>
      </c>
      <c r="Z230" s="36" t="str">
        <f t="shared" si="130"/>
        <v xml:space="preserve">  </v>
      </c>
      <c r="AA230" s="37" t="str">
        <f t="shared" si="131"/>
        <v xml:space="preserve">  </v>
      </c>
      <c r="AB230" s="36" t="str">
        <f t="shared" si="132"/>
        <v xml:space="preserve">  </v>
      </c>
      <c r="AC230" s="37" t="str">
        <f t="shared" si="133"/>
        <v xml:space="preserve">  </v>
      </c>
      <c r="AD230" s="36" t="str">
        <f t="shared" si="134"/>
        <v xml:space="preserve">  </v>
      </c>
      <c r="AE230" s="37" t="str">
        <f t="shared" si="135"/>
        <v xml:space="preserve">  </v>
      </c>
      <c r="AF230" s="38" t="str">
        <f ca="1">_xlfn.IFNA(IF(AG230="",TODAY()+(VLOOKUP(A230,'Date Calcs'!A:G,7,0)*7),VLOOKUP(A230,'Actual Dates'!A:AE,21,FALSE())),"")</f>
        <v/>
      </c>
      <c r="AG230" s="38" t="str">
        <f>IF(VLOOKUP(A230,'Actual Dates'!A:AE,20,0)="","",VLOOKUP(A230,'Actual Dates'!A:AE,20,0))</f>
        <v/>
      </c>
      <c r="AH230" s="38" t="str">
        <f>_xlfn.IFNA(IF($AG230="","",IF(X230="Y","DONE",VLOOKUP(A230,'Ship Date'!A:AE,27,0))),"")</f>
        <v/>
      </c>
      <c r="AI230" s="12">
        <f t="shared" ca="1" si="105"/>
        <v>0</v>
      </c>
      <c r="AJ230" s="38" t="str">
        <f>_xlfn.IFNA(IF($AG230="","",IF(AB230="Y","DONE",VLOOKUP(A230,'Ship Date'!A:AG,29,0))),"")</f>
        <v/>
      </c>
      <c r="AK230" s="12">
        <f t="shared" ca="1" si="106"/>
        <v>0</v>
      </c>
      <c r="AL230" s="38" t="str">
        <f>_xlfn.IFNA(IF($AG230="","",IF(Z230="Y","DONE",VLOOKUP(A230,'Ship Date'!A:AI,28,0))),"")</f>
        <v/>
      </c>
      <c r="AM230" s="12">
        <f t="shared" ca="1" si="107"/>
        <v>0</v>
      </c>
      <c r="AN230" s="38" t="str">
        <f>_xlfn.IFNA(IF(T230="Y","DONE",VLOOKUP(A230,'Ship Date'!A:AE,25,0)),"")</f>
        <v/>
      </c>
      <c r="AO230" s="12">
        <f t="shared" si="108"/>
        <v>0</v>
      </c>
      <c r="AP230" s="38" t="str">
        <f>_xlfn.IFNA(IF(AD230="Y","DONE",VLOOKUP(A230,'Ship Date'!A:AE,30,0)),"")</f>
        <v/>
      </c>
      <c r="AQ230" s="12">
        <f t="shared" ca="1" si="109"/>
        <v>0</v>
      </c>
      <c r="AR230" s="38" t="str">
        <f>IFERROR(_xlfn.IFNA(VLOOKUP(A230,'Ship Date'!A:C,3,0),""),"")</f>
        <v/>
      </c>
      <c r="AS230" s="12" t="str">
        <f t="shared" ca="1" si="110"/>
        <v/>
      </c>
      <c r="AT230" s="38">
        <f>_xlfn.IFNA(IF(VLOOKUP(A230,'Actual Dates'!A:AF,32,0)="N/A"," ",VLOOKUP(A230,'Actual Dates'!A:AF,32,0))," ")</f>
        <v>0</v>
      </c>
      <c r="AU230" s="39"/>
      <c r="AV230" s="38" t="str">
        <f>_xlfn.IFNA(IF(VLOOKUP(A230,'Actual Dates'!A:AE,31,0)="","",VLOOKUP(A230,'Actual Dates'!A:AE,31,0)),"")</f>
        <v/>
      </c>
      <c r="AW230" s="40"/>
    </row>
    <row r="231" spans="1:49" ht="23.25" x14ac:dyDescent="0.25">
      <c r="A231" s="12">
        <f>'Actual Dates'!A230</f>
        <v>0</v>
      </c>
      <c r="B231" s="13" t="str">
        <f t="shared" si="102"/>
        <v/>
      </c>
      <c r="C231" s="35"/>
      <c r="D231" s="36" t="str">
        <f t="shared" si="111"/>
        <v/>
      </c>
      <c r="E231" s="37" t="str">
        <f t="shared" si="112"/>
        <v xml:space="preserve">  </v>
      </c>
      <c r="F231" s="36" t="str">
        <f t="shared" si="113"/>
        <v xml:space="preserve">  </v>
      </c>
      <c r="G231" s="37" t="str">
        <f t="shared" si="114"/>
        <v xml:space="preserve">  </v>
      </c>
      <c r="H231" s="36" t="str">
        <f t="shared" si="103"/>
        <v xml:space="preserve">  </v>
      </c>
      <c r="I231" s="37" t="str">
        <f t="shared" si="115"/>
        <v xml:space="preserve">  </v>
      </c>
      <c r="J231" s="35"/>
      <c r="K231" s="36" t="str">
        <f t="shared" si="116"/>
        <v>Y</v>
      </c>
      <c r="L231" s="37" t="str">
        <f t="shared" si="117"/>
        <v/>
      </c>
      <c r="M231" s="37" t="str">
        <f t="shared" si="104"/>
        <v xml:space="preserve">  </v>
      </c>
      <c r="N231" s="36" t="str">
        <f t="shared" si="118"/>
        <v xml:space="preserve">  </v>
      </c>
      <c r="O231" s="37" t="str">
        <f t="shared" si="119"/>
        <v/>
      </c>
      <c r="P231" s="36" t="str">
        <f t="shared" si="120"/>
        <v xml:space="preserve">  </v>
      </c>
      <c r="Q231" s="37" t="str">
        <f t="shared" si="121"/>
        <v xml:space="preserve">  </v>
      </c>
      <c r="R231" s="36" t="str">
        <f t="shared" si="122"/>
        <v xml:space="preserve">  </v>
      </c>
      <c r="S231" s="37" t="str">
        <f t="shared" si="123"/>
        <v xml:space="preserve">  </v>
      </c>
      <c r="T231" s="36" t="str">
        <f t="shared" si="124"/>
        <v xml:space="preserve">  </v>
      </c>
      <c r="U231" s="37" t="str">
        <f t="shared" si="125"/>
        <v xml:space="preserve">  </v>
      </c>
      <c r="V231" s="36" t="str">
        <f t="shared" si="126"/>
        <v xml:space="preserve">  </v>
      </c>
      <c r="W231" s="37" t="str">
        <f t="shared" si="127"/>
        <v xml:space="preserve">  </v>
      </c>
      <c r="X231" s="36" t="str">
        <f t="shared" si="128"/>
        <v xml:space="preserve">  </v>
      </c>
      <c r="Y231" s="37" t="str">
        <f t="shared" si="129"/>
        <v xml:space="preserve">  </v>
      </c>
      <c r="Z231" s="36" t="str">
        <f t="shared" si="130"/>
        <v xml:space="preserve">  </v>
      </c>
      <c r="AA231" s="37" t="str">
        <f t="shared" si="131"/>
        <v xml:space="preserve">  </v>
      </c>
      <c r="AB231" s="36" t="str">
        <f t="shared" si="132"/>
        <v xml:space="preserve">  </v>
      </c>
      <c r="AC231" s="37" t="str">
        <f t="shared" si="133"/>
        <v xml:space="preserve">  </v>
      </c>
      <c r="AD231" s="36" t="str">
        <f t="shared" si="134"/>
        <v xml:space="preserve">  </v>
      </c>
      <c r="AE231" s="37" t="str">
        <f t="shared" si="135"/>
        <v xml:space="preserve">  </v>
      </c>
      <c r="AF231" s="38" t="str">
        <f ca="1">_xlfn.IFNA(IF(AG231="",TODAY()+(VLOOKUP(A231,'Date Calcs'!A:G,7,0)*7),VLOOKUP(A231,'Actual Dates'!A:AE,21,FALSE())),"")</f>
        <v/>
      </c>
      <c r="AG231" s="38" t="str">
        <f>IF(VLOOKUP(A231,'Actual Dates'!A:AE,20,0)="","",VLOOKUP(A231,'Actual Dates'!A:AE,20,0))</f>
        <v/>
      </c>
      <c r="AH231" s="38" t="str">
        <f>_xlfn.IFNA(IF($AG231="","",IF(X231="Y","DONE",VLOOKUP(A231,'Ship Date'!A:AE,27,0))),"")</f>
        <v/>
      </c>
      <c r="AI231" s="12">
        <f t="shared" ca="1" si="105"/>
        <v>0</v>
      </c>
      <c r="AJ231" s="38" t="str">
        <f>_xlfn.IFNA(IF($AG231="","",IF(AB231="Y","DONE",VLOOKUP(A231,'Ship Date'!A:AG,29,0))),"")</f>
        <v/>
      </c>
      <c r="AK231" s="12">
        <f t="shared" ca="1" si="106"/>
        <v>0</v>
      </c>
      <c r="AL231" s="38" t="str">
        <f>_xlfn.IFNA(IF($AG231="","",IF(Z231="Y","DONE",VLOOKUP(A231,'Ship Date'!A:AI,28,0))),"")</f>
        <v/>
      </c>
      <c r="AM231" s="12">
        <f t="shared" ca="1" si="107"/>
        <v>0</v>
      </c>
      <c r="AN231" s="38" t="str">
        <f>_xlfn.IFNA(IF(T231="Y","DONE",VLOOKUP(A231,'Ship Date'!A:AE,25,0)),"")</f>
        <v/>
      </c>
      <c r="AO231" s="12">
        <f t="shared" si="108"/>
        <v>0</v>
      </c>
      <c r="AP231" s="38" t="str">
        <f>_xlfn.IFNA(IF(AD231="Y","DONE",VLOOKUP(A231,'Ship Date'!A:AE,30,0)),"")</f>
        <v/>
      </c>
      <c r="AQ231" s="12">
        <f t="shared" ca="1" si="109"/>
        <v>0</v>
      </c>
      <c r="AR231" s="38" t="str">
        <f>IFERROR(_xlfn.IFNA(VLOOKUP(A231,'Ship Date'!A:C,3,0),""),"")</f>
        <v/>
      </c>
      <c r="AS231" s="12" t="str">
        <f t="shared" ca="1" si="110"/>
        <v/>
      </c>
      <c r="AT231" s="38">
        <f>_xlfn.IFNA(IF(VLOOKUP(A231,'Actual Dates'!A:AF,32,0)="N/A"," ",VLOOKUP(A231,'Actual Dates'!A:AF,32,0))," ")</f>
        <v>0</v>
      </c>
      <c r="AU231" s="39"/>
      <c r="AV231" s="38" t="str">
        <f>_xlfn.IFNA(IF(VLOOKUP(A231,'Actual Dates'!A:AE,31,0)="","",VLOOKUP(A231,'Actual Dates'!A:AE,31,0)),"")</f>
        <v/>
      </c>
      <c r="AW231" s="40"/>
    </row>
    <row r="232" spans="1:49" ht="23.25" x14ac:dyDescent="0.25">
      <c r="A232" s="12">
        <f>'Actual Dates'!A231</f>
        <v>0</v>
      </c>
      <c r="B232" s="13" t="str">
        <f t="shared" si="102"/>
        <v/>
      </c>
      <c r="C232" s="35"/>
      <c r="D232" s="36" t="str">
        <f t="shared" si="111"/>
        <v/>
      </c>
      <c r="E232" s="37" t="str">
        <f t="shared" si="112"/>
        <v xml:space="preserve">  </v>
      </c>
      <c r="F232" s="36" t="str">
        <f t="shared" si="113"/>
        <v xml:space="preserve">  </v>
      </c>
      <c r="G232" s="37" t="str">
        <f t="shared" si="114"/>
        <v xml:space="preserve">  </v>
      </c>
      <c r="H232" s="36" t="str">
        <f t="shared" si="103"/>
        <v xml:space="preserve">  </v>
      </c>
      <c r="I232" s="37" t="str">
        <f t="shared" si="115"/>
        <v xml:space="preserve">  </v>
      </c>
      <c r="J232" s="35"/>
      <c r="K232" s="36" t="str">
        <f t="shared" si="116"/>
        <v>Y</v>
      </c>
      <c r="L232" s="37" t="str">
        <f t="shared" si="117"/>
        <v/>
      </c>
      <c r="M232" s="37" t="str">
        <f t="shared" si="104"/>
        <v xml:space="preserve">  </v>
      </c>
      <c r="N232" s="36" t="str">
        <f t="shared" si="118"/>
        <v xml:space="preserve">  </v>
      </c>
      <c r="O232" s="37" t="str">
        <f t="shared" si="119"/>
        <v/>
      </c>
      <c r="P232" s="36" t="str">
        <f t="shared" si="120"/>
        <v xml:space="preserve">  </v>
      </c>
      <c r="Q232" s="37" t="str">
        <f t="shared" si="121"/>
        <v xml:space="preserve">  </v>
      </c>
      <c r="R232" s="36" t="str">
        <f t="shared" si="122"/>
        <v xml:space="preserve">  </v>
      </c>
      <c r="S232" s="37" t="str">
        <f t="shared" si="123"/>
        <v xml:space="preserve">  </v>
      </c>
      <c r="T232" s="36" t="str">
        <f t="shared" si="124"/>
        <v xml:space="preserve">  </v>
      </c>
      <c r="U232" s="37" t="str">
        <f t="shared" si="125"/>
        <v xml:space="preserve">  </v>
      </c>
      <c r="V232" s="36" t="str">
        <f t="shared" si="126"/>
        <v xml:space="preserve">  </v>
      </c>
      <c r="W232" s="37" t="str">
        <f t="shared" si="127"/>
        <v xml:space="preserve">  </v>
      </c>
      <c r="X232" s="36" t="str">
        <f t="shared" si="128"/>
        <v xml:space="preserve">  </v>
      </c>
      <c r="Y232" s="37" t="str">
        <f t="shared" si="129"/>
        <v xml:space="preserve">  </v>
      </c>
      <c r="Z232" s="36" t="str">
        <f t="shared" si="130"/>
        <v xml:space="preserve">  </v>
      </c>
      <c r="AA232" s="37" t="str">
        <f t="shared" si="131"/>
        <v xml:space="preserve">  </v>
      </c>
      <c r="AB232" s="36" t="str">
        <f t="shared" si="132"/>
        <v xml:space="preserve">  </v>
      </c>
      <c r="AC232" s="37" t="str">
        <f t="shared" si="133"/>
        <v xml:space="preserve">  </v>
      </c>
      <c r="AD232" s="36" t="str">
        <f t="shared" si="134"/>
        <v xml:space="preserve">  </v>
      </c>
      <c r="AE232" s="37" t="str">
        <f t="shared" si="135"/>
        <v xml:space="preserve">  </v>
      </c>
      <c r="AF232" s="38" t="str">
        <f ca="1">_xlfn.IFNA(IF(AG232="",TODAY()+(VLOOKUP(A232,'Date Calcs'!A:G,7,0)*7),VLOOKUP(A232,'Actual Dates'!A:AE,21,FALSE())),"")</f>
        <v/>
      </c>
      <c r="AG232" s="38" t="str">
        <f>IF(VLOOKUP(A232,'Actual Dates'!A:AE,20,0)="","",VLOOKUP(A232,'Actual Dates'!A:AE,20,0))</f>
        <v/>
      </c>
      <c r="AH232" s="38" t="str">
        <f>_xlfn.IFNA(IF($AG232="","",IF(X232="Y","DONE",VLOOKUP(A232,'Ship Date'!A:AE,27,0))),"")</f>
        <v/>
      </c>
      <c r="AI232" s="12">
        <f t="shared" ca="1" si="105"/>
        <v>0</v>
      </c>
      <c r="AJ232" s="38" t="str">
        <f>_xlfn.IFNA(IF($AG232="","",IF(AB232="Y","DONE",VLOOKUP(A232,'Ship Date'!A:AG,29,0))),"")</f>
        <v/>
      </c>
      <c r="AK232" s="12">
        <f t="shared" ca="1" si="106"/>
        <v>0</v>
      </c>
      <c r="AL232" s="38" t="str">
        <f>_xlfn.IFNA(IF($AG232="","",IF(Z232="Y","DONE",VLOOKUP(A232,'Ship Date'!A:AI,28,0))),"")</f>
        <v/>
      </c>
      <c r="AM232" s="12">
        <f t="shared" ca="1" si="107"/>
        <v>0</v>
      </c>
      <c r="AN232" s="38" t="str">
        <f>_xlfn.IFNA(IF(T232="Y","DONE",VLOOKUP(A232,'Ship Date'!A:AE,25,0)),"")</f>
        <v/>
      </c>
      <c r="AO232" s="12">
        <f t="shared" si="108"/>
        <v>0</v>
      </c>
      <c r="AP232" s="38" t="str">
        <f>_xlfn.IFNA(IF(AD232="Y","DONE",VLOOKUP(A232,'Ship Date'!A:AE,30,0)),"")</f>
        <v/>
      </c>
      <c r="AQ232" s="12">
        <f t="shared" ca="1" si="109"/>
        <v>0</v>
      </c>
      <c r="AR232" s="38" t="str">
        <f>IFERROR(_xlfn.IFNA(VLOOKUP(A232,'Ship Date'!A:C,3,0),""),"")</f>
        <v/>
      </c>
      <c r="AS232" s="12" t="str">
        <f t="shared" ca="1" si="110"/>
        <v/>
      </c>
      <c r="AT232" s="38">
        <f>_xlfn.IFNA(IF(VLOOKUP(A232,'Actual Dates'!A:AF,32,0)="N/A"," ",VLOOKUP(A232,'Actual Dates'!A:AF,32,0))," ")</f>
        <v>0</v>
      </c>
      <c r="AU232" s="39"/>
      <c r="AV232" s="38" t="str">
        <f>_xlfn.IFNA(IF(VLOOKUP(A232,'Actual Dates'!A:AE,31,0)="","",VLOOKUP(A232,'Actual Dates'!A:AE,31,0)),"")</f>
        <v/>
      </c>
      <c r="AW232" s="40"/>
    </row>
    <row r="233" spans="1:49" ht="23.25" x14ac:dyDescent="0.25">
      <c r="A233" s="12">
        <f>'Actual Dates'!A232</f>
        <v>0</v>
      </c>
      <c r="B233" s="13" t="str">
        <f t="shared" si="102"/>
        <v/>
      </c>
      <c r="C233" s="35"/>
      <c r="D233" s="36" t="str">
        <f t="shared" si="111"/>
        <v/>
      </c>
      <c r="E233" s="37" t="str">
        <f t="shared" si="112"/>
        <v xml:space="preserve">  </v>
      </c>
      <c r="F233" s="36" t="str">
        <f t="shared" si="113"/>
        <v xml:space="preserve">  </v>
      </c>
      <c r="G233" s="37" t="str">
        <f t="shared" si="114"/>
        <v xml:space="preserve">  </v>
      </c>
      <c r="H233" s="36" t="str">
        <f t="shared" si="103"/>
        <v xml:space="preserve">  </v>
      </c>
      <c r="I233" s="37" t="str">
        <f t="shared" si="115"/>
        <v xml:space="preserve">  </v>
      </c>
      <c r="J233" s="35"/>
      <c r="K233" s="36" t="str">
        <f t="shared" si="116"/>
        <v>Y</v>
      </c>
      <c r="L233" s="37" t="str">
        <f t="shared" si="117"/>
        <v/>
      </c>
      <c r="M233" s="37" t="str">
        <f t="shared" si="104"/>
        <v xml:space="preserve">  </v>
      </c>
      <c r="N233" s="36" t="str">
        <f t="shared" si="118"/>
        <v xml:space="preserve">  </v>
      </c>
      <c r="O233" s="37" t="str">
        <f t="shared" si="119"/>
        <v/>
      </c>
      <c r="P233" s="36" t="str">
        <f t="shared" si="120"/>
        <v xml:space="preserve">  </v>
      </c>
      <c r="Q233" s="37" t="str">
        <f t="shared" si="121"/>
        <v xml:space="preserve">  </v>
      </c>
      <c r="R233" s="36" t="str">
        <f t="shared" si="122"/>
        <v xml:space="preserve">  </v>
      </c>
      <c r="S233" s="37" t="str">
        <f t="shared" si="123"/>
        <v xml:space="preserve">  </v>
      </c>
      <c r="T233" s="36" t="str">
        <f t="shared" si="124"/>
        <v xml:space="preserve">  </v>
      </c>
      <c r="U233" s="37" t="str">
        <f t="shared" si="125"/>
        <v xml:space="preserve">  </v>
      </c>
      <c r="V233" s="36" t="str">
        <f t="shared" si="126"/>
        <v xml:space="preserve">  </v>
      </c>
      <c r="W233" s="37" t="str">
        <f t="shared" si="127"/>
        <v xml:space="preserve">  </v>
      </c>
      <c r="X233" s="36" t="str">
        <f t="shared" si="128"/>
        <v xml:space="preserve">  </v>
      </c>
      <c r="Y233" s="37" t="str">
        <f t="shared" si="129"/>
        <v xml:space="preserve">  </v>
      </c>
      <c r="Z233" s="36" t="str">
        <f t="shared" si="130"/>
        <v xml:space="preserve">  </v>
      </c>
      <c r="AA233" s="37" t="str">
        <f t="shared" si="131"/>
        <v xml:space="preserve">  </v>
      </c>
      <c r="AB233" s="36" t="str">
        <f t="shared" si="132"/>
        <v xml:space="preserve">  </v>
      </c>
      <c r="AC233" s="37" t="str">
        <f t="shared" si="133"/>
        <v xml:space="preserve">  </v>
      </c>
      <c r="AD233" s="36" t="str">
        <f t="shared" si="134"/>
        <v xml:space="preserve">  </v>
      </c>
      <c r="AE233" s="37" t="str">
        <f t="shared" si="135"/>
        <v xml:space="preserve">  </v>
      </c>
      <c r="AF233" s="38" t="str">
        <f ca="1">_xlfn.IFNA(IF(AG233="",TODAY()+(VLOOKUP(A233,'Date Calcs'!A:G,7,0)*7),VLOOKUP(A233,'Actual Dates'!A:AE,21,FALSE())),"")</f>
        <v/>
      </c>
      <c r="AG233" s="38" t="str">
        <f>IF(VLOOKUP(A233,'Actual Dates'!A:AE,20,0)="","",VLOOKUP(A233,'Actual Dates'!A:AE,20,0))</f>
        <v/>
      </c>
      <c r="AH233" s="38" t="str">
        <f>_xlfn.IFNA(IF($AG233="","",IF(X233="Y","DONE",VLOOKUP(A233,'Ship Date'!A:AE,27,0))),"")</f>
        <v/>
      </c>
      <c r="AI233" s="12">
        <f t="shared" ca="1" si="105"/>
        <v>0</v>
      </c>
      <c r="AJ233" s="38" t="str">
        <f>_xlfn.IFNA(IF($AG233="","",IF(AB233="Y","DONE",VLOOKUP(A233,'Ship Date'!A:AG,29,0))),"")</f>
        <v/>
      </c>
      <c r="AK233" s="12">
        <f t="shared" ca="1" si="106"/>
        <v>0</v>
      </c>
      <c r="AL233" s="38" t="str">
        <f>_xlfn.IFNA(IF($AG233="","",IF(Z233="Y","DONE",VLOOKUP(A233,'Ship Date'!A:AI,28,0))),"")</f>
        <v/>
      </c>
      <c r="AM233" s="12">
        <f t="shared" ca="1" si="107"/>
        <v>0</v>
      </c>
      <c r="AN233" s="38" t="str">
        <f>_xlfn.IFNA(IF(T233="Y","DONE",VLOOKUP(A233,'Ship Date'!A:AE,25,0)),"")</f>
        <v/>
      </c>
      <c r="AO233" s="12">
        <f t="shared" si="108"/>
        <v>0</v>
      </c>
      <c r="AP233" s="38" t="str">
        <f>_xlfn.IFNA(IF(AD233="Y","DONE",VLOOKUP(A233,'Ship Date'!A:AE,30,0)),"")</f>
        <v/>
      </c>
      <c r="AQ233" s="12">
        <f t="shared" ca="1" si="109"/>
        <v>0</v>
      </c>
      <c r="AR233" s="38" t="str">
        <f>IFERROR(_xlfn.IFNA(VLOOKUP(A233,'Ship Date'!A:C,3,0),""),"")</f>
        <v/>
      </c>
      <c r="AS233" s="12" t="str">
        <f t="shared" ca="1" si="110"/>
        <v/>
      </c>
      <c r="AT233" s="38">
        <f>_xlfn.IFNA(IF(VLOOKUP(A233,'Actual Dates'!A:AF,32,0)="N/A"," ",VLOOKUP(A233,'Actual Dates'!A:AF,32,0))," ")</f>
        <v>0</v>
      </c>
      <c r="AU233" s="39"/>
      <c r="AV233" s="38" t="str">
        <f>_xlfn.IFNA(IF(VLOOKUP(A233,'Actual Dates'!A:AE,31,0)="","",VLOOKUP(A233,'Actual Dates'!A:AE,31,0)),"")</f>
        <v/>
      </c>
      <c r="AW233" s="40"/>
    </row>
    <row r="234" spans="1:49" ht="23.25" x14ac:dyDescent="0.25">
      <c r="A234" s="12">
        <f>'Actual Dates'!A233</f>
        <v>0</v>
      </c>
      <c r="B234" s="13" t="str">
        <f t="shared" si="102"/>
        <v/>
      </c>
      <c r="C234" s="35"/>
      <c r="D234" s="36" t="str">
        <f t="shared" si="111"/>
        <v/>
      </c>
      <c r="E234" s="37" t="str">
        <f t="shared" si="112"/>
        <v xml:space="preserve">  </v>
      </c>
      <c r="F234" s="36" t="str">
        <f t="shared" si="113"/>
        <v xml:space="preserve">  </v>
      </c>
      <c r="G234" s="37" t="str">
        <f t="shared" si="114"/>
        <v xml:space="preserve">  </v>
      </c>
      <c r="H234" s="36" t="str">
        <f t="shared" si="103"/>
        <v xml:space="preserve">  </v>
      </c>
      <c r="I234" s="37" t="str">
        <f t="shared" si="115"/>
        <v xml:space="preserve">  </v>
      </c>
      <c r="J234" s="35"/>
      <c r="K234" s="36" t="str">
        <f t="shared" si="116"/>
        <v>Y</v>
      </c>
      <c r="L234" s="37" t="str">
        <f t="shared" si="117"/>
        <v/>
      </c>
      <c r="M234" s="37" t="str">
        <f t="shared" si="104"/>
        <v xml:space="preserve">  </v>
      </c>
      <c r="N234" s="36" t="str">
        <f t="shared" si="118"/>
        <v xml:space="preserve">  </v>
      </c>
      <c r="O234" s="37" t="str">
        <f t="shared" si="119"/>
        <v/>
      </c>
      <c r="P234" s="36" t="str">
        <f t="shared" si="120"/>
        <v xml:space="preserve">  </v>
      </c>
      <c r="Q234" s="37" t="str">
        <f t="shared" si="121"/>
        <v xml:space="preserve">  </v>
      </c>
      <c r="R234" s="36" t="str">
        <f t="shared" si="122"/>
        <v xml:space="preserve">  </v>
      </c>
      <c r="S234" s="37" t="str">
        <f t="shared" si="123"/>
        <v xml:space="preserve">  </v>
      </c>
      <c r="T234" s="36" t="str">
        <f t="shared" si="124"/>
        <v xml:space="preserve">  </v>
      </c>
      <c r="U234" s="37" t="str">
        <f t="shared" si="125"/>
        <v xml:space="preserve">  </v>
      </c>
      <c r="V234" s="36" t="str">
        <f t="shared" si="126"/>
        <v xml:space="preserve">  </v>
      </c>
      <c r="W234" s="37" t="str">
        <f t="shared" si="127"/>
        <v xml:space="preserve">  </v>
      </c>
      <c r="X234" s="36" t="str">
        <f t="shared" si="128"/>
        <v xml:space="preserve">  </v>
      </c>
      <c r="Y234" s="37" t="str">
        <f t="shared" si="129"/>
        <v xml:space="preserve">  </v>
      </c>
      <c r="Z234" s="36" t="str">
        <f t="shared" si="130"/>
        <v xml:space="preserve">  </v>
      </c>
      <c r="AA234" s="37" t="str">
        <f t="shared" si="131"/>
        <v xml:space="preserve">  </v>
      </c>
      <c r="AB234" s="36" t="str">
        <f t="shared" si="132"/>
        <v xml:space="preserve">  </v>
      </c>
      <c r="AC234" s="37" t="str">
        <f t="shared" si="133"/>
        <v xml:space="preserve">  </v>
      </c>
      <c r="AD234" s="36" t="str">
        <f t="shared" si="134"/>
        <v xml:space="preserve">  </v>
      </c>
      <c r="AE234" s="37" t="str">
        <f t="shared" si="135"/>
        <v xml:space="preserve">  </v>
      </c>
      <c r="AF234" s="38" t="str">
        <f ca="1">_xlfn.IFNA(IF(AG234="",TODAY()+(VLOOKUP(A234,'Date Calcs'!A:G,7,0)*7),VLOOKUP(A234,'Actual Dates'!A:AE,21,FALSE())),"")</f>
        <v/>
      </c>
      <c r="AG234" s="38" t="str">
        <f>IF(VLOOKUP(A234,'Actual Dates'!A:AE,20,0)="","",VLOOKUP(A234,'Actual Dates'!A:AE,20,0))</f>
        <v/>
      </c>
      <c r="AH234" s="38" t="str">
        <f>_xlfn.IFNA(IF($AG234="","",IF(X234="Y","DONE",VLOOKUP(A234,'Ship Date'!A:AE,27,0))),"")</f>
        <v/>
      </c>
      <c r="AI234" s="12">
        <f t="shared" ca="1" si="105"/>
        <v>0</v>
      </c>
      <c r="AJ234" s="38" t="str">
        <f>_xlfn.IFNA(IF($AG234="","",IF(AB234="Y","DONE",VLOOKUP(A234,'Ship Date'!A:AG,29,0))),"")</f>
        <v/>
      </c>
      <c r="AK234" s="12">
        <f t="shared" ca="1" si="106"/>
        <v>0</v>
      </c>
      <c r="AL234" s="38" t="str">
        <f>_xlfn.IFNA(IF($AG234="","",IF(Z234="Y","DONE",VLOOKUP(A234,'Ship Date'!A:AI,28,0))),"")</f>
        <v/>
      </c>
      <c r="AM234" s="12">
        <f t="shared" ca="1" si="107"/>
        <v>0</v>
      </c>
      <c r="AN234" s="38" t="str">
        <f>_xlfn.IFNA(IF(T234="Y","DONE",VLOOKUP(A234,'Ship Date'!A:AE,25,0)),"")</f>
        <v/>
      </c>
      <c r="AO234" s="12">
        <f t="shared" si="108"/>
        <v>0</v>
      </c>
      <c r="AP234" s="38" t="str">
        <f>_xlfn.IFNA(IF(AD234="Y","DONE",VLOOKUP(A234,'Ship Date'!A:AE,30,0)),"")</f>
        <v/>
      </c>
      <c r="AQ234" s="12">
        <f t="shared" ca="1" si="109"/>
        <v>0</v>
      </c>
      <c r="AR234" s="38" t="str">
        <f>IFERROR(_xlfn.IFNA(VLOOKUP(A234,'Ship Date'!A:C,3,0),""),"")</f>
        <v/>
      </c>
      <c r="AS234" s="12" t="str">
        <f t="shared" ca="1" si="110"/>
        <v/>
      </c>
      <c r="AT234" s="38">
        <f>_xlfn.IFNA(IF(VLOOKUP(A234,'Actual Dates'!A:AF,32,0)="N/A"," ",VLOOKUP(A234,'Actual Dates'!A:AF,32,0))," ")</f>
        <v>0</v>
      </c>
      <c r="AU234" s="39"/>
      <c r="AV234" s="38" t="str">
        <f>_xlfn.IFNA(IF(VLOOKUP(A234,'Actual Dates'!A:AE,31,0)="","",VLOOKUP(A234,'Actual Dates'!A:AE,31,0)),"")</f>
        <v/>
      </c>
      <c r="AW234" s="40"/>
    </row>
    <row r="235" spans="1:49" ht="23.25" x14ac:dyDescent="0.25">
      <c r="A235" s="12">
        <f>'Actual Dates'!A234</f>
        <v>0</v>
      </c>
      <c r="B235" s="13" t="str">
        <f t="shared" si="102"/>
        <v/>
      </c>
      <c r="C235" s="35"/>
      <c r="D235" s="36" t="str">
        <f t="shared" si="111"/>
        <v/>
      </c>
      <c r="E235" s="37" t="str">
        <f t="shared" si="112"/>
        <v xml:space="preserve">  </v>
      </c>
      <c r="F235" s="36" t="str">
        <f t="shared" si="113"/>
        <v xml:space="preserve">  </v>
      </c>
      <c r="G235" s="37" t="str">
        <f t="shared" si="114"/>
        <v xml:space="preserve">  </v>
      </c>
      <c r="H235" s="36" t="str">
        <f t="shared" si="103"/>
        <v xml:space="preserve">  </v>
      </c>
      <c r="I235" s="37" t="str">
        <f t="shared" si="115"/>
        <v xml:space="preserve">  </v>
      </c>
      <c r="J235" s="35"/>
      <c r="K235" s="36" t="str">
        <f t="shared" si="116"/>
        <v>Y</v>
      </c>
      <c r="L235" s="37" t="str">
        <f t="shared" si="117"/>
        <v/>
      </c>
      <c r="M235" s="37" t="str">
        <f t="shared" si="104"/>
        <v xml:space="preserve">  </v>
      </c>
      <c r="N235" s="36" t="str">
        <f t="shared" si="118"/>
        <v xml:space="preserve">  </v>
      </c>
      <c r="O235" s="37" t="str">
        <f t="shared" si="119"/>
        <v/>
      </c>
      <c r="P235" s="36" t="str">
        <f t="shared" si="120"/>
        <v xml:space="preserve">  </v>
      </c>
      <c r="Q235" s="37" t="str">
        <f t="shared" si="121"/>
        <v xml:space="preserve">  </v>
      </c>
      <c r="R235" s="36" t="str">
        <f t="shared" si="122"/>
        <v xml:space="preserve">  </v>
      </c>
      <c r="S235" s="37" t="str">
        <f t="shared" si="123"/>
        <v xml:space="preserve">  </v>
      </c>
      <c r="T235" s="36" t="str">
        <f t="shared" si="124"/>
        <v xml:space="preserve">  </v>
      </c>
      <c r="U235" s="37" t="str">
        <f t="shared" si="125"/>
        <v xml:space="preserve">  </v>
      </c>
      <c r="V235" s="36" t="str">
        <f t="shared" si="126"/>
        <v xml:space="preserve">  </v>
      </c>
      <c r="W235" s="37" t="str">
        <f t="shared" si="127"/>
        <v xml:space="preserve">  </v>
      </c>
      <c r="X235" s="36" t="str">
        <f t="shared" si="128"/>
        <v xml:space="preserve">  </v>
      </c>
      <c r="Y235" s="37" t="str">
        <f t="shared" si="129"/>
        <v xml:space="preserve">  </v>
      </c>
      <c r="Z235" s="36" t="str">
        <f t="shared" si="130"/>
        <v xml:space="preserve">  </v>
      </c>
      <c r="AA235" s="37" t="str">
        <f t="shared" si="131"/>
        <v xml:space="preserve">  </v>
      </c>
      <c r="AB235" s="36" t="str">
        <f t="shared" si="132"/>
        <v xml:space="preserve">  </v>
      </c>
      <c r="AC235" s="37" t="str">
        <f t="shared" si="133"/>
        <v xml:space="preserve">  </v>
      </c>
      <c r="AD235" s="36" t="str">
        <f t="shared" si="134"/>
        <v xml:space="preserve">  </v>
      </c>
      <c r="AE235" s="37" t="str">
        <f t="shared" si="135"/>
        <v xml:space="preserve">  </v>
      </c>
      <c r="AF235" s="38" t="str">
        <f ca="1">_xlfn.IFNA(IF(AG235="",TODAY()+(VLOOKUP(A235,'Date Calcs'!A:G,7,0)*7),VLOOKUP(A235,'Actual Dates'!A:AE,21,FALSE())),"")</f>
        <v/>
      </c>
      <c r="AG235" s="38" t="str">
        <f>IF(VLOOKUP(A235,'Actual Dates'!A:AE,20,0)="","",VLOOKUP(A235,'Actual Dates'!A:AE,20,0))</f>
        <v/>
      </c>
      <c r="AH235" s="38" t="str">
        <f>_xlfn.IFNA(IF($AG235="","",IF(X235="Y","DONE",VLOOKUP(A235,'Ship Date'!A:AE,27,0))),"")</f>
        <v/>
      </c>
      <c r="AI235" s="12">
        <f t="shared" ca="1" si="105"/>
        <v>0</v>
      </c>
      <c r="AJ235" s="38" t="str">
        <f>_xlfn.IFNA(IF($AG235="","",IF(AB235="Y","DONE",VLOOKUP(A235,'Ship Date'!A:AG,29,0))),"")</f>
        <v/>
      </c>
      <c r="AK235" s="12">
        <f t="shared" ca="1" si="106"/>
        <v>0</v>
      </c>
      <c r="AL235" s="38" t="str">
        <f>_xlfn.IFNA(IF($AG235="","",IF(Z235="Y","DONE",VLOOKUP(A235,'Ship Date'!A:AI,28,0))),"")</f>
        <v/>
      </c>
      <c r="AM235" s="12">
        <f t="shared" ca="1" si="107"/>
        <v>0</v>
      </c>
      <c r="AN235" s="38" t="str">
        <f>_xlfn.IFNA(IF(T235="Y","DONE",VLOOKUP(A235,'Ship Date'!A:AE,25,0)),"")</f>
        <v/>
      </c>
      <c r="AO235" s="12">
        <f t="shared" si="108"/>
        <v>0</v>
      </c>
      <c r="AP235" s="38" t="str">
        <f>_xlfn.IFNA(IF(AD235="Y","DONE",VLOOKUP(A235,'Ship Date'!A:AE,30,0)),"")</f>
        <v/>
      </c>
      <c r="AQ235" s="12">
        <f t="shared" ca="1" si="109"/>
        <v>0</v>
      </c>
      <c r="AR235" s="38" t="str">
        <f>IFERROR(_xlfn.IFNA(VLOOKUP(A235,'Ship Date'!A:C,3,0),""),"")</f>
        <v/>
      </c>
      <c r="AS235" s="12" t="str">
        <f t="shared" ca="1" si="110"/>
        <v/>
      </c>
      <c r="AT235" s="38">
        <f>_xlfn.IFNA(IF(VLOOKUP(A235,'Actual Dates'!A:AF,32,0)="N/A"," ",VLOOKUP(A235,'Actual Dates'!A:AF,32,0))," ")</f>
        <v>0</v>
      </c>
      <c r="AU235" s="39"/>
      <c r="AV235" s="38" t="str">
        <f>_xlfn.IFNA(IF(VLOOKUP(A235,'Actual Dates'!A:AE,31,0)="","",VLOOKUP(A235,'Actual Dates'!A:AE,31,0)),"")</f>
        <v/>
      </c>
      <c r="AW235" s="40"/>
    </row>
    <row r="236" spans="1:49" ht="23.25" x14ac:dyDescent="0.25">
      <c r="A236" s="12">
        <f>'Actual Dates'!A235</f>
        <v>0</v>
      </c>
      <c r="B236" s="13" t="str">
        <f t="shared" si="102"/>
        <v/>
      </c>
      <c r="C236" s="35"/>
      <c r="D236" s="36" t="str">
        <f t="shared" si="111"/>
        <v/>
      </c>
      <c r="E236" s="37" t="str">
        <f t="shared" si="112"/>
        <v xml:space="preserve">  </v>
      </c>
      <c r="F236" s="36" t="str">
        <f t="shared" si="113"/>
        <v xml:space="preserve">  </v>
      </c>
      <c r="G236" s="37" t="str">
        <f t="shared" si="114"/>
        <v xml:space="preserve">  </v>
      </c>
      <c r="H236" s="36" t="str">
        <f t="shared" si="103"/>
        <v xml:space="preserve">  </v>
      </c>
      <c r="I236" s="37" t="str">
        <f t="shared" si="115"/>
        <v xml:space="preserve">  </v>
      </c>
      <c r="J236" s="35"/>
      <c r="K236" s="36" t="str">
        <f t="shared" si="116"/>
        <v>Y</v>
      </c>
      <c r="L236" s="37" t="str">
        <f t="shared" si="117"/>
        <v/>
      </c>
      <c r="M236" s="37" t="str">
        <f t="shared" si="104"/>
        <v xml:space="preserve">  </v>
      </c>
      <c r="N236" s="36" t="str">
        <f t="shared" si="118"/>
        <v xml:space="preserve">  </v>
      </c>
      <c r="O236" s="37" t="str">
        <f t="shared" si="119"/>
        <v/>
      </c>
      <c r="P236" s="36" t="str">
        <f t="shared" si="120"/>
        <v xml:space="preserve">  </v>
      </c>
      <c r="Q236" s="37" t="str">
        <f t="shared" si="121"/>
        <v xml:space="preserve">  </v>
      </c>
      <c r="R236" s="36" t="str">
        <f t="shared" si="122"/>
        <v xml:space="preserve">  </v>
      </c>
      <c r="S236" s="37" t="str">
        <f t="shared" si="123"/>
        <v xml:space="preserve">  </v>
      </c>
      <c r="T236" s="36" t="str">
        <f t="shared" si="124"/>
        <v xml:space="preserve">  </v>
      </c>
      <c r="U236" s="37" t="str">
        <f t="shared" si="125"/>
        <v xml:space="preserve">  </v>
      </c>
      <c r="V236" s="36" t="str">
        <f t="shared" si="126"/>
        <v xml:space="preserve">  </v>
      </c>
      <c r="W236" s="37" t="str">
        <f t="shared" si="127"/>
        <v xml:space="preserve">  </v>
      </c>
      <c r="X236" s="36" t="str">
        <f t="shared" si="128"/>
        <v xml:space="preserve">  </v>
      </c>
      <c r="Y236" s="37" t="str">
        <f t="shared" si="129"/>
        <v xml:space="preserve">  </v>
      </c>
      <c r="Z236" s="36" t="str">
        <f t="shared" si="130"/>
        <v xml:space="preserve">  </v>
      </c>
      <c r="AA236" s="37" t="str">
        <f t="shared" si="131"/>
        <v xml:space="preserve">  </v>
      </c>
      <c r="AB236" s="36" t="str">
        <f t="shared" si="132"/>
        <v xml:space="preserve">  </v>
      </c>
      <c r="AC236" s="37" t="str">
        <f t="shared" si="133"/>
        <v xml:space="preserve">  </v>
      </c>
      <c r="AD236" s="36" t="str">
        <f t="shared" si="134"/>
        <v xml:space="preserve">  </v>
      </c>
      <c r="AE236" s="37" t="str">
        <f t="shared" si="135"/>
        <v xml:space="preserve">  </v>
      </c>
      <c r="AF236" s="38" t="str">
        <f ca="1">_xlfn.IFNA(IF(AG236="",TODAY()+(VLOOKUP(A236,'Date Calcs'!A:G,7,0)*7),VLOOKUP(A236,'Actual Dates'!A:AE,21,FALSE())),"")</f>
        <v/>
      </c>
      <c r="AG236" s="38" t="str">
        <f>IF(VLOOKUP(A236,'Actual Dates'!A:AE,20,0)="","",VLOOKUP(A236,'Actual Dates'!A:AE,20,0))</f>
        <v/>
      </c>
      <c r="AH236" s="38" t="str">
        <f>_xlfn.IFNA(IF($AG236="","",IF(X236="Y","DONE",VLOOKUP(A236,'Ship Date'!A:AE,27,0))),"")</f>
        <v/>
      </c>
      <c r="AI236" s="12">
        <f t="shared" ca="1" si="105"/>
        <v>0</v>
      </c>
      <c r="AJ236" s="38" t="str">
        <f>_xlfn.IFNA(IF($AG236="","",IF(AB236="Y","DONE",VLOOKUP(A236,'Ship Date'!A:AG,29,0))),"")</f>
        <v/>
      </c>
      <c r="AK236" s="12">
        <f t="shared" ca="1" si="106"/>
        <v>0</v>
      </c>
      <c r="AL236" s="38" t="str">
        <f>_xlfn.IFNA(IF($AG236="","",IF(Z236="Y","DONE",VLOOKUP(A236,'Ship Date'!A:AI,28,0))),"")</f>
        <v/>
      </c>
      <c r="AM236" s="12">
        <f t="shared" ca="1" si="107"/>
        <v>0</v>
      </c>
      <c r="AN236" s="38" t="str">
        <f>_xlfn.IFNA(IF(T236="Y","DONE",VLOOKUP(A236,'Ship Date'!A:AE,25,0)),"")</f>
        <v/>
      </c>
      <c r="AO236" s="12">
        <f t="shared" si="108"/>
        <v>0</v>
      </c>
      <c r="AP236" s="38" t="str">
        <f>_xlfn.IFNA(IF(AD236="Y","DONE",VLOOKUP(A236,'Ship Date'!A:AE,30,0)),"")</f>
        <v/>
      </c>
      <c r="AQ236" s="12">
        <f t="shared" ca="1" si="109"/>
        <v>0</v>
      </c>
      <c r="AR236" s="38" t="str">
        <f>IFERROR(_xlfn.IFNA(VLOOKUP(A236,'Ship Date'!A:C,3,0),""),"")</f>
        <v/>
      </c>
      <c r="AS236" s="12" t="str">
        <f t="shared" ca="1" si="110"/>
        <v/>
      </c>
      <c r="AT236" s="38">
        <f>_xlfn.IFNA(IF(VLOOKUP(A236,'Actual Dates'!A:AF,32,0)="N/A"," ",VLOOKUP(A236,'Actual Dates'!A:AF,32,0))," ")</f>
        <v>0</v>
      </c>
      <c r="AU236" s="39"/>
      <c r="AV236" s="38" t="str">
        <f>_xlfn.IFNA(IF(VLOOKUP(A236,'Actual Dates'!A:AE,31,0)="","",VLOOKUP(A236,'Actual Dates'!A:AE,31,0)),"")</f>
        <v/>
      </c>
      <c r="AW236" s="40"/>
    </row>
    <row r="237" spans="1:49" ht="23.25" x14ac:dyDescent="0.25">
      <c r="A237" s="12">
        <f>'Actual Dates'!A236</f>
        <v>0</v>
      </c>
      <c r="B237" s="13" t="str">
        <f t="shared" si="102"/>
        <v/>
      </c>
      <c r="C237" s="35"/>
      <c r="D237" s="36" t="str">
        <f t="shared" si="111"/>
        <v/>
      </c>
      <c r="E237" s="37" t="str">
        <f t="shared" si="112"/>
        <v xml:space="preserve">  </v>
      </c>
      <c r="F237" s="36" t="str">
        <f t="shared" si="113"/>
        <v xml:space="preserve">  </v>
      </c>
      <c r="G237" s="37" t="str">
        <f t="shared" si="114"/>
        <v xml:space="preserve">  </v>
      </c>
      <c r="H237" s="36" t="str">
        <f t="shared" si="103"/>
        <v xml:space="preserve">  </v>
      </c>
      <c r="I237" s="37" t="str">
        <f t="shared" si="115"/>
        <v xml:space="preserve">  </v>
      </c>
      <c r="J237" s="35"/>
      <c r="K237" s="36" t="str">
        <f t="shared" si="116"/>
        <v>Y</v>
      </c>
      <c r="L237" s="37" t="str">
        <f t="shared" si="117"/>
        <v/>
      </c>
      <c r="M237" s="37" t="str">
        <f t="shared" si="104"/>
        <v xml:space="preserve">  </v>
      </c>
      <c r="N237" s="36" t="str">
        <f t="shared" si="118"/>
        <v xml:space="preserve">  </v>
      </c>
      <c r="O237" s="37" t="str">
        <f t="shared" si="119"/>
        <v/>
      </c>
      <c r="P237" s="36" t="str">
        <f t="shared" si="120"/>
        <v xml:space="preserve">  </v>
      </c>
      <c r="Q237" s="37" t="str">
        <f t="shared" si="121"/>
        <v xml:space="preserve">  </v>
      </c>
      <c r="R237" s="36" t="str">
        <f t="shared" si="122"/>
        <v xml:space="preserve">  </v>
      </c>
      <c r="S237" s="37" t="str">
        <f t="shared" si="123"/>
        <v xml:space="preserve">  </v>
      </c>
      <c r="T237" s="36" t="str">
        <f t="shared" si="124"/>
        <v xml:space="preserve">  </v>
      </c>
      <c r="U237" s="37" t="str">
        <f t="shared" si="125"/>
        <v xml:space="preserve">  </v>
      </c>
      <c r="V237" s="36" t="str">
        <f t="shared" si="126"/>
        <v xml:space="preserve">  </v>
      </c>
      <c r="W237" s="37" t="str">
        <f t="shared" si="127"/>
        <v xml:space="preserve">  </v>
      </c>
      <c r="X237" s="36" t="str">
        <f t="shared" si="128"/>
        <v xml:space="preserve">  </v>
      </c>
      <c r="Y237" s="37" t="str">
        <f t="shared" si="129"/>
        <v xml:space="preserve">  </v>
      </c>
      <c r="Z237" s="36" t="str">
        <f t="shared" si="130"/>
        <v xml:space="preserve">  </v>
      </c>
      <c r="AA237" s="37" t="str">
        <f t="shared" si="131"/>
        <v xml:space="preserve">  </v>
      </c>
      <c r="AB237" s="36" t="str">
        <f t="shared" si="132"/>
        <v xml:space="preserve">  </v>
      </c>
      <c r="AC237" s="37" t="str">
        <f t="shared" si="133"/>
        <v xml:space="preserve">  </v>
      </c>
      <c r="AD237" s="36" t="str">
        <f t="shared" si="134"/>
        <v xml:space="preserve">  </v>
      </c>
      <c r="AE237" s="37" t="str">
        <f t="shared" si="135"/>
        <v xml:space="preserve">  </v>
      </c>
      <c r="AF237" s="38" t="str">
        <f ca="1">_xlfn.IFNA(IF(AG237="",TODAY()+(VLOOKUP(A237,'Date Calcs'!A:G,7,0)*7),VLOOKUP(A237,'Actual Dates'!A:AE,21,FALSE())),"")</f>
        <v/>
      </c>
      <c r="AG237" s="38" t="str">
        <f>IF(VLOOKUP(A237,'Actual Dates'!A:AE,20,0)="","",VLOOKUP(A237,'Actual Dates'!A:AE,20,0))</f>
        <v/>
      </c>
      <c r="AH237" s="38" t="str">
        <f>_xlfn.IFNA(IF($AG237="","",IF(X237="Y","DONE",VLOOKUP(A237,'Ship Date'!A:AE,27,0))),"")</f>
        <v/>
      </c>
      <c r="AI237" s="12">
        <f t="shared" ca="1" si="105"/>
        <v>0</v>
      </c>
      <c r="AJ237" s="38" t="str">
        <f>_xlfn.IFNA(IF($AG237="","",IF(AB237="Y","DONE",VLOOKUP(A237,'Ship Date'!A:AG,29,0))),"")</f>
        <v/>
      </c>
      <c r="AK237" s="12">
        <f t="shared" ca="1" si="106"/>
        <v>0</v>
      </c>
      <c r="AL237" s="38" t="str">
        <f>_xlfn.IFNA(IF($AG237="","",IF(Z237="Y","DONE",VLOOKUP(A237,'Ship Date'!A:AI,28,0))),"")</f>
        <v/>
      </c>
      <c r="AM237" s="12">
        <f t="shared" ca="1" si="107"/>
        <v>0</v>
      </c>
      <c r="AN237" s="38" t="str">
        <f>_xlfn.IFNA(IF(T237="Y","DONE",VLOOKUP(A237,'Ship Date'!A:AE,25,0)),"")</f>
        <v/>
      </c>
      <c r="AO237" s="12">
        <f t="shared" si="108"/>
        <v>0</v>
      </c>
      <c r="AP237" s="38" t="str">
        <f>_xlfn.IFNA(IF(AD237="Y","DONE",VLOOKUP(A237,'Ship Date'!A:AE,30,0)),"")</f>
        <v/>
      </c>
      <c r="AQ237" s="12">
        <f t="shared" ca="1" si="109"/>
        <v>0</v>
      </c>
      <c r="AR237" s="38" t="str">
        <f>IFERROR(_xlfn.IFNA(VLOOKUP(A237,'Ship Date'!A:C,3,0),""),"")</f>
        <v/>
      </c>
      <c r="AS237" s="12" t="str">
        <f t="shared" ca="1" si="110"/>
        <v/>
      </c>
      <c r="AT237" s="38">
        <f>_xlfn.IFNA(IF(VLOOKUP(A237,'Actual Dates'!A:AF,32,0)="N/A"," ",VLOOKUP(A237,'Actual Dates'!A:AF,32,0))," ")</f>
        <v>0</v>
      </c>
      <c r="AU237" s="39"/>
      <c r="AV237" s="38" t="str">
        <f>_xlfn.IFNA(IF(VLOOKUP(A237,'Actual Dates'!A:AE,31,0)="","",VLOOKUP(A237,'Actual Dates'!A:AE,31,0)),"")</f>
        <v/>
      </c>
      <c r="AW237" s="40"/>
    </row>
    <row r="238" spans="1:49" ht="23.25" x14ac:dyDescent="0.25">
      <c r="A238" s="12">
        <f>'Actual Dates'!A237</f>
        <v>0</v>
      </c>
      <c r="B238" s="13" t="str">
        <f t="shared" si="102"/>
        <v/>
      </c>
      <c r="C238" s="35"/>
      <c r="D238" s="36" t="str">
        <f t="shared" si="111"/>
        <v/>
      </c>
      <c r="E238" s="37" t="str">
        <f t="shared" si="112"/>
        <v xml:space="preserve">  </v>
      </c>
      <c r="F238" s="36" t="str">
        <f t="shared" si="113"/>
        <v xml:space="preserve">  </v>
      </c>
      <c r="G238" s="37" t="str">
        <f t="shared" si="114"/>
        <v xml:space="preserve">  </v>
      </c>
      <c r="H238" s="36" t="str">
        <f t="shared" si="103"/>
        <v xml:space="preserve">  </v>
      </c>
      <c r="I238" s="37" t="str">
        <f t="shared" si="115"/>
        <v xml:space="preserve">  </v>
      </c>
      <c r="J238" s="35"/>
      <c r="K238" s="36" t="str">
        <f t="shared" si="116"/>
        <v>Y</v>
      </c>
      <c r="L238" s="37" t="str">
        <f t="shared" si="117"/>
        <v/>
      </c>
      <c r="M238" s="37" t="str">
        <f t="shared" si="104"/>
        <v xml:space="preserve">  </v>
      </c>
      <c r="N238" s="36" t="str">
        <f t="shared" si="118"/>
        <v xml:space="preserve">  </v>
      </c>
      <c r="O238" s="37" t="str">
        <f t="shared" si="119"/>
        <v/>
      </c>
      <c r="P238" s="36" t="str">
        <f t="shared" si="120"/>
        <v xml:space="preserve">  </v>
      </c>
      <c r="Q238" s="37" t="str">
        <f t="shared" si="121"/>
        <v xml:space="preserve">  </v>
      </c>
      <c r="R238" s="36" t="str">
        <f t="shared" si="122"/>
        <v xml:space="preserve">  </v>
      </c>
      <c r="S238" s="37" t="str">
        <f t="shared" si="123"/>
        <v xml:space="preserve">  </v>
      </c>
      <c r="T238" s="36" t="str">
        <f t="shared" si="124"/>
        <v xml:space="preserve">  </v>
      </c>
      <c r="U238" s="37" t="str">
        <f t="shared" si="125"/>
        <v xml:space="preserve">  </v>
      </c>
      <c r="V238" s="36" t="str">
        <f t="shared" si="126"/>
        <v xml:space="preserve">  </v>
      </c>
      <c r="W238" s="37" t="str">
        <f t="shared" si="127"/>
        <v xml:space="preserve">  </v>
      </c>
      <c r="X238" s="36" t="str">
        <f t="shared" si="128"/>
        <v xml:space="preserve">  </v>
      </c>
      <c r="Y238" s="37" t="str">
        <f t="shared" si="129"/>
        <v xml:space="preserve">  </v>
      </c>
      <c r="Z238" s="36" t="str">
        <f t="shared" si="130"/>
        <v xml:space="preserve">  </v>
      </c>
      <c r="AA238" s="37" t="str">
        <f t="shared" si="131"/>
        <v xml:space="preserve">  </v>
      </c>
      <c r="AB238" s="36" t="str">
        <f t="shared" si="132"/>
        <v xml:space="preserve">  </v>
      </c>
      <c r="AC238" s="37" t="str">
        <f t="shared" si="133"/>
        <v xml:space="preserve">  </v>
      </c>
      <c r="AD238" s="36" t="str">
        <f t="shared" si="134"/>
        <v xml:space="preserve">  </v>
      </c>
      <c r="AE238" s="37" t="str">
        <f t="shared" si="135"/>
        <v xml:space="preserve">  </v>
      </c>
      <c r="AF238" s="38" t="str">
        <f ca="1">_xlfn.IFNA(IF(AG238="",TODAY()+(VLOOKUP(A238,'Date Calcs'!A:G,7,0)*7),VLOOKUP(A238,'Actual Dates'!A:AE,21,FALSE())),"")</f>
        <v/>
      </c>
      <c r="AG238" s="38" t="str">
        <f>IF(VLOOKUP(A238,'Actual Dates'!A:AE,20,0)="","",VLOOKUP(A238,'Actual Dates'!A:AE,20,0))</f>
        <v/>
      </c>
      <c r="AH238" s="38" t="str">
        <f>_xlfn.IFNA(IF($AG238="","",IF(X238="Y","DONE",VLOOKUP(A238,'Ship Date'!A:AE,27,0))),"")</f>
        <v/>
      </c>
      <c r="AI238" s="12">
        <f t="shared" ca="1" si="105"/>
        <v>0</v>
      </c>
      <c r="AJ238" s="38" t="str">
        <f>_xlfn.IFNA(IF($AG238="","",IF(AB238="Y","DONE",VLOOKUP(A238,'Ship Date'!A:AG,29,0))),"")</f>
        <v/>
      </c>
      <c r="AK238" s="12">
        <f t="shared" ca="1" si="106"/>
        <v>0</v>
      </c>
      <c r="AL238" s="38" t="str">
        <f>_xlfn.IFNA(IF($AG238="","",IF(Z238="Y","DONE",VLOOKUP(A238,'Ship Date'!A:AI,28,0))),"")</f>
        <v/>
      </c>
      <c r="AM238" s="12">
        <f t="shared" ca="1" si="107"/>
        <v>0</v>
      </c>
      <c r="AN238" s="38" t="str">
        <f>_xlfn.IFNA(IF(T238="Y","DONE",VLOOKUP(A238,'Ship Date'!A:AE,25,0)),"")</f>
        <v/>
      </c>
      <c r="AO238" s="12">
        <f t="shared" si="108"/>
        <v>0</v>
      </c>
      <c r="AP238" s="38" t="str">
        <f>_xlfn.IFNA(IF(AD238="Y","DONE",VLOOKUP(A238,'Ship Date'!A:AE,30,0)),"")</f>
        <v/>
      </c>
      <c r="AQ238" s="12">
        <f t="shared" ca="1" si="109"/>
        <v>0</v>
      </c>
      <c r="AR238" s="38" t="str">
        <f>IFERROR(_xlfn.IFNA(VLOOKUP(A238,'Ship Date'!A:C,3,0),""),"")</f>
        <v/>
      </c>
      <c r="AS238" s="12" t="str">
        <f t="shared" ca="1" si="110"/>
        <v/>
      </c>
      <c r="AT238" s="38">
        <f>_xlfn.IFNA(IF(VLOOKUP(A238,'Actual Dates'!A:AF,32,0)="N/A"," ",VLOOKUP(A238,'Actual Dates'!A:AF,32,0))," ")</f>
        <v>0</v>
      </c>
      <c r="AU238" s="39"/>
      <c r="AV238" s="38" t="str">
        <f>_xlfn.IFNA(IF(VLOOKUP(A238,'Actual Dates'!A:AE,31,0)="","",VLOOKUP(A238,'Actual Dates'!A:AE,31,0)),"")</f>
        <v/>
      </c>
      <c r="AW238" s="40"/>
    </row>
    <row r="239" spans="1:49" ht="23.25" x14ac:dyDescent="0.25">
      <c r="A239" s="12">
        <f>'Actual Dates'!A238</f>
        <v>0</v>
      </c>
      <c r="B239" s="13" t="str">
        <f t="shared" si="102"/>
        <v/>
      </c>
      <c r="C239" s="35"/>
      <c r="D239" s="36" t="str">
        <f t="shared" si="111"/>
        <v/>
      </c>
      <c r="E239" s="37" t="str">
        <f t="shared" si="112"/>
        <v xml:space="preserve">  </v>
      </c>
      <c r="F239" s="36" t="str">
        <f t="shared" si="113"/>
        <v xml:space="preserve">  </v>
      </c>
      <c r="G239" s="37" t="str">
        <f t="shared" si="114"/>
        <v xml:space="preserve">  </v>
      </c>
      <c r="H239" s="36" t="str">
        <f t="shared" si="103"/>
        <v xml:space="preserve">  </v>
      </c>
      <c r="I239" s="37" t="str">
        <f t="shared" si="115"/>
        <v xml:space="preserve">  </v>
      </c>
      <c r="J239" s="35"/>
      <c r="K239" s="36" t="str">
        <f t="shared" si="116"/>
        <v>Y</v>
      </c>
      <c r="L239" s="37" t="str">
        <f t="shared" si="117"/>
        <v/>
      </c>
      <c r="M239" s="37" t="str">
        <f t="shared" si="104"/>
        <v xml:space="preserve">  </v>
      </c>
      <c r="N239" s="36" t="str">
        <f t="shared" si="118"/>
        <v xml:space="preserve">  </v>
      </c>
      <c r="O239" s="37" t="str">
        <f t="shared" si="119"/>
        <v/>
      </c>
      <c r="P239" s="36" t="str">
        <f t="shared" si="120"/>
        <v xml:space="preserve">  </v>
      </c>
      <c r="Q239" s="37" t="str">
        <f t="shared" si="121"/>
        <v xml:space="preserve">  </v>
      </c>
      <c r="R239" s="36" t="str">
        <f t="shared" si="122"/>
        <v xml:space="preserve">  </v>
      </c>
      <c r="S239" s="37" t="str">
        <f t="shared" si="123"/>
        <v xml:space="preserve">  </v>
      </c>
      <c r="T239" s="36" t="str">
        <f t="shared" si="124"/>
        <v xml:space="preserve">  </v>
      </c>
      <c r="U239" s="37" t="str">
        <f t="shared" si="125"/>
        <v xml:space="preserve">  </v>
      </c>
      <c r="V239" s="36" t="str">
        <f t="shared" si="126"/>
        <v xml:space="preserve">  </v>
      </c>
      <c r="W239" s="37" t="str">
        <f t="shared" si="127"/>
        <v xml:space="preserve">  </v>
      </c>
      <c r="X239" s="36" t="str">
        <f t="shared" si="128"/>
        <v xml:space="preserve">  </v>
      </c>
      <c r="Y239" s="37" t="str">
        <f t="shared" si="129"/>
        <v xml:space="preserve">  </v>
      </c>
      <c r="Z239" s="36" t="str">
        <f t="shared" si="130"/>
        <v xml:space="preserve">  </v>
      </c>
      <c r="AA239" s="37" t="str">
        <f t="shared" si="131"/>
        <v xml:space="preserve">  </v>
      </c>
      <c r="AB239" s="36" t="str">
        <f t="shared" si="132"/>
        <v xml:space="preserve">  </v>
      </c>
      <c r="AC239" s="37" t="str">
        <f t="shared" si="133"/>
        <v xml:space="preserve">  </v>
      </c>
      <c r="AD239" s="36" t="str">
        <f t="shared" si="134"/>
        <v xml:space="preserve">  </v>
      </c>
      <c r="AE239" s="37" t="str">
        <f t="shared" si="135"/>
        <v xml:space="preserve">  </v>
      </c>
      <c r="AF239" s="38" t="str">
        <f ca="1">_xlfn.IFNA(IF(AG239="",TODAY()+(VLOOKUP(A239,'Date Calcs'!A:G,7,0)*7),VLOOKUP(A239,'Actual Dates'!A:AE,21,FALSE())),"")</f>
        <v/>
      </c>
      <c r="AG239" s="38" t="str">
        <f>IF(VLOOKUP(A239,'Actual Dates'!A:AE,20,0)="","",VLOOKUP(A239,'Actual Dates'!A:AE,20,0))</f>
        <v/>
      </c>
      <c r="AH239" s="38" t="str">
        <f>_xlfn.IFNA(IF($AG239="","",IF(X239="Y","DONE",VLOOKUP(A239,'Ship Date'!A:AE,27,0))),"")</f>
        <v/>
      </c>
      <c r="AI239" s="12">
        <f t="shared" ca="1" si="105"/>
        <v>0</v>
      </c>
      <c r="AJ239" s="38" t="str">
        <f>_xlfn.IFNA(IF($AG239="","",IF(AB239="Y","DONE",VLOOKUP(A239,'Ship Date'!A:AG,29,0))),"")</f>
        <v/>
      </c>
      <c r="AK239" s="12">
        <f t="shared" ca="1" si="106"/>
        <v>0</v>
      </c>
      <c r="AL239" s="38" t="str">
        <f>_xlfn.IFNA(IF($AG239="","",IF(Z239="Y","DONE",VLOOKUP(A239,'Ship Date'!A:AI,28,0))),"")</f>
        <v/>
      </c>
      <c r="AM239" s="12">
        <f t="shared" ca="1" si="107"/>
        <v>0</v>
      </c>
      <c r="AN239" s="38" t="str">
        <f>_xlfn.IFNA(IF(T239="Y","DONE",VLOOKUP(A239,'Ship Date'!A:AE,25,0)),"")</f>
        <v/>
      </c>
      <c r="AO239" s="12">
        <f t="shared" si="108"/>
        <v>0</v>
      </c>
      <c r="AP239" s="38" t="str">
        <f>_xlfn.IFNA(IF(AD239="Y","DONE",VLOOKUP(A239,'Ship Date'!A:AE,30,0)),"")</f>
        <v/>
      </c>
      <c r="AQ239" s="12">
        <f t="shared" ca="1" si="109"/>
        <v>0</v>
      </c>
      <c r="AR239" s="38" t="str">
        <f>IFERROR(_xlfn.IFNA(VLOOKUP(A239,'Ship Date'!A:C,3,0),""),"")</f>
        <v/>
      </c>
      <c r="AS239" s="12" t="str">
        <f t="shared" ca="1" si="110"/>
        <v/>
      </c>
      <c r="AT239" s="38">
        <f>_xlfn.IFNA(IF(VLOOKUP(A239,'Actual Dates'!A:AF,32,0)="N/A"," ",VLOOKUP(A239,'Actual Dates'!A:AF,32,0))," ")</f>
        <v>0</v>
      </c>
      <c r="AU239" s="39"/>
      <c r="AV239" s="38" t="str">
        <f>_xlfn.IFNA(IF(VLOOKUP(A239,'Actual Dates'!A:AE,31,0)="","",VLOOKUP(A239,'Actual Dates'!A:AE,31,0)),"")</f>
        <v/>
      </c>
      <c r="AW239" s="40"/>
    </row>
    <row r="240" spans="1:49" ht="23.25" x14ac:dyDescent="0.25">
      <c r="A240" s="12">
        <f>'Actual Dates'!A239</f>
        <v>0</v>
      </c>
      <c r="B240" s="13" t="str">
        <f t="shared" si="102"/>
        <v/>
      </c>
      <c r="C240" s="35"/>
      <c r="D240" s="36" t="str">
        <f t="shared" si="111"/>
        <v/>
      </c>
      <c r="E240" s="37" t="str">
        <f t="shared" si="112"/>
        <v xml:space="preserve">  </v>
      </c>
      <c r="F240" s="36" t="str">
        <f t="shared" si="113"/>
        <v xml:space="preserve">  </v>
      </c>
      <c r="G240" s="37" t="str">
        <f t="shared" si="114"/>
        <v xml:space="preserve">  </v>
      </c>
      <c r="H240" s="36" t="str">
        <f t="shared" si="103"/>
        <v xml:space="preserve">  </v>
      </c>
      <c r="I240" s="37" t="str">
        <f t="shared" si="115"/>
        <v xml:space="preserve">  </v>
      </c>
      <c r="J240" s="35"/>
      <c r="K240" s="36" t="str">
        <f t="shared" si="116"/>
        <v>Y</v>
      </c>
      <c r="L240" s="37" t="str">
        <f t="shared" si="117"/>
        <v/>
      </c>
      <c r="M240" s="37" t="str">
        <f t="shared" si="104"/>
        <v xml:space="preserve">  </v>
      </c>
      <c r="N240" s="36" t="str">
        <f t="shared" si="118"/>
        <v xml:space="preserve">  </v>
      </c>
      <c r="O240" s="37" t="str">
        <f t="shared" si="119"/>
        <v/>
      </c>
      <c r="P240" s="36" t="str">
        <f t="shared" si="120"/>
        <v xml:space="preserve">  </v>
      </c>
      <c r="Q240" s="37" t="str">
        <f t="shared" si="121"/>
        <v xml:space="preserve">  </v>
      </c>
      <c r="R240" s="36" t="str">
        <f t="shared" si="122"/>
        <v xml:space="preserve">  </v>
      </c>
      <c r="S240" s="37" t="str">
        <f t="shared" si="123"/>
        <v xml:space="preserve">  </v>
      </c>
      <c r="T240" s="36" t="str">
        <f t="shared" si="124"/>
        <v xml:space="preserve">  </v>
      </c>
      <c r="U240" s="37" t="str">
        <f t="shared" si="125"/>
        <v xml:space="preserve">  </v>
      </c>
      <c r="V240" s="36" t="str">
        <f t="shared" si="126"/>
        <v xml:space="preserve">  </v>
      </c>
      <c r="W240" s="37" t="str">
        <f t="shared" si="127"/>
        <v xml:space="preserve">  </v>
      </c>
      <c r="X240" s="36" t="str">
        <f t="shared" si="128"/>
        <v xml:space="preserve">  </v>
      </c>
      <c r="Y240" s="37" t="str">
        <f t="shared" si="129"/>
        <v xml:space="preserve">  </v>
      </c>
      <c r="Z240" s="36" t="str">
        <f t="shared" si="130"/>
        <v xml:space="preserve">  </v>
      </c>
      <c r="AA240" s="37" t="str">
        <f t="shared" si="131"/>
        <v xml:space="preserve">  </v>
      </c>
      <c r="AB240" s="36" t="str">
        <f t="shared" si="132"/>
        <v xml:space="preserve">  </v>
      </c>
      <c r="AC240" s="37" t="str">
        <f t="shared" si="133"/>
        <v xml:space="preserve">  </v>
      </c>
      <c r="AD240" s="36" t="str">
        <f t="shared" si="134"/>
        <v xml:space="preserve">  </v>
      </c>
      <c r="AE240" s="37" t="str">
        <f t="shared" si="135"/>
        <v xml:space="preserve">  </v>
      </c>
      <c r="AF240" s="38" t="str">
        <f ca="1">_xlfn.IFNA(IF(AG240="",TODAY()+(VLOOKUP(A240,'Date Calcs'!A:G,7,0)*7),VLOOKUP(A240,'Actual Dates'!A:AE,21,FALSE())),"")</f>
        <v/>
      </c>
      <c r="AG240" s="38" t="str">
        <f>IF(VLOOKUP(A240,'Actual Dates'!A:AE,20,0)="","",VLOOKUP(A240,'Actual Dates'!A:AE,20,0))</f>
        <v/>
      </c>
      <c r="AH240" s="38" t="str">
        <f>_xlfn.IFNA(IF($AG240="","",IF(X240="Y","DONE",VLOOKUP(A240,'Ship Date'!A:AE,27,0))),"")</f>
        <v/>
      </c>
      <c r="AI240" s="12">
        <f t="shared" ca="1" si="105"/>
        <v>0</v>
      </c>
      <c r="AJ240" s="38" t="str">
        <f>_xlfn.IFNA(IF($AG240="","",IF(AB240="Y","DONE",VLOOKUP(A240,'Ship Date'!A:AG,29,0))),"")</f>
        <v/>
      </c>
      <c r="AK240" s="12">
        <f t="shared" ca="1" si="106"/>
        <v>0</v>
      </c>
      <c r="AL240" s="38" t="str">
        <f>_xlfn.IFNA(IF($AG240="","",IF(Z240="Y","DONE",VLOOKUP(A240,'Ship Date'!A:AI,28,0))),"")</f>
        <v/>
      </c>
      <c r="AM240" s="12">
        <f t="shared" ca="1" si="107"/>
        <v>0</v>
      </c>
      <c r="AN240" s="38" t="str">
        <f>_xlfn.IFNA(IF(T240="Y","DONE",VLOOKUP(A240,'Ship Date'!A:AE,25,0)),"")</f>
        <v/>
      </c>
      <c r="AO240" s="12">
        <f t="shared" si="108"/>
        <v>0</v>
      </c>
      <c r="AP240" s="38" t="str">
        <f>_xlfn.IFNA(IF(AD240="Y","DONE",VLOOKUP(A240,'Ship Date'!A:AE,30,0)),"")</f>
        <v/>
      </c>
      <c r="AQ240" s="12">
        <f t="shared" ca="1" si="109"/>
        <v>0</v>
      </c>
      <c r="AR240" s="38" t="str">
        <f>IFERROR(_xlfn.IFNA(VLOOKUP(A240,'Ship Date'!A:C,3,0),""),"")</f>
        <v/>
      </c>
      <c r="AS240" s="12" t="str">
        <f t="shared" ca="1" si="110"/>
        <v/>
      </c>
      <c r="AT240" s="38">
        <f>_xlfn.IFNA(IF(VLOOKUP(A240,'Actual Dates'!A:AF,32,0)="N/A"," ",VLOOKUP(A240,'Actual Dates'!A:AF,32,0))," ")</f>
        <v>0</v>
      </c>
      <c r="AU240" s="39"/>
      <c r="AV240" s="38" t="str">
        <f>_xlfn.IFNA(IF(VLOOKUP(A240,'Actual Dates'!A:AE,31,0)="","",VLOOKUP(A240,'Actual Dates'!A:AE,31,0)),"")</f>
        <v/>
      </c>
      <c r="AW240" s="40"/>
    </row>
    <row r="241" spans="1:49" ht="23.25" x14ac:dyDescent="0.25">
      <c r="A241" s="12">
        <f>'Actual Dates'!A240</f>
        <v>0</v>
      </c>
      <c r="B241" s="13" t="str">
        <f t="shared" si="102"/>
        <v/>
      </c>
      <c r="C241" s="35"/>
      <c r="D241" s="36" t="str">
        <f t="shared" si="111"/>
        <v/>
      </c>
      <c r="E241" s="37" t="str">
        <f t="shared" si="112"/>
        <v xml:space="preserve">  </v>
      </c>
      <c r="F241" s="36" t="str">
        <f t="shared" si="113"/>
        <v xml:space="preserve">  </v>
      </c>
      <c r="G241" s="37" t="str">
        <f t="shared" si="114"/>
        <v xml:space="preserve">  </v>
      </c>
      <c r="H241" s="36" t="str">
        <f t="shared" si="103"/>
        <v xml:space="preserve">  </v>
      </c>
      <c r="I241" s="37" t="str">
        <f t="shared" si="115"/>
        <v xml:space="preserve">  </v>
      </c>
      <c r="J241" s="35"/>
      <c r="K241" s="36" t="str">
        <f t="shared" si="116"/>
        <v>Y</v>
      </c>
      <c r="L241" s="37" t="str">
        <f t="shared" si="117"/>
        <v/>
      </c>
      <c r="M241" s="37" t="str">
        <f t="shared" si="104"/>
        <v xml:space="preserve">  </v>
      </c>
      <c r="N241" s="36" t="str">
        <f t="shared" si="118"/>
        <v xml:space="preserve">  </v>
      </c>
      <c r="O241" s="37" t="str">
        <f t="shared" si="119"/>
        <v/>
      </c>
      <c r="P241" s="36" t="str">
        <f t="shared" si="120"/>
        <v xml:space="preserve">  </v>
      </c>
      <c r="Q241" s="37" t="str">
        <f t="shared" si="121"/>
        <v xml:space="preserve">  </v>
      </c>
      <c r="R241" s="36" t="str">
        <f t="shared" si="122"/>
        <v xml:space="preserve">  </v>
      </c>
      <c r="S241" s="37" t="str">
        <f t="shared" si="123"/>
        <v xml:space="preserve">  </v>
      </c>
      <c r="T241" s="36" t="str">
        <f t="shared" si="124"/>
        <v xml:space="preserve">  </v>
      </c>
      <c r="U241" s="37" t="str">
        <f t="shared" si="125"/>
        <v xml:space="preserve">  </v>
      </c>
      <c r="V241" s="36" t="str">
        <f t="shared" si="126"/>
        <v xml:space="preserve">  </v>
      </c>
      <c r="W241" s="37" t="str">
        <f t="shared" si="127"/>
        <v xml:space="preserve">  </v>
      </c>
      <c r="X241" s="36" t="str">
        <f t="shared" si="128"/>
        <v xml:space="preserve">  </v>
      </c>
      <c r="Y241" s="37" t="str">
        <f t="shared" si="129"/>
        <v xml:space="preserve">  </v>
      </c>
      <c r="Z241" s="36" t="str">
        <f t="shared" si="130"/>
        <v xml:space="preserve">  </v>
      </c>
      <c r="AA241" s="37" t="str">
        <f t="shared" si="131"/>
        <v xml:space="preserve">  </v>
      </c>
      <c r="AB241" s="36" t="str">
        <f t="shared" si="132"/>
        <v xml:space="preserve">  </v>
      </c>
      <c r="AC241" s="37" t="str">
        <f t="shared" si="133"/>
        <v xml:space="preserve">  </v>
      </c>
      <c r="AD241" s="36" t="str">
        <f t="shared" si="134"/>
        <v xml:space="preserve">  </v>
      </c>
      <c r="AE241" s="37" t="str">
        <f t="shared" si="135"/>
        <v xml:space="preserve">  </v>
      </c>
      <c r="AF241" s="38" t="str">
        <f ca="1">_xlfn.IFNA(IF(AG241="",TODAY()+(VLOOKUP(A241,'Date Calcs'!A:G,7,0)*7),VLOOKUP(A241,'Actual Dates'!A:AE,21,FALSE())),"")</f>
        <v/>
      </c>
      <c r="AG241" s="38" t="str">
        <f>IF(VLOOKUP(A241,'Actual Dates'!A:AE,20,0)="","",VLOOKUP(A241,'Actual Dates'!A:AE,20,0))</f>
        <v/>
      </c>
      <c r="AH241" s="38" t="str">
        <f>_xlfn.IFNA(IF($AG241="","",IF(X241="Y","DONE",VLOOKUP(A241,'Ship Date'!A:AE,27,0))),"")</f>
        <v/>
      </c>
      <c r="AI241" s="12">
        <f t="shared" ca="1" si="105"/>
        <v>0</v>
      </c>
      <c r="AJ241" s="38" t="str">
        <f>_xlfn.IFNA(IF($AG241="","",IF(AB241="Y","DONE",VLOOKUP(A241,'Ship Date'!A:AG,29,0))),"")</f>
        <v/>
      </c>
      <c r="AK241" s="12">
        <f t="shared" ca="1" si="106"/>
        <v>0</v>
      </c>
      <c r="AL241" s="38" t="str">
        <f>_xlfn.IFNA(IF($AG241="","",IF(Z241="Y","DONE",VLOOKUP(A241,'Ship Date'!A:AI,28,0))),"")</f>
        <v/>
      </c>
      <c r="AM241" s="12">
        <f t="shared" ca="1" si="107"/>
        <v>0</v>
      </c>
      <c r="AN241" s="38" t="str">
        <f>_xlfn.IFNA(IF(T241="Y","DONE",VLOOKUP(A241,'Ship Date'!A:AE,25,0)),"")</f>
        <v/>
      </c>
      <c r="AO241" s="12">
        <f t="shared" si="108"/>
        <v>0</v>
      </c>
      <c r="AP241" s="38" t="str">
        <f>_xlfn.IFNA(IF(AD241="Y","DONE",VLOOKUP(A241,'Ship Date'!A:AE,30,0)),"")</f>
        <v/>
      </c>
      <c r="AQ241" s="12">
        <f t="shared" ca="1" si="109"/>
        <v>0</v>
      </c>
      <c r="AR241" s="38" t="str">
        <f>IFERROR(_xlfn.IFNA(VLOOKUP(A241,'Ship Date'!A:C,3,0),""),"")</f>
        <v/>
      </c>
      <c r="AS241" s="12" t="str">
        <f t="shared" ca="1" si="110"/>
        <v/>
      </c>
      <c r="AT241" s="38">
        <f>_xlfn.IFNA(IF(VLOOKUP(A241,'Actual Dates'!A:AF,32,0)="N/A"," ",VLOOKUP(A241,'Actual Dates'!A:AF,32,0))," ")</f>
        <v>0</v>
      </c>
      <c r="AU241" s="39"/>
      <c r="AV241" s="38" t="str">
        <f>_xlfn.IFNA(IF(VLOOKUP(A241,'Actual Dates'!A:AE,31,0)="","",VLOOKUP(A241,'Actual Dates'!A:AE,31,0)),"")</f>
        <v/>
      </c>
      <c r="AW241" s="40"/>
    </row>
    <row r="242" spans="1:49" ht="23.25" x14ac:dyDescent="0.25">
      <c r="A242" s="12">
        <f>'Actual Dates'!A241</f>
        <v>0</v>
      </c>
      <c r="B242" s="13" t="str">
        <f t="shared" si="102"/>
        <v/>
      </c>
      <c r="C242" s="35"/>
      <c r="D242" s="36" t="str">
        <f t="shared" si="111"/>
        <v/>
      </c>
      <c r="E242" s="37" t="str">
        <f t="shared" si="112"/>
        <v xml:space="preserve">  </v>
      </c>
      <c r="F242" s="36" t="str">
        <f t="shared" si="113"/>
        <v xml:space="preserve">  </v>
      </c>
      <c r="G242" s="37" t="str">
        <f t="shared" si="114"/>
        <v xml:space="preserve">  </v>
      </c>
      <c r="H242" s="36" t="str">
        <f t="shared" si="103"/>
        <v xml:space="preserve">  </v>
      </c>
      <c r="I242" s="37" t="str">
        <f t="shared" si="115"/>
        <v xml:space="preserve">  </v>
      </c>
      <c r="J242" s="35"/>
      <c r="K242" s="36" t="str">
        <f t="shared" si="116"/>
        <v>Y</v>
      </c>
      <c r="L242" s="37" t="str">
        <f t="shared" si="117"/>
        <v/>
      </c>
      <c r="M242" s="37" t="str">
        <f t="shared" si="104"/>
        <v xml:space="preserve">  </v>
      </c>
      <c r="N242" s="36" t="str">
        <f t="shared" si="118"/>
        <v xml:space="preserve">  </v>
      </c>
      <c r="O242" s="37" t="str">
        <f t="shared" si="119"/>
        <v/>
      </c>
      <c r="P242" s="36" t="str">
        <f t="shared" si="120"/>
        <v xml:space="preserve">  </v>
      </c>
      <c r="Q242" s="37" t="str">
        <f t="shared" si="121"/>
        <v xml:space="preserve">  </v>
      </c>
      <c r="R242" s="36" t="str">
        <f t="shared" si="122"/>
        <v xml:space="preserve">  </v>
      </c>
      <c r="S242" s="37" t="str">
        <f t="shared" si="123"/>
        <v xml:space="preserve">  </v>
      </c>
      <c r="T242" s="36" t="str">
        <f t="shared" si="124"/>
        <v xml:space="preserve">  </v>
      </c>
      <c r="U242" s="37" t="str">
        <f t="shared" si="125"/>
        <v xml:space="preserve">  </v>
      </c>
      <c r="V242" s="36" t="str">
        <f t="shared" si="126"/>
        <v xml:space="preserve">  </v>
      </c>
      <c r="W242" s="37" t="str">
        <f t="shared" si="127"/>
        <v xml:space="preserve">  </v>
      </c>
      <c r="X242" s="36" t="str">
        <f t="shared" si="128"/>
        <v xml:space="preserve">  </v>
      </c>
      <c r="Y242" s="37" t="str">
        <f t="shared" si="129"/>
        <v xml:space="preserve">  </v>
      </c>
      <c r="Z242" s="36" t="str">
        <f t="shared" si="130"/>
        <v xml:space="preserve">  </v>
      </c>
      <c r="AA242" s="37" t="str">
        <f t="shared" si="131"/>
        <v xml:space="preserve">  </v>
      </c>
      <c r="AB242" s="36" t="str">
        <f t="shared" si="132"/>
        <v xml:space="preserve">  </v>
      </c>
      <c r="AC242" s="37" t="str">
        <f t="shared" si="133"/>
        <v xml:space="preserve">  </v>
      </c>
      <c r="AD242" s="36" t="str">
        <f t="shared" si="134"/>
        <v xml:space="preserve">  </v>
      </c>
      <c r="AE242" s="37" t="str">
        <f t="shared" si="135"/>
        <v xml:space="preserve">  </v>
      </c>
      <c r="AF242" s="38" t="str">
        <f ca="1">_xlfn.IFNA(IF(AG242="",TODAY()+(VLOOKUP(A242,'Date Calcs'!A:G,7,0)*7),VLOOKUP(A242,'Actual Dates'!A:AE,21,FALSE())),"")</f>
        <v/>
      </c>
      <c r="AG242" s="38" t="str">
        <f>IF(VLOOKUP(A242,'Actual Dates'!A:AE,20,0)="","",VLOOKUP(A242,'Actual Dates'!A:AE,20,0))</f>
        <v/>
      </c>
      <c r="AH242" s="38" t="str">
        <f>_xlfn.IFNA(IF($AG242="","",IF(X242="Y","DONE",VLOOKUP(A242,'Ship Date'!A:AE,27,0))),"")</f>
        <v/>
      </c>
      <c r="AI242" s="12">
        <f t="shared" ca="1" si="105"/>
        <v>0</v>
      </c>
      <c r="AJ242" s="38" t="str">
        <f>_xlfn.IFNA(IF($AG242="","",IF(AB242="Y","DONE",VLOOKUP(A242,'Ship Date'!A:AG,29,0))),"")</f>
        <v/>
      </c>
      <c r="AK242" s="12">
        <f t="shared" ca="1" si="106"/>
        <v>0</v>
      </c>
      <c r="AL242" s="38" t="str">
        <f>_xlfn.IFNA(IF($AG242="","",IF(Z242="Y","DONE",VLOOKUP(A242,'Ship Date'!A:AI,28,0))),"")</f>
        <v/>
      </c>
      <c r="AM242" s="12">
        <f t="shared" ca="1" si="107"/>
        <v>0</v>
      </c>
      <c r="AN242" s="38" t="str">
        <f>_xlfn.IFNA(IF(T242="Y","DONE",VLOOKUP(A242,'Ship Date'!A:AE,25,0)),"")</f>
        <v/>
      </c>
      <c r="AO242" s="12">
        <f t="shared" si="108"/>
        <v>0</v>
      </c>
      <c r="AP242" s="38" t="str">
        <f>_xlfn.IFNA(IF(AD242="Y","DONE",VLOOKUP(A242,'Ship Date'!A:AE,30,0)),"")</f>
        <v/>
      </c>
      <c r="AQ242" s="12">
        <f t="shared" ca="1" si="109"/>
        <v>0</v>
      </c>
      <c r="AR242" s="38" t="str">
        <f>IFERROR(_xlfn.IFNA(VLOOKUP(A242,'Ship Date'!A:C,3,0),""),"")</f>
        <v/>
      </c>
      <c r="AS242" s="12" t="str">
        <f t="shared" ca="1" si="110"/>
        <v/>
      </c>
      <c r="AT242" s="38">
        <f>_xlfn.IFNA(IF(VLOOKUP(A242,'Actual Dates'!A:AF,32,0)="N/A"," ",VLOOKUP(A242,'Actual Dates'!A:AF,32,0))," ")</f>
        <v>0</v>
      </c>
      <c r="AU242" s="39"/>
      <c r="AV242" s="38" t="str">
        <f>_xlfn.IFNA(IF(VLOOKUP(A242,'Actual Dates'!A:AE,31,0)="","",VLOOKUP(A242,'Actual Dates'!A:AE,31,0)),"")</f>
        <v/>
      </c>
      <c r="AW242" s="40"/>
    </row>
    <row r="243" spans="1:49" ht="23.25" x14ac:dyDescent="0.25">
      <c r="A243" s="12">
        <f>'Actual Dates'!A242</f>
        <v>0</v>
      </c>
      <c r="B243" s="13" t="str">
        <f t="shared" si="102"/>
        <v/>
      </c>
      <c r="C243" s="35"/>
      <c r="D243" s="36" t="str">
        <f t="shared" si="111"/>
        <v/>
      </c>
      <c r="E243" s="37" t="str">
        <f t="shared" si="112"/>
        <v xml:space="preserve">  </v>
      </c>
      <c r="F243" s="36" t="str">
        <f t="shared" si="113"/>
        <v xml:space="preserve">  </v>
      </c>
      <c r="G243" s="37" t="str">
        <f t="shared" si="114"/>
        <v xml:space="preserve">  </v>
      </c>
      <c r="H243" s="36" t="str">
        <f t="shared" si="103"/>
        <v xml:space="preserve">  </v>
      </c>
      <c r="I243" s="37" t="str">
        <f t="shared" si="115"/>
        <v xml:space="preserve">  </v>
      </c>
      <c r="J243" s="35"/>
      <c r="K243" s="36" t="str">
        <f t="shared" si="116"/>
        <v>Y</v>
      </c>
      <c r="L243" s="37" t="str">
        <f t="shared" si="117"/>
        <v/>
      </c>
      <c r="M243" s="37" t="str">
        <f t="shared" si="104"/>
        <v xml:space="preserve">  </v>
      </c>
      <c r="N243" s="36" t="str">
        <f t="shared" si="118"/>
        <v xml:space="preserve">  </v>
      </c>
      <c r="O243" s="37" t="str">
        <f t="shared" si="119"/>
        <v/>
      </c>
      <c r="P243" s="36" t="str">
        <f t="shared" si="120"/>
        <v xml:space="preserve">  </v>
      </c>
      <c r="Q243" s="37" t="str">
        <f t="shared" si="121"/>
        <v xml:space="preserve">  </v>
      </c>
      <c r="R243" s="36" t="str">
        <f t="shared" si="122"/>
        <v xml:space="preserve">  </v>
      </c>
      <c r="S243" s="37" t="str">
        <f t="shared" si="123"/>
        <v xml:space="preserve">  </v>
      </c>
      <c r="T243" s="36" t="str">
        <f t="shared" si="124"/>
        <v xml:space="preserve">  </v>
      </c>
      <c r="U243" s="37" t="str">
        <f t="shared" si="125"/>
        <v xml:space="preserve">  </v>
      </c>
      <c r="V243" s="36" t="str">
        <f t="shared" si="126"/>
        <v xml:space="preserve">  </v>
      </c>
      <c r="W243" s="37" t="str">
        <f t="shared" si="127"/>
        <v xml:space="preserve">  </v>
      </c>
      <c r="X243" s="36" t="str">
        <f t="shared" si="128"/>
        <v xml:space="preserve">  </v>
      </c>
      <c r="Y243" s="37" t="str">
        <f t="shared" si="129"/>
        <v xml:space="preserve">  </v>
      </c>
      <c r="Z243" s="36" t="str">
        <f t="shared" si="130"/>
        <v xml:space="preserve">  </v>
      </c>
      <c r="AA243" s="37" t="str">
        <f t="shared" si="131"/>
        <v xml:space="preserve">  </v>
      </c>
      <c r="AB243" s="36" t="str">
        <f t="shared" si="132"/>
        <v xml:space="preserve">  </v>
      </c>
      <c r="AC243" s="37" t="str">
        <f t="shared" si="133"/>
        <v xml:space="preserve">  </v>
      </c>
      <c r="AD243" s="36" t="str">
        <f t="shared" si="134"/>
        <v xml:space="preserve">  </v>
      </c>
      <c r="AE243" s="37" t="str">
        <f t="shared" si="135"/>
        <v xml:space="preserve">  </v>
      </c>
      <c r="AF243" s="38" t="str">
        <f ca="1">_xlfn.IFNA(IF(AG243="",TODAY()+(VLOOKUP(A243,'Date Calcs'!A:G,7,0)*7),VLOOKUP(A243,'Actual Dates'!A:AE,21,FALSE())),"")</f>
        <v/>
      </c>
      <c r="AG243" s="38" t="str">
        <f>IF(VLOOKUP(A243,'Actual Dates'!A:AE,20,0)="","",VLOOKUP(A243,'Actual Dates'!A:AE,20,0))</f>
        <v/>
      </c>
      <c r="AH243" s="38" t="str">
        <f>_xlfn.IFNA(IF($AG243="","",IF(X243="Y","DONE",VLOOKUP(A243,'Ship Date'!A:AE,27,0))),"")</f>
        <v/>
      </c>
      <c r="AI243" s="12">
        <f t="shared" ca="1" si="105"/>
        <v>0</v>
      </c>
      <c r="AJ243" s="38" t="str">
        <f>_xlfn.IFNA(IF($AG243="","",IF(AB243="Y","DONE",VLOOKUP(A243,'Ship Date'!A:AG,29,0))),"")</f>
        <v/>
      </c>
      <c r="AK243" s="12">
        <f t="shared" ca="1" si="106"/>
        <v>0</v>
      </c>
      <c r="AL243" s="38" t="str">
        <f>_xlfn.IFNA(IF($AG243="","",IF(Z243="Y","DONE",VLOOKUP(A243,'Ship Date'!A:AI,28,0))),"")</f>
        <v/>
      </c>
      <c r="AM243" s="12">
        <f t="shared" ca="1" si="107"/>
        <v>0</v>
      </c>
      <c r="AN243" s="38" t="str">
        <f>_xlfn.IFNA(IF(T243="Y","DONE",VLOOKUP(A243,'Ship Date'!A:AE,25,0)),"")</f>
        <v/>
      </c>
      <c r="AO243" s="12">
        <f t="shared" si="108"/>
        <v>0</v>
      </c>
      <c r="AP243" s="38" t="str">
        <f>_xlfn.IFNA(IF(AD243="Y","DONE",VLOOKUP(A243,'Ship Date'!A:AE,30,0)),"")</f>
        <v/>
      </c>
      <c r="AQ243" s="12">
        <f t="shared" ca="1" si="109"/>
        <v>0</v>
      </c>
      <c r="AR243" s="38" t="str">
        <f>IFERROR(_xlfn.IFNA(VLOOKUP(A243,'Ship Date'!A:C,3,0),""),"")</f>
        <v/>
      </c>
      <c r="AS243" s="12" t="str">
        <f t="shared" ca="1" si="110"/>
        <v/>
      </c>
      <c r="AT243" s="38">
        <f>_xlfn.IFNA(IF(VLOOKUP(A243,'Actual Dates'!A:AF,32,0)="N/A"," ",VLOOKUP(A243,'Actual Dates'!A:AF,32,0))," ")</f>
        <v>0</v>
      </c>
      <c r="AU243" s="39"/>
      <c r="AV243" s="38" t="str">
        <f>_xlfn.IFNA(IF(VLOOKUP(A243,'Actual Dates'!A:AE,31,0)="","",VLOOKUP(A243,'Actual Dates'!A:AE,31,0)),"")</f>
        <v/>
      </c>
      <c r="AW243" s="40"/>
    </row>
    <row r="244" spans="1:49" ht="23.25" x14ac:dyDescent="0.25">
      <c r="A244" s="12">
        <f>'Actual Dates'!A243</f>
        <v>0</v>
      </c>
      <c r="B244" s="13" t="str">
        <f t="shared" si="102"/>
        <v/>
      </c>
      <c r="C244" s="35"/>
      <c r="D244" s="36" t="str">
        <f t="shared" si="111"/>
        <v/>
      </c>
      <c r="E244" s="37" t="str">
        <f t="shared" si="112"/>
        <v xml:space="preserve">  </v>
      </c>
      <c r="F244" s="36" t="str">
        <f t="shared" si="113"/>
        <v xml:space="preserve">  </v>
      </c>
      <c r="G244" s="37" t="str">
        <f t="shared" si="114"/>
        <v xml:space="preserve">  </v>
      </c>
      <c r="H244" s="36" t="str">
        <f t="shared" si="103"/>
        <v xml:space="preserve">  </v>
      </c>
      <c r="I244" s="37" t="str">
        <f t="shared" si="115"/>
        <v xml:space="preserve">  </v>
      </c>
      <c r="J244" s="35"/>
      <c r="K244" s="36" t="str">
        <f t="shared" si="116"/>
        <v>Y</v>
      </c>
      <c r="L244" s="37" t="str">
        <f t="shared" si="117"/>
        <v/>
      </c>
      <c r="M244" s="37" t="str">
        <f t="shared" si="104"/>
        <v xml:space="preserve">  </v>
      </c>
      <c r="N244" s="36" t="str">
        <f t="shared" si="118"/>
        <v xml:space="preserve">  </v>
      </c>
      <c r="O244" s="37" t="str">
        <f t="shared" si="119"/>
        <v/>
      </c>
      <c r="P244" s="36" t="str">
        <f t="shared" si="120"/>
        <v xml:space="preserve">  </v>
      </c>
      <c r="Q244" s="37" t="str">
        <f t="shared" si="121"/>
        <v xml:space="preserve">  </v>
      </c>
      <c r="R244" s="36" t="str">
        <f t="shared" si="122"/>
        <v xml:space="preserve">  </v>
      </c>
      <c r="S244" s="37" t="str">
        <f t="shared" si="123"/>
        <v xml:space="preserve">  </v>
      </c>
      <c r="T244" s="36" t="str">
        <f t="shared" si="124"/>
        <v xml:space="preserve">  </v>
      </c>
      <c r="U244" s="37" t="str">
        <f t="shared" si="125"/>
        <v xml:space="preserve">  </v>
      </c>
      <c r="V244" s="36" t="str">
        <f t="shared" si="126"/>
        <v xml:space="preserve">  </v>
      </c>
      <c r="W244" s="37" t="str">
        <f t="shared" si="127"/>
        <v xml:space="preserve">  </v>
      </c>
      <c r="X244" s="36" t="str">
        <f t="shared" si="128"/>
        <v xml:space="preserve">  </v>
      </c>
      <c r="Y244" s="37" t="str">
        <f t="shared" si="129"/>
        <v xml:space="preserve">  </v>
      </c>
      <c r="Z244" s="36" t="str">
        <f t="shared" si="130"/>
        <v xml:space="preserve">  </v>
      </c>
      <c r="AA244" s="37" t="str">
        <f t="shared" si="131"/>
        <v xml:space="preserve">  </v>
      </c>
      <c r="AB244" s="36" t="str">
        <f t="shared" si="132"/>
        <v xml:space="preserve">  </v>
      </c>
      <c r="AC244" s="37" t="str">
        <f t="shared" si="133"/>
        <v xml:space="preserve">  </v>
      </c>
      <c r="AD244" s="36" t="str">
        <f t="shared" si="134"/>
        <v xml:space="preserve">  </v>
      </c>
      <c r="AE244" s="37" t="str">
        <f t="shared" si="135"/>
        <v xml:space="preserve">  </v>
      </c>
      <c r="AF244" s="38" t="str">
        <f ca="1">_xlfn.IFNA(IF(AG244="",TODAY()+(VLOOKUP(A244,'Date Calcs'!A:G,7,0)*7),VLOOKUP(A244,'Actual Dates'!A:AE,21,FALSE())),"")</f>
        <v/>
      </c>
      <c r="AG244" s="38" t="str">
        <f>IF(VLOOKUP(A244,'Actual Dates'!A:AE,20,0)="","",VLOOKUP(A244,'Actual Dates'!A:AE,20,0))</f>
        <v/>
      </c>
      <c r="AH244" s="38" t="str">
        <f>_xlfn.IFNA(IF($AG244="","",IF(X244="Y","DONE",VLOOKUP(A244,'Ship Date'!A:AE,27,0))),"")</f>
        <v/>
      </c>
      <c r="AI244" s="12">
        <f t="shared" ca="1" si="105"/>
        <v>0</v>
      </c>
      <c r="AJ244" s="38" t="str">
        <f>_xlfn.IFNA(IF($AG244="","",IF(AB244="Y","DONE",VLOOKUP(A244,'Ship Date'!A:AG,29,0))),"")</f>
        <v/>
      </c>
      <c r="AK244" s="12">
        <f t="shared" ca="1" si="106"/>
        <v>0</v>
      </c>
      <c r="AL244" s="38" t="str">
        <f>_xlfn.IFNA(IF($AG244="","",IF(Z244="Y","DONE",VLOOKUP(A244,'Ship Date'!A:AI,28,0))),"")</f>
        <v/>
      </c>
      <c r="AM244" s="12">
        <f t="shared" ca="1" si="107"/>
        <v>0</v>
      </c>
      <c r="AN244" s="38" t="str">
        <f>_xlfn.IFNA(IF(T244="Y","DONE",VLOOKUP(A244,'Ship Date'!A:AE,25,0)),"")</f>
        <v/>
      </c>
      <c r="AO244" s="12">
        <f t="shared" si="108"/>
        <v>0</v>
      </c>
      <c r="AP244" s="38" t="str">
        <f>_xlfn.IFNA(IF(AD244="Y","DONE",VLOOKUP(A244,'Ship Date'!A:AE,30,0)),"")</f>
        <v/>
      </c>
      <c r="AQ244" s="12">
        <f t="shared" ca="1" si="109"/>
        <v>0</v>
      </c>
      <c r="AR244" s="38" t="str">
        <f>IFERROR(_xlfn.IFNA(VLOOKUP(A244,'Ship Date'!A:C,3,0),""),"")</f>
        <v/>
      </c>
      <c r="AS244" s="12" t="str">
        <f t="shared" ca="1" si="110"/>
        <v/>
      </c>
      <c r="AT244" s="38">
        <f>_xlfn.IFNA(IF(VLOOKUP(A244,'Actual Dates'!A:AF,32,0)="N/A"," ",VLOOKUP(A244,'Actual Dates'!A:AF,32,0))," ")</f>
        <v>0</v>
      </c>
      <c r="AU244" s="39"/>
      <c r="AV244" s="38" t="str">
        <f>_xlfn.IFNA(IF(VLOOKUP(A244,'Actual Dates'!A:AE,31,0)="","",VLOOKUP(A244,'Actual Dates'!A:AE,31,0)),"")</f>
        <v/>
      </c>
      <c r="AW244" s="40"/>
    </row>
    <row r="245" spans="1:49" ht="23.25" x14ac:dyDescent="0.25">
      <c r="A245" s="12">
        <f>'Actual Dates'!A244</f>
        <v>0</v>
      </c>
      <c r="B245" s="13" t="str">
        <f t="shared" si="102"/>
        <v/>
      </c>
      <c r="C245" s="35"/>
      <c r="D245" s="36" t="str">
        <f t="shared" si="111"/>
        <v/>
      </c>
      <c r="E245" s="37" t="str">
        <f t="shared" si="112"/>
        <v xml:space="preserve">  </v>
      </c>
      <c r="F245" s="36" t="str">
        <f t="shared" si="113"/>
        <v xml:space="preserve">  </v>
      </c>
      <c r="G245" s="37" t="str">
        <f t="shared" si="114"/>
        <v xml:space="preserve">  </v>
      </c>
      <c r="H245" s="36" t="str">
        <f t="shared" si="103"/>
        <v xml:space="preserve">  </v>
      </c>
      <c r="I245" s="37" t="str">
        <f t="shared" si="115"/>
        <v xml:space="preserve">  </v>
      </c>
      <c r="J245" s="35"/>
      <c r="K245" s="36" t="str">
        <f t="shared" si="116"/>
        <v>Y</v>
      </c>
      <c r="L245" s="37" t="str">
        <f t="shared" si="117"/>
        <v/>
      </c>
      <c r="M245" s="37" t="str">
        <f t="shared" si="104"/>
        <v xml:space="preserve">  </v>
      </c>
      <c r="N245" s="36" t="str">
        <f t="shared" si="118"/>
        <v xml:space="preserve">  </v>
      </c>
      <c r="O245" s="37" t="str">
        <f t="shared" si="119"/>
        <v/>
      </c>
      <c r="P245" s="36" t="str">
        <f t="shared" si="120"/>
        <v xml:space="preserve">  </v>
      </c>
      <c r="Q245" s="37" t="str">
        <f t="shared" si="121"/>
        <v xml:space="preserve">  </v>
      </c>
      <c r="R245" s="36" t="str">
        <f t="shared" si="122"/>
        <v xml:space="preserve">  </v>
      </c>
      <c r="S245" s="37" t="str">
        <f t="shared" si="123"/>
        <v xml:space="preserve">  </v>
      </c>
      <c r="T245" s="36" t="str">
        <f t="shared" si="124"/>
        <v xml:space="preserve">  </v>
      </c>
      <c r="U245" s="37" t="str">
        <f t="shared" si="125"/>
        <v xml:space="preserve">  </v>
      </c>
      <c r="V245" s="36" t="str">
        <f t="shared" si="126"/>
        <v xml:space="preserve">  </v>
      </c>
      <c r="W245" s="37" t="str">
        <f t="shared" si="127"/>
        <v xml:space="preserve">  </v>
      </c>
      <c r="X245" s="36" t="str">
        <f t="shared" si="128"/>
        <v xml:space="preserve">  </v>
      </c>
      <c r="Y245" s="37" t="str">
        <f t="shared" si="129"/>
        <v xml:space="preserve">  </v>
      </c>
      <c r="Z245" s="36" t="str">
        <f t="shared" si="130"/>
        <v xml:space="preserve">  </v>
      </c>
      <c r="AA245" s="37" t="str">
        <f t="shared" si="131"/>
        <v xml:space="preserve">  </v>
      </c>
      <c r="AB245" s="36" t="str">
        <f t="shared" si="132"/>
        <v xml:space="preserve">  </v>
      </c>
      <c r="AC245" s="37" t="str">
        <f t="shared" si="133"/>
        <v xml:space="preserve">  </v>
      </c>
      <c r="AD245" s="36" t="str">
        <f t="shared" si="134"/>
        <v xml:space="preserve">  </v>
      </c>
      <c r="AE245" s="37" t="str">
        <f t="shared" si="135"/>
        <v xml:space="preserve">  </v>
      </c>
      <c r="AF245" s="38" t="str">
        <f ca="1">_xlfn.IFNA(IF(AG245="",TODAY()+(VLOOKUP(A245,'Date Calcs'!A:G,7,0)*7),VLOOKUP(A245,'Actual Dates'!A:AE,21,FALSE())),"")</f>
        <v/>
      </c>
      <c r="AG245" s="38" t="str">
        <f>IF(VLOOKUP(A245,'Actual Dates'!A:AE,20,0)="","",VLOOKUP(A245,'Actual Dates'!A:AE,20,0))</f>
        <v/>
      </c>
      <c r="AH245" s="38" t="str">
        <f>_xlfn.IFNA(IF($AG245="","",IF(X245="Y","DONE",VLOOKUP(A245,'Ship Date'!A:AE,27,0))),"")</f>
        <v/>
      </c>
      <c r="AI245" s="12">
        <f t="shared" ca="1" si="105"/>
        <v>0</v>
      </c>
      <c r="AJ245" s="38" t="str">
        <f>_xlfn.IFNA(IF($AG245="","",IF(AB245="Y","DONE",VLOOKUP(A245,'Ship Date'!A:AG,29,0))),"")</f>
        <v/>
      </c>
      <c r="AK245" s="12">
        <f t="shared" ca="1" si="106"/>
        <v>0</v>
      </c>
      <c r="AL245" s="38" t="str">
        <f>_xlfn.IFNA(IF($AG245="","",IF(Z245="Y","DONE",VLOOKUP(A245,'Ship Date'!A:AI,28,0))),"")</f>
        <v/>
      </c>
      <c r="AM245" s="12">
        <f t="shared" ca="1" si="107"/>
        <v>0</v>
      </c>
      <c r="AN245" s="38" t="str">
        <f>_xlfn.IFNA(IF(T245="Y","DONE",VLOOKUP(A245,'Ship Date'!A:AE,25,0)),"")</f>
        <v/>
      </c>
      <c r="AO245" s="12">
        <f t="shared" si="108"/>
        <v>0</v>
      </c>
      <c r="AP245" s="38" t="str">
        <f>_xlfn.IFNA(IF(AD245="Y","DONE",VLOOKUP(A245,'Ship Date'!A:AE,30,0)),"")</f>
        <v/>
      </c>
      <c r="AQ245" s="12">
        <f t="shared" ca="1" si="109"/>
        <v>0</v>
      </c>
      <c r="AR245" s="38" t="str">
        <f>IFERROR(_xlfn.IFNA(VLOOKUP(A245,'Ship Date'!A:C,3,0),""),"")</f>
        <v/>
      </c>
      <c r="AS245" s="12" t="str">
        <f t="shared" ca="1" si="110"/>
        <v/>
      </c>
      <c r="AT245" s="38">
        <f>_xlfn.IFNA(IF(VLOOKUP(A245,'Actual Dates'!A:AF,32,0)="N/A"," ",VLOOKUP(A245,'Actual Dates'!A:AF,32,0))," ")</f>
        <v>0</v>
      </c>
      <c r="AU245" s="39"/>
      <c r="AV245" s="38" t="str">
        <f>_xlfn.IFNA(IF(VLOOKUP(A245,'Actual Dates'!A:AE,31,0)="","",VLOOKUP(A245,'Actual Dates'!A:AE,31,0)),"")</f>
        <v/>
      </c>
      <c r="AW245" s="40"/>
    </row>
    <row r="246" spans="1:49" ht="23.25" x14ac:dyDescent="0.25">
      <c r="A246" s="12">
        <f>'Actual Dates'!A245</f>
        <v>0</v>
      </c>
      <c r="B246" s="13" t="str">
        <f t="shared" si="102"/>
        <v/>
      </c>
      <c r="C246" s="35"/>
      <c r="D246" s="36" t="str">
        <f t="shared" si="111"/>
        <v/>
      </c>
      <c r="E246" s="37" t="str">
        <f t="shared" si="112"/>
        <v xml:space="preserve">  </v>
      </c>
      <c r="F246" s="36" t="str">
        <f t="shared" si="113"/>
        <v xml:space="preserve">  </v>
      </c>
      <c r="G246" s="37" t="str">
        <f t="shared" si="114"/>
        <v xml:space="preserve">  </v>
      </c>
      <c r="H246" s="36" t="str">
        <f t="shared" si="103"/>
        <v xml:space="preserve">  </v>
      </c>
      <c r="I246" s="37" t="str">
        <f t="shared" si="115"/>
        <v xml:space="preserve">  </v>
      </c>
      <c r="J246" s="35"/>
      <c r="K246" s="36" t="str">
        <f t="shared" si="116"/>
        <v>Y</v>
      </c>
      <c r="L246" s="37" t="str">
        <f t="shared" si="117"/>
        <v/>
      </c>
      <c r="M246" s="37" t="str">
        <f t="shared" si="104"/>
        <v xml:space="preserve">  </v>
      </c>
      <c r="N246" s="36" t="str">
        <f t="shared" si="118"/>
        <v xml:space="preserve">  </v>
      </c>
      <c r="O246" s="37" t="str">
        <f t="shared" si="119"/>
        <v/>
      </c>
      <c r="P246" s="36" t="str">
        <f t="shared" si="120"/>
        <v xml:space="preserve">  </v>
      </c>
      <c r="Q246" s="37" t="str">
        <f t="shared" si="121"/>
        <v xml:space="preserve">  </v>
      </c>
      <c r="R246" s="36" t="str">
        <f t="shared" si="122"/>
        <v xml:space="preserve">  </v>
      </c>
      <c r="S246" s="37" t="str">
        <f t="shared" si="123"/>
        <v xml:space="preserve">  </v>
      </c>
      <c r="T246" s="36" t="str">
        <f t="shared" si="124"/>
        <v xml:space="preserve">  </v>
      </c>
      <c r="U246" s="37" t="str">
        <f t="shared" si="125"/>
        <v xml:space="preserve">  </v>
      </c>
      <c r="V246" s="36" t="str">
        <f t="shared" si="126"/>
        <v xml:space="preserve">  </v>
      </c>
      <c r="W246" s="37" t="str">
        <f t="shared" si="127"/>
        <v xml:space="preserve">  </v>
      </c>
      <c r="X246" s="36" t="str">
        <f t="shared" si="128"/>
        <v xml:space="preserve">  </v>
      </c>
      <c r="Y246" s="37" t="str">
        <f t="shared" si="129"/>
        <v xml:space="preserve">  </v>
      </c>
      <c r="Z246" s="36" t="str">
        <f t="shared" si="130"/>
        <v xml:space="preserve">  </v>
      </c>
      <c r="AA246" s="37" t="str">
        <f t="shared" si="131"/>
        <v xml:space="preserve">  </v>
      </c>
      <c r="AB246" s="36" t="str">
        <f t="shared" si="132"/>
        <v xml:space="preserve">  </v>
      </c>
      <c r="AC246" s="37" t="str">
        <f t="shared" si="133"/>
        <v xml:space="preserve">  </v>
      </c>
      <c r="AD246" s="36" t="str">
        <f t="shared" si="134"/>
        <v xml:space="preserve">  </v>
      </c>
      <c r="AE246" s="37" t="str">
        <f t="shared" si="135"/>
        <v xml:space="preserve">  </v>
      </c>
      <c r="AF246" s="38" t="str">
        <f ca="1">_xlfn.IFNA(IF(AG246="",TODAY()+(VLOOKUP(A246,'Date Calcs'!A:G,7,0)*7),VLOOKUP(A246,'Actual Dates'!A:AE,21,FALSE())),"")</f>
        <v/>
      </c>
      <c r="AG246" s="38" t="str">
        <f>IF(VLOOKUP(A246,'Actual Dates'!A:AE,20,0)="","",VLOOKUP(A246,'Actual Dates'!A:AE,20,0))</f>
        <v/>
      </c>
      <c r="AH246" s="38" t="str">
        <f>_xlfn.IFNA(IF($AG246="","",IF(X246="Y","DONE",VLOOKUP(A246,'Ship Date'!A:AE,27,0))),"")</f>
        <v/>
      </c>
      <c r="AI246" s="12">
        <f t="shared" ca="1" si="105"/>
        <v>0</v>
      </c>
      <c r="AJ246" s="38" t="str">
        <f>_xlfn.IFNA(IF($AG246="","",IF(AB246="Y","DONE",VLOOKUP(A246,'Ship Date'!A:AG,29,0))),"")</f>
        <v/>
      </c>
      <c r="AK246" s="12">
        <f t="shared" ca="1" si="106"/>
        <v>0</v>
      </c>
      <c r="AL246" s="38" t="str">
        <f>_xlfn.IFNA(IF($AG246="","",IF(Z246="Y","DONE",VLOOKUP(A246,'Ship Date'!A:AI,28,0))),"")</f>
        <v/>
      </c>
      <c r="AM246" s="12">
        <f t="shared" ca="1" si="107"/>
        <v>0</v>
      </c>
      <c r="AN246" s="38" t="str">
        <f>_xlfn.IFNA(IF(T246="Y","DONE",VLOOKUP(A246,'Ship Date'!A:AE,25,0)),"")</f>
        <v/>
      </c>
      <c r="AO246" s="12">
        <f t="shared" si="108"/>
        <v>0</v>
      </c>
      <c r="AP246" s="38" t="str">
        <f>_xlfn.IFNA(IF(AD246="Y","DONE",VLOOKUP(A246,'Ship Date'!A:AE,30,0)),"")</f>
        <v/>
      </c>
      <c r="AQ246" s="12">
        <f t="shared" ca="1" si="109"/>
        <v>0</v>
      </c>
      <c r="AR246" s="38" t="str">
        <f>IFERROR(_xlfn.IFNA(VLOOKUP(A246,'Ship Date'!A:C,3,0),""),"")</f>
        <v/>
      </c>
      <c r="AS246" s="12" t="str">
        <f t="shared" ca="1" si="110"/>
        <v/>
      </c>
      <c r="AT246" s="38">
        <f>_xlfn.IFNA(IF(VLOOKUP(A246,'Actual Dates'!A:AF,32,0)="N/A"," ",VLOOKUP(A246,'Actual Dates'!A:AF,32,0))," ")</f>
        <v>0</v>
      </c>
      <c r="AU246" s="39"/>
      <c r="AV246" s="38" t="str">
        <f>_xlfn.IFNA(IF(VLOOKUP(A246,'Actual Dates'!A:AE,31,0)="","",VLOOKUP(A246,'Actual Dates'!A:AE,31,0)),"")</f>
        <v/>
      </c>
      <c r="AW246" s="40"/>
    </row>
    <row r="247" spans="1:49" ht="23.25" x14ac:dyDescent="0.25">
      <c r="A247" s="12">
        <f>'Actual Dates'!A246</f>
        <v>0</v>
      </c>
      <c r="B247" s="13" t="str">
        <f t="shared" si="102"/>
        <v/>
      </c>
      <c r="C247" s="35"/>
      <c r="D247" s="36" t="str">
        <f t="shared" si="111"/>
        <v/>
      </c>
      <c r="E247" s="37" t="str">
        <f t="shared" si="112"/>
        <v xml:space="preserve">  </v>
      </c>
      <c r="F247" s="36" t="str">
        <f t="shared" si="113"/>
        <v xml:space="preserve">  </v>
      </c>
      <c r="G247" s="37" t="str">
        <f t="shared" si="114"/>
        <v xml:space="preserve">  </v>
      </c>
      <c r="H247" s="36" t="str">
        <f t="shared" si="103"/>
        <v xml:space="preserve">  </v>
      </c>
      <c r="I247" s="37" t="str">
        <f t="shared" si="115"/>
        <v xml:space="preserve">  </v>
      </c>
      <c r="J247" s="35"/>
      <c r="K247" s="36" t="str">
        <f t="shared" si="116"/>
        <v>Y</v>
      </c>
      <c r="L247" s="37" t="str">
        <f t="shared" si="117"/>
        <v/>
      </c>
      <c r="M247" s="37" t="str">
        <f t="shared" si="104"/>
        <v xml:space="preserve">  </v>
      </c>
      <c r="N247" s="36" t="str">
        <f t="shared" si="118"/>
        <v xml:space="preserve">  </v>
      </c>
      <c r="O247" s="37" t="str">
        <f t="shared" si="119"/>
        <v/>
      </c>
      <c r="P247" s="36" t="str">
        <f t="shared" si="120"/>
        <v xml:space="preserve">  </v>
      </c>
      <c r="Q247" s="37" t="str">
        <f t="shared" si="121"/>
        <v xml:space="preserve">  </v>
      </c>
      <c r="R247" s="36" t="str">
        <f t="shared" si="122"/>
        <v xml:space="preserve">  </v>
      </c>
      <c r="S247" s="37" t="str">
        <f t="shared" si="123"/>
        <v xml:space="preserve">  </v>
      </c>
      <c r="T247" s="36" t="str">
        <f t="shared" si="124"/>
        <v xml:space="preserve">  </v>
      </c>
      <c r="U247" s="37" t="str">
        <f t="shared" si="125"/>
        <v xml:space="preserve">  </v>
      </c>
      <c r="V247" s="36" t="str">
        <f t="shared" si="126"/>
        <v xml:space="preserve">  </v>
      </c>
      <c r="W247" s="37" t="str">
        <f t="shared" si="127"/>
        <v xml:space="preserve">  </v>
      </c>
      <c r="X247" s="36" t="str">
        <f t="shared" si="128"/>
        <v xml:space="preserve">  </v>
      </c>
      <c r="Y247" s="37" t="str">
        <f t="shared" si="129"/>
        <v xml:space="preserve">  </v>
      </c>
      <c r="Z247" s="36" t="str">
        <f t="shared" si="130"/>
        <v xml:space="preserve">  </v>
      </c>
      <c r="AA247" s="37" t="str">
        <f t="shared" si="131"/>
        <v xml:space="preserve">  </v>
      </c>
      <c r="AB247" s="36" t="str">
        <f t="shared" si="132"/>
        <v xml:space="preserve">  </v>
      </c>
      <c r="AC247" s="37" t="str">
        <f t="shared" si="133"/>
        <v xml:space="preserve">  </v>
      </c>
      <c r="AD247" s="36" t="str">
        <f t="shared" si="134"/>
        <v xml:space="preserve">  </v>
      </c>
      <c r="AE247" s="37" t="str">
        <f t="shared" si="135"/>
        <v xml:space="preserve">  </v>
      </c>
      <c r="AF247" s="38" t="str">
        <f ca="1">_xlfn.IFNA(IF(AG247="",TODAY()+(VLOOKUP(A247,'Date Calcs'!A:G,7,0)*7),VLOOKUP(A247,'Actual Dates'!A:AE,21,FALSE())),"")</f>
        <v/>
      </c>
      <c r="AG247" s="38" t="str">
        <f>IF(VLOOKUP(A247,'Actual Dates'!A:AE,20,0)="","",VLOOKUP(A247,'Actual Dates'!A:AE,20,0))</f>
        <v/>
      </c>
      <c r="AH247" s="38" t="str">
        <f>_xlfn.IFNA(IF($AG247="","",IF(X247="Y","DONE",VLOOKUP(A247,'Ship Date'!A:AE,27,0))),"")</f>
        <v/>
      </c>
      <c r="AI247" s="12">
        <f t="shared" ca="1" si="105"/>
        <v>0</v>
      </c>
      <c r="AJ247" s="38" t="str">
        <f>_xlfn.IFNA(IF($AG247="","",IF(AB247="Y","DONE",VLOOKUP(A247,'Ship Date'!A:AG,29,0))),"")</f>
        <v/>
      </c>
      <c r="AK247" s="12">
        <f t="shared" ca="1" si="106"/>
        <v>0</v>
      </c>
      <c r="AL247" s="38" t="str">
        <f>_xlfn.IFNA(IF($AG247="","",IF(Z247="Y","DONE",VLOOKUP(A247,'Ship Date'!A:AI,28,0))),"")</f>
        <v/>
      </c>
      <c r="AM247" s="12">
        <f t="shared" ca="1" si="107"/>
        <v>0</v>
      </c>
      <c r="AN247" s="38" t="str">
        <f>_xlfn.IFNA(IF(T247="Y","DONE",VLOOKUP(A247,'Ship Date'!A:AE,25,0)),"")</f>
        <v/>
      </c>
      <c r="AO247" s="12">
        <f t="shared" si="108"/>
        <v>0</v>
      </c>
      <c r="AP247" s="38" t="str">
        <f>_xlfn.IFNA(IF(AD247="Y","DONE",VLOOKUP(A247,'Ship Date'!A:AE,30,0)),"")</f>
        <v/>
      </c>
      <c r="AQ247" s="12">
        <f t="shared" ca="1" si="109"/>
        <v>0</v>
      </c>
      <c r="AR247" s="38" t="str">
        <f>IFERROR(_xlfn.IFNA(VLOOKUP(A247,'Ship Date'!A:C,3,0),""),"")</f>
        <v/>
      </c>
      <c r="AS247" s="12" t="str">
        <f t="shared" ca="1" si="110"/>
        <v/>
      </c>
      <c r="AT247" s="38">
        <f>_xlfn.IFNA(IF(VLOOKUP(A247,'Actual Dates'!A:AF,32,0)="N/A"," ",VLOOKUP(A247,'Actual Dates'!A:AF,32,0))," ")</f>
        <v>0</v>
      </c>
      <c r="AU247" s="39"/>
      <c r="AV247" s="38" t="str">
        <f>_xlfn.IFNA(IF(VLOOKUP(A247,'Actual Dates'!A:AE,31,0)="","",VLOOKUP(A247,'Actual Dates'!A:AE,31,0)),"")</f>
        <v/>
      </c>
      <c r="AW247" s="40"/>
    </row>
    <row r="248" spans="1:49" ht="23.25" x14ac:dyDescent="0.25">
      <c r="A248" s="12">
        <f>'Actual Dates'!A247</f>
        <v>0</v>
      </c>
      <c r="B248" s="13" t="str">
        <f t="shared" si="102"/>
        <v/>
      </c>
      <c r="C248" s="35"/>
      <c r="D248" s="36" t="str">
        <f t="shared" si="111"/>
        <v/>
      </c>
      <c r="E248" s="37" t="str">
        <f t="shared" si="112"/>
        <v xml:space="preserve">  </v>
      </c>
      <c r="F248" s="36" t="str">
        <f t="shared" si="113"/>
        <v xml:space="preserve">  </v>
      </c>
      <c r="G248" s="37" t="str">
        <f t="shared" si="114"/>
        <v xml:space="preserve">  </v>
      </c>
      <c r="H248" s="36" t="str">
        <f t="shared" si="103"/>
        <v xml:space="preserve">  </v>
      </c>
      <c r="I248" s="37" t="str">
        <f t="shared" si="115"/>
        <v xml:space="preserve">  </v>
      </c>
      <c r="J248" s="35"/>
      <c r="K248" s="36" t="str">
        <f t="shared" si="116"/>
        <v>Y</v>
      </c>
      <c r="L248" s="37" t="str">
        <f t="shared" si="117"/>
        <v/>
      </c>
      <c r="M248" s="37" t="str">
        <f t="shared" si="104"/>
        <v xml:space="preserve">  </v>
      </c>
      <c r="N248" s="36" t="str">
        <f t="shared" si="118"/>
        <v xml:space="preserve">  </v>
      </c>
      <c r="O248" s="37" t="str">
        <f t="shared" si="119"/>
        <v/>
      </c>
      <c r="P248" s="36" t="str">
        <f t="shared" si="120"/>
        <v xml:space="preserve">  </v>
      </c>
      <c r="Q248" s="37" t="str">
        <f t="shared" si="121"/>
        <v xml:space="preserve">  </v>
      </c>
      <c r="R248" s="36" t="str">
        <f t="shared" si="122"/>
        <v xml:space="preserve">  </v>
      </c>
      <c r="S248" s="37" t="str">
        <f t="shared" si="123"/>
        <v xml:space="preserve">  </v>
      </c>
      <c r="T248" s="36" t="str">
        <f t="shared" si="124"/>
        <v xml:space="preserve">  </v>
      </c>
      <c r="U248" s="37" t="str">
        <f t="shared" si="125"/>
        <v xml:space="preserve">  </v>
      </c>
      <c r="V248" s="36" t="str">
        <f t="shared" si="126"/>
        <v xml:space="preserve">  </v>
      </c>
      <c r="W248" s="37" t="str">
        <f t="shared" si="127"/>
        <v xml:space="preserve">  </v>
      </c>
      <c r="X248" s="36" t="str">
        <f t="shared" si="128"/>
        <v xml:space="preserve">  </v>
      </c>
      <c r="Y248" s="37" t="str">
        <f t="shared" si="129"/>
        <v xml:space="preserve">  </v>
      </c>
      <c r="Z248" s="36" t="str">
        <f t="shared" si="130"/>
        <v xml:space="preserve">  </v>
      </c>
      <c r="AA248" s="37" t="str">
        <f t="shared" si="131"/>
        <v xml:space="preserve">  </v>
      </c>
      <c r="AB248" s="36" t="str">
        <f t="shared" si="132"/>
        <v xml:space="preserve">  </v>
      </c>
      <c r="AC248" s="37" t="str">
        <f t="shared" si="133"/>
        <v xml:space="preserve">  </v>
      </c>
      <c r="AD248" s="36" t="str">
        <f t="shared" si="134"/>
        <v xml:space="preserve">  </v>
      </c>
      <c r="AE248" s="37" t="str">
        <f t="shared" si="135"/>
        <v xml:space="preserve">  </v>
      </c>
      <c r="AF248" s="38" t="str">
        <f ca="1">_xlfn.IFNA(IF(AG248="",TODAY()+(VLOOKUP(A248,'Date Calcs'!A:G,7,0)*7),VLOOKUP(A248,'Actual Dates'!A:AE,21,FALSE())),"")</f>
        <v/>
      </c>
      <c r="AG248" s="38" t="str">
        <f>IF(VLOOKUP(A248,'Actual Dates'!A:AE,20,0)="","",VLOOKUP(A248,'Actual Dates'!A:AE,20,0))</f>
        <v/>
      </c>
      <c r="AH248" s="38" t="str">
        <f>_xlfn.IFNA(IF($AG248="","",IF(X248="Y","DONE",VLOOKUP(A248,'Ship Date'!A:AE,27,0))),"")</f>
        <v/>
      </c>
      <c r="AI248" s="12">
        <f t="shared" ca="1" si="105"/>
        <v>0</v>
      </c>
      <c r="AJ248" s="38" t="str">
        <f>_xlfn.IFNA(IF($AG248="","",IF(AB248="Y","DONE",VLOOKUP(A248,'Ship Date'!A:AG,29,0))),"")</f>
        <v/>
      </c>
      <c r="AK248" s="12">
        <f t="shared" ca="1" si="106"/>
        <v>0</v>
      </c>
      <c r="AL248" s="38" t="str">
        <f>_xlfn.IFNA(IF($AG248="","",IF(Z248="Y","DONE",VLOOKUP(A248,'Ship Date'!A:AI,28,0))),"")</f>
        <v/>
      </c>
      <c r="AM248" s="12">
        <f t="shared" ca="1" si="107"/>
        <v>0</v>
      </c>
      <c r="AN248" s="38" t="str">
        <f>_xlfn.IFNA(IF(T248="Y","DONE",VLOOKUP(A248,'Ship Date'!A:AE,25,0)),"")</f>
        <v/>
      </c>
      <c r="AO248" s="12">
        <f t="shared" si="108"/>
        <v>0</v>
      </c>
      <c r="AP248" s="38" t="str">
        <f>_xlfn.IFNA(IF(AD248="Y","DONE",VLOOKUP(A248,'Ship Date'!A:AE,30,0)),"")</f>
        <v/>
      </c>
      <c r="AQ248" s="12">
        <f t="shared" ca="1" si="109"/>
        <v>0</v>
      </c>
      <c r="AR248" s="38" t="str">
        <f>IFERROR(_xlfn.IFNA(VLOOKUP(A248,'Ship Date'!A:C,3,0),""),"")</f>
        <v/>
      </c>
      <c r="AS248" s="12" t="str">
        <f t="shared" ca="1" si="110"/>
        <v/>
      </c>
      <c r="AT248" s="38">
        <f>_xlfn.IFNA(IF(VLOOKUP(A248,'Actual Dates'!A:AF,32,0)="N/A"," ",VLOOKUP(A248,'Actual Dates'!A:AF,32,0))," ")</f>
        <v>0</v>
      </c>
      <c r="AU248" s="39"/>
      <c r="AV248" s="38" t="str">
        <f>_xlfn.IFNA(IF(VLOOKUP(A248,'Actual Dates'!A:AE,31,0)="","",VLOOKUP(A248,'Actual Dates'!A:AE,31,0)),"")</f>
        <v/>
      </c>
      <c r="AW248" s="40"/>
    </row>
    <row r="249" spans="1:49" ht="23.25" x14ac:dyDescent="0.25">
      <c r="A249" s="12">
        <f>'Actual Dates'!A248</f>
        <v>0</v>
      </c>
      <c r="B249" s="13" t="str">
        <f t="shared" si="102"/>
        <v/>
      </c>
      <c r="C249" s="35"/>
      <c r="D249" s="36" t="str">
        <f t="shared" si="111"/>
        <v/>
      </c>
      <c r="E249" s="37" t="str">
        <f t="shared" si="112"/>
        <v xml:space="preserve">  </v>
      </c>
      <c r="F249" s="36" t="str">
        <f t="shared" si="113"/>
        <v xml:space="preserve">  </v>
      </c>
      <c r="G249" s="37" t="str">
        <f t="shared" si="114"/>
        <v xml:space="preserve">  </v>
      </c>
      <c r="H249" s="36" t="str">
        <f t="shared" si="103"/>
        <v xml:space="preserve">  </v>
      </c>
      <c r="I249" s="37" t="str">
        <f t="shared" si="115"/>
        <v xml:space="preserve">  </v>
      </c>
      <c r="J249" s="35"/>
      <c r="K249" s="36" t="str">
        <f t="shared" si="116"/>
        <v>Y</v>
      </c>
      <c r="L249" s="37" t="str">
        <f t="shared" si="117"/>
        <v/>
      </c>
      <c r="M249" s="37" t="str">
        <f t="shared" si="104"/>
        <v xml:space="preserve">  </v>
      </c>
      <c r="N249" s="36" t="str">
        <f t="shared" si="118"/>
        <v xml:space="preserve">  </v>
      </c>
      <c r="O249" s="37" t="str">
        <f t="shared" si="119"/>
        <v/>
      </c>
      <c r="P249" s="36" t="str">
        <f t="shared" si="120"/>
        <v xml:space="preserve">  </v>
      </c>
      <c r="Q249" s="37" t="str">
        <f t="shared" si="121"/>
        <v xml:space="preserve">  </v>
      </c>
      <c r="R249" s="36" t="str">
        <f t="shared" si="122"/>
        <v xml:space="preserve">  </v>
      </c>
      <c r="S249" s="37" t="str">
        <f t="shared" si="123"/>
        <v xml:space="preserve">  </v>
      </c>
      <c r="T249" s="36" t="str">
        <f t="shared" si="124"/>
        <v xml:space="preserve">  </v>
      </c>
      <c r="U249" s="37" t="str">
        <f t="shared" si="125"/>
        <v xml:space="preserve">  </v>
      </c>
      <c r="V249" s="36" t="str">
        <f t="shared" si="126"/>
        <v xml:space="preserve">  </v>
      </c>
      <c r="W249" s="37" t="str">
        <f t="shared" si="127"/>
        <v xml:space="preserve">  </v>
      </c>
      <c r="X249" s="36" t="str">
        <f t="shared" si="128"/>
        <v xml:space="preserve">  </v>
      </c>
      <c r="Y249" s="37" t="str">
        <f t="shared" si="129"/>
        <v xml:space="preserve">  </v>
      </c>
      <c r="Z249" s="36" t="str">
        <f t="shared" si="130"/>
        <v xml:space="preserve">  </v>
      </c>
      <c r="AA249" s="37" t="str">
        <f t="shared" si="131"/>
        <v xml:space="preserve">  </v>
      </c>
      <c r="AB249" s="36" t="str">
        <f t="shared" si="132"/>
        <v xml:space="preserve">  </v>
      </c>
      <c r="AC249" s="37" t="str">
        <f t="shared" si="133"/>
        <v xml:space="preserve">  </v>
      </c>
      <c r="AD249" s="36" t="str">
        <f t="shared" si="134"/>
        <v xml:space="preserve">  </v>
      </c>
      <c r="AE249" s="37" t="str">
        <f t="shared" si="135"/>
        <v xml:space="preserve">  </v>
      </c>
      <c r="AF249" s="38" t="str">
        <f ca="1">_xlfn.IFNA(IF(AG249="",TODAY()+(VLOOKUP(A249,'Date Calcs'!A:G,7,0)*7),VLOOKUP(A249,'Actual Dates'!A:AE,21,FALSE())),"")</f>
        <v/>
      </c>
      <c r="AG249" s="38" t="str">
        <f>IF(VLOOKUP(A249,'Actual Dates'!A:AE,20,0)="","",VLOOKUP(A249,'Actual Dates'!A:AE,20,0))</f>
        <v/>
      </c>
      <c r="AH249" s="38" t="str">
        <f>_xlfn.IFNA(IF($AG249="","",IF(X249="Y","DONE",VLOOKUP(A249,'Ship Date'!A:AE,27,0))),"")</f>
        <v/>
      </c>
      <c r="AI249" s="12">
        <f t="shared" ca="1" si="105"/>
        <v>0</v>
      </c>
      <c r="AJ249" s="38" t="str">
        <f>_xlfn.IFNA(IF($AG249="","",IF(AB249="Y","DONE",VLOOKUP(A249,'Ship Date'!A:AG,29,0))),"")</f>
        <v/>
      </c>
      <c r="AK249" s="12">
        <f t="shared" ca="1" si="106"/>
        <v>0</v>
      </c>
      <c r="AL249" s="38" t="str">
        <f>_xlfn.IFNA(IF($AG249="","",IF(Z249="Y","DONE",VLOOKUP(A249,'Ship Date'!A:AI,28,0))),"")</f>
        <v/>
      </c>
      <c r="AM249" s="12">
        <f t="shared" ca="1" si="107"/>
        <v>0</v>
      </c>
      <c r="AN249" s="38" t="str">
        <f>_xlfn.IFNA(IF(T249="Y","DONE",VLOOKUP(A249,'Ship Date'!A:AE,25,0)),"")</f>
        <v/>
      </c>
      <c r="AO249" s="12">
        <f t="shared" si="108"/>
        <v>0</v>
      </c>
      <c r="AP249" s="38" t="str">
        <f>_xlfn.IFNA(IF(AD249="Y","DONE",VLOOKUP(A249,'Ship Date'!A:AE,30,0)),"")</f>
        <v/>
      </c>
      <c r="AQ249" s="12">
        <f t="shared" ca="1" si="109"/>
        <v>0</v>
      </c>
      <c r="AR249" s="38" t="str">
        <f>IFERROR(_xlfn.IFNA(VLOOKUP(A249,'Ship Date'!A:C,3,0),""),"")</f>
        <v/>
      </c>
      <c r="AS249" s="12" t="str">
        <f t="shared" ca="1" si="110"/>
        <v/>
      </c>
      <c r="AT249" s="38">
        <f>_xlfn.IFNA(IF(VLOOKUP(A249,'Actual Dates'!A:AF,32,0)="N/A"," ",VLOOKUP(A249,'Actual Dates'!A:AF,32,0))," ")</f>
        <v>0</v>
      </c>
      <c r="AU249" s="39"/>
      <c r="AV249" s="38" t="str">
        <f>_xlfn.IFNA(IF(VLOOKUP(A249,'Actual Dates'!A:AE,31,0)="","",VLOOKUP(A249,'Actual Dates'!A:AE,31,0)),"")</f>
        <v/>
      </c>
      <c r="AW249" s="40"/>
    </row>
    <row r="250" spans="1:49" ht="23.25" x14ac:dyDescent="0.25">
      <c r="A250" s="12">
        <f>'Actual Dates'!A249</f>
        <v>0</v>
      </c>
      <c r="B250" s="13" t="str">
        <f t="shared" si="102"/>
        <v/>
      </c>
      <c r="C250" s="35"/>
      <c r="D250" s="36" t="str">
        <f t="shared" si="111"/>
        <v/>
      </c>
      <c r="E250" s="37" t="str">
        <f t="shared" si="112"/>
        <v xml:space="preserve">  </v>
      </c>
      <c r="F250" s="36" t="str">
        <f t="shared" si="113"/>
        <v xml:space="preserve">  </v>
      </c>
      <c r="G250" s="37" t="str">
        <f t="shared" si="114"/>
        <v xml:space="preserve">  </v>
      </c>
      <c r="H250" s="36" t="str">
        <f t="shared" si="103"/>
        <v xml:space="preserve">  </v>
      </c>
      <c r="I250" s="37" t="str">
        <f t="shared" si="115"/>
        <v xml:space="preserve">  </v>
      </c>
      <c r="J250" s="35"/>
      <c r="K250" s="36" t="str">
        <f t="shared" si="116"/>
        <v>Y</v>
      </c>
      <c r="L250" s="37" t="str">
        <f t="shared" si="117"/>
        <v/>
      </c>
      <c r="M250" s="37" t="str">
        <f t="shared" si="104"/>
        <v xml:space="preserve">  </v>
      </c>
      <c r="N250" s="36" t="str">
        <f t="shared" si="118"/>
        <v xml:space="preserve">  </v>
      </c>
      <c r="O250" s="37" t="str">
        <f t="shared" si="119"/>
        <v/>
      </c>
      <c r="P250" s="36" t="str">
        <f t="shared" si="120"/>
        <v xml:space="preserve">  </v>
      </c>
      <c r="Q250" s="37" t="str">
        <f t="shared" si="121"/>
        <v xml:space="preserve">  </v>
      </c>
      <c r="R250" s="36" t="str">
        <f t="shared" si="122"/>
        <v xml:space="preserve">  </v>
      </c>
      <c r="S250" s="37" t="str">
        <f t="shared" si="123"/>
        <v xml:space="preserve">  </v>
      </c>
      <c r="T250" s="36" t="str">
        <f t="shared" si="124"/>
        <v xml:space="preserve">  </v>
      </c>
      <c r="U250" s="37" t="str">
        <f t="shared" si="125"/>
        <v xml:space="preserve">  </v>
      </c>
      <c r="V250" s="36" t="str">
        <f t="shared" si="126"/>
        <v xml:space="preserve">  </v>
      </c>
      <c r="W250" s="37" t="str">
        <f t="shared" si="127"/>
        <v xml:space="preserve">  </v>
      </c>
      <c r="X250" s="36" t="str">
        <f t="shared" si="128"/>
        <v xml:space="preserve">  </v>
      </c>
      <c r="Y250" s="37" t="str">
        <f t="shared" si="129"/>
        <v xml:space="preserve">  </v>
      </c>
      <c r="Z250" s="36" t="str">
        <f t="shared" si="130"/>
        <v xml:space="preserve">  </v>
      </c>
      <c r="AA250" s="37" t="str">
        <f t="shared" si="131"/>
        <v xml:space="preserve">  </v>
      </c>
      <c r="AB250" s="36" t="str">
        <f t="shared" si="132"/>
        <v xml:space="preserve">  </v>
      </c>
      <c r="AC250" s="37" t="str">
        <f t="shared" si="133"/>
        <v xml:space="preserve">  </v>
      </c>
      <c r="AD250" s="36" t="str">
        <f t="shared" si="134"/>
        <v xml:space="preserve">  </v>
      </c>
      <c r="AE250" s="37" t="str">
        <f t="shared" si="135"/>
        <v xml:space="preserve">  </v>
      </c>
      <c r="AF250" s="38" t="str">
        <f ca="1">_xlfn.IFNA(IF(AG250="",TODAY()+(VLOOKUP(A250,'Date Calcs'!A:G,7,0)*7),VLOOKUP(A250,'Actual Dates'!A:AE,21,FALSE())),"")</f>
        <v/>
      </c>
      <c r="AG250" s="38" t="str">
        <f>IF(VLOOKUP(A250,'Actual Dates'!A:AE,20,0)="","",VLOOKUP(A250,'Actual Dates'!A:AE,20,0))</f>
        <v/>
      </c>
      <c r="AH250" s="38" t="str">
        <f>_xlfn.IFNA(IF($AG250="","",IF(X250="Y","DONE",VLOOKUP(A250,'Ship Date'!A:AE,27,0))),"")</f>
        <v/>
      </c>
      <c r="AI250" s="12">
        <f t="shared" ca="1" si="105"/>
        <v>0</v>
      </c>
      <c r="AJ250" s="38" t="str">
        <f>_xlfn.IFNA(IF($AG250="","",IF(AB250="Y","DONE",VLOOKUP(A250,'Ship Date'!A:AG,29,0))),"")</f>
        <v/>
      </c>
      <c r="AK250" s="12">
        <f t="shared" ca="1" si="106"/>
        <v>0</v>
      </c>
      <c r="AL250" s="38" t="str">
        <f>_xlfn.IFNA(IF($AG250="","",IF(Z250="Y","DONE",VLOOKUP(A250,'Ship Date'!A:AI,28,0))),"")</f>
        <v/>
      </c>
      <c r="AM250" s="12">
        <f t="shared" ca="1" si="107"/>
        <v>0</v>
      </c>
      <c r="AN250" s="38" t="str">
        <f>_xlfn.IFNA(IF(T250="Y","DONE",VLOOKUP(A250,'Ship Date'!A:AE,25,0)),"")</f>
        <v/>
      </c>
      <c r="AO250" s="12">
        <f t="shared" si="108"/>
        <v>0</v>
      </c>
      <c r="AP250" s="38" t="str">
        <f>_xlfn.IFNA(IF(AD250="Y","DONE",VLOOKUP(A250,'Ship Date'!A:AE,30,0)),"")</f>
        <v/>
      </c>
      <c r="AQ250" s="12">
        <f t="shared" ca="1" si="109"/>
        <v>0</v>
      </c>
      <c r="AR250" s="38" t="str">
        <f>IFERROR(_xlfn.IFNA(VLOOKUP(A250,'Ship Date'!A:C,3,0),""),"")</f>
        <v/>
      </c>
      <c r="AS250" s="12" t="str">
        <f t="shared" ca="1" si="110"/>
        <v/>
      </c>
      <c r="AT250" s="38">
        <f>_xlfn.IFNA(IF(VLOOKUP(A250,'Actual Dates'!A:AF,32,0)="N/A"," ",VLOOKUP(A250,'Actual Dates'!A:AF,32,0))," ")</f>
        <v>0</v>
      </c>
      <c r="AU250" s="39"/>
      <c r="AV250" s="38" t="str">
        <f>_xlfn.IFNA(IF(VLOOKUP(A250,'Actual Dates'!A:AE,31,0)="","",VLOOKUP(A250,'Actual Dates'!A:AE,31,0)),"")</f>
        <v/>
      </c>
      <c r="AW250" s="40"/>
    </row>
    <row r="251" spans="1:49" ht="23.25" x14ac:dyDescent="0.25">
      <c r="A251" s="12">
        <f>'Actual Dates'!A250</f>
        <v>0</v>
      </c>
      <c r="B251" s="13" t="str">
        <f t="shared" si="102"/>
        <v/>
      </c>
      <c r="C251" s="35"/>
      <c r="D251" s="36" t="str">
        <f t="shared" si="111"/>
        <v/>
      </c>
      <c r="E251" s="37" t="str">
        <f t="shared" si="112"/>
        <v xml:space="preserve">  </v>
      </c>
      <c r="F251" s="36" t="str">
        <f t="shared" si="113"/>
        <v xml:space="preserve">  </v>
      </c>
      <c r="G251" s="37" t="str">
        <f t="shared" si="114"/>
        <v xml:space="preserve">  </v>
      </c>
      <c r="H251" s="36" t="str">
        <f t="shared" si="103"/>
        <v xml:space="preserve">  </v>
      </c>
      <c r="I251" s="37" t="str">
        <f t="shared" si="115"/>
        <v xml:space="preserve">  </v>
      </c>
      <c r="J251" s="35"/>
      <c r="K251" s="36" t="str">
        <f t="shared" si="116"/>
        <v>Y</v>
      </c>
      <c r="L251" s="37" t="str">
        <f t="shared" si="117"/>
        <v/>
      </c>
      <c r="M251" s="37" t="str">
        <f t="shared" si="104"/>
        <v xml:space="preserve">  </v>
      </c>
      <c r="N251" s="36" t="str">
        <f t="shared" si="118"/>
        <v xml:space="preserve">  </v>
      </c>
      <c r="O251" s="37" t="str">
        <f t="shared" si="119"/>
        <v/>
      </c>
      <c r="P251" s="36" t="str">
        <f t="shared" si="120"/>
        <v xml:space="preserve">  </v>
      </c>
      <c r="Q251" s="37" t="str">
        <f t="shared" si="121"/>
        <v xml:space="preserve">  </v>
      </c>
      <c r="R251" s="36" t="str">
        <f t="shared" si="122"/>
        <v xml:space="preserve">  </v>
      </c>
      <c r="S251" s="37" t="str">
        <f t="shared" si="123"/>
        <v xml:space="preserve">  </v>
      </c>
      <c r="T251" s="36" t="str">
        <f t="shared" si="124"/>
        <v xml:space="preserve">  </v>
      </c>
      <c r="U251" s="37" t="str">
        <f t="shared" si="125"/>
        <v xml:space="preserve">  </v>
      </c>
      <c r="V251" s="36" t="str">
        <f t="shared" si="126"/>
        <v xml:space="preserve">  </v>
      </c>
      <c r="W251" s="37" t="str">
        <f t="shared" si="127"/>
        <v xml:space="preserve">  </v>
      </c>
      <c r="X251" s="36" t="str">
        <f t="shared" si="128"/>
        <v xml:space="preserve">  </v>
      </c>
      <c r="Y251" s="37" t="str">
        <f t="shared" si="129"/>
        <v xml:space="preserve">  </v>
      </c>
      <c r="Z251" s="36" t="str">
        <f t="shared" si="130"/>
        <v xml:space="preserve">  </v>
      </c>
      <c r="AA251" s="37" t="str">
        <f t="shared" si="131"/>
        <v xml:space="preserve">  </v>
      </c>
      <c r="AB251" s="36" t="str">
        <f t="shared" si="132"/>
        <v xml:space="preserve">  </v>
      </c>
      <c r="AC251" s="37" t="str">
        <f t="shared" si="133"/>
        <v xml:space="preserve">  </v>
      </c>
      <c r="AD251" s="36" t="str">
        <f t="shared" si="134"/>
        <v xml:space="preserve">  </v>
      </c>
      <c r="AE251" s="37" t="str">
        <f t="shared" si="135"/>
        <v xml:space="preserve">  </v>
      </c>
      <c r="AF251" s="38" t="str">
        <f ca="1">_xlfn.IFNA(IF(AG251="",TODAY()+(VLOOKUP(A251,'Date Calcs'!A:G,7,0)*7),VLOOKUP(A251,'Actual Dates'!A:AE,21,FALSE())),"")</f>
        <v/>
      </c>
      <c r="AG251" s="38" t="str">
        <f>IF(VLOOKUP(A251,'Actual Dates'!A:AE,20,0)="","",VLOOKUP(A251,'Actual Dates'!A:AE,20,0))</f>
        <v/>
      </c>
      <c r="AH251" s="38" t="str">
        <f>_xlfn.IFNA(IF($AG251="","",IF(X251="Y","DONE",VLOOKUP(A251,'Ship Date'!A:AE,27,0))),"")</f>
        <v/>
      </c>
      <c r="AI251" s="12">
        <f t="shared" ca="1" si="105"/>
        <v>0</v>
      </c>
      <c r="AJ251" s="38" t="str">
        <f>_xlfn.IFNA(IF($AG251="","",IF(AB251="Y","DONE",VLOOKUP(A251,'Ship Date'!A:AG,29,0))),"")</f>
        <v/>
      </c>
      <c r="AK251" s="12">
        <f t="shared" ca="1" si="106"/>
        <v>0</v>
      </c>
      <c r="AL251" s="38" t="str">
        <f>_xlfn.IFNA(IF($AG251="","",IF(Z251="Y","DONE",VLOOKUP(A251,'Ship Date'!A:AI,28,0))),"")</f>
        <v/>
      </c>
      <c r="AM251" s="12">
        <f t="shared" ca="1" si="107"/>
        <v>0</v>
      </c>
      <c r="AN251" s="38" t="str">
        <f>_xlfn.IFNA(IF(T251="Y","DONE",VLOOKUP(A251,'Ship Date'!A:AE,25,0)),"")</f>
        <v/>
      </c>
      <c r="AO251" s="12">
        <f t="shared" si="108"/>
        <v>0</v>
      </c>
      <c r="AP251" s="38" t="str">
        <f>_xlfn.IFNA(IF(AD251="Y","DONE",VLOOKUP(A251,'Ship Date'!A:AE,30,0)),"")</f>
        <v/>
      </c>
      <c r="AQ251" s="12">
        <f t="shared" ca="1" si="109"/>
        <v>0</v>
      </c>
      <c r="AR251" s="38" t="str">
        <f>IFERROR(_xlfn.IFNA(VLOOKUP(A251,'Ship Date'!A:C,3,0),""),"")</f>
        <v/>
      </c>
      <c r="AS251" s="12" t="str">
        <f t="shared" ca="1" si="110"/>
        <v/>
      </c>
      <c r="AT251" s="38">
        <f>_xlfn.IFNA(IF(VLOOKUP(A251,'Actual Dates'!A:AF,32,0)="N/A"," ",VLOOKUP(A251,'Actual Dates'!A:AF,32,0))," ")</f>
        <v>0</v>
      </c>
      <c r="AU251" s="39"/>
      <c r="AV251" s="38" t="str">
        <f>_xlfn.IFNA(IF(VLOOKUP(A251,'Actual Dates'!A:AE,31,0)="","",VLOOKUP(A251,'Actual Dates'!A:AE,31,0)),"")</f>
        <v/>
      </c>
      <c r="AW251" s="40"/>
    </row>
    <row r="252" spans="1:49" ht="23.25" x14ac:dyDescent="0.25">
      <c r="A252" s="12">
        <f>'Actual Dates'!A251</f>
        <v>0</v>
      </c>
      <c r="B252" s="13" t="str">
        <f t="shared" si="102"/>
        <v/>
      </c>
      <c r="C252" s="35"/>
      <c r="D252" s="36" t="str">
        <f t="shared" si="111"/>
        <v/>
      </c>
      <c r="E252" s="37" t="str">
        <f t="shared" si="112"/>
        <v xml:space="preserve">  </v>
      </c>
      <c r="F252" s="36" t="str">
        <f t="shared" si="113"/>
        <v xml:space="preserve">  </v>
      </c>
      <c r="G252" s="37" t="str">
        <f t="shared" si="114"/>
        <v xml:space="preserve">  </v>
      </c>
      <c r="H252" s="36" t="str">
        <f t="shared" si="103"/>
        <v xml:space="preserve">  </v>
      </c>
      <c r="I252" s="37" t="str">
        <f t="shared" si="115"/>
        <v xml:space="preserve">  </v>
      </c>
      <c r="J252" s="35"/>
      <c r="K252" s="36" t="str">
        <f t="shared" si="116"/>
        <v>Y</v>
      </c>
      <c r="L252" s="37" t="str">
        <f t="shared" si="117"/>
        <v/>
      </c>
      <c r="M252" s="37" t="str">
        <f t="shared" si="104"/>
        <v xml:space="preserve">  </v>
      </c>
      <c r="N252" s="36" t="str">
        <f t="shared" si="118"/>
        <v xml:space="preserve">  </v>
      </c>
      <c r="O252" s="37" t="str">
        <f t="shared" si="119"/>
        <v/>
      </c>
      <c r="P252" s="36" t="str">
        <f t="shared" si="120"/>
        <v xml:space="preserve">  </v>
      </c>
      <c r="Q252" s="37" t="str">
        <f t="shared" si="121"/>
        <v xml:space="preserve">  </v>
      </c>
      <c r="R252" s="36" t="str">
        <f t="shared" si="122"/>
        <v xml:space="preserve">  </v>
      </c>
      <c r="S252" s="37" t="str">
        <f t="shared" si="123"/>
        <v xml:space="preserve">  </v>
      </c>
      <c r="T252" s="36" t="str">
        <f t="shared" si="124"/>
        <v xml:space="preserve">  </v>
      </c>
      <c r="U252" s="37" t="str">
        <f t="shared" si="125"/>
        <v xml:space="preserve">  </v>
      </c>
      <c r="V252" s="36" t="str">
        <f t="shared" si="126"/>
        <v xml:space="preserve">  </v>
      </c>
      <c r="W252" s="37" t="str">
        <f t="shared" si="127"/>
        <v xml:space="preserve">  </v>
      </c>
      <c r="X252" s="36" t="str">
        <f t="shared" si="128"/>
        <v xml:space="preserve">  </v>
      </c>
      <c r="Y252" s="37" t="str">
        <f t="shared" si="129"/>
        <v xml:space="preserve">  </v>
      </c>
      <c r="Z252" s="36" t="str">
        <f t="shared" si="130"/>
        <v xml:space="preserve">  </v>
      </c>
      <c r="AA252" s="37" t="str">
        <f t="shared" si="131"/>
        <v xml:space="preserve">  </v>
      </c>
      <c r="AB252" s="36" t="str">
        <f t="shared" si="132"/>
        <v xml:space="preserve">  </v>
      </c>
      <c r="AC252" s="37" t="str">
        <f t="shared" si="133"/>
        <v xml:space="preserve">  </v>
      </c>
      <c r="AD252" s="36" t="str">
        <f t="shared" si="134"/>
        <v xml:space="preserve">  </v>
      </c>
      <c r="AE252" s="37" t="str">
        <f t="shared" si="135"/>
        <v xml:space="preserve">  </v>
      </c>
      <c r="AF252" s="38" t="str">
        <f ca="1">_xlfn.IFNA(IF(AG252="",TODAY()+(VLOOKUP(A252,'Date Calcs'!A:G,7,0)*7),VLOOKUP(A252,'Actual Dates'!A:AE,21,FALSE())),"")</f>
        <v/>
      </c>
      <c r="AG252" s="38" t="str">
        <f>IF(VLOOKUP(A252,'Actual Dates'!A:AE,20,0)="","",VLOOKUP(A252,'Actual Dates'!A:AE,20,0))</f>
        <v/>
      </c>
      <c r="AH252" s="38" t="str">
        <f>_xlfn.IFNA(IF($AG252="","",IF(X252="Y","DONE",VLOOKUP(A252,'Ship Date'!A:AE,27,0))),"")</f>
        <v/>
      </c>
      <c r="AI252" s="12">
        <f t="shared" ca="1" si="105"/>
        <v>0</v>
      </c>
      <c r="AJ252" s="38" t="str">
        <f>_xlfn.IFNA(IF($AG252="","",IF(AB252="Y","DONE",VLOOKUP(A252,'Ship Date'!A:AG,29,0))),"")</f>
        <v/>
      </c>
      <c r="AK252" s="12">
        <f t="shared" ca="1" si="106"/>
        <v>0</v>
      </c>
      <c r="AL252" s="38" t="str">
        <f>_xlfn.IFNA(IF($AG252="","",IF(Z252="Y","DONE",VLOOKUP(A252,'Ship Date'!A:AI,28,0))),"")</f>
        <v/>
      </c>
      <c r="AM252" s="12">
        <f t="shared" ca="1" si="107"/>
        <v>0</v>
      </c>
      <c r="AN252" s="38" t="str">
        <f>_xlfn.IFNA(IF(T252="Y","DONE",VLOOKUP(A252,'Ship Date'!A:AE,25,0)),"")</f>
        <v/>
      </c>
      <c r="AO252" s="12">
        <f t="shared" si="108"/>
        <v>0</v>
      </c>
      <c r="AP252" s="38" t="str">
        <f>_xlfn.IFNA(IF(AD252="Y","DONE",VLOOKUP(A252,'Ship Date'!A:AE,30,0)),"")</f>
        <v/>
      </c>
      <c r="AQ252" s="12">
        <f t="shared" ca="1" si="109"/>
        <v>0</v>
      </c>
      <c r="AR252" s="38" t="str">
        <f>IFERROR(_xlfn.IFNA(VLOOKUP(A252,'Ship Date'!A:C,3,0),""),"")</f>
        <v/>
      </c>
      <c r="AS252" s="12" t="str">
        <f t="shared" ca="1" si="110"/>
        <v/>
      </c>
      <c r="AT252" s="38">
        <f>_xlfn.IFNA(IF(VLOOKUP(A252,'Actual Dates'!A:AF,32,0)="N/A"," ",VLOOKUP(A252,'Actual Dates'!A:AF,32,0))," ")</f>
        <v>0</v>
      </c>
      <c r="AU252" s="39"/>
      <c r="AV252" s="38" t="str">
        <f>_xlfn.IFNA(IF(VLOOKUP(A252,'Actual Dates'!A:AE,31,0)="","",VLOOKUP(A252,'Actual Dates'!A:AE,31,0)),"")</f>
        <v/>
      </c>
      <c r="AW252" s="40"/>
    </row>
    <row r="253" spans="1:49" ht="23.25" x14ac:dyDescent="0.25">
      <c r="A253" s="12">
        <f>'Actual Dates'!A252</f>
        <v>0</v>
      </c>
      <c r="B253" s="13" t="str">
        <f t="shared" si="102"/>
        <v/>
      </c>
      <c r="C253" s="35"/>
      <c r="D253" s="36" t="str">
        <f t="shared" si="111"/>
        <v/>
      </c>
      <c r="E253" s="37" t="str">
        <f t="shared" si="112"/>
        <v xml:space="preserve">  </v>
      </c>
      <c r="F253" s="36" t="str">
        <f t="shared" si="113"/>
        <v xml:space="preserve">  </v>
      </c>
      <c r="G253" s="37" t="str">
        <f t="shared" si="114"/>
        <v xml:space="preserve">  </v>
      </c>
      <c r="H253" s="36" t="str">
        <f t="shared" si="103"/>
        <v xml:space="preserve">  </v>
      </c>
      <c r="I253" s="37" t="str">
        <f t="shared" si="115"/>
        <v xml:space="preserve">  </v>
      </c>
      <c r="J253" s="35"/>
      <c r="K253" s="36" t="str">
        <f t="shared" si="116"/>
        <v>Y</v>
      </c>
      <c r="L253" s="37" t="str">
        <f t="shared" si="117"/>
        <v/>
      </c>
      <c r="M253" s="37" t="str">
        <f t="shared" si="104"/>
        <v xml:space="preserve">  </v>
      </c>
      <c r="N253" s="36" t="str">
        <f t="shared" si="118"/>
        <v xml:space="preserve">  </v>
      </c>
      <c r="O253" s="37" t="str">
        <f t="shared" si="119"/>
        <v/>
      </c>
      <c r="P253" s="36" t="str">
        <f t="shared" si="120"/>
        <v xml:space="preserve">  </v>
      </c>
      <c r="Q253" s="37" t="str">
        <f t="shared" si="121"/>
        <v xml:space="preserve">  </v>
      </c>
      <c r="R253" s="36" t="str">
        <f t="shared" si="122"/>
        <v xml:space="preserve">  </v>
      </c>
      <c r="S253" s="37" t="str">
        <f t="shared" si="123"/>
        <v xml:space="preserve">  </v>
      </c>
      <c r="T253" s="36" t="str">
        <f t="shared" si="124"/>
        <v xml:space="preserve">  </v>
      </c>
      <c r="U253" s="37" t="str">
        <f t="shared" si="125"/>
        <v xml:space="preserve">  </v>
      </c>
      <c r="V253" s="36" t="str">
        <f t="shared" si="126"/>
        <v xml:space="preserve">  </v>
      </c>
      <c r="W253" s="37" t="str">
        <f t="shared" si="127"/>
        <v xml:space="preserve">  </v>
      </c>
      <c r="X253" s="36" t="str">
        <f t="shared" si="128"/>
        <v xml:space="preserve">  </v>
      </c>
      <c r="Y253" s="37" t="str">
        <f t="shared" si="129"/>
        <v xml:space="preserve">  </v>
      </c>
      <c r="Z253" s="36" t="str">
        <f t="shared" si="130"/>
        <v xml:space="preserve">  </v>
      </c>
      <c r="AA253" s="37" t="str">
        <f t="shared" si="131"/>
        <v xml:space="preserve">  </v>
      </c>
      <c r="AB253" s="36" t="str">
        <f t="shared" si="132"/>
        <v xml:space="preserve">  </v>
      </c>
      <c r="AC253" s="37" t="str">
        <f t="shared" si="133"/>
        <v xml:space="preserve">  </v>
      </c>
      <c r="AD253" s="36" t="str">
        <f t="shared" si="134"/>
        <v xml:space="preserve">  </v>
      </c>
      <c r="AE253" s="37" t="str">
        <f t="shared" si="135"/>
        <v xml:space="preserve">  </v>
      </c>
      <c r="AF253" s="38" t="str">
        <f ca="1">_xlfn.IFNA(IF(AG253="",TODAY()+(VLOOKUP(A253,'Date Calcs'!A:G,7,0)*7),VLOOKUP(A253,'Actual Dates'!A:AE,21,FALSE())),"")</f>
        <v/>
      </c>
      <c r="AG253" s="38" t="str">
        <f>IF(VLOOKUP(A253,'Actual Dates'!A:AE,20,0)="","",VLOOKUP(A253,'Actual Dates'!A:AE,20,0))</f>
        <v/>
      </c>
      <c r="AH253" s="38" t="str">
        <f>_xlfn.IFNA(IF($AG253="","",IF(X253="Y","DONE",VLOOKUP(A253,'Ship Date'!A:AE,27,0))),"")</f>
        <v/>
      </c>
      <c r="AI253" s="12">
        <f t="shared" ca="1" si="105"/>
        <v>0</v>
      </c>
      <c r="AJ253" s="38" t="str">
        <f>_xlfn.IFNA(IF($AG253="","",IF(AB253="Y","DONE",VLOOKUP(A253,'Ship Date'!A:AG,29,0))),"")</f>
        <v/>
      </c>
      <c r="AK253" s="12">
        <f t="shared" ca="1" si="106"/>
        <v>0</v>
      </c>
      <c r="AL253" s="38" t="str">
        <f>_xlfn.IFNA(IF($AG253="","",IF(Z253="Y","DONE",VLOOKUP(A253,'Ship Date'!A:AI,28,0))),"")</f>
        <v/>
      </c>
      <c r="AM253" s="12">
        <f t="shared" ca="1" si="107"/>
        <v>0</v>
      </c>
      <c r="AN253" s="38" t="str">
        <f>_xlfn.IFNA(IF(T253="Y","DONE",VLOOKUP(A253,'Ship Date'!A:AE,25,0)),"")</f>
        <v/>
      </c>
      <c r="AO253" s="12">
        <f t="shared" si="108"/>
        <v>0</v>
      </c>
      <c r="AP253" s="38" t="str">
        <f>_xlfn.IFNA(IF(AD253="Y","DONE",VLOOKUP(A253,'Ship Date'!A:AE,30,0)),"")</f>
        <v/>
      </c>
      <c r="AQ253" s="12">
        <f t="shared" ca="1" si="109"/>
        <v>0</v>
      </c>
      <c r="AR253" s="38" t="str">
        <f>IFERROR(_xlfn.IFNA(VLOOKUP(A253,'Ship Date'!A:C,3,0),""),"")</f>
        <v/>
      </c>
      <c r="AS253" s="12" t="str">
        <f t="shared" ca="1" si="110"/>
        <v/>
      </c>
      <c r="AT253" s="38">
        <f>_xlfn.IFNA(IF(VLOOKUP(A253,'Actual Dates'!A:AF,32,0)="N/A"," ",VLOOKUP(A253,'Actual Dates'!A:AF,32,0))," ")</f>
        <v>0</v>
      </c>
      <c r="AU253" s="39"/>
      <c r="AV253" s="38" t="str">
        <f>_xlfn.IFNA(IF(VLOOKUP(A253,'Actual Dates'!A:AE,31,0)="","",VLOOKUP(A253,'Actual Dates'!A:AE,31,0)),"")</f>
        <v/>
      </c>
      <c r="AW253" s="40"/>
    </row>
    <row r="254" spans="1:49" ht="23.25" x14ac:dyDescent="0.25">
      <c r="A254" s="12">
        <f>'Actual Dates'!A253</f>
        <v>0</v>
      </c>
      <c r="B254" s="13" t="str">
        <f t="shared" si="102"/>
        <v/>
      </c>
      <c r="C254" s="35"/>
      <c r="D254" s="36" t="str">
        <f t="shared" si="111"/>
        <v/>
      </c>
      <c r="E254" s="37" t="str">
        <f t="shared" si="112"/>
        <v xml:space="preserve">  </v>
      </c>
      <c r="F254" s="36" t="str">
        <f t="shared" si="113"/>
        <v xml:space="preserve">  </v>
      </c>
      <c r="G254" s="37" t="str">
        <f t="shared" si="114"/>
        <v xml:space="preserve">  </v>
      </c>
      <c r="H254" s="36" t="str">
        <f t="shared" si="103"/>
        <v xml:space="preserve">  </v>
      </c>
      <c r="I254" s="37" t="str">
        <f t="shared" si="115"/>
        <v xml:space="preserve">  </v>
      </c>
      <c r="J254" s="35"/>
      <c r="K254" s="36" t="str">
        <f t="shared" si="116"/>
        <v>Y</v>
      </c>
      <c r="L254" s="37" t="str">
        <f t="shared" si="117"/>
        <v/>
      </c>
      <c r="M254" s="37" t="str">
        <f t="shared" si="104"/>
        <v xml:space="preserve">  </v>
      </c>
      <c r="N254" s="36" t="str">
        <f t="shared" si="118"/>
        <v xml:space="preserve">  </v>
      </c>
      <c r="O254" s="37" t="str">
        <f t="shared" si="119"/>
        <v/>
      </c>
      <c r="P254" s="36" t="str">
        <f t="shared" si="120"/>
        <v xml:space="preserve">  </v>
      </c>
      <c r="Q254" s="37" t="str">
        <f t="shared" si="121"/>
        <v xml:space="preserve">  </v>
      </c>
      <c r="R254" s="36" t="str">
        <f t="shared" si="122"/>
        <v xml:space="preserve">  </v>
      </c>
      <c r="S254" s="37" t="str">
        <f t="shared" si="123"/>
        <v xml:space="preserve">  </v>
      </c>
      <c r="T254" s="36" t="str">
        <f t="shared" si="124"/>
        <v xml:space="preserve">  </v>
      </c>
      <c r="U254" s="37" t="str">
        <f t="shared" si="125"/>
        <v xml:space="preserve">  </v>
      </c>
      <c r="V254" s="36" t="str">
        <f t="shared" si="126"/>
        <v xml:space="preserve">  </v>
      </c>
      <c r="W254" s="37" t="str">
        <f t="shared" si="127"/>
        <v xml:space="preserve">  </v>
      </c>
      <c r="X254" s="36" t="str">
        <f t="shared" si="128"/>
        <v xml:space="preserve">  </v>
      </c>
      <c r="Y254" s="37" t="str">
        <f t="shared" si="129"/>
        <v xml:space="preserve">  </v>
      </c>
      <c r="Z254" s="36" t="str">
        <f t="shared" si="130"/>
        <v xml:space="preserve">  </v>
      </c>
      <c r="AA254" s="37" t="str">
        <f t="shared" si="131"/>
        <v xml:space="preserve">  </v>
      </c>
      <c r="AB254" s="36" t="str">
        <f t="shared" si="132"/>
        <v xml:space="preserve">  </v>
      </c>
      <c r="AC254" s="37" t="str">
        <f t="shared" si="133"/>
        <v xml:space="preserve">  </v>
      </c>
      <c r="AD254" s="36" t="str">
        <f t="shared" si="134"/>
        <v xml:space="preserve">  </v>
      </c>
      <c r="AE254" s="37" t="str">
        <f t="shared" si="135"/>
        <v xml:space="preserve">  </v>
      </c>
      <c r="AF254" s="38" t="str">
        <f ca="1">_xlfn.IFNA(IF(AG254="",TODAY()+(VLOOKUP(A254,'Date Calcs'!A:G,7,0)*7),VLOOKUP(A254,'Actual Dates'!A:AE,21,FALSE())),"")</f>
        <v/>
      </c>
      <c r="AG254" s="38" t="str">
        <f>IF(VLOOKUP(A254,'Actual Dates'!A:AE,20,0)="","",VLOOKUP(A254,'Actual Dates'!A:AE,20,0))</f>
        <v/>
      </c>
      <c r="AH254" s="38" t="str">
        <f>_xlfn.IFNA(IF($AG254="","",IF(X254="Y","DONE",VLOOKUP(A254,'Ship Date'!A:AE,27,0))),"")</f>
        <v/>
      </c>
      <c r="AI254" s="12">
        <f t="shared" ca="1" si="105"/>
        <v>0</v>
      </c>
      <c r="AJ254" s="38" t="str">
        <f>_xlfn.IFNA(IF($AG254="","",IF(AB254="Y","DONE",VLOOKUP(A254,'Ship Date'!A:AG,29,0))),"")</f>
        <v/>
      </c>
      <c r="AK254" s="12">
        <f t="shared" ca="1" si="106"/>
        <v>0</v>
      </c>
      <c r="AL254" s="38" t="str">
        <f>_xlfn.IFNA(IF($AG254="","",IF(Z254="Y","DONE",VLOOKUP(A254,'Ship Date'!A:AI,28,0))),"")</f>
        <v/>
      </c>
      <c r="AM254" s="12">
        <f t="shared" ca="1" si="107"/>
        <v>0</v>
      </c>
      <c r="AN254" s="38" t="str">
        <f>_xlfn.IFNA(IF(T254="Y","DONE",VLOOKUP(A254,'Ship Date'!A:AE,25,0)),"")</f>
        <v/>
      </c>
      <c r="AO254" s="12">
        <f t="shared" si="108"/>
        <v>0</v>
      </c>
      <c r="AP254" s="38" t="str">
        <f>_xlfn.IFNA(IF(AD254="Y","DONE",VLOOKUP(A254,'Ship Date'!A:AE,30,0)),"")</f>
        <v/>
      </c>
      <c r="AQ254" s="12">
        <f t="shared" ca="1" si="109"/>
        <v>0</v>
      </c>
      <c r="AR254" s="38" t="str">
        <f>IFERROR(_xlfn.IFNA(VLOOKUP(A254,'Ship Date'!A:C,3,0),""),"")</f>
        <v/>
      </c>
      <c r="AS254" s="12" t="str">
        <f t="shared" ca="1" si="110"/>
        <v/>
      </c>
      <c r="AT254" s="38">
        <f>_xlfn.IFNA(IF(VLOOKUP(A254,'Actual Dates'!A:AF,32,0)="N/A"," ",VLOOKUP(A254,'Actual Dates'!A:AF,32,0))," ")</f>
        <v>0</v>
      </c>
      <c r="AU254" s="39"/>
      <c r="AV254" s="38" t="str">
        <f>_xlfn.IFNA(IF(VLOOKUP(A254,'Actual Dates'!A:AE,31,0)="","",VLOOKUP(A254,'Actual Dates'!A:AE,31,0)),"")</f>
        <v/>
      </c>
      <c r="AW254" s="40"/>
    </row>
    <row r="255" spans="1:49" ht="23.25" x14ac:dyDescent="0.25">
      <c r="A255" s="12">
        <f>'Actual Dates'!A254</f>
        <v>0</v>
      </c>
      <c r="B255" s="13" t="str">
        <f t="shared" si="102"/>
        <v/>
      </c>
      <c r="C255" s="35"/>
      <c r="D255" s="36" t="str">
        <f t="shared" si="111"/>
        <v/>
      </c>
      <c r="E255" s="37" t="str">
        <f t="shared" si="112"/>
        <v xml:space="preserve">  </v>
      </c>
      <c r="F255" s="36" t="str">
        <f t="shared" si="113"/>
        <v xml:space="preserve">  </v>
      </c>
      <c r="G255" s="37" t="str">
        <f t="shared" si="114"/>
        <v xml:space="preserve">  </v>
      </c>
      <c r="H255" s="36" t="str">
        <f t="shared" si="103"/>
        <v xml:space="preserve">  </v>
      </c>
      <c r="I255" s="37" t="str">
        <f t="shared" si="115"/>
        <v xml:space="preserve">  </v>
      </c>
      <c r="J255" s="35"/>
      <c r="K255" s="36" t="str">
        <f t="shared" si="116"/>
        <v>Y</v>
      </c>
      <c r="L255" s="37" t="str">
        <f t="shared" si="117"/>
        <v/>
      </c>
      <c r="M255" s="37" t="str">
        <f t="shared" si="104"/>
        <v xml:space="preserve">  </v>
      </c>
      <c r="N255" s="36" t="str">
        <f t="shared" si="118"/>
        <v xml:space="preserve">  </v>
      </c>
      <c r="O255" s="37" t="str">
        <f t="shared" si="119"/>
        <v/>
      </c>
      <c r="P255" s="36" t="str">
        <f t="shared" si="120"/>
        <v xml:space="preserve">  </v>
      </c>
      <c r="Q255" s="37" t="str">
        <f t="shared" si="121"/>
        <v xml:space="preserve">  </v>
      </c>
      <c r="R255" s="36" t="str">
        <f t="shared" si="122"/>
        <v xml:space="preserve">  </v>
      </c>
      <c r="S255" s="37" t="str">
        <f t="shared" si="123"/>
        <v xml:space="preserve">  </v>
      </c>
      <c r="T255" s="36" t="str">
        <f t="shared" si="124"/>
        <v xml:space="preserve">  </v>
      </c>
      <c r="U255" s="37" t="str">
        <f t="shared" si="125"/>
        <v xml:space="preserve">  </v>
      </c>
      <c r="V255" s="36" t="str">
        <f t="shared" si="126"/>
        <v xml:space="preserve">  </v>
      </c>
      <c r="W255" s="37" t="str">
        <f t="shared" si="127"/>
        <v xml:space="preserve">  </v>
      </c>
      <c r="X255" s="36" t="str">
        <f t="shared" si="128"/>
        <v xml:space="preserve">  </v>
      </c>
      <c r="Y255" s="37" t="str">
        <f t="shared" si="129"/>
        <v xml:space="preserve">  </v>
      </c>
      <c r="Z255" s="36" t="str">
        <f t="shared" si="130"/>
        <v xml:space="preserve">  </v>
      </c>
      <c r="AA255" s="37" t="str">
        <f t="shared" si="131"/>
        <v xml:space="preserve">  </v>
      </c>
      <c r="AB255" s="36" t="str">
        <f t="shared" si="132"/>
        <v xml:space="preserve">  </v>
      </c>
      <c r="AC255" s="37" t="str">
        <f t="shared" si="133"/>
        <v xml:space="preserve">  </v>
      </c>
      <c r="AD255" s="36" t="str">
        <f t="shared" si="134"/>
        <v xml:space="preserve">  </v>
      </c>
      <c r="AE255" s="37" t="str">
        <f t="shared" si="135"/>
        <v xml:space="preserve">  </v>
      </c>
      <c r="AF255" s="38" t="str">
        <f ca="1">_xlfn.IFNA(IF(AG255="",TODAY()+(VLOOKUP(A255,'Date Calcs'!A:G,7,0)*7),VLOOKUP(A255,'Actual Dates'!A:AE,21,FALSE())),"")</f>
        <v/>
      </c>
      <c r="AG255" s="38" t="str">
        <f>IF(VLOOKUP(A255,'Actual Dates'!A:AE,20,0)="","",VLOOKUP(A255,'Actual Dates'!A:AE,20,0))</f>
        <v/>
      </c>
      <c r="AH255" s="38" t="str">
        <f>_xlfn.IFNA(IF($AG255="","",IF(X255="Y","DONE",VLOOKUP(A255,'Ship Date'!A:AE,27,0))),"")</f>
        <v/>
      </c>
      <c r="AI255" s="12">
        <f t="shared" ca="1" si="105"/>
        <v>0</v>
      </c>
      <c r="AJ255" s="38" t="str">
        <f>_xlfn.IFNA(IF($AG255="","",IF(AB255="Y","DONE",VLOOKUP(A255,'Ship Date'!A:AG,29,0))),"")</f>
        <v/>
      </c>
      <c r="AK255" s="12">
        <f t="shared" ca="1" si="106"/>
        <v>0</v>
      </c>
      <c r="AL255" s="38" t="str">
        <f>_xlfn.IFNA(IF($AG255="","",IF(Z255="Y","DONE",VLOOKUP(A255,'Ship Date'!A:AI,28,0))),"")</f>
        <v/>
      </c>
      <c r="AM255" s="12">
        <f t="shared" ca="1" si="107"/>
        <v>0</v>
      </c>
      <c r="AN255" s="38" t="str">
        <f>_xlfn.IFNA(IF(T255="Y","DONE",VLOOKUP(A255,'Ship Date'!A:AE,25,0)),"")</f>
        <v/>
      </c>
      <c r="AO255" s="12">
        <f t="shared" si="108"/>
        <v>0</v>
      </c>
      <c r="AP255" s="38" t="str">
        <f>_xlfn.IFNA(IF(AD255="Y","DONE",VLOOKUP(A255,'Ship Date'!A:AE,30,0)),"")</f>
        <v/>
      </c>
      <c r="AQ255" s="12">
        <f t="shared" ca="1" si="109"/>
        <v>0</v>
      </c>
      <c r="AR255" s="38" t="str">
        <f>IFERROR(_xlfn.IFNA(VLOOKUP(A255,'Ship Date'!A:C,3,0),""),"")</f>
        <v/>
      </c>
      <c r="AS255" s="12" t="str">
        <f t="shared" ca="1" si="110"/>
        <v/>
      </c>
      <c r="AT255" s="38">
        <f>_xlfn.IFNA(IF(VLOOKUP(A255,'Actual Dates'!A:AF,32,0)="N/A"," ",VLOOKUP(A255,'Actual Dates'!A:AF,32,0))," ")</f>
        <v>0</v>
      </c>
      <c r="AU255" s="39"/>
      <c r="AV255" s="38" t="str">
        <f>_xlfn.IFNA(IF(VLOOKUP(A255,'Actual Dates'!A:AE,31,0)="","",VLOOKUP(A255,'Actual Dates'!A:AE,31,0)),"")</f>
        <v/>
      </c>
      <c r="AW255" s="40"/>
    </row>
    <row r="256" spans="1:49" ht="23.25" x14ac:dyDescent="0.25">
      <c r="A256" s="12">
        <f>'Actual Dates'!A255</f>
        <v>0</v>
      </c>
      <c r="B256" s="13" t="str">
        <f t="shared" si="102"/>
        <v/>
      </c>
      <c r="C256" s="35"/>
      <c r="D256" s="36" t="str">
        <f t="shared" si="111"/>
        <v/>
      </c>
      <c r="E256" s="37" t="str">
        <f t="shared" si="112"/>
        <v xml:space="preserve">  </v>
      </c>
      <c r="F256" s="36" t="str">
        <f t="shared" si="113"/>
        <v xml:space="preserve">  </v>
      </c>
      <c r="G256" s="37" t="str">
        <f t="shared" si="114"/>
        <v xml:space="preserve">  </v>
      </c>
      <c r="H256" s="36" t="str">
        <f t="shared" si="103"/>
        <v xml:space="preserve">  </v>
      </c>
      <c r="I256" s="37" t="str">
        <f t="shared" si="115"/>
        <v xml:space="preserve">  </v>
      </c>
      <c r="J256" s="35"/>
      <c r="K256" s="36" t="str">
        <f t="shared" si="116"/>
        <v>Y</v>
      </c>
      <c r="L256" s="37" t="str">
        <f t="shared" si="117"/>
        <v/>
      </c>
      <c r="M256" s="37" t="str">
        <f t="shared" si="104"/>
        <v xml:space="preserve">  </v>
      </c>
      <c r="N256" s="36" t="str">
        <f t="shared" si="118"/>
        <v xml:space="preserve">  </v>
      </c>
      <c r="O256" s="37" t="str">
        <f t="shared" si="119"/>
        <v/>
      </c>
      <c r="P256" s="36" t="str">
        <f t="shared" si="120"/>
        <v xml:space="preserve">  </v>
      </c>
      <c r="Q256" s="37" t="str">
        <f t="shared" si="121"/>
        <v xml:space="preserve">  </v>
      </c>
      <c r="R256" s="36" t="str">
        <f t="shared" si="122"/>
        <v xml:space="preserve">  </v>
      </c>
      <c r="S256" s="37" t="str">
        <f t="shared" si="123"/>
        <v xml:space="preserve">  </v>
      </c>
      <c r="T256" s="36" t="str">
        <f t="shared" si="124"/>
        <v xml:space="preserve">  </v>
      </c>
      <c r="U256" s="37" t="str">
        <f t="shared" si="125"/>
        <v xml:space="preserve">  </v>
      </c>
      <c r="V256" s="36" t="str">
        <f t="shared" si="126"/>
        <v xml:space="preserve">  </v>
      </c>
      <c r="W256" s="37" t="str">
        <f t="shared" si="127"/>
        <v xml:space="preserve">  </v>
      </c>
      <c r="X256" s="36" t="str">
        <f t="shared" si="128"/>
        <v xml:space="preserve">  </v>
      </c>
      <c r="Y256" s="37" t="str">
        <f t="shared" si="129"/>
        <v xml:space="preserve">  </v>
      </c>
      <c r="Z256" s="36" t="str">
        <f t="shared" si="130"/>
        <v xml:space="preserve">  </v>
      </c>
      <c r="AA256" s="37" t="str">
        <f t="shared" si="131"/>
        <v xml:space="preserve">  </v>
      </c>
      <c r="AB256" s="36" t="str">
        <f t="shared" si="132"/>
        <v xml:space="preserve">  </v>
      </c>
      <c r="AC256" s="37" t="str">
        <f t="shared" si="133"/>
        <v xml:space="preserve">  </v>
      </c>
      <c r="AD256" s="36" t="str">
        <f t="shared" si="134"/>
        <v xml:space="preserve">  </v>
      </c>
      <c r="AE256" s="37" t="str">
        <f t="shared" si="135"/>
        <v xml:space="preserve">  </v>
      </c>
      <c r="AF256" s="38" t="str">
        <f ca="1">_xlfn.IFNA(IF(AG256="",TODAY()+(VLOOKUP(A256,'Date Calcs'!A:G,7,0)*7),VLOOKUP(A256,'Actual Dates'!A:AE,21,FALSE())),"")</f>
        <v/>
      </c>
      <c r="AG256" s="38" t="str">
        <f>IF(VLOOKUP(A256,'Actual Dates'!A:AE,20,0)="","",VLOOKUP(A256,'Actual Dates'!A:AE,20,0))</f>
        <v/>
      </c>
      <c r="AH256" s="38" t="str">
        <f>_xlfn.IFNA(IF($AG256="","",IF(X256="Y","DONE",VLOOKUP(A256,'Ship Date'!A:AE,27,0))),"")</f>
        <v/>
      </c>
      <c r="AI256" s="12">
        <f t="shared" ca="1" si="105"/>
        <v>0</v>
      </c>
      <c r="AJ256" s="38" t="str">
        <f>_xlfn.IFNA(IF($AG256="","",IF(AB256="Y","DONE",VLOOKUP(A256,'Ship Date'!A:AG,29,0))),"")</f>
        <v/>
      </c>
      <c r="AK256" s="12">
        <f t="shared" ca="1" si="106"/>
        <v>0</v>
      </c>
      <c r="AL256" s="38" t="str">
        <f>_xlfn.IFNA(IF($AG256="","",IF(Z256="Y","DONE",VLOOKUP(A256,'Ship Date'!A:AI,28,0))),"")</f>
        <v/>
      </c>
      <c r="AM256" s="12">
        <f t="shared" ca="1" si="107"/>
        <v>0</v>
      </c>
      <c r="AN256" s="38" t="str">
        <f>_xlfn.IFNA(IF(T256="Y","DONE",VLOOKUP(A256,'Ship Date'!A:AE,25,0)),"")</f>
        <v/>
      </c>
      <c r="AO256" s="12">
        <f t="shared" si="108"/>
        <v>0</v>
      </c>
      <c r="AP256" s="38" t="str">
        <f>_xlfn.IFNA(IF(AD256="Y","DONE",VLOOKUP(A256,'Ship Date'!A:AE,30,0)),"")</f>
        <v/>
      </c>
      <c r="AQ256" s="12">
        <f t="shared" ca="1" si="109"/>
        <v>0</v>
      </c>
      <c r="AR256" s="38" t="str">
        <f>IFERROR(_xlfn.IFNA(VLOOKUP(A256,'Ship Date'!A:C,3,0),""),"")</f>
        <v/>
      </c>
      <c r="AS256" s="12" t="str">
        <f t="shared" ca="1" si="110"/>
        <v/>
      </c>
      <c r="AT256" s="38">
        <f>_xlfn.IFNA(IF(VLOOKUP(A256,'Actual Dates'!A:AF,32,0)="N/A"," ",VLOOKUP(A256,'Actual Dates'!A:AF,32,0))," ")</f>
        <v>0</v>
      </c>
      <c r="AU256" s="39"/>
      <c r="AV256" s="38" t="str">
        <f>_xlfn.IFNA(IF(VLOOKUP(A256,'Actual Dates'!A:AE,31,0)="","",VLOOKUP(A256,'Actual Dates'!A:AE,31,0)),"")</f>
        <v/>
      </c>
      <c r="AW256" s="40"/>
    </row>
    <row r="257" spans="1:49" ht="23.25" x14ac:dyDescent="0.25">
      <c r="A257" s="12">
        <f>'Actual Dates'!A256</f>
        <v>0</v>
      </c>
      <c r="B257" s="13" t="str">
        <f t="shared" si="102"/>
        <v/>
      </c>
      <c r="C257" s="35"/>
      <c r="D257" s="36" t="str">
        <f t="shared" si="111"/>
        <v/>
      </c>
      <c r="E257" s="37" t="str">
        <f t="shared" si="112"/>
        <v xml:space="preserve">  </v>
      </c>
      <c r="F257" s="36" t="str">
        <f t="shared" si="113"/>
        <v xml:space="preserve">  </v>
      </c>
      <c r="G257" s="37" t="str">
        <f t="shared" si="114"/>
        <v xml:space="preserve">  </v>
      </c>
      <c r="H257" s="36" t="str">
        <f t="shared" si="103"/>
        <v xml:space="preserve">  </v>
      </c>
      <c r="I257" s="37" t="str">
        <f t="shared" si="115"/>
        <v xml:space="preserve">  </v>
      </c>
      <c r="J257" s="35"/>
      <c r="K257" s="36" t="str">
        <f t="shared" si="116"/>
        <v>Y</v>
      </c>
      <c r="L257" s="37" t="str">
        <f t="shared" si="117"/>
        <v/>
      </c>
      <c r="M257" s="37" t="str">
        <f t="shared" si="104"/>
        <v xml:space="preserve">  </v>
      </c>
      <c r="N257" s="36" t="str">
        <f t="shared" si="118"/>
        <v xml:space="preserve">  </v>
      </c>
      <c r="O257" s="37" t="str">
        <f t="shared" si="119"/>
        <v/>
      </c>
      <c r="P257" s="36" t="str">
        <f t="shared" si="120"/>
        <v xml:space="preserve">  </v>
      </c>
      <c r="Q257" s="37" t="str">
        <f t="shared" si="121"/>
        <v xml:space="preserve">  </v>
      </c>
      <c r="R257" s="36" t="str">
        <f t="shared" si="122"/>
        <v xml:space="preserve">  </v>
      </c>
      <c r="S257" s="37" t="str">
        <f t="shared" si="123"/>
        <v xml:space="preserve">  </v>
      </c>
      <c r="T257" s="36" t="str">
        <f t="shared" si="124"/>
        <v xml:space="preserve">  </v>
      </c>
      <c r="U257" s="37" t="str">
        <f t="shared" si="125"/>
        <v xml:space="preserve">  </v>
      </c>
      <c r="V257" s="36" t="str">
        <f t="shared" si="126"/>
        <v xml:space="preserve">  </v>
      </c>
      <c r="W257" s="37" t="str">
        <f t="shared" si="127"/>
        <v xml:space="preserve">  </v>
      </c>
      <c r="X257" s="36" t="str">
        <f t="shared" si="128"/>
        <v xml:space="preserve">  </v>
      </c>
      <c r="Y257" s="37" t="str">
        <f t="shared" si="129"/>
        <v xml:space="preserve">  </v>
      </c>
      <c r="Z257" s="36" t="str">
        <f t="shared" si="130"/>
        <v xml:space="preserve">  </v>
      </c>
      <c r="AA257" s="37" t="str">
        <f t="shared" si="131"/>
        <v xml:space="preserve">  </v>
      </c>
      <c r="AB257" s="36" t="str">
        <f t="shared" si="132"/>
        <v xml:space="preserve">  </v>
      </c>
      <c r="AC257" s="37" t="str">
        <f t="shared" si="133"/>
        <v xml:space="preserve">  </v>
      </c>
      <c r="AD257" s="36" t="str">
        <f t="shared" si="134"/>
        <v xml:space="preserve">  </v>
      </c>
      <c r="AE257" s="37" t="str">
        <f t="shared" si="135"/>
        <v xml:space="preserve">  </v>
      </c>
      <c r="AF257" s="38" t="str">
        <f ca="1">_xlfn.IFNA(IF(AG257="",TODAY()+(VLOOKUP(A257,'Date Calcs'!A:G,7,0)*7),VLOOKUP(A257,'Actual Dates'!A:AE,21,FALSE())),"")</f>
        <v/>
      </c>
      <c r="AG257" s="38" t="str">
        <f>IF(VLOOKUP(A257,'Actual Dates'!A:AE,20,0)="","",VLOOKUP(A257,'Actual Dates'!A:AE,20,0))</f>
        <v/>
      </c>
      <c r="AH257" s="38" t="str">
        <f>_xlfn.IFNA(IF($AG257="","",IF(X257="Y","DONE",VLOOKUP(A257,'Ship Date'!A:AE,27,0))),"")</f>
        <v/>
      </c>
      <c r="AI257" s="12">
        <f t="shared" ca="1" si="105"/>
        <v>0</v>
      </c>
      <c r="AJ257" s="38" t="str">
        <f>_xlfn.IFNA(IF($AG257="","",IF(AB257="Y","DONE",VLOOKUP(A257,'Ship Date'!A:AG,29,0))),"")</f>
        <v/>
      </c>
      <c r="AK257" s="12">
        <f t="shared" ca="1" si="106"/>
        <v>0</v>
      </c>
      <c r="AL257" s="38" t="str">
        <f>_xlfn.IFNA(IF($AG257="","",IF(Z257="Y","DONE",VLOOKUP(A257,'Ship Date'!A:AI,28,0))),"")</f>
        <v/>
      </c>
      <c r="AM257" s="12">
        <f t="shared" ca="1" si="107"/>
        <v>0</v>
      </c>
      <c r="AN257" s="38" t="str">
        <f>_xlfn.IFNA(IF(T257="Y","DONE",VLOOKUP(A257,'Ship Date'!A:AE,25,0)),"")</f>
        <v/>
      </c>
      <c r="AO257" s="12">
        <f t="shared" si="108"/>
        <v>0</v>
      </c>
      <c r="AP257" s="38" t="str">
        <f>_xlfn.IFNA(IF(AD257="Y","DONE",VLOOKUP(A257,'Ship Date'!A:AE,30,0)),"")</f>
        <v/>
      </c>
      <c r="AQ257" s="12">
        <f t="shared" ca="1" si="109"/>
        <v>0</v>
      </c>
      <c r="AR257" s="38" t="str">
        <f>IFERROR(_xlfn.IFNA(VLOOKUP(A257,'Ship Date'!A:C,3,0),""),"")</f>
        <v/>
      </c>
      <c r="AS257" s="12" t="str">
        <f t="shared" ca="1" si="110"/>
        <v/>
      </c>
      <c r="AT257" s="38">
        <f>_xlfn.IFNA(IF(VLOOKUP(A257,'Actual Dates'!A:AF,32,0)="N/A"," ",VLOOKUP(A257,'Actual Dates'!A:AF,32,0))," ")</f>
        <v>0</v>
      </c>
      <c r="AU257" s="39"/>
      <c r="AV257" s="38" t="str">
        <f>_xlfn.IFNA(IF(VLOOKUP(A257,'Actual Dates'!A:AE,31,0)="","",VLOOKUP(A257,'Actual Dates'!A:AE,31,0)),"")</f>
        <v/>
      </c>
      <c r="AW257" s="40"/>
    </row>
    <row r="258" spans="1:49" ht="23.25" x14ac:dyDescent="0.25">
      <c r="A258" s="12">
        <f>'Actual Dates'!A257</f>
        <v>0</v>
      </c>
      <c r="B258" s="13" t="str">
        <f t="shared" si="102"/>
        <v/>
      </c>
      <c r="C258" s="35"/>
      <c r="D258" s="36" t="str">
        <f t="shared" si="111"/>
        <v/>
      </c>
      <c r="E258" s="37" t="str">
        <f t="shared" si="112"/>
        <v xml:space="preserve">  </v>
      </c>
      <c r="F258" s="36" t="str">
        <f t="shared" si="113"/>
        <v xml:space="preserve">  </v>
      </c>
      <c r="G258" s="37" t="str">
        <f t="shared" si="114"/>
        <v xml:space="preserve">  </v>
      </c>
      <c r="H258" s="36" t="str">
        <f t="shared" si="103"/>
        <v xml:space="preserve">  </v>
      </c>
      <c r="I258" s="37" t="str">
        <f t="shared" si="115"/>
        <v xml:space="preserve">  </v>
      </c>
      <c r="J258" s="35"/>
      <c r="K258" s="36" t="str">
        <f t="shared" si="116"/>
        <v>Y</v>
      </c>
      <c r="L258" s="37" t="str">
        <f t="shared" si="117"/>
        <v/>
      </c>
      <c r="M258" s="37" t="str">
        <f t="shared" si="104"/>
        <v xml:space="preserve">  </v>
      </c>
      <c r="N258" s="36" t="str">
        <f t="shared" si="118"/>
        <v xml:space="preserve">  </v>
      </c>
      <c r="O258" s="37" t="str">
        <f t="shared" si="119"/>
        <v/>
      </c>
      <c r="P258" s="36" t="str">
        <f t="shared" si="120"/>
        <v xml:space="preserve">  </v>
      </c>
      <c r="Q258" s="37" t="str">
        <f t="shared" si="121"/>
        <v xml:space="preserve">  </v>
      </c>
      <c r="R258" s="36" t="str">
        <f t="shared" si="122"/>
        <v xml:space="preserve">  </v>
      </c>
      <c r="S258" s="37" t="str">
        <f t="shared" si="123"/>
        <v xml:space="preserve">  </v>
      </c>
      <c r="T258" s="36" t="str">
        <f t="shared" si="124"/>
        <v xml:space="preserve">  </v>
      </c>
      <c r="U258" s="37" t="str">
        <f t="shared" si="125"/>
        <v xml:space="preserve">  </v>
      </c>
      <c r="V258" s="36" t="str">
        <f t="shared" si="126"/>
        <v xml:space="preserve">  </v>
      </c>
      <c r="W258" s="37" t="str">
        <f t="shared" si="127"/>
        <v xml:space="preserve">  </v>
      </c>
      <c r="X258" s="36" t="str">
        <f t="shared" si="128"/>
        <v xml:space="preserve">  </v>
      </c>
      <c r="Y258" s="37" t="str">
        <f t="shared" si="129"/>
        <v xml:space="preserve">  </v>
      </c>
      <c r="Z258" s="36" t="str">
        <f t="shared" si="130"/>
        <v xml:space="preserve">  </v>
      </c>
      <c r="AA258" s="37" t="str">
        <f t="shared" si="131"/>
        <v xml:space="preserve">  </v>
      </c>
      <c r="AB258" s="36" t="str">
        <f t="shared" si="132"/>
        <v xml:space="preserve">  </v>
      </c>
      <c r="AC258" s="37" t="str">
        <f t="shared" si="133"/>
        <v xml:space="preserve">  </v>
      </c>
      <c r="AD258" s="36" t="str">
        <f t="shared" si="134"/>
        <v xml:space="preserve">  </v>
      </c>
      <c r="AE258" s="37" t="str">
        <f t="shared" si="135"/>
        <v xml:space="preserve">  </v>
      </c>
      <c r="AF258" s="38" t="str">
        <f ca="1">_xlfn.IFNA(IF(AG258="",TODAY()+(VLOOKUP(A258,'Date Calcs'!A:G,7,0)*7),VLOOKUP(A258,'Actual Dates'!A:AE,21,FALSE())),"")</f>
        <v/>
      </c>
      <c r="AG258" s="38" t="str">
        <f>IF(VLOOKUP(A258,'Actual Dates'!A:AE,20,0)="","",VLOOKUP(A258,'Actual Dates'!A:AE,20,0))</f>
        <v/>
      </c>
      <c r="AH258" s="38" t="str">
        <f>_xlfn.IFNA(IF($AG258="","",IF(X258="Y","DONE",VLOOKUP(A258,'Ship Date'!A:AE,27,0))),"")</f>
        <v/>
      </c>
      <c r="AI258" s="12">
        <f t="shared" ca="1" si="105"/>
        <v>0</v>
      </c>
      <c r="AJ258" s="38" t="str">
        <f>_xlfn.IFNA(IF($AG258="","",IF(AB258="Y","DONE",VLOOKUP(A258,'Ship Date'!A:AG,29,0))),"")</f>
        <v/>
      </c>
      <c r="AK258" s="12">
        <f t="shared" ca="1" si="106"/>
        <v>0</v>
      </c>
      <c r="AL258" s="38" t="str">
        <f>_xlfn.IFNA(IF($AG258="","",IF(Z258="Y","DONE",VLOOKUP(A258,'Ship Date'!A:AI,28,0))),"")</f>
        <v/>
      </c>
      <c r="AM258" s="12">
        <f t="shared" ca="1" si="107"/>
        <v>0</v>
      </c>
      <c r="AN258" s="38" t="str">
        <f>_xlfn.IFNA(IF(T258="Y","DONE",VLOOKUP(A258,'Ship Date'!A:AE,25,0)),"")</f>
        <v/>
      </c>
      <c r="AO258" s="12">
        <f t="shared" si="108"/>
        <v>0</v>
      </c>
      <c r="AP258" s="38" t="str">
        <f>_xlfn.IFNA(IF(AD258="Y","DONE",VLOOKUP(A258,'Ship Date'!A:AE,30,0)),"")</f>
        <v/>
      </c>
      <c r="AQ258" s="12">
        <f t="shared" ca="1" si="109"/>
        <v>0</v>
      </c>
      <c r="AR258" s="38" t="str">
        <f>IFERROR(_xlfn.IFNA(VLOOKUP(A258,'Ship Date'!A:C,3,0),""),"")</f>
        <v/>
      </c>
      <c r="AS258" s="12" t="str">
        <f t="shared" ca="1" si="110"/>
        <v/>
      </c>
      <c r="AT258" s="38">
        <f>_xlfn.IFNA(IF(VLOOKUP(A258,'Actual Dates'!A:AF,32,0)="N/A"," ",VLOOKUP(A258,'Actual Dates'!A:AF,32,0))," ")</f>
        <v>0</v>
      </c>
      <c r="AU258" s="39"/>
      <c r="AV258" s="38" t="str">
        <f>_xlfn.IFNA(IF(VLOOKUP(A258,'Actual Dates'!A:AE,31,0)="","",VLOOKUP(A258,'Actual Dates'!A:AE,31,0)),"")</f>
        <v/>
      </c>
      <c r="AW258" s="40"/>
    </row>
    <row r="259" spans="1:49" ht="23.25" x14ac:dyDescent="0.25">
      <c r="A259" s="12">
        <f>'Actual Dates'!A258</f>
        <v>0</v>
      </c>
      <c r="B259" s="13" t="str">
        <f t="shared" si="102"/>
        <v/>
      </c>
      <c r="C259" s="35"/>
      <c r="D259" s="36" t="str">
        <f t="shared" si="111"/>
        <v/>
      </c>
      <c r="E259" s="37" t="str">
        <f t="shared" si="112"/>
        <v xml:space="preserve">  </v>
      </c>
      <c r="F259" s="36" t="str">
        <f t="shared" si="113"/>
        <v xml:space="preserve">  </v>
      </c>
      <c r="G259" s="37" t="str">
        <f t="shared" si="114"/>
        <v xml:space="preserve">  </v>
      </c>
      <c r="H259" s="36" t="str">
        <f t="shared" si="103"/>
        <v xml:space="preserve">  </v>
      </c>
      <c r="I259" s="37" t="str">
        <f t="shared" si="115"/>
        <v xml:space="preserve">  </v>
      </c>
      <c r="J259" s="35"/>
      <c r="K259" s="36" t="str">
        <f t="shared" si="116"/>
        <v>Y</v>
      </c>
      <c r="L259" s="37" t="str">
        <f t="shared" si="117"/>
        <v/>
      </c>
      <c r="M259" s="37" t="str">
        <f t="shared" si="104"/>
        <v xml:space="preserve">  </v>
      </c>
      <c r="N259" s="36" t="str">
        <f t="shared" si="118"/>
        <v xml:space="preserve">  </v>
      </c>
      <c r="O259" s="37" t="str">
        <f t="shared" si="119"/>
        <v/>
      </c>
      <c r="P259" s="36" t="str">
        <f t="shared" si="120"/>
        <v xml:space="preserve">  </v>
      </c>
      <c r="Q259" s="37" t="str">
        <f t="shared" si="121"/>
        <v xml:space="preserve">  </v>
      </c>
      <c r="R259" s="36" t="str">
        <f t="shared" si="122"/>
        <v xml:space="preserve">  </v>
      </c>
      <c r="S259" s="37" t="str">
        <f t="shared" si="123"/>
        <v xml:space="preserve">  </v>
      </c>
      <c r="T259" s="36" t="str">
        <f t="shared" si="124"/>
        <v xml:space="preserve">  </v>
      </c>
      <c r="U259" s="37" t="str">
        <f t="shared" si="125"/>
        <v xml:space="preserve">  </v>
      </c>
      <c r="V259" s="36" t="str">
        <f t="shared" si="126"/>
        <v xml:space="preserve">  </v>
      </c>
      <c r="W259" s="37" t="str">
        <f t="shared" si="127"/>
        <v xml:space="preserve">  </v>
      </c>
      <c r="X259" s="36" t="str">
        <f t="shared" si="128"/>
        <v xml:space="preserve">  </v>
      </c>
      <c r="Y259" s="37" t="str">
        <f t="shared" si="129"/>
        <v xml:space="preserve">  </v>
      </c>
      <c r="Z259" s="36" t="str">
        <f t="shared" si="130"/>
        <v xml:space="preserve">  </v>
      </c>
      <c r="AA259" s="37" t="str">
        <f t="shared" si="131"/>
        <v xml:space="preserve">  </v>
      </c>
      <c r="AB259" s="36" t="str">
        <f t="shared" si="132"/>
        <v xml:space="preserve">  </v>
      </c>
      <c r="AC259" s="37" t="str">
        <f t="shared" si="133"/>
        <v xml:space="preserve">  </v>
      </c>
      <c r="AD259" s="36" t="str">
        <f t="shared" si="134"/>
        <v xml:space="preserve">  </v>
      </c>
      <c r="AE259" s="37" t="str">
        <f t="shared" si="135"/>
        <v xml:space="preserve">  </v>
      </c>
      <c r="AF259" s="38" t="str">
        <f ca="1">_xlfn.IFNA(IF(AG259="",TODAY()+(VLOOKUP(A259,'Date Calcs'!A:G,7,0)*7),VLOOKUP(A259,'Actual Dates'!A:AE,21,FALSE())),"")</f>
        <v/>
      </c>
      <c r="AG259" s="38" t="str">
        <f>IF(VLOOKUP(A259,'Actual Dates'!A:AE,20,0)="","",VLOOKUP(A259,'Actual Dates'!A:AE,20,0))</f>
        <v/>
      </c>
      <c r="AH259" s="38" t="str">
        <f>_xlfn.IFNA(IF($AG259="","",IF(X259="Y","DONE",VLOOKUP(A259,'Ship Date'!A:AE,27,0))),"")</f>
        <v/>
      </c>
      <c r="AI259" s="12">
        <f t="shared" ca="1" si="105"/>
        <v>0</v>
      </c>
      <c r="AJ259" s="38" t="str">
        <f>_xlfn.IFNA(IF($AG259="","",IF(AB259="Y","DONE",VLOOKUP(A259,'Ship Date'!A:AG,29,0))),"")</f>
        <v/>
      </c>
      <c r="AK259" s="12">
        <f t="shared" ca="1" si="106"/>
        <v>0</v>
      </c>
      <c r="AL259" s="38" t="str">
        <f>_xlfn.IFNA(IF($AG259="","",IF(Z259="Y","DONE",VLOOKUP(A259,'Ship Date'!A:AI,28,0))),"")</f>
        <v/>
      </c>
      <c r="AM259" s="12">
        <f t="shared" ca="1" si="107"/>
        <v>0</v>
      </c>
      <c r="AN259" s="38" t="str">
        <f>_xlfn.IFNA(IF(T259="Y","DONE",VLOOKUP(A259,'Ship Date'!A:AE,25,0)),"")</f>
        <v/>
      </c>
      <c r="AO259" s="12">
        <f t="shared" si="108"/>
        <v>0</v>
      </c>
      <c r="AP259" s="38" t="str">
        <f>_xlfn.IFNA(IF(AD259="Y","DONE",VLOOKUP(A259,'Ship Date'!A:AE,30,0)),"")</f>
        <v/>
      </c>
      <c r="AQ259" s="12">
        <f t="shared" ca="1" si="109"/>
        <v>0</v>
      </c>
      <c r="AR259" s="38" t="str">
        <f>IFERROR(_xlfn.IFNA(VLOOKUP(A259,'Ship Date'!A:C,3,0),""),"")</f>
        <v/>
      </c>
      <c r="AS259" s="12" t="str">
        <f t="shared" ca="1" si="110"/>
        <v/>
      </c>
      <c r="AT259" s="38">
        <f>_xlfn.IFNA(IF(VLOOKUP(A259,'Actual Dates'!A:AF,32,0)="N/A"," ",VLOOKUP(A259,'Actual Dates'!A:AF,32,0))," ")</f>
        <v>0</v>
      </c>
      <c r="AU259" s="39"/>
      <c r="AV259" s="38" t="str">
        <f>_xlfn.IFNA(IF(VLOOKUP(A259,'Actual Dates'!A:AE,31,0)="","",VLOOKUP(A259,'Actual Dates'!A:AE,31,0)),"")</f>
        <v/>
      </c>
      <c r="AW259" s="40"/>
    </row>
    <row r="260" spans="1:49" ht="23.25" x14ac:dyDescent="0.25">
      <c r="A260" s="12">
        <f>'Actual Dates'!A259</f>
        <v>0</v>
      </c>
      <c r="B260" s="13" t="str">
        <f t="shared" si="102"/>
        <v/>
      </c>
      <c r="C260" s="35"/>
      <c r="D260" s="36" t="str">
        <f t="shared" si="111"/>
        <v/>
      </c>
      <c r="E260" s="37" t="str">
        <f t="shared" si="112"/>
        <v xml:space="preserve">  </v>
      </c>
      <c r="F260" s="36" t="str">
        <f t="shared" si="113"/>
        <v xml:space="preserve">  </v>
      </c>
      <c r="G260" s="37" t="str">
        <f t="shared" si="114"/>
        <v xml:space="preserve">  </v>
      </c>
      <c r="H260" s="36" t="str">
        <f t="shared" si="103"/>
        <v xml:space="preserve">  </v>
      </c>
      <c r="I260" s="37" t="str">
        <f t="shared" si="115"/>
        <v xml:space="preserve">  </v>
      </c>
      <c r="J260" s="35"/>
      <c r="K260" s="36" t="str">
        <f t="shared" si="116"/>
        <v>Y</v>
      </c>
      <c r="L260" s="37" t="str">
        <f t="shared" si="117"/>
        <v/>
      </c>
      <c r="M260" s="37" t="str">
        <f t="shared" si="104"/>
        <v xml:space="preserve">  </v>
      </c>
      <c r="N260" s="36" t="str">
        <f t="shared" si="118"/>
        <v xml:space="preserve">  </v>
      </c>
      <c r="O260" s="37" t="str">
        <f t="shared" si="119"/>
        <v/>
      </c>
      <c r="P260" s="36" t="str">
        <f t="shared" si="120"/>
        <v xml:space="preserve">  </v>
      </c>
      <c r="Q260" s="37" t="str">
        <f t="shared" si="121"/>
        <v xml:space="preserve">  </v>
      </c>
      <c r="R260" s="36" t="str">
        <f t="shared" si="122"/>
        <v xml:space="preserve">  </v>
      </c>
      <c r="S260" s="37" t="str">
        <f t="shared" si="123"/>
        <v xml:space="preserve">  </v>
      </c>
      <c r="T260" s="36" t="str">
        <f t="shared" si="124"/>
        <v xml:space="preserve">  </v>
      </c>
      <c r="U260" s="37" t="str">
        <f t="shared" si="125"/>
        <v xml:space="preserve">  </v>
      </c>
      <c r="V260" s="36" t="str">
        <f t="shared" si="126"/>
        <v xml:space="preserve">  </v>
      </c>
      <c r="W260" s="37" t="str">
        <f t="shared" si="127"/>
        <v xml:space="preserve">  </v>
      </c>
      <c r="X260" s="36" t="str">
        <f t="shared" si="128"/>
        <v xml:space="preserve">  </v>
      </c>
      <c r="Y260" s="37" t="str">
        <f t="shared" si="129"/>
        <v xml:space="preserve">  </v>
      </c>
      <c r="Z260" s="36" t="str">
        <f t="shared" si="130"/>
        <v xml:space="preserve">  </v>
      </c>
      <c r="AA260" s="37" t="str">
        <f t="shared" si="131"/>
        <v xml:space="preserve">  </v>
      </c>
      <c r="AB260" s="36" t="str">
        <f t="shared" si="132"/>
        <v xml:space="preserve">  </v>
      </c>
      <c r="AC260" s="37" t="str">
        <f t="shared" si="133"/>
        <v xml:space="preserve">  </v>
      </c>
      <c r="AD260" s="36" t="str">
        <f t="shared" si="134"/>
        <v xml:space="preserve">  </v>
      </c>
      <c r="AE260" s="37" t="str">
        <f t="shared" si="135"/>
        <v xml:space="preserve">  </v>
      </c>
      <c r="AF260" s="38" t="str">
        <f ca="1">_xlfn.IFNA(IF(AG260="",TODAY()+(VLOOKUP(A260,'Date Calcs'!A:G,7,0)*7),VLOOKUP(A260,'Actual Dates'!A:AE,21,FALSE())),"")</f>
        <v/>
      </c>
      <c r="AG260" s="38" t="str">
        <f>IF(VLOOKUP(A260,'Actual Dates'!A:AE,20,0)="","",VLOOKUP(A260,'Actual Dates'!A:AE,20,0))</f>
        <v/>
      </c>
      <c r="AH260" s="38" t="str">
        <f>_xlfn.IFNA(IF($AG260="","",IF(X260="Y","DONE",VLOOKUP(A260,'Ship Date'!A:AE,27,0))),"")</f>
        <v/>
      </c>
      <c r="AI260" s="12">
        <f t="shared" ca="1" si="105"/>
        <v>0</v>
      </c>
      <c r="AJ260" s="38" t="str">
        <f>_xlfn.IFNA(IF($AG260="","",IF(AB260="Y","DONE",VLOOKUP(A260,'Ship Date'!A:AG,29,0))),"")</f>
        <v/>
      </c>
      <c r="AK260" s="12">
        <f t="shared" ca="1" si="106"/>
        <v>0</v>
      </c>
      <c r="AL260" s="38" t="str">
        <f>_xlfn.IFNA(IF($AG260="","",IF(Z260="Y","DONE",VLOOKUP(A260,'Ship Date'!A:AI,28,0))),"")</f>
        <v/>
      </c>
      <c r="AM260" s="12">
        <f t="shared" ca="1" si="107"/>
        <v>0</v>
      </c>
      <c r="AN260" s="38" t="str">
        <f>_xlfn.IFNA(IF(T260="Y","DONE",VLOOKUP(A260,'Ship Date'!A:AE,25,0)),"")</f>
        <v/>
      </c>
      <c r="AO260" s="12">
        <f t="shared" si="108"/>
        <v>0</v>
      </c>
      <c r="AP260" s="38" t="str">
        <f>_xlfn.IFNA(IF(AD260="Y","DONE",VLOOKUP(A260,'Ship Date'!A:AE,30,0)),"")</f>
        <v/>
      </c>
      <c r="AQ260" s="12">
        <f t="shared" ca="1" si="109"/>
        <v>0</v>
      </c>
      <c r="AR260" s="38" t="str">
        <f>IFERROR(_xlfn.IFNA(VLOOKUP(A260,'Ship Date'!A:C,3,0),""),"")</f>
        <v/>
      </c>
      <c r="AS260" s="12" t="str">
        <f t="shared" ca="1" si="110"/>
        <v/>
      </c>
      <c r="AT260" s="38">
        <f>_xlfn.IFNA(IF(VLOOKUP(A260,'Actual Dates'!A:AF,32,0)="N/A"," ",VLOOKUP(A260,'Actual Dates'!A:AF,32,0))," ")</f>
        <v>0</v>
      </c>
      <c r="AU260" s="39"/>
      <c r="AV260" s="38" t="str">
        <f>_xlfn.IFNA(IF(VLOOKUP(A260,'Actual Dates'!A:AE,31,0)="","",VLOOKUP(A260,'Actual Dates'!A:AE,31,0)),"")</f>
        <v/>
      </c>
      <c r="AW260" s="40"/>
    </row>
    <row r="261" spans="1:49" ht="23.25" x14ac:dyDescent="0.25">
      <c r="AT261" s="38"/>
    </row>
    <row r="262" spans="1:49" ht="23.25" x14ac:dyDescent="0.25">
      <c r="AT262" s="38"/>
    </row>
    <row r="263" spans="1:49" ht="23.25" x14ac:dyDescent="0.25">
      <c r="AT263" s="38"/>
    </row>
    <row r="264" spans="1:49" ht="23.25" x14ac:dyDescent="0.25">
      <c r="AT264" s="38"/>
    </row>
    <row r="265" spans="1:49" ht="23.25" x14ac:dyDescent="0.25">
      <c r="AT265" s="38"/>
    </row>
    <row r="266" spans="1:49" ht="23.25" x14ac:dyDescent="0.25">
      <c r="AT266" s="38"/>
    </row>
    <row r="267" spans="1:49" ht="23.25" x14ac:dyDescent="0.25">
      <c r="AT267" s="38"/>
    </row>
    <row r="268" spans="1:49" ht="23.25" x14ac:dyDescent="0.25">
      <c r="AT268" s="38"/>
    </row>
    <row r="269" spans="1:49" ht="23.25" x14ac:dyDescent="0.25">
      <c r="AT269" s="38"/>
    </row>
    <row r="270" spans="1:49" ht="23.25" x14ac:dyDescent="0.25">
      <c r="AT270" s="38"/>
    </row>
    <row r="271" spans="1:49" ht="23.25" x14ac:dyDescent="0.25">
      <c r="AT271" s="38"/>
    </row>
    <row r="272" spans="1:49" ht="23.25" x14ac:dyDescent="0.25">
      <c r="AT272" s="38"/>
    </row>
    <row r="273" spans="46:46" ht="23.25" x14ac:dyDescent="0.25">
      <c r="AT273" s="38"/>
    </row>
    <row r="274" spans="46:46" ht="23.25" x14ac:dyDescent="0.25">
      <c r="AT274" s="38"/>
    </row>
    <row r="275" spans="46:46" ht="23.25" x14ac:dyDescent="0.25">
      <c r="AT275" s="38"/>
    </row>
    <row r="276" spans="46:46" ht="23.25" x14ac:dyDescent="0.25">
      <c r="AT276" s="38"/>
    </row>
    <row r="277" spans="46:46" ht="23.25" x14ac:dyDescent="0.25">
      <c r="AT277" s="38"/>
    </row>
    <row r="278" spans="46:46" ht="23.25" x14ac:dyDescent="0.25">
      <c r="AT278" s="38"/>
    </row>
    <row r="279" spans="46:46" ht="23.25" x14ac:dyDescent="0.25">
      <c r="AT279" s="38"/>
    </row>
    <row r="280" spans="46:46" ht="23.25" x14ac:dyDescent="0.25">
      <c r="AT280" s="38"/>
    </row>
    <row r="281" spans="46:46" ht="23.25" x14ac:dyDescent="0.25">
      <c r="AT281" s="38"/>
    </row>
    <row r="282" spans="46:46" ht="23.25" x14ac:dyDescent="0.25">
      <c r="AT282" s="38"/>
    </row>
    <row r="283" spans="46:46" ht="23.25" x14ac:dyDescent="0.25">
      <c r="AT283" s="38"/>
    </row>
    <row r="284" spans="46:46" ht="23.25" x14ac:dyDescent="0.25">
      <c r="AT284" s="38"/>
    </row>
    <row r="285" spans="46:46" ht="23.25" x14ac:dyDescent="0.25">
      <c r="AT285" s="38"/>
    </row>
    <row r="286" spans="46:46" ht="23.25" x14ac:dyDescent="0.25">
      <c r="AT286" s="38"/>
    </row>
    <row r="287" spans="46:46" ht="23.25" x14ac:dyDescent="0.25">
      <c r="AT287" s="38"/>
    </row>
    <row r="288" spans="46:46" ht="23.25" x14ac:dyDescent="0.25">
      <c r="AT288" s="38"/>
    </row>
    <row r="289" spans="46:46" ht="23.25" x14ac:dyDescent="0.25">
      <c r="AT289" s="38"/>
    </row>
    <row r="290" spans="46:46" ht="23.25" x14ac:dyDescent="0.25">
      <c r="AT290" s="38"/>
    </row>
    <row r="291" spans="46:46" ht="23.25" x14ac:dyDescent="0.25">
      <c r="AT291" s="38"/>
    </row>
    <row r="292" spans="46:46" ht="23.25" x14ac:dyDescent="0.25">
      <c r="AT292" s="38"/>
    </row>
    <row r="293" spans="46:46" ht="23.25" x14ac:dyDescent="0.25">
      <c r="AT293" s="38"/>
    </row>
    <row r="294" spans="46:46" ht="23.25" x14ac:dyDescent="0.25">
      <c r="AT294" s="38"/>
    </row>
    <row r="295" spans="46:46" ht="23.25" x14ac:dyDescent="0.25">
      <c r="AT295" s="38"/>
    </row>
    <row r="296" spans="46:46" ht="23.25" x14ac:dyDescent="0.25">
      <c r="AT296" s="38"/>
    </row>
    <row r="297" spans="46:46" ht="23.25" x14ac:dyDescent="0.25">
      <c r="AT297" s="38"/>
    </row>
    <row r="298" spans="46:46" ht="23.25" x14ac:dyDescent="0.25">
      <c r="AT298" s="38"/>
    </row>
    <row r="299" spans="46:46" ht="23.25" x14ac:dyDescent="0.25">
      <c r="AT299" s="38"/>
    </row>
    <row r="300" spans="46:46" ht="23.25" x14ac:dyDescent="0.25">
      <c r="AT300" s="38"/>
    </row>
    <row r="301" spans="46:46" ht="23.25" x14ac:dyDescent="0.25">
      <c r="AT301" s="38"/>
    </row>
    <row r="302" spans="46:46" ht="23.25" x14ac:dyDescent="0.25">
      <c r="AT302" s="38"/>
    </row>
    <row r="303" spans="46:46" ht="23.25" x14ac:dyDescent="0.25">
      <c r="AT303" s="38"/>
    </row>
    <row r="304" spans="46:46" ht="23.25" x14ac:dyDescent="0.25">
      <c r="AT304" s="38"/>
    </row>
    <row r="305" spans="46:46" ht="23.25" x14ac:dyDescent="0.25">
      <c r="AT305" s="38"/>
    </row>
    <row r="306" spans="46:46" ht="23.25" x14ac:dyDescent="0.25">
      <c r="AT306" s="38"/>
    </row>
    <row r="307" spans="46:46" ht="23.25" x14ac:dyDescent="0.25">
      <c r="AT307" s="38"/>
    </row>
    <row r="308" spans="46:46" ht="23.25" x14ac:dyDescent="0.25">
      <c r="AT308" s="38"/>
    </row>
    <row r="309" spans="46:46" ht="23.25" x14ac:dyDescent="0.25">
      <c r="AT309" s="38"/>
    </row>
    <row r="310" spans="46:46" ht="23.25" x14ac:dyDescent="0.25">
      <c r="AT310" s="38"/>
    </row>
    <row r="311" spans="46:46" ht="23.25" x14ac:dyDescent="0.25">
      <c r="AT311" s="38"/>
    </row>
    <row r="312" spans="46:46" ht="23.25" x14ac:dyDescent="0.25">
      <c r="AT312" s="38"/>
    </row>
    <row r="313" spans="46:46" ht="23.25" x14ac:dyDescent="0.25">
      <c r="AT313" s="38"/>
    </row>
    <row r="314" spans="46:46" ht="23.25" x14ac:dyDescent="0.25">
      <c r="AT314" s="38"/>
    </row>
    <row r="315" spans="46:46" ht="23.25" x14ac:dyDescent="0.25">
      <c r="AT315" s="38"/>
    </row>
    <row r="316" spans="46:46" ht="23.25" x14ac:dyDescent="0.25">
      <c r="AT316" s="38"/>
    </row>
    <row r="317" spans="46:46" ht="23.25" x14ac:dyDescent="0.25">
      <c r="AT317" s="38"/>
    </row>
    <row r="318" spans="46:46" ht="23.25" x14ac:dyDescent="0.25">
      <c r="AT318" s="38"/>
    </row>
    <row r="319" spans="46:46" ht="23.25" x14ac:dyDescent="0.25">
      <c r="AT319" s="38"/>
    </row>
    <row r="320" spans="46:46" ht="23.25" x14ac:dyDescent="0.25">
      <c r="AT320" s="38"/>
    </row>
    <row r="321" spans="46:46" ht="23.25" x14ac:dyDescent="0.25">
      <c r="AT321" s="38"/>
    </row>
    <row r="322" spans="46:46" ht="23.25" x14ac:dyDescent="0.25">
      <c r="AT322" s="38"/>
    </row>
    <row r="323" spans="46:46" ht="23.25" x14ac:dyDescent="0.25">
      <c r="AT323" s="38"/>
    </row>
    <row r="324" spans="46:46" ht="23.25" x14ac:dyDescent="0.25">
      <c r="AT324" s="38"/>
    </row>
    <row r="325" spans="46:46" ht="23.25" x14ac:dyDescent="0.25">
      <c r="AT325" s="38"/>
    </row>
    <row r="326" spans="46:46" ht="23.25" x14ac:dyDescent="0.25">
      <c r="AT326" s="38"/>
    </row>
    <row r="327" spans="46:46" ht="23.25" x14ac:dyDescent="0.25">
      <c r="AT327" s="38"/>
    </row>
    <row r="328" spans="46:46" ht="23.25" x14ac:dyDescent="0.25">
      <c r="AT328" s="38"/>
    </row>
    <row r="329" spans="46:46" ht="23.25" x14ac:dyDescent="0.25">
      <c r="AT329" s="38"/>
    </row>
    <row r="330" spans="46:46" ht="23.25" x14ac:dyDescent="0.25">
      <c r="AT330" s="38"/>
    </row>
    <row r="331" spans="46:46" ht="23.25" x14ac:dyDescent="0.25">
      <c r="AT331" s="38"/>
    </row>
    <row r="332" spans="46:46" ht="23.25" x14ac:dyDescent="0.25">
      <c r="AT332" s="38"/>
    </row>
    <row r="333" spans="46:46" ht="23.25" x14ac:dyDescent="0.25">
      <c r="AT333" s="38"/>
    </row>
    <row r="334" spans="46:46" ht="23.25" x14ac:dyDescent="0.25">
      <c r="AT334" s="38"/>
    </row>
    <row r="335" spans="46:46" ht="23.25" x14ac:dyDescent="0.25">
      <c r="AT335" s="38"/>
    </row>
    <row r="336" spans="46:46" ht="23.25" x14ac:dyDescent="0.25">
      <c r="AT336" s="38"/>
    </row>
    <row r="337" spans="46:46" ht="23.25" x14ac:dyDescent="0.25">
      <c r="AT337" s="38"/>
    </row>
    <row r="338" spans="46:46" ht="23.25" x14ac:dyDescent="0.25">
      <c r="AT338" s="38"/>
    </row>
    <row r="339" spans="46:46" ht="23.25" x14ac:dyDescent="0.25">
      <c r="AT339" s="38"/>
    </row>
    <row r="340" spans="46:46" ht="23.25" x14ac:dyDescent="0.25">
      <c r="AT340" s="38"/>
    </row>
    <row r="341" spans="46:46" ht="23.25" x14ac:dyDescent="0.25">
      <c r="AT341" s="38"/>
    </row>
    <row r="342" spans="46:46" ht="23.25" x14ac:dyDescent="0.25">
      <c r="AT342" s="38"/>
    </row>
    <row r="343" spans="46:46" ht="23.25" x14ac:dyDescent="0.25">
      <c r="AT343" s="38"/>
    </row>
    <row r="344" spans="46:46" ht="23.25" x14ac:dyDescent="0.25">
      <c r="AT344" s="38"/>
    </row>
    <row r="345" spans="46:46" ht="23.25" x14ac:dyDescent="0.25">
      <c r="AT345" s="38"/>
    </row>
    <row r="346" spans="46:46" ht="23.25" x14ac:dyDescent="0.25">
      <c r="AT346" s="38"/>
    </row>
    <row r="347" spans="46:46" ht="23.25" x14ac:dyDescent="0.25">
      <c r="AT347" s="38"/>
    </row>
    <row r="348" spans="46:46" ht="23.25" x14ac:dyDescent="0.25">
      <c r="AT348" s="38"/>
    </row>
    <row r="349" spans="46:46" ht="23.25" x14ac:dyDescent="0.25">
      <c r="AT349" s="38"/>
    </row>
    <row r="350" spans="46:46" ht="23.25" x14ac:dyDescent="0.25">
      <c r="AT350" s="38"/>
    </row>
    <row r="351" spans="46:46" ht="23.25" x14ac:dyDescent="0.25">
      <c r="AT351" s="38"/>
    </row>
    <row r="352" spans="46:46" ht="23.25" x14ac:dyDescent="0.25">
      <c r="AT352" s="38"/>
    </row>
    <row r="353" spans="46:46" ht="23.25" x14ac:dyDescent="0.25">
      <c r="AT353" s="38"/>
    </row>
    <row r="354" spans="46:46" ht="23.25" x14ac:dyDescent="0.25">
      <c r="AT354" s="38"/>
    </row>
    <row r="355" spans="46:46" ht="23.25" x14ac:dyDescent="0.25">
      <c r="AT355" s="38"/>
    </row>
    <row r="356" spans="46:46" ht="23.25" x14ac:dyDescent="0.25">
      <c r="AT356" s="38"/>
    </row>
    <row r="357" spans="46:46" ht="23.25" x14ac:dyDescent="0.25">
      <c r="AT357" s="38"/>
    </row>
    <row r="358" spans="46:46" ht="23.25" x14ac:dyDescent="0.25">
      <c r="AT358" s="38"/>
    </row>
    <row r="359" spans="46:46" ht="23.25" x14ac:dyDescent="0.25">
      <c r="AT359" s="38"/>
    </row>
    <row r="360" spans="46:46" ht="23.25" x14ac:dyDescent="0.25">
      <c r="AT360" s="38"/>
    </row>
    <row r="361" spans="46:46" ht="23.25" x14ac:dyDescent="0.25">
      <c r="AT361" s="38"/>
    </row>
    <row r="362" spans="46:46" ht="23.25" x14ac:dyDescent="0.25">
      <c r="AT362" s="38"/>
    </row>
    <row r="363" spans="46:46" ht="23.25" x14ac:dyDescent="0.25">
      <c r="AT363" s="38"/>
    </row>
    <row r="364" spans="46:46" ht="23.25" x14ac:dyDescent="0.25">
      <c r="AT364" s="38"/>
    </row>
    <row r="365" spans="46:46" ht="23.25" x14ac:dyDescent="0.25">
      <c r="AT365" s="38"/>
    </row>
    <row r="366" spans="46:46" ht="23.25" x14ac:dyDescent="0.25">
      <c r="AT366" s="38"/>
    </row>
    <row r="367" spans="46:46" ht="23.25" x14ac:dyDescent="0.25">
      <c r="AT367" s="38"/>
    </row>
    <row r="368" spans="46:46" ht="23.25" x14ac:dyDescent="0.25">
      <c r="AT368" s="38"/>
    </row>
    <row r="369" spans="46:46" ht="23.25" x14ac:dyDescent="0.25">
      <c r="AT369" s="38"/>
    </row>
    <row r="370" spans="46:46" ht="23.25" x14ac:dyDescent="0.25">
      <c r="AT370" s="38"/>
    </row>
    <row r="371" spans="46:46" ht="23.25" x14ac:dyDescent="0.25">
      <c r="AT371" s="38"/>
    </row>
    <row r="372" spans="46:46" ht="23.25" x14ac:dyDescent="0.25">
      <c r="AT372" s="38"/>
    </row>
    <row r="373" spans="46:46" ht="23.25" x14ac:dyDescent="0.25">
      <c r="AT373" s="38"/>
    </row>
    <row r="374" spans="46:46" ht="23.25" x14ac:dyDescent="0.25">
      <c r="AT374" s="38"/>
    </row>
    <row r="375" spans="46:46" ht="23.25" x14ac:dyDescent="0.25">
      <c r="AT375" s="38"/>
    </row>
    <row r="376" spans="46:46" ht="23.25" x14ac:dyDescent="0.25">
      <c r="AT376" s="38"/>
    </row>
    <row r="377" spans="46:46" ht="23.25" x14ac:dyDescent="0.25">
      <c r="AT377" s="38"/>
    </row>
    <row r="378" spans="46:46" ht="23.25" x14ac:dyDescent="0.25">
      <c r="AT378" s="38"/>
    </row>
    <row r="379" spans="46:46" ht="23.25" x14ac:dyDescent="0.25">
      <c r="AT379" s="38"/>
    </row>
    <row r="380" spans="46:46" ht="23.25" x14ac:dyDescent="0.25">
      <c r="AT380" s="38"/>
    </row>
    <row r="381" spans="46:46" ht="23.25" x14ac:dyDescent="0.25">
      <c r="AT381" s="38"/>
    </row>
    <row r="382" spans="46:46" ht="23.25" x14ac:dyDescent="0.25">
      <c r="AT382" s="38"/>
    </row>
    <row r="383" spans="46:46" ht="23.25" x14ac:dyDescent="0.25">
      <c r="AT383" s="38"/>
    </row>
    <row r="384" spans="46:46" ht="23.25" x14ac:dyDescent="0.25">
      <c r="AT384" s="38"/>
    </row>
    <row r="385" spans="46:46" ht="23.25" x14ac:dyDescent="0.25">
      <c r="AT385" s="38"/>
    </row>
    <row r="386" spans="46:46" ht="23.25" x14ac:dyDescent="0.25">
      <c r="AT386" s="38"/>
    </row>
    <row r="387" spans="46:46" ht="23.25" x14ac:dyDescent="0.25">
      <c r="AT387" s="38"/>
    </row>
    <row r="388" spans="46:46" ht="23.25" x14ac:dyDescent="0.25">
      <c r="AT388" s="38"/>
    </row>
    <row r="389" spans="46:46" ht="23.25" x14ac:dyDescent="0.25">
      <c r="AT389" s="38"/>
    </row>
    <row r="390" spans="46:46" ht="23.25" x14ac:dyDescent="0.25">
      <c r="AT390" s="38"/>
    </row>
    <row r="391" spans="46:46" ht="23.25" x14ac:dyDescent="0.25">
      <c r="AT391" s="38"/>
    </row>
    <row r="392" spans="46:46" ht="23.25" x14ac:dyDescent="0.25">
      <c r="AT392" s="38"/>
    </row>
  </sheetData>
  <sheetProtection algorithmName="SHA-512" hashValue="0oJEnGMBtpns5h4KP+7vfKPtn4wNqi++0j/mqGJPUwHIL5ef0PglBwZ7Ka5C9yzzTYEH4fczuugC52w5+tfkng==" saltValue="NuHdzCCSHu0pkfELUW78zg==" spinCount="100000" sheet="1" formatRows="0" autoFilter="0"/>
  <autoFilter ref="A4:AW260" xr:uid="{00000000-0009-0000-0000-000002000000}">
    <filterColumn colId="47">
      <filters blank="1">
        <filter val="n/a"/>
      </filters>
    </filterColumn>
  </autoFilter>
  <mergeCells count="20">
    <mergeCell ref="V4:W4"/>
    <mergeCell ref="X4:Y4"/>
    <mergeCell ref="Z4:AA4"/>
    <mergeCell ref="AB4:AC4"/>
    <mergeCell ref="AG2:AH2"/>
    <mergeCell ref="AL2:AM2"/>
    <mergeCell ref="AO2:AQ2"/>
    <mergeCell ref="AD4:AE4"/>
    <mergeCell ref="A2:B2"/>
    <mergeCell ref="D3:I3"/>
    <mergeCell ref="K3:AA3"/>
    <mergeCell ref="AH3:AS3"/>
    <mergeCell ref="D4:E4"/>
    <mergeCell ref="F4:G4"/>
    <mergeCell ref="H4:I4"/>
    <mergeCell ref="K4:L4"/>
    <mergeCell ref="N4:O4"/>
    <mergeCell ref="P4:Q4"/>
    <mergeCell ref="R4:S4"/>
    <mergeCell ref="T4:U4"/>
  </mergeCells>
  <conditionalFormatting sqref="AF5:AF260">
    <cfRule type="cellIs" dxfId="61" priority="17" operator="greaterThan">
      <formula>"today()"</formula>
    </cfRule>
  </conditionalFormatting>
  <conditionalFormatting sqref="AG2">
    <cfRule type="cellIs" dxfId="60" priority="12" operator="lessThan">
      <formula>0</formula>
    </cfRule>
    <cfRule type="cellIs" dxfId="59" priority="13" operator="equal">
      <formula>0</formula>
    </cfRule>
    <cfRule type="cellIs" dxfId="58" priority="14" operator="between">
      <formula>8</formula>
      <formula>15</formula>
    </cfRule>
    <cfRule type="cellIs" dxfId="57" priority="15" operator="between">
      <formula>1</formula>
      <formula>7</formula>
    </cfRule>
    <cfRule type="cellIs" dxfId="56" priority="11" operator="greaterThan">
      <formula>14</formula>
    </cfRule>
  </conditionalFormatting>
  <conditionalFormatting sqref="AG82">
    <cfRule type="cellIs" dxfId="55" priority="18" operator="greaterThan">
      <formula>"today()"</formula>
    </cfRule>
  </conditionalFormatting>
  <conditionalFormatting sqref="AG104">
    <cfRule type="cellIs" dxfId="54" priority="19" operator="greaterThan">
      <formula>"today()"</formula>
    </cfRule>
  </conditionalFormatting>
  <conditionalFormatting sqref="AH3:AH1048576 AJ5:AJ260 AL5:AL260">
    <cfRule type="cellIs" dxfId="53" priority="20" operator="equal">
      <formula>"DONE"</formula>
    </cfRule>
  </conditionalFormatting>
  <conditionalFormatting sqref="AI5:AI260">
    <cfRule type="cellIs" dxfId="52" priority="21" operator="greaterThan">
      <formula>14</formula>
    </cfRule>
    <cfRule type="cellIs" dxfId="51" priority="22" operator="lessThan">
      <formula>0</formula>
    </cfRule>
    <cfRule type="cellIs" dxfId="50" priority="23" operator="equal">
      <formula>0</formula>
    </cfRule>
    <cfRule type="cellIs" dxfId="49" priority="24" operator="between">
      <formula>8</formula>
      <formula>15</formula>
    </cfRule>
    <cfRule type="cellIs" dxfId="48" priority="25" operator="between">
      <formula>1</formula>
      <formula>7</formula>
    </cfRule>
  </conditionalFormatting>
  <conditionalFormatting sqref="AK5:AK260">
    <cfRule type="cellIs" dxfId="47" priority="26" operator="greaterThan">
      <formula>14</formula>
    </cfRule>
    <cfRule type="cellIs" dxfId="46" priority="27" operator="lessThan">
      <formula>0</formula>
    </cfRule>
    <cfRule type="cellIs" dxfId="45" priority="28" operator="equal">
      <formula>0</formula>
    </cfRule>
    <cfRule type="cellIs" dxfId="44" priority="29" operator="between">
      <formula>8</formula>
      <formula>15</formula>
    </cfRule>
    <cfRule type="cellIs" dxfId="43" priority="30" operator="between">
      <formula>1</formula>
      <formula>7</formula>
    </cfRule>
  </conditionalFormatting>
  <conditionalFormatting sqref="AM5:AM260">
    <cfRule type="cellIs" dxfId="42" priority="31" operator="greaterThan">
      <formula>14</formula>
    </cfRule>
    <cfRule type="cellIs" dxfId="41" priority="32" operator="lessThan">
      <formula>0</formula>
    </cfRule>
    <cfRule type="cellIs" dxfId="40" priority="33" operator="equal">
      <formula>0</formula>
    </cfRule>
    <cfRule type="cellIs" dxfId="39" priority="34" operator="between">
      <formula>8</formula>
      <formula>15</formula>
    </cfRule>
    <cfRule type="cellIs" dxfId="38" priority="35" operator="between">
      <formula>1</formula>
      <formula>7</formula>
    </cfRule>
  </conditionalFormatting>
  <conditionalFormatting sqref="AN5:AN260">
    <cfRule type="cellIs" dxfId="37" priority="36" operator="equal">
      <formula>"DONE"</formula>
    </cfRule>
  </conditionalFormatting>
  <conditionalFormatting sqref="AO5:AO260">
    <cfRule type="cellIs" dxfId="36" priority="37" operator="greaterThan">
      <formula>14</formula>
    </cfRule>
    <cfRule type="cellIs" dxfId="35" priority="38" operator="lessThan">
      <formula>0</formula>
    </cfRule>
    <cfRule type="cellIs" dxfId="34" priority="39" operator="equal">
      <formula>0</formula>
    </cfRule>
    <cfRule type="cellIs" dxfId="33" priority="40" operator="between">
      <formula>8</formula>
      <formula>15</formula>
    </cfRule>
    <cfRule type="cellIs" dxfId="32" priority="41" operator="between">
      <formula>1</formula>
      <formula>7</formula>
    </cfRule>
  </conditionalFormatting>
  <conditionalFormatting sqref="AP5:AP260">
    <cfRule type="containsText" dxfId="31" priority="42" operator="containsText" text="DONE">
      <formula>NOT(ISERROR(SEARCH("DONE",AP5)))</formula>
    </cfRule>
  </conditionalFormatting>
  <conditionalFormatting sqref="AQ5:AQ260">
    <cfRule type="cellIs" dxfId="30" priority="43" operator="greaterThan">
      <formula>14</formula>
    </cfRule>
    <cfRule type="cellIs" dxfId="29" priority="44" operator="lessThan">
      <formula>0</formula>
    </cfRule>
    <cfRule type="cellIs" dxfId="28" priority="45" operator="equal">
      <formula>0</formula>
    </cfRule>
    <cfRule type="cellIs" dxfId="27" priority="46" operator="between">
      <formula>8</formula>
      <formula>15</formula>
    </cfRule>
    <cfRule type="cellIs" dxfId="26" priority="47" operator="between">
      <formula>1</formula>
      <formula>7</formula>
    </cfRule>
  </conditionalFormatting>
  <conditionalFormatting sqref="AS5:AS260 AU5:AU260">
    <cfRule type="cellIs" dxfId="25" priority="48" operator="between">
      <formula>8</formula>
      <formula>15</formula>
    </cfRule>
    <cfRule type="cellIs" dxfId="24" priority="49" operator="between">
      <formula>1</formula>
      <formula>7</formula>
    </cfRule>
    <cfRule type="cellIs" dxfId="23" priority="51" operator="greaterThan">
      <formula>14</formula>
    </cfRule>
    <cfRule type="cellIs" dxfId="22" priority="52" operator="lessThan">
      <formula>0</formula>
    </cfRule>
    <cfRule type="cellIs" dxfId="21" priority="53" operator="equal">
      <formula>0</formula>
    </cfRule>
  </conditionalFormatting>
  <conditionalFormatting sqref="AT5:AT81 AT83:AT103 AT105:AT392">
    <cfRule type="containsText" dxfId="20" priority="50" operator="containsText" text="DONE">
      <formula>NOT(ISERROR(SEARCH("DONE",AT5)))</formula>
    </cfRule>
  </conditionalFormatting>
  <conditionalFormatting sqref="AU6:AU260">
    <cfRule type="containsText" dxfId="19" priority="54" operator="containsText" text="Hold">
      <formula>NOT(ISERROR(SEARCH("Hold",AU6)))</formula>
    </cfRule>
  </conditionalFormatting>
  <pageMargins left="0.32986111111111099" right="0.2" top="0.25" bottom="0.43958333333333299" header="0.511811023622047" footer="0.209722222222222"/>
  <pageSetup fitToHeight="0" orientation="landscape" horizontalDpi="300" verticalDpi="300"/>
  <headerFooter>
    <oddFooter>&amp;L&amp;D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750"/>
  <sheetViews>
    <sheetView tabSelected="1" zoomScaleNormal="100" workbookViewId="0">
      <pane xSplit="1" ySplit="3" topLeftCell="E94" activePane="bottomRight" state="frozen"/>
      <selection pane="topRight" activeCell="B1" sqref="B1"/>
      <selection pane="bottomLeft" activeCell="A94" sqref="A94"/>
      <selection pane="bottomRight" activeCell="I123" sqref="I123"/>
    </sheetView>
  </sheetViews>
  <sheetFormatPr defaultColWidth="8.7109375" defaultRowHeight="15" x14ac:dyDescent="0.25"/>
  <cols>
    <col min="1" max="1" width="8.42578125" style="59" customWidth="1"/>
    <col min="2" max="5" width="3.140625" customWidth="1"/>
    <col min="6" max="6" width="3.7109375" customWidth="1"/>
    <col min="7" max="7" width="3.7109375" style="60" customWidth="1"/>
    <col min="8" max="8" width="11.5703125" style="23" customWidth="1"/>
    <col min="9" max="9" width="10.5703125" style="23" customWidth="1"/>
    <col min="10" max="12" width="10.42578125" style="23" customWidth="1"/>
    <col min="13" max="13" width="9.140625" style="23" customWidth="1"/>
    <col min="14" max="14" width="9.7109375" style="23" customWidth="1"/>
    <col min="15" max="16" width="10.7109375" style="23" customWidth="1"/>
    <col min="17" max="17" width="10.42578125" style="23" customWidth="1"/>
    <col min="18" max="18" width="6.28515625" customWidth="1"/>
    <col min="19" max="19" width="9.28515625" customWidth="1"/>
    <col min="20" max="20" width="9.42578125" style="23" customWidth="1"/>
    <col min="21" max="21" width="11.7109375" customWidth="1"/>
    <col min="22" max="22" width="9.7109375" style="23" customWidth="1"/>
    <col min="23" max="23" width="9.42578125" style="23" customWidth="1"/>
    <col min="24" max="29" width="9.7109375" style="23" customWidth="1"/>
    <col min="30" max="30" width="9.28515625" style="23" customWidth="1"/>
    <col min="31" max="32" width="9.140625" style="23" customWidth="1"/>
  </cols>
  <sheetData>
    <row r="1" spans="1:35" x14ac:dyDescent="0.25">
      <c r="G1" s="61"/>
      <c r="I1" s="62"/>
      <c r="J1" s="62"/>
      <c r="K1" s="62"/>
      <c r="L1" s="62"/>
      <c r="M1" s="62"/>
      <c r="N1" s="62"/>
      <c r="O1" s="62"/>
      <c r="P1" s="62"/>
      <c r="Q1" s="62"/>
      <c r="R1" s="63"/>
      <c r="S1" s="63" t="s">
        <v>50</v>
      </c>
      <c r="T1" s="62"/>
      <c r="U1" s="63"/>
      <c r="V1" s="62"/>
      <c r="W1" s="62"/>
      <c r="X1" s="62"/>
      <c r="Y1" s="62"/>
      <c r="Z1" s="62"/>
      <c r="AA1" s="62"/>
      <c r="AB1" s="62"/>
      <c r="AC1" s="62"/>
      <c r="AD1" s="62"/>
      <c r="AE1" s="64"/>
      <c r="AF1" s="64"/>
    </row>
    <row r="2" spans="1:35" x14ac:dyDescent="0.25">
      <c r="A2" s="59">
        <v>1</v>
      </c>
      <c r="B2">
        <v>2</v>
      </c>
      <c r="C2">
        <v>3</v>
      </c>
      <c r="D2">
        <v>4</v>
      </c>
      <c r="E2">
        <v>5</v>
      </c>
      <c r="F2">
        <v>6</v>
      </c>
      <c r="G2" s="60">
        <v>7</v>
      </c>
      <c r="H2" s="23">
        <v>8</v>
      </c>
      <c r="I2" s="23">
        <v>9</v>
      </c>
      <c r="J2" s="23">
        <v>10</v>
      </c>
      <c r="K2" s="23">
        <v>11</v>
      </c>
      <c r="L2" s="23">
        <v>12</v>
      </c>
      <c r="M2" s="23">
        <v>13</v>
      </c>
      <c r="N2" s="23">
        <v>14</v>
      </c>
      <c r="O2" s="23">
        <v>15</v>
      </c>
      <c r="P2" s="23">
        <v>16</v>
      </c>
      <c r="Q2" s="23">
        <v>17</v>
      </c>
      <c r="R2">
        <v>18</v>
      </c>
      <c r="S2">
        <v>19</v>
      </c>
      <c r="T2" s="23">
        <v>20</v>
      </c>
      <c r="U2">
        <v>21</v>
      </c>
      <c r="V2" s="23">
        <v>22</v>
      </c>
      <c r="W2" s="23">
        <v>23</v>
      </c>
      <c r="X2" s="23">
        <v>24</v>
      </c>
      <c r="Y2" s="23">
        <v>25</v>
      </c>
      <c r="Z2" s="23">
        <v>26</v>
      </c>
      <c r="AA2" s="23">
        <v>27</v>
      </c>
      <c r="AB2" s="23">
        <v>28</v>
      </c>
      <c r="AC2" s="23">
        <v>29</v>
      </c>
      <c r="AD2" s="23">
        <v>30</v>
      </c>
      <c r="AE2" s="23">
        <v>31</v>
      </c>
      <c r="AF2" s="23">
        <v>32</v>
      </c>
    </row>
    <row r="3" spans="1:35" s="76" customFormat="1" ht="46.5" customHeight="1" x14ac:dyDescent="0.2">
      <c r="A3" s="65" t="s">
        <v>51</v>
      </c>
      <c r="B3" s="66" t="s">
        <v>52</v>
      </c>
      <c r="C3" s="66" t="s">
        <v>53</v>
      </c>
      <c r="D3" s="66" t="s">
        <v>54</v>
      </c>
      <c r="E3" s="66" t="s">
        <v>55</v>
      </c>
      <c r="F3" s="66" t="s">
        <v>56</v>
      </c>
      <c r="G3" s="67" t="s">
        <v>13</v>
      </c>
      <c r="H3" s="68" t="s">
        <v>57</v>
      </c>
      <c r="I3" s="69" t="s">
        <v>58</v>
      </c>
      <c r="J3" s="69" t="s">
        <v>59</v>
      </c>
      <c r="K3" s="69" t="s">
        <v>58</v>
      </c>
      <c r="L3" s="69" t="s">
        <v>59</v>
      </c>
      <c r="M3" s="69" t="s">
        <v>58</v>
      </c>
      <c r="N3" s="69" t="s">
        <v>59</v>
      </c>
      <c r="O3" s="69" t="s">
        <v>58</v>
      </c>
      <c r="P3" s="69" t="s">
        <v>23</v>
      </c>
      <c r="Q3" s="69" t="s">
        <v>24</v>
      </c>
      <c r="R3" s="70" t="s">
        <v>56</v>
      </c>
      <c r="S3" s="71" t="s">
        <v>25</v>
      </c>
      <c r="T3" s="72" t="s">
        <v>26</v>
      </c>
      <c r="U3" s="73" t="s">
        <v>60</v>
      </c>
      <c r="V3" s="69" t="s">
        <v>27</v>
      </c>
      <c r="W3" s="69" t="s">
        <v>28</v>
      </c>
      <c r="X3" s="69" t="s">
        <v>61</v>
      </c>
      <c r="Y3" s="69" t="s">
        <v>62</v>
      </c>
      <c r="Z3" s="69" t="s">
        <v>30</v>
      </c>
      <c r="AA3" s="69" t="s">
        <v>31</v>
      </c>
      <c r="AB3" s="69" t="s">
        <v>32</v>
      </c>
      <c r="AC3" s="69" t="s">
        <v>33</v>
      </c>
      <c r="AD3" s="69" t="s">
        <v>63</v>
      </c>
      <c r="AE3" s="69" t="s">
        <v>355</v>
      </c>
      <c r="AF3" s="69" t="s">
        <v>65</v>
      </c>
      <c r="AG3" s="74" t="s">
        <v>66</v>
      </c>
      <c r="AH3" s="75" t="s">
        <v>67</v>
      </c>
    </row>
    <row r="4" spans="1:35" x14ac:dyDescent="0.25">
      <c r="A4" s="77" t="str">
        <f>'Date Calcs'!A5</f>
        <v>24-046</v>
      </c>
      <c r="B4" s="78" t="str">
        <f t="shared" ref="B4:B35" si="0">IF(H4&gt;0,"Y","N")</f>
        <v>Y</v>
      </c>
      <c r="C4" s="78" t="str">
        <f t="shared" ref="C4:C35" si="1">IF(I4&gt;0,IF(J4&gt;0,"Y","N"),"Y")</f>
        <v>Y</v>
      </c>
      <c r="D4" s="78" t="str">
        <f t="shared" ref="D4:D35" si="2">IF(K4&gt;0,IF(L4&gt;0,"Y","N"),"Y")</f>
        <v>Y</v>
      </c>
      <c r="E4" s="78" t="str">
        <f t="shared" ref="E4:E35" si="3">IF(M4&gt;0,IF(N4&gt;0,"Y","N"),"Y")</f>
        <v>Y</v>
      </c>
      <c r="F4" s="77">
        <f t="shared" ref="F4:F35" si="4">IF(N4&gt;0,3,IF(L4&gt;0,2,IF(J4&gt;0,1,IF(H4&gt;0,0,"  "))))</f>
        <v>3</v>
      </c>
      <c r="G4" s="79" t="str">
        <f t="shared" ref="G4:G35" si="5">IF(T4=0,"  ","y")</f>
        <v>y</v>
      </c>
      <c r="H4" s="80">
        <v>45544</v>
      </c>
      <c r="I4" s="81">
        <v>45782</v>
      </c>
      <c r="J4" s="81">
        <v>45801</v>
      </c>
      <c r="K4" s="81">
        <v>45846</v>
      </c>
      <c r="L4" s="81">
        <v>45854</v>
      </c>
      <c r="M4" s="81">
        <v>45868</v>
      </c>
      <c r="N4" s="81">
        <v>45875</v>
      </c>
      <c r="O4" s="81">
        <v>45877</v>
      </c>
      <c r="P4" s="81">
        <v>45531</v>
      </c>
      <c r="Q4" s="81">
        <v>45530</v>
      </c>
      <c r="R4" s="70">
        <f t="shared" ref="R4:R35" si="6">IF(N4&gt;0,4,IF(L4&gt;0,3,IF(J4&gt;0,2,IF(H4&gt;0,1,0))))</f>
        <v>4</v>
      </c>
      <c r="S4" s="82">
        <f t="shared" ref="S4:S35" si="7">IF(T4="","-",T4)</f>
        <v>45883</v>
      </c>
      <c r="T4" s="81">
        <v>45883</v>
      </c>
      <c r="U4" s="78">
        <f t="shared" ref="U4:U35" si="8">IFERROR(_xlfn.IFNA(IF(T4="",VLOOKUP(A4,Jobs,23,0),T4+(VLOOKUP(A4,Jobs,7,FALSE())*7)+(VLOOKUP(A4,Jobs,23,FALSE())*7)),"")," ")</f>
        <v>46163</v>
      </c>
      <c r="V4" s="81">
        <v>45888</v>
      </c>
      <c r="W4" s="81">
        <v>45888</v>
      </c>
      <c r="X4" s="81">
        <v>45967</v>
      </c>
      <c r="Y4" s="81">
        <v>45629</v>
      </c>
      <c r="Z4" s="81">
        <v>45967</v>
      </c>
      <c r="AA4" s="81">
        <v>45985</v>
      </c>
      <c r="AB4" s="81">
        <v>45979</v>
      </c>
      <c r="AC4" s="81">
        <v>45985</v>
      </c>
      <c r="AD4" s="81">
        <v>45996</v>
      </c>
      <c r="AE4" s="81"/>
      <c r="AF4" s="83" t="str">
        <f>IF(VLOOKUP(A4,'Date Calcs'!A:AH,34,0)="","N/A",VLOOKUP(A4,'Date Calcs'!A:AH,34,0))</f>
        <v>N/A</v>
      </c>
      <c r="AG4" s="76"/>
      <c r="AH4" s="84"/>
      <c r="AI4" s="85"/>
    </row>
    <row r="5" spans="1:35" x14ac:dyDescent="0.25">
      <c r="A5" s="77" t="str">
        <f>'Date Calcs'!A6</f>
        <v>25-010</v>
      </c>
      <c r="B5" s="78" t="str">
        <f t="shared" si="0"/>
        <v>Y</v>
      </c>
      <c r="C5" s="78" t="str">
        <f t="shared" si="1"/>
        <v>Y</v>
      </c>
      <c r="D5" s="78" t="str">
        <f t="shared" si="2"/>
        <v>Y</v>
      </c>
      <c r="E5" s="78" t="str">
        <f t="shared" si="3"/>
        <v>Y</v>
      </c>
      <c r="F5" s="77">
        <f t="shared" si="4"/>
        <v>2</v>
      </c>
      <c r="G5" s="79" t="str">
        <f t="shared" si="5"/>
        <v>y</v>
      </c>
      <c r="H5" s="80">
        <v>45805</v>
      </c>
      <c r="I5" s="81">
        <v>45834</v>
      </c>
      <c r="J5" s="81">
        <v>45841</v>
      </c>
      <c r="K5" s="81">
        <v>45890</v>
      </c>
      <c r="L5" s="81">
        <v>45897</v>
      </c>
      <c r="M5" s="86"/>
      <c r="N5" s="86"/>
      <c r="O5" s="86"/>
      <c r="P5" s="81">
        <v>45707</v>
      </c>
      <c r="Q5" s="81">
        <v>45705</v>
      </c>
      <c r="R5" s="70">
        <f t="shared" si="6"/>
        <v>3</v>
      </c>
      <c r="S5" s="82">
        <f t="shared" si="7"/>
        <v>45897</v>
      </c>
      <c r="T5" s="81">
        <v>45897</v>
      </c>
      <c r="U5" s="78">
        <f t="shared" si="8"/>
        <v>45995</v>
      </c>
      <c r="V5" s="81">
        <v>45863</v>
      </c>
      <c r="W5" s="81">
        <v>45863</v>
      </c>
      <c r="X5" s="81">
        <v>45866</v>
      </c>
      <c r="Y5" s="81">
        <v>45873</v>
      </c>
      <c r="Z5" s="81">
        <v>45866</v>
      </c>
      <c r="AA5" s="81">
        <v>45999</v>
      </c>
      <c r="AB5" s="81">
        <v>46038</v>
      </c>
      <c r="AC5" s="81">
        <v>45673</v>
      </c>
      <c r="AD5" s="81">
        <v>46039</v>
      </c>
      <c r="AE5" s="81">
        <v>46076</v>
      </c>
      <c r="AF5" s="83" t="str">
        <f>IF(VLOOKUP(A5,'Date Calcs'!A:AH,34,0)="","N/A",VLOOKUP(A5,'Date Calcs'!A:AH,34,0))</f>
        <v>N/A</v>
      </c>
      <c r="AG5" s="76"/>
      <c r="AH5" s="84"/>
      <c r="AI5" s="85"/>
    </row>
    <row r="6" spans="1:35" x14ac:dyDescent="0.25">
      <c r="A6" s="77" t="str">
        <f>'Date Calcs'!A7</f>
        <v>25-011</v>
      </c>
      <c r="B6" s="78" t="str">
        <f t="shared" si="0"/>
        <v>Y</v>
      </c>
      <c r="C6" s="78" t="str">
        <f t="shared" si="1"/>
        <v>Y</v>
      </c>
      <c r="D6" s="78" t="str">
        <f t="shared" si="2"/>
        <v>Y</v>
      </c>
      <c r="E6" s="78" t="str">
        <f t="shared" si="3"/>
        <v>Y</v>
      </c>
      <c r="F6" s="77">
        <f t="shared" si="4"/>
        <v>2</v>
      </c>
      <c r="G6" s="79" t="str">
        <f t="shared" si="5"/>
        <v>y</v>
      </c>
      <c r="H6" s="80">
        <v>45772</v>
      </c>
      <c r="I6" s="81">
        <v>45806</v>
      </c>
      <c r="J6" s="81">
        <v>45812</v>
      </c>
      <c r="K6" s="81">
        <v>45897</v>
      </c>
      <c r="L6" s="81">
        <v>45904</v>
      </c>
      <c r="M6" s="86"/>
      <c r="N6" s="86"/>
      <c r="O6" s="86"/>
      <c r="P6" s="81">
        <v>45706</v>
      </c>
      <c r="Q6" s="81">
        <v>45705</v>
      </c>
      <c r="R6" s="70">
        <f t="shared" si="6"/>
        <v>3</v>
      </c>
      <c r="S6" s="82">
        <f t="shared" si="7"/>
        <v>45904</v>
      </c>
      <c r="T6" s="81">
        <v>45904</v>
      </c>
      <c r="U6" s="78">
        <f t="shared" si="8"/>
        <v>46030</v>
      </c>
      <c r="V6" s="81">
        <v>45834</v>
      </c>
      <c r="W6" s="81">
        <v>45834</v>
      </c>
      <c r="X6" s="81">
        <v>45835</v>
      </c>
      <c r="Y6" s="81">
        <v>46022</v>
      </c>
      <c r="Z6" s="81">
        <v>45835</v>
      </c>
      <c r="AA6" s="81">
        <v>45961</v>
      </c>
      <c r="AB6" s="81"/>
      <c r="AC6" s="81"/>
      <c r="AD6" s="81">
        <v>46022</v>
      </c>
      <c r="AE6" s="81">
        <v>46057</v>
      </c>
      <c r="AF6" s="83" t="str">
        <f>IF(VLOOKUP(A6,'Date Calcs'!A:AH,34,0)="","N/A",VLOOKUP(A6,'Date Calcs'!A:AH,34,0))</f>
        <v>N/A</v>
      </c>
      <c r="AG6" s="76"/>
      <c r="AH6" s="84"/>
      <c r="AI6" s="85"/>
    </row>
    <row r="7" spans="1:35" x14ac:dyDescent="0.25">
      <c r="A7" s="77" t="str">
        <f>'Date Calcs'!A8</f>
        <v>25-012</v>
      </c>
      <c r="B7" s="78" t="str">
        <f t="shared" si="0"/>
        <v>Y</v>
      </c>
      <c r="C7" s="78" t="str">
        <f t="shared" si="1"/>
        <v>Y</v>
      </c>
      <c r="D7" s="78" t="str">
        <f t="shared" si="2"/>
        <v>Y</v>
      </c>
      <c r="E7" s="78" t="str">
        <f t="shared" si="3"/>
        <v>Y</v>
      </c>
      <c r="F7" s="77">
        <f t="shared" si="4"/>
        <v>2</v>
      </c>
      <c r="G7" s="79" t="str">
        <f t="shared" si="5"/>
        <v>y</v>
      </c>
      <c r="H7" s="80">
        <v>45772</v>
      </c>
      <c r="I7" s="81">
        <v>45806</v>
      </c>
      <c r="J7" s="81">
        <v>45812</v>
      </c>
      <c r="K7" s="81">
        <v>45897</v>
      </c>
      <c r="L7" s="81">
        <v>45904</v>
      </c>
      <c r="M7" s="86"/>
      <c r="N7" s="86"/>
      <c r="O7" s="86"/>
      <c r="P7" s="81">
        <v>45706</v>
      </c>
      <c r="Q7" s="81">
        <v>45705</v>
      </c>
      <c r="R7" s="70">
        <f t="shared" si="6"/>
        <v>3</v>
      </c>
      <c r="S7" s="82">
        <f t="shared" si="7"/>
        <v>45904</v>
      </c>
      <c r="T7" s="81">
        <v>45904</v>
      </c>
      <c r="U7" s="78">
        <f t="shared" si="8"/>
        <v>46030</v>
      </c>
      <c r="V7" s="81">
        <v>45838</v>
      </c>
      <c r="W7" s="81">
        <v>45838</v>
      </c>
      <c r="X7" s="81">
        <v>45839</v>
      </c>
      <c r="Y7" s="81">
        <v>46002</v>
      </c>
      <c r="Z7" s="81">
        <v>45839</v>
      </c>
      <c r="AA7" s="81">
        <v>45664</v>
      </c>
      <c r="AB7" s="81">
        <v>46000</v>
      </c>
      <c r="AC7" s="81">
        <v>46029</v>
      </c>
      <c r="AD7" s="81">
        <v>46030</v>
      </c>
      <c r="AE7" s="81">
        <v>46111</v>
      </c>
      <c r="AF7" s="83" t="str">
        <f>IF(VLOOKUP(A7,'Date Calcs'!A:AH,34,0)="","N/A",VLOOKUP(A7,'Date Calcs'!A:AH,34,0))</f>
        <v>N/A</v>
      </c>
      <c r="AG7" s="76"/>
      <c r="AH7" s="84"/>
      <c r="AI7" s="85"/>
    </row>
    <row r="8" spans="1:35" x14ac:dyDescent="0.25">
      <c r="A8" s="77" t="str">
        <f>'Date Calcs'!A9</f>
        <v>25-013</v>
      </c>
      <c r="B8" s="78" t="str">
        <f t="shared" si="0"/>
        <v>Y</v>
      </c>
      <c r="C8" s="78" t="str">
        <f t="shared" si="1"/>
        <v>Y</v>
      </c>
      <c r="D8" s="78" t="str">
        <f t="shared" si="2"/>
        <v>Y</v>
      </c>
      <c r="E8" s="78" t="str">
        <f t="shared" si="3"/>
        <v>Y</v>
      </c>
      <c r="F8" s="77">
        <f t="shared" si="4"/>
        <v>1</v>
      </c>
      <c r="G8" s="79" t="str">
        <f t="shared" si="5"/>
        <v>y</v>
      </c>
      <c r="H8" s="80">
        <v>45741</v>
      </c>
      <c r="I8" s="81">
        <v>45806</v>
      </c>
      <c r="J8" s="81">
        <v>45812</v>
      </c>
      <c r="K8" s="86"/>
      <c r="L8" s="86"/>
      <c r="M8" s="86"/>
      <c r="N8" s="86"/>
      <c r="O8" s="86"/>
      <c r="P8" s="81">
        <v>45706</v>
      </c>
      <c r="Q8" s="81">
        <v>45705</v>
      </c>
      <c r="R8" s="70">
        <f t="shared" si="6"/>
        <v>2</v>
      </c>
      <c r="S8" s="82">
        <f t="shared" si="7"/>
        <v>45904</v>
      </c>
      <c r="T8" s="81">
        <v>45904</v>
      </c>
      <c r="U8" s="78">
        <f t="shared" si="8"/>
        <v>46030</v>
      </c>
      <c r="V8" s="81">
        <v>45838</v>
      </c>
      <c r="W8" s="81">
        <v>45838</v>
      </c>
      <c r="X8" s="81">
        <v>45840</v>
      </c>
      <c r="Y8" s="81">
        <v>45887</v>
      </c>
      <c r="Z8" s="81">
        <v>45840</v>
      </c>
      <c r="AA8" s="81">
        <v>45952</v>
      </c>
      <c r="AB8" s="81">
        <v>45953</v>
      </c>
      <c r="AC8" s="81">
        <v>45955</v>
      </c>
      <c r="AD8" s="81">
        <v>45957</v>
      </c>
      <c r="AE8" s="81">
        <v>46111</v>
      </c>
      <c r="AF8" s="83" t="str">
        <f>IF(VLOOKUP(A8,'Date Calcs'!A:AH,34,0)="","N/A",VLOOKUP(A8,'Date Calcs'!A:AH,34,0))</f>
        <v>N/A</v>
      </c>
      <c r="AG8" s="76"/>
      <c r="AH8" s="84"/>
      <c r="AI8" s="85"/>
    </row>
    <row r="9" spans="1:35" x14ac:dyDescent="0.25">
      <c r="A9" s="77" t="str">
        <f>'Date Calcs'!A10</f>
        <v>25-014</v>
      </c>
      <c r="B9" s="78" t="str">
        <f t="shared" si="0"/>
        <v>Y</v>
      </c>
      <c r="C9" s="78" t="str">
        <f t="shared" si="1"/>
        <v>Y</v>
      </c>
      <c r="D9" s="78" t="str">
        <f t="shared" si="2"/>
        <v>Y</v>
      </c>
      <c r="E9" s="78" t="str">
        <f t="shared" si="3"/>
        <v>Y</v>
      </c>
      <c r="F9" s="77">
        <f t="shared" si="4"/>
        <v>1</v>
      </c>
      <c r="G9" s="79" t="str">
        <f t="shared" si="5"/>
        <v>y</v>
      </c>
      <c r="H9" s="80">
        <v>45749</v>
      </c>
      <c r="I9" s="81">
        <v>45791</v>
      </c>
      <c r="J9" s="81">
        <v>45805</v>
      </c>
      <c r="K9" s="86"/>
      <c r="L9" s="86"/>
      <c r="M9" s="86"/>
      <c r="N9" s="86"/>
      <c r="O9" s="86"/>
      <c r="P9" s="81">
        <v>45706</v>
      </c>
      <c r="Q9" s="81">
        <v>45705</v>
      </c>
      <c r="R9" s="70">
        <f t="shared" si="6"/>
        <v>2</v>
      </c>
      <c r="S9" s="82">
        <f t="shared" si="7"/>
        <v>45805</v>
      </c>
      <c r="T9" s="81">
        <v>45805</v>
      </c>
      <c r="U9" s="78">
        <f t="shared" si="8"/>
        <v>45931</v>
      </c>
      <c r="V9" s="81">
        <v>45839</v>
      </c>
      <c r="W9" s="81">
        <v>45839</v>
      </c>
      <c r="X9" s="81">
        <v>45840</v>
      </c>
      <c r="Y9" s="81">
        <v>45901</v>
      </c>
      <c r="Z9" s="81">
        <v>45840</v>
      </c>
      <c r="AA9" s="81">
        <v>45903</v>
      </c>
      <c r="AB9" s="81"/>
      <c r="AC9" s="81"/>
      <c r="AD9" s="81">
        <v>45903</v>
      </c>
      <c r="AE9" s="81">
        <v>45967</v>
      </c>
      <c r="AF9" s="83" t="str">
        <f>IF(VLOOKUP(A9,'Date Calcs'!A:AH,34,0)="","N/A",VLOOKUP(A9,'Date Calcs'!A:AH,34,0))</f>
        <v>N/A</v>
      </c>
      <c r="AG9" s="76"/>
      <c r="AH9" s="84"/>
      <c r="AI9" s="85"/>
    </row>
    <row r="10" spans="1:35" x14ac:dyDescent="0.25">
      <c r="A10" s="77" t="str">
        <f>'Date Calcs'!A11</f>
        <v>25-015</v>
      </c>
      <c r="B10" s="78" t="str">
        <f t="shared" si="0"/>
        <v>Y</v>
      </c>
      <c r="C10" s="78" t="str">
        <f t="shared" si="1"/>
        <v>Y</v>
      </c>
      <c r="D10" s="78" t="str">
        <f t="shared" si="2"/>
        <v>Y</v>
      </c>
      <c r="E10" s="78" t="str">
        <f t="shared" si="3"/>
        <v>Y</v>
      </c>
      <c r="F10" s="77">
        <f t="shared" si="4"/>
        <v>1</v>
      </c>
      <c r="G10" s="79" t="str">
        <f t="shared" si="5"/>
        <v>y</v>
      </c>
      <c r="H10" s="80">
        <v>45749</v>
      </c>
      <c r="I10" s="81">
        <v>45791</v>
      </c>
      <c r="J10" s="81">
        <v>45805</v>
      </c>
      <c r="K10" s="86"/>
      <c r="L10" s="86"/>
      <c r="M10" s="86"/>
      <c r="N10" s="86"/>
      <c r="O10" s="86"/>
      <c r="P10" s="81">
        <v>45706</v>
      </c>
      <c r="Q10" s="81">
        <v>45705</v>
      </c>
      <c r="R10" s="70">
        <f t="shared" si="6"/>
        <v>2</v>
      </c>
      <c r="S10" s="82">
        <f t="shared" si="7"/>
        <v>45805</v>
      </c>
      <c r="T10" s="81">
        <v>45805</v>
      </c>
      <c r="U10" s="78">
        <f t="shared" si="8"/>
        <v>45959</v>
      </c>
      <c r="V10" s="81">
        <v>45854</v>
      </c>
      <c r="W10" s="81">
        <v>45854</v>
      </c>
      <c r="X10" s="81">
        <v>45855</v>
      </c>
      <c r="Y10" s="81">
        <f>AD10-7</f>
        <v>45889</v>
      </c>
      <c r="Z10" s="81">
        <v>45855</v>
      </c>
      <c r="AA10" s="81">
        <v>45896</v>
      </c>
      <c r="AB10" s="81"/>
      <c r="AC10" s="81"/>
      <c r="AD10" s="81">
        <v>45896</v>
      </c>
      <c r="AE10" s="81">
        <v>45967</v>
      </c>
      <c r="AF10" s="83" t="str">
        <f>IF(VLOOKUP(A10,'Date Calcs'!A:AH,34,0)="","N/A",VLOOKUP(A10,'Date Calcs'!A:AH,34,0))</f>
        <v>N/A</v>
      </c>
      <c r="AG10" s="76"/>
      <c r="AH10" s="84"/>
      <c r="AI10" s="85"/>
    </row>
    <row r="11" spans="1:35" x14ac:dyDescent="0.25">
      <c r="A11" s="77" t="str">
        <f>'Date Calcs'!A12</f>
        <v>25-016</v>
      </c>
      <c r="B11" s="78" t="str">
        <f t="shared" si="0"/>
        <v>Y</v>
      </c>
      <c r="C11" s="78" t="str">
        <f t="shared" si="1"/>
        <v>Y</v>
      </c>
      <c r="D11" s="78" t="str">
        <f t="shared" si="2"/>
        <v>Y</v>
      </c>
      <c r="E11" s="78" t="str">
        <f t="shared" si="3"/>
        <v>Y</v>
      </c>
      <c r="F11" s="77">
        <f t="shared" si="4"/>
        <v>1</v>
      </c>
      <c r="G11" s="79" t="str">
        <f t="shared" si="5"/>
        <v>y</v>
      </c>
      <c r="H11" s="80">
        <v>45749</v>
      </c>
      <c r="I11" s="81">
        <v>45791</v>
      </c>
      <c r="J11" s="81">
        <v>45805</v>
      </c>
      <c r="K11" s="86"/>
      <c r="L11" s="86"/>
      <c r="M11" s="86"/>
      <c r="N11" s="86"/>
      <c r="O11" s="86"/>
      <c r="P11" s="81">
        <v>45706</v>
      </c>
      <c r="Q11" s="81">
        <v>45705</v>
      </c>
      <c r="R11" s="70">
        <f t="shared" si="6"/>
        <v>2</v>
      </c>
      <c r="S11" s="82">
        <f t="shared" si="7"/>
        <v>45805</v>
      </c>
      <c r="T11" s="81">
        <v>45805</v>
      </c>
      <c r="U11" s="78">
        <f t="shared" si="8"/>
        <v>45959</v>
      </c>
      <c r="V11" s="81">
        <v>45859</v>
      </c>
      <c r="W11" s="81">
        <v>45859</v>
      </c>
      <c r="X11" s="81">
        <v>45860</v>
      </c>
      <c r="Y11" s="81">
        <v>45915</v>
      </c>
      <c r="Z11" s="81">
        <v>45860</v>
      </c>
      <c r="AA11" s="81">
        <v>45979</v>
      </c>
      <c r="AB11" s="81">
        <v>45994</v>
      </c>
      <c r="AC11" s="81">
        <v>45994</v>
      </c>
      <c r="AD11" s="81">
        <v>45995</v>
      </c>
      <c r="AE11" s="81">
        <v>46076</v>
      </c>
      <c r="AF11" s="83" t="str">
        <f>IF(VLOOKUP(A11,'Date Calcs'!A:AH,34,0)="","N/A",VLOOKUP(A11,'Date Calcs'!A:AH,34,0))</f>
        <v>N/A</v>
      </c>
      <c r="AG11" s="76"/>
      <c r="AH11" s="84"/>
      <c r="AI11" s="85"/>
    </row>
    <row r="12" spans="1:35" x14ac:dyDescent="0.25">
      <c r="A12" s="77" t="str">
        <f>'Date Calcs'!A13</f>
        <v>25-017</v>
      </c>
      <c r="B12" s="78" t="str">
        <f t="shared" si="0"/>
        <v>Y</v>
      </c>
      <c r="C12" s="78" t="str">
        <f t="shared" si="1"/>
        <v>Y</v>
      </c>
      <c r="D12" s="78" t="str">
        <f t="shared" si="2"/>
        <v>Y</v>
      </c>
      <c r="E12" s="78" t="str">
        <f t="shared" si="3"/>
        <v>Y</v>
      </c>
      <c r="F12" s="77">
        <f t="shared" si="4"/>
        <v>1</v>
      </c>
      <c r="G12" s="79" t="str">
        <f t="shared" si="5"/>
        <v>y</v>
      </c>
      <c r="H12" s="80">
        <v>45726</v>
      </c>
      <c r="I12" s="81">
        <v>45754</v>
      </c>
      <c r="J12" s="81">
        <v>45769</v>
      </c>
      <c r="K12" s="86"/>
      <c r="L12" s="86"/>
      <c r="M12" s="86"/>
      <c r="N12" s="86"/>
      <c r="O12" s="86"/>
      <c r="P12" s="81">
        <v>45706</v>
      </c>
      <c r="Q12" s="81">
        <v>45705</v>
      </c>
      <c r="R12" s="70">
        <f t="shared" si="6"/>
        <v>2</v>
      </c>
      <c r="S12" s="82">
        <f t="shared" si="7"/>
        <v>45769</v>
      </c>
      <c r="T12" s="81">
        <v>45769</v>
      </c>
      <c r="U12" s="78">
        <f t="shared" si="8"/>
        <v>45923</v>
      </c>
      <c r="V12" s="81">
        <v>45860</v>
      </c>
      <c r="W12" s="81">
        <v>45860</v>
      </c>
      <c r="X12" s="81">
        <v>45861</v>
      </c>
      <c r="Y12" s="81">
        <f>AD12-7</f>
        <v>45923</v>
      </c>
      <c r="Z12" s="81">
        <v>45861</v>
      </c>
      <c r="AA12" s="81">
        <v>45930</v>
      </c>
      <c r="AB12" s="81"/>
      <c r="AC12" s="81"/>
      <c r="AD12" s="81">
        <v>45930</v>
      </c>
      <c r="AE12" s="81">
        <v>46043</v>
      </c>
      <c r="AF12" s="83" t="str">
        <f>IF(VLOOKUP(A12,'Date Calcs'!A:AH,34,0)="","N/A",VLOOKUP(A12,'Date Calcs'!A:AH,34,0))</f>
        <v>N/A</v>
      </c>
      <c r="AG12" s="76"/>
      <c r="AH12" s="84"/>
      <c r="AI12" s="85"/>
    </row>
    <row r="13" spans="1:35" x14ac:dyDescent="0.25">
      <c r="A13" s="77" t="str">
        <f>'Date Calcs'!A14</f>
        <v>25-018</v>
      </c>
      <c r="B13" s="78" t="str">
        <f t="shared" si="0"/>
        <v>Y</v>
      </c>
      <c r="C13" s="78" t="str">
        <f t="shared" si="1"/>
        <v>Y</v>
      </c>
      <c r="D13" s="78" t="str">
        <f t="shared" si="2"/>
        <v>Y</v>
      </c>
      <c r="E13" s="78" t="str">
        <f t="shared" si="3"/>
        <v>Y</v>
      </c>
      <c r="F13" s="77">
        <f t="shared" si="4"/>
        <v>2</v>
      </c>
      <c r="G13" s="79" t="str">
        <f t="shared" si="5"/>
        <v>y</v>
      </c>
      <c r="H13" s="80">
        <v>45798</v>
      </c>
      <c r="I13" s="81">
        <v>45852</v>
      </c>
      <c r="J13" s="81">
        <v>45874</v>
      </c>
      <c r="K13" s="81">
        <v>45890</v>
      </c>
      <c r="L13" s="81">
        <v>45905</v>
      </c>
      <c r="M13" s="86"/>
      <c r="N13" s="86"/>
      <c r="O13" s="86"/>
      <c r="P13" s="81">
        <v>45706</v>
      </c>
      <c r="Q13" s="81">
        <v>45705</v>
      </c>
      <c r="R13" s="70">
        <f t="shared" si="6"/>
        <v>3</v>
      </c>
      <c r="S13" s="82">
        <f t="shared" si="7"/>
        <v>45905</v>
      </c>
      <c r="T13" s="81">
        <v>45905</v>
      </c>
      <c r="U13" s="78">
        <f t="shared" si="8"/>
        <v>46059</v>
      </c>
      <c r="V13" s="81">
        <v>45915</v>
      </c>
      <c r="W13" s="81">
        <v>45917</v>
      </c>
      <c r="X13" s="81">
        <v>45919</v>
      </c>
      <c r="Y13" s="81">
        <f t="shared" ref="Y13:Y35" si="9">AD13-7</f>
        <v>45947</v>
      </c>
      <c r="Z13" s="81">
        <v>45919</v>
      </c>
      <c r="AA13" s="81">
        <v>45952</v>
      </c>
      <c r="AB13" s="81">
        <v>46051</v>
      </c>
      <c r="AC13" s="81">
        <v>46050</v>
      </c>
      <c r="AD13" s="81">
        <v>45954</v>
      </c>
      <c r="AE13" s="81">
        <v>46097</v>
      </c>
      <c r="AF13" s="83" t="str">
        <f>IF(VLOOKUP(A13,'Date Calcs'!A:AH,34,0)="","N/A",VLOOKUP(A13,'Date Calcs'!A:AH,34,0))</f>
        <v>N/A</v>
      </c>
      <c r="AG13" s="76"/>
      <c r="AH13" s="84"/>
      <c r="AI13" s="85"/>
    </row>
    <row r="14" spans="1:35" x14ac:dyDescent="0.25">
      <c r="A14" s="77" t="str">
        <f>'Date Calcs'!A15</f>
        <v>25-019</v>
      </c>
      <c r="B14" s="78" t="str">
        <f t="shared" si="0"/>
        <v>Y</v>
      </c>
      <c r="C14" s="78" t="str">
        <f t="shared" si="1"/>
        <v>Y</v>
      </c>
      <c r="D14" s="78" t="str">
        <f t="shared" si="2"/>
        <v>Y</v>
      </c>
      <c r="E14" s="78" t="str">
        <f t="shared" si="3"/>
        <v>Y</v>
      </c>
      <c r="F14" s="77">
        <f t="shared" si="4"/>
        <v>2</v>
      </c>
      <c r="G14" s="79" t="str">
        <f t="shared" si="5"/>
        <v>y</v>
      </c>
      <c r="H14" s="80">
        <v>45790</v>
      </c>
      <c r="I14" s="81">
        <v>45826</v>
      </c>
      <c r="J14" s="81">
        <v>45834</v>
      </c>
      <c r="K14" s="81">
        <v>45897</v>
      </c>
      <c r="L14" s="81">
        <v>45905</v>
      </c>
      <c r="M14" s="86"/>
      <c r="N14" s="86"/>
      <c r="O14" s="86"/>
      <c r="P14" s="81">
        <v>45706</v>
      </c>
      <c r="Q14" s="81">
        <v>45705</v>
      </c>
      <c r="R14" s="70">
        <f t="shared" si="6"/>
        <v>3</v>
      </c>
      <c r="S14" s="82">
        <f t="shared" si="7"/>
        <v>45905</v>
      </c>
      <c r="T14" s="81">
        <v>45905</v>
      </c>
      <c r="U14" s="78">
        <f t="shared" si="8"/>
        <v>46087</v>
      </c>
      <c r="V14" s="81">
        <v>45913</v>
      </c>
      <c r="W14" s="81">
        <v>45915</v>
      </c>
      <c r="X14" s="81">
        <v>45917</v>
      </c>
      <c r="Y14" s="81">
        <f t="shared" si="9"/>
        <v>45988</v>
      </c>
      <c r="Z14" s="81">
        <v>45917</v>
      </c>
      <c r="AA14" s="81">
        <v>45979</v>
      </c>
      <c r="AB14" s="81">
        <v>46002</v>
      </c>
      <c r="AC14" s="81">
        <v>45999</v>
      </c>
      <c r="AD14" s="81">
        <v>45995</v>
      </c>
      <c r="AE14" s="81">
        <v>46076</v>
      </c>
      <c r="AF14" s="83" t="str">
        <f>IF(VLOOKUP(A14,'Date Calcs'!A:AH,34,0)="","N/A",VLOOKUP(A14,'Date Calcs'!A:AH,34,0))</f>
        <v>N/A</v>
      </c>
      <c r="AG14" s="76"/>
      <c r="AH14" s="84"/>
      <c r="AI14" s="85"/>
    </row>
    <row r="15" spans="1:35" x14ac:dyDescent="0.25">
      <c r="A15" s="77" t="str">
        <f>'Date Calcs'!A16</f>
        <v>25-020</v>
      </c>
      <c r="B15" s="78" t="str">
        <f t="shared" si="0"/>
        <v>Y</v>
      </c>
      <c r="C15" s="78" t="str">
        <f t="shared" si="1"/>
        <v>Y</v>
      </c>
      <c r="D15" s="78" t="str">
        <f t="shared" si="2"/>
        <v>Y</v>
      </c>
      <c r="E15" s="78" t="str">
        <f t="shared" si="3"/>
        <v>Y</v>
      </c>
      <c r="F15" s="77">
        <f t="shared" si="4"/>
        <v>3</v>
      </c>
      <c r="G15" s="79" t="str">
        <f t="shared" si="5"/>
        <v>y</v>
      </c>
      <c r="H15" s="80">
        <v>45741</v>
      </c>
      <c r="I15" s="81">
        <v>45806</v>
      </c>
      <c r="J15" s="81">
        <v>45812</v>
      </c>
      <c r="K15" s="81">
        <v>45862</v>
      </c>
      <c r="L15" s="81">
        <v>45873</v>
      </c>
      <c r="M15" s="81">
        <v>45890</v>
      </c>
      <c r="N15" s="81">
        <v>45895</v>
      </c>
      <c r="O15" s="86"/>
      <c r="P15" s="81">
        <v>45706</v>
      </c>
      <c r="Q15" s="81">
        <v>45705</v>
      </c>
      <c r="R15" s="70">
        <f t="shared" si="6"/>
        <v>4</v>
      </c>
      <c r="S15" s="82">
        <f t="shared" si="7"/>
        <v>45895</v>
      </c>
      <c r="T15" s="81">
        <v>45895</v>
      </c>
      <c r="U15" s="78">
        <f t="shared" si="8"/>
        <v>46077</v>
      </c>
      <c r="V15" s="81">
        <v>45855</v>
      </c>
      <c r="W15" s="81">
        <v>45855</v>
      </c>
      <c r="X15" s="81">
        <v>45888</v>
      </c>
      <c r="Y15" s="81">
        <f t="shared" si="9"/>
        <v>45897</v>
      </c>
      <c r="Z15" s="81">
        <v>45888</v>
      </c>
      <c r="AA15" s="81">
        <v>45904</v>
      </c>
      <c r="AB15" s="81"/>
      <c r="AC15" s="81"/>
      <c r="AD15" s="81">
        <v>45904</v>
      </c>
      <c r="AE15" s="81">
        <v>46058</v>
      </c>
      <c r="AF15" s="83" t="str">
        <f>IF(VLOOKUP(A15,'Date Calcs'!A:AH,34,0)="","N/A",VLOOKUP(A15,'Date Calcs'!A:AH,34,0))</f>
        <v>N/A</v>
      </c>
      <c r="AG15" s="76"/>
      <c r="AH15" s="84"/>
      <c r="AI15" s="85"/>
    </row>
    <row r="16" spans="1:35" x14ac:dyDescent="0.25">
      <c r="A16" s="77" t="str">
        <f>'Date Calcs'!A17</f>
        <v>25-021</v>
      </c>
      <c r="B16" s="78" t="str">
        <f t="shared" si="0"/>
        <v>Y</v>
      </c>
      <c r="C16" s="78" t="str">
        <f t="shared" si="1"/>
        <v>Y</v>
      </c>
      <c r="D16" s="78" t="str">
        <f t="shared" si="2"/>
        <v>Y</v>
      </c>
      <c r="E16" s="78" t="str">
        <f t="shared" si="3"/>
        <v>Y</v>
      </c>
      <c r="F16" s="77">
        <f t="shared" si="4"/>
        <v>2</v>
      </c>
      <c r="G16" s="79" t="str">
        <f t="shared" si="5"/>
        <v>y</v>
      </c>
      <c r="H16" s="80">
        <v>45790</v>
      </c>
      <c r="I16" s="81">
        <v>45826</v>
      </c>
      <c r="J16" s="81">
        <v>45891</v>
      </c>
      <c r="K16" s="81">
        <v>45897</v>
      </c>
      <c r="L16" s="81">
        <v>45902</v>
      </c>
      <c r="M16" s="86"/>
      <c r="N16" s="86"/>
      <c r="O16" s="86"/>
      <c r="P16" s="81">
        <v>45706</v>
      </c>
      <c r="Q16" s="81">
        <v>45705</v>
      </c>
      <c r="R16" s="70">
        <f t="shared" si="6"/>
        <v>3</v>
      </c>
      <c r="S16" s="82">
        <f t="shared" si="7"/>
        <v>45902</v>
      </c>
      <c r="T16" s="81">
        <v>45902</v>
      </c>
      <c r="U16" s="78">
        <f t="shared" si="8"/>
        <v>46084</v>
      </c>
      <c r="V16" s="81">
        <v>45910</v>
      </c>
      <c r="W16" s="81">
        <v>45910</v>
      </c>
      <c r="X16" s="81">
        <v>45911</v>
      </c>
      <c r="Y16" s="81">
        <f t="shared" si="9"/>
        <v>45911</v>
      </c>
      <c r="Z16" s="81">
        <v>45911</v>
      </c>
      <c r="AA16" s="81">
        <v>45916</v>
      </c>
      <c r="AB16" s="81">
        <v>45950</v>
      </c>
      <c r="AC16" s="81">
        <v>45918</v>
      </c>
      <c r="AD16" s="81">
        <v>45918</v>
      </c>
      <c r="AE16" s="81">
        <v>46073</v>
      </c>
      <c r="AF16" s="83" t="str">
        <f>IF(VLOOKUP(A16,'Date Calcs'!A:AH,34,0)="","N/A",VLOOKUP(A16,'Date Calcs'!A:AH,34,0))</f>
        <v>N/A</v>
      </c>
      <c r="AG16" s="76"/>
      <c r="AH16" s="84"/>
      <c r="AI16" s="85"/>
    </row>
    <row r="17" spans="1:35" x14ac:dyDescent="0.25">
      <c r="A17" s="77" t="str">
        <f>'Date Calcs'!A18</f>
        <v>25-023</v>
      </c>
      <c r="B17" s="78" t="str">
        <f t="shared" si="0"/>
        <v>Y</v>
      </c>
      <c r="C17" s="78" t="str">
        <f t="shared" si="1"/>
        <v>Y</v>
      </c>
      <c r="D17" s="78" t="str">
        <f t="shared" si="2"/>
        <v>Y</v>
      </c>
      <c r="E17" s="78" t="str">
        <f t="shared" si="3"/>
        <v>Y</v>
      </c>
      <c r="F17" s="77">
        <f t="shared" si="4"/>
        <v>2</v>
      </c>
      <c r="G17" s="79" t="str">
        <f t="shared" si="5"/>
        <v>y</v>
      </c>
      <c r="H17" s="80">
        <v>45700</v>
      </c>
      <c r="I17" s="81">
        <v>45714</v>
      </c>
      <c r="J17" s="81">
        <v>45721</v>
      </c>
      <c r="K17" s="81">
        <v>45726</v>
      </c>
      <c r="L17" s="81">
        <v>45726</v>
      </c>
      <c r="M17" s="86"/>
      <c r="N17" s="86"/>
      <c r="O17" s="86"/>
      <c r="P17" s="81">
        <v>45699</v>
      </c>
      <c r="Q17" s="81">
        <v>45699</v>
      </c>
      <c r="R17" s="70">
        <f t="shared" si="6"/>
        <v>3</v>
      </c>
      <c r="S17" s="82">
        <f t="shared" si="7"/>
        <v>45726</v>
      </c>
      <c r="T17" s="81">
        <v>45726</v>
      </c>
      <c r="U17" s="78">
        <f t="shared" si="8"/>
        <v>45810</v>
      </c>
      <c r="V17" s="81">
        <v>45729</v>
      </c>
      <c r="W17" s="81">
        <v>45730</v>
      </c>
      <c r="X17" s="81">
        <v>45734</v>
      </c>
      <c r="Y17" s="81">
        <f t="shared" si="9"/>
        <v>45728</v>
      </c>
      <c r="Z17" s="81">
        <v>45734</v>
      </c>
      <c r="AA17" s="81">
        <v>45728</v>
      </c>
      <c r="AB17" s="81"/>
      <c r="AC17" s="81"/>
      <c r="AD17" s="81">
        <v>45735</v>
      </c>
      <c r="AE17" s="81">
        <v>45804</v>
      </c>
      <c r="AF17" s="83" t="str">
        <f>IF(VLOOKUP(A17,'Date Calcs'!A:AH,34,0)="","N/A",VLOOKUP(A17,'Date Calcs'!A:AH,34,0))</f>
        <v>N/A</v>
      </c>
      <c r="AG17" s="76"/>
      <c r="AH17" s="84"/>
      <c r="AI17" s="85"/>
    </row>
    <row r="18" spans="1:35" x14ac:dyDescent="0.25">
      <c r="A18" s="77" t="str">
        <f>'Date Calcs'!A19</f>
        <v>25-024</v>
      </c>
      <c r="B18" s="78" t="str">
        <f t="shared" si="0"/>
        <v>Y</v>
      </c>
      <c r="C18" s="78" t="str">
        <f t="shared" si="1"/>
        <v>Y</v>
      </c>
      <c r="D18" s="78" t="str">
        <f t="shared" si="2"/>
        <v>Y</v>
      </c>
      <c r="E18" s="78" t="str">
        <f t="shared" si="3"/>
        <v>Y</v>
      </c>
      <c r="F18" s="77">
        <f t="shared" si="4"/>
        <v>2</v>
      </c>
      <c r="G18" s="79" t="str">
        <f t="shared" si="5"/>
        <v>y</v>
      </c>
      <c r="H18" s="80">
        <v>45700</v>
      </c>
      <c r="I18" s="81">
        <v>45714</v>
      </c>
      <c r="J18" s="81">
        <v>45721</v>
      </c>
      <c r="K18" s="81">
        <v>45726</v>
      </c>
      <c r="L18" s="81">
        <v>45726</v>
      </c>
      <c r="M18" s="86"/>
      <c r="N18" s="86"/>
      <c r="O18" s="86"/>
      <c r="P18" s="81">
        <v>45699</v>
      </c>
      <c r="Q18" s="81">
        <v>45699</v>
      </c>
      <c r="R18" s="70">
        <f t="shared" si="6"/>
        <v>3</v>
      </c>
      <c r="S18" s="82">
        <f t="shared" si="7"/>
        <v>45726</v>
      </c>
      <c r="T18" s="81">
        <v>45726</v>
      </c>
      <c r="U18" s="78">
        <f t="shared" si="8"/>
        <v>45810</v>
      </c>
      <c r="V18" s="81">
        <v>45729</v>
      </c>
      <c r="W18" s="81">
        <v>45730</v>
      </c>
      <c r="X18" s="81">
        <v>45734</v>
      </c>
      <c r="Y18" s="81">
        <f t="shared" si="9"/>
        <v>45728</v>
      </c>
      <c r="Z18" s="81">
        <v>45734</v>
      </c>
      <c r="AA18" s="81">
        <v>45728</v>
      </c>
      <c r="AB18" s="81"/>
      <c r="AC18" s="81"/>
      <c r="AD18" s="81">
        <v>45735</v>
      </c>
      <c r="AE18" s="81">
        <v>45804</v>
      </c>
      <c r="AF18" s="83" t="str">
        <f>IF(VLOOKUP(A18,'Date Calcs'!A:AH,34,0)="","N/A",VLOOKUP(A18,'Date Calcs'!A:AH,34,0))</f>
        <v>N/A</v>
      </c>
      <c r="AG18" s="76"/>
      <c r="AH18" s="84"/>
      <c r="AI18" s="85"/>
    </row>
    <row r="19" spans="1:35" x14ac:dyDescent="0.25">
      <c r="A19" s="77" t="str">
        <f>'Date Calcs'!A20</f>
        <v>25-025</v>
      </c>
      <c r="B19" s="78" t="str">
        <f t="shared" si="0"/>
        <v>Y</v>
      </c>
      <c r="C19" s="78" t="str">
        <f t="shared" si="1"/>
        <v>Y</v>
      </c>
      <c r="D19" s="78" t="str">
        <f t="shared" si="2"/>
        <v>Y</v>
      </c>
      <c r="E19" s="78" t="str">
        <f t="shared" si="3"/>
        <v>Y</v>
      </c>
      <c r="F19" s="77">
        <f t="shared" si="4"/>
        <v>2</v>
      </c>
      <c r="G19" s="79" t="str">
        <f t="shared" si="5"/>
        <v>y</v>
      </c>
      <c r="H19" s="80">
        <v>45714</v>
      </c>
      <c r="I19" s="81">
        <v>45754</v>
      </c>
      <c r="J19" s="81">
        <v>45764</v>
      </c>
      <c r="K19" s="81">
        <v>45799</v>
      </c>
      <c r="L19" s="81">
        <v>45805</v>
      </c>
      <c r="M19" s="86"/>
      <c r="N19" s="86"/>
      <c r="O19" s="86"/>
      <c r="P19" s="81">
        <v>45706</v>
      </c>
      <c r="Q19" s="81">
        <v>45707</v>
      </c>
      <c r="R19" s="70">
        <f t="shared" si="6"/>
        <v>3</v>
      </c>
      <c r="S19" s="82">
        <f t="shared" si="7"/>
        <v>45805</v>
      </c>
      <c r="T19" s="81">
        <v>45805</v>
      </c>
      <c r="U19" s="78">
        <f t="shared" si="8"/>
        <v>45973</v>
      </c>
      <c r="V19" s="81">
        <v>45805</v>
      </c>
      <c r="W19" s="81">
        <v>45805</v>
      </c>
      <c r="X19" s="81">
        <v>45805</v>
      </c>
      <c r="Y19" s="81">
        <f t="shared" si="9"/>
        <v>45814</v>
      </c>
      <c r="Z19" s="81">
        <v>45805</v>
      </c>
      <c r="AA19" s="81">
        <v>45811</v>
      </c>
      <c r="AB19" s="81"/>
      <c r="AC19" s="81"/>
      <c r="AD19" s="81">
        <v>45821</v>
      </c>
      <c r="AE19" s="81">
        <v>45904</v>
      </c>
      <c r="AF19" s="83" t="str">
        <f>IF(VLOOKUP(A19,'Date Calcs'!A:AH,34,0)="","N/A",VLOOKUP(A19,'Date Calcs'!A:AH,34,0))</f>
        <v>N/A</v>
      </c>
      <c r="AG19" s="76"/>
      <c r="AH19" s="84"/>
      <c r="AI19" s="85"/>
    </row>
    <row r="20" spans="1:35" x14ac:dyDescent="0.25">
      <c r="A20" s="77" t="str">
        <f>'Date Calcs'!A21</f>
        <v>25-026</v>
      </c>
      <c r="B20" s="78" t="str">
        <f t="shared" si="0"/>
        <v>Y</v>
      </c>
      <c r="C20" s="78" t="str">
        <f t="shared" si="1"/>
        <v>Y</v>
      </c>
      <c r="D20" s="78" t="str">
        <f t="shared" si="2"/>
        <v>Y</v>
      </c>
      <c r="E20" s="78" t="str">
        <f t="shared" si="3"/>
        <v>Y</v>
      </c>
      <c r="F20" s="77">
        <f t="shared" si="4"/>
        <v>2</v>
      </c>
      <c r="G20" s="79" t="str">
        <f t="shared" si="5"/>
        <v>y</v>
      </c>
      <c r="H20" s="80">
        <v>45714</v>
      </c>
      <c r="I20" s="81">
        <v>45754</v>
      </c>
      <c r="J20" s="81">
        <v>45764</v>
      </c>
      <c r="K20" s="81">
        <v>45790</v>
      </c>
      <c r="L20" s="81">
        <v>45797</v>
      </c>
      <c r="M20" s="86"/>
      <c r="N20" s="86"/>
      <c r="O20" s="86"/>
      <c r="P20" s="81">
        <v>45706</v>
      </c>
      <c r="Q20" s="81">
        <v>45707</v>
      </c>
      <c r="R20" s="70">
        <f t="shared" si="6"/>
        <v>3</v>
      </c>
      <c r="S20" s="82">
        <f t="shared" si="7"/>
        <v>45797</v>
      </c>
      <c r="T20" s="81">
        <v>45797</v>
      </c>
      <c r="U20" s="78">
        <f t="shared" si="8"/>
        <v>45965</v>
      </c>
      <c r="V20" s="81">
        <v>45792</v>
      </c>
      <c r="W20" s="81">
        <v>45792</v>
      </c>
      <c r="X20" s="81">
        <v>45793</v>
      </c>
      <c r="Y20" s="81">
        <f t="shared" si="9"/>
        <v>45814</v>
      </c>
      <c r="Z20" s="81">
        <v>45793</v>
      </c>
      <c r="AA20" s="81">
        <v>45810</v>
      </c>
      <c r="AB20" s="81"/>
      <c r="AC20" s="81"/>
      <c r="AD20" s="81">
        <v>45821</v>
      </c>
      <c r="AE20" s="81">
        <v>45904</v>
      </c>
      <c r="AF20" s="83" t="str">
        <f>IF(VLOOKUP(A20,'Date Calcs'!A:AH,34,0)="","N/A",VLOOKUP(A20,'Date Calcs'!A:AH,34,0))</f>
        <v>N/A</v>
      </c>
      <c r="AG20" s="76"/>
      <c r="AH20" s="84"/>
      <c r="AI20" s="85"/>
    </row>
    <row r="21" spans="1:35" x14ac:dyDescent="0.25">
      <c r="A21" s="77" t="str">
        <f>'Date Calcs'!A22</f>
        <v>25-027</v>
      </c>
      <c r="B21" s="78" t="str">
        <f t="shared" si="0"/>
        <v>Y</v>
      </c>
      <c r="C21" s="78" t="str">
        <f t="shared" si="1"/>
        <v>Y</v>
      </c>
      <c r="D21" s="78" t="str">
        <f t="shared" si="2"/>
        <v>Y</v>
      </c>
      <c r="E21" s="78" t="str">
        <f t="shared" si="3"/>
        <v>Y</v>
      </c>
      <c r="F21" s="77">
        <f t="shared" si="4"/>
        <v>2</v>
      </c>
      <c r="G21" s="79" t="str">
        <f t="shared" si="5"/>
        <v>y</v>
      </c>
      <c r="H21" s="80">
        <v>45714</v>
      </c>
      <c r="I21" s="81">
        <v>45754</v>
      </c>
      <c r="J21" s="81">
        <v>45764</v>
      </c>
      <c r="K21" s="81">
        <v>45790</v>
      </c>
      <c r="L21" s="81">
        <v>45797</v>
      </c>
      <c r="M21" s="86"/>
      <c r="N21" s="86"/>
      <c r="O21" s="86"/>
      <c r="P21" s="81">
        <v>45706</v>
      </c>
      <c r="Q21" s="81">
        <v>45707</v>
      </c>
      <c r="R21" s="70">
        <f t="shared" si="6"/>
        <v>3</v>
      </c>
      <c r="S21" s="82">
        <f t="shared" si="7"/>
        <v>45797</v>
      </c>
      <c r="T21" s="81">
        <v>45797</v>
      </c>
      <c r="U21" s="78">
        <f t="shared" si="8"/>
        <v>45965</v>
      </c>
      <c r="V21" s="81">
        <v>45796</v>
      </c>
      <c r="W21" s="81">
        <v>45797</v>
      </c>
      <c r="X21" s="81">
        <v>45798</v>
      </c>
      <c r="Y21" s="81">
        <f t="shared" si="9"/>
        <v>45868</v>
      </c>
      <c r="Z21" s="81">
        <v>45799</v>
      </c>
      <c r="AA21" s="81">
        <v>45811</v>
      </c>
      <c r="AB21" s="81"/>
      <c r="AC21" s="81"/>
      <c r="AD21" s="81">
        <v>45875</v>
      </c>
      <c r="AE21" s="81">
        <v>45932</v>
      </c>
      <c r="AF21" s="83" t="str">
        <f>IF(VLOOKUP(A21,'Date Calcs'!A:AH,34,0)="","N/A",VLOOKUP(A21,'Date Calcs'!A:AH,34,0))</f>
        <v>N/A</v>
      </c>
      <c r="AG21" s="76"/>
      <c r="AH21" s="84"/>
      <c r="AI21" s="85"/>
    </row>
    <row r="22" spans="1:35" x14ac:dyDescent="0.25">
      <c r="A22" s="77" t="str">
        <f>'Date Calcs'!A23</f>
        <v>25-028</v>
      </c>
      <c r="B22" s="78" t="str">
        <f t="shared" si="0"/>
        <v>Y</v>
      </c>
      <c r="C22" s="78" t="str">
        <f t="shared" si="1"/>
        <v>Y</v>
      </c>
      <c r="D22" s="78" t="str">
        <f t="shared" si="2"/>
        <v>Y</v>
      </c>
      <c r="E22" s="78" t="str">
        <f t="shared" si="3"/>
        <v>Y</v>
      </c>
      <c r="F22" s="77">
        <f t="shared" si="4"/>
        <v>2</v>
      </c>
      <c r="G22" s="79" t="str">
        <f t="shared" si="5"/>
        <v>y</v>
      </c>
      <c r="H22" s="80">
        <v>45719</v>
      </c>
      <c r="I22" s="81">
        <v>45754</v>
      </c>
      <c r="J22" s="81">
        <v>45764</v>
      </c>
      <c r="K22" s="81">
        <v>45790</v>
      </c>
      <c r="L22" s="81">
        <v>45797</v>
      </c>
      <c r="M22" s="86"/>
      <c r="N22" s="86"/>
      <c r="O22" s="86"/>
      <c r="P22" s="81">
        <v>45706</v>
      </c>
      <c r="Q22" s="81">
        <v>45707</v>
      </c>
      <c r="R22" s="70">
        <f t="shared" si="6"/>
        <v>3</v>
      </c>
      <c r="S22" s="82">
        <f t="shared" si="7"/>
        <v>45797</v>
      </c>
      <c r="T22" s="81">
        <v>45797</v>
      </c>
      <c r="U22" s="78">
        <f t="shared" si="8"/>
        <v>45965</v>
      </c>
      <c r="V22" s="81">
        <v>45796</v>
      </c>
      <c r="W22" s="81">
        <v>45797</v>
      </c>
      <c r="X22" s="81">
        <v>45798</v>
      </c>
      <c r="Y22" s="81">
        <f t="shared" si="9"/>
        <v>45868</v>
      </c>
      <c r="Z22" s="81">
        <v>45799</v>
      </c>
      <c r="AA22" s="81">
        <v>45811</v>
      </c>
      <c r="AB22" s="81"/>
      <c r="AC22" s="81"/>
      <c r="AD22" s="81">
        <v>45875</v>
      </c>
      <c r="AE22" s="81">
        <v>45932</v>
      </c>
      <c r="AF22" s="83" t="str">
        <f>IF(VLOOKUP(A22,'Date Calcs'!A:AH,34,0)="","N/A",VLOOKUP(A22,'Date Calcs'!A:AH,34,0))</f>
        <v>N/A</v>
      </c>
      <c r="AG22" s="76"/>
      <c r="AH22" s="84"/>
      <c r="AI22" s="85"/>
    </row>
    <row r="23" spans="1:35" x14ac:dyDescent="0.25">
      <c r="A23" s="77" t="str">
        <f>'Date Calcs'!A24</f>
        <v>25-029</v>
      </c>
      <c r="B23" s="78" t="str">
        <f t="shared" si="0"/>
        <v>Y</v>
      </c>
      <c r="C23" s="78" t="str">
        <f t="shared" si="1"/>
        <v>Y</v>
      </c>
      <c r="D23" s="78" t="str">
        <f t="shared" si="2"/>
        <v>Y</v>
      </c>
      <c r="E23" s="78" t="str">
        <f t="shared" si="3"/>
        <v>Y</v>
      </c>
      <c r="F23" s="77">
        <f t="shared" si="4"/>
        <v>2</v>
      </c>
      <c r="G23" s="79" t="str">
        <f t="shared" si="5"/>
        <v>y</v>
      </c>
      <c r="H23" s="80">
        <v>45719</v>
      </c>
      <c r="I23" s="81">
        <v>45754</v>
      </c>
      <c r="J23" s="81">
        <v>45764</v>
      </c>
      <c r="K23" s="81">
        <v>45790</v>
      </c>
      <c r="L23" s="81">
        <v>45797</v>
      </c>
      <c r="M23" s="86"/>
      <c r="N23" s="86"/>
      <c r="O23" s="86"/>
      <c r="P23" s="81">
        <v>45706</v>
      </c>
      <c r="Q23" s="81">
        <v>45707</v>
      </c>
      <c r="R23" s="70">
        <f t="shared" si="6"/>
        <v>3</v>
      </c>
      <c r="S23" s="82">
        <f t="shared" si="7"/>
        <v>45797</v>
      </c>
      <c r="T23" s="81">
        <v>45797</v>
      </c>
      <c r="U23" s="78">
        <f t="shared" si="8"/>
        <v>45965</v>
      </c>
      <c r="V23" s="81">
        <v>45796</v>
      </c>
      <c r="W23" s="81">
        <v>45797</v>
      </c>
      <c r="X23" s="81">
        <v>45798</v>
      </c>
      <c r="Y23" s="81">
        <f t="shared" si="9"/>
        <v>45870</v>
      </c>
      <c r="Z23" s="81">
        <v>45799</v>
      </c>
      <c r="AA23" s="81">
        <v>45817</v>
      </c>
      <c r="AB23" s="81"/>
      <c r="AC23" s="81"/>
      <c r="AD23" s="81">
        <v>45877</v>
      </c>
      <c r="AE23" s="81">
        <v>45930</v>
      </c>
      <c r="AF23" s="83" t="str">
        <f>IF(VLOOKUP(A23,'Date Calcs'!A:AH,34,0)="","N/A",VLOOKUP(A23,'Date Calcs'!A:AH,34,0))</f>
        <v>N/A</v>
      </c>
      <c r="AG23" s="76"/>
      <c r="AH23" s="84"/>
      <c r="AI23" s="85"/>
    </row>
    <row r="24" spans="1:35" x14ac:dyDescent="0.25">
      <c r="A24" s="77" t="str">
        <f>'Date Calcs'!A25</f>
        <v>25-030</v>
      </c>
      <c r="B24" s="78" t="str">
        <f t="shared" si="0"/>
        <v>Y</v>
      </c>
      <c r="C24" s="78" t="str">
        <f t="shared" si="1"/>
        <v>Y</v>
      </c>
      <c r="D24" s="78" t="str">
        <f t="shared" si="2"/>
        <v>Y</v>
      </c>
      <c r="E24" s="78" t="str">
        <f t="shared" si="3"/>
        <v>Y</v>
      </c>
      <c r="F24" s="77">
        <f t="shared" si="4"/>
        <v>2</v>
      </c>
      <c r="G24" s="79" t="str">
        <f t="shared" si="5"/>
        <v>y</v>
      </c>
      <c r="H24" s="80">
        <v>45721</v>
      </c>
      <c r="I24" s="81">
        <v>45754</v>
      </c>
      <c r="J24" s="81">
        <v>45764</v>
      </c>
      <c r="K24" s="81">
        <v>45790</v>
      </c>
      <c r="L24" s="81">
        <v>45797</v>
      </c>
      <c r="M24" s="86"/>
      <c r="N24" s="86"/>
      <c r="O24" s="86"/>
      <c r="P24" s="81">
        <v>45706</v>
      </c>
      <c r="Q24" s="81">
        <v>45707</v>
      </c>
      <c r="R24" s="70">
        <f t="shared" si="6"/>
        <v>3</v>
      </c>
      <c r="S24" s="82">
        <f t="shared" si="7"/>
        <v>45797</v>
      </c>
      <c r="T24" s="81">
        <v>45797</v>
      </c>
      <c r="U24" s="78">
        <f t="shared" si="8"/>
        <v>45965</v>
      </c>
      <c r="V24" s="81">
        <v>45799</v>
      </c>
      <c r="W24" s="81">
        <v>45799</v>
      </c>
      <c r="X24" s="81">
        <v>45800</v>
      </c>
      <c r="Y24" s="81">
        <f t="shared" si="9"/>
        <v>45870</v>
      </c>
      <c r="Z24" s="81">
        <v>45800</v>
      </c>
      <c r="AA24" s="81">
        <v>45817</v>
      </c>
      <c r="AB24" s="81"/>
      <c r="AC24" s="81"/>
      <c r="AD24" s="81">
        <v>45877</v>
      </c>
      <c r="AE24" s="81">
        <v>45930</v>
      </c>
      <c r="AF24" s="83" t="str">
        <f>IF(VLOOKUP(A24,'Date Calcs'!A:AH,34,0)="","N/A",VLOOKUP(A24,'Date Calcs'!A:AH,34,0))</f>
        <v>N/A</v>
      </c>
      <c r="AG24" s="76"/>
      <c r="AH24" s="84"/>
      <c r="AI24" s="85"/>
    </row>
    <row r="25" spans="1:35" x14ac:dyDescent="0.25">
      <c r="A25" s="77" t="str">
        <f>'Date Calcs'!A26</f>
        <v>25-031</v>
      </c>
      <c r="B25" s="78" t="str">
        <f t="shared" si="0"/>
        <v>Y</v>
      </c>
      <c r="C25" s="78" t="str">
        <f t="shared" si="1"/>
        <v>Y</v>
      </c>
      <c r="D25" s="78" t="str">
        <f t="shared" si="2"/>
        <v>Y</v>
      </c>
      <c r="E25" s="78" t="str">
        <f t="shared" si="3"/>
        <v>Y</v>
      </c>
      <c r="F25" s="77">
        <f t="shared" si="4"/>
        <v>2</v>
      </c>
      <c r="G25" s="79" t="str">
        <f t="shared" si="5"/>
        <v>y</v>
      </c>
      <c r="H25" s="80">
        <v>45715</v>
      </c>
      <c r="I25" s="81">
        <v>45754</v>
      </c>
      <c r="J25" s="81">
        <v>45764</v>
      </c>
      <c r="K25" s="81">
        <v>45798</v>
      </c>
      <c r="L25" s="81">
        <v>45805</v>
      </c>
      <c r="M25" s="86"/>
      <c r="N25" s="86"/>
      <c r="O25" s="86"/>
      <c r="P25" s="81">
        <v>45706</v>
      </c>
      <c r="Q25" s="81">
        <v>45707</v>
      </c>
      <c r="R25" s="70">
        <f t="shared" si="6"/>
        <v>3</v>
      </c>
      <c r="S25" s="82">
        <f t="shared" si="7"/>
        <v>45805</v>
      </c>
      <c r="T25" s="81">
        <v>45805</v>
      </c>
      <c r="U25" s="78">
        <f t="shared" si="8"/>
        <v>45973</v>
      </c>
      <c r="V25" s="81">
        <v>45807</v>
      </c>
      <c r="W25" s="81">
        <v>228428</v>
      </c>
      <c r="X25" s="81">
        <v>45810</v>
      </c>
      <c r="Y25" s="81">
        <f t="shared" si="9"/>
        <v>45875</v>
      </c>
      <c r="Z25" s="81">
        <v>45810</v>
      </c>
      <c r="AA25" s="81">
        <v>45820</v>
      </c>
      <c r="AB25" s="81"/>
      <c r="AC25" s="81"/>
      <c r="AD25" s="81">
        <v>45882</v>
      </c>
      <c r="AE25" s="81">
        <v>45958</v>
      </c>
      <c r="AF25" s="83" t="str">
        <f>IF(VLOOKUP(A25,'Date Calcs'!A:AH,34,0)="","N/A",VLOOKUP(A25,'Date Calcs'!A:AH,34,0))</f>
        <v>N/A</v>
      </c>
      <c r="AG25" s="76"/>
      <c r="AH25" s="84"/>
      <c r="AI25" s="85"/>
    </row>
    <row r="26" spans="1:35" x14ac:dyDescent="0.25">
      <c r="A26" s="77" t="str">
        <f>'Date Calcs'!A27</f>
        <v>25-032</v>
      </c>
      <c r="B26" s="78" t="str">
        <f t="shared" si="0"/>
        <v>Y</v>
      </c>
      <c r="C26" s="78" t="str">
        <f t="shared" si="1"/>
        <v>Y</v>
      </c>
      <c r="D26" s="78" t="str">
        <f t="shared" si="2"/>
        <v>Y</v>
      </c>
      <c r="E26" s="78" t="str">
        <f t="shared" si="3"/>
        <v>Y</v>
      </c>
      <c r="F26" s="77">
        <f t="shared" si="4"/>
        <v>2</v>
      </c>
      <c r="G26" s="79" t="str">
        <f t="shared" si="5"/>
        <v>y</v>
      </c>
      <c r="H26" s="80">
        <v>45715</v>
      </c>
      <c r="I26" s="81">
        <v>45754</v>
      </c>
      <c r="J26" s="81">
        <v>45764</v>
      </c>
      <c r="K26" s="81">
        <v>45798</v>
      </c>
      <c r="L26" s="81">
        <v>45805</v>
      </c>
      <c r="M26" s="86"/>
      <c r="N26" s="86"/>
      <c r="O26" s="86"/>
      <c r="P26" s="81">
        <v>45706</v>
      </c>
      <c r="Q26" s="81">
        <v>45707</v>
      </c>
      <c r="R26" s="70">
        <f t="shared" si="6"/>
        <v>3</v>
      </c>
      <c r="S26" s="82">
        <f t="shared" si="7"/>
        <v>45805</v>
      </c>
      <c r="T26" s="81">
        <v>45805</v>
      </c>
      <c r="U26" s="78">
        <f t="shared" si="8"/>
        <v>45973</v>
      </c>
      <c r="V26" s="81">
        <v>45807</v>
      </c>
      <c r="W26" s="81">
        <v>228428</v>
      </c>
      <c r="X26" s="81">
        <v>45810</v>
      </c>
      <c r="Y26" s="81">
        <f t="shared" si="9"/>
        <v>45877</v>
      </c>
      <c r="Z26" s="81">
        <v>45810</v>
      </c>
      <c r="AA26" s="81">
        <v>45820</v>
      </c>
      <c r="AB26" s="81"/>
      <c r="AC26" s="81"/>
      <c r="AD26" s="81">
        <v>45884</v>
      </c>
      <c r="AE26" s="81">
        <v>45958</v>
      </c>
      <c r="AF26" s="83" t="str">
        <f>IF(VLOOKUP(A26,'Date Calcs'!A:AH,34,0)="","N/A",VLOOKUP(A26,'Date Calcs'!A:AH,34,0))</f>
        <v>N/A</v>
      </c>
      <c r="AG26" s="76"/>
      <c r="AH26" s="84"/>
      <c r="AI26" s="85"/>
    </row>
    <row r="27" spans="1:35" x14ac:dyDescent="0.25">
      <c r="A27" s="77" t="str">
        <f>'Date Calcs'!A28</f>
        <v>25-033</v>
      </c>
      <c r="B27" s="78" t="str">
        <f t="shared" si="0"/>
        <v>Y</v>
      </c>
      <c r="C27" s="78" t="str">
        <f t="shared" si="1"/>
        <v>Y</v>
      </c>
      <c r="D27" s="78" t="str">
        <f t="shared" si="2"/>
        <v>Y</v>
      </c>
      <c r="E27" s="78" t="str">
        <f t="shared" si="3"/>
        <v>Y</v>
      </c>
      <c r="F27" s="77">
        <f t="shared" si="4"/>
        <v>2</v>
      </c>
      <c r="G27" s="79" t="str">
        <f t="shared" si="5"/>
        <v>y</v>
      </c>
      <c r="H27" s="80">
        <v>45721</v>
      </c>
      <c r="I27" s="81">
        <v>45754</v>
      </c>
      <c r="J27" s="81">
        <v>45764</v>
      </c>
      <c r="K27" s="81">
        <v>45798</v>
      </c>
      <c r="L27" s="81">
        <v>45805</v>
      </c>
      <c r="M27" s="86"/>
      <c r="N27" s="86"/>
      <c r="O27" s="86"/>
      <c r="P27" s="81">
        <v>45706</v>
      </c>
      <c r="Q27" s="81">
        <v>45707</v>
      </c>
      <c r="R27" s="70">
        <f t="shared" si="6"/>
        <v>3</v>
      </c>
      <c r="S27" s="82">
        <f t="shared" si="7"/>
        <v>45805</v>
      </c>
      <c r="T27" s="81">
        <v>45805</v>
      </c>
      <c r="U27" s="78">
        <f t="shared" si="8"/>
        <v>45973</v>
      </c>
      <c r="V27" s="81">
        <v>45812</v>
      </c>
      <c r="W27" s="81">
        <v>45812</v>
      </c>
      <c r="X27" s="81">
        <v>45812</v>
      </c>
      <c r="Y27" s="81">
        <f t="shared" si="9"/>
        <v>45882</v>
      </c>
      <c r="Z27" s="81">
        <v>45812</v>
      </c>
      <c r="AA27" s="81">
        <v>45824</v>
      </c>
      <c r="AB27" s="81"/>
      <c r="AC27" s="81"/>
      <c r="AD27" s="81">
        <v>45889</v>
      </c>
      <c r="AE27" s="81">
        <v>45958</v>
      </c>
      <c r="AF27" s="83" t="str">
        <f>IF(VLOOKUP(A27,'Date Calcs'!A:AH,34,0)="","N/A",VLOOKUP(A27,'Date Calcs'!A:AH,34,0))</f>
        <v>N/A</v>
      </c>
      <c r="AG27" s="76"/>
      <c r="AH27" s="84"/>
      <c r="AI27" s="85"/>
    </row>
    <row r="28" spans="1:35" x14ac:dyDescent="0.25">
      <c r="A28" s="77" t="str">
        <f>'Date Calcs'!A29</f>
        <v>25-034</v>
      </c>
      <c r="B28" s="78" t="str">
        <f t="shared" si="0"/>
        <v>Y</v>
      </c>
      <c r="C28" s="78" t="str">
        <f t="shared" si="1"/>
        <v>Y</v>
      </c>
      <c r="D28" s="78" t="str">
        <f t="shared" si="2"/>
        <v>Y</v>
      </c>
      <c r="E28" s="78" t="str">
        <f t="shared" si="3"/>
        <v>Y</v>
      </c>
      <c r="F28" s="77">
        <f t="shared" si="4"/>
        <v>2</v>
      </c>
      <c r="G28" s="79" t="str">
        <f t="shared" si="5"/>
        <v>y</v>
      </c>
      <c r="H28" s="80">
        <v>45714</v>
      </c>
      <c r="I28" s="81">
        <v>45754</v>
      </c>
      <c r="J28" s="81">
        <v>45764</v>
      </c>
      <c r="K28" s="81">
        <v>45798</v>
      </c>
      <c r="L28" s="81">
        <v>45805</v>
      </c>
      <c r="M28" s="86"/>
      <c r="N28" s="86"/>
      <c r="O28" s="86"/>
      <c r="P28" s="81">
        <v>45706</v>
      </c>
      <c r="Q28" s="81">
        <v>45707</v>
      </c>
      <c r="R28" s="70">
        <f t="shared" si="6"/>
        <v>3</v>
      </c>
      <c r="S28" s="82">
        <f t="shared" si="7"/>
        <v>45805</v>
      </c>
      <c r="T28" s="81">
        <v>45805</v>
      </c>
      <c r="U28" s="78">
        <f t="shared" si="8"/>
        <v>45973</v>
      </c>
      <c r="V28" s="81">
        <v>45813</v>
      </c>
      <c r="W28" s="81">
        <v>45813</v>
      </c>
      <c r="X28" s="81">
        <v>45814</v>
      </c>
      <c r="Y28" s="81">
        <f t="shared" si="9"/>
        <v>45833</v>
      </c>
      <c r="Z28" s="81">
        <v>45814</v>
      </c>
      <c r="AA28" s="81">
        <v>45824</v>
      </c>
      <c r="AB28" s="81"/>
      <c r="AC28" s="81"/>
      <c r="AD28" s="81">
        <v>45840</v>
      </c>
      <c r="AE28" s="81">
        <v>45896</v>
      </c>
      <c r="AF28" s="83" t="str">
        <f>IF(VLOOKUP(A28,'Date Calcs'!A:AH,34,0)="","N/A",VLOOKUP(A28,'Date Calcs'!A:AH,34,0))</f>
        <v>N/A</v>
      </c>
      <c r="AG28" s="76"/>
      <c r="AH28" s="84"/>
      <c r="AI28" s="85"/>
    </row>
    <row r="29" spans="1:35" x14ac:dyDescent="0.25">
      <c r="A29" s="77" t="str">
        <f>'Date Calcs'!A30</f>
        <v>25-035</v>
      </c>
      <c r="B29" s="78" t="str">
        <f t="shared" si="0"/>
        <v>Y</v>
      </c>
      <c r="C29" s="78" t="str">
        <f t="shared" si="1"/>
        <v>Y</v>
      </c>
      <c r="D29" s="78" t="str">
        <f t="shared" si="2"/>
        <v>Y</v>
      </c>
      <c r="E29" s="78" t="str">
        <f t="shared" si="3"/>
        <v>Y</v>
      </c>
      <c r="F29" s="77">
        <f t="shared" si="4"/>
        <v>2</v>
      </c>
      <c r="G29" s="79" t="str">
        <f t="shared" si="5"/>
        <v>y</v>
      </c>
      <c r="H29" s="80">
        <v>45721</v>
      </c>
      <c r="I29" s="81">
        <v>45754</v>
      </c>
      <c r="J29" s="81">
        <v>45764</v>
      </c>
      <c r="K29" s="81">
        <v>45798</v>
      </c>
      <c r="L29" s="81">
        <v>45805</v>
      </c>
      <c r="M29" s="86"/>
      <c r="N29" s="86"/>
      <c r="O29" s="86"/>
      <c r="P29" s="81">
        <v>45706</v>
      </c>
      <c r="Q29" s="81">
        <v>45707</v>
      </c>
      <c r="R29" s="70">
        <f t="shared" si="6"/>
        <v>3</v>
      </c>
      <c r="S29" s="82">
        <f t="shared" si="7"/>
        <v>45805</v>
      </c>
      <c r="T29" s="81">
        <v>45805</v>
      </c>
      <c r="U29" s="78">
        <f t="shared" si="8"/>
        <v>45973</v>
      </c>
      <c r="V29" s="81">
        <v>45813</v>
      </c>
      <c r="W29" s="81">
        <v>45813</v>
      </c>
      <c r="X29" s="81">
        <v>45813</v>
      </c>
      <c r="Y29" s="81">
        <f t="shared" si="9"/>
        <v>45833</v>
      </c>
      <c r="Z29" s="81">
        <v>45813</v>
      </c>
      <c r="AA29" s="81">
        <v>45824</v>
      </c>
      <c r="AB29" s="81"/>
      <c r="AC29" s="81"/>
      <c r="AD29" s="81">
        <v>45840</v>
      </c>
      <c r="AE29" s="81">
        <v>45896</v>
      </c>
      <c r="AF29" s="83" t="str">
        <f>IF(VLOOKUP(A29,'Date Calcs'!A:AH,34,0)="","N/A",VLOOKUP(A29,'Date Calcs'!A:AH,34,0))</f>
        <v>N/A</v>
      </c>
      <c r="AG29" s="76"/>
      <c r="AH29" s="84"/>
      <c r="AI29" s="85"/>
    </row>
    <row r="30" spans="1:35" x14ac:dyDescent="0.25">
      <c r="A30" s="77" t="str">
        <f>'Date Calcs'!A31</f>
        <v>25-036</v>
      </c>
      <c r="B30" s="78" t="str">
        <f t="shared" si="0"/>
        <v>Y</v>
      </c>
      <c r="C30" s="78" t="str">
        <f t="shared" si="1"/>
        <v>Y</v>
      </c>
      <c r="D30" s="78" t="str">
        <f t="shared" si="2"/>
        <v>Y</v>
      </c>
      <c r="E30" s="78" t="str">
        <f t="shared" si="3"/>
        <v>Y</v>
      </c>
      <c r="F30" s="77">
        <f t="shared" si="4"/>
        <v>2</v>
      </c>
      <c r="G30" s="79" t="str">
        <f t="shared" si="5"/>
        <v>y</v>
      </c>
      <c r="H30" s="80">
        <v>45714</v>
      </c>
      <c r="I30" s="81">
        <v>45754</v>
      </c>
      <c r="J30" s="81">
        <v>45764</v>
      </c>
      <c r="K30" s="81">
        <v>45798</v>
      </c>
      <c r="L30" s="81">
        <v>45805</v>
      </c>
      <c r="M30" s="86"/>
      <c r="N30" s="86"/>
      <c r="O30" s="86"/>
      <c r="P30" s="81">
        <v>45706</v>
      </c>
      <c r="Q30" s="81">
        <v>45707</v>
      </c>
      <c r="R30" s="70">
        <f t="shared" si="6"/>
        <v>3</v>
      </c>
      <c r="S30" s="82">
        <f t="shared" si="7"/>
        <v>45805</v>
      </c>
      <c r="T30" s="81">
        <v>45805</v>
      </c>
      <c r="U30" s="78">
        <f t="shared" si="8"/>
        <v>45973</v>
      </c>
      <c r="V30" s="81">
        <v>45813</v>
      </c>
      <c r="W30" s="81">
        <v>45813</v>
      </c>
      <c r="X30" s="81">
        <v>45814</v>
      </c>
      <c r="Y30" s="81">
        <f t="shared" si="9"/>
        <v>45833</v>
      </c>
      <c r="Z30" s="81">
        <v>45814</v>
      </c>
      <c r="AA30" s="81">
        <v>45824</v>
      </c>
      <c r="AB30" s="81"/>
      <c r="AC30" s="81"/>
      <c r="AD30" s="81">
        <v>45840</v>
      </c>
      <c r="AE30" s="81">
        <v>45896</v>
      </c>
      <c r="AF30" s="83" t="str">
        <f>IF(VLOOKUP(A30,'Date Calcs'!A:AH,34,0)="","N/A",VLOOKUP(A30,'Date Calcs'!A:AH,34,0))</f>
        <v>N/A</v>
      </c>
      <c r="AG30" s="76"/>
      <c r="AH30" s="84"/>
      <c r="AI30" s="85"/>
    </row>
    <row r="31" spans="1:35" x14ac:dyDescent="0.25">
      <c r="A31" s="77" t="str">
        <f>'Date Calcs'!A32</f>
        <v>25-037</v>
      </c>
      <c r="B31" s="78" t="str">
        <f t="shared" si="0"/>
        <v>Y</v>
      </c>
      <c r="C31" s="78" t="str">
        <f t="shared" si="1"/>
        <v>Y</v>
      </c>
      <c r="D31" s="78" t="str">
        <f t="shared" si="2"/>
        <v>Y</v>
      </c>
      <c r="E31" s="78" t="str">
        <f t="shared" si="3"/>
        <v>Y</v>
      </c>
      <c r="F31" s="77">
        <f t="shared" si="4"/>
        <v>2</v>
      </c>
      <c r="G31" s="79" t="str">
        <f t="shared" si="5"/>
        <v>y</v>
      </c>
      <c r="H31" s="80">
        <v>45716</v>
      </c>
      <c r="I31" s="81">
        <v>45754</v>
      </c>
      <c r="J31" s="81">
        <v>45764</v>
      </c>
      <c r="K31" s="81">
        <v>45798</v>
      </c>
      <c r="L31" s="81">
        <v>45805</v>
      </c>
      <c r="M31" s="86"/>
      <c r="N31" s="86"/>
      <c r="O31" s="86"/>
      <c r="P31" s="81">
        <v>45706</v>
      </c>
      <c r="Q31" s="81">
        <v>45707</v>
      </c>
      <c r="R31" s="70">
        <f t="shared" si="6"/>
        <v>3</v>
      </c>
      <c r="S31" s="82">
        <f t="shared" si="7"/>
        <v>45805</v>
      </c>
      <c r="T31" s="81">
        <v>45805</v>
      </c>
      <c r="U31" s="78">
        <f t="shared" si="8"/>
        <v>45973</v>
      </c>
      <c r="V31" s="81">
        <v>45805</v>
      </c>
      <c r="W31" s="81">
        <v>45805</v>
      </c>
      <c r="X31" s="81">
        <v>45806</v>
      </c>
      <c r="Y31" s="81">
        <f t="shared" si="9"/>
        <v>45819</v>
      </c>
      <c r="Z31" s="81">
        <v>45806</v>
      </c>
      <c r="AA31" s="81">
        <v>45824</v>
      </c>
      <c r="AB31" s="81"/>
      <c r="AC31" s="81"/>
      <c r="AD31" s="81">
        <v>45826</v>
      </c>
      <c r="AE31" s="81">
        <v>45904</v>
      </c>
      <c r="AF31" s="83" t="str">
        <f>IF(VLOOKUP(A31,'Date Calcs'!A:AH,34,0)="","N/A",VLOOKUP(A31,'Date Calcs'!A:AH,34,0))</f>
        <v>N/A</v>
      </c>
      <c r="AG31" s="76"/>
      <c r="AH31" s="84"/>
      <c r="AI31" s="85"/>
    </row>
    <row r="32" spans="1:35" x14ac:dyDescent="0.25">
      <c r="A32" s="77" t="str">
        <f>'Date Calcs'!A33</f>
        <v>25-039</v>
      </c>
      <c r="B32" s="78" t="str">
        <f t="shared" si="0"/>
        <v>Y</v>
      </c>
      <c r="C32" s="78" t="str">
        <f t="shared" si="1"/>
        <v>Y</v>
      </c>
      <c r="D32" s="78" t="str">
        <f t="shared" si="2"/>
        <v>Y</v>
      </c>
      <c r="E32" s="78" t="str">
        <f t="shared" si="3"/>
        <v>Y</v>
      </c>
      <c r="F32" s="77">
        <f t="shared" si="4"/>
        <v>1</v>
      </c>
      <c r="G32" s="79" t="str">
        <f t="shared" si="5"/>
        <v>y</v>
      </c>
      <c r="H32" s="80">
        <v>45736</v>
      </c>
      <c r="I32" s="81">
        <v>45778</v>
      </c>
      <c r="J32" s="81">
        <v>45783</v>
      </c>
      <c r="K32" s="86"/>
      <c r="L32" s="86"/>
      <c r="M32" s="86"/>
      <c r="N32" s="86"/>
      <c r="O32" s="86"/>
      <c r="P32" s="81">
        <v>45722</v>
      </c>
      <c r="Q32" s="81">
        <v>45721</v>
      </c>
      <c r="R32" s="70">
        <f t="shared" si="6"/>
        <v>2</v>
      </c>
      <c r="S32" s="82">
        <f t="shared" si="7"/>
        <v>45783</v>
      </c>
      <c r="T32" s="81">
        <v>45783</v>
      </c>
      <c r="U32" s="78">
        <f t="shared" si="8"/>
        <v>45895</v>
      </c>
      <c r="V32" s="81">
        <v>45786</v>
      </c>
      <c r="W32" s="81">
        <v>45789</v>
      </c>
      <c r="X32" s="81">
        <v>45790</v>
      </c>
      <c r="Y32" s="81">
        <f t="shared" si="9"/>
        <v>45799</v>
      </c>
      <c r="Z32" s="81">
        <v>45791</v>
      </c>
      <c r="AA32" s="81">
        <v>45785</v>
      </c>
      <c r="AB32" s="81"/>
      <c r="AC32" s="81"/>
      <c r="AD32" s="81">
        <v>45806</v>
      </c>
      <c r="AE32" s="81">
        <v>45884</v>
      </c>
      <c r="AF32" s="83" t="str">
        <f>IF(VLOOKUP(A32,'Date Calcs'!A:AH,34,0)="","N/A",VLOOKUP(A32,'Date Calcs'!A:AH,34,0))</f>
        <v>N/A</v>
      </c>
      <c r="AG32" s="76"/>
      <c r="AH32" s="84"/>
      <c r="AI32" s="85"/>
    </row>
    <row r="33" spans="1:35" x14ac:dyDescent="0.25">
      <c r="A33" s="77" t="str">
        <f>'Date Calcs'!A34</f>
        <v>25-040</v>
      </c>
      <c r="B33" s="78" t="str">
        <f t="shared" si="0"/>
        <v>Y</v>
      </c>
      <c r="C33" s="78" t="str">
        <f t="shared" si="1"/>
        <v>Y</v>
      </c>
      <c r="D33" s="78" t="str">
        <f t="shared" si="2"/>
        <v>Y</v>
      </c>
      <c r="E33" s="78" t="str">
        <f t="shared" si="3"/>
        <v>Y</v>
      </c>
      <c r="F33" s="77">
        <f t="shared" si="4"/>
        <v>1</v>
      </c>
      <c r="G33" s="79" t="str">
        <f t="shared" si="5"/>
        <v>y</v>
      </c>
      <c r="H33" s="80">
        <v>45706</v>
      </c>
      <c r="I33" s="81">
        <v>45713</v>
      </c>
      <c r="J33" s="81">
        <v>45729</v>
      </c>
      <c r="K33" s="86"/>
      <c r="L33" s="86"/>
      <c r="M33" s="86"/>
      <c r="N33" s="86"/>
      <c r="O33" s="86"/>
      <c r="P33" s="81">
        <v>45721</v>
      </c>
      <c r="Q33" s="81">
        <v>45721</v>
      </c>
      <c r="R33" s="70">
        <f t="shared" si="6"/>
        <v>2</v>
      </c>
      <c r="S33" s="82">
        <f t="shared" si="7"/>
        <v>45729</v>
      </c>
      <c r="T33" s="81">
        <v>45729</v>
      </c>
      <c r="U33" s="78">
        <f t="shared" si="8"/>
        <v>46086</v>
      </c>
      <c r="V33" s="81">
        <v>45743</v>
      </c>
      <c r="W33" s="81">
        <v>45916</v>
      </c>
      <c r="X33" s="81">
        <v>45916</v>
      </c>
      <c r="Y33" s="81">
        <f t="shared" si="9"/>
        <v>45910</v>
      </c>
      <c r="Z33" s="81">
        <v>45916</v>
      </c>
      <c r="AA33" s="81">
        <v>45916</v>
      </c>
      <c r="AB33" s="81">
        <v>45917</v>
      </c>
      <c r="AC33" s="81">
        <v>45916</v>
      </c>
      <c r="AD33" s="81">
        <v>45917</v>
      </c>
      <c r="AE33" s="81"/>
      <c r="AF33" s="83" t="str">
        <f>IF(VLOOKUP(A33,'Date Calcs'!A:AH,34,0)="","N/A",VLOOKUP(A33,'Date Calcs'!A:AH,34,0))</f>
        <v>N/A</v>
      </c>
      <c r="AG33" s="76"/>
      <c r="AH33" s="84"/>
      <c r="AI33" s="85"/>
    </row>
    <row r="34" spans="1:35" x14ac:dyDescent="0.25">
      <c r="A34" s="77" t="str">
        <f>'Date Calcs'!A35</f>
        <v>25-042</v>
      </c>
      <c r="B34" s="78" t="str">
        <f t="shared" si="0"/>
        <v>Y</v>
      </c>
      <c r="C34" s="78" t="str">
        <f t="shared" si="1"/>
        <v>Y</v>
      </c>
      <c r="D34" s="78" t="str">
        <f t="shared" si="2"/>
        <v>Y</v>
      </c>
      <c r="E34" s="78" t="str">
        <f t="shared" si="3"/>
        <v>Y</v>
      </c>
      <c r="F34" s="77">
        <f t="shared" si="4"/>
        <v>2</v>
      </c>
      <c r="G34" s="79" t="str">
        <f t="shared" si="5"/>
        <v>y</v>
      </c>
      <c r="H34" s="80">
        <v>45741</v>
      </c>
      <c r="I34" s="81">
        <v>45761</v>
      </c>
      <c r="J34" s="81">
        <v>45762</v>
      </c>
      <c r="K34" s="81">
        <v>45796</v>
      </c>
      <c r="L34" s="81">
        <v>45799</v>
      </c>
      <c r="M34" s="86"/>
      <c r="N34" s="86"/>
      <c r="O34" s="86"/>
      <c r="P34" s="81">
        <v>45743</v>
      </c>
      <c r="Q34" s="81">
        <v>45743</v>
      </c>
      <c r="R34" s="70">
        <f t="shared" si="6"/>
        <v>3</v>
      </c>
      <c r="S34" s="82">
        <f t="shared" si="7"/>
        <v>45799</v>
      </c>
      <c r="T34" s="81">
        <v>45799</v>
      </c>
      <c r="U34" s="78">
        <f t="shared" si="8"/>
        <v>45869</v>
      </c>
      <c r="V34" s="81">
        <v>45804</v>
      </c>
      <c r="W34" s="81">
        <v>45805</v>
      </c>
      <c r="X34" s="81">
        <v>45806</v>
      </c>
      <c r="Y34" s="81">
        <f t="shared" si="9"/>
        <v>45832</v>
      </c>
      <c r="Z34" s="81">
        <v>45806</v>
      </c>
      <c r="AA34" s="81">
        <v>45828</v>
      </c>
      <c r="AB34" s="81"/>
      <c r="AC34" s="81"/>
      <c r="AD34" s="81">
        <v>45839</v>
      </c>
      <c r="AE34" s="81">
        <v>45896</v>
      </c>
      <c r="AF34" s="83" t="str">
        <f>IF(VLOOKUP(A34,'Date Calcs'!A:AH,34,0)="","N/A",VLOOKUP(A34,'Date Calcs'!A:AH,34,0))</f>
        <v>N/A</v>
      </c>
      <c r="AG34" s="76"/>
      <c r="AH34" s="84"/>
      <c r="AI34" s="85"/>
    </row>
    <row r="35" spans="1:35" x14ac:dyDescent="0.25">
      <c r="A35" s="77" t="str">
        <f>'Date Calcs'!A36</f>
        <v>25-044</v>
      </c>
      <c r="B35" s="78" t="str">
        <f t="shared" si="0"/>
        <v>Y</v>
      </c>
      <c r="C35" s="78" t="str">
        <f t="shared" si="1"/>
        <v>Y</v>
      </c>
      <c r="D35" s="78" t="str">
        <f t="shared" si="2"/>
        <v>Y</v>
      </c>
      <c r="E35" s="78" t="str">
        <f t="shared" si="3"/>
        <v>Y</v>
      </c>
      <c r="F35" s="77">
        <f t="shared" si="4"/>
        <v>2</v>
      </c>
      <c r="G35" s="79" t="str">
        <f t="shared" si="5"/>
        <v>y</v>
      </c>
      <c r="H35" s="80">
        <v>45791</v>
      </c>
      <c r="I35" s="81">
        <v>45798</v>
      </c>
      <c r="J35" s="81">
        <v>45804</v>
      </c>
      <c r="K35" s="81">
        <v>45806</v>
      </c>
      <c r="L35" s="81">
        <v>45807</v>
      </c>
      <c r="M35" s="86"/>
      <c r="N35" s="86"/>
      <c r="O35" s="86"/>
      <c r="P35" s="81">
        <v>45770</v>
      </c>
      <c r="Q35" s="81">
        <v>45765</v>
      </c>
      <c r="R35" s="70">
        <f t="shared" si="6"/>
        <v>3</v>
      </c>
      <c r="S35" s="82">
        <f t="shared" si="7"/>
        <v>45807</v>
      </c>
      <c r="T35" s="81">
        <v>45807</v>
      </c>
      <c r="U35" s="78">
        <f t="shared" si="8"/>
        <v>45891</v>
      </c>
      <c r="V35" s="81">
        <v>45820</v>
      </c>
      <c r="W35" s="81">
        <v>45820</v>
      </c>
      <c r="X35" s="81">
        <v>45825</v>
      </c>
      <c r="Y35" s="81">
        <f t="shared" si="9"/>
        <v>45826</v>
      </c>
      <c r="Z35" s="81">
        <v>45825</v>
      </c>
      <c r="AA35" s="81">
        <v>45826</v>
      </c>
      <c r="AB35" s="81"/>
      <c r="AC35" s="81"/>
      <c r="AD35" s="81">
        <v>45833</v>
      </c>
      <c r="AE35" s="81">
        <v>45883</v>
      </c>
      <c r="AF35" s="83" t="str">
        <f>IF(VLOOKUP(A35,'Date Calcs'!A:AH,34,0)="","N/A",VLOOKUP(A35,'Date Calcs'!A:AH,34,0))</f>
        <v>N/A</v>
      </c>
      <c r="AG35" s="76"/>
      <c r="AH35" s="84"/>
      <c r="AI35" s="85"/>
    </row>
    <row r="36" spans="1:35" x14ac:dyDescent="0.25">
      <c r="A36" s="77" t="str">
        <f>'Date Calcs'!A37</f>
        <v>25-045</v>
      </c>
      <c r="B36" s="78" t="str">
        <f t="shared" ref="B36:B67" si="10">IF(H36&gt;0,"Y","N")</f>
        <v>Y</v>
      </c>
      <c r="C36" s="78" t="str">
        <f t="shared" ref="C36:C67" si="11">IF(I36&gt;0,IF(J36&gt;0,"Y","N"),"Y")</f>
        <v>Y</v>
      </c>
      <c r="D36" s="78" t="str">
        <f t="shared" ref="D36:D67" si="12">IF(K36&gt;0,IF(L36&gt;0,"Y","N"),"Y")</f>
        <v>Y</v>
      </c>
      <c r="E36" s="78" t="str">
        <f t="shared" ref="E36:E67" si="13">IF(M36&gt;0,IF(N36&gt;0,"Y","N"),"Y")</f>
        <v>Y</v>
      </c>
      <c r="F36" s="77">
        <f t="shared" ref="F36:F67" si="14">IF(N36&gt;0,3,IF(L36&gt;0,2,IF(J36&gt;0,1,IF(H36&gt;0,0,"  "))))</f>
        <v>3</v>
      </c>
      <c r="G36" s="79" t="str">
        <f t="shared" ref="G36:G67" si="15">IF(T36=0,"  ","y")</f>
        <v xml:space="preserve">  </v>
      </c>
      <c r="H36" s="80">
        <v>46022</v>
      </c>
      <c r="I36" s="81">
        <v>46022</v>
      </c>
      <c r="J36" s="80">
        <v>46022</v>
      </c>
      <c r="K36" s="81">
        <v>46022</v>
      </c>
      <c r="L36" s="80">
        <v>46022</v>
      </c>
      <c r="M36" s="81">
        <v>46022</v>
      </c>
      <c r="N36" s="80">
        <v>46022</v>
      </c>
      <c r="O36" s="81">
        <v>46022</v>
      </c>
      <c r="P36" s="81">
        <v>45756</v>
      </c>
      <c r="Q36" s="81">
        <v>45756</v>
      </c>
      <c r="R36" s="70">
        <f t="shared" ref="R36:R67" si="16">IF(N36&gt;0,4,IF(L36&gt;0,3,IF(J36&gt;0,2,IF(H36&gt;0,1,0))))</f>
        <v>4</v>
      </c>
      <c r="S36" s="82" t="str">
        <f t="shared" ref="S36:S67" si="17">IF(T36="","-",T36)</f>
        <v>-</v>
      </c>
      <c r="T36" s="86"/>
      <c r="U36" s="78">
        <f t="shared" ref="U36:U67" si="18">IFERROR(_xlfn.IFNA(IF(T36="",VLOOKUP(A36,Jobs,23,0),T36+(VLOOKUP(A36,Jobs,7,FALSE())*7)+(VLOOKUP(A36,Jobs,23,FALSE())*7)),"")," ")</f>
        <v>0</v>
      </c>
      <c r="V36" s="81" t="s">
        <v>68</v>
      </c>
      <c r="W36" s="81" t="s">
        <v>68</v>
      </c>
      <c r="X36" s="81" t="s">
        <v>68</v>
      </c>
      <c r="Y36" s="81"/>
      <c r="Z36" s="81" t="s">
        <v>68</v>
      </c>
      <c r="AA36" s="86"/>
      <c r="AB36" s="86"/>
      <c r="AC36" s="86"/>
      <c r="AD36" s="86"/>
      <c r="AE36" s="81">
        <v>46022</v>
      </c>
      <c r="AF36" s="83" t="str">
        <f>IF(VLOOKUP(A36,'Date Calcs'!A:AH,34,0)="","N/A",VLOOKUP(A36,'Date Calcs'!A:AH,34,0))</f>
        <v>N/A</v>
      </c>
      <c r="AG36" s="76"/>
      <c r="AH36" s="84"/>
      <c r="AI36" s="85"/>
    </row>
    <row r="37" spans="1:35" x14ac:dyDescent="0.25">
      <c r="A37" s="77" t="str">
        <f>'Date Calcs'!A38</f>
        <v>25-052</v>
      </c>
      <c r="B37" s="78" t="str">
        <f t="shared" si="10"/>
        <v>Y</v>
      </c>
      <c r="C37" s="78" t="str">
        <f t="shared" si="11"/>
        <v>Y</v>
      </c>
      <c r="D37" s="78" t="str">
        <f t="shared" si="12"/>
        <v>Y</v>
      </c>
      <c r="E37" s="78" t="str">
        <f t="shared" si="13"/>
        <v>Y</v>
      </c>
      <c r="F37" s="77">
        <f t="shared" si="14"/>
        <v>3</v>
      </c>
      <c r="G37" s="79" t="str">
        <f t="shared" si="15"/>
        <v>y</v>
      </c>
      <c r="H37" s="80">
        <v>45819</v>
      </c>
      <c r="I37" s="81">
        <v>45839</v>
      </c>
      <c r="J37" s="81">
        <v>45846</v>
      </c>
      <c r="K37" s="81">
        <v>45852</v>
      </c>
      <c r="L37" s="81">
        <v>45859</v>
      </c>
      <c r="M37" s="81">
        <v>45860</v>
      </c>
      <c r="N37" s="81">
        <v>45867</v>
      </c>
      <c r="O37" s="86"/>
      <c r="P37" s="81">
        <v>45800</v>
      </c>
      <c r="Q37" s="81">
        <v>45800</v>
      </c>
      <c r="R37" s="70">
        <f t="shared" si="16"/>
        <v>4</v>
      </c>
      <c r="S37" s="82">
        <f t="shared" si="17"/>
        <v>45867</v>
      </c>
      <c r="T37" s="81">
        <v>45867</v>
      </c>
      <c r="U37" s="78">
        <f t="shared" si="18"/>
        <v>45965</v>
      </c>
      <c r="V37" s="81">
        <v>45908</v>
      </c>
      <c r="W37" s="81">
        <v>45909</v>
      </c>
      <c r="X37" s="81">
        <v>45912</v>
      </c>
      <c r="Y37" s="81">
        <f>AD37-7</f>
        <v>45916</v>
      </c>
      <c r="Z37" s="81">
        <v>45912</v>
      </c>
      <c r="AA37" s="81">
        <v>45917</v>
      </c>
      <c r="AB37" s="81"/>
      <c r="AC37" s="81"/>
      <c r="AD37" s="81">
        <v>45923</v>
      </c>
      <c r="AE37" s="81">
        <v>46020</v>
      </c>
      <c r="AF37" s="83" t="str">
        <f>IF(VLOOKUP(A37,'Date Calcs'!A:AH,34,0)="","N/A",VLOOKUP(A37,'Date Calcs'!A:AH,34,0))</f>
        <v>N/A</v>
      </c>
      <c r="AG37" s="76"/>
      <c r="AH37" s="84"/>
      <c r="AI37" s="85"/>
    </row>
    <row r="38" spans="1:35" x14ac:dyDescent="0.25">
      <c r="A38" s="77" t="str">
        <f>'Date Calcs'!A39</f>
        <v>25-053</v>
      </c>
      <c r="B38" s="78" t="str">
        <f t="shared" si="10"/>
        <v>N</v>
      </c>
      <c r="C38" s="78" t="str">
        <f t="shared" si="11"/>
        <v>Y</v>
      </c>
      <c r="D38" s="78" t="str">
        <f t="shared" si="12"/>
        <v>Y</v>
      </c>
      <c r="E38" s="78" t="str">
        <f t="shared" si="13"/>
        <v>Y</v>
      </c>
      <c r="F38" s="77" t="str">
        <f t="shared" si="14"/>
        <v xml:space="preserve">  </v>
      </c>
      <c r="G38" s="79" t="str">
        <f t="shared" si="15"/>
        <v xml:space="preserve">  </v>
      </c>
      <c r="H38" s="80"/>
      <c r="I38" s="86"/>
      <c r="J38" s="86"/>
      <c r="K38" s="86"/>
      <c r="L38" s="86"/>
      <c r="M38" s="86"/>
      <c r="N38" s="86"/>
      <c r="O38" s="86"/>
      <c r="P38" s="81">
        <v>45882</v>
      </c>
      <c r="Q38" s="81">
        <v>45881</v>
      </c>
      <c r="R38" s="70">
        <f t="shared" si="16"/>
        <v>0</v>
      </c>
      <c r="S38" s="82" t="str">
        <f t="shared" si="17"/>
        <v>-</v>
      </c>
      <c r="T38" s="86"/>
      <c r="U38" s="78">
        <f t="shared" si="18"/>
        <v>0</v>
      </c>
      <c r="V38" s="81">
        <v>45882</v>
      </c>
      <c r="W38" s="81">
        <v>45882</v>
      </c>
      <c r="X38" s="81">
        <v>45894</v>
      </c>
      <c r="Y38" s="81">
        <v>45902</v>
      </c>
      <c r="Z38" s="81">
        <v>45894</v>
      </c>
      <c r="AA38" s="81">
        <v>45897</v>
      </c>
      <c r="AB38" s="81">
        <v>45924</v>
      </c>
      <c r="AC38" s="81"/>
      <c r="AD38" s="81">
        <v>45897</v>
      </c>
      <c r="AE38" s="81">
        <v>45926</v>
      </c>
      <c r="AF38" s="83" t="str">
        <f>IF(VLOOKUP(A38,'Date Calcs'!A:AH,34,0)="","N/A",VLOOKUP(A38,'Date Calcs'!A:AH,34,0))</f>
        <v>N/A</v>
      </c>
      <c r="AG38" s="76"/>
      <c r="AH38" s="84"/>
      <c r="AI38" s="85"/>
    </row>
    <row r="39" spans="1:35" x14ac:dyDescent="0.25">
      <c r="A39" s="77" t="str">
        <f>'Date Calcs'!A40</f>
        <v>25-054</v>
      </c>
      <c r="B39" s="78" t="str">
        <f t="shared" si="10"/>
        <v>Y</v>
      </c>
      <c r="C39" s="78" t="str">
        <f t="shared" si="11"/>
        <v>Y</v>
      </c>
      <c r="D39" s="78" t="str">
        <f t="shared" si="12"/>
        <v>Y</v>
      </c>
      <c r="E39" s="78" t="str">
        <f t="shared" si="13"/>
        <v>Y</v>
      </c>
      <c r="F39" s="77">
        <f t="shared" si="14"/>
        <v>2</v>
      </c>
      <c r="G39" s="79" t="str">
        <f t="shared" si="15"/>
        <v>y</v>
      </c>
      <c r="H39" s="80">
        <v>45835</v>
      </c>
      <c r="I39" s="81">
        <v>45838</v>
      </c>
      <c r="J39" s="81">
        <v>45848</v>
      </c>
      <c r="K39" s="81">
        <v>45848</v>
      </c>
      <c r="L39" s="81">
        <v>45855</v>
      </c>
      <c r="M39" s="86"/>
      <c r="N39" s="86"/>
      <c r="O39" s="86"/>
      <c r="P39" s="81">
        <v>45817</v>
      </c>
      <c r="Q39" s="81">
        <v>45817</v>
      </c>
      <c r="R39" s="70">
        <f t="shared" si="16"/>
        <v>3</v>
      </c>
      <c r="S39" s="82">
        <f t="shared" si="17"/>
        <v>45855</v>
      </c>
      <c r="T39" s="81">
        <v>45855</v>
      </c>
      <c r="U39" s="78">
        <f t="shared" si="18"/>
        <v>45960</v>
      </c>
      <c r="V39" s="81">
        <v>45867</v>
      </c>
      <c r="W39" s="81">
        <v>45867</v>
      </c>
      <c r="X39" s="81">
        <v>45868</v>
      </c>
      <c r="Y39" s="81">
        <f>AD39-7</f>
        <v>45916</v>
      </c>
      <c r="Z39" s="81">
        <v>45868</v>
      </c>
      <c r="AA39" s="81">
        <v>45917</v>
      </c>
      <c r="AB39" s="81"/>
      <c r="AC39" s="81"/>
      <c r="AD39" s="81">
        <v>45923</v>
      </c>
      <c r="AE39" s="81">
        <v>45985</v>
      </c>
      <c r="AF39" s="83" t="str">
        <f>IF(VLOOKUP(A39,'Date Calcs'!A:AH,34,0)="","N/A",VLOOKUP(A39,'Date Calcs'!A:AH,34,0))</f>
        <v>N/A</v>
      </c>
      <c r="AG39" s="76"/>
      <c r="AH39" s="84"/>
      <c r="AI39" s="85"/>
    </row>
    <row r="40" spans="1:35" x14ac:dyDescent="0.25">
      <c r="A40" s="77" t="str">
        <f>'Date Calcs'!A41</f>
        <v>25-055</v>
      </c>
      <c r="B40" s="78" t="str">
        <f t="shared" si="10"/>
        <v>Y</v>
      </c>
      <c r="C40" s="78" t="str">
        <f t="shared" si="11"/>
        <v>Y</v>
      </c>
      <c r="D40" s="78" t="str">
        <f t="shared" si="12"/>
        <v>Y</v>
      </c>
      <c r="E40" s="78" t="str">
        <f t="shared" si="13"/>
        <v>Y</v>
      </c>
      <c r="F40" s="77">
        <f t="shared" si="14"/>
        <v>1</v>
      </c>
      <c r="G40" s="79" t="str">
        <f t="shared" si="15"/>
        <v>y</v>
      </c>
      <c r="H40" s="80">
        <v>45986</v>
      </c>
      <c r="I40" s="81">
        <v>46001</v>
      </c>
      <c r="J40" s="81">
        <v>46008</v>
      </c>
      <c r="K40" s="86"/>
      <c r="L40" s="86"/>
      <c r="M40" s="86"/>
      <c r="N40" s="86"/>
      <c r="O40" s="86"/>
      <c r="P40" s="81">
        <v>46000</v>
      </c>
      <c r="Q40" s="81">
        <v>45999</v>
      </c>
      <c r="R40" s="70">
        <f t="shared" si="16"/>
        <v>2</v>
      </c>
      <c r="S40" s="82">
        <f t="shared" si="17"/>
        <v>46008</v>
      </c>
      <c r="T40" s="81">
        <v>46008</v>
      </c>
      <c r="U40" s="78">
        <f t="shared" si="18"/>
        <v>46190</v>
      </c>
      <c r="V40" s="81">
        <v>46024</v>
      </c>
      <c r="W40" s="81">
        <v>46027</v>
      </c>
      <c r="X40" s="81">
        <v>46029</v>
      </c>
      <c r="Y40" s="81"/>
      <c r="Z40" s="81">
        <v>46029</v>
      </c>
      <c r="AA40" s="81">
        <v>46092</v>
      </c>
      <c r="AB40" s="81">
        <v>46063</v>
      </c>
      <c r="AC40" s="81">
        <v>46061</v>
      </c>
      <c r="AD40" s="86"/>
      <c r="AE40" s="81"/>
      <c r="AF40" s="83" t="str">
        <f>IF(VLOOKUP(A40,'Date Calcs'!A:AH,34,0)="","N/A",VLOOKUP(A40,'Date Calcs'!A:AH,34,0))</f>
        <v>N/A</v>
      </c>
      <c r="AG40" s="76"/>
      <c r="AH40" s="84"/>
      <c r="AI40" s="85"/>
    </row>
    <row r="41" spans="1:35" x14ac:dyDescent="0.25">
      <c r="A41" s="77" t="str">
        <f>'Date Calcs'!A42</f>
        <v>25-056</v>
      </c>
      <c r="B41" s="78" t="str">
        <f t="shared" si="10"/>
        <v>Y</v>
      </c>
      <c r="C41" s="78" t="str">
        <f t="shared" si="11"/>
        <v>Y</v>
      </c>
      <c r="D41" s="78" t="str">
        <f t="shared" si="12"/>
        <v>Y</v>
      </c>
      <c r="E41" s="78" t="str">
        <f t="shared" si="13"/>
        <v>Y</v>
      </c>
      <c r="F41" s="77">
        <f t="shared" si="14"/>
        <v>2</v>
      </c>
      <c r="G41" s="79" t="str">
        <f t="shared" si="15"/>
        <v>y</v>
      </c>
      <c r="H41" s="80">
        <v>45847</v>
      </c>
      <c r="I41" s="81">
        <v>45852</v>
      </c>
      <c r="J41" s="81">
        <v>45861</v>
      </c>
      <c r="K41" s="81">
        <v>45866</v>
      </c>
      <c r="L41" s="81">
        <v>45873</v>
      </c>
      <c r="M41" s="86"/>
      <c r="N41" s="86"/>
      <c r="O41" s="86"/>
      <c r="P41" s="81" t="s">
        <v>68</v>
      </c>
      <c r="Q41" s="81" t="s">
        <v>68</v>
      </c>
      <c r="R41" s="70">
        <f t="shared" si="16"/>
        <v>3</v>
      </c>
      <c r="S41" s="82">
        <f t="shared" si="17"/>
        <v>45873</v>
      </c>
      <c r="T41" s="81">
        <v>45873</v>
      </c>
      <c r="U41" s="78">
        <f t="shared" si="18"/>
        <v>45971</v>
      </c>
      <c r="V41" s="81">
        <v>45874</v>
      </c>
      <c r="W41" s="81">
        <v>45874</v>
      </c>
      <c r="X41" s="81">
        <v>45875</v>
      </c>
      <c r="Y41" s="81">
        <f t="shared" ref="Y41:Y49" si="19">AD41-7</f>
        <v>45882</v>
      </c>
      <c r="Z41" s="81">
        <v>45875</v>
      </c>
      <c r="AA41" s="81">
        <v>45870</v>
      </c>
      <c r="AB41" s="81"/>
      <c r="AC41" s="81"/>
      <c r="AD41" s="81">
        <v>45889</v>
      </c>
      <c r="AE41" s="81">
        <v>45972</v>
      </c>
      <c r="AF41" s="83" t="str">
        <f>IF(VLOOKUP(A41,'Date Calcs'!A:AH,34,0)="","N/A",VLOOKUP(A41,'Date Calcs'!A:AH,34,0))</f>
        <v>N/A</v>
      </c>
      <c r="AG41" s="76"/>
      <c r="AH41" s="84"/>
      <c r="AI41" s="85"/>
    </row>
    <row r="42" spans="1:35" x14ac:dyDescent="0.25">
      <c r="A42" s="77" t="str">
        <f>'Date Calcs'!A43</f>
        <v>25-057</v>
      </c>
      <c r="B42" s="78" t="str">
        <f t="shared" si="10"/>
        <v>Y</v>
      </c>
      <c r="C42" s="78" t="str">
        <f t="shared" si="11"/>
        <v>Y</v>
      </c>
      <c r="D42" s="78" t="str">
        <f t="shared" si="12"/>
        <v>Y</v>
      </c>
      <c r="E42" s="78" t="str">
        <f t="shared" si="13"/>
        <v>Y</v>
      </c>
      <c r="F42" s="77">
        <f t="shared" si="14"/>
        <v>2</v>
      </c>
      <c r="G42" s="79" t="str">
        <f t="shared" si="15"/>
        <v>y</v>
      </c>
      <c r="H42" s="80">
        <v>45847</v>
      </c>
      <c r="I42" s="81">
        <v>45852</v>
      </c>
      <c r="J42" s="81">
        <v>45861</v>
      </c>
      <c r="K42" s="81">
        <v>45866</v>
      </c>
      <c r="L42" s="81">
        <v>45873</v>
      </c>
      <c r="M42" s="86"/>
      <c r="N42" s="86"/>
      <c r="O42" s="86"/>
      <c r="P42" s="81" t="s">
        <v>68</v>
      </c>
      <c r="Q42" s="81" t="s">
        <v>68</v>
      </c>
      <c r="R42" s="70">
        <f t="shared" si="16"/>
        <v>3</v>
      </c>
      <c r="S42" s="82">
        <f t="shared" si="17"/>
        <v>45873</v>
      </c>
      <c r="T42" s="81">
        <v>45873</v>
      </c>
      <c r="U42" s="78">
        <f t="shared" si="18"/>
        <v>45971</v>
      </c>
      <c r="V42" s="81">
        <v>45874</v>
      </c>
      <c r="W42" s="81">
        <v>45874</v>
      </c>
      <c r="X42" s="81">
        <v>45875</v>
      </c>
      <c r="Y42" s="81">
        <f t="shared" si="19"/>
        <v>45882</v>
      </c>
      <c r="Z42" s="81">
        <v>45875</v>
      </c>
      <c r="AA42" s="81">
        <v>45870</v>
      </c>
      <c r="AB42" s="81"/>
      <c r="AC42" s="81"/>
      <c r="AD42" s="81">
        <v>45889</v>
      </c>
      <c r="AE42" s="81">
        <v>45972</v>
      </c>
      <c r="AF42" s="83" t="str">
        <f>IF(VLOOKUP(A42,'Date Calcs'!A:AH,34,0)="","N/A",VLOOKUP(A42,'Date Calcs'!A:AH,34,0))</f>
        <v>N/A</v>
      </c>
      <c r="AG42" s="76"/>
      <c r="AH42" s="84"/>
      <c r="AI42" s="85"/>
    </row>
    <row r="43" spans="1:35" x14ac:dyDescent="0.25">
      <c r="A43" s="77" t="str">
        <f>'Date Calcs'!A44</f>
        <v>25-058</v>
      </c>
      <c r="B43" s="78" t="str">
        <f t="shared" si="10"/>
        <v>Y</v>
      </c>
      <c r="C43" s="78" t="str">
        <f t="shared" si="11"/>
        <v>Y</v>
      </c>
      <c r="D43" s="78" t="str">
        <f t="shared" si="12"/>
        <v>Y</v>
      </c>
      <c r="E43" s="78" t="str">
        <f t="shared" si="13"/>
        <v>Y</v>
      </c>
      <c r="F43" s="77">
        <f t="shared" si="14"/>
        <v>2</v>
      </c>
      <c r="G43" s="79" t="str">
        <f t="shared" si="15"/>
        <v>y</v>
      </c>
      <c r="H43" s="80">
        <v>45847</v>
      </c>
      <c r="I43" s="81">
        <v>45852</v>
      </c>
      <c r="J43" s="81">
        <v>45861</v>
      </c>
      <c r="K43" s="81">
        <v>45866</v>
      </c>
      <c r="L43" s="81">
        <v>45873</v>
      </c>
      <c r="M43" s="86"/>
      <c r="N43" s="86"/>
      <c r="O43" s="86"/>
      <c r="P43" s="81" t="s">
        <v>68</v>
      </c>
      <c r="Q43" s="81" t="s">
        <v>68</v>
      </c>
      <c r="R43" s="70">
        <f t="shared" si="16"/>
        <v>3</v>
      </c>
      <c r="S43" s="82">
        <f t="shared" si="17"/>
        <v>45873</v>
      </c>
      <c r="T43" s="81">
        <v>45873</v>
      </c>
      <c r="U43" s="78">
        <f t="shared" si="18"/>
        <v>45999</v>
      </c>
      <c r="V43" s="81">
        <v>45874</v>
      </c>
      <c r="W43" s="81">
        <v>45874</v>
      </c>
      <c r="X43" s="81">
        <v>45875</v>
      </c>
      <c r="Y43" s="81">
        <f t="shared" si="19"/>
        <v>45896</v>
      </c>
      <c r="Z43" s="81">
        <v>45875</v>
      </c>
      <c r="AA43" s="81">
        <v>45870</v>
      </c>
      <c r="AB43" s="81"/>
      <c r="AC43" s="81"/>
      <c r="AD43" s="81">
        <v>45903</v>
      </c>
      <c r="AE43" s="81">
        <v>46009</v>
      </c>
      <c r="AF43" s="83" t="str">
        <f>IF(VLOOKUP(A43,'Date Calcs'!A:AH,34,0)="","N/A",VLOOKUP(A43,'Date Calcs'!A:AH,34,0))</f>
        <v>N/A</v>
      </c>
      <c r="AG43" s="76"/>
      <c r="AH43" s="84"/>
      <c r="AI43" s="85"/>
    </row>
    <row r="44" spans="1:35" x14ac:dyDescent="0.25">
      <c r="A44" s="77" t="str">
        <f>'Date Calcs'!A45</f>
        <v>25-059</v>
      </c>
      <c r="B44" s="78" t="str">
        <f t="shared" si="10"/>
        <v>Y</v>
      </c>
      <c r="C44" s="78" t="str">
        <f t="shared" si="11"/>
        <v>Y</v>
      </c>
      <c r="D44" s="78" t="str">
        <f t="shared" si="12"/>
        <v>Y</v>
      </c>
      <c r="E44" s="78" t="str">
        <f t="shared" si="13"/>
        <v>Y</v>
      </c>
      <c r="F44" s="77">
        <f t="shared" si="14"/>
        <v>2</v>
      </c>
      <c r="G44" s="79" t="str">
        <f t="shared" si="15"/>
        <v>y</v>
      </c>
      <c r="H44" s="80">
        <v>45847</v>
      </c>
      <c r="I44" s="81">
        <v>45852</v>
      </c>
      <c r="J44" s="81">
        <v>45861</v>
      </c>
      <c r="K44" s="81">
        <v>45866</v>
      </c>
      <c r="L44" s="81">
        <v>45873</v>
      </c>
      <c r="M44" s="86"/>
      <c r="N44" s="86"/>
      <c r="O44" s="86"/>
      <c r="P44" s="81" t="s">
        <v>68</v>
      </c>
      <c r="Q44" s="81" t="s">
        <v>68</v>
      </c>
      <c r="R44" s="70">
        <f t="shared" si="16"/>
        <v>3</v>
      </c>
      <c r="S44" s="82">
        <f t="shared" si="17"/>
        <v>45873</v>
      </c>
      <c r="T44" s="81">
        <v>45873</v>
      </c>
      <c r="U44" s="78">
        <f t="shared" si="18"/>
        <v>45999</v>
      </c>
      <c r="V44" s="81">
        <v>45874</v>
      </c>
      <c r="W44" s="81">
        <v>45874</v>
      </c>
      <c r="X44" s="81">
        <v>45875</v>
      </c>
      <c r="Y44" s="81">
        <f t="shared" si="19"/>
        <v>45896</v>
      </c>
      <c r="Z44" s="81">
        <v>45875</v>
      </c>
      <c r="AA44" s="81">
        <v>45870</v>
      </c>
      <c r="AB44" s="81"/>
      <c r="AC44" s="81"/>
      <c r="AD44" s="81">
        <v>45903</v>
      </c>
      <c r="AE44" s="81">
        <v>46007</v>
      </c>
      <c r="AF44" s="83" t="str">
        <f>IF(VLOOKUP(A44,'Date Calcs'!A:AH,34,0)="","N/A",VLOOKUP(A44,'Date Calcs'!A:AH,34,0))</f>
        <v>N/A</v>
      </c>
      <c r="AG44" s="76"/>
      <c r="AH44" s="84"/>
      <c r="AI44" s="85"/>
    </row>
    <row r="45" spans="1:35" x14ac:dyDescent="0.25">
      <c r="A45" s="77" t="str">
        <f>'Date Calcs'!A46</f>
        <v>25-060</v>
      </c>
      <c r="B45" s="78" t="str">
        <f t="shared" si="10"/>
        <v>Y</v>
      </c>
      <c r="C45" s="78" t="str">
        <f t="shared" si="11"/>
        <v>Y</v>
      </c>
      <c r="D45" s="78" t="str">
        <f t="shared" si="12"/>
        <v>Y</v>
      </c>
      <c r="E45" s="78" t="str">
        <f t="shared" si="13"/>
        <v>Y</v>
      </c>
      <c r="F45" s="77">
        <f t="shared" si="14"/>
        <v>2</v>
      </c>
      <c r="G45" s="79" t="str">
        <f t="shared" si="15"/>
        <v>y</v>
      </c>
      <c r="H45" s="80">
        <v>45847</v>
      </c>
      <c r="I45" s="81">
        <v>45852</v>
      </c>
      <c r="J45" s="81">
        <v>45861</v>
      </c>
      <c r="K45" s="81">
        <v>45866</v>
      </c>
      <c r="L45" s="81">
        <v>45873</v>
      </c>
      <c r="M45" s="86"/>
      <c r="N45" s="86"/>
      <c r="O45" s="86"/>
      <c r="P45" s="81" t="s">
        <v>68</v>
      </c>
      <c r="Q45" s="81" t="s">
        <v>68</v>
      </c>
      <c r="R45" s="70">
        <f t="shared" si="16"/>
        <v>3</v>
      </c>
      <c r="S45" s="82">
        <f t="shared" si="17"/>
        <v>45873</v>
      </c>
      <c r="T45" s="81">
        <v>45873</v>
      </c>
      <c r="U45" s="78">
        <f t="shared" si="18"/>
        <v>46027</v>
      </c>
      <c r="V45" s="81">
        <v>45874</v>
      </c>
      <c r="W45" s="81">
        <v>45874</v>
      </c>
      <c r="X45" s="81">
        <v>45875</v>
      </c>
      <c r="Y45" s="81">
        <f t="shared" si="19"/>
        <v>45919</v>
      </c>
      <c r="Z45" s="81">
        <v>45875</v>
      </c>
      <c r="AA45" s="81">
        <v>45870</v>
      </c>
      <c r="AB45" s="81"/>
      <c r="AC45" s="81"/>
      <c r="AD45" s="81">
        <v>45926</v>
      </c>
      <c r="AE45" s="81">
        <v>46035</v>
      </c>
      <c r="AF45" s="83" t="str">
        <f>IF(VLOOKUP(A45,'Date Calcs'!A:AH,34,0)="","N/A",VLOOKUP(A45,'Date Calcs'!A:AH,34,0))</f>
        <v>N/A</v>
      </c>
      <c r="AG45" s="76"/>
      <c r="AH45" s="84"/>
      <c r="AI45" s="85"/>
    </row>
    <row r="46" spans="1:35" x14ac:dyDescent="0.25">
      <c r="A46" s="77" t="str">
        <f>'Date Calcs'!A47</f>
        <v>25-061</v>
      </c>
      <c r="B46" s="78" t="str">
        <f t="shared" si="10"/>
        <v>Y</v>
      </c>
      <c r="C46" s="78" t="str">
        <f t="shared" si="11"/>
        <v>Y</v>
      </c>
      <c r="D46" s="78" t="str">
        <f t="shared" si="12"/>
        <v>Y</v>
      </c>
      <c r="E46" s="78" t="str">
        <f t="shared" si="13"/>
        <v>Y</v>
      </c>
      <c r="F46" s="77">
        <f t="shared" si="14"/>
        <v>2</v>
      </c>
      <c r="G46" s="79" t="str">
        <f t="shared" si="15"/>
        <v>y</v>
      </c>
      <c r="H46" s="80">
        <v>45847</v>
      </c>
      <c r="I46" s="81">
        <v>45852</v>
      </c>
      <c r="J46" s="81">
        <v>45861</v>
      </c>
      <c r="K46" s="81">
        <v>45866</v>
      </c>
      <c r="L46" s="81">
        <v>45873</v>
      </c>
      <c r="M46" s="86"/>
      <c r="N46" s="86"/>
      <c r="O46" s="86"/>
      <c r="P46" s="81" t="s">
        <v>68</v>
      </c>
      <c r="Q46" s="81" t="s">
        <v>68</v>
      </c>
      <c r="R46" s="70">
        <f t="shared" si="16"/>
        <v>3</v>
      </c>
      <c r="S46" s="82">
        <f t="shared" si="17"/>
        <v>45873</v>
      </c>
      <c r="T46" s="81">
        <v>45873</v>
      </c>
      <c r="U46" s="78">
        <f t="shared" si="18"/>
        <v>46027</v>
      </c>
      <c r="V46" s="81">
        <v>45874</v>
      </c>
      <c r="W46" s="81">
        <v>45874</v>
      </c>
      <c r="X46" s="81">
        <v>45875</v>
      </c>
      <c r="Y46" s="81">
        <f t="shared" si="19"/>
        <v>45919</v>
      </c>
      <c r="Z46" s="81">
        <v>45875</v>
      </c>
      <c r="AA46" s="81">
        <v>45870</v>
      </c>
      <c r="AB46" s="81"/>
      <c r="AC46" s="81"/>
      <c r="AD46" s="81">
        <v>45926</v>
      </c>
      <c r="AE46" s="81">
        <v>46035</v>
      </c>
      <c r="AF46" s="83" t="str">
        <f>IF(VLOOKUP(A46,'Date Calcs'!A:AH,34,0)="","N/A",VLOOKUP(A46,'Date Calcs'!A:AH,34,0))</f>
        <v>N/A</v>
      </c>
      <c r="AG46" s="76"/>
      <c r="AH46" s="84"/>
      <c r="AI46" s="85"/>
    </row>
    <row r="47" spans="1:35" x14ac:dyDescent="0.25">
      <c r="A47" s="77" t="str">
        <f>'Date Calcs'!A48</f>
        <v>25-062</v>
      </c>
      <c r="B47" s="78" t="str">
        <f t="shared" si="10"/>
        <v>Y</v>
      </c>
      <c r="C47" s="78" t="str">
        <f t="shared" si="11"/>
        <v>Y</v>
      </c>
      <c r="D47" s="78" t="str">
        <f t="shared" si="12"/>
        <v>Y</v>
      </c>
      <c r="E47" s="78" t="str">
        <f t="shared" si="13"/>
        <v>Y</v>
      </c>
      <c r="F47" s="77">
        <f t="shared" si="14"/>
        <v>2</v>
      </c>
      <c r="G47" s="79" t="str">
        <f t="shared" si="15"/>
        <v>y</v>
      </c>
      <c r="H47" s="80">
        <v>45847</v>
      </c>
      <c r="I47" s="81">
        <v>45852</v>
      </c>
      <c r="J47" s="81">
        <v>45861</v>
      </c>
      <c r="K47" s="81">
        <v>45866</v>
      </c>
      <c r="L47" s="81">
        <v>45873</v>
      </c>
      <c r="M47" s="86"/>
      <c r="N47" s="86"/>
      <c r="O47" s="86"/>
      <c r="P47" s="81" t="s">
        <v>68</v>
      </c>
      <c r="Q47" s="81" t="s">
        <v>68</v>
      </c>
      <c r="R47" s="70">
        <f t="shared" si="16"/>
        <v>3</v>
      </c>
      <c r="S47" s="82">
        <f t="shared" si="17"/>
        <v>45873</v>
      </c>
      <c r="T47" s="81">
        <v>45873</v>
      </c>
      <c r="U47" s="78">
        <f t="shared" si="18"/>
        <v>46055</v>
      </c>
      <c r="V47" s="81">
        <v>45874</v>
      </c>
      <c r="W47" s="81">
        <v>45874</v>
      </c>
      <c r="X47" s="81">
        <v>45875</v>
      </c>
      <c r="Y47" s="81">
        <f t="shared" si="19"/>
        <v>45964</v>
      </c>
      <c r="Z47" s="81">
        <v>45875</v>
      </c>
      <c r="AA47" s="81">
        <v>45870</v>
      </c>
      <c r="AB47" s="81"/>
      <c r="AC47" s="81"/>
      <c r="AD47" s="81">
        <v>45971</v>
      </c>
      <c r="AE47" s="81">
        <v>46055</v>
      </c>
      <c r="AF47" s="83" t="str">
        <f>IF(VLOOKUP(A47,'Date Calcs'!A:AH,34,0)="","N/A",VLOOKUP(A47,'Date Calcs'!A:AH,34,0))</f>
        <v>N/A</v>
      </c>
      <c r="AG47" s="76"/>
      <c r="AH47" s="84"/>
      <c r="AI47" s="85"/>
    </row>
    <row r="48" spans="1:35" x14ac:dyDescent="0.25">
      <c r="A48" s="77" t="str">
        <f>'Date Calcs'!A49</f>
        <v>25-063</v>
      </c>
      <c r="B48" s="78" t="str">
        <f t="shared" si="10"/>
        <v>Y</v>
      </c>
      <c r="C48" s="78" t="str">
        <f t="shared" si="11"/>
        <v>Y</v>
      </c>
      <c r="D48" s="78" t="str">
        <f t="shared" si="12"/>
        <v>Y</v>
      </c>
      <c r="E48" s="78" t="str">
        <f t="shared" si="13"/>
        <v>Y</v>
      </c>
      <c r="F48" s="77">
        <f t="shared" si="14"/>
        <v>2</v>
      </c>
      <c r="G48" s="79" t="str">
        <f t="shared" si="15"/>
        <v>y</v>
      </c>
      <c r="H48" s="80">
        <v>45847</v>
      </c>
      <c r="I48" s="81">
        <v>45852</v>
      </c>
      <c r="J48" s="81">
        <v>45861</v>
      </c>
      <c r="K48" s="81">
        <v>45866</v>
      </c>
      <c r="L48" s="81">
        <v>45873</v>
      </c>
      <c r="M48" s="86"/>
      <c r="N48" s="86"/>
      <c r="O48" s="86"/>
      <c r="P48" s="81" t="s">
        <v>68</v>
      </c>
      <c r="Q48" s="81" t="s">
        <v>68</v>
      </c>
      <c r="R48" s="70">
        <f t="shared" si="16"/>
        <v>3</v>
      </c>
      <c r="S48" s="82">
        <f t="shared" si="17"/>
        <v>45873</v>
      </c>
      <c r="T48" s="81">
        <v>45873</v>
      </c>
      <c r="U48" s="78">
        <f t="shared" si="18"/>
        <v>46055</v>
      </c>
      <c r="V48" s="81">
        <v>45874</v>
      </c>
      <c r="W48" s="81">
        <v>45874</v>
      </c>
      <c r="X48" s="81">
        <v>45875</v>
      </c>
      <c r="Y48" s="81">
        <f t="shared" si="19"/>
        <v>45964</v>
      </c>
      <c r="Z48" s="81">
        <v>45875</v>
      </c>
      <c r="AA48" s="81">
        <v>45870</v>
      </c>
      <c r="AB48" s="81"/>
      <c r="AC48" s="81"/>
      <c r="AD48" s="81">
        <v>45971</v>
      </c>
      <c r="AE48" s="81">
        <v>46055</v>
      </c>
      <c r="AF48" s="83" t="str">
        <f>IF(VLOOKUP(A48,'Date Calcs'!A:AH,34,0)="","N/A",VLOOKUP(A48,'Date Calcs'!A:AH,34,0))</f>
        <v>N/A</v>
      </c>
      <c r="AG48" s="76"/>
      <c r="AH48" s="84"/>
      <c r="AI48" s="85"/>
    </row>
    <row r="49" spans="1:35" x14ac:dyDescent="0.25">
      <c r="A49" s="77" t="str">
        <f>'Date Calcs'!A50</f>
        <v>25-064</v>
      </c>
      <c r="B49" s="78" t="str">
        <f t="shared" si="10"/>
        <v>Y</v>
      </c>
      <c r="C49" s="78" t="str">
        <f t="shared" si="11"/>
        <v>Y</v>
      </c>
      <c r="D49" s="78" t="str">
        <f t="shared" si="12"/>
        <v>Y</v>
      </c>
      <c r="E49" s="78" t="str">
        <f t="shared" si="13"/>
        <v>Y</v>
      </c>
      <c r="F49" s="77">
        <f t="shared" si="14"/>
        <v>2</v>
      </c>
      <c r="G49" s="79" t="str">
        <f t="shared" si="15"/>
        <v>y</v>
      </c>
      <c r="H49" s="80">
        <v>45847</v>
      </c>
      <c r="I49" s="81">
        <v>45852</v>
      </c>
      <c r="J49" s="81">
        <v>45861</v>
      </c>
      <c r="K49" s="81">
        <v>45866</v>
      </c>
      <c r="L49" s="81">
        <v>45873</v>
      </c>
      <c r="M49" s="86"/>
      <c r="N49" s="86"/>
      <c r="O49" s="86"/>
      <c r="P49" s="81" t="s">
        <v>69</v>
      </c>
      <c r="Q49" s="81" t="s">
        <v>69</v>
      </c>
      <c r="R49" s="70">
        <f t="shared" si="16"/>
        <v>3</v>
      </c>
      <c r="S49" s="82">
        <f t="shared" si="17"/>
        <v>45873</v>
      </c>
      <c r="T49" s="81">
        <v>45873</v>
      </c>
      <c r="U49" s="78">
        <f t="shared" si="18"/>
        <v>46083</v>
      </c>
      <c r="V49" s="81">
        <v>45874</v>
      </c>
      <c r="W49" s="81">
        <v>45874</v>
      </c>
      <c r="X49" s="81">
        <v>45875</v>
      </c>
      <c r="Y49" s="81">
        <f t="shared" si="19"/>
        <v>45993</v>
      </c>
      <c r="Z49" s="81">
        <v>45875</v>
      </c>
      <c r="AA49" s="81">
        <v>45870</v>
      </c>
      <c r="AB49" s="81"/>
      <c r="AC49" s="81"/>
      <c r="AD49" s="81">
        <v>46000</v>
      </c>
      <c r="AE49" s="81">
        <v>46069</v>
      </c>
      <c r="AF49" s="83" t="str">
        <f>IF(VLOOKUP(A49,'Date Calcs'!A:AH,34,0)="","N/A",VLOOKUP(A49,'Date Calcs'!A:AH,34,0))</f>
        <v>N/A</v>
      </c>
      <c r="AG49" s="76"/>
      <c r="AH49" s="84"/>
      <c r="AI49" s="85"/>
    </row>
    <row r="50" spans="1:35" x14ac:dyDescent="0.25">
      <c r="A50" s="77" t="str">
        <f>'Date Calcs'!A51</f>
        <v>25-065</v>
      </c>
      <c r="B50" s="78" t="str">
        <f t="shared" si="10"/>
        <v>Y</v>
      </c>
      <c r="C50" s="78" t="str">
        <f t="shared" si="11"/>
        <v>Y</v>
      </c>
      <c r="D50" s="78" t="str">
        <f t="shared" si="12"/>
        <v>Y</v>
      </c>
      <c r="E50" s="78" t="str">
        <f t="shared" si="13"/>
        <v>Y</v>
      </c>
      <c r="F50" s="77">
        <f t="shared" si="14"/>
        <v>2</v>
      </c>
      <c r="G50" s="79" t="str">
        <f t="shared" si="15"/>
        <v>y</v>
      </c>
      <c r="H50" s="80">
        <v>45847</v>
      </c>
      <c r="I50" s="81">
        <v>45852</v>
      </c>
      <c r="J50" s="81">
        <v>45861</v>
      </c>
      <c r="K50" s="81">
        <v>45866</v>
      </c>
      <c r="L50" s="81">
        <v>45873</v>
      </c>
      <c r="M50" s="86"/>
      <c r="N50" s="86"/>
      <c r="O50" s="86"/>
      <c r="P50" s="81" t="s">
        <v>69</v>
      </c>
      <c r="Q50" s="81" t="s">
        <v>69</v>
      </c>
      <c r="R50" s="70">
        <f t="shared" si="16"/>
        <v>3</v>
      </c>
      <c r="S50" s="82">
        <f t="shared" si="17"/>
        <v>45873</v>
      </c>
      <c r="T50" s="81">
        <v>45873</v>
      </c>
      <c r="U50" s="78">
        <f t="shared" si="18"/>
        <v>46083</v>
      </c>
      <c r="V50" s="81">
        <v>45874</v>
      </c>
      <c r="W50" s="81">
        <v>45874</v>
      </c>
      <c r="X50" s="81">
        <v>45875</v>
      </c>
      <c r="Y50" s="81">
        <v>45882</v>
      </c>
      <c r="Z50" s="81">
        <v>45875</v>
      </c>
      <c r="AA50" s="81">
        <v>45870</v>
      </c>
      <c r="AB50" s="81"/>
      <c r="AC50" s="81"/>
      <c r="AD50" s="81">
        <v>46000</v>
      </c>
      <c r="AE50" s="81">
        <v>46069</v>
      </c>
      <c r="AF50" s="83" t="str">
        <f>IF(VLOOKUP(A50,'Date Calcs'!A:AH,34,0)="","N/A",VLOOKUP(A50,'Date Calcs'!A:AH,34,0))</f>
        <v>N/A</v>
      </c>
      <c r="AG50" s="76"/>
      <c r="AH50" s="84"/>
      <c r="AI50" s="85"/>
    </row>
    <row r="51" spans="1:35" x14ac:dyDescent="0.25">
      <c r="A51" s="77" t="str">
        <f>'Date Calcs'!A52</f>
        <v>25-066</v>
      </c>
      <c r="B51" s="78" t="str">
        <f t="shared" si="10"/>
        <v>Y</v>
      </c>
      <c r="C51" s="78" t="str">
        <f t="shared" si="11"/>
        <v>Y</v>
      </c>
      <c r="D51" s="78" t="str">
        <f t="shared" si="12"/>
        <v>Y</v>
      </c>
      <c r="E51" s="78" t="str">
        <f t="shared" si="13"/>
        <v>Y</v>
      </c>
      <c r="F51" s="77">
        <f t="shared" si="14"/>
        <v>2</v>
      </c>
      <c r="G51" s="79" t="str">
        <f t="shared" si="15"/>
        <v>y</v>
      </c>
      <c r="H51" s="80">
        <v>45847</v>
      </c>
      <c r="I51" s="81">
        <v>45852</v>
      </c>
      <c r="J51" s="81">
        <v>45861</v>
      </c>
      <c r="K51" s="81">
        <v>45866</v>
      </c>
      <c r="L51" s="81">
        <v>45873</v>
      </c>
      <c r="M51" s="86"/>
      <c r="N51" s="86"/>
      <c r="O51" s="86"/>
      <c r="P51" s="81" t="s">
        <v>69</v>
      </c>
      <c r="Q51" s="81" t="s">
        <v>69</v>
      </c>
      <c r="R51" s="70">
        <f t="shared" si="16"/>
        <v>3</v>
      </c>
      <c r="S51" s="82">
        <f t="shared" si="17"/>
        <v>45873</v>
      </c>
      <c r="T51" s="81">
        <v>45873</v>
      </c>
      <c r="U51" s="78">
        <f t="shared" si="18"/>
        <v>46111</v>
      </c>
      <c r="V51" s="81">
        <v>45874</v>
      </c>
      <c r="W51" s="81">
        <v>45874</v>
      </c>
      <c r="X51" s="81">
        <v>45875</v>
      </c>
      <c r="Y51" s="81">
        <v>45882</v>
      </c>
      <c r="Z51" s="81">
        <v>45875</v>
      </c>
      <c r="AA51" s="81">
        <v>45870</v>
      </c>
      <c r="AB51" s="81">
        <v>46073</v>
      </c>
      <c r="AC51" s="81">
        <v>45870</v>
      </c>
      <c r="AD51" s="81">
        <v>46034</v>
      </c>
      <c r="AE51" s="81">
        <v>46098</v>
      </c>
      <c r="AF51" s="83" t="str">
        <f>IF(VLOOKUP(A51,'Date Calcs'!A:AH,34,0)="","N/A",VLOOKUP(A51,'Date Calcs'!A:AH,34,0))</f>
        <v>N/A</v>
      </c>
      <c r="AG51" s="76"/>
      <c r="AH51" s="84"/>
      <c r="AI51" s="85"/>
    </row>
    <row r="52" spans="1:35" x14ac:dyDescent="0.25">
      <c r="A52" s="77" t="str">
        <f>'Date Calcs'!A53</f>
        <v>25-067</v>
      </c>
      <c r="B52" s="78" t="str">
        <f t="shared" si="10"/>
        <v>Y</v>
      </c>
      <c r="C52" s="78" t="str">
        <f t="shared" si="11"/>
        <v>Y</v>
      </c>
      <c r="D52" s="78" t="str">
        <f t="shared" si="12"/>
        <v>Y</v>
      </c>
      <c r="E52" s="78" t="str">
        <f t="shared" si="13"/>
        <v>Y</v>
      </c>
      <c r="F52" s="77">
        <f t="shared" si="14"/>
        <v>2</v>
      </c>
      <c r="G52" s="79" t="str">
        <f t="shared" si="15"/>
        <v>y</v>
      </c>
      <c r="H52" s="80">
        <v>45847</v>
      </c>
      <c r="I52" s="81">
        <v>45852</v>
      </c>
      <c r="J52" s="81">
        <v>45861</v>
      </c>
      <c r="K52" s="81">
        <v>45866</v>
      </c>
      <c r="L52" s="81">
        <v>45873</v>
      </c>
      <c r="M52" s="86"/>
      <c r="N52" s="86"/>
      <c r="O52" s="86"/>
      <c r="P52" s="81" t="s">
        <v>69</v>
      </c>
      <c r="Q52" s="81" t="s">
        <v>69</v>
      </c>
      <c r="R52" s="70">
        <f t="shared" si="16"/>
        <v>3</v>
      </c>
      <c r="S52" s="82">
        <f t="shared" si="17"/>
        <v>45873</v>
      </c>
      <c r="T52" s="81">
        <v>45873</v>
      </c>
      <c r="U52" s="78">
        <f t="shared" si="18"/>
        <v>46111</v>
      </c>
      <c r="V52" s="81">
        <v>45874</v>
      </c>
      <c r="W52" s="81">
        <v>45874</v>
      </c>
      <c r="X52" s="81">
        <v>45875</v>
      </c>
      <c r="Y52" s="81">
        <v>45882</v>
      </c>
      <c r="Z52" s="81">
        <v>45875</v>
      </c>
      <c r="AA52" s="81">
        <v>45870</v>
      </c>
      <c r="AB52" s="81">
        <v>46073</v>
      </c>
      <c r="AC52" s="81">
        <v>45870</v>
      </c>
      <c r="AD52" s="81">
        <v>46034</v>
      </c>
      <c r="AE52" s="81">
        <v>46099</v>
      </c>
      <c r="AF52" s="83" t="str">
        <f>IF(VLOOKUP(A52,'Date Calcs'!A:AH,34,0)="","N/A",VLOOKUP(A52,'Date Calcs'!A:AH,34,0))</f>
        <v>N/A</v>
      </c>
      <c r="AG52" s="76"/>
      <c r="AH52" s="84"/>
      <c r="AI52" s="85"/>
    </row>
    <row r="53" spans="1:35" x14ac:dyDescent="0.25">
      <c r="A53" s="77" t="str">
        <f>'Date Calcs'!A54</f>
        <v>25-068</v>
      </c>
      <c r="B53" s="78" t="str">
        <f t="shared" si="10"/>
        <v>Y</v>
      </c>
      <c r="C53" s="78" t="str">
        <f t="shared" si="11"/>
        <v>Y</v>
      </c>
      <c r="D53" s="78" t="str">
        <f t="shared" si="12"/>
        <v>Y</v>
      </c>
      <c r="E53" s="78" t="str">
        <f t="shared" si="13"/>
        <v>Y</v>
      </c>
      <c r="F53" s="77">
        <f t="shared" si="14"/>
        <v>2</v>
      </c>
      <c r="G53" s="79" t="str">
        <f t="shared" si="15"/>
        <v>y</v>
      </c>
      <c r="H53" s="80">
        <v>45847</v>
      </c>
      <c r="I53" s="81">
        <v>45852</v>
      </c>
      <c r="J53" s="81">
        <v>45861</v>
      </c>
      <c r="K53" s="81">
        <v>45866</v>
      </c>
      <c r="L53" s="81">
        <v>45873</v>
      </c>
      <c r="M53" s="86"/>
      <c r="N53" s="86"/>
      <c r="O53" s="86"/>
      <c r="P53" s="81" t="s">
        <v>69</v>
      </c>
      <c r="Q53" s="81" t="s">
        <v>69</v>
      </c>
      <c r="R53" s="70">
        <f t="shared" si="16"/>
        <v>3</v>
      </c>
      <c r="S53" s="82">
        <f t="shared" si="17"/>
        <v>45873</v>
      </c>
      <c r="T53" s="81">
        <v>45873</v>
      </c>
      <c r="U53" s="78">
        <f t="shared" si="18"/>
        <v>46139</v>
      </c>
      <c r="V53" s="81">
        <v>45874</v>
      </c>
      <c r="W53" s="81">
        <v>45874</v>
      </c>
      <c r="X53" s="81">
        <v>45875</v>
      </c>
      <c r="Y53" s="81">
        <v>45882</v>
      </c>
      <c r="Z53" s="81">
        <v>45875</v>
      </c>
      <c r="AA53" s="81">
        <v>45870</v>
      </c>
      <c r="AB53" s="81">
        <v>46073</v>
      </c>
      <c r="AC53" s="81">
        <v>45870</v>
      </c>
      <c r="AD53" s="81">
        <v>46062</v>
      </c>
      <c r="AE53" s="81">
        <v>46111</v>
      </c>
      <c r="AF53" s="83" t="str">
        <f>IF(VLOOKUP(A53,'Date Calcs'!A:AH,34,0)="","N/A",VLOOKUP(A53,'Date Calcs'!A:AH,34,0))</f>
        <v>N/A</v>
      </c>
      <c r="AG53" s="76"/>
      <c r="AH53" s="84"/>
      <c r="AI53" s="85"/>
    </row>
    <row r="54" spans="1:35" x14ac:dyDescent="0.25">
      <c r="A54" s="77" t="str">
        <f>'Date Calcs'!A55</f>
        <v>25-069</v>
      </c>
      <c r="B54" s="78" t="str">
        <f t="shared" si="10"/>
        <v>Y</v>
      </c>
      <c r="C54" s="78" t="str">
        <f t="shared" si="11"/>
        <v>Y</v>
      </c>
      <c r="D54" s="78" t="str">
        <f t="shared" si="12"/>
        <v>Y</v>
      </c>
      <c r="E54" s="78" t="str">
        <f t="shared" si="13"/>
        <v>Y</v>
      </c>
      <c r="F54" s="77">
        <f t="shared" si="14"/>
        <v>2</v>
      </c>
      <c r="G54" s="79" t="str">
        <f t="shared" si="15"/>
        <v>y</v>
      </c>
      <c r="H54" s="80">
        <v>45847</v>
      </c>
      <c r="I54" s="81">
        <v>45852</v>
      </c>
      <c r="J54" s="81">
        <v>45861</v>
      </c>
      <c r="K54" s="81">
        <v>45866</v>
      </c>
      <c r="L54" s="81">
        <v>45873</v>
      </c>
      <c r="M54" s="86"/>
      <c r="N54" s="86"/>
      <c r="O54" s="86"/>
      <c r="P54" s="81" t="s">
        <v>69</v>
      </c>
      <c r="Q54" s="81" t="s">
        <v>69</v>
      </c>
      <c r="R54" s="70">
        <f t="shared" si="16"/>
        <v>3</v>
      </c>
      <c r="S54" s="82">
        <f t="shared" si="17"/>
        <v>45873</v>
      </c>
      <c r="T54" s="81">
        <v>45873</v>
      </c>
      <c r="U54" s="78">
        <f t="shared" si="18"/>
        <v>46139</v>
      </c>
      <c r="V54" s="81">
        <v>45874</v>
      </c>
      <c r="W54" s="81">
        <v>45874</v>
      </c>
      <c r="X54" s="81">
        <v>45875</v>
      </c>
      <c r="Y54" s="81">
        <v>45882</v>
      </c>
      <c r="Z54" s="81">
        <v>45875</v>
      </c>
      <c r="AA54" s="81">
        <v>45870</v>
      </c>
      <c r="AB54" s="81">
        <v>46073</v>
      </c>
      <c r="AC54" s="81">
        <v>45870</v>
      </c>
      <c r="AD54" s="81">
        <v>46062</v>
      </c>
      <c r="AE54" s="81"/>
      <c r="AF54" s="83" t="str">
        <f>IF(VLOOKUP(A54,'Date Calcs'!A:AH,34,0)="","N/A",VLOOKUP(A54,'Date Calcs'!A:AH,34,0))</f>
        <v>N/A</v>
      </c>
      <c r="AG54" s="76"/>
      <c r="AH54" s="84"/>
      <c r="AI54" s="85"/>
    </row>
    <row r="55" spans="1:35" x14ac:dyDescent="0.25">
      <c r="A55" s="77" t="str">
        <f>'Date Calcs'!A56</f>
        <v>25-070</v>
      </c>
      <c r="B55" s="78" t="str">
        <f t="shared" si="10"/>
        <v>Y</v>
      </c>
      <c r="C55" s="78" t="str">
        <f t="shared" si="11"/>
        <v>Y</v>
      </c>
      <c r="D55" s="78" t="str">
        <f t="shared" si="12"/>
        <v>Y</v>
      </c>
      <c r="E55" s="78" t="str">
        <f t="shared" si="13"/>
        <v>Y</v>
      </c>
      <c r="F55" s="77">
        <f t="shared" si="14"/>
        <v>2</v>
      </c>
      <c r="G55" s="79" t="str">
        <f t="shared" si="15"/>
        <v>y</v>
      </c>
      <c r="H55" s="80">
        <v>45847</v>
      </c>
      <c r="I55" s="81">
        <v>45852</v>
      </c>
      <c r="J55" s="81">
        <v>45861</v>
      </c>
      <c r="K55" s="81">
        <v>45866</v>
      </c>
      <c r="L55" s="81">
        <v>45873</v>
      </c>
      <c r="M55" s="86"/>
      <c r="N55" s="86"/>
      <c r="O55" s="86"/>
      <c r="P55" s="81" t="s">
        <v>69</v>
      </c>
      <c r="Q55" s="81" t="s">
        <v>69</v>
      </c>
      <c r="R55" s="70">
        <f t="shared" si="16"/>
        <v>3</v>
      </c>
      <c r="S55" s="82">
        <f t="shared" si="17"/>
        <v>45873</v>
      </c>
      <c r="T55" s="81">
        <v>45873</v>
      </c>
      <c r="U55" s="78">
        <f t="shared" si="18"/>
        <v>46167</v>
      </c>
      <c r="V55" s="81">
        <v>45874</v>
      </c>
      <c r="W55" s="81">
        <v>45874</v>
      </c>
      <c r="X55" s="81">
        <v>45875</v>
      </c>
      <c r="Y55" s="81">
        <v>45882</v>
      </c>
      <c r="Z55" s="81">
        <v>45875</v>
      </c>
      <c r="AA55" s="81">
        <v>45870</v>
      </c>
      <c r="AB55" s="81">
        <v>46073</v>
      </c>
      <c r="AC55" s="81">
        <v>45870</v>
      </c>
      <c r="AD55" s="81">
        <v>46071</v>
      </c>
      <c r="AE55" s="81"/>
      <c r="AF55" s="83" t="str">
        <f>IF(VLOOKUP(A55,'Date Calcs'!A:AH,34,0)="","N/A",VLOOKUP(A55,'Date Calcs'!A:AH,34,0))</f>
        <v>N/A</v>
      </c>
      <c r="AG55" s="76"/>
      <c r="AH55" s="84"/>
      <c r="AI55" s="85"/>
    </row>
    <row r="56" spans="1:35" x14ac:dyDescent="0.25">
      <c r="A56" s="77" t="str">
        <f>'Date Calcs'!A57</f>
        <v>25-071</v>
      </c>
      <c r="B56" s="78" t="str">
        <f t="shared" si="10"/>
        <v>Y</v>
      </c>
      <c r="C56" s="78" t="str">
        <f t="shared" si="11"/>
        <v>Y</v>
      </c>
      <c r="D56" s="78" t="str">
        <f t="shared" si="12"/>
        <v>Y</v>
      </c>
      <c r="E56" s="78" t="str">
        <f t="shared" si="13"/>
        <v>Y</v>
      </c>
      <c r="F56" s="77">
        <f t="shared" si="14"/>
        <v>2</v>
      </c>
      <c r="G56" s="79" t="str">
        <f t="shared" si="15"/>
        <v>y</v>
      </c>
      <c r="H56" s="80">
        <v>45847</v>
      </c>
      <c r="I56" s="81">
        <v>45852</v>
      </c>
      <c r="J56" s="81">
        <v>45861</v>
      </c>
      <c r="K56" s="81">
        <v>45866</v>
      </c>
      <c r="L56" s="81">
        <v>45873</v>
      </c>
      <c r="M56" s="86"/>
      <c r="N56" s="86"/>
      <c r="O56" s="86"/>
      <c r="P56" s="81" t="s">
        <v>69</v>
      </c>
      <c r="Q56" s="81" t="s">
        <v>69</v>
      </c>
      <c r="R56" s="70">
        <f t="shared" si="16"/>
        <v>3</v>
      </c>
      <c r="S56" s="82">
        <f t="shared" si="17"/>
        <v>45873</v>
      </c>
      <c r="T56" s="81">
        <v>45873</v>
      </c>
      <c r="U56" s="78">
        <f t="shared" si="18"/>
        <v>46167</v>
      </c>
      <c r="V56" s="81">
        <v>45874</v>
      </c>
      <c r="W56" s="81">
        <v>45874</v>
      </c>
      <c r="X56" s="81">
        <v>45875</v>
      </c>
      <c r="Y56" s="81">
        <v>45882</v>
      </c>
      <c r="Z56" s="81">
        <v>45875</v>
      </c>
      <c r="AA56" s="81">
        <v>45870</v>
      </c>
      <c r="AB56" s="81">
        <v>46073</v>
      </c>
      <c r="AC56" s="81">
        <v>45870</v>
      </c>
      <c r="AD56" s="81">
        <v>46071</v>
      </c>
      <c r="AE56" s="81"/>
      <c r="AF56" s="83" t="str">
        <f>IF(VLOOKUP(A56,'Date Calcs'!A:AH,34,0)="","N/A",VLOOKUP(A56,'Date Calcs'!A:AH,34,0))</f>
        <v>N/A</v>
      </c>
      <c r="AG56" s="76"/>
      <c r="AH56" s="84"/>
      <c r="AI56" s="85"/>
    </row>
    <row r="57" spans="1:35" ht="14.25" customHeight="1" x14ac:dyDescent="0.25">
      <c r="A57" s="77" t="str">
        <f>'Date Calcs'!A58</f>
        <v>25-072</v>
      </c>
      <c r="B57" s="78" t="str">
        <f t="shared" si="10"/>
        <v>Y</v>
      </c>
      <c r="C57" s="78" t="str">
        <f t="shared" si="11"/>
        <v>Y</v>
      </c>
      <c r="D57" s="78" t="str">
        <f t="shared" si="12"/>
        <v>Y</v>
      </c>
      <c r="E57" s="78" t="str">
        <f t="shared" si="13"/>
        <v>Y</v>
      </c>
      <c r="F57" s="77">
        <f t="shared" si="14"/>
        <v>1</v>
      </c>
      <c r="G57" s="79" t="str">
        <f t="shared" si="15"/>
        <v>y</v>
      </c>
      <c r="H57" s="80">
        <v>45841</v>
      </c>
      <c r="I57" s="81">
        <v>45845</v>
      </c>
      <c r="J57" s="81">
        <v>45852</v>
      </c>
      <c r="K57" s="86"/>
      <c r="L57" s="86"/>
      <c r="M57" s="86"/>
      <c r="N57" s="86"/>
      <c r="O57" s="86"/>
      <c r="P57" s="81" t="s">
        <v>69</v>
      </c>
      <c r="Q57" s="81" t="s">
        <v>69</v>
      </c>
      <c r="R57" s="70">
        <f t="shared" si="16"/>
        <v>2</v>
      </c>
      <c r="S57" s="82">
        <f t="shared" si="17"/>
        <v>45852</v>
      </c>
      <c r="T57" s="81">
        <v>45852</v>
      </c>
      <c r="U57" s="78">
        <f t="shared" si="18"/>
        <v>45943</v>
      </c>
      <c r="V57" s="81">
        <v>45856</v>
      </c>
      <c r="W57" s="81">
        <v>45856</v>
      </c>
      <c r="X57" s="81">
        <v>45859</v>
      </c>
      <c r="Y57" s="81">
        <f t="shared" ref="Y57:Y65" si="20">AD57-7</f>
        <v>45861</v>
      </c>
      <c r="Z57" s="81">
        <v>45859</v>
      </c>
      <c r="AA57" s="81">
        <v>45861</v>
      </c>
      <c r="AB57" s="81"/>
      <c r="AC57" s="81"/>
      <c r="AD57" s="81">
        <v>45868</v>
      </c>
      <c r="AE57" s="81">
        <v>45922</v>
      </c>
      <c r="AF57" s="83" t="str">
        <f>IF(VLOOKUP(A57,'Date Calcs'!A:AH,34,0)="","N/A",VLOOKUP(A57,'Date Calcs'!A:AH,34,0))</f>
        <v>N/A</v>
      </c>
      <c r="AG57" s="76"/>
      <c r="AH57" s="84"/>
      <c r="AI57" s="85"/>
    </row>
    <row r="58" spans="1:35" x14ac:dyDescent="0.25">
      <c r="A58" s="77" t="str">
        <f>'Date Calcs'!A59</f>
        <v>25-073</v>
      </c>
      <c r="B58" s="78" t="str">
        <f t="shared" si="10"/>
        <v>Y</v>
      </c>
      <c r="C58" s="78" t="str">
        <f t="shared" si="11"/>
        <v>Y</v>
      </c>
      <c r="D58" s="78" t="str">
        <f t="shared" si="12"/>
        <v>Y</v>
      </c>
      <c r="E58" s="78" t="str">
        <f t="shared" si="13"/>
        <v>Y</v>
      </c>
      <c r="F58" s="77">
        <f t="shared" si="14"/>
        <v>1</v>
      </c>
      <c r="G58" s="79" t="str">
        <f t="shared" si="15"/>
        <v>y</v>
      </c>
      <c r="H58" s="80">
        <v>45841</v>
      </c>
      <c r="I58" s="81">
        <v>45845</v>
      </c>
      <c r="J58" s="81">
        <v>45852</v>
      </c>
      <c r="K58" s="86"/>
      <c r="L58" s="86"/>
      <c r="M58" s="86"/>
      <c r="N58" s="86"/>
      <c r="O58" s="86"/>
      <c r="P58" s="81" t="s">
        <v>69</v>
      </c>
      <c r="Q58" s="81" t="s">
        <v>69</v>
      </c>
      <c r="R58" s="70">
        <f t="shared" si="16"/>
        <v>2</v>
      </c>
      <c r="S58" s="82">
        <f t="shared" si="17"/>
        <v>45852</v>
      </c>
      <c r="T58" s="81">
        <v>45852</v>
      </c>
      <c r="U58" s="78">
        <f t="shared" si="18"/>
        <v>45943</v>
      </c>
      <c r="V58" s="81">
        <v>45856</v>
      </c>
      <c r="W58" s="81">
        <v>45856</v>
      </c>
      <c r="X58" s="81">
        <v>45859</v>
      </c>
      <c r="Y58" s="81">
        <f t="shared" si="20"/>
        <v>45861</v>
      </c>
      <c r="Z58" s="81">
        <v>45859</v>
      </c>
      <c r="AA58" s="81">
        <v>45861</v>
      </c>
      <c r="AB58" s="81"/>
      <c r="AC58" s="81"/>
      <c r="AD58" s="81">
        <v>45868</v>
      </c>
      <c r="AE58" s="81">
        <v>45925</v>
      </c>
      <c r="AF58" s="83" t="str">
        <f>IF(VLOOKUP(A58,'Date Calcs'!A:AH,34,0)="","N/A",VLOOKUP(A58,'Date Calcs'!A:AH,34,0))</f>
        <v>N/A</v>
      </c>
      <c r="AG58" s="76"/>
      <c r="AH58" s="84"/>
      <c r="AI58" s="85"/>
    </row>
    <row r="59" spans="1:35" x14ac:dyDescent="0.25">
      <c r="A59" s="77" t="str">
        <f>'Date Calcs'!A60</f>
        <v>25-074</v>
      </c>
      <c r="B59" s="78" t="str">
        <f t="shared" si="10"/>
        <v>Y</v>
      </c>
      <c r="C59" s="78" t="str">
        <f t="shared" si="11"/>
        <v>Y</v>
      </c>
      <c r="D59" s="78" t="str">
        <f t="shared" si="12"/>
        <v>Y</v>
      </c>
      <c r="E59" s="78" t="str">
        <f t="shared" si="13"/>
        <v>Y</v>
      </c>
      <c r="F59" s="77">
        <f t="shared" si="14"/>
        <v>1</v>
      </c>
      <c r="G59" s="79" t="str">
        <f t="shared" si="15"/>
        <v>y</v>
      </c>
      <c r="H59" s="80">
        <v>45854</v>
      </c>
      <c r="I59" s="81">
        <v>45855</v>
      </c>
      <c r="J59" s="81">
        <v>45860</v>
      </c>
      <c r="K59" s="86"/>
      <c r="L59" s="86"/>
      <c r="M59" s="86"/>
      <c r="N59" s="86"/>
      <c r="O59" s="86"/>
      <c r="P59" s="81" t="s">
        <v>69</v>
      </c>
      <c r="Q59" s="81" t="s">
        <v>69</v>
      </c>
      <c r="R59" s="70">
        <f t="shared" si="16"/>
        <v>2</v>
      </c>
      <c r="S59" s="82">
        <f t="shared" si="17"/>
        <v>45860</v>
      </c>
      <c r="T59" s="81">
        <v>45860</v>
      </c>
      <c r="U59" s="78">
        <f t="shared" si="18"/>
        <v>45958</v>
      </c>
      <c r="V59" s="81">
        <v>45868</v>
      </c>
      <c r="W59" s="81">
        <v>45868</v>
      </c>
      <c r="X59" s="81">
        <v>45870</v>
      </c>
      <c r="Y59" s="81">
        <f t="shared" si="20"/>
        <v>45904</v>
      </c>
      <c r="Z59" s="81">
        <v>45870</v>
      </c>
      <c r="AA59" s="81">
        <v>45910</v>
      </c>
      <c r="AB59" s="81"/>
      <c r="AC59" s="81"/>
      <c r="AD59" s="81">
        <v>45911</v>
      </c>
      <c r="AE59" s="81">
        <v>46008</v>
      </c>
      <c r="AF59" s="83" t="str">
        <f>IF(VLOOKUP(A59,'Date Calcs'!A:AH,34,0)="","N/A",VLOOKUP(A59,'Date Calcs'!A:AH,34,0))</f>
        <v>N/A</v>
      </c>
      <c r="AG59" s="76"/>
      <c r="AH59" s="84"/>
      <c r="AI59" s="85"/>
    </row>
    <row r="60" spans="1:35" x14ac:dyDescent="0.25">
      <c r="A60" s="77" t="str">
        <f>'Date Calcs'!A61</f>
        <v>25-075</v>
      </c>
      <c r="B60" s="78" t="str">
        <f t="shared" si="10"/>
        <v>Y</v>
      </c>
      <c r="C60" s="78" t="str">
        <f t="shared" si="11"/>
        <v>Y</v>
      </c>
      <c r="D60" s="78" t="str">
        <f t="shared" si="12"/>
        <v>Y</v>
      </c>
      <c r="E60" s="78" t="str">
        <f t="shared" si="13"/>
        <v>Y</v>
      </c>
      <c r="F60" s="77">
        <f t="shared" si="14"/>
        <v>2</v>
      </c>
      <c r="G60" s="79" t="str">
        <f t="shared" si="15"/>
        <v>y</v>
      </c>
      <c r="H60" s="80">
        <v>45854</v>
      </c>
      <c r="I60" s="81">
        <v>45859</v>
      </c>
      <c r="J60" s="81">
        <v>45868</v>
      </c>
      <c r="K60" s="81">
        <v>45884</v>
      </c>
      <c r="L60" s="81">
        <v>45888</v>
      </c>
      <c r="M60" s="86"/>
      <c r="N60" s="86"/>
      <c r="O60" s="86"/>
      <c r="P60" s="81" t="s">
        <v>69</v>
      </c>
      <c r="Q60" s="81" t="s">
        <v>69</v>
      </c>
      <c r="R60" s="70">
        <f t="shared" si="16"/>
        <v>3</v>
      </c>
      <c r="S60" s="82">
        <f t="shared" si="17"/>
        <v>45888</v>
      </c>
      <c r="T60" s="81">
        <v>45888</v>
      </c>
      <c r="U60" s="78">
        <f t="shared" si="18"/>
        <v>45986</v>
      </c>
      <c r="V60" s="81">
        <v>45897</v>
      </c>
      <c r="W60" s="81">
        <v>45897</v>
      </c>
      <c r="X60" s="81">
        <v>45898</v>
      </c>
      <c r="Y60" s="81">
        <f t="shared" si="20"/>
        <v>45953</v>
      </c>
      <c r="Z60" s="81">
        <v>45898</v>
      </c>
      <c r="AA60" s="81">
        <v>45952</v>
      </c>
      <c r="AB60" s="81"/>
      <c r="AC60" s="81"/>
      <c r="AD60" s="81">
        <v>45960</v>
      </c>
      <c r="AE60" s="81">
        <v>45994</v>
      </c>
      <c r="AF60" s="83" t="str">
        <f>IF(VLOOKUP(A60,'Date Calcs'!A:AH,34,0)="","N/A",VLOOKUP(A60,'Date Calcs'!A:AH,34,0))</f>
        <v>N/A</v>
      </c>
      <c r="AG60" s="76"/>
      <c r="AH60" s="84"/>
      <c r="AI60" s="85"/>
    </row>
    <row r="61" spans="1:35" x14ac:dyDescent="0.25">
      <c r="A61" s="77" t="str">
        <f>'Date Calcs'!A62</f>
        <v>25-076</v>
      </c>
      <c r="B61" s="78" t="str">
        <f t="shared" si="10"/>
        <v>Y</v>
      </c>
      <c r="C61" s="78" t="str">
        <f t="shared" si="11"/>
        <v>Y</v>
      </c>
      <c r="D61" s="78" t="str">
        <f t="shared" si="12"/>
        <v>Y</v>
      </c>
      <c r="E61" s="78" t="str">
        <f t="shared" si="13"/>
        <v>Y</v>
      </c>
      <c r="F61" s="77">
        <f t="shared" si="14"/>
        <v>1</v>
      </c>
      <c r="G61" s="79" t="str">
        <f t="shared" si="15"/>
        <v>y</v>
      </c>
      <c r="H61" s="80">
        <v>45866</v>
      </c>
      <c r="I61" s="81">
        <v>45881</v>
      </c>
      <c r="J61" s="81">
        <v>45888</v>
      </c>
      <c r="K61" s="86"/>
      <c r="L61" s="86"/>
      <c r="M61" s="86"/>
      <c r="N61" s="86"/>
      <c r="O61" s="86"/>
      <c r="P61" s="81" t="s">
        <v>69</v>
      </c>
      <c r="Q61" s="81" t="s">
        <v>69</v>
      </c>
      <c r="R61" s="70">
        <f t="shared" si="16"/>
        <v>2</v>
      </c>
      <c r="S61" s="82">
        <f t="shared" si="17"/>
        <v>45888</v>
      </c>
      <c r="T61" s="81">
        <v>45888</v>
      </c>
      <c r="U61" s="78">
        <f t="shared" si="18"/>
        <v>46070</v>
      </c>
      <c r="V61" s="81">
        <v>45889</v>
      </c>
      <c r="W61" s="81">
        <v>45889</v>
      </c>
      <c r="X61" s="81">
        <v>45890</v>
      </c>
      <c r="Y61" s="81">
        <f t="shared" si="20"/>
        <v>45890</v>
      </c>
      <c r="Z61" s="81">
        <v>45890</v>
      </c>
      <c r="AA61" s="81">
        <v>45897</v>
      </c>
      <c r="AB61" s="81"/>
      <c r="AC61" s="81"/>
      <c r="AD61" s="81">
        <v>45897</v>
      </c>
      <c r="AE61" s="81">
        <v>45930</v>
      </c>
      <c r="AF61" s="83" t="str">
        <f>IF(VLOOKUP(A61,'Date Calcs'!A:AH,34,0)="","N/A",VLOOKUP(A61,'Date Calcs'!A:AH,34,0))</f>
        <v>N/A</v>
      </c>
      <c r="AG61" s="76"/>
      <c r="AH61" s="84"/>
      <c r="AI61" s="85"/>
    </row>
    <row r="62" spans="1:35" x14ac:dyDescent="0.25">
      <c r="A62" s="77" t="str">
        <f>'Date Calcs'!A63</f>
        <v>25-077</v>
      </c>
      <c r="B62" s="78" t="str">
        <f t="shared" si="10"/>
        <v>Y</v>
      </c>
      <c r="C62" s="78" t="str">
        <f t="shared" si="11"/>
        <v>Y</v>
      </c>
      <c r="D62" s="78" t="str">
        <f t="shared" si="12"/>
        <v>Y</v>
      </c>
      <c r="E62" s="78" t="str">
        <f t="shared" si="13"/>
        <v>Y</v>
      </c>
      <c r="F62" s="77">
        <f t="shared" si="14"/>
        <v>2</v>
      </c>
      <c r="G62" s="79" t="str">
        <f t="shared" si="15"/>
        <v>y</v>
      </c>
      <c r="H62" s="80">
        <v>45861</v>
      </c>
      <c r="I62" s="81">
        <v>45875</v>
      </c>
      <c r="J62" s="81">
        <v>45883</v>
      </c>
      <c r="K62" s="81">
        <v>45887</v>
      </c>
      <c r="L62" s="81">
        <v>45894</v>
      </c>
      <c r="M62" s="86"/>
      <c r="N62" s="86"/>
      <c r="O62" s="86"/>
      <c r="P62" s="81" t="s">
        <v>69</v>
      </c>
      <c r="Q62" s="81" t="s">
        <v>69</v>
      </c>
      <c r="R62" s="70">
        <f t="shared" si="16"/>
        <v>3</v>
      </c>
      <c r="S62" s="82">
        <f t="shared" si="17"/>
        <v>45894</v>
      </c>
      <c r="T62" s="81">
        <v>45894</v>
      </c>
      <c r="U62" s="78">
        <f t="shared" si="18"/>
        <v>46076</v>
      </c>
      <c r="V62" s="81">
        <v>45902</v>
      </c>
      <c r="W62" s="81">
        <v>45902</v>
      </c>
      <c r="X62" s="81">
        <v>45904</v>
      </c>
      <c r="Y62" s="81">
        <f t="shared" si="20"/>
        <v>45954</v>
      </c>
      <c r="Z62" s="81">
        <v>45812</v>
      </c>
      <c r="AA62" s="81">
        <v>45953</v>
      </c>
      <c r="AB62" s="81"/>
      <c r="AC62" s="81"/>
      <c r="AD62" s="81">
        <v>45961</v>
      </c>
      <c r="AE62" s="81">
        <v>46028</v>
      </c>
      <c r="AF62" s="83" t="str">
        <f>IF(VLOOKUP(A62,'Date Calcs'!A:AH,34,0)="","N/A",VLOOKUP(A62,'Date Calcs'!A:AH,34,0))</f>
        <v>N/A</v>
      </c>
      <c r="AG62" s="76"/>
      <c r="AH62" s="84"/>
      <c r="AI62" s="85"/>
    </row>
    <row r="63" spans="1:35" x14ac:dyDescent="0.25">
      <c r="A63" s="77" t="str">
        <f>'Date Calcs'!A64</f>
        <v>25-078</v>
      </c>
      <c r="B63" s="78" t="str">
        <f t="shared" si="10"/>
        <v>Y</v>
      </c>
      <c r="C63" s="78" t="str">
        <f t="shared" si="11"/>
        <v>Y</v>
      </c>
      <c r="D63" s="78" t="str">
        <f t="shared" si="12"/>
        <v>Y</v>
      </c>
      <c r="E63" s="78" t="str">
        <f t="shared" si="13"/>
        <v>Y</v>
      </c>
      <c r="F63" s="77">
        <f t="shared" si="14"/>
        <v>2</v>
      </c>
      <c r="G63" s="79" t="str">
        <f t="shared" si="15"/>
        <v>y</v>
      </c>
      <c r="H63" s="80">
        <v>45859</v>
      </c>
      <c r="I63" s="81">
        <v>45870</v>
      </c>
      <c r="J63" s="81">
        <v>45880</v>
      </c>
      <c r="K63" s="81">
        <v>45887</v>
      </c>
      <c r="L63" s="81">
        <v>45894</v>
      </c>
      <c r="M63" s="86"/>
      <c r="N63" s="86"/>
      <c r="O63" s="86"/>
      <c r="P63" s="81" t="s">
        <v>69</v>
      </c>
      <c r="Q63" s="81" t="s">
        <v>69</v>
      </c>
      <c r="R63" s="70">
        <f t="shared" si="16"/>
        <v>3</v>
      </c>
      <c r="S63" s="82">
        <f t="shared" si="17"/>
        <v>45894</v>
      </c>
      <c r="T63" s="81">
        <v>45894</v>
      </c>
      <c r="U63" s="78">
        <f t="shared" si="18"/>
        <v>46076</v>
      </c>
      <c r="V63" s="81">
        <v>45902</v>
      </c>
      <c r="W63" s="81">
        <v>45902</v>
      </c>
      <c r="X63" s="81">
        <v>45903</v>
      </c>
      <c r="Y63" s="81">
        <f t="shared" si="20"/>
        <v>45959</v>
      </c>
      <c r="Z63" s="81">
        <v>45903</v>
      </c>
      <c r="AA63" s="81">
        <v>45953</v>
      </c>
      <c r="AB63" s="81"/>
      <c r="AC63" s="81"/>
      <c r="AD63" s="81">
        <v>45966</v>
      </c>
      <c r="AE63" s="81">
        <v>46028</v>
      </c>
      <c r="AF63" s="83" t="str">
        <f>IF(VLOOKUP(A63,'Date Calcs'!A:AH,34,0)="","N/A",VLOOKUP(A63,'Date Calcs'!A:AH,34,0))</f>
        <v>N/A</v>
      </c>
      <c r="AG63" s="76"/>
      <c r="AH63" s="84"/>
      <c r="AI63" s="85"/>
    </row>
    <row r="64" spans="1:35" x14ac:dyDescent="0.25">
      <c r="A64" s="77" t="str">
        <f>'Date Calcs'!A65</f>
        <v>25-079</v>
      </c>
      <c r="B64" s="78" t="str">
        <f t="shared" si="10"/>
        <v>Y</v>
      </c>
      <c r="C64" s="78" t="str">
        <f t="shared" si="11"/>
        <v>Y</v>
      </c>
      <c r="D64" s="78" t="str">
        <f t="shared" si="12"/>
        <v>Y</v>
      </c>
      <c r="E64" s="78" t="str">
        <f t="shared" si="13"/>
        <v>Y</v>
      </c>
      <c r="F64" s="77">
        <f t="shared" si="14"/>
        <v>2</v>
      </c>
      <c r="G64" s="79" t="str">
        <f t="shared" si="15"/>
        <v>y</v>
      </c>
      <c r="H64" s="80">
        <v>45859</v>
      </c>
      <c r="I64" s="81">
        <v>45870</v>
      </c>
      <c r="J64" s="81">
        <v>45880</v>
      </c>
      <c r="K64" s="81">
        <v>45887</v>
      </c>
      <c r="L64" s="81">
        <v>45894</v>
      </c>
      <c r="M64" s="86"/>
      <c r="N64" s="86"/>
      <c r="O64" s="86"/>
      <c r="P64" s="81" t="s">
        <v>69</v>
      </c>
      <c r="Q64" s="81" t="s">
        <v>69</v>
      </c>
      <c r="R64" s="70">
        <f t="shared" si="16"/>
        <v>3</v>
      </c>
      <c r="S64" s="82">
        <f t="shared" si="17"/>
        <v>45894</v>
      </c>
      <c r="T64" s="81">
        <v>45894</v>
      </c>
      <c r="U64" s="78">
        <f t="shared" si="18"/>
        <v>46076</v>
      </c>
      <c r="V64" s="81">
        <v>45902</v>
      </c>
      <c r="W64" s="81">
        <v>45902</v>
      </c>
      <c r="X64" s="81">
        <v>45903</v>
      </c>
      <c r="Y64" s="81">
        <f t="shared" si="20"/>
        <v>45959</v>
      </c>
      <c r="Z64" s="81">
        <v>45903</v>
      </c>
      <c r="AA64" s="81">
        <v>45953</v>
      </c>
      <c r="AB64" s="81"/>
      <c r="AC64" s="81"/>
      <c r="AD64" s="81">
        <v>45966</v>
      </c>
      <c r="AE64" s="81">
        <v>46028</v>
      </c>
      <c r="AF64" s="83" t="str">
        <f>IF(VLOOKUP(A64,'Date Calcs'!A:AH,34,0)="","N/A",VLOOKUP(A64,'Date Calcs'!A:AH,34,0))</f>
        <v>N/A</v>
      </c>
      <c r="AG64" s="76"/>
      <c r="AH64" s="84"/>
      <c r="AI64" s="85"/>
    </row>
    <row r="65" spans="1:35" x14ac:dyDescent="0.25">
      <c r="A65" s="77" t="str">
        <f>'Date Calcs'!A66</f>
        <v>25-080</v>
      </c>
      <c r="B65" s="78" t="str">
        <f t="shared" si="10"/>
        <v>Y</v>
      </c>
      <c r="C65" s="78" t="str">
        <f t="shared" si="11"/>
        <v>Y</v>
      </c>
      <c r="D65" s="78" t="str">
        <f t="shared" si="12"/>
        <v>Y</v>
      </c>
      <c r="E65" s="78" t="str">
        <f t="shared" si="13"/>
        <v>Y</v>
      </c>
      <c r="F65" s="77">
        <f t="shared" si="14"/>
        <v>1</v>
      </c>
      <c r="G65" s="79" t="str">
        <f t="shared" si="15"/>
        <v>y</v>
      </c>
      <c r="H65" s="80">
        <v>45856</v>
      </c>
      <c r="I65" s="81">
        <v>45869</v>
      </c>
      <c r="J65" s="81">
        <v>45890</v>
      </c>
      <c r="K65" s="86"/>
      <c r="L65" s="86"/>
      <c r="M65" s="86"/>
      <c r="N65" s="86"/>
      <c r="O65" s="86"/>
      <c r="P65" s="81" t="s">
        <v>69</v>
      </c>
      <c r="Q65" s="81" t="s">
        <v>69</v>
      </c>
      <c r="R65" s="70">
        <f t="shared" si="16"/>
        <v>2</v>
      </c>
      <c r="S65" s="82">
        <f t="shared" si="17"/>
        <v>45890</v>
      </c>
      <c r="T65" s="81">
        <v>45890</v>
      </c>
      <c r="U65" s="78">
        <f t="shared" si="18"/>
        <v>46072</v>
      </c>
      <c r="V65" s="81">
        <v>45905</v>
      </c>
      <c r="W65" s="81">
        <v>45905</v>
      </c>
      <c r="X65" s="81">
        <v>45910</v>
      </c>
      <c r="Y65" s="81">
        <f t="shared" si="20"/>
        <v>45953</v>
      </c>
      <c r="Z65" s="81">
        <v>45910</v>
      </c>
      <c r="AA65" s="81">
        <v>45923</v>
      </c>
      <c r="AB65" s="81"/>
      <c r="AC65" s="81"/>
      <c r="AD65" s="81">
        <v>45960</v>
      </c>
      <c r="AE65" s="81">
        <v>46029</v>
      </c>
      <c r="AF65" s="83" t="str">
        <f>IF(VLOOKUP(A65,'Date Calcs'!A:AH,34,0)="","N/A",VLOOKUP(A65,'Date Calcs'!A:AH,34,0))</f>
        <v>N/A</v>
      </c>
      <c r="AG65" s="76"/>
      <c r="AH65" s="84"/>
      <c r="AI65" s="85"/>
    </row>
    <row r="66" spans="1:35" x14ac:dyDescent="0.25">
      <c r="A66" s="77" t="str">
        <f>'Date Calcs'!A67</f>
        <v>25-083</v>
      </c>
      <c r="B66" s="78" t="str">
        <f t="shared" si="10"/>
        <v>Y</v>
      </c>
      <c r="C66" s="78" t="str">
        <f t="shared" si="11"/>
        <v>Y</v>
      </c>
      <c r="D66" s="78" t="str">
        <f t="shared" si="12"/>
        <v>Y</v>
      </c>
      <c r="E66" s="78" t="str">
        <f t="shared" si="13"/>
        <v>N</v>
      </c>
      <c r="F66" s="77">
        <f t="shared" si="14"/>
        <v>2</v>
      </c>
      <c r="G66" s="79" t="str">
        <f t="shared" si="15"/>
        <v>y</v>
      </c>
      <c r="H66" s="80">
        <v>45884</v>
      </c>
      <c r="I66" s="81">
        <v>45944</v>
      </c>
      <c r="J66" s="81">
        <v>45959</v>
      </c>
      <c r="K66" s="81">
        <v>45960</v>
      </c>
      <c r="L66" s="81">
        <v>45965</v>
      </c>
      <c r="M66" s="81">
        <v>46055</v>
      </c>
      <c r="N66" s="86"/>
      <c r="O66" s="86"/>
      <c r="P66" s="81">
        <v>45862</v>
      </c>
      <c r="Q66" s="81">
        <v>45862</v>
      </c>
      <c r="R66" s="70">
        <f t="shared" si="16"/>
        <v>3</v>
      </c>
      <c r="S66" s="82">
        <f t="shared" si="17"/>
        <v>45965</v>
      </c>
      <c r="T66" s="81">
        <v>45965</v>
      </c>
      <c r="U66" s="78">
        <f t="shared" si="18"/>
        <v>46147</v>
      </c>
      <c r="V66" s="81">
        <v>45971</v>
      </c>
      <c r="W66" s="81">
        <v>45971</v>
      </c>
      <c r="X66" s="81">
        <v>45972</v>
      </c>
      <c r="Y66" s="81">
        <v>46030</v>
      </c>
      <c r="Z66" s="81">
        <v>45972</v>
      </c>
      <c r="AA66" s="81">
        <v>45985</v>
      </c>
      <c r="AB66" s="81">
        <v>46035</v>
      </c>
      <c r="AC66" s="81">
        <v>45985</v>
      </c>
      <c r="AD66" s="81">
        <v>45985</v>
      </c>
      <c r="AE66" s="81"/>
      <c r="AF66" s="83" t="str">
        <f>IF(VLOOKUP(A66,'Date Calcs'!A:AH,34,0)="","N/A",VLOOKUP(A66,'Date Calcs'!A:AH,34,0))</f>
        <v>N/A</v>
      </c>
      <c r="AG66" s="76"/>
      <c r="AH66" s="84"/>
      <c r="AI66" s="85"/>
    </row>
    <row r="67" spans="1:35" x14ac:dyDescent="0.25">
      <c r="A67" s="77" t="str">
        <f>'Date Calcs'!A68</f>
        <v>25-084</v>
      </c>
      <c r="B67" s="78" t="str">
        <f t="shared" si="10"/>
        <v>Y</v>
      </c>
      <c r="C67" s="78" t="str">
        <f t="shared" si="11"/>
        <v>Y</v>
      </c>
      <c r="D67" s="78" t="str">
        <f t="shared" si="12"/>
        <v>Y</v>
      </c>
      <c r="E67" s="78" t="str">
        <f t="shared" si="13"/>
        <v>Y</v>
      </c>
      <c r="F67" s="77">
        <f t="shared" si="14"/>
        <v>3</v>
      </c>
      <c r="G67" s="79" t="str">
        <f t="shared" si="15"/>
        <v>y</v>
      </c>
      <c r="H67" s="80">
        <v>45877</v>
      </c>
      <c r="I67" s="81">
        <v>45880</v>
      </c>
      <c r="J67" s="81">
        <v>45887</v>
      </c>
      <c r="K67" s="81">
        <v>45945</v>
      </c>
      <c r="L67" s="81">
        <v>45951</v>
      </c>
      <c r="M67" s="81">
        <v>45954</v>
      </c>
      <c r="N67" s="81">
        <v>45961</v>
      </c>
      <c r="O67" s="81">
        <v>45965</v>
      </c>
      <c r="P67" s="81">
        <v>45862</v>
      </c>
      <c r="Q67" s="81">
        <v>45862</v>
      </c>
      <c r="R67" s="70">
        <f t="shared" si="16"/>
        <v>4</v>
      </c>
      <c r="S67" s="82">
        <f t="shared" si="17"/>
        <v>45965</v>
      </c>
      <c r="T67" s="81">
        <v>45965</v>
      </c>
      <c r="U67" s="78">
        <f t="shared" si="18"/>
        <v>46133</v>
      </c>
      <c r="V67" s="81">
        <v>45954</v>
      </c>
      <c r="W67" s="81">
        <v>45954</v>
      </c>
      <c r="X67" s="81">
        <v>45966</v>
      </c>
      <c r="Y67" s="81">
        <v>45978</v>
      </c>
      <c r="Z67" s="81">
        <v>45966</v>
      </c>
      <c r="AA67" s="81">
        <v>45985</v>
      </c>
      <c r="AB67" s="81">
        <v>46021</v>
      </c>
      <c r="AC67" s="81">
        <v>45985</v>
      </c>
      <c r="AD67" s="81">
        <v>45985</v>
      </c>
      <c r="AE67" s="81"/>
      <c r="AF67" s="83" t="str">
        <f>IF(VLOOKUP(A67,'Date Calcs'!A:AH,34,0)="","N/A",VLOOKUP(A67,'Date Calcs'!A:AH,34,0))</f>
        <v>N/A</v>
      </c>
      <c r="AG67" s="76"/>
      <c r="AH67" s="84"/>
      <c r="AI67" s="85"/>
    </row>
    <row r="68" spans="1:35" x14ac:dyDescent="0.25">
      <c r="A68" s="77" t="str">
        <f>'Date Calcs'!A69</f>
        <v>25-085</v>
      </c>
      <c r="B68" s="78" t="str">
        <f t="shared" ref="B68:B99" si="21">IF(H68&gt;0,"Y","N")</f>
        <v>Y</v>
      </c>
      <c r="C68" s="78" t="str">
        <f t="shared" ref="C68:C99" si="22">IF(I68&gt;0,IF(J68&gt;0,"Y","N"),"Y")</f>
        <v>Y</v>
      </c>
      <c r="D68" s="78" t="str">
        <f t="shared" ref="D68:D99" si="23">IF(K68&gt;0,IF(L68&gt;0,"Y","N"),"Y")</f>
        <v>Y</v>
      </c>
      <c r="E68" s="78" t="str">
        <f t="shared" ref="E68:E99" si="24">IF(M68&gt;0,IF(N68&gt;0,"Y","N"),"Y")</f>
        <v>Y</v>
      </c>
      <c r="F68" s="77">
        <f t="shared" ref="F68:F99" si="25">IF(N68&gt;0,3,IF(L68&gt;0,2,IF(J68&gt;0,1,IF(H68&gt;0,0,"  "))))</f>
        <v>1</v>
      </c>
      <c r="G68" s="79" t="str">
        <f t="shared" ref="G68:G99" si="26">IF(T68=0,"  ","y")</f>
        <v>y</v>
      </c>
      <c r="H68" s="80">
        <v>45881</v>
      </c>
      <c r="I68" s="81">
        <v>45883</v>
      </c>
      <c r="J68" s="81">
        <v>45888</v>
      </c>
      <c r="K68" s="86"/>
      <c r="L68" s="86"/>
      <c r="M68" s="86"/>
      <c r="N68" s="86"/>
      <c r="O68" s="86"/>
      <c r="P68" s="81">
        <v>45863</v>
      </c>
      <c r="Q68" s="81">
        <v>45862</v>
      </c>
      <c r="R68" s="70">
        <f t="shared" ref="R68:R99" si="27">IF(N68&gt;0,4,IF(L68&gt;0,3,IF(J68&gt;0,2,IF(H68&gt;0,1,0))))</f>
        <v>2</v>
      </c>
      <c r="S68" s="82">
        <f t="shared" ref="S68:S99" si="28">IF(T68="","-",T68)</f>
        <v>45888</v>
      </c>
      <c r="T68" s="81">
        <v>45888</v>
      </c>
      <c r="U68" s="78">
        <f t="shared" ref="U68:U99" si="29">IFERROR(_xlfn.IFNA(IF(T68="",VLOOKUP(A68,Jobs,23,0),T68+(VLOOKUP(A68,Jobs,7,FALSE())*7)+(VLOOKUP(A68,Jobs,23,FALSE())*7)),"")," ")</f>
        <v>46000</v>
      </c>
      <c r="V68" s="81">
        <v>45890</v>
      </c>
      <c r="W68" s="81">
        <v>45890</v>
      </c>
      <c r="X68" s="81">
        <v>45896</v>
      </c>
      <c r="Y68" s="81">
        <f t="shared" ref="Y68:Y71" si="30">AD68-7</f>
        <v>45923</v>
      </c>
      <c r="Z68" s="81">
        <v>45896</v>
      </c>
      <c r="AA68" s="81">
        <v>45922</v>
      </c>
      <c r="AB68" s="81"/>
      <c r="AC68" s="81"/>
      <c r="AD68" s="81">
        <v>45930</v>
      </c>
      <c r="AE68" s="81">
        <v>45999</v>
      </c>
      <c r="AF68" s="83" t="str">
        <f>IF(VLOOKUP(A68,'Date Calcs'!A:AH,34,0)="","N/A",VLOOKUP(A68,'Date Calcs'!A:AH,34,0))</f>
        <v>N/A</v>
      </c>
      <c r="AG68" s="76"/>
      <c r="AH68" s="84"/>
      <c r="AI68" s="85"/>
    </row>
    <row r="69" spans="1:35" x14ac:dyDescent="0.25">
      <c r="A69" s="77" t="str">
        <f>'Date Calcs'!A70</f>
        <v>25-086</v>
      </c>
      <c r="B69" s="78" t="str">
        <f t="shared" si="21"/>
        <v>Y</v>
      </c>
      <c r="C69" s="78" t="str">
        <f t="shared" si="22"/>
        <v>Y</v>
      </c>
      <c r="D69" s="78" t="str">
        <f t="shared" si="23"/>
        <v>Y</v>
      </c>
      <c r="E69" s="78" t="str">
        <f t="shared" si="24"/>
        <v>Y</v>
      </c>
      <c r="F69" s="77">
        <f t="shared" si="25"/>
        <v>3</v>
      </c>
      <c r="G69" s="79" t="str">
        <f t="shared" si="26"/>
        <v xml:space="preserve">  </v>
      </c>
      <c r="H69" s="80">
        <v>46022</v>
      </c>
      <c r="I69" s="81">
        <v>46022</v>
      </c>
      <c r="J69" s="80">
        <v>46022</v>
      </c>
      <c r="K69" s="81">
        <v>46022</v>
      </c>
      <c r="L69" s="80">
        <v>46022</v>
      </c>
      <c r="M69" s="81">
        <v>46022</v>
      </c>
      <c r="N69" s="80">
        <v>46022</v>
      </c>
      <c r="O69" s="81">
        <v>46022</v>
      </c>
      <c r="P69" s="81">
        <v>45882</v>
      </c>
      <c r="Q69" s="81">
        <v>45882</v>
      </c>
      <c r="R69" s="70">
        <f t="shared" si="27"/>
        <v>4</v>
      </c>
      <c r="S69" s="82" t="str">
        <f t="shared" si="28"/>
        <v>-</v>
      </c>
      <c r="T69" s="86"/>
      <c r="U69" s="78">
        <f t="shared" si="29"/>
        <v>0</v>
      </c>
      <c r="V69" s="81">
        <v>45891</v>
      </c>
      <c r="W69" s="81">
        <v>45891</v>
      </c>
      <c r="X69" s="81">
        <v>45896</v>
      </c>
      <c r="Y69" s="81">
        <f t="shared" si="30"/>
        <v>45888</v>
      </c>
      <c r="Z69" s="81">
        <v>45896</v>
      </c>
      <c r="AA69" s="81">
        <v>45894</v>
      </c>
      <c r="AB69" s="81"/>
      <c r="AC69" s="81"/>
      <c r="AD69" s="81">
        <v>45895</v>
      </c>
      <c r="AE69" s="81">
        <v>46022</v>
      </c>
      <c r="AF69" s="83" t="str">
        <f>IF(VLOOKUP(A69,'Date Calcs'!A:AH,34,0)="","N/A",VLOOKUP(A69,'Date Calcs'!A:AH,34,0))</f>
        <v>N/A</v>
      </c>
      <c r="AG69" s="76"/>
      <c r="AH69" s="84"/>
      <c r="AI69" s="85"/>
    </row>
    <row r="70" spans="1:35" x14ac:dyDescent="0.25">
      <c r="A70" s="77" t="str">
        <f>'Date Calcs'!A71</f>
        <v>25-087</v>
      </c>
      <c r="B70" s="78" t="str">
        <f t="shared" si="21"/>
        <v>Y</v>
      </c>
      <c r="C70" s="78" t="str">
        <f t="shared" si="22"/>
        <v>Y</v>
      </c>
      <c r="D70" s="78" t="str">
        <f t="shared" si="23"/>
        <v>Y</v>
      </c>
      <c r="E70" s="78" t="str">
        <f t="shared" si="24"/>
        <v>Y</v>
      </c>
      <c r="F70" s="77">
        <f t="shared" si="25"/>
        <v>1</v>
      </c>
      <c r="G70" s="79" t="str">
        <f t="shared" si="26"/>
        <v>y</v>
      </c>
      <c r="H70" s="80">
        <v>45897</v>
      </c>
      <c r="I70" s="81">
        <v>45908</v>
      </c>
      <c r="J70" s="81">
        <v>45915</v>
      </c>
      <c r="K70" s="86"/>
      <c r="L70" s="86"/>
      <c r="M70" s="86"/>
      <c r="N70" s="86"/>
      <c r="O70" s="86"/>
      <c r="P70" s="81">
        <v>45887</v>
      </c>
      <c r="Q70" s="81">
        <v>45883</v>
      </c>
      <c r="R70" s="70">
        <f t="shared" si="27"/>
        <v>2</v>
      </c>
      <c r="S70" s="82">
        <f t="shared" si="28"/>
        <v>45915</v>
      </c>
      <c r="T70" s="81">
        <v>45915</v>
      </c>
      <c r="U70" s="78">
        <f t="shared" si="29"/>
        <v>45999</v>
      </c>
      <c r="V70" s="81">
        <v>38614</v>
      </c>
      <c r="W70" s="81">
        <v>45919</v>
      </c>
      <c r="X70" s="81">
        <v>45922</v>
      </c>
      <c r="Y70" s="81">
        <f t="shared" si="30"/>
        <v>45917</v>
      </c>
      <c r="Z70" s="81">
        <v>45922</v>
      </c>
      <c r="AA70" s="81">
        <v>45922</v>
      </c>
      <c r="AB70" s="81"/>
      <c r="AC70" s="81"/>
      <c r="AD70" s="81">
        <v>45924</v>
      </c>
      <c r="AE70" s="81">
        <v>45952</v>
      </c>
      <c r="AF70" s="83" t="str">
        <f>IF(VLOOKUP(A70,'Date Calcs'!A:AH,34,0)="","N/A",VLOOKUP(A70,'Date Calcs'!A:AH,34,0))</f>
        <v>N/A</v>
      </c>
      <c r="AG70" s="76"/>
      <c r="AH70" s="84"/>
      <c r="AI70" s="85"/>
    </row>
    <row r="71" spans="1:35" x14ac:dyDescent="0.25">
      <c r="A71" s="77" t="str">
        <f>'Date Calcs'!A72</f>
        <v>25-088</v>
      </c>
      <c r="B71" s="78" t="str">
        <f t="shared" si="21"/>
        <v>Y</v>
      </c>
      <c r="C71" s="78" t="str">
        <f t="shared" si="22"/>
        <v>Y</v>
      </c>
      <c r="D71" s="78" t="str">
        <f t="shared" si="23"/>
        <v>Y</v>
      </c>
      <c r="E71" s="78" t="str">
        <f t="shared" si="24"/>
        <v>Y</v>
      </c>
      <c r="F71" s="77">
        <f t="shared" si="25"/>
        <v>1</v>
      </c>
      <c r="G71" s="79" t="str">
        <f t="shared" si="26"/>
        <v>y</v>
      </c>
      <c r="H71" s="80">
        <v>45903</v>
      </c>
      <c r="I71" s="81">
        <v>45909</v>
      </c>
      <c r="J71" s="81">
        <v>45915</v>
      </c>
      <c r="K71" s="86"/>
      <c r="L71" s="86"/>
      <c r="M71" s="86"/>
      <c r="N71" s="86"/>
      <c r="O71" s="86"/>
      <c r="P71" s="86"/>
      <c r="Q71" s="86"/>
      <c r="R71" s="70">
        <f t="shared" si="27"/>
        <v>2</v>
      </c>
      <c r="S71" s="82">
        <f t="shared" si="28"/>
        <v>45915</v>
      </c>
      <c r="T71" s="81">
        <v>45915</v>
      </c>
      <c r="U71" s="78">
        <f t="shared" si="29"/>
        <v>45964</v>
      </c>
      <c r="V71" s="81">
        <v>45918</v>
      </c>
      <c r="W71" s="81">
        <v>45918</v>
      </c>
      <c r="X71" s="81">
        <v>45922</v>
      </c>
      <c r="Y71" s="81">
        <f t="shared" si="30"/>
        <v>45946</v>
      </c>
      <c r="Z71" s="81">
        <v>45922</v>
      </c>
      <c r="AA71" s="81">
        <v>45922</v>
      </c>
      <c r="AB71" s="81"/>
      <c r="AC71" s="81"/>
      <c r="AD71" s="81">
        <v>45953</v>
      </c>
      <c r="AE71" s="81">
        <v>45979</v>
      </c>
      <c r="AF71" s="83" t="str">
        <f>IF(VLOOKUP(A71,'Date Calcs'!A:AH,34,0)="","N/A",VLOOKUP(A71,'Date Calcs'!A:AH,34,0))</f>
        <v>N/A</v>
      </c>
      <c r="AG71" s="76"/>
      <c r="AH71" s="84"/>
      <c r="AI71" s="85"/>
    </row>
    <row r="72" spans="1:35" x14ac:dyDescent="0.25">
      <c r="A72" s="77" t="str">
        <f>'Date Calcs'!A73</f>
        <v>25-089</v>
      </c>
      <c r="B72" s="78" t="str">
        <f t="shared" si="21"/>
        <v>Y</v>
      </c>
      <c r="C72" s="78" t="str">
        <f t="shared" si="22"/>
        <v>Y</v>
      </c>
      <c r="D72" s="78" t="str">
        <f t="shared" si="23"/>
        <v>Y</v>
      </c>
      <c r="E72" s="78" t="str">
        <f t="shared" si="24"/>
        <v>Y</v>
      </c>
      <c r="F72" s="77">
        <f t="shared" si="25"/>
        <v>1</v>
      </c>
      <c r="G72" s="79" t="str">
        <f t="shared" si="26"/>
        <v>y</v>
      </c>
      <c r="H72" s="80">
        <v>45922</v>
      </c>
      <c r="I72" s="81">
        <v>45982</v>
      </c>
      <c r="J72" s="81">
        <v>45995</v>
      </c>
      <c r="K72" s="86"/>
      <c r="L72" s="86"/>
      <c r="M72" s="86"/>
      <c r="N72" s="86"/>
      <c r="O72" s="86"/>
      <c r="P72" s="81">
        <v>45917</v>
      </c>
      <c r="Q72" s="81">
        <v>45912</v>
      </c>
      <c r="R72" s="70">
        <f t="shared" si="27"/>
        <v>2</v>
      </c>
      <c r="S72" s="82">
        <f t="shared" si="28"/>
        <v>45995</v>
      </c>
      <c r="T72" s="81">
        <v>45995</v>
      </c>
      <c r="U72" s="78">
        <f t="shared" si="29"/>
        <v>46163</v>
      </c>
      <c r="V72" s="81">
        <v>45999</v>
      </c>
      <c r="W72" s="81">
        <v>45999</v>
      </c>
      <c r="X72" s="81">
        <v>46000</v>
      </c>
      <c r="Y72" s="81">
        <v>46043</v>
      </c>
      <c r="Z72" s="81">
        <v>46000</v>
      </c>
      <c r="AA72" s="81">
        <v>46002</v>
      </c>
      <c r="AB72" s="81">
        <v>46072</v>
      </c>
      <c r="AC72" s="81">
        <v>46002</v>
      </c>
      <c r="AD72" s="81">
        <v>46007</v>
      </c>
      <c r="AE72" s="81">
        <v>46090</v>
      </c>
      <c r="AF72" s="83" t="str">
        <f>IF(VLOOKUP(A72,'Date Calcs'!A:AH,34,0)="","N/A",VLOOKUP(A72,'Date Calcs'!A:AH,34,0))</f>
        <v>N/A</v>
      </c>
      <c r="AG72" s="76"/>
      <c r="AH72" s="84"/>
      <c r="AI72" s="85"/>
    </row>
    <row r="73" spans="1:35" x14ac:dyDescent="0.25">
      <c r="A73" s="77" t="str">
        <f>'Date Calcs'!A74</f>
        <v>25-090</v>
      </c>
      <c r="B73" s="78" t="str">
        <f t="shared" si="21"/>
        <v>Y</v>
      </c>
      <c r="C73" s="78" t="str">
        <f t="shared" si="22"/>
        <v>Y</v>
      </c>
      <c r="D73" s="78" t="str">
        <f t="shared" si="23"/>
        <v>Y</v>
      </c>
      <c r="E73" s="78" t="str">
        <f t="shared" si="24"/>
        <v>Y</v>
      </c>
      <c r="F73" s="77">
        <f t="shared" si="25"/>
        <v>0</v>
      </c>
      <c r="G73" s="79" t="str">
        <f t="shared" si="26"/>
        <v>y</v>
      </c>
      <c r="H73" s="80">
        <v>45891</v>
      </c>
      <c r="I73" s="86"/>
      <c r="J73" s="86"/>
      <c r="K73" s="86"/>
      <c r="L73" s="86"/>
      <c r="M73" s="86"/>
      <c r="N73" s="86"/>
      <c r="O73" s="86"/>
      <c r="P73" s="81" t="s">
        <v>68</v>
      </c>
      <c r="Q73" s="81" t="s">
        <v>68</v>
      </c>
      <c r="R73" s="70">
        <f t="shared" si="27"/>
        <v>1</v>
      </c>
      <c r="S73" s="82">
        <f t="shared" si="28"/>
        <v>45891</v>
      </c>
      <c r="T73" s="81">
        <v>45891</v>
      </c>
      <c r="U73" s="78">
        <f t="shared" si="29"/>
        <v>45912</v>
      </c>
      <c r="V73" s="81" t="s">
        <v>68</v>
      </c>
      <c r="W73" s="81" t="s">
        <v>68</v>
      </c>
      <c r="X73" s="81" t="s">
        <v>68</v>
      </c>
      <c r="Y73" s="81"/>
      <c r="Z73" s="81" t="s">
        <v>68</v>
      </c>
      <c r="AA73" s="86"/>
      <c r="AB73" s="86"/>
      <c r="AC73" s="86"/>
      <c r="AD73" s="86"/>
      <c r="AE73" s="81">
        <v>45912</v>
      </c>
      <c r="AF73" s="83" t="str">
        <f>IF(VLOOKUP(A73,'Date Calcs'!A:AH,34,0)="","N/A",VLOOKUP(A73,'Date Calcs'!A:AH,34,0))</f>
        <v>N/A</v>
      </c>
      <c r="AG73" s="76"/>
      <c r="AH73" s="84"/>
      <c r="AI73" s="85"/>
    </row>
    <row r="74" spans="1:35" x14ac:dyDescent="0.25">
      <c r="A74" s="77" t="str">
        <f>'Date Calcs'!A75</f>
        <v>25-091</v>
      </c>
      <c r="B74" s="78" t="str">
        <f t="shared" si="21"/>
        <v>Y</v>
      </c>
      <c r="C74" s="78" t="str">
        <f t="shared" si="22"/>
        <v>Y</v>
      </c>
      <c r="D74" s="78" t="str">
        <f t="shared" si="23"/>
        <v>Y</v>
      </c>
      <c r="E74" s="78" t="str">
        <f t="shared" si="24"/>
        <v>Y</v>
      </c>
      <c r="F74" s="77">
        <f t="shared" si="25"/>
        <v>3</v>
      </c>
      <c r="G74" s="79" t="str">
        <f t="shared" si="26"/>
        <v xml:space="preserve">  </v>
      </c>
      <c r="H74" s="80">
        <v>46022</v>
      </c>
      <c r="I74" s="81">
        <v>46022</v>
      </c>
      <c r="J74" s="80">
        <v>46022</v>
      </c>
      <c r="K74" s="81">
        <v>46022</v>
      </c>
      <c r="L74" s="80">
        <v>46022</v>
      </c>
      <c r="M74" s="81">
        <v>46022</v>
      </c>
      <c r="N74" s="80">
        <v>46022</v>
      </c>
      <c r="O74" s="81">
        <v>46022</v>
      </c>
      <c r="P74" s="81" t="s">
        <v>68</v>
      </c>
      <c r="Q74" s="81" t="s">
        <v>68</v>
      </c>
      <c r="R74" s="70">
        <f t="shared" si="27"/>
        <v>4</v>
      </c>
      <c r="S74" s="82" t="str">
        <f t="shared" si="28"/>
        <v>-</v>
      </c>
      <c r="T74" s="86"/>
      <c r="U74" s="78">
        <f t="shared" si="29"/>
        <v>0</v>
      </c>
      <c r="V74" s="81">
        <v>45923</v>
      </c>
      <c r="W74" s="81">
        <v>45923</v>
      </c>
      <c r="X74" s="81">
        <v>45923</v>
      </c>
      <c r="Y74" s="81">
        <f>AD74-7</f>
        <v>45916</v>
      </c>
      <c r="Z74" s="81">
        <v>45923</v>
      </c>
      <c r="AA74" s="81">
        <v>45922</v>
      </c>
      <c r="AB74" s="81"/>
      <c r="AC74" s="81"/>
      <c r="AD74" s="81">
        <v>45923</v>
      </c>
      <c r="AE74" s="81">
        <v>46022</v>
      </c>
      <c r="AF74" s="83" t="str">
        <f>IF(VLOOKUP(A74,'Date Calcs'!A:AH,34,0)="","N/A",VLOOKUP(A74,'Date Calcs'!A:AH,34,0))</f>
        <v>N/A</v>
      </c>
      <c r="AG74" s="76"/>
      <c r="AH74" s="84"/>
      <c r="AI74" s="85"/>
    </row>
    <row r="75" spans="1:35" x14ac:dyDescent="0.25">
      <c r="A75" s="77" t="str">
        <f>'Date Calcs'!A76</f>
        <v>25-092</v>
      </c>
      <c r="B75" s="78" t="str">
        <f t="shared" si="21"/>
        <v>Y</v>
      </c>
      <c r="C75" s="78" t="str">
        <f t="shared" si="22"/>
        <v>Y</v>
      </c>
      <c r="D75" s="78" t="str">
        <f t="shared" si="23"/>
        <v>Y</v>
      </c>
      <c r="E75" s="78" t="str">
        <f t="shared" si="24"/>
        <v>Y</v>
      </c>
      <c r="F75" s="77">
        <f t="shared" si="25"/>
        <v>2</v>
      </c>
      <c r="G75" s="79" t="str">
        <f t="shared" si="26"/>
        <v>y</v>
      </c>
      <c r="H75" s="80">
        <v>45931</v>
      </c>
      <c r="I75" s="81">
        <v>45937</v>
      </c>
      <c r="J75" s="81">
        <v>45944</v>
      </c>
      <c r="K75" s="81">
        <v>45953</v>
      </c>
      <c r="L75" s="81">
        <v>45957</v>
      </c>
      <c r="M75" s="86"/>
      <c r="N75" s="86"/>
      <c r="O75" s="86"/>
      <c r="P75" s="81">
        <v>45918</v>
      </c>
      <c r="Q75" s="81">
        <v>45917</v>
      </c>
      <c r="R75" s="70">
        <f t="shared" si="27"/>
        <v>3</v>
      </c>
      <c r="S75" s="82">
        <f t="shared" si="28"/>
        <v>45957</v>
      </c>
      <c r="T75" s="81">
        <v>45957</v>
      </c>
      <c r="U75" s="78">
        <f t="shared" si="29"/>
        <v>46083</v>
      </c>
      <c r="V75" s="81">
        <v>45978</v>
      </c>
      <c r="W75" s="81">
        <v>45979</v>
      </c>
      <c r="X75" s="81">
        <v>45979</v>
      </c>
      <c r="Y75" s="81">
        <v>45992</v>
      </c>
      <c r="Z75" s="81">
        <v>45979</v>
      </c>
      <c r="AA75" s="81">
        <v>46031</v>
      </c>
      <c r="AB75" s="81">
        <v>46034</v>
      </c>
      <c r="AC75" s="81">
        <v>46031</v>
      </c>
      <c r="AD75" s="81">
        <v>46035</v>
      </c>
      <c r="AE75" s="81"/>
      <c r="AF75" s="83" t="str">
        <f>IF(VLOOKUP(A75,'Date Calcs'!A:AH,34,0)="","N/A",VLOOKUP(A75,'Date Calcs'!A:AH,34,0))</f>
        <v>N/A</v>
      </c>
      <c r="AG75" s="76"/>
      <c r="AH75" s="84"/>
      <c r="AI75" s="85"/>
    </row>
    <row r="76" spans="1:35" x14ac:dyDescent="0.25">
      <c r="A76" s="77" t="str">
        <f>'Date Calcs'!A77</f>
        <v>25-093</v>
      </c>
      <c r="B76" s="78" t="str">
        <f t="shared" si="21"/>
        <v>Y</v>
      </c>
      <c r="C76" s="78" t="str">
        <f t="shared" si="22"/>
        <v>Y</v>
      </c>
      <c r="D76" s="78" t="str">
        <f t="shared" si="23"/>
        <v>Y</v>
      </c>
      <c r="E76" s="78" t="str">
        <f t="shared" si="24"/>
        <v>Y</v>
      </c>
      <c r="F76" s="77">
        <f t="shared" si="25"/>
        <v>2</v>
      </c>
      <c r="G76" s="79" t="str">
        <f t="shared" si="26"/>
        <v>y</v>
      </c>
      <c r="H76" s="80">
        <v>45931</v>
      </c>
      <c r="I76" s="81">
        <v>45937</v>
      </c>
      <c r="J76" s="81">
        <v>45944</v>
      </c>
      <c r="K76" s="81">
        <v>45953</v>
      </c>
      <c r="L76" s="81">
        <v>45957</v>
      </c>
      <c r="M76" s="86"/>
      <c r="N76" s="86"/>
      <c r="O76" s="86"/>
      <c r="P76" s="81">
        <v>45918</v>
      </c>
      <c r="Q76" s="81">
        <v>45917</v>
      </c>
      <c r="R76" s="70">
        <f t="shared" si="27"/>
        <v>3</v>
      </c>
      <c r="S76" s="82">
        <f t="shared" si="28"/>
        <v>45957</v>
      </c>
      <c r="T76" s="81">
        <v>45957</v>
      </c>
      <c r="U76" s="78">
        <f t="shared" si="29"/>
        <v>46083</v>
      </c>
      <c r="V76" s="81">
        <v>45978</v>
      </c>
      <c r="W76" s="81">
        <v>45979</v>
      </c>
      <c r="X76" s="81">
        <v>45979</v>
      </c>
      <c r="Y76" s="81">
        <v>45992</v>
      </c>
      <c r="Z76" s="81">
        <v>45979</v>
      </c>
      <c r="AA76" s="81">
        <v>46031</v>
      </c>
      <c r="AB76" s="81">
        <v>46037</v>
      </c>
      <c r="AC76" s="81">
        <v>46031</v>
      </c>
      <c r="AD76" s="81">
        <v>46035</v>
      </c>
      <c r="AE76" s="81"/>
      <c r="AF76" s="83" t="str">
        <f>IF(VLOOKUP(A76,'Date Calcs'!A:AH,34,0)="","N/A",VLOOKUP(A76,'Date Calcs'!A:AH,34,0))</f>
        <v>N/A</v>
      </c>
      <c r="AG76" s="76"/>
      <c r="AH76" s="84"/>
      <c r="AI76" s="85"/>
    </row>
    <row r="77" spans="1:35" x14ac:dyDescent="0.25">
      <c r="A77" s="77" t="str">
        <f>'Date Calcs'!A78</f>
        <v>25-094</v>
      </c>
      <c r="B77" s="78" t="str">
        <f t="shared" si="21"/>
        <v>Y</v>
      </c>
      <c r="C77" s="78" t="str">
        <f t="shared" si="22"/>
        <v>Y</v>
      </c>
      <c r="D77" s="78" t="str">
        <f t="shared" si="23"/>
        <v>Y</v>
      </c>
      <c r="E77" s="78" t="str">
        <f t="shared" si="24"/>
        <v>Y</v>
      </c>
      <c r="F77" s="77">
        <f t="shared" si="25"/>
        <v>1</v>
      </c>
      <c r="G77" s="79" t="str">
        <f t="shared" si="26"/>
        <v>y</v>
      </c>
      <c r="H77" s="80">
        <v>45936</v>
      </c>
      <c r="I77" s="86"/>
      <c r="J77" s="81">
        <v>45979</v>
      </c>
      <c r="K77" s="86"/>
      <c r="L77" s="86"/>
      <c r="M77" s="86"/>
      <c r="N77" s="86"/>
      <c r="O77" s="86"/>
      <c r="P77" s="81" t="s">
        <v>68</v>
      </c>
      <c r="Q77" s="81" t="s">
        <v>68</v>
      </c>
      <c r="R77" s="70">
        <f t="shared" si="27"/>
        <v>2</v>
      </c>
      <c r="S77" s="82">
        <f t="shared" si="28"/>
        <v>45979</v>
      </c>
      <c r="T77" s="81">
        <v>45979</v>
      </c>
      <c r="U77" s="78">
        <f t="shared" si="29"/>
        <v>46077</v>
      </c>
      <c r="V77" s="81">
        <v>45982</v>
      </c>
      <c r="W77" s="81">
        <v>45982</v>
      </c>
      <c r="X77" s="81">
        <v>45982</v>
      </c>
      <c r="Y77" s="81">
        <f>AD77-7</f>
        <v>45993</v>
      </c>
      <c r="Z77" s="81">
        <v>45982</v>
      </c>
      <c r="AA77" s="81">
        <v>45992</v>
      </c>
      <c r="AB77" s="81"/>
      <c r="AC77" s="81"/>
      <c r="AD77" s="81">
        <v>46000</v>
      </c>
      <c r="AE77" s="81">
        <v>45678</v>
      </c>
      <c r="AF77" s="83" t="str">
        <f>IF(VLOOKUP(A77,'Date Calcs'!A:AH,34,0)="","N/A",VLOOKUP(A77,'Date Calcs'!A:AH,34,0))</f>
        <v>N/A</v>
      </c>
      <c r="AG77" s="76"/>
      <c r="AH77" s="84"/>
      <c r="AI77" s="85"/>
    </row>
    <row r="78" spans="1:35" x14ac:dyDescent="0.25">
      <c r="A78" s="77" t="str">
        <f>'Date Calcs'!A79</f>
        <v>25-095</v>
      </c>
      <c r="B78" s="78" t="str">
        <f t="shared" si="21"/>
        <v>Y</v>
      </c>
      <c r="C78" s="78" t="str">
        <f t="shared" si="22"/>
        <v>Y</v>
      </c>
      <c r="D78" s="78" t="str">
        <f t="shared" si="23"/>
        <v>Y</v>
      </c>
      <c r="E78" s="78" t="str">
        <f t="shared" si="24"/>
        <v>Y</v>
      </c>
      <c r="F78" s="77">
        <f t="shared" si="25"/>
        <v>3</v>
      </c>
      <c r="G78" s="79" t="str">
        <f t="shared" si="26"/>
        <v xml:space="preserve">  </v>
      </c>
      <c r="H78" s="80">
        <v>45946</v>
      </c>
      <c r="I78" s="81">
        <v>45973</v>
      </c>
      <c r="J78" s="81">
        <v>45980</v>
      </c>
      <c r="K78" s="81">
        <v>46055</v>
      </c>
      <c r="L78" s="81">
        <v>46066</v>
      </c>
      <c r="M78" s="81">
        <v>46108</v>
      </c>
      <c r="N78" s="81">
        <v>46114</v>
      </c>
      <c r="O78" s="86"/>
      <c r="P78" s="81" t="s">
        <v>68</v>
      </c>
      <c r="Q78" s="81" t="s">
        <v>68</v>
      </c>
      <c r="R78" s="70">
        <f t="shared" si="27"/>
        <v>4</v>
      </c>
      <c r="S78" s="82" t="str">
        <f t="shared" si="28"/>
        <v>-</v>
      </c>
      <c r="T78" s="86"/>
      <c r="U78" s="78">
        <f t="shared" si="29"/>
        <v>0</v>
      </c>
      <c r="V78" s="81" t="s">
        <v>68</v>
      </c>
      <c r="W78" s="81" t="s">
        <v>68</v>
      </c>
      <c r="X78" s="81" t="s">
        <v>68</v>
      </c>
      <c r="Y78" s="81"/>
      <c r="Z78" s="81" t="s">
        <v>68</v>
      </c>
      <c r="AA78" s="86"/>
      <c r="AB78" s="86"/>
      <c r="AC78" s="86"/>
      <c r="AD78" s="86"/>
      <c r="AE78" s="81">
        <v>46022</v>
      </c>
      <c r="AF78" s="83" t="str">
        <f>IF(VLOOKUP(A78,'Date Calcs'!A:AH,34,0)="","N/A",VLOOKUP(A78,'Date Calcs'!A:AH,34,0))</f>
        <v>N/A</v>
      </c>
      <c r="AG78" s="76"/>
      <c r="AH78" s="84"/>
      <c r="AI78" s="85"/>
    </row>
    <row r="79" spans="1:35" x14ac:dyDescent="0.25">
      <c r="A79" s="77" t="str">
        <f>'Date Calcs'!A80</f>
        <v>25-096</v>
      </c>
      <c r="B79" s="78" t="str">
        <f t="shared" si="21"/>
        <v>Y</v>
      </c>
      <c r="C79" s="78" t="str">
        <f t="shared" si="22"/>
        <v>Y</v>
      </c>
      <c r="D79" s="78" t="str">
        <f t="shared" si="23"/>
        <v>Y</v>
      </c>
      <c r="E79" s="78" t="str">
        <f t="shared" si="24"/>
        <v>Y</v>
      </c>
      <c r="F79" s="77">
        <f t="shared" si="25"/>
        <v>1</v>
      </c>
      <c r="G79" s="79" t="str">
        <f t="shared" si="26"/>
        <v>y</v>
      </c>
      <c r="H79" s="80">
        <v>45945</v>
      </c>
      <c r="I79" s="81">
        <v>45946</v>
      </c>
      <c r="J79" s="81">
        <v>45953</v>
      </c>
      <c r="K79" s="86"/>
      <c r="L79" s="86"/>
      <c r="M79" s="86"/>
      <c r="N79" s="86"/>
      <c r="O79" s="86"/>
      <c r="P79" s="81">
        <v>45925</v>
      </c>
      <c r="Q79" s="81">
        <v>45925</v>
      </c>
      <c r="R79" s="70">
        <f t="shared" si="27"/>
        <v>2</v>
      </c>
      <c r="S79" s="82">
        <f t="shared" si="28"/>
        <v>45953</v>
      </c>
      <c r="T79" s="81">
        <v>45953</v>
      </c>
      <c r="U79" s="78">
        <f t="shared" si="29"/>
        <v>46030</v>
      </c>
      <c r="V79" s="81">
        <v>45964</v>
      </c>
      <c r="W79" s="81">
        <v>228585</v>
      </c>
      <c r="X79" s="81">
        <v>45965</v>
      </c>
      <c r="Y79" s="81">
        <f t="shared" ref="Y79:Y80" si="31">AD79-7</f>
        <v>45992</v>
      </c>
      <c r="Z79" s="81">
        <v>45965</v>
      </c>
      <c r="AA79" s="81">
        <v>45992</v>
      </c>
      <c r="AB79" s="81"/>
      <c r="AC79" s="81"/>
      <c r="AD79" s="81">
        <v>45999</v>
      </c>
      <c r="AE79" s="81">
        <v>46029</v>
      </c>
      <c r="AF79" s="83" t="str">
        <f>IF(VLOOKUP(A79,'Date Calcs'!A:AH,34,0)="","N/A",VLOOKUP(A79,'Date Calcs'!A:AH,34,0))</f>
        <v>N/A</v>
      </c>
      <c r="AG79" s="76"/>
      <c r="AH79" s="84"/>
      <c r="AI79" s="85"/>
    </row>
    <row r="80" spans="1:35" x14ac:dyDescent="0.25">
      <c r="A80" s="77" t="str">
        <f>'Date Calcs'!A81</f>
        <v>25-097</v>
      </c>
      <c r="B80" s="78" t="str">
        <f t="shared" si="21"/>
        <v>Y</v>
      </c>
      <c r="C80" s="78" t="str">
        <f t="shared" si="22"/>
        <v>Y</v>
      </c>
      <c r="D80" s="78" t="str">
        <f t="shared" si="23"/>
        <v>Y</v>
      </c>
      <c r="E80" s="78" t="str">
        <f t="shared" si="24"/>
        <v>Y</v>
      </c>
      <c r="F80" s="77">
        <f t="shared" si="25"/>
        <v>1</v>
      </c>
      <c r="G80" s="79" t="str">
        <f t="shared" si="26"/>
        <v>y</v>
      </c>
      <c r="H80" s="80">
        <v>45945</v>
      </c>
      <c r="I80" s="81">
        <v>45946</v>
      </c>
      <c r="J80" s="81">
        <v>45953</v>
      </c>
      <c r="K80" s="86"/>
      <c r="L80" s="86"/>
      <c r="M80" s="86"/>
      <c r="N80" s="86"/>
      <c r="O80" s="86"/>
      <c r="P80" s="81">
        <v>45925</v>
      </c>
      <c r="Q80" s="81">
        <v>45925</v>
      </c>
      <c r="R80" s="70">
        <f t="shared" si="27"/>
        <v>2</v>
      </c>
      <c r="S80" s="82">
        <f t="shared" si="28"/>
        <v>45953</v>
      </c>
      <c r="T80" s="81">
        <v>45953</v>
      </c>
      <c r="U80" s="78">
        <f t="shared" si="29"/>
        <v>46030</v>
      </c>
      <c r="V80" s="81">
        <v>45964</v>
      </c>
      <c r="W80" s="81">
        <v>228585</v>
      </c>
      <c r="X80" s="81">
        <v>45965</v>
      </c>
      <c r="Y80" s="81">
        <f t="shared" si="31"/>
        <v>45992</v>
      </c>
      <c r="Z80" s="81">
        <v>45965</v>
      </c>
      <c r="AA80" s="81">
        <v>45992</v>
      </c>
      <c r="AB80" s="81"/>
      <c r="AC80" s="81"/>
      <c r="AD80" s="81">
        <v>45999</v>
      </c>
      <c r="AE80" s="81">
        <v>46029</v>
      </c>
      <c r="AF80" s="83" t="str">
        <f>IF(VLOOKUP(A80,'Date Calcs'!A:AH,34,0)="","N/A",VLOOKUP(A80,'Date Calcs'!A:AH,34,0))</f>
        <v>N/A</v>
      </c>
      <c r="AG80" s="76"/>
      <c r="AH80" s="84"/>
      <c r="AI80" s="85"/>
    </row>
    <row r="81" spans="1:35" x14ac:dyDescent="0.25">
      <c r="A81" s="77" t="str">
        <f>'Date Calcs'!A82</f>
        <v>25-098</v>
      </c>
      <c r="B81" s="78" t="str">
        <f t="shared" si="21"/>
        <v>Y</v>
      </c>
      <c r="C81" s="78" t="str">
        <f t="shared" si="22"/>
        <v>Y</v>
      </c>
      <c r="D81" s="78" t="str">
        <f t="shared" si="23"/>
        <v>Y</v>
      </c>
      <c r="E81" s="78" t="str">
        <f t="shared" si="24"/>
        <v>Y</v>
      </c>
      <c r="F81" s="77">
        <f t="shared" si="25"/>
        <v>1</v>
      </c>
      <c r="G81" s="79" t="str">
        <f t="shared" si="26"/>
        <v>y</v>
      </c>
      <c r="H81" s="80">
        <v>45952</v>
      </c>
      <c r="I81" s="81">
        <v>45954</v>
      </c>
      <c r="J81" s="81">
        <v>45960</v>
      </c>
      <c r="K81" s="86"/>
      <c r="L81" s="86"/>
      <c r="M81" s="86"/>
      <c r="N81" s="86"/>
      <c r="O81" s="86"/>
      <c r="P81" s="81">
        <v>45940</v>
      </c>
      <c r="Q81" s="81">
        <v>45937</v>
      </c>
      <c r="R81" s="70">
        <f t="shared" si="27"/>
        <v>2</v>
      </c>
      <c r="S81" s="82">
        <f t="shared" si="28"/>
        <v>45960</v>
      </c>
      <c r="T81" s="81">
        <v>45960</v>
      </c>
      <c r="U81" s="78">
        <f t="shared" si="29"/>
        <v>46128</v>
      </c>
      <c r="V81" s="81">
        <v>45972</v>
      </c>
      <c r="W81" s="81">
        <v>45972</v>
      </c>
      <c r="X81" s="81">
        <v>45974</v>
      </c>
      <c r="Y81" s="81">
        <v>46084</v>
      </c>
      <c r="Z81" s="81">
        <v>45974</v>
      </c>
      <c r="AA81" s="81">
        <v>46037</v>
      </c>
      <c r="AB81" s="81">
        <v>46035</v>
      </c>
      <c r="AC81" s="81">
        <v>46037</v>
      </c>
      <c r="AD81" s="81">
        <v>46043</v>
      </c>
      <c r="AE81" s="81"/>
      <c r="AF81" s="83" t="str">
        <f>IF(VLOOKUP(A81,'Date Calcs'!A:AH,34,0)="","N/A",VLOOKUP(A81,'Date Calcs'!A:AH,34,0))</f>
        <v>N/A</v>
      </c>
      <c r="AG81" s="76"/>
      <c r="AH81" s="84"/>
      <c r="AI81" s="85"/>
    </row>
    <row r="82" spans="1:35" x14ac:dyDescent="0.25">
      <c r="A82" s="77" t="str">
        <f>'Date Calcs'!A83</f>
        <v>25-099</v>
      </c>
      <c r="B82" s="78" t="str">
        <f t="shared" si="21"/>
        <v>Y</v>
      </c>
      <c r="C82" s="78" t="str">
        <f t="shared" si="22"/>
        <v>Y</v>
      </c>
      <c r="D82" s="78" t="str">
        <f t="shared" si="23"/>
        <v>Y</v>
      </c>
      <c r="E82" s="78" t="str">
        <f t="shared" si="24"/>
        <v>Y</v>
      </c>
      <c r="F82" s="77">
        <f t="shared" si="25"/>
        <v>1</v>
      </c>
      <c r="G82" s="79" t="str">
        <f t="shared" si="26"/>
        <v>y</v>
      </c>
      <c r="H82" s="80">
        <v>45959</v>
      </c>
      <c r="I82" s="81">
        <v>45959</v>
      </c>
      <c r="J82" s="81">
        <v>45966</v>
      </c>
      <c r="K82" s="86"/>
      <c r="L82" s="86"/>
      <c r="M82" s="86"/>
      <c r="N82" s="86"/>
      <c r="O82" s="86"/>
      <c r="P82" s="81">
        <v>45943</v>
      </c>
      <c r="Q82" s="81">
        <v>45940</v>
      </c>
      <c r="R82" s="70">
        <f t="shared" si="27"/>
        <v>2</v>
      </c>
      <c r="S82" s="82">
        <f t="shared" si="28"/>
        <v>45966</v>
      </c>
      <c r="T82" s="81">
        <v>45966</v>
      </c>
      <c r="U82" s="78">
        <f t="shared" si="29"/>
        <v>46078</v>
      </c>
      <c r="V82" s="81">
        <v>45974</v>
      </c>
      <c r="W82" s="81">
        <v>45974</v>
      </c>
      <c r="X82" s="81">
        <v>45974</v>
      </c>
      <c r="Y82" s="81">
        <v>45980</v>
      </c>
      <c r="Z82" s="81">
        <v>45974</v>
      </c>
      <c r="AA82" s="81">
        <v>46038</v>
      </c>
      <c r="AB82" s="81">
        <v>46044</v>
      </c>
      <c r="AC82" s="81">
        <v>46044</v>
      </c>
      <c r="AD82" s="81">
        <v>46045</v>
      </c>
      <c r="AE82" s="81">
        <v>46106</v>
      </c>
      <c r="AF82" s="83" t="str">
        <f>IF(VLOOKUP(A82,'Date Calcs'!A:AH,34,0)="","N/A",VLOOKUP(A82,'Date Calcs'!A:AH,34,0))</f>
        <v>N/A</v>
      </c>
      <c r="AG82" s="76"/>
      <c r="AH82" s="84"/>
      <c r="AI82" s="85"/>
    </row>
    <row r="83" spans="1:35" x14ac:dyDescent="0.25">
      <c r="A83" s="77" t="str">
        <f>'Date Calcs'!A84</f>
        <v>25-101</v>
      </c>
      <c r="B83" s="78" t="str">
        <f t="shared" si="21"/>
        <v>Y</v>
      </c>
      <c r="C83" s="78" t="str">
        <f t="shared" si="22"/>
        <v>Y</v>
      </c>
      <c r="D83" s="78" t="str">
        <f t="shared" si="23"/>
        <v>Y</v>
      </c>
      <c r="E83" s="78" t="str">
        <f t="shared" si="24"/>
        <v>Y</v>
      </c>
      <c r="F83" s="77">
        <f t="shared" si="25"/>
        <v>1</v>
      </c>
      <c r="G83" s="79" t="str">
        <f t="shared" si="26"/>
        <v>y</v>
      </c>
      <c r="H83" s="80">
        <v>45981</v>
      </c>
      <c r="I83" s="81">
        <v>45992</v>
      </c>
      <c r="J83" s="81">
        <v>45999</v>
      </c>
      <c r="K83" s="86"/>
      <c r="L83" s="86"/>
      <c r="M83" s="86"/>
      <c r="N83" s="86"/>
      <c r="O83" s="86"/>
      <c r="P83" s="81">
        <v>45961</v>
      </c>
      <c r="Q83" s="81">
        <v>45960</v>
      </c>
      <c r="R83" s="70">
        <f t="shared" si="27"/>
        <v>2</v>
      </c>
      <c r="S83" s="82">
        <f t="shared" si="28"/>
        <v>45999</v>
      </c>
      <c r="T83" s="81">
        <v>45999</v>
      </c>
      <c r="U83" s="78">
        <f t="shared" si="29"/>
        <v>46125</v>
      </c>
      <c r="V83" s="81">
        <v>46001</v>
      </c>
      <c r="W83" s="81">
        <v>46001</v>
      </c>
      <c r="X83" s="81">
        <v>46007</v>
      </c>
      <c r="Y83" s="81">
        <v>46063</v>
      </c>
      <c r="Z83" s="81">
        <v>46007</v>
      </c>
      <c r="AA83" s="81">
        <v>46041</v>
      </c>
      <c r="AB83" s="81">
        <v>46038</v>
      </c>
      <c r="AC83" s="81">
        <v>46041</v>
      </c>
      <c r="AD83" s="81">
        <v>46043</v>
      </c>
      <c r="AE83" s="81"/>
      <c r="AF83" s="83" t="str">
        <f>IF(VLOOKUP(A83,'Date Calcs'!A:AH,34,0)="","N/A",VLOOKUP(A83,'Date Calcs'!A:AH,34,0))</f>
        <v>N/A</v>
      </c>
      <c r="AG83" s="76"/>
      <c r="AH83" s="84"/>
      <c r="AI83" s="85"/>
    </row>
    <row r="84" spans="1:35" x14ac:dyDescent="0.25">
      <c r="A84" s="77" t="str">
        <f>'Date Calcs'!A85</f>
        <v>25-102</v>
      </c>
      <c r="B84" s="78" t="str">
        <f t="shared" si="21"/>
        <v>Y</v>
      </c>
      <c r="C84" s="78" t="str">
        <f t="shared" si="22"/>
        <v>Y</v>
      </c>
      <c r="D84" s="78" t="str">
        <f t="shared" si="23"/>
        <v>Y</v>
      </c>
      <c r="E84" s="78" t="str">
        <f t="shared" si="24"/>
        <v>N</v>
      </c>
      <c r="F84" s="77">
        <f t="shared" si="25"/>
        <v>2</v>
      </c>
      <c r="G84" s="79" t="str">
        <f t="shared" si="26"/>
        <v>y</v>
      </c>
      <c r="H84" s="80">
        <v>46003</v>
      </c>
      <c r="I84" s="81">
        <v>46034</v>
      </c>
      <c r="J84" s="81">
        <v>46041</v>
      </c>
      <c r="K84" s="81">
        <v>46055</v>
      </c>
      <c r="L84" s="81">
        <v>46057</v>
      </c>
      <c r="M84" s="81">
        <v>46072</v>
      </c>
      <c r="N84" s="86"/>
      <c r="O84" s="86"/>
      <c r="P84" s="81">
        <v>45986</v>
      </c>
      <c r="Q84" s="81">
        <v>45985</v>
      </c>
      <c r="R84" s="70">
        <f t="shared" si="27"/>
        <v>3</v>
      </c>
      <c r="S84" s="82">
        <f t="shared" si="28"/>
        <v>46077</v>
      </c>
      <c r="T84" s="81">
        <v>46077</v>
      </c>
      <c r="U84" s="78">
        <f t="shared" si="29"/>
        <v>46203</v>
      </c>
      <c r="V84" s="81">
        <v>46080</v>
      </c>
      <c r="W84" s="81">
        <v>46080</v>
      </c>
      <c r="X84" s="81">
        <v>46083</v>
      </c>
      <c r="Y84" s="86"/>
      <c r="Z84" s="81">
        <v>46083</v>
      </c>
      <c r="AA84" s="81"/>
      <c r="AB84" s="81">
        <v>46092</v>
      </c>
      <c r="AC84" s="81"/>
      <c r="AD84" s="81"/>
      <c r="AE84" s="81"/>
      <c r="AF84" s="83" t="str">
        <f>IF(VLOOKUP(A84,'Date Calcs'!A:AH,34,0)="","N/A",VLOOKUP(A84,'Date Calcs'!A:AH,34,0))</f>
        <v>N/A</v>
      </c>
      <c r="AG84" s="76"/>
      <c r="AH84" s="84"/>
      <c r="AI84" s="85"/>
    </row>
    <row r="85" spans="1:35" x14ac:dyDescent="0.25">
      <c r="A85" s="77" t="str">
        <f>'Date Calcs'!A86</f>
        <v>25-103</v>
      </c>
      <c r="B85" s="78" t="str">
        <f t="shared" si="21"/>
        <v>Y</v>
      </c>
      <c r="C85" s="78" t="str">
        <f t="shared" si="22"/>
        <v>Y</v>
      </c>
      <c r="D85" s="78" t="str">
        <f t="shared" si="23"/>
        <v>Y</v>
      </c>
      <c r="E85" s="78" t="str">
        <f t="shared" si="24"/>
        <v>N</v>
      </c>
      <c r="F85" s="77">
        <f t="shared" si="25"/>
        <v>2</v>
      </c>
      <c r="G85" s="79" t="str">
        <f t="shared" si="26"/>
        <v>y</v>
      </c>
      <c r="H85" s="80">
        <v>46003</v>
      </c>
      <c r="I85" s="81">
        <v>46034</v>
      </c>
      <c r="J85" s="81">
        <v>46044</v>
      </c>
      <c r="K85" s="81">
        <v>46055</v>
      </c>
      <c r="L85" s="81">
        <v>46057</v>
      </c>
      <c r="M85" s="81">
        <v>46072</v>
      </c>
      <c r="N85" s="86"/>
      <c r="O85" s="86"/>
      <c r="P85" s="81">
        <v>45986</v>
      </c>
      <c r="Q85" s="81">
        <v>45985</v>
      </c>
      <c r="R85" s="70">
        <f t="shared" si="27"/>
        <v>3</v>
      </c>
      <c r="S85" s="82">
        <f t="shared" si="28"/>
        <v>46072</v>
      </c>
      <c r="T85" s="81">
        <v>46072</v>
      </c>
      <c r="U85" s="78">
        <f t="shared" si="29"/>
        <v>46198</v>
      </c>
      <c r="V85" s="81">
        <v>46073</v>
      </c>
      <c r="W85" s="81">
        <v>46073</v>
      </c>
      <c r="X85" s="81">
        <v>46076</v>
      </c>
      <c r="Y85" s="86"/>
      <c r="Z85" s="81">
        <v>46076</v>
      </c>
      <c r="AA85" s="81"/>
      <c r="AB85" s="81">
        <v>46082</v>
      </c>
      <c r="AC85" s="81">
        <v>46085</v>
      </c>
      <c r="AD85" s="81"/>
      <c r="AE85" s="81"/>
      <c r="AF85" s="83" t="str">
        <f>IF(VLOOKUP(A85,'Date Calcs'!A:AH,34,0)="","N/A",VLOOKUP(A85,'Date Calcs'!A:AH,34,0))</f>
        <v>N/A</v>
      </c>
      <c r="AG85" s="76"/>
      <c r="AH85" s="84"/>
      <c r="AI85" s="85"/>
    </row>
    <row r="86" spans="1:35" x14ac:dyDescent="0.25">
      <c r="A86" s="77" t="str">
        <f>'Date Calcs'!A87</f>
        <v>25-104</v>
      </c>
      <c r="B86" s="78" t="str">
        <f t="shared" si="21"/>
        <v>Y</v>
      </c>
      <c r="C86" s="78" t="str">
        <f t="shared" si="22"/>
        <v>Y</v>
      </c>
      <c r="D86" s="78" t="str">
        <f t="shared" si="23"/>
        <v>Y</v>
      </c>
      <c r="E86" s="78" t="str">
        <f t="shared" si="24"/>
        <v>N</v>
      </c>
      <c r="F86" s="77">
        <f t="shared" si="25"/>
        <v>2</v>
      </c>
      <c r="G86" s="79" t="str">
        <f t="shared" si="26"/>
        <v>y</v>
      </c>
      <c r="H86" s="80">
        <v>46003</v>
      </c>
      <c r="I86" s="81">
        <v>46034</v>
      </c>
      <c r="J86" s="81">
        <v>46044</v>
      </c>
      <c r="K86" s="81">
        <v>46055</v>
      </c>
      <c r="L86" s="81">
        <v>46057</v>
      </c>
      <c r="M86" s="81">
        <v>46072</v>
      </c>
      <c r="N86" s="86"/>
      <c r="O86" s="86"/>
      <c r="P86" s="81">
        <v>45986</v>
      </c>
      <c r="Q86" s="81">
        <v>45985</v>
      </c>
      <c r="R86" s="70">
        <f t="shared" si="27"/>
        <v>3</v>
      </c>
      <c r="S86" s="82">
        <f t="shared" si="28"/>
        <v>46072</v>
      </c>
      <c r="T86" s="81">
        <v>46072</v>
      </c>
      <c r="U86" s="78">
        <f t="shared" si="29"/>
        <v>46198</v>
      </c>
      <c r="V86" s="81">
        <v>46076</v>
      </c>
      <c r="W86" s="81">
        <v>46076</v>
      </c>
      <c r="X86" s="81">
        <v>46076</v>
      </c>
      <c r="Y86" s="86"/>
      <c r="Z86" s="81">
        <v>46076</v>
      </c>
      <c r="AA86" s="81"/>
      <c r="AB86" s="81">
        <v>46083</v>
      </c>
      <c r="AC86" s="81">
        <v>46085</v>
      </c>
      <c r="AD86" s="81"/>
      <c r="AE86" s="81"/>
      <c r="AF86" s="83" t="str">
        <f>IF(VLOOKUP(A86,'Date Calcs'!A:AH,34,0)="","N/A",VLOOKUP(A86,'Date Calcs'!A:AH,34,0))</f>
        <v>N/A</v>
      </c>
      <c r="AG86" s="76"/>
      <c r="AH86" s="84"/>
      <c r="AI86" s="85"/>
    </row>
    <row r="87" spans="1:35" x14ac:dyDescent="0.25">
      <c r="A87" s="77" t="str">
        <f>'Date Calcs'!A88</f>
        <v>25-105</v>
      </c>
      <c r="B87" s="78" t="str">
        <f t="shared" si="21"/>
        <v>Y</v>
      </c>
      <c r="C87" s="78" t="str">
        <f t="shared" si="22"/>
        <v>Y</v>
      </c>
      <c r="D87" s="78" t="str">
        <f t="shared" si="23"/>
        <v>Y</v>
      </c>
      <c r="E87" s="78" t="str">
        <f t="shared" si="24"/>
        <v>N</v>
      </c>
      <c r="F87" s="77">
        <f t="shared" si="25"/>
        <v>2</v>
      </c>
      <c r="G87" s="79" t="str">
        <f t="shared" si="26"/>
        <v>y</v>
      </c>
      <c r="H87" s="80">
        <v>46003</v>
      </c>
      <c r="I87" s="81">
        <v>46034</v>
      </c>
      <c r="J87" s="81">
        <v>46050</v>
      </c>
      <c r="K87" s="81">
        <v>46055</v>
      </c>
      <c r="L87" s="81">
        <v>46057</v>
      </c>
      <c r="M87" s="81">
        <v>46072</v>
      </c>
      <c r="N87" s="86"/>
      <c r="O87" s="86"/>
      <c r="P87" s="81">
        <v>45986</v>
      </c>
      <c r="Q87" s="81">
        <v>45985</v>
      </c>
      <c r="R87" s="70">
        <f t="shared" si="27"/>
        <v>3</v>
      </c>
      <c r="S87" s="82">
        <f t="shared" si="28"/>
        <v>46072</v>
      </c>
      <c r="T87" s="81">
        <v>46072</v>
      </c>
      <c r="U87" s="78">
        <f t="shared" si="29"/>
        <v>46198</v>
      </c>
      <c r="V87" s="81">
        <v>46078</v>
      </c>
      <c r="W87" s="81">
        <v>46078</v>
      </c>
      <c r="X87" s="81">
        <v>46079</v>
      </c>
      <c r="Y87" s="81"/>
      <c r="Z87" s="81">
        <v>46079</v>
      </c>
      <c r="AA87" s="81"/>
      <c r="AB87" s="81"/>
      <c r="AC87" s="81">
        <v>46085</v>
      </c>
      <c r="AD87" s="81"/>
      <c r="AE87" s="81"/>
      <c r="AF87" s="83" t="str">
        <f>IF(VLOOKUP(A87,'Date Calcs'!A:AH,34,0)="","N/A",VLOOKUP(A87,'Date Calcs'!A:AH,34,0))</f>
        <v>N/A</v>
      </c>
      <c r="AG87" s="76"/>
      <c r="AH87" s="84"/>
      <c r="AI87" s="85"/>
    </row>
    <row r="88" spans="1:35" x14ac:dyDescent="0.25">
      <c r="A88" s="77" t="str">
        <f>'Date Calcs'!A89</f>
        <v>25-106</v>
      </c>
      <c r="B88" s="78" t="str">
        <f t="shared" si="21"/>
        <v>Y</v>
      </c>
      <c r="C88" s="78" t="str">
        <f t="shared" si="22"/>
        <v>Y</v>
      </c>
      <c r="D88" s="78" t="str">
        <f t="shared" si="23"/>
        <v>Y</v>
      </c>
      <c r="E88" s="78" t="str">
        <f t="shared" si="24"/>
        <v>N</v>
      </c>
      <c r="F88" s="77">
        <f t="shared" si="25"/>
        <v>2</v>
      </c>
      <c r="G88" s="79" t="str">
        <f t="shared" si="26"/>
        <v>y</v>
      </c>
      <c r="H88" s="80">
        <v>46003</v>
      </c>
      <c r="I88" s="81">
        <v>46034</v>
      </c>
      <c r="J88" s="81">
        <v>46050</v>
      </c>
      <c r="K88" s="81">
        <v>46055</v>
      </c>
      <c r="L88" s="81">
        <v>46058</v>
      </c>
      <c r="M88" s="81">
        <v>46072</v>
      </c>
      <c r="N88" s="86"/>
      <c r="O88" s="86"/>
      <c r="P88" s="81">
        <v>45986</v>
      </c>
      <c r="Q88" s="81">
        <v>45985</v>
      </c>
      <c r="R88" s="70">
        <f t="shared" si="27"/>
        <v>3</v>
      </c>
      <c r="S88" s="82">
        <f t="shared" si="28"/>
        <v>46077</v>
      </c>
      <c r="T88" s="81">
        <v>46077</v>
      </c>
      <c r="U88" s="78">
        <f t="shared" si="29"/>
        <v>46203</v>
      </c>
      <c r="V88" s="81">
        <v>46085</v>
      </c>
      <c r="W88" s="81">
        <v>46085</v>
      </c>
      <c r="X88" s="81">
        <v>46085</v>
      </c>
      <c r="Y88" s="86"/>
      <c r="Z88" s="81">
        <v>46085</v>
      </c>
      <c r="AA88" s="81"/>
      <c r="AB88" s="81"/>
      <c r="AC88" s="81"/>
      <c r="AD88" s="81"/>
      <c r="AE88" s="81"/>
      <c r="AF88" s="83" t="str">
        <f>IF(VLOOKUP(A88,'Date Calcs'!A:AH,34,0)="","N/A",VLOOKUP(A88,'Date Calcs'!A:AH,34,0))</f>
        <v>N/A</v>
      </c>
      <c r="AG88" s="76"/>
      <c r="AH88" s="84"/>
      <c r="AI88" s="85"/>
    </row>
    <row r="89" spans="1:35" x14ac:dyDescent="0.25">
      <c r="A89" s="77" t="str">
        <f>'Date Calcs'!A90</f>
        <v>25-107</v>
      </c>
      <c r="B89" s="78" t="str">
        <f t="shared" si="21"/>
        <v>Y</v>
      </c>
      <c r="C89" s="78" t="str">
        <f t="shared" si="22"/>
        <v>Y</v>
      </c>
      <c r="D89" s="78" t="str">
        <f t="shared" si="23"/>
        <v>Y</v>
      </c>
      <c r="E89" s="78" t="str">
        <f t="shared" si="24"/>
        <v>Y</v>
      </c>
      <c r="F89" s="77">
        <f t="shared" si="25"/>
        <v>3</v>
      </c>
      <c r="G89" s="79" t="str">
        <f t="shared" si="26"/>
        <v>y</v>
      </c>
      <c r="H89" s="80">
        <v>45987</v>
      </c>
      <c r="I89" s="81">
        <v>46055</v>
      </c>
      <c r="J89" s="81">
        <v>46078</v>
      </c>
      <c r="K89" s="81">
        <v>46093</v>
      </c>
      <c r="L89" s="81">
        <v>46106</v>
      </c>
      <c r="M89" s="81">
        <v>46107</v>
      </c>
      <c r="N89" s="81">
        <v>46111</v>
      </c>
      <c r="O89" s="86"/>
      <c r="P89" s="81">
        <v>46065</v>
      </c>
      <c r="Q89" s="81">
        <v>46033</v>
      </c>
      <c r="R89" s="70">
        <f t="shared" si="27"/>
        <v>4</v>
      </c>
      <c r="S89" s="82">
        <f t="shared" si="28"/>
        <v>46111</v>
      </c>
      <c r="T89" s="81">
        <v>46111</v>
      </c>
      <c r="U89" s="78">
        <f t="shared" si="29"/>
        <v>46237</v>
      </c>
      <c r="V89" s="86"/>
      <c r="W89" s="86"/>
      <c r="X89" s="86"/>
      <c r="Y89" s="86"/>
      <c r="Z89" s="86"/>
      <c r="AA89" s="81"/>
      <c r="AB89" s="81"/>
      <c r="AC89" s="81"/>
      <c r="AD89" s="81"/>
      <c r="AE89" s="81"/>
      <c r="AF89" s="83" t="str">
        <f>IF(VLOOKUP(A89,'Date Calcs'!A:AH,34,0)="","N/A",VLOOKUP(A89,'Date Calcs'!A:AH,34,0))</f>
        <v>N/A</v>
      </c>
      <c r="AG89" s="76"/>
      <c r="AH89" s="84"/>
      <c r="AI89" s="85"/>
    </row>
    <row r="90" spans="1:35" x14ac:dyDescent="0.25">
      <c r="A90" s="77" t="str">
        <f>'Date Calcs'!A91</f>
        <v>25-108</v>
      </c>
      <c r="B90" s="78" t="str">
        <f t="shared" si="21"/>
        <v>Y</v>
      </c>
      <c r="C90" s="78" t="str">
        <f t="shared" si="22"/>
        <v>Y</v>
      </c>
      <c r="D90" s="78" t="str">
        <f t="shared" si="23"/>
        <v>N</v>
      </c>
      <c r="E90" s="78" t="str">
        <f t="shared" si="24"/>
        <v>Y</v>
      </c>
      <c r="F90" s="77">
        <f t="shared" si="25"/>
        <v>1</v>
      </c>
      <c r="G90" s="79" t="str">
        <f t="shared" si="26"/>
        <v xml:space="preserve">  </v>
      </c>
      <c r="H90" s="80">
        <v>45987</v>
      </c>
      <c r="I90" s="81">
        <v>46055</v>
      </c>
      <c r="J90" s="81">
        <v>46064</v>
      </c>
      <c r="K90" s="81">
        <v>46093</v>
      </c>
      <c r="L90" s="86"/>
      <c r="M90" s="86"/>
      <c r="N90" s="86"/>
      <c r="O90" s="86"/>
      <c r="P90" s="81">
        <v>46065</v>
      </c>
      <c r="Q90" s="81">
        <v>46033</v>
      </c>
      <c r="R90" s="70">
        <f t="shared" si="27"/>
        <v>2</v>
      </c>
      <c r="S90" s="82" t="str">
        <f t="shared" si="28"/>
        <v>-</v>
      </c>
      <c r="T90" s="86"/>
      <c r="U90" s="78">
        <f t="shared" si="29"/>
        <v>0</v>
      </c>
      <c r="V90" s="86"/>
      <c r="W90" s="86"/>
      <c r="X90" s="86"/>
      <c r="Y90" s="86"/>
      <c r="Z90" s="86"/>
      <c r="AA90" s="81"/>
      <c r="AB90" s="81"/>
      <c r="AC90" s="81"/>
      <c r="AD90" s="81"/>
      <c r="AE90" s="81"/>
      <c r="AF90" s="83" t="str">
        <f>IF(VLOOKUP(A90,'Date Calcs'!A:AH,34,0)="","N/A",VLOOKUP(A90,'Date Calcs'!A:AH,34,0))</f>
        <v>N/A</v>
      </c>
      <c r="AG90" s="76"/>
      <c r="AH90" s="84"/>
      <c r="AI90" s="85"/>
    </row>
    <row r="91" spans="1:35" x14ac:dyDescent="0.25">
      <c r="A91" s="77" t="str">
        <f>'Date Calcs'!A92</f>
        <v>25-109</v>
      </c>
      <c r="B91" s="78" t="str">
        <f t="shared" si="21"/>
        <v>Y</v>
      </c>
      <c r="C91" s="78" t="str">
        <f t="shared" si="22"/>
        <v>Y</v>
      </c>
      <c r="D91" s="78" t="str">
        <f t="shared" si="23"/>
        <v>Y</v>
      </c>
      <c r="E91" s="78" t="str">
        <f t="shared" si="24"/>
        <v>Y</v>
      </c>
      <c r="F91" s="77">
        <f t="shared" si="25"/>
        <v>3</v>
      </c>
      <c r="G91" s="79" t="str">
        <f t="shared" si="26"/>
        <v>y</v>
      </c>
      <c r="H91" s="80">
        <v>45987</v>
      </c>
      <c r="I91" s="81">
        <v>46003</v>
      </c>
      <c r="J91" s="81">
        <v>46010</v>
      </c>
      <c r="K91" s="81">
        <v>46034</v>
      </c>
      <c r="L91" s="81">
        <v>46041</v>
      </c>
      <c r="M91" s="81">
        <v>46045</v>
      </c>
      <c r="N91" s="81">
        <v>46052</v>
      </c>
      <c r="O91" s="81">
        <v>46072</v>
      </c>
      <c r="P91" s="81">
        <v>45972</v>
      </c>
      <c r="Q91" s="81">
        <v>45967</v>
      </c>
      <c r="R91" s="70">
        <f t="shared" si="27"/>
        <v>4</v>
      </c>
      <c r="S91" s="82">
        <f t="shared" si="28"/>
        <v>46072</v>
      </c>
      <c r="T91" s="81">
        <v>46072</v>
      </c>
      <c r="U91" s="78">
        <f t="shared" si="29"/>
        <v>46198</v>
      </c>
      <c r="V91" s="81">
        <v>46042</v>
      </c>
      <c r="W91" s="81">
        <v>46042</v>
      </c>
      <c r="X91" s="81">
        <v>46043</v>
      </c>
      <c r="Y91" s="81">
        <v>46069</v>
      </c>
      <c r="Z91" s="81">
        <v>46043</v>
      </c>
      <c r="AA91" s="81">
        <v>46114</v>
      </c>
      <c r="AB91" s="81">
        <v>46094</v>
      </c>
      <c r="AC91" s="81">
        <v>46085</v>
      </c>
      <c r="AD91" s="81">
        <v>46115</v>
      </c>
      <c r="AE91" s="81"/>
      <c r="AF91" s="83" t="str">
        <f>IF(VLOOKUP(A91,'Date Calcs'!A:AH,34,0)="","N/A",VLOOKUP(A91,'Date Calcs'!A:AH,34,0))</f>
        <v>N/A</v>
      </c>
      <c r="AG91" s="76"/>
      <c r="AH91" s="84"/>
      <c r="AI91" s="85"/>
    </row>
    <row r="92" spans="1:35" x14ac:dyDescent="0.25">
      <c r="A92" s="77" t="str">
        <f>'Date Calcs'!A93</f>
        <v>25-110</v>
      </c>
      <c r="B92" s="78" t="str">
        <f t="shared" si="21"/>
        <v>Y</v>
      </c>
      <c r="C92" s="78" t="str">
        <f t="shared" si="22"/>
        <v>Y</v>
      </c>
      <c r="D92" s="78" t="str">
        <f t="shared" si="23"/>
        <v>Y</v>
      </c>
      <c r="E92" s="78" t="str">
        <f t="shared" si="24"/>
        <v>Y</v>
      </c>
      <c r="F92" s="77">
        <f t="shared" si="25"/>
        <v>3</v>
      </c>
      <c r="G92" s="79" t="str">
        <f t="shared" si="26"/>
        <v>y</v>
      </c>
      <c r="H92" s="80">
        <v>45987</v>
      </c>
      <c r="I92" s="81">
        <v>46003</v>
      </c>
      <c r="J92" s="81">
        <v>46013</v>
      </c>
      <c r="K92" s="81">
        <v>46034</v>
      </c>
      <c r="L92" s="81">
        <v>46041</v>
      </c>
      <c r="M92" s="81">
        <v>46045</v>
      </c>
      <c r="N92" s="81">
        <v>46052</v>
      </c>
      <c r="O92" s="86"/>
      <c r="P92" s="81">
        <v>45968</v>
      </c>
      <c r="Q92" s="81">
        <v>45967</v>
      </c>
      <c r="R92" s="70">
        <f t="shared" si="27"/>
        <v>4</v>
      </c>
      <c r="S92" s="82">
        <f t="shared" si="28"/>
        <v>46077</v>
      </c>
      <c r="T92" s="81">
        <v>46077</v>
      </c>
      <c r="U92" s="78">
        <f t="shared" si="29"/>
        <v>46203</v>
      </c>
      <c r="V92" s="81">
        <v>46043</v>
      </c>
      <c r="W92" s="81">
        <v>46043</v>
      </c>
      <c r="X92" s="81">
        <v>46055</v>
      </c>
      <c r="Y92" s="81">
        <v>46069</v>
      </c>
      <c r="Z92" s="81">
        <v>46055</v>
      </c>
      <c r="AA92" s="81">
        <v>46113</v>
      </c>
      <c r="AB92" s="81">
        <v>46094</v>
      </c>
      <c r="AC92" s="81">
        <v>46085</v>
      </c>
      <c r="AD92" s="81">
        <v>46115</v>
      </c>
      <c r="AE92" s="81"/>
      <c r="AF92" s="83" t="str">
        <f>IF(VLOOKUP(A92,'Date Calcs'!A:AH,34,0)="","N/A",VLOOKUP(A92,'Date Calcs'!A:AH,34,0))</f>
        <v>N/A</v>
      </c>
      <c r="AG92" s="76"/>
      <c r="AH92" s="84"/>
      <c r="AI92" s="85"/>
    </row>
    <row r="93" spans="1:35" x14ac:dyDescent="0.25">
      <c r="A93" s="77" t="str">
        <f>'Date Calcs'!A94</f>
        <v>25-111</v>
      </c>
      <c r="B93" s="78" t="str">
        <f t="shared" si="21"/>
        <v>Y</v>
      </c>
      <c r="C93" s="78" t="str">
        <f t="shared" si="22"/>
        <v>Y</v>
      </c>
      <c r="D93" s="78" t="str">
        <f t="shared" si="23"/>
        <v>Y</v>
      </c>
      <c r="E93" s="78" t="str">
        <f t="shared" si="24"/>
        <v>Y</v>
      </c>
      <c r="F93" s="77">
        <f t="shared" si="25"/>
        <v>3</v>
      </c>
      <c r="G93" s="79" t="str">
        <f t="shared" si="26"/>
        <v>y</v>
      </c>
      <c r="H93" s="80">
        <v>45987</v>
      </c>
      <c r="I93" s="81">
        <v>46003</v>
      </c>
      <c r="J93" s="81">
        <v>46010</v>
      </c>
      <c r="K93" s="81">
        <v>46034</v>
      </c>
      <c r="L93" s="81">
        <v>46043</v>
      </c>
      <c r="M93" s="81">
        <v>46045</v>
      </c>
      <c r="N93" s="81">
        <v>46052</v>
      </c>
      <c r="O93" s="86"/>
      <c r="P93" s="81">
        <v>45992</v>
      </c>
      <c r="Q93" s="81">
        <v>45971</v>
      </c>
      <c r="R93" s="70">
        <f t="shared" si="27"/>
        <v>4</v>
      </c>
      <c r="S93" s="82">
        <f t="shared" si="28"/>
        <v>46077</v>
      </c>
      <c r="T93" s="81">
        <v>46077</v>
      </c>
      <c r="U93" s="78">
        <f t="shared" si="29"/>
        <v>46203</v>
      </c>
      <c r="V93" s="81">
        <v>46085</v>
      </c>
      <c r="W93" s="81">
        <v>46085</v>
      </c>
      <c r="X93" s="81">
        <v>46090</v>
      </c>
      <c r="Y93" s="86"/>
      <c r="Z93" s="81">
        <v>46090</v>
      </c>
      <c r="AA93" s="81">
        <v>46112</v>
      </c>
      <c r="AB93" s="81"/>
      <c r="AC93" s="81">
        <v>46085</v>
      </c>
      <c r="AD93" s="81"/>
      <c r="AE93" s="81"/>
      <c r="AF93" s="83" t="str">
        <f>IF(VLOOKUP(A93,'Date Calcs'!A:AH,34,0)="","N/A",VLOOKUP(A93,'Date Calcs'!A:AH,34,0))</f>
        <v>N/A</v>
      </c>
      <c r="AG93" s="76"/>
      <c r="AH93" s="84"/>
      <c r="AI93" s="85"/>
    </row>
    <row r="94" spans="1:35" x14ac:dyDescent="0.25">
      <c r="A94" s="77" t="str">
        <f>'Date Calcs'!A95</f>
        <v>25-112</v>
      </c>
      <c r="B94" s="78" t="str">
        <f t="shared" si="21"/>
        <v>Y</v>
      </c>
      <c r="C94" s="78" t="str">
        <f t="shared" si="22"/>
        <v>Y</v>
      </c>
      <c r="D94" s="78" t="str">
        <f t="shared" si="23"/>
        <v>Y</v>
      </c>
      <c r="E94" s="78" t="str">
        <f t="shared" si="24"/>
        <v>Y</v>
      </c>
      <c r="F94" s="77">
        <f t="shared" si="25"/>
        <v>3</v>
      </c>
      <c r="G94" s="79" t="str">
        <f t="shared" si="26"/>
        <v>y</v>
      </c>
      <c r="H94" s="80">
        <v>45987</v>
      </c>
      <c r="I94" s="81">
        <v>46003</v>
      </c>
      <c r="J94" s="81">
        <v>46010</v>
      </c>
      <c r="K94" s="81">
        <v>46034</v>
      </c>
      <c r="L94" s="81">
        <v>46043</v>
      </c>
      <c r="M94" s="81">
        <v>46045</v>
      </c>
      <c r="N94" s="81">
        <v>46052</v>
      </c>
      <c r="O94" s="86"/>
      <c r="P94" s="81">
        <v>45992</v>
      </c>
      <c r="Q94" s="81">
        <v>45971</v>
      </c>
      <c r="R94" s="70">
        <f t="shared" si="27"/>
        <v>4</v>
      </c>
      <c r="S94" s="82">
        <f t="shared" si="28"/>
        <v>46077</v>
      </c>
      <c r="T94" s="81">
        <v>46077</v>
      </c>
      <c r="U94" s="78">
        <f t="shared" si="29"/>
        <v>46203</v>
      </c>
      <c r="V94" s="81">
        <v>46085</v>
      </c>
      <c r="W94" s="81">
        <v>46085</v>
      </c>
      <c r="X94" s="81">
        <v>46090</v>
      </c>
      <c r="Y94" s="86"/>
      <c r="Z94" s="81">
        <v>46090</v>
      </c>
      <c r="AA94" s="81"/>
      <c r="AB94" s="81"/>
      <c r="AC94" s="81">
        <v>46085</v>
      </c>
      <c r="AD94" s="81"/>
      <c r="AE94" s="81"/>
      <c r="AF94" s="83" t="str">
        <f>IF(VLOOKUP(A94,'Date Calcs'!A:AH,34,0)="","N/A",VLOOKUP(A94,'Date Calcs'!A:AH,34,0))</f>
        <v>N/A</v>
      </c>
      <c r="AG94" s="76"/>
      <c r="AH94" s="84"/>
      <c r="AI94" s="85"/>
    </row>
    <row r="95" spans="1:35" x14ac:dyDescent="0.25">
      <c r="A95" s="77" t="str">
        <f>'Date Calcs'!A96</f>
        <v>25-113</v>
      </c>
      <c r="B95" s="78" t="str">
        <f t="shared" si="21"/>
        <v>Y</v>
      </c>
      <c r="C95" s="78" t="str">
        <f t="shared" si="22"/>
        <v>Y</v>
      </c>
      <c r="D95" s="78" t="str">
        <f t="shared" si="23"/>
        <v>Y</v>
      </c>
      <c r="E95" s="78" t="str">
        <f t="shared" si="24"/>
        <v>N</v>
      </c>
      <c r="F95" s="77">
        <f t="shared" si="25"/>
        <v>2</v>
      </c>
      <c r="G95" s="79" t="str">
        <f t="shared" si="26"/>
        <v>y</v>
      </c>
      <c r="H95" s="80">
        <v>46003</v>
      </c>
      <c r="I95" s="81">
        <v>46034</v>
      </c>
      <c r="J95" s="81">
        <v>46041</v>
      </c>
      <c r="K95" s="81">
        <v>46055</v>
      </c>
      <c r="L95" s="81">
        <v>46058</v>
      </c>
      <c r="M95" s="81">
        <v>46100</v>
      </c>
      <c r="N95" s="86"/>
      <c r="O95" s="86"/>
      <c r="P95" s="81">
        <v>45992</v>
      </c>
      <c r="Q95" s="81">
        <v>45971</v>
      </c>
      <c r="R95" s="70">
        <f t="shared" si="27"/>
        <v>3</v>
      </c>
      <c r="S95" s="82">
        <f t="shared" si="28"/>
        <v>46100</v>
      </c>
      <c r="T95" s="81">
        <v>46100</v>
      </c>
      <c r="U95" s="78">
        <f t="shared" si="29"/>
        <v>46226</v>
      </c>
      <c r="V95" s="81">
        <v>46106</v>
      </c>
      <c r="W95" s="81">
        <v>46106</v>
      </c>
      <c r="X95" s="81">
        <v>46113</v>
      </c>
      <c r="Y95" s="86"/>
      <c r="Z95" s="81">
        <v>46113</v>
      </c>
      <c r="AA95" s="81">
        <v>46113</v>
      </c>
      <c r="AB95" s="81"/>
      <c r="AC95" s="81"/>
      <c r="AD95" s="81"/>
      <c r="AE95" s="81"/>
      <c r="AF95" s="83" t="str">
        <f>IF(VLOOKUP(A95,'Date Calcs'!A:AH,34,0)="","N/A",VLOOKUP(A95,'Date Calcs'!A:AH,34,0))</f>
        <v>N/A</v>
      </c>
      <c r="AG95" s="76"/>
      <c r="AH95" s="84"/>
      <c r="AI95" s="85"/>
    </row>
    <row r="96" spans="1:35" x14ac:dyDescent="0.25">
      <c r="A96" s="77" t="str">
        <f>'Date Calcs'!A97</f>
        <v>25-115</v>
      </c>
      <c r="B96" s="78" t="str">
        <f t="shared" si="21"/>
        <v>Y</v>
      </c>
      <c r="C96" s="78" t="str">
        <f t="shared" si="22"/>
        <v>Y</v>
      </c>
      <c r="D96" s="78" t="str">
        <f t="shared" si="23"/>
        <v>Y</v>
      </c>
      <c r="E96" s="78" t="str">
        <f t="shared" si="24"/>
        <v>N</v>
      </c>
      <c r="F96" s="77">
        <f t="shared" si="25"/>
        <v>2</v>
      </c>
      <c r="G96" s="79" t="str">
        <f t="shared" si="26"/>
        <v>y</v>
      </c>
      <c r="H96" s="80">
        <v>45987</v>
      </c>
      <c r="I96" s="81">
        <v>46034</v>
      </c>
      <c r="J96" s="81">
        <v>46043</v>
      </c>
      <c r="K96" s="81">
        <v>46045</v>
      </c>
      <c r="L96" s="81">
        <v>46052</v>
      </c>
      <c r="M96" s="81">
        <v>46072</v>
      </c>
      <c r="N96" s="86"/>
      <c r="O96" s="86"/>
      <c r="P96" s="81">
        <v>45972</v>
      </c>
      <c r="Q96" s="81">
        <v>45971</v>
      </c>
      <c r="R96" s="70">
        <f t="shared" si="27"/>
        <v>3</v>
      </c>
      <c r="S96" s="82">
        <f t="shared" si="28"/>
        <v>46072</v>
      </c>
      <c r="T96" s="81">
        <v>46072</v>
      </c>
      <c r="U96" s="78">
        <f t="shared" si="29"/>
        <v>46198</v>
      </c>
      <c r="V96" s="81">
        <v>46078</v>
      </c>
      <c r="W96" s="81">
        <v>46078</v>
      </c>
      <c r="X96" s="81">
        <v>46079</v>
      </c>
      <c r="Y96" s="81"/>
      <c r="Z96" s="81">
        <v>46079</v>
      </c>
      <c r="AA96" s="81"/>
      <c r="AB96" s="81"/>
      <c r="AC96" s="81"/>
      <c r="AD96" s="81"/>
      <c r="AE96" s="81"/>
      <c r="AF96" s="83" t="str">
        <f>IF(VLOOKUP(A96,'Date Calcs'!A:AH,34,0)="","N/A",VLOOKUP(A96,'Date Calcs'!A:AH,34,0))</f>
        <v>N/A</v>
      </c>
      <c r="AG96" s="76"/>
      <c r="AH96" s="84"/>
      <c r="AI96" s="85"/>
    </row>
    <row r="97" spans="1:35" x14ac:dyDescent="0.25">
      <c r="A97" s="77" t="str">
        <f>'Date Calcs'!A98</f>
        <v>25-116</v>
      </c>
      <c r="B97" s="78" t="str">
        <f t="shared" si="21"/>
        <v>Y</v>
      </c>
      <c r="C97" s="78" t="str">
        <f t="shared" si="22"/>
        <v>Y</v>
      </c>
      <c r="D97" s="78" t="str">
        <f t="shared" si="23"/>
        <v>Y</v>
      </c>
      <c r="E97" s="78" t="str">
        <f t="shared" si="24"/>
        <v>Y</v>
      </c>
      <c r="F97" s="77">
        <f t="shared" si="25"/>
        <v>3</v>
      </c>
      <c r="G97" s="79" t="str">
        <f t="shared" si="26"/>
        <v xml:space="preserve">  </v>
      </c>
      <c r="H97" s="80">
        <v>46010</v>
      </c>
      <c r="I97" s="81">
        <v>46024</v>
      </c>
      <c r="J97" s="81">
        <v>46031</v>
      </c>
      <c r="K97" s="81">
        <v>46065</v>
      </c>
      <c r="L97" s="81">
        <v>46100</v>
      </c>
      <c r="M97" s="81">
        <v>46104</v>
      </c>
      <c r="N97" s="81">
        <v>46113</v>
      </c>
      <c r="O97" s="81"/>
      <c r="P97" s="81">
        <v>45971</v>
      </c>
      <c r="Q97" s="81">
        <v>45971</v>
      </c>
      <c r="R97" s="70">
        <f t="shared" si="27"/>
        <v>4</v>
      </c>
      <c r="S97" s="82" t="str">
        <f t="shared" si="28"/>
        <v>-</v>
      </c>
      <c r="T97" s="81"/>
      <c r="U97" s="78">
        <f t="shared" si="29"/>
        <v>0</v>
      </c>
      <c r="V97" s="81">
        <v>46036</v>
      </c>
      <c r="W97" s="81">
        <v>46036</v>
      </c>
      <c r="X97" s="81">
        <v>46038</v>
      </c>
      <c r="Y97" s="81">
        <v>46079</v>
      </c>
      <c r="Z97" s="81">
        <v>46038</v>
      </c>
      <c r="AA97" s="81"/>
      <c r="AB97" s="81"/>
      <c r="AC97" s="81">
        <v>46085</v>
      </c>
      <c r="AD97" s="81"/>
      <c r="AE97" s="81"/>
      <c r="AF97" s="83" t="str">
        <f>IF(VLOOKUP(A97,'Date Calcs'!A:AH,34,0)="","N/A",VLOOKUP(A97,'Date Calcs'!A:AH,34,0))</f>
        <v>N/A</v>
      </c>
      <c r="AG97" s="76"/>
      <c r="AH97" s="84"/>
      <c r="AI97" s="85"/>
    </row>
    <row r="98" spans="1:35" x14ac:dyDescent="0.25">
      <c r="A98" s="77" t="str">
        <f>'Date Calcs'!A99</f>
        <v>25-117</v>
      </c>
      <c r="B98" s="78" t="str">
        <f t="shared" si="21"/>
        <v>Y</v>
      </c>
      <c r="C98" s="78" t="str">
        <f t="shared" si="22"/>
        <v>Y</v>
      </c>
      <c r="D98" s="78" t="str">
        <f t="shared" si="23"/>
        <v>Y</v>
      </c>
      <c r="E98" s="78" t="str">
        <f t="shared" si="24"/>
        <v>Y</v>
      </c>
      <c r="F98" s="77">
        <f t="shared" si="25"/>
        <v>2</v>
      </c>
      <c r="G98" s="79" t="str">
        <f t="shared" si="26"/>
        <v>y</v>
      </c>
      <c r="H98" s="80">
        <v>46036</v>
      </c>
      <c r="I98" s="81">
        <v>46043</v>
      </c>
      <c r="J98" s="81">
        <v>46050</v>
      </c>
      <c r="K98" s="81">
        <v>46055</v>
      </c>
      <c r="L98" s="81">
        <v>46063</v>
      </c>
      <c r="M98" s="86"/>
      <c r="N98" s="86"/>
      <c r="O98" s="86"/>
      <c r="P98" s="81">
        <v>46037</v>
      </c>
      <c r="Q98" s="81">
        <v>46037</v>
      </c>
      <c r="R98" s="70">
        <f t="shared" si="27"/>
        <v>3</v>
      </c>
      <c r="S98" s="82">
        <f t="shared" si="28"/>
        <v>46063</v>
      </c>
      <c r="T98" s="81">
        <v>46063</v>
      </c>
      <c r="U98" s="78">
        <f t="shared" si="29"/>
        <v>46203</v>
      </c>
      <c r="V98" s="81">
        <v>46065</v>
      </c>
      <c r="W98" s="81">
        <v>46065</v>
      </c>
      <c r="X98" s="81">
        <v>46069</v>
      </c>
      <c r="Y98" s="81">
        <v>46092</v>
      </c>
      <c r="Z98" s="81">
        <v>46069</v>
      </c>
      <c r="AA98" s="81">
        <v>46065</v>
      </c>
      <c r="AB98" s="81">
        <v>46071</v>
      </c>
      <c r="AC98" s="81">
        <v>46071</v>
      </c>
      <c r="AD98" s="81">
        <v>46072</v>
      </c>
      <c r="AE98" s="86"/>
      <c r="AF98" s="83" t="str">
        <f>IF(VLOOKUP(A98,'Date Calcs'!A:AH,34,0)="","N/A",VLOOKUP(A98,'Date Calcs'!A:AH,34,0))</f>
        <v>N/A</v>
      </c>
      <c r="AG98" s="76"/>
      <c r="AH98" s="84"/>
      <c r="AI98" s="85"/>
    </row>
    <row r="99" spans="1:35" x14ac:dyDescent="0.25">
      <c r="A99" s="77" t="str">
        <f>'Date Calcs'!A100</f>
        <v>25-118</v>
      </c>
      <c r="B99" s="78" t="str">
        <f t="shared" si="21"/>
        <v>Y</v>
      </c>
      <c r="C99" s="78" t="str">
        <f t="shared" si="22"/>
        <v>Y</v>
      </c>
      <c r="D99" s="78" t="str">
        <f t="shared" si="23"/>
        <v>Y</v>
      </c>
      <c r="E99" s="78" t="str">
        <f t="shared" si="24"/>
        <v>Y</v>
      </c>
      <c r="F99" s="77">
        <f t="shared" si="25"/>
        <v>2</v>
      </c>
      <c r="G99" s="79" t="str">
        <f t="shared" si="26"/>
        <v>y</v>
      </c>
      <c r="H99" s="80">
        <v>46036</v>
      </c>
      <c r="I99" s="81">
        <v>46043</v>
      </c>
      <c r="J99" s="81">
        <v>46055</v>
      </c>
      <c r="K99" s="81">
        <v>46062</v>
      </c>
      <c r="L99" s="81">
        <v>46069</v>
      </c>
      <c r="M99" s="86"/>
      <c r="N99" s="86"/>
      <c r="O99" s="86"/>
      <c r="P99" s="81">
        <v>46037</v>
      </c>
      <c r="Q99" s="81">
        <v>46037</v>
      </c>
      <c r="R99" s="70">
        <f t="shared" si="27"/>
        <v>3</v>
      </c>
      <c r="S99" s="82">
        <f t="shared" si="28"/>
        <v>46069</v>
      </c>
      <c r="T99" s="81">
        <v>46069</v>
      </c>
      <c r="U99" s="78">
        <f t="shared" si="29"/>
        <v>46209</v>
      </c>
      <c r="V99" s="81"/>
      <c r="W99" s="81"/>
      <c r="X99" s="81"/>
      <c r="Y99" s="81">
        <v>46092</v>
      </c>
      <c r="Z99" s="81">
        <v>46073</v>
      </c>
      <c r="AA99" s="81">
        <v>46070</v>
      </c>
      <c r="AB99" s="81"/>
      <c r="AC99" s="81">
        <v>46085</v>
      </c>
      <c r="AD99" s="81">
        <v>46093</v>
      </c>
      <c r="AE99" s="86"/>
      <c r="AF99" s="83" t="str">
        <f>IF(VLOOKUP(A99,'Date Calcs'!A:AH,34,0)="","N/A",VLOOKUP(A99,'Date Calcs'!A:AH,34,0))</f>
        <v>N/A</v>
      </c>
      <c r="AG99" s="76"/>
      <c r="AH99" s="84"/>
      <c r="AI99" s="85"/>
    </row>
    <row r="100" spans="1:35" x14ac:dyDescent="0.25">
      <c r="A100" s="77" t="str">
        <f>'Date Calcs'!A101</f>
        <v>25-119</v>
      </c>
      <c r="B100" s="78" t="str">
        <f t="shared" ref="B100:B131" si="32">IF(H100&gt;0,"Y","N")</f>
        <v>Y</v>
      </c>
      <c r="C100" s="78" t="str">
        <f t="shared" ref="C100:C131" si="33">IF(I100&gt;0,IF(J100&gt;0,"Y","N"),"Y")</f>
        <v>Y</v>
      </c>
      <c r="D100" s="78" t="str">
        <f t="shared" ref="D100:D131" si="34">IF(K100&gt;0,IF(L100&gt;0,"Y","N"),"Y")</f>
        <v>Y</v>
      </c>
      <c r="E100" s="78" t="str">
        <f t="shared" ref="E100:E131" si="35">IF(M100&gt;0,IF(N100&gt;0,"Y","N"),"Y")</f>
        <v>Y</v>
      </c>
      <c r="F100" s="77">
        <f t="shared" ref="F100:F131" si="36">IF(N100&gt;0,3,IF(L100&gt;0,2,IF(J100&gt;0,1,IF(H100&gt;0,0,"  "))))</f>
        <v>1</v>
      </c>
      <c r="G100" s="79" t="str">
        <f t="shared" ref="G100:G131" si="37">IF(T100=0,"  ","y")</f>
        <v>y</v>
      </c>
      <c r="H100" s="80">
        <v>45985</v>
      </c>
      <c r="I100" s="81">
        <v>45994</v>
      </c>
      <c r="J100" s="81">
        <v>45994</v>
      </c>
      <c r="K100" s="86"/>
      <c r="L100" s="86"/>
      <c r="M100" s="86"/>
      <c r="N100" s="86"/>
      <c r="O100" s="86"/>
      <c r="P100" s="81" t="s">
        <v>68</v>
      </c>
      <c r="Q100" s="81" t="s">
        <v>68</v>
      </c>
      <c r="R100" s="70">
        <f t="shared" ref="R100:R131" si="38">IF(N100&gt;0,4,IF(L100&gt;0,3,IF(J100&gt;0,2,IF(H100&gt;0,1,0))))</f>
        <v>2</v>
      </c>
      <c r="S100" s="82">
        <f t="shared" ref="S100:S131" si="39">IF(T100="","-",T100)</f>
        <v>45994</v>
      </c>
      <c r="T100" s="81">
        <v>45994</v>
      </c>
      <c r="U100" s="78">
        <f t="shared" ref="U100:U131" si="40">IFERROR(_xlfn.IFNA(IF(T100="",VLOOKUP(A100,Jobs,23,0),T100+(VLOOKUP(A100,Jobs,7,FALSE())*7)+(VLOOKUP(A100,Jobs,23,FALSE())*7)),"")," ")</f>
        <v>45994</v>
      </c>
      <c r="V100" s="81"/>
      <c r="W100" s="81"/>
      <c r="X100" s="81"/>
      <c r="Y100" s="81"/>
      <c r="Z100" s="81"/>
      <c r="AA100" s="81"/>
      <c r="AB100" s="81"/>
      <c r="AC100" s="81"/>
      <c r="AD100" s="81"/>
      <c r="AE100" s="81">
        <v>46022</v>
      </c>
      <c r="AF100" s="83" t="str">
        <f>IF(VLOOKUP(A100,'Date Calcs'!A:AH,34,0)="","N/A",VLOOKUP(A100,'Date Calcs'!A:AH,34,0))</f>
        <v>N/A</v>
      </c>
      <c r="AG100" s="76"/>
      <c r="AH100" s="84"/>
      <c r="AI100" s="85"/>
    </row>
    <row r="101" spans="1:35" x14ac:dyDescent="0.25">
      <c r="A101" s="77" t="str">
        <f>'Date Calcs'!A102</f>
        <v>25-120</v>
      </c>
      <c r="B101" s="78" t="str">
        <f t="shared" si="32"/>
        <v>Y</v>
      </c>
      <c r="C101" s="78" t="str">
        <f t="shared" si="33"/>
        <v>Y</v>
      </c>
      <c r="D101" s="78" t="str">
        <f t="shared" si="34"/>
        <v>Y</v>
      </c>
      <c r="E101" s="78" t="str">
        <f t="shared" si="35"/>
        <v>Y</v>
      </c>
      <c r="F101" s="77">
        <f t="shared" si="36"/>
        <v>3</v>
      </c>
      <c r="G101" s="79" t="str">
        <f t="shared" si="37"/>
        <v xml:space="preserve">  </v>
      </c>
      <c r="H101" s="80">
        <v>46022</v>
      </c>
      <c r="I101" s="81">
        <v>46022</v>
      </c>
      <c r="J101" s="80">
        <v>46022</v>
      </c>
      <c r="K101" s="81">
        <v>46022</v>
      </c>
      <c r="L101" s="80">
        <v>46022</v>
      </c>
      <c r="M101" s="81">
        <v>46022</v>
      </c>
      <c r="N101" s="80">
        <v>46022</v>
      </c>
      <c r="O101" s="81">
        <v>46022</v>
      </c>
      <c r="P101" s="81">
        <v>46051</v>
      </c>
      <c r="Q101" s="81">
        <v>45992</v>
      </c>
      <c r="R101" s="70">
        <f t="shared" si="38"/>
        <v>4</v>
      </c>
      <c r="S101" s="82" t="str">
        <f t="shared" si="39"/>
        <v>-</v>
      </c>
      <c r="T101" s="86"/>
      <c r="U101" s="78">
        <f t="shared" si="40"/>
        <v>0</v>
      </c>
      <c r="V101" s="81"/>
      <c r="W101" s="81"/>
      <c r="X101" s="81"/>
      <c r="Y101" s="81"/>
      <c r="Z101" s="81"/>
      <c r="AA101" s="81"/>
      <c r="AB101" s="81"/>
      <c r="AC101" s="81"/>
      <c r="AD101" s="81"/>
      <c r="AE101" s="86"/>
      <c r="AF101" s="83" t="str">
        <f>IF(VLOOKUP(A101,'Date Calcs'!A:AH,34,0)="","N/A",VLOOKUP(A101,'Date Calcs'!A:AH,34,0))</f>
        <v>N/A</v>
      </c>
      <c r="AG101" s="76"/>
      <c r="AH101" s="84"/>
      <c r="AI101" s="85"/>
    </row>
    <row r="102" spans="1:35" x14ac:dyDescent="0.25">
      <c r="A102" s="77" t="str">
        <f>'Date Calcs'!A103</f>
        <v>25-121</v>
      </c>
      <c r="B102" s="78" t="str">
        <f t="shared" si="32"/>
        <v>Y</v>
      </c>
      <c r="C102" s="78" t="str">
        <f t="shared" si="33"/>
        <v>Y</v>
      </c>
      <c r="D102" s="78" t="str">
        <f t="shared" si="34"/>
        <v>Y</v>
      </c>
      <c r="E102" s="78" t="str">
        <f t="shared" si="35"/>
        <v>Y</v>
      </c>
      <c r="F102" s="77">
        <f t="shared" si="36"/>
        <v>1</v>
      </c>
      <c r="G102" s="79" t="str">
        <f t="shared" si="37"/>
        <v xml:space="preserve">  </v>
      </c>
      <c r="H102" s="80">
        <v>46030</v>
      </c>
      <c r="I102" s="81">
        <v>46070</v>
      </c>
      <c r="J102" s="81">
        <v>46098</v>
      </c>
      <c r="K102" s="86"/>
      <c r="L102" s="86"/>
      <c r="M102" s="86"/>
      <c r="N102" s="86"/>
      <c r="O102" s="86"/>
      <c r="P102" s="81">
        <v>46008</v>
      </c>
      <c r="Q102" s="81">
        <v>46007</v>
      </c>
      <c r="R102" s="70">
        <f t="shared" si="38"/>
        <v>2</v>
      </c>
      <c r="S102" s="82" t="str">
        <f t="shared" si="39"/>
        <v>-</v>
      </c>
      <c r="T102" s="86"/>
      <c r="U102" s="78">
        <f t="shared" si="40"/>
        <v>0</v>
      </c>
      <c r="V102" s="81"/>
      <c r="W102" s="81"/>
      <c r="X102" s="81"/>
      <c r="Y102" s="81"/>
      <c r="Z102" s="81"/>
      <c r="AA102" s="81"/>
      <c r="AB102" s="81"/>
      <c r="AC102" s="81"/>
      <c r="AD102" s="81"/>
      <c r="AE102" s="86"/>
      <c r="AF102" s="83" t="str">
        <f>IF(VLOOKUP(A102,'Date Calcs'!A:AH,34,0)="","N/A",VLOOKUP(A102,'Date Calcs'!A:AH,34,0))</f>
        <v>N/A</v>
      </c>
      <c r="AG102" s="76"/>
      <c r="AH102" s="84"/>
      <c r="AI102" s="85"/>
    </row>
    <row r="103" spans="1:35" x14ac:dyDescent="0.25">
      <c r="A103" s="77" t="str">
        <f>'Date Calcs'!A104</f>
        <v>25-122</v>
      </c>
      <c r="B103" s="78" t="str">
        <f t="shared" si="32"/>
        <v>Y</v>
      </c>
      <c r="C103" s="78" t="str">
        <f t="shared" si="33"/>
        <v>Y</v>
      </c>
      <c r="D103" s="78" t="str">
        <f t="shared" si="34"/>
        <v>Y</v>
      </c>
      <c r="E103" s="78" t="str">
        <f t="shared" si="35"/>
        <v>Y</v>
      </c>
      <c r="F103" s="77">
        <f t="shared" si="36"/>
        <v>1</v>
      </c>
      <c r="G103" s="79" t="str">
        <f t="shared" si="37"/>
        <v xml:space="preserve">  </v>
      </c>
      <c r="H103" s="80">
        <v>46030</v>
      </c>
      <c r="I103" s="81">
        <v>46070</v>
      </c>
      <c r="J103" s="81">
        <v>46098</v>
      </c>
      <c r="K103" s="86"/>
      <c r="L103" s="86"/>
      <c r="M103" s="86"/>
      <c r="N103" s="86"/>
      <c r="O103" s="86"/>
      <c r="P103" s="81">
        <v>46008</v>
      </c>
      <c r="Q103" s="81">
        <v>46007</v>
      </c>
      <c r="R103" s="70">
        <f t="shared" si="38"/>
        <v>2</v>
      </c>
      <c r="S103" s="82" t="str">
        <f t="shared" si="39"/>
        <v>-</v>
      </c>
      <c r="T103" s="86"/>
      <c r="U103" s="78">
        <f t="shared" si="40"/>
        <v>0</v>
      </c>
      <c r="V103" s="81"/>
      <c r="W103" s="81"/>
      <c r="X103" s="81"/>
      <c r="Y103" s="81"/>
      <c r="Z103" s="81"/>
      <c r="AA103" s="81"/>
      <c r="AB103" s="81"/>
      <c r="AC103" s="81"/>
      <c r="AD103" s="81"/>
      <c r="AE103" s="86"/>
      <c r="AF103" s="83" t="str">
        <f>IF(VLOOKUP(A103,'Date Calcs'!A:AH,34,0)="","N/A",VLOOKUP(A103,'Date Calcs'!A:AH,34,0))</f>
        <v>N/A</v>
      </c>
      <c r="AG103" s="76"/>
      <c r="AH103" s="84"/>
      <c r="AI103" s="85"/>
    </row>
    <row r="104" spans="1:35" x14ac:dyDescent="0.25">
      <c r="A104" s="77" t="str">
        <f>'Date Calcs'!A105</f>
        <v>25-123</v>
      </c>
      <c r="B104" s="78" t="str">
        <f t="shared" si="32"/>
        <v>Y</v>
      </c>
      <c r="C104" s="78" t="str">
        <f t="shared" si="33"/>
        <v>Y</v>
      </c>
      <c r="D104" s="78" t="str">
        <f t="shared" si="34"/>
        <v>Y</v>
      </c>
      <c r="E104" s="78" t="str">
        <f t="shared" si="35"/>
        <v>Y</v>
      </c>
      <c r="F104" s="77">
        <f t="shared" si="36"/>
        <v>1</v>
      </c>
      <c r="G104" s="79" t="str">
        <f t="shared" si="37"/>
        <v xml:space="preserve">  </v>
      </c>
      <c r="H104" s="80">
        <v>46030</v>
      </c>
      <c r="I104" s="81">
        <v>46097</v>
      </c>
      <c r="J104" s="81">
        <v>46106</v>
      </c>
      <c r="K104" s="86"/>
      <c r="L104" s="86"/>
      <c r="M104" s="86"/>
      <c r="N104" s="86"/>
      <c r="O104" s="86"/>
      <c r="P104" s="81">
        <v>46008</v>
      </c>
      <c r="Q104" s="81">
        <v>46007</v>
      </c>
      <c r="R104" s="70">
        <f t="shared" si="38"/>
        <v>2</v>
      </c>
      <c r="S104" s="82" t="str">
        <f t="shared" si="39"/>
        <v>-</v>
      </c>
      <c r="T104" s="86"/>
      <c r="U104" s="78">
        <f t="shared" si="40"/>
        <v>0</v>
      </c>
      <c r="V104" s="81"/>
      <c r="W104" s="81"/>
      <c r="X104" s="81"/>
      <c r="Y104" s="81"/>
      <c r="Z104" s="81"/>
      <c r="AA104" s="81"/>
      <c r="AB104" s="81"/>
      <c r="AC104" s="81"/>
      <c r="AD104" s="81"/>
      <c r="AE104" s="86"/>
      <c r="AF104" s="83" t="str">
        <f>IF(VLOOKUP(A104,'Date Calcs'!A:AH,34,0)="","N/A",VLOOKUP(A104,'Date Calcs'!A:AH,34,0))</f>
        <v>N/A</v>
      </c>
      <c r="AG104" s="76"/>
      <c r="AH104" s="84"/>
      <c r="AI104" s="85"/>
    </row>
    <row r="105" spans="1:35" x14ac:dyDescent="0.25">
      <c r="A105" s="77" t="str">
        <f>'Date Calcs'!A106</f>
        <v>25-124</v>
      </c>
      <c r="B105" s="78" t="str">
        <f t="shared" si="32"/>
        <v>Y</v>
      </c>
      <c r="C105" s="78" t="str">
        <f t="shared" si="33"/>
        <v>Y</v>
      </c>
      <c r="D105" s="78" t="str">
        <f t="shared" si="34"/>
        <v>Y</v>
      </c>
      <c r="E105" s="78" t="str">
        <f t="shared" si="35"/>
        <v>Y</v>
      </c>
      <c r="F105" s="77">
        <f t="shared" si="36"/>
        <v>3</v>
      </c>
      <c r="G105" s="79" t="str">
        <f t="shared" si="37"/>
        <v xml:space="preserve">  </v>
      </c>
      <c r="H105" s="80">
        <v>46022</v>
      </c>
      <c r="I105" s="81">
        <v>46022</v>
      </c>
      <c r="J105" s="80">
        <v>46022</v>
      </c>
      <c r="K105" s="81">
        <v>46022</v>
      </c>
      <c r="L105" s="80">
        <v>46022</v>
      </c>
      <c r="M105" s="81">
        <v>46022</v>
      </c>
      <c r="N105" s="80">
        <v>46022</v>
      </c>
      <c r="O105" s="81">
        <v>46022</v>
      </c>
      <c r="P105" s="81">
        <v>46006</v>
      </c>
      <c r="Q105" s="81">
        <v>46002</v>
      </c>
      <c r="R105" s="70">
        <f t="shared" si="38"/>
        <v>4</v>
      </c>
      <c r="S105" s="82" t="str">
        <f t="shared" si="39"/>
        <v>-</v>
      </c>
      <c r="T105" s="86"/>
      <c r="U105" s="78">
        <f t="shared" si="40"/>
        <v>0</v>
      </c>
      <c r="V105" s="81">
        <v>46028</v>
      </c>
      <c r="W105" s="81">
        <v>46028</v>
      </c>
      <c r="X105" s="81">
        <v>46029</v>
      </c>
      <c r="Y105" s="81"/>
      <c r="Z105" s="81">
        <v>46029</v>
      </c>
      <c r="AA105" s="81">
        <v>46031</v>
      </c>
      <c r="AB105" s="81">
        <v>46032</v>
      </c>
      <c r="AC105" s="81">
        <v>46085</v>
      </c>
      <c r="AD105" s="81">
        <v>46056</v>
      </c>
      <c r="AE105" s="86"/>
      <c r="AF105" s="83" t="str">
        <f>IF(VLOOKUP(A105,'Date Calcs'!A:AH,34,0)="","N/A",VLOOKUP(A105,'Date Calcs'!A:AH,34,0))</f>
        <v>N/A</v>
      </c>
      <c r="AG105" s="76"/>
      <c r="AH105" s="84"/>
      <c r="AI105" s="85"/>
    </row>
    <row r="106" spans="1:35" x14ac:dyDescent="0.25">
      <c r="A106" s="77" t="s">
        <v>335</v>
      </c>
      <c r="B106" s="78" t="str">
        <f t="shared" si="32"/>
        <v>Y</v>
      </c>
      <c r="C106" s="78" t="str">
        <f t="shared" si="33"/>
        <v>Y</v>
      </c>
      <c r="D106" s="78" t="str">
        <f t="shared" si="34"/>
        <v>Y</v>
      </c>
      <c r="E106" s="78" t="str">
        <f t="shared" si="35"/>
        <v>Y</v>
      </c>
      <c r="F106" s="77">
        <f t="shared" si="36"/>
        <v>2</v>
      </c>
      <c r="G106" s="79" t="str">
        <f t="shared" si="37"/>
        <v>y</v>
      </c>
      <c r="H106" s="80">
        <v>46050</v>
      </c>
      <c r="I106" s="81">
        <v>46055</v>
      </c>
      <c r="J106" s="81">
        <v>46069</v>
      </c>
      <c r="K106" s="81">
        <v>46074</v>
      </c>
      <c r="L106" s="81">
        <v>46079</v>
      </c>
      <c r="M106" s="86"/>
      <c r="N106" s="86"/>
      <c r="O106" s="86"/>
      <c r="P106" s="81">
        <v>46076</v>
      </c>
      <c r="Q106" s="81">
        <v>46041</v>
      </c>
      <c r="R106" s="70">
        <f t="shared" si="38"/>
        <v>3</v>
      </c>
      <c r="S106" s="82">
        <f t="shared" si="39"/>
        <v>46079</v>
      </c>
      <c r="T106" s="81">
        <v>46079</v>
      </c>
      <c r="U106" s="78">
        <f t="shared" si="40"/>
        <v>46205</v>
      </c>
      <c r="V106" s="81">
        <v>46085</v>
      </c>
      <c r="W106" s="81">
        <v>46085</v>
      </c>
      <c r="X106" s="81">
        <v>46087</v>
      </c>
      <c r="Y106" s="81"/>
      <c r="Z106" s="81">
        <v>46087</v>
      </c>
      <c r="AA106" s="86"/>
      <c r="AB106" s="86"/>
      <c r="AC106" s="86"/>
      <c r="AD106" s="86"/>
      <c r="AE106" s="86"/>
      <c r="AF106" s="83" t="str">
        <f>IF(VLOOKUP(A106,'Date Calcs'!A:AH,34,0)="","N/A",VLOOKUP(A106,'Date Calcs'!A:AH,34,0))</f>
        <v>N/A</v>
      </c>
      <c r="AG106" s="76"/>
      <c r="AH106" s="84"/>
      <c r="AI106" s="85"/>
    </row>
    <row r="107" spans="1:35" x14ac:dyDescent="0.25">
      <c r="A107" s="77" t="str">
        <f>'Date Calcs'!A108</f>
        <v>25-357</v>
      </c>
      <c r="B107" s="78" t="str">
        <f t="shared" si="32"/>
        <v>Y</v>
      </c>
      <c r="C107" s="78" t="str">
        <f t="shared" si="33"/>
        <v>Y</v>
      </c>
      <c r="D107" s="78" t="str">
        <f t="shared" si="34"/>
        <v>Y</v>
      </c>
      <c r="E107" s="78" t="str">
        <f t="shared" si="35"/>
        <v>Y</v>
      </c>
      <c r="F107" s="77">
        <f t="shared" si="36"/>
        <v>2</v>
      </c>
      <c r="G107" s="79" t="str">
        <f t="shared" si="37"/>
        <v>y</v>
      </c>
      <c r="H107" s="80">
        <v>46051</v>
      </c>
      <c r="I107" s="81">
        <v>46064</v>
      </c>
      <c r="J107" s="81">
        <v>46080</v>
      </c>
      <c r="K107" s="81">
        <v>46107</v>
      </c>
      <c r="L107" s="81">
        <v>46113</v>
      </c>
      <c r="M107" s="86"/>
      <c r="N107" s="86"/>
      <c r="O107" s="86"/>
      <c r="P107" s="81">
        <v>46041</v>
      </c>
      <c r="Q107" s="81">
        <v>46041</v>
      </c>
      <c r="R107" s="70">
        <f t="shared" si="38"/>
        <v>3</v>
      </c>
      <c r="S107" s="82">
        <f t="shared" si="39"/>
        <v>46113</v>
      </c>
      <c r="T107" s="81">
        <v>46113</v>
      </c>
      <c r="U107" s="78">
        <f t="shared" si="40"/>
        <v>46225</v>
      </c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3" t="str">
        <f>IF(VLOOKUP(A107,'Date Calcs'!A:AH,34,0)="","N/A",VLOOKUP(A107,'Date Calcs'!A:AH,34,0))</f>
        <v>N/A</v>
      </c>
      <c r="AG107" s="76"/>
      <c r="AH107" s="84"/>
      <c r="AI107" s="85"/>
    </row>
    <row r="108" spans="1:35" x14ac:dyDescent="0.25">
      <c r="A108" s="77" t="str">
        <f>'Date Calcs'!A109</f>
        <v>25-358</v>
      </c>
      <c r="B108" s="78" t="str">
        <f t="shared" si="32"/>
        <v>Y</v>
      </c>
      <c r="C108" s="78" t="str">
        <f t="shared" si="33"/>
        <v>Y</v>
      </c>
      <c r="D108" s="78" t="str">
        <f t="shared" si="34"/>
        <v>Y</v>
      </c>
      <c r="E108" s="78" t="str">
        <f t="shared" si="35"/>
        <v>Y</v>
      </c>
      <c r="F108" s="77">
        <f t="shared" si="36"/>
        <v>2</v>
      </c>
      <c r="G108" s="79" t="str">
        <f t="shared" si="37"/>
        <v>y</v>
      </c>
      <c r="H108" s="80">
        <v>46052</v>
      </c>
      <c r="I108" s="81">
        <v>46064</v>
      </c>
      <c r="J108" s="81">
        <v>46080</v>
      </c>
      <c r="K108" s="81">
        <v>46107</v>
      </c>
      <c r="L108" s="81">
        <v>46113</v>
      </c>
      <c r="M108" s="86"/>
      <c r="N108" s="86"/>
      <c r="O108" s="86"/>
      <c r="P108" s="81">
        <v>46041</v>
      </c>
      <c r="Q108" s="81">
        <v>46041</v>
      </c>
      <c r="R108" s="70">
        <f t="shared" si="38"/>
        <v>3</v>
      </c>
      <c r="S108" s="82">
        <f t="shared" si="39"/>
        <v>46113</v>
      </c>
      <c r="T108" s="81">
        <v>46113</v>
      </c>
      <c r="U108" s="78">
        <f t="shared" si="40"/>
        <v>46225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3" t="str">
        <f>IF(VLOOKUP(A108,'Date Calcs'!A:AH,34,0)="","N/A",VLOOKUP(A108,'Date Calcs'!A:AH,34,0))</f>
        <v>N/A</v>
      </c>
      <c r="AG108" s="76"/>
      <c r="AH108" s="84"/>
      <c r="AI108" s="85"/>
    </row>
    <row r="109" spans="1:35" x14ac:dyDescent="0.25">
      <c r="A109" s="77" t="str">
        <f>'Date Calcs'!A110</f>
        <v>26-002</v>
      </c>
      <c r="B109" s="78" t="str">
        <f t="shared" si="32"/>
        <v>Y</v>
      </c>
      <c r="C109" s="78" t="str">
        <f t="shared" si="33"/>
        <v>N</v>
      </c>
      <c r="D109" s="78" t="str">
        <f t="shared" si="34"/>
        <v>Y</v>
      </c>
      <c r="E109" s="78" t="str">
        <f t="shared" si="35"/>
        <v>Y</v>
      </c>
      <c r="F109" s="77">
        <f t="shared" si="36"/>
        <v>0</v>
      </c>
      <c r="G109" s="79" t="str">
        <f t="shared" si="37"/>
        <v xml:space="preserve">  </v>
      </c>
      <c r="H109" s="80">
        <v>46059</v>
      </c>
      <c r="I109" s="80">
        <v>46097</v>
      </c>
      <c r="J109" s="86"/>
      <c r="K109" s="86"/>
      <c r="L109" s="86"/>
      <c r="M109" s="86"/>
      <c r="N109" s="86"/>
      <c r="O109" s="86"/>
      <c r="P109" s="81">
        <v>46048</v>
      </c>
      <c r="Q109" s="81">
        <v>46044</v>
      </c>
      <c r="R109" s="70">
        <f t="shared" si="38"/>
        <v>1</v>
      </c>
      <c r="S109" s="82" t="str">
        <f t="shared" si="39"/>
        <v>-</v>
      </c>
      <c r="T109" s="86"/>
      <c r="U109" s="78">
        <f t="shared" si="40"/>
        <v>0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3" t="str">
        <f>IF(VLOOKUP(A109,'Date Calcs'!A:AH,34,0)="","N/A",VLOOKUP(A109,'Date Calcs'!A:AH,34,0))</f>
        <v>N/A</v>
      </c>
      <c r="AG109" s="76"/>
      <c r="AH109" s="84"/>
      <c r="AI109" s="85"/>
    </row>
    <row r="110" spans="1:35" x14ac:dyDescent="0.25">
      <c r="A110" s="77" t="str">
        <f>'Date Calcs'!A111</f>
        <v>26-003</v>
      </c>
      <c r="B110" s="78" t="str">
        <f t="shared" si="32"/>
        <v>Y</v>
      </c>
      <c r="C110" s="78" t="str">
        <f t="shared" si="33"/>
        <v>N</v>
      </c>
      <c r="D110" s="78" t="str">
        <f t="shared" si="34"/>
        <v>Y</v>
      </c>
      <c r="E110" s="78" t="str">
        <f t="shared" si="35"/>
        <v>Y</v>
      </c>
      <c r="F110" s="77">
        <f t="shared" si="36"/>
        <v>0</v>
      </c>
      <c r="G110" s="79" t="str">
        <f t="shared" si="37"/>
        <v xml:space="preserve">  </v>
      </c>
      <c r="H110" s="80">
        <v>46059</v>
      </c>
      <c r="I110" s="80">
        <v>46097</v>
      </c>
      <c r="J110" s="86"/>
      <c r="K110" s="86"/>
      <c r="L110" s="86"/>
      <c r="M110" s="86"/>
      <c r="N110" s="86"/>
      <c r="O110" s="86"/>
      <c r="P110" s="81">
        <v>46048</v>
      </c>
      <c r="Q110" s="81">
        <v>46044</v>
      </c>
      <c r="R110" s="70">
        <f t="shared" si="38"/>
        <v>1</v>
      </c>
      <c r="S110" s="82" t="str">
        <f t="shared" si="39"/>
        <v>-</v>
      </c>
      <c r="T110" s="86"/>
      <c r="U110" s="78">
        <f t="shared" si="40"/>
        <v>0</v>
      </c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3" t="str">
        <f>IF(VLOOKUP(A110,'Date Calcs'!A:AH,34,0)="","N/A",VLOOKUP(A110,'Date Calcs'!A:AH,34,0))</f>
        <v>N/A</v>
      </c>
      <c r="AG110" s="76"/>
      <c r="AH110" s="84"/>
      <c r="AI110" s="85"/>
    </row>
    <row r="111" spans="1:35" x14ac:dyDescent="0.25">
      <c r="A111" s="77" t="str">
        <f>'Date Calcs'!A112</f>
        <v>26-004</v>
      </c>
      <c r="B111" s="78" t="str">
        <f t="shared" si="32"/>
        <v>Y</v>
      </c>
      <c r="C111" s="78" t="str">
        <f t="shared" si="33"/>
        <v>N</v>
      </c>
      <c r="D111" s="78" t="str">
        <f t="shared" si="34"/>
        <v>Y</v>
      </c>
      <c r="E111" s="78" t="str">
        <f t="shared" si="35"/>
        <v>Y</v>
      </c>
      <c r="F111" s="77">
        <f t="shared" si="36"/>
        <v>0</v>
      </c>
      <c r="G111" s="79" t="str">
        <f t="shared" si="37"/>
        <v xml:space="preserve">  </v>
      </c>
      <c r="H111" s="80">
        <v>46059</v>
      </c>
      <c r="I111" s="80">
        <v>46097</v>
      </c>
      <c r="J111" s="86"/>
      <c r="K111" s="86"/>
      <c r="L111" s="86"/>
      <c r="M111" s="86"/>
      <c r="N111" s="86"/>
      <c r="O111" s="86"/>
      <c r="P111" s="81">
        <v>46048</v>
      </c>
      <c r="Q111" s="81">
        <v>46044</v>
      </c>
      <c r="R111" s="70">
        <f t="shared" si="38"/>
        <v>1</v>
      </c>
      <c r="S111" s="82" t="str">
        <f t="shared" si="39"/>
        <v>-</v>
      </c>
      <c r="T111" s="86"/>
      <c r="U111" s="78">
        <f t="shared" si="40"/>
        <v>0</v>
      </c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3" t="str">
        <f>IF(VLOOKUP(A111,'Date Calcs'!A:AH,34,0)="","N/A",VLOOKUP(A111,'Date Calcs'!A:AH,34,0))</f>
        <v>N/A</v>
      </c>
      <c r="AG111" s="76"/>
      <c r="AH111" s="84"/>
      <c r="AI111" s="85"/>
    </row>
    <row r="112" spans="1:35" x14ac:dyDescent="0.25">
      <c r="A112" s="77" t="str">
        <f>'Date Calcs'!A113</f>
        <v>26-005</v>
      </c>
      <c r="B112" s="78" t="str">
        <f t="shared" si="32"/>
        <v>Y</v>
      </c>
      <c r="C112" s="78" t="str">
        <f t="shared" si="33"/>
        <v>Y</v>
      </c>
      <c r="D112" s="78" t="str">
        <f t="shared" si="34"/>
        <v>Y</v>
      </c>
      <c r="E112" s="78" t="str">
        <f t="shared" si="35"/>
        <v>Y</v>
      </c>
      <c r="F112" s="77">
        <f t="shared" si="36"/>
        <v>1</v>
      </c>
      <c r="G112" s="79" t="str">
        <f t="shared" si="37"/>
        <v>y</v>
      </c>
      <c r="H112" s="80">
        <v>46058</v>
      </c>
      <c r="I112" s="81">
        <v>46064</v>
      </c>
      <c r="J112" s="81">
        <v>46085</v>
      </c>
      <c r="K112" s="86"/>
      <c r="L112" s="86"/>
      <c r="M112" s="86"/>
      <c r="N112" s="86"/>
      <c r="O112" s="86"/>
      <c r="P112" s="81">
        <v>46044</v>
      </c>
      <c r="Q112" s="81">
        <v>46044</v>
      </c>
      <c r="R112" s="70">
        <f t="shared" si="38"/>
        <v>2</v>
      </c>
      <c r="S112" s="82">
        <f t="shared" si="39"/>
        <v>46085</v>
      </c>
      <c r="T112" s="81">
        <v>46085</v>
      </c>
      <c r="U112" s="78">
        <f t="shared" si="40"/>
        <v>46204</v>
      </c>
      <c r="V112" s="81">
        <v>46100</v>
      </c>
      <c r="W112" s="81">
        <v>46100</v>
      </c>
      <c r="X112" s="81">
        <v>46101</v>
      </c>
      <c r="Y112" s="81"/>
      <c r="Z112" s="81">
        <v>46101</v>
      </c>
      <c r="AA112" s="86"/>
      <c r="AB112" s="86"/>
      <c r="AC112" s="86"/>
      <c r="AD112" s="86"/>
      <c r="AE112" s="86"/>
      <c r="AF112" s="83" t="str">
        <f>IF(VLOOKUP(A112,'Date Calcs'!A:AH,34,0)="","N/A",VLOOKUP(A112,'Date Calcs'!A:AH,34,0))</f>
        <v>N/A</v>
      </c>
      <c r="AG112" s="76"/>
      <c r="AH112" s="84"/>
      <c r="AI112" s="85"/>
    </row>
    <row r="113" spans="1:35" x14ac:dyDescent="0.25">
      <c r="A113" s="77" t="str">
        <f>'Date Calcs'!A114</f>
        <v>26-014</v>
      </c>
      <c r="B113" s="78" t="str">
        <f t="shared" si="32"/>
        <v>Y</v>
      </c>
      <c r="C113" s="78" t="str">
        <f t="shared" si="33"/>
        <v>N</v>
      </c>
      <c r="D113" s="78" t="str">
        <f t="shared" si="34"/>
        <v>Y</v>
      </c>
      <c r="E113" s="78" t="str">
        <f t="shared" si="35"/>
        <v>Y</v>
      </c>
      <c r="F113" s="77">
        <f t="shared" si="36"/>
        <v>0</v>
      </c>
      <c r="G113" s="79" t="str">
        <f t="shared" si="37"/>
        <v xml:space="preserve">  </v>
      </c>
      <c r="H113" s="80">
        <v>46064</v>
      </c>
      <c r="I113" s="81">
        <v>46107</v>
      </c>
      <c r="J113" s="86"/>
      <c r="K113" s="86"/>
      <c r="L113" s="86"/>
      <c r="M113" s="86"/>
      <c r="N113" s="86"/>
      <c r="O113" s="86"/>
      <c r="P113" s="81">
        <v>46049</v>
      </c>
      <c r="Q113" s="81">
        <v>46049</v>
      </c>
      <c r="R113" s="70">
        <f t="shared" si="38"/>
        <v>1</v>
      </c>
      <c r="S113" s="82" t="str">
        <f t="shared" si="39"/>
        <v>-</v>
      </c>
      <c r="T113" s="86"/>
      <c r="U113" s="78">
        <f t="shared" si="40"/>
        <v>0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3">
        <f>IF(VLOOKUP(A113,'Date Calcs'!A:AH,34,0)="","N/A",VLOOKUP(A113,'Date Calcs'!A:AH,34,0))</f>
        <v>46116</v>
      </c>
      <c r="AG113" s="76"/>
      <c r="AH113" s="84"/>
      <c r="AI113" s="85"/>
    </row>
    <row r="114" spans="1:35" x14ac:dyDescent="0.25">
      <c r="A114" s="77" t="str">
        <f>'Date Calcs'!A115</f>
        <v>26-015</v>
      </c>
      <c r="B114" s="78" t="str">
        <f t="shared" si="32"/>
        <v>Y</v>
      </c>
      <c r="C114" s="78" t="str">
        <f t="shared" si="33"/>
        <v>N</v>
      </c>
      <c r="D114" s="78" t="str">
        <f t="shared" si="34"/>
        <v>Y</v>
      </c>
      <c r="E114" s="78" t="str">
        <f t="shared" si="35"/>
        <v>Y</v>
      </c>
      <c r="F114" s="77">
        <f t="shared" si="36"/>
        <v>0</v>
      </c>
      <c r="G114" s="79" t="str">
        <f t="shared" si="37"/>
        <v xml:space="preserve">  </v>
      </c>
      <c r="H114" s="80">
        <v>46092</v>
      </c>
      <c r="I114" s="81">
        <v>46113</v>
      </c>
      <c r="J114" s="86"/>
      <c r="K114" s="86"/>
      <c r="L114" s="86"/>
      <c r="M114" s="86"/>
      <c r="N114" s="86"/>
      <c r="O114" s="86"/>
      <c r="P114" s="81">
        <v>46077</v>
      </c>
      <c r="Q114" s="81">
        <v>46049</v>
      </c>
      <c r="R114" s="70">
        <f t="shared" si="38"/>
        <v>1</v>
      </c>
      <c r="S114" s="82" t="str">
        <f t="shared" si="39"/>
        <v>-</v>
      </c>
      <c r="T114" s="86"/>
      <c r="U114" s="78">
        <f t="shared" si="40"/>
        <v>0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3">
        <f>IF(VLOOKUP(A114,'Date Calcs'!A:AH,34,0)="","N/A",VLOOKUP(A114,'Date Calcs'!A:AH,34,0))</f>
        <v>46122</v>
      </c>
      <c r="AG114" s="76"/>
      <c r="AH114" s="84"/>
      <c r="AI114" s="85"/>
    </row>
    <row r="115" spans="1:35" x14ac:dyDescent="0.25">
      <c r="A115" s="77" t="str">
        <f>'Date Calcs'!A116</f>
        <v>26-016</v>
      </c>
      <c r="B115" s="78" t="str">
        <f t="shared" si="32"/>
        <v>Y</v>
      </c>
      <c r="C115" s="78" t="str">
        <f t="shared" si="33"/>
        <v>Y</v>
      </c>
      <c r="D115" s="78" t="str">
        <f t="shared" si="34"/>
        <v>Y</v>
      </c>
      <c r="E115" s="78" t="str">
        <f t="shared" si="35"/>
        <v>Y</v>
      </c>
      <c r="F115" s="77">
        <f t="shared" si="36"/>
        <v>0</v>
      </c>
      <c r="G115" s="79" t="str">
        <f t="shared" si="37"/>
        <v xml:space="preserve">  </v>
      </c>
      <c r="H115" s="80">
        <v>46090</v>
      </c>
      <c r="I115" s="86"/>
      <c r="J115" s="86"/>
      <c r="K115" s="86"/>
      <c r="L115" s="86"/>
      <c r="M115" s="86"/>
      <c r="N115" s="86"/>
      <c r="O115" s="86"/>
      <c r="P115" s="81">
        <v>46065</v>
      </c>
      <c r="Q115" s="81">
        <v>46049</v>
      </c>
      <c r="R115" s="70">
        <f t="shared" si="38"/>
        <v>1</v>
      </c>
      <c r="S115" s="82" t="str">
        <f t="shared" si="39"/>
        <v>-</v>
      </c>
      <c r="T115" s="86"/>
      <c r="U115" s="78">
        <f t="shared" si="40"/>
        <v>0</v>
      </c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3">
        <f>IF(VLOOKUP(A115,'Date Calcs'!A:AH,34,0)="","N/A",VLOOKUP(A115,'Date Calcs'!A:AH,34,0))</f>
        <v>46113</v>
      </c>
      <c r="AG115" s="76"/>
      <c r="AH115" s="84"/>
      <c r="AI115" s="85"/>
    </row>
    <row r="116" spans="1:35" x14ac:dyDescent="0.25">
      <c r="A116" s="77" t="str">
        <f>'Date Calcs'!A117</f>
        <v>26-017</v>
      </c>
      <c r="B116" s="78" t="str">
        <f t="shared" si="32"/>
        <v>Y</v>
      </c>
      <c r="C116" s="78" t="str">
        <f t="shared" si="33"/>
        <v>N</v>
      </c>
      <c r="D116" s="78" t="str">
        <f t="shared" si="34"/>
        <v>Y</v>
      </c>
      <c r="E116" s="78" t="str">
        <f t="shared" si="35"/>
        <v>Y</v>
      </c>
      <c r="F116" s="77">
        <f t="shared" si="36"/>
        <v>0</v>
      </c>
      <c r="G116" s="79" t="str">
        <f t="shared" si="37"/>
        <v xml:space="preserve">  </v>
      </c>
      <c r="H116" s="80">
        <v>46064</v>
      </c>
      <c r="I116" s="81">
        <v>46114</v>
      </c>
      <c r="J116" s="86"/>
      <c r="K116" s="86"/>
      <c r="L116" s="86"/>
      <c r="M116" s="86"/>
      <c r="N116" s="86"/>
      <c r="O116" s="86"/>
      <c r="P116" s="81">
        <v>46049</v>
      </c>
      <c r="Q116" s="81">
        <v>46049</v>
      </c>
      <c r="R116" s="70">
        <f t="shared" si="38"/>
        <v>1</v>
      </c>
      <c r="S116" s="82" t="str">
        <f t="shared" si="39"/>
        <v>-</v>
      </c>
      <c r="T116" s="86"/>
      <c r="U116" s="78">
        <f t="shared" si="40"/>
        <v>0</v>
      </c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3">
        <f>IF(VLOOKUP(A116,'Date Calcs'!A:AH,34,0)="","N/A",VLOOKUP(A116,'Date Calcs'!A:AH,34,0))</f>
        <v>46123</v>
      </c>
      <c r="AG116" s="76"/>
      <c r="AH116" s="84"/>
      <c r="AI116" s="85"/>
    </row>
    <row r="117" spans="1:35" x14ac:dyDescent="0.25">
      <c r="A117" s="77" t="str">
        <f>'Date Calcs'!A118</f>
        <v>26-018</v>
      </c>
      <c r="B117" s="78" t="str">
        <f t="shared" si="32"/>
        <v>Y</v>
      </c>
      <c r="C117" s="78" t="str">
        <f t="shared" si="33"/>
        <v>N</v>
      </c>
      <c r="D117" s="78" t="str">
        <f t="shared" si="34"/>
        <v>Y</v>
      </c>
      <c r="E117" s="78" t="str">
        <f t="shared" si="35"/>
        <v>Y</v>
      </c>
      <c r="F117" s="77">
        <f t="shared" si="36"/>
        <v>0</v>
      </c>
      <c r="G117" s="79" t="str">
        <f t="shared" si="37"/>
        <v xml:space="preserve">  </v>
      </c>
      <c r="H117" s="80">
        <v>46064</v>
      </c>
      <c r="I117" s="81">
        <v>46114</v>
      </c>
      <c r="J117" s="86"/>
      <c r="K117" s="81"/>
      <c r="L117" s="86"/>
      <c r="M117" s="86"/>
      <c r="N117" s="86"/>
      <c r="O117" s="86"/>
      <c r="P117" s="81">
        <v>46049</v>
      </c>
      <c r="Q117" s="81">
        <v>46049</v>
      </c>
      <c r="R117" s="70">
        <f t="shared" si="38"/>
        <v>1</v>
      </c>
      <c r="S117" s="82" t="str">
        <f t="shared" si="39"/>
        <v>-</v>
      </c>
      <c r="T117" s="86"/>
      <c r="U117" s="78">
        <f t="shared" si="40"/>
        <v>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3">
        <f>IF(VLOOKUP(A117,'Date Calcs'!A:AH,34,0)="","N/A",VLOOKUP(A117,'Date Calcs'!A:AH,34,0))</f>
        <v>46123</v>
      </c>
      <c r="AG117" s="76"/>
      <c r="AH117" s="84"/>
      <c r="AI117" s="85"/>
    </row>
    <row r="118" spans="1:35" x14ac:dyDescent="0.25">
      <c r="A118" s="77" t="str">
        <f>'Date Calcs'!A119</f>
        <v>26-020</v>
      </c>
      <c r="B118" s="78" t="str">
        <f t="shared" si="32"/>
        <v>Y</v>
      </c>
      <c r="C118" s="78" t="str">
        <f t="shared" si="33"/>
        <v>Y</v>
      </c>
      <c r="D118" s="78" t="str">
        <f t="shared" si="34"/>
        <v>Y</v>
      </c>
      <c r="E118" s="78" t="str">
        <f t="shared" si="35"/>
        <v>Y</v>
      </c>
      <c r="F118" s="77">
        <f t="shared" si="36"/>
        <v>1</v>
      </c>
      <c r="G118" s="79" t="str">
        <f t="shared" si="37"/>
        <v>y</v>
      </c>
      <c r="H118" s="80">
        <v>46087</v>
      </c>
      <c r="I118" s="81">
        <v>46090</v>
      </c>
      <c r="J118" s="81">
        <v>46093</v>
      </c>
      <c r="K118" s="81"/>
      <c r="L118" s="81"/>
      <c r="M118" s="86"/>
      <c r="N118" s="86"/>
      <c r="O118" s="86"/>
      <c r="P118" s="81">
        <v>46070</v>
      </c>
      <c r="Q118" s="81">
        <v>46070</v>
      </c>
      <c r="R118" s="70">
        <f t="shared" si="38"/>
        <v>2</v>
      </c>
      <c r="S118" s="82">
        <f t="shared" si="39"/>
        <v>46104</v>
      </c>
      <c r="T118" s="81">
        <v>46104</v>
      </c>
      <c r="U118" s="78">
        <f t="shared" si="40"/>
        <v>46230</v>
      </c>
      <c r="V118" s="81">
        <v>46111</v>
      </c>
      <c r="W118" s="81">
        <v>46111</v>
      </c>
      <c r="X118" s="81">
        <v>46113</v>
      </c>
      <c r="Y118" s="86"/>
      <c r="Z118" s="81">
        <v>46113</v>
      </c>
      <c r="AA118" s="86"/>
      <c r="AB118" s="86"/>
      <c r="AC118" s="86"/>
      <c r="AD118" s="86"/>
      <c r="AE118" s="86"/>
      <c r="AF118" s="83" t="str">
        <f>IF(VLOOKUP(A118,'Date Calcs'!A:AH,34,0)="","N/A",VLOOKUP(A118,'Date Calcs'!A:AH,34,0))</f>
        <v>N/A</v>
      </c>
      <c r="AG118" s="76"/>
      <c r="AH118" s="84"/>
      <c r="AI118" s="85"/>
    </row>
    <row r="119" spans="1:35" x14ac:dyDescent="0.25">
      <c r="A119" s="77" t="str">
        <f>'Date Calcs'!A120</f>
        <v>26-021</v>
      </c>
      <c r="B119" s="78" t="str">
        <f t="shared" si="32"/>
        <v>Y</v>
      </c>
      <c r="C119" s="78" t="str">
        <f t="shared" si="33"/>
        <v>Y</v>
      </c>
      <c r="D119" s="78" t="str">
        <f t="shared" si="34"/>
        <v>Y</v>
      </c>
      <c r="E119" s="78" t="str">
        <f t="shared" si="35"/>
        <v>Y</v>
      </c>
      <c r="F119" s="77">
        <f t="shared" si="36"/>
        <v>1</v>
      </c>
      <c r="G119" s="79" t="str">
        <f t="shared" si="37"/>
        <v>y</v>
      </c>
      <c r="H119" s="80">
        <v>46087</v>
      </c>
      <c r="I119" s="81">
        <v>46090</v>
      </c>
      <c r="J119" s="81">
        <v>46093</v>
      </c>
      <c r="K119" s="81"/>
      <c r="L119" s="86"/>
      <c r="M119" s="86"/>
      <c r="N119" s="86"/>
      <c r="O119" s="86"/>
      <c r="P119" s="81">
        <v>46070</v>
      </c>
      <c r="Q119" s="81">
        <v>46070</v>
      </c>
      <c r="R119" s="70">
        <f t="shared" si="38"/>
        <v>2</v>
      </c>
      <c r="S119" s="82">
        <f t="shared" si="39"/>
        <v>46104</v>
      </c>
      <c r="T119" s="81">
        <v>46104</v>
      </c>
      <c r="U119" s="78">
        <f t="shared" si="40"/>
        <v>46230</v>
      </c>
      <c r="V119" s="81">
        <v>46111</v>
      </c>
      <c r="W119" s="81">
        <v>46111</v>
      </c>
      <c r="X119" s="81">
        <v>46113</v>
      </c>
      <c r="Y119" s="86"/>
      <c r="Z119" s="81">
        <v>46113</v>
      </c>
      <c r="AA119" s="86"/>
      <c r="AB119" s="86"/>
      <c r="AC119" s="86"/>
      <c r="AD119" s="86"/>
      <c r="AE119" s="86"/>
      <c r="AF119" s="83" t="str">
        <f>IF(VLOOKUP(A119,'Date Calcs'!A:AH,34,0)="","N/A",VLOOKUP(A119,'Date Calcs'!A:AH,34,0))</f>
        <v>N/A</v>
      </c>
      <c r="AG119" s="76"/>
      <c r="AH119" s="84"/>
      <c r="AI119" s="85"/>
    </row>
    <row r="120" spans="1:35" x14ac:dyDescent="0.25">
      <c r="A120" s="77" t="str">
        <f>'Date Calcs'!A121</f>
        <v>26-022</v>
      </c>
      <c r="B120" s="78" t="str">
        <f t="shared" si="32"/>
        <v>Y</v>
      </c>
      <c r="C120" s="78" t="str">
        <f t="shared" si="33"/>
        <v>Y</v>
      </c>
      <c r="D120" s="78" t="str">
        <f t="shared" si="34"/>
        <v>Y</v>
      </c>
      <c r="E120" s="78" t="str">
        <f t="shared" si="35"/>
        <v>Y</v>
      </c>
      <c r="F120" s="77">
        <f t="shared" si="36"/>
        <v>1</v>
      </c>
      <c r="G120" s="79" t="str">
        <f t="shared" si="37"/>
        <v>y</v>
      </c>
      <c r="H120" s="80">
        <v>46087</v>
      </c>
      <c r="I120" s="81">
        <v>46092</v>
      </c>
      <c r="J120" s="81">
        <v>46107</v>
      </c>
      <c r="K120" s="86"/>
      <c r="L120" s="86"/>
      <c r="M120" s="86"/>
      <c r="N120" s="86"/>
      <c r="O120" s="86"/>
      <c r="P120" s="81">
        <v>46072</v>
      </c>
      <c r="Q120" s="81">
        <v>46071</v>
      </c>
      <c r="R120" s="70">
        <f t="shared" si="38"/>
        <v>2</v>
      </c>
      <c r="S120" s="82">
        <f t="shared" si="39"/>
        <v>46107</v>
      </c>
      <c r="T120" s="81">
        <v>46107</v>
      </c>
      <c r="U120" s="78">
        <f t="shared" si="40"/>
        <v>46219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3">
        <f>IF(VLOOKUP(A120,'Date Calcs'!A:AH,34,0)="","N/A",VLOOKUP(A120,'Date Calcs'!A:AH,34,0))</f>
        <v>46101</v>
      </c>
      <c r="AG120" s="76"/>
      <c r="AH120" s="84"/>
      <c r="AI120" s="85"/>
    </row>
    <row r="121" spans="1:35" x14ac:dyDescent="0.25">
      <c r="A121" s="77" t="str">
        <f>'Date Calcs'!A122</f>
        <v>26-024</v>
      </c>
      <c r="B121" s="78" t="str">
        <f>IF(H121&gt;0,"Y","N")</f>
        <v>Y</v>
      </c>
      <c r="C121" s="78" t="str">
        <f>IF(I121&gt;0,IF(J121&gt;0,"Y","N"),"Y")</f>
        <v>N</v>
      </c>
      <c r="D121" s="78" t="str">
        <f t="shared" si="34"/>
        <v>Y</v>
      </c>
      <c r="E121" s="78" t="str">
        <f t="shared" si="35"/>
        <v>Y</v>
      </c>
      <c r="F121" s="77">
        <f>IF(N121&gt;0,3,IF(L121&gt;0,2,IF(J121&gt;0,1,IF(H121&gt;0,0,"  "))))</f>
        <v>0</v>
      </c>
      <c r="G121" s="79" t="str">
        <f t="shared" si="37"/>
        <v xml:space="preserve">  </v>
      </c>
      <c r="H121" s="80">
        <v>46107</v>
      </c>
      <c r="I121" s="81">
        <v>46113</v>
      </c>
      <c r="J121" s="86"/>
      <c r="K121" s="86"/>
      <c r="L121" s="86"/>
      <c r="M121" s="86"/>
      <c r="N121" s="86"/>
      <c r="O121" s="86"/>
      <c r="P121" s="81">
        <v>46086</v>
      </c>
      <c r="Q121" s="81">
        <v>46086</v>
      </c>
      <c r="R121" s="70">
        <f>IF(N121&gt;0,4,IF(L121&gt;0,3,IF(J121&gt;0,2,IF(H121&gt;0,1,0))))</f>
        <v>1</v>
      </c>
      <c r="S121" s="82" t="str">
        <f t="shared" si="39"/>
        <v>-</v>
      </c>
      <c r="T121" s="86"/>
      <c r="U121" s="78">
        <f t="shared" si="40"/>
        <v>0</v>
      </c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3">
        <f>IF(VLOOKUP(A121,'Date Calcs'!A:AH,34,0)="","N/A",VLOOKUP(A121,'Date Calcs'!A:AH,34,0))</f>
        <v>46129</v>
      </c>
      <c r="AG121" s="76"/>
      <c r="AH121" s="84"/>
      <c r="AI121" s="85"/>
    </row>
    <row r="122" spans="1:35" x14ac:dyDescent="0.25">
      <c r="A122" s="77" t="str">
        <f>'Date Calcs'!A123</f>
        <v>26-025</v>
      </c>
      <c r="B122" s="78" t="str">
        <f t="shared" si="32"/>
        <v>Y</v>
      </c>
      <c r="C122" s="78" t="str">
        <f t="shared" si="33"/>
        <v>N</v>
      </c>
      <c r="D122" s="78" t="str">
        <f t="shared" si="34"/>
        <v>Y</v>
      </c>
      <c r="E122" s="78" t="str">
        <f t="shared" si="35"/>
        <v>Y</v>
      </c>
      <c r="F122" s="77">
        <f t="shared" si="36"/>
        <v>0</v>
      </c>
      <c r="G122" s="79" t="str">
        <f t="shared" si="37"/>
        <v xml:space="preserve">  </v>
      </c>
      <c r="H122" s="80">
        <v>46113</v>
      </c>
      <c r="I122" s="81">
        <v>46114</v>
      </c>
      <c r="J122" s="86"/>
      <c r="K122" s="86"/>
      <c r="L122" s="86"/>
      <c r="M122" s="86"/>
      <c r="N122" s="86"/>
      <c r="O122" s="86"/>
      <c r="P122" s="81">
        <v>46101</v>
      </c>
      <c r="Q122" s="81">
        <v>46100</v>
      </c>
      <c r="R122" s="70">
        <f t="shared" si="38"/>
        <v>1</v>
      </c>
      <c r="S122" s="82" t="str">
        <f t="shared" si="39"/>
        <v>-</v>
      </c>
      <c r="T122" s="86"/>
      <c r="U122" s="78">
        <f t="shared" si="40"/>
        <v>0</v>
      </c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3">
        <v>46112</v>
      </c>
      <c r="AG122" s="76"/>
      <c r="AH122" s="84"/>
      <c r="AI122" s="85"/>
    </row>
    <row r="123" spans="1:35" x14ac:dyDescent="0.25">
      <c r="A123" s="77" t="str">
        <f>'Date Calcs'!A124</f>
        <v>26-026</v>
      </c>
      <c r="B123" s="78" t="str">
        <f t="shared" si="32"/>
        <v>N</v>
      </c>
      <c r="C123" s="78" t="str">
        <f t="shared" si="33"/>
        <v>Y</v>
      </c>
      <c r="D123" s="78" t="str">
        <f t="shared" si="34"/>
        <v>Y</v>
      </c>
      <c r="E123" s="78" t="str">
        <f t="shared" si="35"/>
        <v>Y</v>
      </c>
      <c r="F123" s="77" t="str">
        <f t="shared" si="36"/>
        <v xml:space="preserve">  </v>
      </c>
      <c r="G123" s="79" t="str">
        <f t="shared" si="37"/>
        <v>y</v>
      </c>
      <c r="H123" s="86"/>
      <c r="I123" s="86"/>
      <c r="J123" s="86"/>
      <c r="K123" s="86"/>
      <c r="L123" s="86"/>
      <c r="M123" s="86"/>
      <c r="N123" s="86"/>
      <c r="O123" s="86"/>
      <c r="P123" s="81">
        <v>46099</v>
      </c>
      <c r="Q123" s="81">
        <v>46099</v>
      </c>
      <c r="R123" s="70">
        <f t="shared" si="38"/>
        <v>0</v>
      </c>
      <c r="S123" s="82">
        <f t="shared" si="39"/>
        <v>46102</v>
      </c>
      <c r="T123" s="81">
        <v>46102</v>
      </c>
      <c r="U123" s="78">
        <f t="shared" si="40"/>
        <v>46123</v>
      </c>
      <c r="V123" s="81">
        <v>46100</v>
      </c>
      <c r="W123" s="81">
        <v>46100</v>
      </c>
      <c r="X123" s="81">
        <v>46100</v>
      </c>
      <c r="Y123" s="86"/>
      <c r="Z123" s="81">
        <v>46100</v>
      </c>
      <c r="AA123" s="86"/>
      <c r="AB123" s="86"/>
      <c r="AC123" s="86"/>
      <c r="AD123" s="86"/>
      <c r="AE123" s="81">
        <v>46118</v>
      </c>
      <c r="AF123" s="83" t="str">
        <f>IF(VLOOKUP(A123,'Date Calcs'!A:AH,34,0)="","N/A",VLOOKUP(A123,'Date Calcs'!A:AH,34,0))</f>
        <v>N/A</v>
      </c>
      <c r="AG123" s="76"/>
      <c r="AH123" s="84"/>
      <c r="AI123" s="85"/>
    </row>
    <row r="124" spans="1:35" x14ac:dyDescent="0.25">
      <c r="A124" s="77" t="str">
        <f>'Date Calcs'!A125</f>
        <v>26-027</v>
      </c>
      <c r="B124" s="78" t="str">
        <f t="shared" si="32"/>
        <v>N</v>
      </c>
      <c r="C124" s="78" t="str">
        <f t="shared" si="33"/>
        <v>Y</v>
      </c>
      <c r="D124" s="78" t="str">
        <f t="shared" si="34"/>
        <v>Y</v>
      </c>
      <c r="E124" s="78" t="str">
        <f t="shared" si="35"/>
        <v>Y</v>
      </c>
      <c r="F124" s="77" t="str">
        <f t="shared" si="36"/>
        <v xml:space="preserve">  </v>
      </c>
      <c r="G124" s="79" t="str">
        <f t="shared" si="37"/>
        <v xml:space="preserve">  </v>
      </c>
      <c r="H124" s="87"/>
      <c r="I124" s="86"/>
      <c r="J124" s="86"/>
      <c r="K124" s="86"/>
      <c r="L124" s="86"/>
      <c r="M124" s="86"/>
      <c r="N124" s="86"/>
      <c r="O124" s="86"/>
      <c r="P124" s="86" t="s">
        <v>69</v>
      </c>
      <c r="Q124" s="86" t="s">
        <v>69</v>
      </c>
      <c r="R124" s="70">
        <f t="shared" si="38"/>
        <v>0</v>
      </c>
      <c r="S124" s="82" t="str">
        <f t="shared" si="39"/>
        <v>-</v>
      </c>
      <c r="T124" s="86"/>
      <c r="U124" s="78">
        <f t="shared" si="40"/>
        <v>0</v>
      </c>
      <c r="V124" s="86"/>
      <c r="W124" s="86" t="s">
        <v>69</v>
      </c>
      <c r="X124" s="86" t="s">
        <v>69</v>
      </c>
      <c r="Y124" s="86" t="s">
        <v>69</v>
      </c>
      <c r="Z124" s="86"/>
      <c r="AA124" s="86" t="s">
        <v>69</v>
      </c>
      <c r="AB124" s="86" t="s">
        <v>69</v>
      </c>
      <c r="AC124" s="86" t="s">
        <v>69</v>
      </c>
      <c r="AD124" s="86" t="s">
        <v>69</v>
      </c>
      <c r="AE124" s="86" t="s">
        <v>69</v>
      </c>
      <c r="AF124" s="83" t="str">
        <f>IF(VLOOKUP(A124,'Date Calcs'!A:AH,34,0)="","N/A",VLOOKUP(A124,'Date Calcs'!A:AH,34,0))</f>
        <v>N/A</v>
      </c>
      <c r="AG124" s="76"/>
      <c r="AH124" s="84"/>
      <c r="AI124" s="85"/>
    </row>
    <row r="125" spans="1:35" x14ac:dyDescent="0.25">
      <c r="A125" s="77" t="str">
        <f>'Date Calcs'!A126</f>
        <v>26-028</v>
      </c>
      <c r="B125" s="78" t="str">
        <f t="shared" si="32"/>
        <v>N</v>
      </c>
      <c r="C125" s="78" t="str">
        <f t="shared" si="33"/>
        <v>Y</v>
      </c>
      <c r="D125" s="78" t="str">
        <f t="shared" si="34"/>
        <v>Y</v>
      </c>
      <c r="E125" s="78" t="str">
        <f t="shared" si="35"/>
        <v>Y</v>
      </c>
      <c r="F125" s="77" t="str">
        <f t="shared" si="36"/>
        <v xml:space="preserve">  </v>
      </c>
      <c r="G125" s="79" t="str">
        <f t="shared" si="37"/>
        <v xml:space="preserve">  </v>
      </c>
      <c r="H125" s="87"/>
      <c r="I125" s="86"/>
      <c r="J125" s="86"/>
      <c r="K125" s="86"/>
      <c r="L125" s="86"/>
      <c r="M125" s="86"/>
      <c r="N125" s="86"/>
      <c r="O125" s="86"/>
      <c r="P125" s="86" t="s">
        <v>69</v>
      </c>
      <c r="Q125" s="86" t="s">
        <v>69</v>
      </c>
      <c r="R125" s="70">
        <f t="shared" si="38"/>
        <v>0</v>
      </c>
      <c r="S125" s="82" t="str">
        <f t="shared" si="39"/>
        <v>-</v>
      </c>
      <c r="T125" s="86"/>
      <c r="U125" s="78">
        <f t="shared" si="40"/>
        <v>0</v>
      </c>
      <c r="V125" s="86"/>
      <c r="W125" s="86" t="s">
        <v>69</v>
      </c>
      <c r="X125" s="86" t="s">
        <v>69</v>
      </c>
      <c r="Y125" s="86" t="s">
        <v>69</v>
      </c>
      <c r="Z125" s="86"/>
      <c r="AA125" s="86" t="s">
        <v>69</v>
      </c>
      <c r="AB125" s="86" t="s">
        <v>69</v>
      </c>
      <c r="AC125" s="86" t="s">
        <v>69</v>
      </c>
      <c r="AD125" s="86" t="s">
        <v>69</v>
      </c>
      <c r="AE125" s="86" t="s">
        <v>69</v>
      </c>
      <c r="AF125" s="83" t="str">
        <f>IF(VLOOKUP(A125,'Date Calcs'!A:AH,34,0)="","N/A",VLOOKUP(A125,'Date Calcs'!A:AH,34,0))</f>
        <v>N/A</v>
      </c>
      <c r="AG125" s="76"/>
      <c r="AH125" s="84"/>
      <c r="AI125" s="85"/>
    </row>
    <row r="126" spans="1:35" x14ac:dyDescent="0.25">
      <c r="A126" s="77" t="str">
        <f>'Date Calcs'!A127</f>
        <v>26-030</v>
      </c>
      <c r="B126" s="78" t="str">
        <f t="shared" si="32"/>
        <v>Y</v>
      </c>
      <c r="C126" s="78" t="str">
        <f t="shared" si="33"/>
        <v>N</v>
      </c>
      <c r="D126" s="78" t="str">
        <f t="shared" si="34"/>
        <v>Y</v>
      </c>
      <c r="E126" s="78" t="str">
        <f t="shared" si="35"/>
        <v>Y</v>
      </c>
      <c r="F126" s="77">
        <f t="shared" si="36"/>
        <v>0</v>
      </c>
      <c r="G126" s="79" t="str">
        <f t="shared" si="37"/>
        <v xml:space="preserve">  </v>
      </c>
      <c r="H126" s="80">
        <v>46105</v>
      </c>
      <c r="I126" s="81">
        <v>46113</v>
      </c>
      <c r="J126" s="86"/>
      <c r="K126" s="86"/>
      <c r="L126" s="86"/>
      <c r="M126" s="86"/>
      <c r="N126" s="86"/>
      <c r="O126" s="86"/>
      <c r="P126" s="81">
        <v>46106</v>
      </c>
      <c r="Q126" s="81">
        <v>46105</v>
      </c>
      <c r="R126" s="70">
        <f t="shared" si="38"/>
        <v>1</v>
      </c>
      <c r="S126" s="82" t="str">
        <f t="shared" si="39"/>
        <v>-</v>
      </c>
      <c r="T126" s="86"/>
      <c r="U126" s="78">
        <f t="shared" si="40"/>
        <v>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3">
        <f>IF(VLOOKUP(A126,'Date Calcs'!A:AH,34,0)="","N/A",VLOOKUP(A126,'Date Calcs'!A:AH,34,0))</f>
        <v>46105</v>
      </c>
      <c r="AG126" s="76"/>
      <c r="AH126" s="84"/>
      <c r="AI126" s="85"/>
    </row>
    <row r="127" spans="1:35" x14ac:dyDescent="0.25">
      <c r="A127" s="77" t="str">
        <f>'Date Calcs'!A128</f>
        <v>26-031</v>
      </c>
      <c r="B127" s="78" t="str">
        <f t="shared" si="32"/>
        <v>N</v>
      </c>
      <c r="C127" s="78" t="str">
        <f t="shared" si="33"/>
        <v>Y</v>
      </c>
      <c r="D127" s="78" t="str">
        <f t="shared" si="34"/>
        <v>Y</v>
      </c>
      <c r="E127" s="78" t="str">
        <f t="shared" si="35"/>
        <v>Y</v>
      </c>
      <c r="F127" s="77" t="str">
        <f t="shared" si="36"/>
        <v xml:space="preserve">  </v>
      </c>
      <c r="G127" s="79" t="str">
        <f t="shared" si="37"/>
        <v xml:space="preserve">  </v>
      </c>
      <c r="H127" s="87"/>
      <c r="I127" s="86"/>
      <c r="J127" s="86"/>
      <c r="K127" s="86"/>
      <c r="L127" s="86"/>
      <c r="M127" s="86"/>
      <c r="N127" s="86"/>
      <c r="O127" s="86"/>
      <c r="P127" s="81">
        <v>46108</v>
      </c>
      <c r="Q127" s="81">
        <v>46106</v>
      </c>
      <c r="R127" s="70">
        <f t="shared" si="38"/>
        <v>0</v>
      </c>
      <c r="S127" s="82" t="str">
        <f t="shared" si="39"/>
        <v>-</v>
      </c>
      <c r="T127" s="86"/>
      <c r="U127" s="78">
        <f t="shared" si="40"/>
        <v>0</v>
      </c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3">
        <f>IF(VLOOKUP(A127,'Date Calcs'!A:AH,34,0)="","N/A",VLOOKUP(A127,'Date Calcs'!A:AH,34,0))</f>
        <v>46105</v>
      </c>
      <c r="AG127" s="76"/>
      <c r="AH127" s="84"/>
      <c r="AI127" s="85"/>
    </row>
    <row r="128" spans="1:35" x14ac:dyDescent="0.25">
      <c r="A128" s="77" t="str">
        <f>'Date Calcs'!A129</f>
        <v>26-032</v>
      </c>
      <c r="B128" s="78" t="str">
        <f t="shared" si="32"/>
        <v>N</v>
      </c>
      <c r="C128" s="78" t="str">
        <f t="shared" si="33"/>
        <v>Y</v>
      </c>
      <c r="D128" s="78" t="str">
        <f t="shared" si="34"/>
        <v>Y</v>
      </c>
      <c r="E128" s="78" t="str">
        <f t="shared" si="35"/>
        <v>Y</v>
      </c>
      <c r="F128" s="77" t="str">
        <f t="shared" si="36"/>
        <v xml:space="preserve">  </v>
      </c>
      <c r="G128" s="79" t="str">
        <f t="shared" si="37"/>
        <v xml:space="preserve">  </v>
      </c>
      <c r="H128" s="87"/>
      <c r="I128" s="86"/>
      <c r="J128" s="86"/>
      <c r="K128" s="86"/>
      <c r="L128" s="86"/>
      <c r="M128" s="86"/>
      <c r="N128" s="86"/>
      <c r="O128" s="86"/>
      <c r="P128" s="86"/>
      <c r="Q128" s="81">
        <v>46105</v>
      </c>
      <c r="R128" s="70">
        <f t="shared" si="38"/>
        <v>0</v>
      </c>
      <c r="S128" s="82" t="str">
        <f t="shared" si="39"/>
        <v>-</v>
      </c>
      <c r="T128" s="86"/>
      <c r="U128" s="78">
        <f t="shared" si="40"/>
        <v>0</v>
      </c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3">
        <f>IF(VLOOKUP(A128,'Date Calcs'!A:AH,34,0)="","N/A",VLOOKUP(A128,'Date Calcs'!A:AH,34,0))</f>
        <v>46105</v>
      </c>
      <c r="AG128" s="76"/>
      <c r="AH128" s="84"/>
      <c r="AI128" s="85"/>
    </row>
    <row r="129" spans="1:35" x14ac:dyDescent="0.25">
      <c r="A129" s="77" t="str">
        <f>'Date Calcs'!A130</f>
        <v>26-033</v>
      </c>
      <c r="B129" s="78" t="str">
        <f t="shared" si="32"/>
        <v>N</v>
      </c>
      <c r="C129" s="78" t="str">
        <f t="shared" si="33"/>
        <v>Y</v>
      </c>
      <c r="D129" s="78" t="str">
        <f t="shared" si="34"/>
        <v>Y</v>
      </c>
      <c r="E129" s="78" t="str">
        <f t="shared" si="35"/>
        <v>Y</v>
      </c>
      <c r="F129" s="77" t="str">
        <f t="shared" si="36"/>
        <v xml:space="preserve">  </v>
      </c>
      <c r="G129" s="79" t="str">
        <f t="shared" si="37"/>
        <v xml:space="preserve">  </v>
      </c>
      <c r="H129" s="87"/>
      <c r="I129" s="86"/>
      <c r="J129" s="86"/>
      <c r="K129" s="86"/>
      <c r="L129" s="86"/>
      <c r="M129" s="86"/>
      <c r="N129" s="86"/>
      <c r="O129" s="86"/>
      <c r="P129" s="86" t="s">
        <v>69</v>
      </c>
      <c r="Q129" s="86" t="s">
        <v>69</v>
      </c>
      <c r="R129" s="70">
        <f t="shared" si="38"/>
        <v>0</v>
      </c>
      <c r="S129" s="82" t="str">
        <f t="shared" si="39"/>
        <v>-</v>
      </c>
      <c r="T129" s="86"/>
      <c r="U129" s="78">
        <f t="shared" si="40"/>
        <v>0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3" t="str">
        <f>IF(VLOOKUP(A129,'Date Calcs'!A:AH,34,0)="","N/A",VLOOKUP(A129,'Date Calcs'!A:AH,34,0))</f>
        <v>N/A</v>
      </c>
      <c r="AG129" s="76"/>
      <c r="AH129" s="84"/>
      <c r="AI129" s="85"/>
    </row>
    <row r="130" spans="1:35" x14ac:dyDescent="0.25">
      <c r="A130" s="77">
        <f>'Date Calcs'!A131</f>
        <v>0</v>
      </c>
      <c r="B130" s="78" t="str">
        <f t="shared" si="32"/>
        <v>N</v>
      </c>
      <c r="C130" s="78" t="str">
        <f t="shared" si="33"/>
        <v>Y</v>
      </c>
      <c r="D130" s="78" t="str">
        <f t="shared" si="34"/>
        <v>Y</v>
      </c>
      <c r="E130" s="78" t="str">
        <f t="shared" si="35"/>
        <v>Y</v>
      </c>
      <c r="F130" s="77" t="str">
        <f t="shared" si="36"/>
        <v xml:space="preserve">  </v>
      </c>
      <c r="G130" s="79" t="str">
        <f t="shared" si="37"/>
        <v xml:space="preserve">  </v>
      </c>
      <c r="H130" s="87"/>
      <c r="I130" s="86"/>
      <c r="J130" s="86"/>
      <c r="K130" s="86"/>
      <c r="L130" s="86"/>
      <c r="M130" s="86"/>
      <c r="N130" s="86"/>
      <c r="O130" s="86"/>
      <c r="P130" s="86"/>
      <c r="Q130" s="86"/>
      <c r="R130" s="70">
        <f t="shared" si="38"/>
        <v>0</v>
      </c>
      <c r="S130" s="82" t="str">
        <f t="shared" si="39"/>
        <v>-</v>
      </c>
      <c r="T130" s="86"/>
      <c r="U130" s="78" t="str">
        <f t="shared" si="40"/>
        <v/>
      </c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3"/>
      <c r="AG130" s="76"/>
      <c r="AH130" s="84"/>
      <c r="AI130" s="85"/>
    </row>
    <row r="131" spans="1:35" x14ac:dyDescent="0.25">
      <c r="A131" s="77">
        <f>'Date Calcs'!A132</f>
        <v>0</v>
      </c>
      <c r="B131" s="78" t="str">
        <f t="shared" si="32"/>
        <v>N</v>
      </c>
      <c r="C131" s="78" t="str">
        <f t="shared" si="33"/>
        <v>Y</v>
      </c>
      <c r="D131" s="78" t="str">
        <f t="shared" si="34"/>
        <v>Y</v>
      </c>
      <c r="E131" s="78" t="str">
        <f t="shared" si="35"/>
        <v>Y</v>
      </c>
      <c r="F131" s="77" t="str">
        <f t="shared" si="36"/>
        <v xml:space="preserve">  </v>
      </c>
      <c r="G131" s="79" t="str">
        <f t="shared" si="37"/>
        <v xml:space="preserve">  </v>
      </c>
      <c r="H131" s="87"/>
      <c r="I131" s="86"/>
      <c r="J131" s="86"/>
      <c r="K131" s="86"/>
      <c r="L131" s="86"/>
      <c r="M131" s="86"/>
      <c r="N131" s="86"/>
      <c r="O131" s="86"/>
      <c r="P131" s="86"/>
      <c r="Q131" s="86"/>
      <c r="R131" s="70">
        <f t="shared" si="38"/>
        <v>0</v>
      </c>
      <c r="S131" s="82" t="str">
        <f t="shared" si="39"/>
        <v>-</v>
      </c>
      <c r="T131" s="86"/>
      <c r="U131" s="78" t="str">
        <f t="shared" si="40"/>
        <v/>
      </c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3"/>
      <c r="AG131" s="76"/>
      <c r="AH131" s="84"/>
      <c r="AI131" s="85"/>
    </row>
    <row r="132" spans="1:35" x14ac:dyDescent="0.25">
      <c r="A132" s="77">
        <f>'Date Calcs'!A133</f>
        <v>0</v>
      </c>
      <c r="B132" s="78" t="str">
        <f t="shared" ref="B132:B156" si="41">IF(H132&gt;0,"Y","N")</f>
        <v>N</v>
      </c>
      <c r="C132" s="78" t="str">
        <f t="shared" ref="C132:C156" si="42">IF(I132&gt;0,IF(J132&gt;0,"Y","N"),"Y")</f>
        <v>Y</v>
      </c>
      <c r="D132" s="78" t="str">
        <f t="shared" ref="D132:D156" si="43">IF(K132&gt;0,IF(L132&gt;0,"Y","N"),"Y")</f>
        <v>Y</v>
      </c>
      <c r="E132" s="78" t="str">
        <f t="shared" ref="E132:E156" si="44">IF(M132&gt;0,IF(N132&gt;0,"Y","N"),"Y")</f>
        <v>Y</v>
      </c>
      <c r="F132" s="77" t="str">
        <f t="shared" ref="F132:F156" si="45">IF(N132&gt;0,3,IF(L132&gt;0,2,IF(J132&gt;0,1,IF(H132&gt;0,0,"  "))))</f>
        <v xml:space="preserve">  </v>
      </c>
      <c r="G132" s="79" t="str">
        <f t="shared" ref="G132:G156" si="46">IF(T132=0,"  ","y")</f>
        <v xml:space="preserve">  </v>
      </c>
      <c r="H132" s="87"/>
      <c r="I132" s="86"/>
      <c r="J132" s="86"/>
      <c r="K132" s="86"/>
      <c r="L132" s="86"/>
      <c r="M132" s="86"/>
      <c r="N132" s="86"/>
      <c r="O132" s="86"/>
      <c r="P132" s="86"/>
      <c r="Q132" s="86"/>
      <c r="R132" s="70">
        <f t="shared" ref="R132:R156" si="47">IF(N132&gt;0,4,IF(L132&gt;0,3,IF(J132&gt;0,2,IF(H132&gt;0,1,0))))</f>
        <v>0</v>
      </c>
      <c r="S132" s="82" t="str">
        <f t="shared" ref="S132:S156" si="48">IF(T132="","-",T132)</f>
        <v>-</v>
      </c>
      <c r="T132" s="86"/>
      <c r="U132" s="78" t="str">
        <f t="shared" ref="U132:U156" si="49">IFERROR(_xlfn.IFNA(IF(T132="",VLOOKUP(A132,Jobs,23,0),T132+(VLOOKUP(A132,Jobs,7,FALSE())*7)+(VLOOKUP(A132,Jobs,23,FALSE())*7)),"")," ")</f>
        <v/>
      </c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3"/>
      <c r="AG132" s="76"/>
      <c r="AH132" s="84"/>
      <c r="AI132" s="85"/>
    </row>
    <row r="133" spans="1:35" x14ac:dyDescent="0.25">
      <c r="A133" s="77">
        <f>'Date Calcs'!A134</f>
        <v>0</v>
      </c>
      <c r="B133" s="78" t="str">
        <f t="shared" si="41"/>
        <v>N</v>
      </c>
      <c r="C133" s="78" t="str">
        <f t="shared" si="42"/>
        <v>Y</v>
      </c>
      <c r="D133" s="78" t="str">
        <f t="shared" si="43"/>
        <v>Y</v>
      </c>
      <c r="E133" s="78" t="str">
        <f t="shared" si="44"/>
        <v>Y</v>
      </c>
      <c r="F133" s="77" t="str">
        <f t="shared" si="45"/>
        <v xml:space="preserve">  </v>
      </c>
      <c r="G133" s="79" t="str">
        <f t="shared" si="46"/>
        <v xml:space="preserve">  </v>
      </c>
      <c r="H133" s="87"/>
      <c r="I133" s="86"/>
      <c r="J133" s="86"/>
      <c r="K133" s="86"/>
      <c r="L133" s="86"/>
      <c r="M133" s="86"/>
      <c r="N133" s="86"/>
      <c r="O133" s="86"/>
      <c r="P133" s="86"/>
      <c r="Q133" s="86"/>
      <c r="R133" s="70">
        <f t="shared" si="47"/>
        <v>0</v>
      </c>
      <c r="S133" s="82" t="str">
        <f t="shared" si="48"/>
        <v>-</v>
      </c>
      <c r="T133" s="86"/>
      <c r="U133" s="78" t="str">
        <f t="shared" si="49"/>
        <v/>
      </c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3"/>
      <c r="AG133" s="76"/>
      <c r="AH133" s="84"/>
      <c r="AI133" s="85"/>
    </row>
    <row r="134" spans="1:35" x14ac:dyDescent="0.25">
      <c r="A134" s="77">
        <f>'Date Calcs'!A135</f>
        <v>0</v>
      </c>
      <c r="B134" s="78" t="str">
        <f t="shared" si="41"/>
        <v>N</v>
      </c>
      <c r="C134" s="78" t="str">
        <f t="shared" si="42"/>
        <v>Y</v>
      </c>
      <c r="D134" s="78" t="str">
        <f t="shared" si="43"/>
        <v>Y</v>
      </c>
      <c r="E134" s="78" t="str">
        <f t="shared" si="44"/>
        <v>Y</v>
      </c>
      <c r="F134" s="77" t="str">
        <f t="shared" si="45"/>
        <v xml:space="preserve">  </v>
      </c>
      <c r="G134" s="79" t="str">
        <f t="shared" si="46"/>
        <v xml:space="preserve">  </v>
      </c>
      <c r="H134" s="87"/>
      <c r="I134" s="86"/>
      <c r="J134" s="86"/>
      <c r="K134" s="86"/>
      <c r="L134" s="86"/>
      <c r="M134" s="86"/>
      <c r="N134" s="86"/>
      <c r="O134" s="86"/>
      <c r="P134" s="86"/>
      <c r="Q134" s="86"/>
      <c r="R134" s="70">
        <f t="shared" si="47"/>
        <v>0</v>
      </c>
      <c r="S134" s="82" t="str">
        <f t="shared" si="48"/>
        <v>-</v>
      </c>
      <c r="T134" s="86"/>
      <c r="U134" s="78" t="str">
        <f t="shared" si="49"/>
        <v/>
      </c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3"/>
      <c r="AG134" s="76"/>
      <c r="AH134" s="84"/>
      <c r="AI134" s="85"/>
    </row>
    <row r="135" spans="1:35" x14ac:dyDescent="0.25">
      <c r="A135" s="77">
        <f>'Date Calcs'!A136</f>
        <v>0</v>
      </c>
      <c r="B135" s="78" t="str">
        <f t="shared" si="41"/>
        <v>N</v>
      </c>
      <c r="C135" s="78" t="str">
        <f t="shared" si="42"/>
        <v>Y</v>
      </c>
      <c r="D135" s="78" t="str">
        <f t="shared" si="43"/>
        <v>Y</v>
      </c>
      <c r="E135" s="78" t="str">
        <f t="shared" si="44"/>
        <v>Y</v>
      </c>
      <c r="F135" s="77" t="str">
        <f t="shared" si="45"/>
        <v xml:space="preserve">  </v>
      </c>
      <c r="G135" s="79" t="str">
        <f t="shared" si="46"/>
        <v xml:space="preserve">  </v>
      </c>
      <c r="H135" s="87"/>
      <c r="I135" s="86"/>
      <c r="J135" s="86"/>
      <c r="K135" s="86"/>
      <c r="L135" s="86"/>
      <c r="M135" s="86"/>
      <c r="N135" s="86"/>
      <c r="O135" s="86"/>
      <c r="P135" s="86"/>
      <c r="Q135" s="86"/>
      <c r="R135" s="70">
        <f t="shared" si="47"/>
        <v>0</v>
      </c>
      <c r="S135" s="82" t="str">
        <f t="shared" si="48"/>
        <v>-</v>
      </c>
      <c r="T135" s="86"/>
      <c r="U135" s="78" t="str">
        <f t="shared" si="49"/>
        <v/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3"/>
      <c r="AG135" s="76"/>
      <c r="AH135" s="84"/>
      <c r="AI135" s="85"/>
    </row>
    <row r="136" spans="1:35" x14ac:dyDescent="0.25">
      <c r="A136" s="77">
        <f>'Date Calcs'!A137</f>
        <v>0</v>
      </c>
      <c r="B136" s="78" t="str">
        <f t="shared" si="41"/>
        <v>N</v>
      </c>
      <c r="C136" s="78" t="str">
        <f t="shared" si="42"/>
        <v>Y</v>
      </c>
      <c r="D136" s="78" t="str">
        <f t="shared" si="43"/>
        <v>Y</v>
      </c>
      <c r="E136" s="78" t="str">
        <f t="shared" si="44"/>
        <v>Y</v>
      </c>
      <c r="F136" s="77" t="str">
        <f t="shared" si="45"/>
        <v xml:space="preserve">  </v>
      </c>
      <c r="G136" s="79" t="str">
        <f t="shared" si="46"/>
        <v xml:space="preserve">  </v>
      </c>
      <c r="H136" s="87"/>
      <c r="I136" s="86"/>
      <c r="J136" s="86"/>
      <c r="K136" s="86"/>
      <c r="L136" s="86"/>
      <c r="M136" s="86"/>
      <c r="N136" s="86"/>
      <c r="O136" s="86"/>
      <c r="P136" s="86"/>
      <c r="Q136" s="86"/>
      <c r="R136" s="70">
        <f t="shared" si="47"/>
        <v>0</v>
      </c>
      <c r="S136" s="82" t="str">
        <f t="shared" si="48"/>
        <v>-</v>
      </c>
      <c r="T136" s="86"/>
      <c r="U136" s="78" t="str">
        <f t="shared" si="49"/>
        <v/>
      </c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3"/>
      <c r="AG136" s="76"/>
      <c r="AH136" s="84"/>
      <c r="AI136" s="85"/>
    </row>
    <row r="137" spans="1:35" x14ac:dyDescent="0.25">
      <c r="A137" s="77">
        <f>'Date Calcs'!A138</f>
        <v>0</v>
      </c>
      <c r="B137" s="78" t="str">
        <f t="shared" si="41"/>
        <v>N</v>
      </c>
      <c r="C137" s="78" t="str">
        <f t="shared" si="42"/>
        <v>Y</v>
      </c>
      <c r="D137" s="78" t="str">
        <f t="shared" si="43"/>
        <v>Y</v>
      </c>
      <c r="E137" s="78" t="str">
        <f t="shared" si="44"/>
        <v>Y</v>
      </c>
      <c r="F137" s="77" t="str">
        <f t="shared" si="45"/>
        <v xml:space="preserve">  </v>
      </c>
      <c r="G137" s="79" t="str">
        <f t="shared" si="46"/>
        <v xml:space="preserve">  </v>
      </c>
      <c r="H137" s="87"/>
      <c r="I137" s="86"/>
      <c r="J137" s="86"/>
      <c r="K137" s="86"/>
      <c r="L137" s="86"/>
      <c r="M137" s="86"/>
      <c r="N137" s="86"/>
      <c r="O137" s="86"/>
      <c r="P137" s="86"/>
      <c r="Q137" s="86"/>
      <c r="R137" s="70">
        <f t="shared" si="47"/>
        <v>0</v>
      </c>
      <c r="S137" s="82" t="str">
        <f t="shared" si="48"/>
        <v>-</v>
      </c>
      <c r="T137" s="86"/>
      <c r="U137" s="78" t="str">
        <f t="shared" si="49"/>
        <v/>
      </c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3"/>
      <c r="AG137" s="76"/>
      <c r="AH137" s="84"/>
      <c r="AI137" s="85"/>
    </row>
    <row r="138" spans="1:35" x14ac:dyDescent="0.25">
      <c r="A138" s="77">
        <f>'Date Calcs'!A139</f>
        <v>0</v>
      </c>
      <c r="B138" s="78" t="str">
        <f t="shared" si="41"/>
        <v>N</v>
      </c>
      <c r="C138" s="78" t="str">
        <f t="shared" si="42"/>
        <v>Y</v>
      </c>
      <c r="D138" s="78" t="str">
        <f t="shared" si="43"/>
        <v>Y</v>
      </c>
      <c r="E138" s="78" t="str">
        <f t="shared" si="44"/>
        <v>Y</v>
      </c>
      <c r="F138" s="77" t="str">
        <f t="shared" si="45"/>
        <v xml:space="preserve">  </v>
      </c>
      <c r="G138" s="79" t="str">
        <f t="shared" si="46"/>
        <v xml:space="preserve">  </v>
      </c>
      <c r="H138" s="87"/>
      <c r="I138" s="86"/>
      <c r="J138" s="86"/>
      <c r="K138" s="86"/>
      <c r="L138" s="86"/>
      <c r="M138" s="86"/>
      <c r="N138" s="86"/>
      <c r="O138" s="86"/>
      <c r="P138" s="86"/>
      <c r="Q138" s="86"/>
      <c r="R138" s="70">
        <f t="shared" si="47"/>
        <v>0</v>
      </c>
      <c r="S138" s="82" t="str">
        <f t="shared" si="48"/>
        <v>-</v>
      </c>
      <c r="T138" s="86"/>
      <c r="U138" s="78" t="str">
        <f t="shared" si="49"/>
        <v/>
      </c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3"/>
      <c r="AG138" s="76"/>
      <c r="AH138" s="84"/>
      <c r="AI138" s="85"/>
    </row>
    <row r="139" spans="1:35" x14ac:dyDescent="0.25">
      <c r="A139" s="77">
        <f>'Date Calcs'!A140</f>
        <v>0</v>
      </c>
      <c r="B139" s="78" t="str">
        <f t="shared" si="41"/>
        <v>N</v>
      </c>
      <c r="C139" s="78" t="str">
        <f t="shared" si="42"/>
        <v>Y</v>
      </c>
      <c r="D139" s="78" t="str">
        <f t="shared" si="43"/>
        <v>Y</v>
      </c>
      <c r="E139" s="78" t="str">
        <f t="shared" si="44"/>
        <v>Y</v>
      </c>
      <c r="F139" s="77" t="str">
        <f t="shared" si="45"/>
        <v xml:space="preserve">  </v>
      </c>
      <c r="G139" s="79" t="str">
        <f t="shared" si="46"/>
        <v xml:space="preserve">  </v>
      </c>
      <c r="H139" s="87"/>
      <c r="I139" s="86"/>
      <c r="J139" s="86"/>
      <c r="K139" s="86"/>
      <c r="L139" s="86"/>
      <c r="M139" s="86"/>
      <c r="N139" s="86"/>
      <c r="O139" s="86"/>
      <c r="P139" s="86"/>
      <c r="Q139" s="86"/>
      <c r="R139" s="70">
        <f t="shared" si="47"/>
        <v>0</v>
      </c>
      <c r="S139" s="82" t="str">
        <f t="shared" si="48"/>
        <v>-</v>
      </c>
      <c r="T139" s="86"/>
      <c r="U139" s="78" t="str">
        <f t="shared" si="49"/>
        <v/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3"/>
      <c r="AG139" s="76"/>
      <c r="AH139" s="84"/>
      <c r="AI139" s="85"/>
    </row>
    <row r="140" spans="1:35" x14ac:dyDescent="0.25">
      <c r="A140" s="77">
        <f>'Date Calcs'!A141</f>
        <v>0</v>
      </c>
      <c r="B140" s="78" t="str">
        <f t="shared" si="41"/>
        <v>N</v>
      </c>
      <c r="C140" s="78" t="str">
        <f t="shared" si="42"/>
        <v>Y</v>
      </c>
      <c r="D140" s="78" t="str">
        <f t="shared" si="43"/>
        <v>Y</v>
      </c>
      <c r="E140" s="78" t="str">
        <f t="shared" si="44"/>
        <v>Y</v>
      </c>
      <c r="F140" s="77" t="str">
        <f t="shared" si="45"/>
        <v xml:space="preserve">  </v>
      </c>
      <c r="G140" s="79" t="str">
        <f t="shared" si="46"/>
        <v xml:space="preserve">  </v>
      </c>
      <c r="H140" s="87"/>
      <c r="I140" s="86"/>
      <c r="J140" s="86"/>
      <c r="K140" s="86"/>
      <c r="L140" s="86"/>
      <c r="M140" s="86"/>
      <c r="N140" s="86"/>
      <c r="O140" s="86"/>
      <c r="P140" s="86"/>
      <c r="Q140" s="86"/>
      <c r="R140" s="70">
        <f t="shared" si="47"/>
        <v>0</v>
      </c>
      <c r="S140" s="82" t="str">
        <f t="shared" si="48"/>
        <v>-</v>
      </c>
      <c r="T140" s="86"/>
      <c r="U140" s="78" t="str">
        <f t="shared" si="49"/>
        <v/>
      </c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3"/>
      <c r="AG140" s="76"/>
      <c r="AH140" s="84"/>
      <c r="AI140" s="85"/>
    </row>
    <row r="141" spans="1:35" x14ac:dyDescent="0.25">
      <c r="A141" s="77">
        <f>'Date Calcs'!A142</f>
        <v>0</v>
      </c>
      <c r="B141" s="78" t="str">
        <f t="shared" si="41"/>
        <v>N</v>
      </c>
      <c r="C141" s="78" t="str">
        <f t="shared" si="42"/>
        <v>Y</v>
      </c>
      <c r="D141" s="78" t="str">
        <f t="shared" si="43"/>
        <v>Y</v>
      </c>
      <c r="E141" s="78" t="str">
        <f t="shared" si="44"/>
        <v>Y</v>
      </c>
      <c r="F141" s="77" t="str">
        <f t="shared" si="45"/>
        <v xml:space="preserve">  </v>
      </c>
      <c r="G141" s="79" t="str">
        <f t="shared" si="46"/>
        <v xml:space="preserve">  </v>
      </c>
      <c r="H141" s="87"/>
      <c r="I141" s="86"/>
      <c r="J141" s="86"/>
      <c r="K141" s="86"/>
      <c r="L141" s="86"/>
      <c r="M141" s="86"/>
      <c r="N141" s="86"/>
      <c r="O141" s="86"/>
      <c r="P141" s="86"/>
      <c r="Q141" s="86"/>
      <c r="R141" s="70">
        <f t="shared" si="47"/>
        <v>0</v>
      </c>
      <c r="S141" s="82" t="str">
        <f t="shared" si="48"/>
        <v>-</v>
      </c>
      <c r="T141" s="86"/>
      <c r="U141" s="78" t="str">
        <f t="shared" si="49"/>
        <v/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3"/>
      <c r="AG141" s="76"/>
      <c r="AH141" s="84"/>
      <c r="AI141" s="85"/>
    </row>
    <row r="142" spans="1:35" x14ac:dyDescent="0.25">
      <c r="A142" s="77">
        <f>'Date Calcs'!A143</f>
        <v>0</v>
      </c>
      <c r="B142" s="78" t="str">
        <f t="shared" si="41"/>
        <v>N</v>
      </c>
      <c r="C142" s="78" t="str">
        <f t="shared" si="42"/>
        <v>Y</v>
      </c>
      <c r="D142" s="78" t="str">
        <f t="shared" si="43"/>
        <v>Y</v>
      </c>
      <c r="E142" s="78" t="str">
        <f t="shared" si="44"/>
        <v>Y</v>
      </c>
      <c r="F142" s="77" t="str">
        <f t="shared" si="45"/>
        <v xml:space="preserve">  </v>
      </c>
      <c r="G142" s="79" t="str">
        <f t="shared" si="46"/>
        <v xml:space="preserve">  </v>
      </c>
      <c r="H142" s="87"/>
      <c r="I142" s="86"/>
      <c r="J142" s="86"/>
      <c r="K142" s="86"/>
      <c r="L142" s="86"/>
      <c r="M142" s="86"/>
      <c r="N142" s="86"/>
      <c r="O142" s="86"/>
      <c r="P142" s="86"/>
      <c r="Q142" s="86"/>
      <c r="R142" s="70">
        <f t="shared" si="47"/>
        <v>0</v>
      </c>
      <c r="S142" s="82" t="str">
        <f t="shared" si="48"/>
        <v>-</v>
      </c>
      <c r="T142" s="86"/>
      <c r="U142" s="78" t="str">
        <f t="shared" si="49"/>
        <v/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3"/>
      <c r="AG142" s="76"/>
      <c r="AH142" s="84"/>
      <c r="AI142" s="85"/>
    </row>
    <row r="143" spans="1:35" x14ac:dyDescent="0.25">
      <c r="A143" s="77">
        <f>'Date Calcs'!A144</f>
        <v>0</v>
      </c>
      <c r="B143" s="78" t="str">
        <f t="shared" si="41"/>
        <v>N</v>
      </c>
      <c r="C143" s="78" t="str">
        <f t="shared" si="42"/>
        <v>Y</v>
      </c>
      <c r="D143" s="78" t="str">
        <f t="shared" si="43"/>
        <v>Y</v>
      </c>
      <c r="E143" s="78" t="str">
        <f t="shared" si="44"/>
        <v>Y</v>
      </c>
      <c r="F143" s="77" t="str">
        <f t="shared" si="45"/>
        <v xml:space="preserve">  </v>
      </c>
      <c r="G143" s="79" t="str">
        <f t="shared" si="46"/>
        <v xml:space="preserve">  </v>
      </c>
      <c r="H143" s="87"/>
      <c r="I143" s="86"/>
      <c r="J143" s="86"/>
      <c r="K143" s="86"/>
      <c r="L143" s="86"/>
      <c r="M143" s="86"/>
      <c r="N143" s="86"/>
      <c r="O143" s="86"/>
      <c r="P143" s="86"/>
      <c r="Q143" s="86"/>
      <c r="R143" s="70">
        <f t="shared" si="47"/>
        <v>0</v>
      </c>
      <c r="S143" s="82" t="str">
        <f t="shared" si="48"/>
        <v>-</v>
      </c>
      <c r="T143" s="86"/>
      <c r="U143" s="78" t="str">
        <f t="shared" si="49"/>
        <v/>
      </c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3"/>
      <c r="AG143" s="76"/>
      <c r="AH143" s="84"/>
      <c r="AI143" s="85"/>
    </row>
    <row r="144" spans="1:35" x14ac:dyDescent="0.25">
      <c r="A144" s="77">
        <f>'Date Calcs'!A145</f>
        <v>0</v>
      </c>
      <c r="B144" s="78" t="str">
        <f t="shared" si="41"/>
        <v>N</v>
      </c>
      <c r="C144" s="78" t="str">
        <f t="shared" si="42"/>
        <v>Y</v>
      </c>
      <c r="D144" s="78" t="str">
        <f t="shared" si="43"/>
        <v>Y</v>
      </c>
      <c r="E144" s="78" t="str">
        <f t="shared" si="44"/>
        <v>Y</v>
      </c>
      <c r="F144" s="77" t="str">
        <f t="shared" si="45"/>
        <v xml:space="preserve">  </v>
      </c>
      <c r="G144" s="79" t="str">
        <f t="shared" si="46"/>
        <v xml:space="preserve">  </v>
      </c>
      <c r="H144" s="87"/>
      <c r="I144" s="86"/>
      <c r="J144" s="86"/>
      <c r="K144" s="86"/>
      <c r="L144" s="86"/>
      <c r="M144" s="86"/>
      <c r="N144" s="86"/>
      <c r="O144" s="86"/>
      <c r="P144" s="86"/>
      <c r="Q144" s="86"/>
      <c r="R144" s="70">
        <f t="shared" si="47"/>
        <v>0</v>
      </c>
      <c r="S144" s="82" t="str">
        <f t="shared" si="48"/>
        <v>-</v>
      </c>
      <c r="T144" s="86"/>
      <c r="U144" s="78" t="str">
        <f t="shared" si="49"/>
        <v/>
      </c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3"/>
      <c r="AG144" s="76"/>
      <c r="AH144" s="84"/>
      <c r="AI144" s="85"/>
    </row>
    <row r="145" spans="1:35" x14ac:dyDescent="0.25">
      <c r="A145" s="77">
        <f>'Date Calcs'!A146</f>
        <v>0</v>
      </c>
      <c r="B145" s="78" t="str">
        <f t="shared" si="41"/>
        <v>N</v>
      </c>
      <c r="C145" s="78" t="str">
        <f t="shared" si="42"/>
        <v>Y</v>
      </c>
      <c r="D145" s="78" t="str">
        <f t="shared" si="43"/>
        <v>Y</v>
      </c>
      <c r="E145" s="78" t="str">
        <f t="shared" si="44"/>
        <v>Y</v>
      </c>
      <c r="F145" s="77" t="str">
        <f t="shared" si="45"/>
        <v xml:space="preserve">  </v>
      </c>
      <c r="G145" s="79" t="str">
        <f t="shared" si="46"/>
        <v xml:space="preserve">  </v>
      </c>
      <c r="H145" s="87"/>
      <c r="I145" s="86"/>
      <c r="J145" s="86"/>
      <c r="K145" s="86"/>
      <c r="L145" s="86"/>
      <c r="M145" s="86"/>
      <c r="N145" s="86"/>
      <c r="O145" s="86"/>
      <c r="P145" s="86"/>
      <c r="Q145" s="86"/>
      <c r="R145" s="70">
        <f t="shared" si="47"/>
        <v>0</v>
      </c>
      <c r="S145" s="82" t="str">
        <f t="shared" si="48"/>
        <v>-</v>
      </c>
      <c r="T145" s="86"/>
      <c r="U145" s="78" t="str">
        <f t="shared" si="49"/>
        <v/>
      </c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3"/>
      <c r="AG145" s="76"/>
      <c r="AH145" s="84"/>
      <c r="AI145" s="85"/>
    </row>
    <row r="146" spans="1:35" x14ac:dyDescent="0.25">
      <c r="A146" s="77">
        <f>'Date Calcs'!A147</f>
        <v>0</v>
      </c>
      <c r="B146" s="78" t="str">
        <f t="shared" si="41"/>
        <v>N</v>
      </c>
      <c r="C146" s="78" t="str">
        <f t="shared" si="42"/>
        <v>Y</v>
      </c>
      <c r="D146" s="78" t="str">
        <f t="shared" si="43"/>
        <v>Y</v>
      </c>
      <c r="E146" s="78" t="str">
        <f t="shared" si="44"/>
        <v>Y</v>
      </c>
      <c r="F146" s="77" t="str">
        <f t="shared" si="45"/>
        <v xml:space="preserve">  </v>
      </c>
      <c r="G146" s="79" t="str">
        <f t="shared" si="46"/>
        <v xml:space="preserve">  </v>
      </c>
      <c r="H146" s="87"/>
      <c r="I146" s="86"/>
      <c r="J146" s="86"/>
      <c r="K146" s="86"/>
      <c r="L146" s="86"/>
      <c r="M146" s="86"/>
      <c r="N146" s="86"/>
      <c r="O146" s="86"/>
      <c r="P146" s="86"/>
      <c r="Q146" s="86"/>
      <c r="R146" s="70">
        <f t="shared" si="47"/>
        <v>0</v>
      </c>
      <c r="S146" s="82" t="str">
        <f t="shared" si="48"/>
        <v>-</v>
      </c>
      <c r="T146" s="86"/>
      <c r="U146" s="78" t="str">
        <f t="shared" si="49"/>
        <v/>
      </c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3"/>
      <c r="AG146" s="76"/>
      <c r="AH146" s="84"/>
      <c r="AI146" s="85"/>
    </row>
    <row r="147" spans="1:35" x14ac:dyDescent="0.25">
      <c r="A147" s="77">
        <f>'Date Calcs'!A148</f>
        <v>0</v>
      </c>
      <c r="B147" s="78" t="str">
        <f t="shared" si="41"/>
        <v>N</v>
      </c>
      <c r="C147" s="78" t="str">
        <f t="shared" si="42"/>
        <v>Y</v>
      </c>
      <c r="D147" s="78" t="str">
        <f t="shared" si="43"/>
        <v>Y</v>
      </c>
      <c r="E147" s="78" t="str">
        <f t="shared" si="44"/>
        <v>Y</v>
      </c>
      <c r="F147" s="77" t="str">
        <f t="shared" si="45"/>
        <v xml:space="preserve">  </v>
      </c>
      <c r="G147" s="79" t="str">
        <f t="shared" si="46"/>
        <v xml:space="preserve">  </v>
      </c>
      <c r="H147" s="87"/>
      <c r="I147" s="86"/>
      <c r="J147" s="86"/>
      <c r="K147" s="86"/>
      <c r="L147" s="86"/>
      <c r="M147" s="86"/>
      <c r="N147" s="86"/>
      <c r="O147" s="86"/>
      <c r="P147" s="86"/>
      <c r="Q147" s="86"/>
      <c r="R147" s="70">
        <f t="shared" si="47"/>
        <v>0</v>
      </c>
      <c r="S147" s="82" t="str">
        <f t="shared" si="48"/>
        <v>-</v>
      </c>
      <c r="T147" s="86"/>
      <c r="U147" s="78" t="str">
        <f t="shared" si="49"/>
        <v/>
      </c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3"/>
      <c r="AG147" s="76"/>
      <c r="AH147" s="84"/>
      <c r="AI147" s="85"/>
    </row>
    <row r="148" spans="1:35" x14ac:dyDescent="0.25">
      <c r="A148" s="77">
        <f>'Date Calcs'!A149</f>
        <v>0</v>
      </c>
      <c r="B148" s="78" t="str">
        <f t="shared" si="41"/>
        <v>N</v>
      </c>
      <c r="C148" s="78" t="str">
        <f t="shared" si="42"/>
        <v>Y</v>
      </c>
      <c r="D148" s="78" t="str">
        <f t="shared" si="43"/>
        <v>Y</v>
      </c>
      <c r="E148" s="78" t="str">
        <f t="shared" si="44"/>
        <v>Y</v>
      </c>
      <c r="F148" s="77" t="str">
        <f t="shared" si="45"/>
        <v xml:space="preserve">  </v>
      </c>
      <c r="G148" s="79" t="str">
        <f t="shared" si="46"/>
        <v xml:space="preserve">  </v>
      </c>
      <c r="H148" s="87"/>
      <c r="I148" s="86"/>
      <c r="J148" s="86"/>
      <c r="K148" s="86"/>
      <c r="L148" s="86"/>
      <c r="M148" s="86"/>
      <c r="N148" s="86"/>
      <c r="O148" s="86"/>
      <c r="P148" s="86"/>
      <c r="Q148" s="86"/>
      <c r="R148" s="70">
        <f t="shared" si="47"/>
        <v>0</v>
      </c>
      <c r="S148" s="82" t="str">
        <f t="shared" si="48"/>
        <v>-</v>
      </c>
      <c r="T148" s="86"/>
      <c r="U148" s="78" t="str">
        <f t="shared" si="49"/>
        <v/>
      </c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3"/>
      <c r="AG148" s="76"/>
      <c r="AH148" s="84"/>
      <c r="AI148" s="85"/>
    </row>
    <row r="149" spans="1:35" x14ac:dyDescent="0.25">
      <c r="A149" s="77">
        <f>'Date Calcs'!A150</f>
        <v>0</v>
      </c>
      <c r="B149" s="78" t="str">
        <f t="shared" si="41"/>
        <v>N</v>
      </c>
      <c r="C149" s="78" t="str">
        <f t="shared" si="42"/>
        <v>Y</v>
      </c>
      <c r="D149" s="78" t="str">
        <f t="shared" si="43"/>
        <v>Y</v>
      </c>
      <c r="E149" s="78" t="str">
        <f t="shared" si="44"/>
        <v>Y</v>
      </c>
      <c r="F149" s="77" t="str">
        <f t="shared" si="45"/>
        <v xml:space="preserve">  </v>
      </c>
      <c r="G149" s="79" t="str">
        <f t="shared" si="46"/>
        <v xml:space="preserve">  </v>
      </c>
      <c r="H149" s="87"/>
      <c r="I149" s="86"/>
      <c r="J149" s="86"/>
      <c r="K149" s="86"/>
      <c r="L149" s="86"/>
      <c r="M149" s="86"/>
      <c r="N149" s="86"/>
      <c r="O149" s="86"/>
      <c r="P149" s="86"/>
      <c r="Q149" s="86"/>
      <c r="R149" s="70">
        <f t="shared" si="47"/>
        <v>0</v>
      </c>
      <c r="S149" s="82" t="str">
        <f t="shared" si="48"/>
        <v>-</v>
      </c>
      <c r="T149" s="86"/>
      <c r="U149" s="78" t="str">
        <f t="shared" si="49"/>
        <v/>
      </c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3"/>
      <c r="AG149" s="76"/>
      <c r="AH149" s="84"/>
      <c r="AI149" s="85"/>
    </row>
    <row r="150" spans="1:35" x14ac:dyDescent="0.25">
      <c r="A150" s="77">
        <f>'Date Calcs'!A151</f>
        <v>0</v>
      </c>
      <c r="B150" s="78" t="str">
        <f t="shared" si="41"/>
        <v>N</v>
      </c>
      <c r="C150" s="78" t="str">
        <f t="shared" si="42"/>
        <v>Y</v>
      </c>
      <c r="D150" s="78" t="str">
        <f t="shared" si="43"/>
        <v>Y</v>
      </c>
      <c r="E150" s="78" t="str">
        <f t="shared" si="44"/>
        <v>Y</v>
      </c>
      <c r="F150" s="77" t="str">
        <f t="shared" si="45"/>
        <v xml:space="preserve">  </v>
      </c>
      <c r="G150" s="79" t="str">
        <f t="shared" si="46"/>
        <v xml:space="preserve">  </v>
      </c>
      <c r="H150" s="87"/>
      <c r="I150" s="86"/>
      <c r="J150" s="86"/>
      <c r="K150" s="86"/>
      <c r="L150" s="86"/>
      <c r="M150" s="86"/>
      <c r="N150" s="86"/>
      <c r="O150" s="86"/>
      <c r="P150" s="86"/>
      <c r="Q150" s="86"/>
      <c r="R150" s="70">
        <f t="shared" si="47"/>
        <v>0</v>
      </c>
      <c r="S150" s="82" t="str">
        <f t="shared" si="48"/>
        <v>-</v>
      </c>
      <c r="T150" s="86"/>
      <c r="U150" s="78" t="str">
        <f t="shared" si="49"/>
        <v/>
      </c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3"/>
      <c r="AG150" s="76"/>
      <c r="AH150" s="84"/>
      <c r="AI150" s="85"/>
    </row>
    <row r="151" spans="1:35" x14ac:dyDescent="0.25">
      <c r="A151" s="77">
        <f>'Date Calcs'!A152</f>
        <v>0</v>
      </c>
      <c r="B151" s="78" t="str">
        <f t="shared" si="41"/>
        <v>N</v>
      </c>
      <c r="C151" s="78" t="str">
        <f t="shared" si="42"/>
        <v>Y</v>
      </c>
      <c r="D151" s="78" t="str">
        <f t="shared" si="43"/>
        <v>Y</v>
      </c>
      <c r="E151" s="78" t="str">
        <f t="shared" si="44"/>
        <v>Y</v>
      </c>
      <c r="F151" s="77" t="str">
        <f t="shared" si="45"/>
        <v xml:space="preserve">  </v>
      </c>
      <c r="G151" s="79" t="str">
        <f t="shared" si="46"/>
        <v xml:space="preserve">  </v>
      </c>
      <c r="H151" s="87"/>
      <c r="I151" s="86"/>
      <c r="J151" s="86"/>
      <c r="K151" s="86"/>
      <c r="L151" s="86"/>
      <c r="M151" s="86"/>
      <c r="N151" s="86"/>
      <c r="O151" s="86"/>
      <c r="P151" s="86"/>
      <c r="Q151" s="86"/>
      <c r="R151" s="70">
        <f t="shared" si="47"/>
        <v>0</v>
      </c>
      <c r="S151" s="82" t="str">
        <f t="shared" si="48"/>
        <v>-</v>
      </c>
      <c r="T151" s="86"/>
      <c r="U151" s="78" t="str">
        <f t="shared" si="49"/>
        <v/>
      </c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3"/>
      <c r="AG151" s="76"/>
      <c r="AH151" s="84"/>
      <c r="AI151" s="85"/>
    </row>
    <row r="152" spans="1:35" x14ac:dyDescent="0.25">
      <c r="A152" s="77">
        <f>'Date Calcs'!A153</f>
        <v>0</v>
      </c>
      <c r="B152" s="78" t="str">
        <f t="shared" si="41"/>
        <v>N</v>
      </c>
      <c r="C152" s="78" t="str">
        <f t="shared" si="42"/>
        <v>Y</v>
      </c>
      <c r="D152" s="78" t="str">
        <f t="shared" si="43"/>
        <v>Y</v>
      </c>
      <c r="E152" s="78" t="str">
        <f t="shared" si="44"/>
        <v>Y</v>
      </c>
      <c r="F152" s="77" t="str">
        <f t="shared" si="45"/>
        <v xml:space="preserve">  </v>
      </c>
      <c r="G152" s="79" t="str">
        <f t="shared" si="46"/>
        <v xml:space="preserve">  </v>
      </c>
      <c r="H152" s="87"/>
      <c r="I152" s="86"/>
      <c r="J152" s="86"/>
      <c r="K152" s="86"/>
      <c r="L152" s="86"/>
      <c r="M152" s="86"/>
      <c r="N152" s="86"/>
      <c r="O152" s="86"/>
      <c r="P152" s="86"/>
      <c r="Q152" s="86"/>
      <c r="R152" s="70">
        <f t="shared" si="47"/>
        <v>0</v>
      </c>
      <c r="S152" s="82" t="str">
        <f t="shared" si="48"/>
        <v>-</v>
      </c>
      <c r="T152" s="86"/>
      <c r="U152" s="78" t="str">
        <f t="shared" si="49"/>
        <v/>
      </c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3"/>
      <c r="AG152" s="76"/>
      <c r="AH152" s="84"/>
      <c r="AI152" s="85"/>
    </row>
    <row r="153" spans="1:35" x14ac:dyDescent="0.25">
      <c r="A153" s="77">
        <f>'Date Calcs'!A154</f>
        <v>0</v>
      </c>
      <c r="B153" s="78" t="str">
        <f t="shared" si="41"/>
        <v>N</v>
      </c>
      <c r="C153" s="78" t="str">
        <f t="shared" si="42"/>
        <v>Y</v>
      </c>
      <c r="D153" s="78" t="str">
        <f t="shared" si="43"/>
        <v>Y</v>
      </c>
      <c r="E153" s="78" t="str">
        <f t="shared" si="44"/>
        <v>Y</v>
      </c>
      <c r="F153" s="77" t="str">
        <f t="shared" si="45"/>
        <v xml:space="preserve">  </v>
      </c>
      <c r="G153" s="79" t="str">
        <f t="shared" si="46"/>
        <v xml:space="preserve">  </v>
      </c>
      <c r="H153" s="87"/>
      <c r="I153" s="86"/>
      <c r="J153" s="86"/>
      <c r="K153" s="86"/>
      <c r="L153" s="86"/>
      <c r="M153" s="86"/>
      <c r="N153" s="86"/>
      <c r="O153" s="86"/>
      <c r="P153" s="86"/>
      <c r="Q153" s="86"/>
      <c r="R153" s="70">
        <f t="shared" si="47"/>
        <v>0</v>
      </c>
      <c r="S153" s="82" t="str">
        <f t="shared" si="48"/>
        <v>-</v>
      </c>
      <c r="T153" s="86"/>
      <c r="U153" s="78" t="str">
        <f t="shared" si="49"/>
        <v/>
      </c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3"/>
      <c r="AG153" s="76"/>
      <c r="AH153" s="84"/>
      <c r="AI153" s="85"/>
    </row>
    <row r="154" spans="1:35" x14ac:dyDescent="0.25">
      <c r="A154" s="77">
        <f>'Date Calcs'!A155</f>
        <v>0</v>
      </c>
      <c r="B154" s="78" t="str">
        <f t="shared" si="41"/>
        <v>N</v>
      </c>
      <c r="C154" s="78" t="str">
        <f t="shared" si="42"/>
        <v>Y</v>
      </c>
      <c r="D154" s="78" t="str">
        <f t="shared" si="43"/>
        <v>Y</v>
      </c>
      <c r="E154" s="78" t="str">
        <f t="shared" si="44"/>
        <v>Y</v>
      </c>
      <c r="F154" s="77" t="str">
        <f t="shared" si="45"/>
        <v xml:space="preserve">  </v>
      </c>
      <c r="G154" s="79" t="str">
        <f t="shared" si="46"/>
        <v xml:space="preserve">  </v>
      </c>
      <c r="H154" s="87"/>
      <c r="I154" s="86"/>
      <c r="J154" s="86"/>
      <c r="K154" s="86"/>
      <c r="L154" s="86"/>
      <c r="M154" s="86"/>
      <c r="N154" s="86"/>
      <c r="O154" s="86"/>
      <c r="P154" s="86"/>
      <c r="Q154" s="86"/>
      <c r="R154" s="70">
        <f t="shared" si="47"/>
        <v>0</v>
      </c>
      <c r="S154" s="82" t="str">
        <f t="shared" si="48"/>
        <v>-</v>
      </c>
      <c r="T154" s="86"/>
      <c r="U154" s="78" t="str">
        <f t="shared" si="49"/>
        <v/>
      </c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3"/>
      <c r="AG154" s="76"/>
      <c r="AH154" s="84"/>
      <c r="AI154" s="85"/>
    </row>
    <row r="155" spans="1:35" x14ac:dyDescent="0.25">
      <c r="A155" s="77">
        <f>'Date Calcs'!A156</f>
        <v>0</v>
      </c>
      <c r="B155" s="78" t="str">
        <f t="shared" si="41"/>
        <v>N</v>
      </c>
      <c r="C155" s="78" t="str">
        <f t="shared" si="42"/>
        <v>Y</v>
      </c>
      <c r="D155" s="78" t="str">
        <f t="shared" si="43"/>
        <v>Y</v>
      </c>
      <c r="E155" s="78" t="str">
        <f t="shared" si="44"/>
        <v>Y</v>
      </c>
      <c r="F155" s="77" t="str">
        <f t="shared" si="45"/>
        <v xml:space="preserve">  </v>
      </c>
      <c r="G155" s="79" t="str">
        <f t="shared" si="46"/>
        <v xml:space="preserve">  </v>
      </c>
      <c r="H155" s="87"/>
      <c r="I155" s="86"/>
      <c r="J155" s="86"/>
      <c r="K155" s="86"/>
      <c r="L155" s="86"/>
      <c r="M155" s="86"/>
      <c r="N155" s="86"/>
      <c r="O155" s="86"/>
      <c r="P155" s="86"/>
      <c r="Q155" s="86"/>
      <c r="R155" s="70">
        <f t="shared" si="47"/>
        <v>0</v>
      </c>
      <c r="S155" s="82" t="str">
        <f t="shared" si="48"/>
        <v>-</v>
      </c>
      <c r="T155" s="86"/>
      <c r="U155" s="78" t="str">
        <f t="shared" si="49"/>
        <v/>
      </c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3"/>
      <c r="AG155" s="76"/>
      <c r="AH155" s="84"/>
      <c r="AI155" s="85"/>
    </row>
    <row r="156" spans="1:35" x14ac:dyDescent="0.25">
      <c r="A156" s="77">
        <f>'Date Calcs'!A157</f>
        <v>0</v>
      </c>
      <c r="B156" s="78" t="str">
        <f t="shared" si="41"/>
        <v>N</v>
      </c>
      <c r="C156" s="78" t="str">
        <f t="shared" si="42"/>
        <v>Y</v>
      </c>
      <c r="D156" s="78" t="str">
        <f t="shared" si="43"/>
        <v>Y</v>
      </c>
      <c r="E156" s="78" t="str">
        <f t="shared" si="44"/>
        <v>Y</v>
      </c>
      <c r="F156" s="77" t="str">
        <f t="shared" si="45"/>
        <v xml:space="preserve">  </v>
      </c>
      <c r="G156" s="79" t="str">
        <f t="shared" si="46"/>
        <v xml:space="preserve">  </v>
      </c>
      <c r="H156" s="87"/>
      <c r="I156" s="86"/>
      <c r="J156" s="86"/>
      <c r="K156" s="86"/>
      <c r="L156" s="86"/>
      <c r="M156" s="86"/>
      <c r="N156" s="86"/>
      <c r="O156" s="86"/>
      <c r="P156" s="86"/>
      <c r="Q156" s="86"/>
      <c r="R156" s="70">
        <f t="shared" si="47"/>
        <v>0</v>
      </c>
      <c r="S156" s="82" t="str">
        <f t="shared" si="48"/>
        <v>-</v>
      </c>
      <c r="T156" s="86"/>
      <c r="U156" s="78" t="str">
        <f t="shared" si="49"/>
        <v/>
      </c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3"/>
      <c r="AG156" s="76"/>
      <c r="AH156" s="84"/>
      <c r="AI156" s="85"/>
    </row>
    <row r="157" spans="1:35" x14ac:dyDescent="0.25"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76"/>
      <c r="S157" s="76"/>
      <c r="T157" s="88"/>
      <c r="U157" s="76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</row>
    <row r="158" spans="1:35" x14ac:dyDescent="0.25"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76"/>
      <c r="S158" s="76"/>
      <c r="T158" s="88"/>
      <c r="U158" s="76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</row>
    <row r="159" spans="1:35" x14ac:dyDescent="0.25"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76"/>
      <c r="S159" s="76"/>
      <c r="T159" s="88"/>
      <c r="U159" s="76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</row>
    <row r="160" spans="1:35" x14ac:dyDescent="0.25"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76"/>
      <c r="S160" s="76"/>
      <c r="T160" s="88"/>
      <c r="U160" s="76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</row>
    <row r="161" spans="8:32" x14ac:dyDescent="0.25"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76"/>
      <c r="S161" s="76"/>
      <c r="T161" s="88"/>
      <c r="U161" s="76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</row>
    <row r="162" spans="8:32" x14ac:dyDescent="0.25"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76"/>
      <c r="S162" s="76"/>
      <c r="T162" s="88"/>
      <c r="U162" s="76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</row>
    <row r="163" spans="8:32" x14ac:dyDescent="0.25"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76"/>
      <c r="S163" s="76"/>
      <c r="T163" s="88"/>
      <c r="U163" s="76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</row>
    <row r="164" spans="8:32" x14ac:dyDescent="0.25"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76"/>
      <c r="S164" s="76"/>
      <c r="T164" s="88"/>
      <c r="U164" s="76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</row>
    <row r="165" spans="8:32" x14ac:dyDescent="0.25"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76"/>
      <c r="S165" s="76"/>
      <c r="T165" s="88"/>
      <c r="U165" s="76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</row>
    <row r="166" spans="8:32" x14ac:dyDescent="0.25"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76"/>
      <c r="S166" s="76"/>
      <c r="T166" s="88"/>
      <c r="U166" s="76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</row>
    <row r="167" spans="8:32" x14ac:dyDescent="0.25"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76"/>
      <c r="S167" s="76"/>
      <c r="T167" s="88"/>
      <c r="U167" s="76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</row>
    <row r="168" spans="8:32" x14ac:dyDescent="0.25"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76"/>
      <c r="S168" s="76"/>
      <c r="T168" s="88"/>
      <c r="U168" s="76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</row>
    <row r="169" spans="8:32" x14ac:dyDescent="0.25"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76"/>
      <c r="S169" s="76"/>
      <c r="T169" s="88"/>
      <c r="U169" s="76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</row>
    <row r="170" spans="8:32" x14ac:dyDescent="0.25"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76"/>
      <c r="S170" s="76"/>
      <c r="T170" s="88"/>
      <c r="U170" s="76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</row>
    <row r="171" spans="8:32" x14ac:dyDescent="0.25"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76"/>
      <c r="S171" s="76"/>
      <c r="T171" s="88"/>
      <c r="U171" s="76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</row>
    <row r="172" spans="8:32" x14ac:dyDescent="0.25"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76"/>
      <c r="S172" s="76"/>
      <c r="T172" s="88"/>
      <c r="U172" s="76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</row>
    <row r="173" spans="8:32" x14ac:dyDescent="0.25"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76"/>
      <c r="S173" s="76"/>
      <c r="T173" s="88"/>
      <c r="U173" s="76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</row>
    <row r="174" spans="8:32" x14ac:dyDescent="0.25"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76"/>
      <c r="S174" s="76"/>
      <c r="T174" s="88"/>
      <c r="U174" s="76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</row>
    <row r="175" spans="8:32" x14ac:dyDescent="0.25"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76"/>
      <c r="S175" s="76"/>
      <c r="T175" s="88"/>
      <c r="U175" s="76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</row>
    <row r="176" spans="8:32" x14ac:dyDescent="0.25"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76"/>
      <c r="S176" s="76"/>
      <c r="T176" s="88"/>
      <c r="U176" s="76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</row>
    <row r="177" spans="8:32" x14ac:dyDescent="0.25"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76"/>
      <c r="S177" s="76"/>
      <c r="T177" s="88"/>
      <c r="U177" s="76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</row>
    <row r="178" spans="8:32" x14ac:dyDescent="0.25"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76"/>
      <c r="S178" s="76"/>
      <c r="T178" s="88"/>
      <c r="U178" s="76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</row>
    <row r="179" spans="8:32" x14ac:dyDescent="0.25"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76"/>
      <c r="S179" s="76"/>
      <c r="T179" s="88"/>
      <c r="U179" s="76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</row>
    <row r="180" spans="8:32" x14ac:dyDescent="0.25"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76"/>
      <c r="S180" s="76"/>
      <c r="T180" s="88"/>
      <c r="U180" s="76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</row>
    <row r="181" spans="8:32" x14ac:dyDescent="0.25"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76"/>
      <c r="S181" s="76"/>
      <c r="T181" s="88"/>
      <c r="U181" s="76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</row>
    <row r="182" spans="8:32" x14ac:dyDescent="0.25"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76"/>
      <c r="S182" s="76"/>
      <c r="T182" s="88"/>
      <c r="U182" s="76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</row>
    <row r="183" spans="8:32" x14ac:dyDescent="0.25"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76"/>
      <c r="S183" s="76"/>
      <c r="T183" s="88"/>
      <c r="U183" s="76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</row>
    <row r="184" spans="8:32" x14ac:dyDescent="0.25"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76"/>
      <c r="S184" s="76"/>
      <c r="T184" s="88"/>
      <c r="U184" s="76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</row>
    <row r="185" spans="8:32" x14ac:dyDescent="0.25"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76"/>
      <c r="S185" s="76"/>
      <c r="T185" s="88"/>
      <c r="U185" s="76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</row>
    <row r="186" spans="8:32" x14ac:dyDescent="0.25"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76"/>
      <c r="S186" s="76"/>
      <c r="T186" s="88"/>
      <c r="U186" s="76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</row>
    <row r="187" spans="8:32" x14ac:dyDescent="0.25"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76"/>
      <c r="S187" s="76"/>
      <c r="T187" s="88"/>
      <c r="U187" s="76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</row>
    <row r="188" spans="8:32" x14ac:dyDescent="0.25"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76"/>
      <c r="S188" s="76"/>
      <c r="T188" s="88"/>
      <c r="U188" s="76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</row>
    <row r="189" spans="8:32" x14ac:dyDescent="0.25"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76"/>
      <c r="S189" s="76"/>
      <c r="T189" s="88"/>
      <c r="U189" s="76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</row>
    <row r="190" spans="8:32" x14ac:dyDescent="0.25"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76"/>
      <c r="S190" s="76"/>
      <c r="T190" s="88"/>
      <c r="U190" s="76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</row>
    <row r="191" spans="8:32" x14ac:dyDescent="0.25"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76"/>
      <c r="S191" s="76"/>
      <c r="T191" s="88"/>
      <c r="U191" s="76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</row>
    <row r="192" spans="8:32" x14ac:dyDescent="0.25"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76"/>
      <c r="S192" s="76"/>
      <c r="T192" s="88"/>
      <c r="U192" s="76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</row>
    <row r="193" spans="8:32" x14ac:dyDescent="0.25"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76"/>
      <c r="S193" s="76"/>
      <c r="T193" s="88"/>
      <c r="U193" s="76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</row>
    <row r="194" spans="8:32" x14ac:dyDescent="0.25"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76"/>
      <c r="S194" s="76"/>
      <c r="T194" s="88"/>
      <c r="U194" s="76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</row>
    <row r="195" spans="8:32" x14ac:dyDescent="0.25"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76"/>
      <c r="S195" s="76"/>
      <c r="T195" s="88"/>
      <c r="U195" s="76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</row>
    <row r="196" spans="8:32" x14ac:dyDescent="0.25"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76"/>
      <c r="S196" s="76"/>
      <c r="T196" s="88"/>
      <c r="U196" s="76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</row>
    <row r="197" spans="8:32" x14ac:dyDescent="0.25"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76"/>
      <c r="S197" s="76"/>
      <c r="T197" s="88"/>
      <c r="U197" s="76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</row>
    <row r="198" spans="8:32" x14ac:dyDescent="0.25"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76"/>
      <c r="S198" s="76"/>
      <c r="T198" s="88"/>
      <c r="U198" s="76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</row>
    <row r="199" spans="8:32" x14ac:dyDescent="0.25"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76"/>
      <c r="S199" s="76"/>
      <c r="T199" s="88"/>
      <c r="U199" s="76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</row>
    <row r="200" spans="8:32" x14ac:dyDescent="0.25"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76"/>
      <c r="S200" s="76"/>
      <c r="T200" s="88"/>
      <c r="U200" s="76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</row>
    <row r="201" spans="8:32" x14ac:dyDescent="0.25"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76"/>
      <c r="S201" s="76"/>
      <c r="T201" s="88"/>
      <c r="U201" s="76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</row>
    <row r="202" spans="8:32" x14ac:dyDescent="0.25"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76"/>
      <c r="S202" s="76"/>
      <c r="T202" s="88"/>
      <c r="U202" s="76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</row>
    <row r="203" spans="8:32" x14ac:dyDescent="0.25"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76"/>
      <c r="S203" s="76"/>
      <c r="T203" s="88"/>
      <c r="U203" s="76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</row>
    <row r="204" spans="8:32" x14ac:dyDescent="0.25"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76"/>
      <c r="S204" s="76"/>
      <c r="T204" s="88"/>
      <c r="U204" s="76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</row>
    <row r="205" spans="8:32" x14ac:dyDescent="0.25"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76"/>
      <c r="S205" s="76"/>
      <c r="T205" s="88"/>
      <c r="U205" s="76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</row>
    <row r="206" spans="8:32" x14ac:dyDescent="0.25"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76"/>
      <c r="S206" s="76"/>
      <c r="T206" s="88"/>
      <c r="U206" s="76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</row>
    <row r="207" spans="8:32" x14ac:dyDescent="0.25"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76"/>
      <c r="S207" s="76"/>
      <c r="T207" s="88"/>
      <c r="U207" s="76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</row>
    <row r="208" spans="8:32" x14ac:dyDescent="0.25"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76"/>
      <c r="S208" s="76"/>
      <c r="T208" s="88"/>
      <c r="U208" s="76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</row>
    <row r="209" spans="8:32" x14ac:dyDescent="0.25"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76"/>
      <c r="S209" s="76"/>
      <c r="T209" s="88"/>
      <c r="U209" s="76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</row>
    <row r="210" spans="8:32" x14ac:dyDescent="0.25"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76"/>
      <c r="S210" s="76"/>
      <c r="T210" s="88"/>
      <c r="U210" s="76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</row>
    <row r="211" spans="8:32" x14ac:dyDescent="0.25"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76"/>
      <c r="S211" s="76"/>
      <c r="T211" s="88"/>
      <c r="U211" s="76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</row>
    <row r="212" spans="8:32" x14ac:dyDescent="0.25"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76"/>
      <c r="S212" s="76"/>
      <c r="T212" s="88"/>
      <c r="U212" s="76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</row>
    <row r="213" spans="8:32" x14ac:dyDescent="0.25"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76"/>
      <c r="S213" s="76"/>
      <c r="T213" s="88"/>
      <c r="U213" s="76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</row>
    <row r="214" spans="8:32" x14ac:dyDescent="0.25"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76"/>
      <c r="S214" s="76"/>
      <c r="T214" s="88"/>
      <c r="U214" s="76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</row>
    <row r="215" spans="8:32" x14ac:dyDescent="0.25"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76"/>
      <c r="S215" s="76"/>
      <c r="T215" s="88"/>
      <c r="U215" s="76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</row>
    <row r="216" spans="8:32" x14ac:dyDescent="0.25"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76"/>
      <c r="S216" s="76"/>
      <c r="T216" s="88"/>
      <c r="U216" s="76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</row>
    <row r="217" spans="8:32" x14ac:dyDescent="0.25"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76"/>
      <c r="S217" s="76"/>
      <c r="T217" s="88"/>
      <c r="U217" s="76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</row>
    <row r="218" spans="8:32" x14ac:dyDescent="0.25"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76"/>
      <c r="S218" s="76"/>
      <c r="T218" s="88"/>
      <c r="U218" s="76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</row>
    <row r="219" spans="8:32" x14ac:dyDescent="0.25"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76"/>
      <c r="S219" s="76"/>
      <c r="T219" s="88"/>
      <c r="U219" s="76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</row>
    <row r="220" spans="8:32" x14ac:dyDescent="0.25"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76"/>
      <c r="S220" s="76"/>
      <c r="T220" s="88"/>
      <c r="U220" s="76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</row>
    <row r="221" spans="8:32" x14ac:dyDescent="0.25"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76"/>
      <c r="S221" s="76"/>
      <c r="T221" s="88"/>
      <c r="U221" s="76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</row>
    <row r="222" spans="8:32" x14ac:dyDescent="0.25"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76"/>
      <c r="S222" s="76"/>
      <c r="T222" s="88"/>
      <c r="U222" s="76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</row>
    <row r="223" spans="8:32" x14ac:dyDescent="0.25"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76"/>
      <c r="S223" s="76"/>
      <c r="T223" s="88"/>
      <c r="U223" s="76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</row>
    <row r="224" spans="8:32" x14ac:dyDescent="0.25"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76"/>
      <c r="S224" s="76"/>
      <c r="T224" s="88"/>
      <c r="U224" s="76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</row>
    <row r="225" spans="8:32" x14ac:dyDescent="0.25"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76"/>
      <c r="S225" s="76"/>
      <c r="T225" s="88"/>
      <c r="U225" s="76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</row>
    <row r="226" spans="8:32" x14ac:dyDescent="0.25"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76"/>
      <c r="S226" s="76"/>
      <c r="T226" s="88"/>
      <c r="U226" s="76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</row>
    <row r="227" spans="8:32" x14ac:dyDescent="0.25"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76"/>
      <c r="S227" s="76"/>
      <c r="T227" s="88"/>
      <c r="U227" s="76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</row>
    <row r="228" spans="8:32" x14ac:dyDescent="0.25"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76"/>
      <c r="S228" s="76"/>
      <c r="T228" s="88"/>
      <c r="U228" s="76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</row>
    <row r="229" spans="8:32" x14ac:dyDescent="0.25"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76"/>
      <c r="S229" s="76"/>
      <c r="T229" s="88"/>
      <c r="U229" s="76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</row>
    <row r="230" spans="8:32" x14ac:dyDescent="0.25"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76"/>
      <c r="S230" s="76"/>
      <c r="T230" s="88"/>
      <c r="U230" s="76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</row>
    <row r="231" spans="8:32" x14ac:dyDescent="0.25"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76"/>
      <c r="S231" s="76"/>
      <c r="T231" s="88"/>
      <c r="U231" s="76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</row>
    <row r="232" spans="8:32" x14ac:dyDescent="0.25"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76"/>
      <c r="S232" s="76"/>
      <c r="T232" s="88"/>
      <c r="U232" s="76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</row>
    <row r="233" spans="8:32" x14ac:dyDescent="0.25"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76"/>
      <c r="S233" s="76"/>
      <c r="T233" s="88"/>
      <c r="U233" s="76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</row>
    <row r="234" spans="8:32" x14ac:dyDescent="0.25"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76"/>
      <c r="S234" s="76"/>
      <c r="T234" s="88"/>
      <c r="U234" s="76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</row>
    <row r="235" spans="8:32" x14ac:dyDescent="0.25"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76"/>
      <c r="S235" s="76"/>
      <c r="T235" s="88"/>
      <c r="U235" s="76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</row>
    <row r="236" spans="8:32" x14ac:dyDescent="0.25"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76"/>
      <c r="S236" s="76"/>
      <c r="T236" s="88"/>
      <c r="U236" s="76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</row>
    <row r="237" spans="8:32" x14ac:dyDescent="0.25"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76"/>
      <c r="S237" s="76"/>
      <c r="T237" s="88"/>
      <c r="U237" s="76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</row>
    <row r="238" spans="8:32" x14ac:dyDescent="0.25"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76"/>
      <c r="S238" s="76"/>
      <c r="T238" s="88"/>
      <c r="U238" s="76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</row>
    <row r="239" spans="8:32" x14ac:dyDescent="0.25"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76"/>
      <c r="S239" s="76"/>
      <c r="T239" s="88"/>
      <c r="U239" s="76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</row>
    <row r="240" spans="8:32" x14ac:dyDescent="0.25"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76"/>
      <c r="S240" s="76"/>
      <c r="T240" s="88"/>
      <c r="U240" s="76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</row>
    <row r="241" spans="8:32" x14ac:dyDescent="0.25"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76"/>
      <c r="S241" s="76"/>
      <c r="T241" s="88"/>
      <c r="U241" s="76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</row>
    <row r="242" spans="8:32" x14ac:dyDescent="0.25"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76"/>
      <c r="S242" s="76"/>
      <c r="T242" s="88"/>
      <c r="U242" s="76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</row>
    <row r="243" spans="8:32" x14ac:dyDescent="0.25"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76"/>
      <c r="S243" s="76"/>
      <c r="T243" s="88"/>
      <c r="U243" s="76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</row>
    <row r="244" spans="8:32" x14ac:dyDescent="0.25"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76"/>
      <c r="S244" s="76"/>
      <c r="T244" s="88"/>
      <c r="U244" s="76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</row>
    <row r="245" spans="8:32" x14ac:dyDescent="0.25"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76"/>
      <c r="S245" s="76"/>
      <c r="T245" s="88"/>
      <c r="U245" s="76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</row>
    <row r="246" spans="8:32" x14ac:dyDescent="0.25"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76"/>
      <c r="S246" s="76"/>
      <c r="T246" s="88"/>
      <c r="U246" s="76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</row>
    <row r="247" spans="8:32" x14ac:dyDescent="0.25"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76"/>
      <c r="S247" s="76"/>
      <c r="T247" s="88"/>
      <c r="U247" s="76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</row>
    <row r="248" spans="8:32" x14ac:dyDescent="0.25"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76"/>
      <c r="S248" s="76"/>
      <c r="T248" s="88"/>
      <c r="U248" s="76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</row>
    <row r="249" spans="8:32" x14ac:dyDescent="0.25"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76"/>
      <c r="S249" s="76"/>
      <c r="T249" s="88"/>
      <c r="U249" s="76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</row>
    <row r="250" spans="8:32" x14ac:dyDescent="0.25"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76"/>
      <c r="S250" s="76"/>
      <c r="T250" s="88"/>
      <c r="U250" s="76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</row>
    <row r="251" spans="8:32" x14ac:dyDescent="0.25"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76"/>
      <c r="S251" s="76"/>
      <c r="T251" s="88"/>
      <c r="U251" s="76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</row>
    <row r="252" spans="8:32" x14ac:dyDescent="0.25"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76"/>
      <c r="S252" s="76"/>
      <c r="T252" s="88"/>
      <c r="U252" s="76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</row>
    <row r="253" spans="8:32" x14ac:dyDescent="0.25"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76"/>
      <c r="S253" s="76"/>
      <c r="T253" s="88"/>
      <c r="U253" s="76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</row>
    <row r="254" spans="8:32" x14ac:dyDescent="0.25"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76"/>
      <c r="S254" s="76"/>
      <c r="T254" s="88"/>
      <c r="U254" s="76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</row>
    <row r="255" spans="8:32" x14ac:dyDescent="0.25"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76"/>
      <c r="S255" s="76"/>
      <c r="T255" s="88"/>
      <c r="U255" s="76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</row>
    <row r="256" spans="8:32" x14ac:dyDescent="0.25"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76"/>
      <c r="S256" s="76"/>
      <c r="T256" s="88"/>
      <c r="U256" s="76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</row>
    <row r="257" spans="8:32" x14ac:dyDescent="0.25"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76"/>
      <c r="S257" s="76"/>
      <c r="T257" s="88"/>
      <c r="U257" s="76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</row>
    <row r="258" spans="8:32" x14ac:dyDescent="0.25"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76"/>
      <c r="S258" s="76"/>
      <c r="T258" s="88"/>
      <c r="U258" s="76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</row>
    <row r="259" spans="8:32" x14ac:dyDescent="0.25"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76"/>
      <c r="S259" s="76"/>
      <c r="T259" s="88"/>
      <c r="U259" s="76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</row>
    <row r="260" spans="8:32" x14ac:dyDescent="0.25"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76"/>
      <c r="S260" s="76"/>
      <c r="T260" s="88"/>
      <c r="U260" s="76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</row>
    <row r="261" spans="8:32" x14ac:dyDescent="0.25"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76"/>
      <c r="S261" s="76"/>
      <c r="T261" s="88"/>
      <c r="U261" s="76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</row>
    <row r="262" spans="8:32" x14ac:dyDescent="0.25"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76"/>
      <c r="S262" s="76"/>
      <c r="T262" s="88"/>
      <c r="U262" s="76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</row>
    <row r="263" spans="8:32" x14ac:dyDescent="0.25"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76"/>
      <c r="S263" s="76"/>
      <c r="T263" s="88"/>
      <c r="U263" s="76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</row>
    <row r="264" spans="8:32" x14ac:dyDescent="0.25"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76"/>
      <c r="S264" s="76"/>
      <c r="T264" s="88"/>
      <c r="U264" s="76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</row>
    <row r="265" spans="8:32" x14ac:dyDescent="0.25"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76"/>
      <c r="S265" s="76"/>
      <c r="T265" s="88"/>
      <c r="U265" s="76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</row>
    <row r="266" spans="8:32" x14ac:dyDescent="0.25"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76"/>
      <c r="S266" s="76"/>
      <c r="T266" s="88"/>
      <c r="U266" s="76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</row>
    <row r="267" spans="8:32" x14ac:dyDescent="0.25"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76"/>
      <c r="S267" s="76"/>
      <c r="T267" s="88"/>
      <c r="U267" s="76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</row>
    <row r="268" spans="8:32" x14ac:dyDescent="0.25"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76"/>
      <c r="S268" s="76"/>
      <c r="T268" s="88"/>
      <c r="U268" s="76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</row>
    <row r="269" spans="8:32" x14ac:dyDescent="0.25"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76"/>
      <c r="S269" s="76"/>
      <c r="T269" s="88"/>
      <c r="U269" s="76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</row>
    <row r="270" spans="8:32" x14ac:dyDescent="0.25"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76"/>
      <c r="S270" s="76"/>
      <c r="T270" s="88"/>
      <c r="U270" s="76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</row>
    <row r="271" spans="8:32" x14ac:dyDescent="0.25"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76"/>
      <c r="S271" s="76"/>
      <c r="T271" s="88"/>
      <c r="U271" s="76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</row>
    <row r="272" spans="8:32" x14ac:dyDescent="0.25"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76"/>
      <c r="S272" s="76"/>
      <c r="T272" s="88"/>
      <c r="U272" s="76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</row>
    <row r="273" spans="8:32" x14ac:dyDescent="0.25"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76"/>
      <c r="S273" s="76"/>
      <c r="T273" s="88"/>
      <c r="U273" s="76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</row>
    <row r="274" spans="8:32" x14ac:dyDescent="0.25"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76"/>
      <c r="S274" s="76"/>
      <c r="T274" s="88"/>
      <c r="U274" s="76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</row>
    <row r="275" spans="8:32" x14ac:dyDescent="0.25"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76"/>
      <c r="S275" s="76"/>
      <c r="T275" s="88"/>
      <c r="U275" s="76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</row>
    <row r="276" spans="8:32" x14ac:dyDescent="0.25"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76"/>
      <c r="S276" s="76"/>
      <c r="T276" s="88"/>
      <c r="U276" s="76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</row>
    <row r="277" spans="8:32" x14ac:dyDescent="0.25"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76"/>
      <c r="S277" s="76"/>
      <c r="T277" s="88"/>
      <c r="U277" s="76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</row>
    <row r="278" spans="8:32" x14ac:dyDescent="0.25"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76"/>
      <c r="S278" s="76"/>
      <c r="T278" s="88"/>
      <c r="U278" s="76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</row>
    <row r="279" spans="8:32" x14ac:dyDescent="0.25"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76"/>
      <c r="S279" s="76"/>
      <c r="T279" s="88"/>
      <c r="U279" s="76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</row>
    <row r="280" spans="8:32" x14ac:dyDescent="0.25"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76"/>
      <c r="S280" s="76"/>
      <c r="T280" s="88"/>
      <c r="U280" s="76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</row>
    <row r="281" spans="8:32" x14ac:dyDescent="0.25"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76"/>
      <c r="S281" s="76"/>
      <c r="T281" s="88"/>
      <c r="U281" s="76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</row>
    <row r="282" spans="8:32" x14ac:dyDescent="0.25"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76"/>
      <c r="S282" s="76"/>
      <c r="T282" s="88"/>
      <c r="U282" s="76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</row>
    <row r="283" spans="8:32" x14ac:dyDescent="0.25"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76"/>
      <c r="S283" s="76"/>
      <c r="T283" s="88"/>
      <c r="U283" s="76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</row>
    <row r="284" spans="8:32" x14ac:dyDescent="0.25"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76"/>
      <c r="S284" s="76"/>
      <c r="T284" s="88"/>
      <c r="U284" s="76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</row>
    <row r="285" spans="8:32" x14ac:dyDescent="0.25"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76"/>
      <c r="S285" s="76"/>
      <c r="T285" s="88"/>
      <c r="U285" s="76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</row>
    <row r="286" spans="8:32" x14ac:dyDescent="0.25"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76"/>
      <c r="S286" s="76"/>
      <c r="T286" s="88"/>
      <c r="U286" s="76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</row>
    <row r="287" spans="8:32" x14ac:dyDescent="0.25"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76"/>
      <c r="S287" s="76"/>
      <c r="T287" s="88"/>
      <c r="U287" s="76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</row>
    <row r="288" spans="8:32" x14ac:dyDescent="0.25"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76"/>
      <c r="S288" s="76"/>
      <c r="T288" s="88"/>
      <c r="U288" s="76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</row>
    <row r="289" spans="8:32" x14ac:dyDescent="0.25"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76"/>
      <c r="S289" s="76"/>
      <c r="T289" s="88"/>
      <c r="U289" s="76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</row>
    <row r="290" spans="8:32" x14ac:dyDescent="0.25"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76"/>
      <c r="S290" s="76"/>
      <c r="T290" s="88"/>
      <c r="U290" s="76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</row>
    <row r="291" spans="8:32" x14ac:dyDescent="0.25"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76"/>
      <c r="S291" s="76"/>
      <c r="T291" s="88"/>
      <c r="U291" s="76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</row>
    <row r="292" spans="8:32" x14ac:dyDescent="0.25"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76"/>
      <c r="S292" s="76"/>
      <c r="T292" s="88"/>
      <c r="U292" s="76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</row>
    <row r="293" spans="8:32" x14ac:dyDescent="0.25"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76"/>
      <c r="S293" s="76"/>
      <c r="T293" s="88"/>
      <c r="U293" s="76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</row>
    <row r="294" spans="8:32" x14ac:dyDescent="0.25"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76"/>
      <c r="S294" s="76"/>
      <c r="T294" s="88"/>
      <c r="U294" s="76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</row>
    <row r="295" spans="8:32" x14ac:dyDescent="0.25"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76"/>
      <c r="S295" s="76"/>
      <c r="T295" s="88"/>
      <c r="U295" s="76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</row>
    <row r="296" spans="8:32" x14ac:dyDescent="0.25"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76"/>
      <c r="S296" s="76"/>
      <c r="T296" s="88"/>
      <c r="U296" s="76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</row>
    <row r="297" spans="8:32" x14ac:dyDescent="0.25"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76"/>
      <c r="S297" s="76"/>
      <c r="T297" s="88"/>
      <c r="U297" s="76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</row>
    <row r="298" spans="8:32" x14ac:dyDescent="0.25"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76"/>
      <c r="S298" s="76"/>
      <c r="T298" s="88"/>
      <c r="U298" s="76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</row>
    <row r="299" spans="8:32" x14ac:dyDescent="0.25"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76"/>
      <c r="S299" s="76"/>
      <c r="T299" s="88"/>
      <c r="U299" s="76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</row>
    <row r="300" spans="8:32" x14ac:dyDescent="0.25"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76"/>
      <c r="S300" s="76"/>
      <c r="T300" s="88"/>
      <c r="U300" s="76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</row>
    <row r="301" spans="8:32" x14ac:dyDescent="0.25"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76"/>
      <c r="S301" s="76"/>
      <c r="T301" s="88"/>
      <c r="U301" s="76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</row>
    <row r="302" spans="8:32" x14ac:dyDescent="0.25"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76"/>
      <c r="S302" s="76"/>
      <c r="T302" s="88"/>
      <c r="U302" s="76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</row>
    <row r="303" spans="8:32" x14ac:dyDescent="0.25"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76"/>
      <c r="S303" s="76"/>
      <c r="T303" s="88"/>
      <c r="U303" s="76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</row>
    <row r="304" spans="8:32" x14ac:dyDescent="0.25"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76"/>
      <c r="S304" s="76"/>
      <c r="T304" s="88"/>
      <c r="U304" s="76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</row>
    <row r="305" spans="8:32" x14ac:dyDescent="0.25"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76"/>
      <c r="S305" s="76"/>
      <c r="T305" s="88"/>
      <c r="U305" s="76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</row>
    <row r="306" spans="8:32" x14ac:dyDescent="0.25"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76"/>
      <c r="S306" s="76"/>
      <c r="T306" s="88"/>
      <c r="U306" s="76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</row>
    <row r="307" spans="8:32" x14ac:dyDescent="0.25"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76"/>
      <c r="S307" s="76"/>
      <c r="T307" s="88"/>
      <c r="U307" s="76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</row>
    <row r="308" spans="8:32" x14ac:dyDescent="0.25"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76"/>
      <c r="S308" s="76"/>
      <c r="T308" s="88"/>
      <c r="U308" s="76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</row>
    <row r="309" spans="8:32" x14ac:dyDescent="0.25"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76"/>
      <c r="S309" s="76"/>
      <c r="T309" s="88"/>
      <c r="U309" s="76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</row>
    <row r="310" spans="8:32" x14ac:dyDescent="0.25"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76"/>
      <c r="S310" s="76"/>
      <c r="T310" s="88"/>
      <c r="U310" s="76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</row>
    <row r="311" spans="8:32" x14ac:dyDescent="0.25"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76"/>
      <c r="S311" s="76"/>
      <c r="T311" s="88"/>
      <c r="U311" s="76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</row>
    <row r="312" spans="8:32" x14ac:dyDescent="0.25"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76"/>
      <c r="S312" s="76"/>
      <c r="T312" s="88"/>
      <c r="U312" s="76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</row>
    <row r="313" spans="8:32" x14ac:dyDescent="0.25"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76"/>
      <c r="S313" s="76"/>
      <c r="T313" s="88"/>
      <c r="U313" s="76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</row>
    <row r="314" spans="8:32" x14ac:dyDescent="0.25"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76"/>
      <c r="S314" s="76"/>
      <c r="T314" s="88"/>
      <c r="U314" s="76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</row>
    <row r="315" spans="8:32" x14ac:dyDescent="0.25"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76"/>
      <c r="S315" s="76"/>
      <c r="T315" s="88"/>
      <c r="U315" s="76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</row>
    <row r="316" spans="8:32" x14ac:dyDescent="0.25"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76"/>
      <c r="S316" s="76"/>
      <c r="T316" s="88"/>
      <c r="U316" s="76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</row>
    <row r="317" spans="8:32" x14ac:dyDescent="0.25"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76"/>
      <c r="S317" s="76"/>
      <c r="T317" s="88"/>
      <c r="U317" s="76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</row>
    <row r="318" spans="8:32" x14ac:dyDescent="0.25"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76"/>
      <c r="S318" s="76"/>
      <c r="T318" s="88"/>
      <c r="U318" s="76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</row>
    <row r="319" spans="8:32" x14ac:dyDescent="0.25"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76"/>
      <c r="S319" s="76"/>
      <c r="T319" s="88"/>
      <c r="U319" s="76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</row>
    <row r="320" spans="8:32" x14ac:dyDescent="0.25"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76"/>
      <c r="S320" s="76"/>
      <c r="T320" s="88"/>
      <c r="U320" s="76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</row>
    <row r="321" spans="8:32" x14ac:dyDescent="0.25"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76"/>
      <c r="S321" s="76"/>
      <c r="T321" s="88"/>
      <c r="U321" s="76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</row>
    <row r="322" spans="8:32" x14ac:dyDescent="0.25"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76"/>
      <c r="S322" s="76"/>
      <c r="T322" s="88"/>
      <c r="U322" s="76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</row>
    <row r="323" spans="8:32" x14ac:dyDescent="0.25"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76"/>
      <c r="S323" s="76"/>
      <c r="T323" s="88"/>
      <c r="U323" s="76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</row>
    <row r="324" spans="8:32" x14ac:dyDescent="0.25"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76"/>
      <c r="S324" s="76"/>
      <c r="T324" s="88"/>
      <c r="U324" s="76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</row>
    <row r="325" spans="8:32" x14ac:dyDescent="0.25"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76"/>
      <c r="S325" s="76"/>
      <c r="T325" s="88"/>
      <c r="U325" s="76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</row>
    <row r="326" spans="8:32" x14ac:dyDescent="0.25"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76"/>
      <c r="S326" s="76"/>
      <c r="T326" s="88"/>
      <c r="U326" s="76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</row>
    <row r="327" spans="8:32" x14ac:dyDescent="0.25"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76"/>
      <c r="S327" s="76"/>
      <c r="T327" s="88"/>
      <c r="U327" s="76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</row>
    <row r="328" spans="8:32" x14ac:dyDescent="0.25"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76"/>
      <c r="S328" s="76"/>
      <c r="T328" s="88"/>
      <c r="U328" s="76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</row>
    <row r="329" spans="8:32" x14ac:dyDescent="0.25"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76"/>
      <c r="S329" s="76"/>
      <c r="T329" s="88"/>
      <c r="U329" s="76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</row>
    <row r="330" spans="8:32" x14ac:dyDescent="0.25"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76"/>
      <c r="S330" s="76"/>
      <c r="T330" s="88"/>
      <c r="U330" s="76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</row>
    <row r="331" spans="8:32" x14ac:dyDescent="0.25"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76"/>
      <c r="S331" s="76"/>
      <c r="T331" s="88"/>
      <c r="U331" s="76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</row>
    <row r="332" spans="8:32" x14ac:dyDescent="0.25"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76"/>
      <c r="S332" s="76"/>
      <c r="T332" s="88"/>
      <c r="U332" s="76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</row>
    <row r="333" spans="8:32" x14ac:dyDescent="0.25"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76"/>
      <c r="S333" s="76"/>
      <c r="T333" s="88"/>
      <c r="U333" s="76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</row>
    <row r="334" spans="8:32" x14ac:dyDescent="0.25"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76"/>
      <c r="S334" s="76"/>
      <c r="T334" s="88"/>
      <c r="U334" s="76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</row>
    <row r="335" spans="8:32" x14ac:dyDescent="0.25"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76"/>
      <c r="S335" s="76"/>
      <c r="T335" s="88"/>
      <c r="U335" s="76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</row>
    <row r="336" spans="8:32" x14ac:dyDescent="0.25"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76"/>
      <c r="S336" s="76"/>
      <c r="T336" s="88"/>
      <c r="U336" s="76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</row>
    <row r="337" spans="8:32" x14ac:dyDescent="0.25"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76"/>
      <c r="S337" s="76"/>
      <c r="T337" s="88"/>
      <c r="U337" s="76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</row>
    <row r="338" spans="8:32" x14ac:dyDescent="0.25"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76"/>
      <c r="S338" s="76"/>
      <c r="T338" s="88"/>
      <c r="U338" s="76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</row>
    <row r="339" spans="8:32" x14ac:dyDescent="0.25"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76"/>
      <c r="S339" s="76"/>
      <c r="T339" s="88"/>
      <c r="U339" s="76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</row>
    <row r="340" spans="8:32" x14ac:dyDescent="0.25"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76"/>
      <c r="S340" s="76"/>
      <c r="T340" s="88"/>
      <c r="U340" s="76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</row>
    <row r="341" spans="8:32" x14ac:dyDescent="0.25"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76"/>
      <c r="S341" s="76"/>
      <c r="T341" s="88"/>
      <c r="U341" s="76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</row>
    <row r="342" spans="8:32" x14ac:dyDescent="0.25"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76"/>
      <c r="S342" s="76"/>
      <c r="T342" s="88"/>
      <c r="U342" s="76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</row>
    <row r="343" spans="8:32" x14ac:dyDescent="0.25"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76"/>
      <c r="S343" s="76"/>
      <c r="T343" s="88"/>
      <c r="U343" s="76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</row>
    <row r="344" spans="8:32" x14ac:dyDescent="0.25"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76"/>
      <c r="S344" s="76"/>
      <c r="T344" s="88"/>
      <c r="U344" s="76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</row>
    <row r="345" spans="8:32" x14ac:dyDescent="0.25"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76"/>
      <c r="S345" s="76"/>
      <c r="T345" s="88"/>
      <c r="U345" s="76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</row>
    <row r="346" spans="8:32" x14ac:dyDescent="0.25"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76"/>
      <c r="S346" s="76"/>
      <c r="T346" s="88"/>
      <c r="U346" s="76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</row>
    <row r="347" spans="8:32" x14ac:dyDescent="0.25"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76"/>
      <c r="S347" s="76"/>
      <c r="T347" s="88"/>
      <c r="U347" s="76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</row>
    <row r="348" spans="8:32" x14ac:dyDescent="0.25"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76"/>
      <c r="S348" s="76"/>
      <c r="T348" s="88"/>
      <c r="U348" s="76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</row>
    <row r="349" spans="8:32" x14ac:dyDescent="0.25"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76"/>
      <c r="S349" s="76"/>
      <c r="T349" s="88"/>
      <c r="U349" s="76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</row>
    <row r="350" spans="8:32" x14ac:dyDescent="0.25"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76"/>
      <c r="S350" s="76"/>
      <c r="T350" s="88"/>
      <c r="U350" s="76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</row>
    <row r="351" spans="8:32" x14ac:dyDescent="0.25"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76"/>
      <c r="S351" s="76"/>
      <c r="T351" s="88"/>
      <c r="U351" s="76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</row>
    <row r="352" spans="8:32" x14ac:dyDescent="0.25"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76"/>
      <c r="S352" s="76"/>
      <c r="T352" s="88"/>
      <c r="U352" s="76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</row>
    <row r="353" spans="8:32" x14ac:dyDescent="0.25"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76"/>
      <c r="S353" s="76"/>
      <c r="T353" s="88"/>
      <c r="U353" s="76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</row>
    <row r="354" spans="8:32" x14ac:dyDescent="0.25"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76"/>
      <c r="S354" s="76"/>
      <c r="T354" s="88"/>
      <c r="U354" s="76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</row>
    <row r="355" spans="8:32" x14ac:dyDescent="0.25"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76"/>
      <c r="S355" s="76"/>
      <c r="T355" s="88"/>
      <c r="U355" s="76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</row>
    <row r="356" spans="8:32" x14ac:dyDescent="0.25"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76"/>
      <c r="S356" s="76"/>
      <c r="T356" s="88"/>
      <c r="U356" s="76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</row>
    <row r="357" spans="8:32" x14ac:dyDescent="0.25"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76"/>
      <c r="S357" s="76"/>
      <c r="T357" s="88"/>
      <c r="U357" s="76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</row>
    <row r="358" spans="8:32" x14ac:dyDescent="0.25"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76"/>
      <c r="S358" s="76"/>
      <c r="T358" s="88"/>
      <c r="U358" s="76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</row>
    <row r="359" spans="8:32" x14ac:dyDescent="0.25"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76"/>
      <c r="S359" s="76"/>
      <c r="T359" s="88"/>
      <c r="U359" s="76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</row>
    <row r="360" spans="8:32" x14ac:dyDescent="0.25"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76"/>
      <c r="S360" s="76"/>
      <c r="T360" s="88"/>
      <c r="U360" s="76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</row>
    <row r="361" spans="8:32" x14ac:dyDescent="0.25"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76"/>
      <c r="S361" s="76"/>
      <c r="T361" s="88"/>
      <c r="U361" s="76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</row>
    <row r="362" spans="8:32" x14ac:dyDescent="0.25"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76"/>
      <c r="S362" s="76"/>
      <c r="T362" s="88"/>
      <c r="U362" s="76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</row>
    <row r="363" spans="8:32" x14ac:dyDescent="0.25"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76"/>
      <c r="S363" s="76"/>
      <c r="T363" s="88"/>
      <c r="U363" s="76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</row>
    <row r="364" spans="8:32" x14ac:dyDescent="0.25"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76"/>
      <c r="S364" s="76"/>
      <c r="T364" s="88"/>
      <c r="U364" s="76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</row>
    <row r="365" spans="8:32" x14ac:dyDescent="0.25"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76"/>
      <c r="S365" s="76"/>
      <c r="T365" s="88"/>
      <c r="U365" s="76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</row>
    <row r="366" spans="8:32" x14ac:dyDescent="0.25"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76"/>
      <c r="S366" s="76"/>
      <c r="T366" s="88"/>
      <c r="U366" s="76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</row>
    <row r="367" spans="8:32" x14ac:dyDescent="0.25"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76"/>
      <c r="S367" s="76"/>
      <c r="T367" s="88"/>
      <c r="U367" s="76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</row>
    <row r="368" spans="8:32" x14ac:dyDescent="0.25"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76"/>
      <c r="S368" s="76"/>
      <c r="T368" s="88"/>
      <c r="U368" s="76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</row>
    <row r="369" spans="8:32" x14ac:dyDescent="0.25"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76"/>
      <c r="S369" s="76"/>
      <c r="T369" s="88"/>
      <c r="U369" s="76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</row>
    <row r="370" spans="8:32" x14ac:dyDescent="0.25"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76"/>
      <c r="S370" s="76"/>
      <c r="T370" s="88"/>
      <c r="U370" s="76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</row>
    <row r="371" spans="8:32" x14ac:dyDescent="0.25"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76"/>
      <c r="S371" s="76"/>
      <c r="T371" s="88"/>
      <c r="U371" s="76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</row>
    <row r="372" spans="8:32" x14ac:dyDescent="0.25"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76"/>
      <c r="S372" s="76"/>
      <c r="T372" s="88"/>
      <c r="U372" s="76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</row>
    <row r="373" spans="8:32" x14ac:dyDescent="0.25"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76"/>
      <c r="S373" s="76"/>
      <c r="T373" s="88"/>
      <c r="U373" s="76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</row>
    <row r="374" spans="8:32" x14ac:dyDescent="0.25"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76"/>
      <c r="S374" s="76"/>
      <c r="T374" s="88"/>
      <c r="U374" s="76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</row>
    <row r="375" spans="8:32" x14ac:dyDescent="0.25"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76"/>
      <c r="S375" s="76"/>
      <c r="T375" s="88"/>
      <c r="U375" s="76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</row>
    <row r="376" spans="8:32" x14ac:dyDescent="0.25"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76"/>
      <c r="S376" s="76"/>
      <c r="T376" s="88"/>
      <c r="U376" s="76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</row>
    <row r="377" spans="8:32" x14ac:dyDescent="0.25"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76"/>
      <c r="S377" s="76"/>
      <c r="T377" s="88"/>
      <c r="U377" s="76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</row>
    <row r="378" spans="8:32" x14ac:dyDescent="0.25"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76"/>
      <c r="S378" s="76"/>
      <c r="T378" s="88"/>
      <c r="U378" s="76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</row>
    <row r="379" spans="8:32" x14ac:dyDescent="0.25"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76"/>
      <c r="S379" s="76"/>
      <c r="T379" s="88"/>
      <c r="U379" s="76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</row>
    <row r="380" spans="8:32" x14ac:dyDescent="0.25"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76"/>
      <c r="S380" s="76"/>
      <c r="T380" s="88"/>
      <c r="U380" s="76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</row>
    <row r="381" spans="8:32" x14ac:dyDescent="0.25"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76"/>
      <c r="S381" s="76"/>
      <c r="T381" s="88"/>
      <c r="U381" s="76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</row>
    <row r="382" spans="8:32" x14ac:dyDescent="0.25"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76"/>
      <c r="S382" s="76"/>
      <c r="T382" s="88"/>
      <c r="U382" s="76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</row>
    <row r="383" spans="8:32" x14ac:dyDescent="0.25"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76"/>
      <c r="S383" s="76"/>
      <c r="T383" s="88"/>
      <c r="U383" s="76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</row>
    <row r="384" spans="8:32" x14ac:dyDescent="0.25"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76"/>
      <c r="S384" s="76"/>
      <c r="T384" s="88"/>
      <c r="U384" s="76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</row>
    <row r="385" spans="8:32" x14ac:dyDescent="0.25"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76"/>
      <c r="S385" s="76"/>
      <c r="T385" s="88"/>
      <c r="U385" s="76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</row>
    <row r="386" spans="8:32" x14ac:dyDescent="0.25"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76"/>
      <c r="S386" s="76"/>
      <c r="T386" s="88"/>
      <c r="U386" s="76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</row>
    <row r="387" spans="8:32" x14ac:dyDescent="0.25"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76"/>
      <c r="S387" s="76"/>
      <c r="T387" s="88"/>
      <c r="U387" s="76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</row>
    <row r="388" spans="8:32" x14ac:dyDescent="0.25"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76"/>
      <c r="S388" s="76"/>
      <c r="T388" s="88"/>
      <c r="U388" s="76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</row>
    <row r="389" spans="8:32" x14ac:dyDescent="0.25"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76"/>
      <c r="S389" s="76"/>
      <c r="T389" s="88"/>
      <c r="U389" s="76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</row>
    <row r="390" spans="8:32" x14ac:dyDescent="0.25"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76"/>
      <c r="S390" s="76"/>
      <c r="T390" s="88"/>
      <c r="U390" s="76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</row>
    <row r="391" spans="8:32" x14ac:dyDescent="0.25"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76"/>
      <c r="S391" s="76"/>
      <c r="T391" s="88"/>
      <c r="U391" s="76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</row>
    <row r="392" spans="8:32" x14ac:dyDescent="0.25"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76"/>
      <c r="S392" s="76"/>
      <c r="T392" s="88"/>
      <c r="U392" s="76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</row>
    <row r="393" spans="8:32" x14ac:dyDescent="0.25"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76"/>
      <c r="S393" s="76"/>
      <c r="T393" s="88"/>
      <c r="U393" s="76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</row>
    <row r="394" spans="8:32" x14ac:dyDescent="0.25"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76"/>
      <c r="S394" s="76"/>
      <c r="T394" s="88"/>
      <c r="U394" s="76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</row>
    <row r="395" spans="8:32" x14ac:dyDescent="0.25"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76"/>
      <c r="S395" s="76"/>
      <c r="T395" s="88"/>
      <c r="U395" s="76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</row>
    <row r="396" spans="8:32" x14ac:dyDescent="0.25"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76"/>
      <c r="S396" s="76"/>
      <c r="T396" s="88"/>
      <c r="U396" s="76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</row>
    <row r="397" spans="8:32" x14ac:dyDescent="0.25"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76"/>
      <c r="S397" s="76"/>
      <c r="T397" s="88"/>
      <c r="U397" s="76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</row>
    <row r="398" spans="8:32" x14ac:dyDescent="0.25"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76"/>
      <c r="S398" s="76"/>
      <c r="T398" s="88"/>
      <c r="U398" s="76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</row>
    <row r="399" spans="8:32" x14ac:dyDescent="0.25"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76"/>
      <c r="S399" s="76"/>
      <c r="T399" s="88"/>
      <c r="U399" s="76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</row>
    <row r="400" spans="8:32" x14ac:dyDescent="0.25"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76"/>
      <c r="S400" s="76"/>
      <c r="T400" s="88"/>
      <c r="U400" s="76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</row>
    <row r="401" spans="8:32" x14ac:dyDescent="0.25"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76"/>
      <c r="S401" s="76"/>
      <c r="T401" s="88"/>
      <c r="U401" s="76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</row>
    <row r="402" spans="8:32" x14ac:dyDescent="0.25"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76"/>
      <c r="S402" s="76"/>
      <c r="T402" s="88"/>
      <c r="U402" s="76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</row>
    <row r="403" spans="8:32" x14ac:dyDescent="0.25"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76"/>
      <c r="S403" s="76"/>
      <c r="T403" s="88"/>
      <c r="U403" s="76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</row>
    <row r="404" spans="8:32" x14ac:dyDescent="0.25"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76"/>
      <c r="S404" s="76"/>
      <c r="T404" s="88"/>
      <c r="U404" s="76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</row>
    <row r="405" spans="8:32" x14ac:dyDescent="0.25"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76"/>
      <c r="S405" s="76"/>
      <c r="T405" s="88"/>
      <c r="U405" s="76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</row>
    <row r="406" spans="8:32" x14ac:dyDescent="0.25"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76"/>
      <c r="S406" s="76"/>
      <c r="T406" s="88"/>
      <c r="U406" s="76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</row>
    <row r="407" spans="8:32" x14ac:dyDescent="0.25"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76"/>
      <c r="S407" s="76"/>
      <c r="T407" s="88"/>
      <c r="U407" s="76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</row>
    <row r="408" spans="8:32" x14ac:dyDescent="0.25"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76"/>
      <c r="S408" s="76"/>
      <c r="T408" s="88"/>
      <c r="U408" s="76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</row>
    <row r="409" spans="8:32" x14ac:dyDescent="0.25"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76"/>
      <c r="S409" s="76"/>
      <c r="T409" s="88"/>
      <c r="U409" s="76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</row>
    <row r="410" spans="8:32" x14ac:dyDescent="0.25"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76"/>
      <c r="S410" s="76"/>
      <c r="T410" s="88"/>
      <c r="U410" s="76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</row>
    <row r="411" spans="8:32" x14ac:dyDescent="0.25"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76"/>
      <c r="S411" s="76"/>
      <c r="T411" s="88"/>
      <c r="U411" s="76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</row>
    <row r="412" spans="8:32" x14ac:dyDescent="0.25"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76"/>
      <c r="S412" s="76"/>
      <c r="T412" s="88"/>
      <c r="U412" s="76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</row>
    <row r="413" spans="8:32" x14ac:dyDescent="0.25"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76"/>
      <c r="S413" s="76"/>
      <c r="T413" s="88"/>
      <c r="U413" s="76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</row>
    <row r="414" spans="8:32" x14ac:dyDescent="0.25"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76"/>
      <c r="S414" s="76"/>
      <c r="T414" s="88"/>
      <c r="U414" s="76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</row>
    <row r="415" spans="8:32" x14ac:dyDescent="0.25"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76"/>
      <c r="S415" s="76"/>
      <c r="T415" s="88"/>
      <c r="U415" s="76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</row>
    <row r="416" spans="8:32" x14ac:dyDescent="0.25"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76"/>
      <c r="S416" s="76"/>
      <c r="T416" s="88"/>
      <c r="U416" s="76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</row>
    <row r="417" spans="8:32" x14ac:dyDescent="0.25"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76"/>
      <c r="S417" s="76"/>
      <c r="T417" s="88"/>
      <c r="U417" s="76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</row>
    <row r="418" spans="8:32" x14ac:dyDescent="0.25"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76"/>
      <c r="S418" s="76"/>
      <c r="T418" s="88"/>
      <c r="U418" s="76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</row>
    <row r="419" spans="8:32" x14ac:dyDescent="0.25"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76"/>
      <c r="S419" s="76"/>
      <c r="T419" s="88"/>
      <c r="U419" s="76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</row>
    <row r="420" spans="8:32" x14ac:dyDescent="0.25"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76"/>
      <c r="S420" s="76"/>
      <c r="T420" s="88"/>
      <c r="U420" s="76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</row>
    <row r="421" spans="8:32" x14ac:dyDescent="0.25"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76"/>
      <c r="S421" s="76"/>
      <c r="T421" s="88"/>
      <c r="U421" s="76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</row>
    <row r="422" spans="8:32" x14ac:dyDescent="0.25"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76"/>
      <c r="S422" s="76"/>
      <c r="T422" s="88"/>
      <c r="U422" s="76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</row>
    <row r="423" spans="8:32" x14ac:dyDescent="0.25"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76"/>
      <c r="S423" s="76"/>
      <c r="T423" s="88"/>
      <c r="U423" s="76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</row>
    <row r="424" spans="8:32" x14ac:dyDescent="0.25"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76"/>
      <c r="S424" s="76"/>
      <c r="T424" s="88"/>
      <c r="U424" s="76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</row>
    <row r="425" spans="8:32" x14ac:dyDescent="0.25"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76"/>
      <c r="S425" s="76"/>
      <c r="T425" s="88"/>
      <c r="U425" s="76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</row>
    <row r="426" spans="8:32" x14ac:dyDescent="0.25"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76"/>
      <c r="S426" s="76"/>
      <c r="T426" s="88"/>
      <c r="U426" s="76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</row>
    <row r="427" spans="8:32" x14ac:dyDescent="0.25"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76"/>
      <c r="S427" s="76"/>
      <c r="T427" s="88"/>
      <c r="U427" s="76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</row>
    <row r="428" spans="8:32" x14ac:dyDescent="0.25"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76"/>
      <c r="S428" s="76"/>
      <c r="T428" s="88"/>
      <c r="U428" s="76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</row>
    <row r="429" spans="8:32" x14ac:dyDescent="0.25"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76"/>
      <c r="S429" s="76"/>
      <c r="T429" s="88"/>
      <c r="U429" s="76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</row>
    <row r="430" spans="8:32" x14ac:dyDescent="0.25"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76"/>
      <c r="S430" s="76"/>
      <c r="T430" s="88"/>
      <c r="U430" s="76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</row>
    <row r="431" spans="8:32" x14ac:dyDescent="0.25"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76"/>
      <c r="S431" s="76"/>
      <c r="T431" s="88"/>
      <c r="U431" s="76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</row>
    <row r="432" spans="8:32" x14ac:dyDescent="0.25"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76"/>
      <c r="S432" s="76"/>
      <c r="T432" s="88"/>
      <c r="U432" s="76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</row>
    <row r="433" spans="8:32" x14ac:dyDescent="0.25"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76"/>
      <c r="S433" s="76"/>
      <c r="T433" s="88"/>
      <c r="U433" s="76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</row>
    <row r="434" spans="8:32" x14ac:dyDescent="0.25"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76"/>
      <c r="S434" s="76"/>
      <c r="T434" s="88"/>
      <c r="U434" s="76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</row>
    <row r="435" spans="8:32" x14ac:dyDescent="0.25"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76"/>
      <c r="S435" s="76"/>
      <c r="T435" s="88"/>
      <c r="U435" s="76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</row>
    <row r="436" spans="8:32" x14ac:dyDescent="0.25"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76"/>
      <c r="S436" s="76"/>
      <c r="T436" s="88"/>
      <c r="U436" s="76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</row>
    <row r="437" spans="8:32" x14ac:dyDescent="0.25"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76"/>
      <c r="S437" s="76"/>
      <c r="T437" s="88"/>
      <c r="U437" s="76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</row>
    <row r="438" spans="8:32" x14ac:dyDescent="0.25"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76"/>
      <c r="S438" s="76"/>
      <c r="T438" s="88"/>
      <c r="U438" s="76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</row>
    <row r="439" spans="8:32" x14ac:dyDescent="0.25"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76"/>
      <c r="S439" s="76"/>
      <c r="T439" s="88"/>
      <c r="U439" s="76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</row>
    <row r="440" spans="8:32" x14ac:dyDescent="0.25"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76"/>
      <c r="S440" s="76"/>
      <c r="T440" s="88"/>
      <c r="U440" s="76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</row>
    <row r="441" spans="8:32" x14ac:dyDescent="0.25"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76"/>
      <c r="S441" s="76"/>
      <c r="T441" s="88"/>
      <c r="U441" s="76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</row>
    <row r="442" spans="8:32" x14ac:dyDescent="0.25"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76"/>
      <c r="S442" s="76"/>
      <c r="T442" s="88"/>
      <c r="U442" s="76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</row>
    <row r="443" spans="8:32" x14ac:dyDescent="0.25"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76"/>
      <c r="S443" s="76"/>
      <c r="T443" s="88"/>
      <c r="U443" s="76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</row>
    <row r="444" spans="8:32" x14ac:dyDescent="0.25"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76"/>
      <c r="S444" s="76"/>
      <c r="T444" s="88"/>
      <c r="U444" s="76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</row>
    <row r="445" spans="8:32" x14ac:dyDescent="0.25"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76"/>
      <c r="S445" s="76"/>
      <c r="T445" s="88"/>
      <c r="U445" s="76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</row>
    <row r="446" spans="8:32" x14ac:dyDescent="0.25"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76"/>
      <c r="S446" s="76"/>
      <c r="T446" s="88"/>
      <c r="U446" s="76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</row>
    <row r="447" spans="8:32" x14ac:dyDescent="0.25"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76"/>
      <c r="S447" s="76"/>
      <c r="T447" s="88"/>
      <c r="U447" s="76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</row>
    <row r="448" spans="8:32" x14ac:dyDescent="0.25"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76"/>
      <c r="S448" s="76"/>
      <c r="T448" s="88"/>
      <c r="U448" s="76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</row>
    <row r="449" spans="8:32" x14ac:dyDescent="0.25"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76"/>
      <c r="S449" s="76"/>
      <c r="T449" s="88"/>
      <c r="U449" s="76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</row>
    <row r="450" spans="8:32" x14ac:dyDescent="0.25"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76"/>
      <c r="S450" s="76"/>
      <c r="T450" s="88"/>
      <c r="U450" s="76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</row>
    <row r="451" spans="8:32" x14ac:dyDescent="0.25"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76"/>
      <c r="S451" s="76"/>
      <c r="T451" s="88"/>
      <c r="U451" s="76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</row>
    <row r="452" spans="8:32" x14ac:dyDescent="0.25"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76"/>
      <c r="S452" s="76"/>
      <c r="T452" s="88"/>
      <c r="U452" s="76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</row>
    <row r="453" spans="8:32" x14ac:dyDescent="0.25"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76"/>
      <c r="S453" s="76"/>
      <c r="T453" s="88"/>
      <c r="U453" s="76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</row>
    <row r="454" spans="8:32" x14ac:dyDescent="0.25"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76"/>
      <c r="S454" s="76"/>
      <c r="T454" s="88"/>
      <c r="U454" s="76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</row>
    <row r="455" spans="8:32" x14ac:dyDescent="0.25"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76"/>
      <c r="S455" s="76"/>
      <c r="T455" s="88"/>
      <c r="U455" s="76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</row>
    <row r="456" spans="8:32" x14ac:dyDescent="0.25"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76"/>
      <c r="S456" s="76"/>
      <c r="T456" s="88"/>
      <c r="U456" s="76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</row>
    <row r="457" spans="8:32" x14ac:dyDescent="0.25"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76"/>
      <c r="S457" s="76"/>
      <c r="T457" s="88"/>
      <c r="U457" s="76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</row>
    <row r="458" spans="8:32" x14ac:dyDescent="0.25"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76"/>
      <c r="S458" s="76"/>
      <c r="T458" s="88"/>
      <c r="U458" s="76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</row>
    <row r="459" spans="8:32" x14ac:dyDescent="0.25"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76"/>
      <c r="S459" s="76"/>
      <c r="T459" s="88"/>
      <c r="U459" s="76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</row>
    <row r="460" spans="8:32" x14ac:dyDescent="0.25"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76"/>
      <c r="S460" s="76"/>
      <c r="T460" s="88"/>
      <c r="U460" s="76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</row>
    <row r="461" spans="8:32" x14ac:dyDescent="0.25"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76"/>
      <c r="S461" s="76"/>
      <c r="T461" s="88"/>
      <c r="U461" s="76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</row>
    <row r="462" spans="8:32" x14ac:dyDescent="0.25"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76"/>
      <c r="S462" s="76"/>
      <c r="T462" s="88"/>
      <c r="U462" s="76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</row>
    <row r="463" spans="8:32" x14ac:dyDescent="0.25"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76"/>
      <c r="S463" s="76"/>
      <c r="T463" s="88"/>
      <c r="U463" s="76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</row>
    <row r="464" spans="8:32" x14ac:dyDescent="0.25"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76"/>
      <c r="S464" s="76"/>
      <c r="T464" s="88"/>
      <c r="U464" s="76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</row>
    <row r="465" spans="8:32" x14ac:dyDescent="0.25"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76"/>
      <c r="S465" s="76"/>
      <c r="T465" s="88"/>
      <c r="U465" s="76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</row>
    <row r="466" spans="8:32" x14ac:dyDescent="0.25"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76"/>
      <c r="S466" s="76"/>
      <c r="T466" s="88"/>
      <c r="U466" s="76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</row>
    <row r="467" spans="8:32" x14ac:dyDescent="0.25"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76"/>
      <c r="S467" s="76"/>
      <c r="T467" s="88"/>
      <c r="U467" s="76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</row>
    <row r="468" spans="8:32" x14ac:dyDescent="0.25"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76"/>
      <c r="S468" s="76"/>
      <c r="T468" s="88"/>
      <c r="U468" s="76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</row>
    <row r="469" spans="8:32" x14ac:dyDescent="0.25"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76"/>
      <c r="S469" s="76"/>
      <c r="T469" s="88"/>
      <c r="U469" s="76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</row>
    <row r="470" spans="8:32" x14ac:dyDescent="0.25"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76"/>
      <c r="S470" s="76"/>
      <c r="T470" s="88"/>
      <c r="U470" s="76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</row>
    <row r="471" spans="8:32" x14ac:dyDescent="0.25"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76"/>
      <c r="S471" s="76"/>
      <c r="T471" s="88"/>
      <c r="U471" s="76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</row>
    <row r="472" spans="8:32" x14ac:dyDescent="0.25"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76"/>
      <c r="S472" s="76"/>
      <c r="T472" s="88"/>
      <c r="U472" s="76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</row>
    <row r="473" spans="8:32" x14ac:dyDescent="0.25"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76"/>
      <c r="S473" s="76"/>
      <c r="T473" s="88"/>
      <c r="U473" s="76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</row>
    <row r="474" spans="8:32" x14ac:dyDescent="0.25"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76"/>
      <c r="S474" s="76"/>
      <c r="T474" s="88"/>
      <c r="U474" s="76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</row>
    <row r="475" spans="8:32" x14ac:dyDescent="0.25"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76"/>
      <c r="S475" s="76"/>
      <c r="T475" s="88"/>
      <c r="U475" s="76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</row>
    <row r="476" spans="8:32" x14ac:dyDescent="0.25"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76"/>
      <c r="S476" s="76"/>
      <c r="T476" s="88"/>
      <c r="U476" s="76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</row>
    <row r="477" spans="8:32" x14ac:dyDescent="0.25"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76"/>
      <c r="S477" s="76"/>
      <c r="T477" s="88"/>
      <c r="U477" s="76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</row>
    <row r="478" spans="8:32" x14ac:dyDescent="0.25"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76"/>
      <c r="S478" s="76"/>
      <c r="T478" s="88"/>
      <c r="U478" s="76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</row>
    <row r="479" spans="8:32" x14ac:dyDescent="0.25"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76"/>
      <c r="S479" s="76"/>
      <c r="T479" s="88"/>
      <c r="U479" s="76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</row>
    <row r="480" spans="8:32" x14ac:dyDescent="0.25"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76"/>
      <c r="S480" s="76"/>
      <c r="T480" s="88"/>
      <c r="U480" s="76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</row>
    <row r="481" spans="8:32" x14ac:dyDescent="0.25"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76"/>
      <c r="S481" s="76"/>
      <c r="T481" s="88"/>
      <c r="U481" s="76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</row>
    <row r="482" spans="8:32" x14ac:dyDescent="0.25"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76"/>
      <c r="S482" s="76"/>
      <c r="T482" s="88"/>
      <c r="U482" s="76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</row>
    <row r="483" spans="8:32" x14ac:dyDescent="0.25"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76"/>
      <c r="S483" s="76"/>
      <c r="T483" s="88"/>
      <c r="U483" s="76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</row>
    <row r="484" spans="8:32" x14ac:dyDescent="0.25"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76"/>
      <c r="S484" s="76"/>
      <c r="T484" s="88"/>
      <c r="U484" s="76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</row>
    <row r="485" spans="8:32" x14ac:dyDescent="0.25"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76"/>
      <c r="S485" s="76"/>
      <c r="T485" s="88"/>
      <c r="U485" s="76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</row>
    <row r="486" spans="8:32" x14ac:dyDescent="0.25"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76"/>
      <c r="S486" s="76"/>
      <c r="T486" s="88"/>
      <c r="U486" s="76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</row>
    <row r="487" spans="8:32" x14ac:dyDescent="0.25"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76"/>
      <c r="S487" s="76"/>
      <c r="T487" s="88"/>
      <c r="U487" s="76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</row>
    <row r="488" spans="8:32" x14ac:dyDescent="0.25"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76"/>
      <c r="S488" s="76"/>
      <c r="T488" s="88"/>
      <c r="U488" s="76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</row>
    <row r="489" spans="8:32" x14ac:dyDescent="0.25"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76"/>
      <c r="S489" s="76"/>
      <c r="T489" s="88"/>
      <c r="U489" s="76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</row>
    <row r="490" spans="8:32" x14ac:dyDescent="0.25"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76"/>
      <c r="S490" s="76"/>
      <c r="T490" s="88"/>
      <c r="U490" s="76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</row>
    <row r="491" spans="8:32" x14ac:dyDescent="0.25"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76"/>
      <c r="S491" s="76"/>
      <c r="T491" s="88"/>
      <c r="U491" s="76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</row>
    <row r="492" spans="8:32" x14ac:dyDescent="0.25"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76"/>
      <c r="S492" s="76"/>
      <c r="T492" s="88"/>
      <c r="U492" s="76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</row>
    <row r="493" spans="8:32" x14ac:dyDescent="0.25"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76"/>
      <c r="S493" s="76"/>
      <c r="T493" s="88"/>
      <c r="U493" s="76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</row>
    <row r="494" spans="8:32" x14ac:dyDescent="0.25"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76"/>
      <c r="S494" s="76"/>
      <c r="T494" s="88"/>
      <c r="U494" s="76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</row>
    <row r="495" spans="8:32" x14ac:dyDescent="0.25"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76"/>
      <c r="S495" s="76"/>
      <c r="T495" s="88"/>
      <c r="U495" s="76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</row>
    <row r="496" spans="8:32" x14ac:dyDescent="0.25"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76"/>
      <c r="S496" s="76"/>
      <c r="T496" s="88"/>
      <c r="U496" s="76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</row>
    <row r="497" spans="8:32" x14ac:dyDescent="0.25"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76"/>
      <c r="S497" s="76"/>
      <c r="T497" s="88"/>
      <c r="U497" s="76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</row>
    <row r="498" spans="8:32" x14ac:dyDescent="0.25"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76"/>
      <c r="S498" s="76"/>
      <c r="T498" s="88"/>
      <c r="U498" s="76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</row>
    <row r="499" spans="8:32" x14ac:dyDescent="0.25"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76"/>
      <c r="S499" s="76"/>
      <c r="T499" s="88"/>
      <c r="U499" s="76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</row>
    <row r="500" spans="8:32" x14ac:dyDescent="0.25"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76"/>
      <c r="S500" s="76"/>
      <c r="T500" s="88"/>
      <c r="U500" s="76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</row>
    <row r="501" spans="8:32" x14ac:dyDescent="0.25"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76"/>
      <c r="S501" s="76"/>
      <c r="T501" s="88"/>
      <c r="U501" s="76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</row>
    <row r="502" spans="8:32" x14ac:dyDescent="0.25"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76"/>
      <c r="S502" s="76"/>
      <c r="T502" s="88"/>
      <c r="U502" s="76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</row>
    <row r="503" spans="8:32" x14ac:dyDescent="0.25"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76"/>
      <c r="S503" s="76"/>
      <c r="T503" s="88"/>
      <c r="U503" s="76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</row>
    <row r="504" spans="8:32" x14ac:dyDescent="0.25"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76"/>
      <c r="S504" s="76"/>
      <c r="T504" s="88"/>
      <c r="U504" s="76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</row>
    <row r="505" spans="8:32" x14ac:dyDescent="0.25"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76"/>
      <c r="S505" s="76"/>
      <c r="T505" s="88"/>
      <c r="U505" s="76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</row>
    <row r="506" spans="8:32" x14ac:dyDescent="0.25"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76"/>
      <c r="S506" s="76"/>
      <c r="T506" s="88"/>
      <c r="U506" s="76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</row>
    <row r="507" spans="8:32" x14ac:dyDescent="0.25"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76"/>
      <c r="S507" s="76"/>
      <c r="T507" s="88"/>
      <c r="U507" s="76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</row>
    <row r="508" spans="8:32" x14ac:dyDescent="0.25"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76"/>
      <c r="S508" s="76"/>
      <c r="T508" s="88"/>
      <c r="U508" s="76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</row>
    <row r="509" spans="8:32" x14ac:dyDescent="0.25"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76"/>
      <c r="S509" s="76"/>
      <c r="T509" s="88"/>
      <c r="U509" s="76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</row>
    <row r="510" spans="8:32" x14ac:dyDescent="0.25"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76"/>
      <c r="S510" s="76"/>
      <c r="T510" s="88"/>
      <c r="U510" s="76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</row>
    <row r="511" spans="8:32" x14ac:dyDescent="0.25"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76"/>
      <c r="S511" s="76"/>
      <c r="T511" s="88"/>
      <c r="U511" s="76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</row>
    <row r="512" spans="8:32" x14ac:dyDescent="0.25"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76"/>
      <c r="S512" s="76"/>
      <c r="T512" s="88"/>
      <c r="U512" s="76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</row>
    <row r="513" spans="8:32" x14ac:dyDescent="0.25"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76"/>
      <c r="S513" s="76"/>
      <c r="T513" s="88"/>
      <c r="U513" s="76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</row>
    <row r="514" spans="8:32" x14ac:dyDescent="0.25"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76"/>
      <c r="S514" s="76"/>
      <c r="T514" s="88"/>
      <c r="U514" s="76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</row>
    <row r="515" spans="8:32" x14ac:dyDescent="0.25"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76"/>
      <c r="S515" s="76"/>
      <c r="T515" s="88"/>
      <c r="U515" s="76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</row>
    <row r="516" spans="8:32" x14ac:dyDescent="0.25"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76"/>
      <c r="S516" s="76"/>
      <c r="T516" s="88"/>
      <c r="U516" s="76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</row>
    <row r="517" spans="8:32" x14ac:dyDescent="0.25"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76"/>
      <c r="S517" s="76"/>
      <c r="T517" s="88"/>
      <c r="U517" s="76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</row>
    <row r="518" spans="8:32" x14ac:dyDescent="0.25"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76"/>
      <c r="S518" s="76"/>
      <c r="T518" s="88"/>
      <c r="U518" s="76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</row>
    <row r="519" spans="8:32" x14ac:dyDescent="0.25"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76"/>
      <c r="S519" s="76"/>
      <c r="T519" s="88"/>
      <c r="U519" s="76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</row>
    <row r="520" spans="8:32" x14ac:dyDescent="0.25"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76"/>
      <c r="S520" s="76"/>
      <c r="T520" s="88"/>
      <c r="U520" s="76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</row>
    <row r="521" spans="8:32" x14ac:dyDescent="0.25"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76"/>
      <c r="S521" s="76"/>
      <c r="T521" s="88"/>
      <c r="U521" s="76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</row>
    <row r="522" spans="8:32" x14ac:dyDescent="0.25"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76"/>
      <c r="S522" s="76"/>
      <c r="T522" s="88"/>
      <c r="U522" s="76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</row>
    <row r="523" spans="8:32" x14ac:dyDescent="0.25"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76"/>
      <c r="S523" s="76"/>
      <c r="T523" s="88"/>
      <c r="U523" s="76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</row>
    <row r="524" spans="8:32" x14ac:dyDescent="0.25"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76"/>
      <c r="S524" s="76"/>
      <c r="T524" s="88"/>
      <c r="U524" s="76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</row>
    <row r="525" spans="8:32" x14ac:dyDescent="0.25"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76"/>
      <c r="S525" s="76"/>
      <c r="T525" s="88"/>
      <c r="U525" s="76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</row>
    <row r="526" spans="8:32" x14ac:dyDescent="0.25"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76"/>
      <c r="S526" s="76"/>
      <c r="T526" s="88"/>
      <c r="U526" s="76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</row>
    <row r="527" spans="8:32" x14ac:dyDescent="0.25"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76"/>
      <c r="S527" s="76"/>
      <c r="T527" s="88"/>
      <c r="U527" s="76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</row>
    <row r="528" spans="8:32" x14ac:dyDescent="0.25"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76"/>
      <c r="S528" s="76"/>
      <c r="T528" s="88"/>
      <c r="U528" s="76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</row>
    <row r="529" spans="8:32" x14ac:dyDescent="0.25"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76"/>
      <c r="S529" s="76"/>
      <c r="T529" s="88"/>
      <c r="U529" s="76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</row>
    <row r="530" spans="8:32" x14ac:dyDescent="0.25"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76"/>
      <c r="S530" s="76"/>
      <c r="T530" s="88"/>
      <c r="U530" s="76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</row>
    <row r="531" spans="8:32" x14ac:dyDescent="0.25"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76"/>
      <c r="S531" s="76"/>
      <c r="T531" s="88"/>
      <c r="U531" s="76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</row>
    <row r="532" spans="8:32" x14ac:dyDescent="0.25"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76"/>
      <c r="S532" s="76"/>
      <c r="T532" s="88"/>
      <c r="U532" s="76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</row>
    <row r="533" spans="8:32" x14ac:dyDescent="0.25"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76"/>
      <c r="S533" s="76"/>
      <c r="T533" s="88"/>
      <c r="U533" s="76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</row>
    <row r="534" spans="8:32" x14ac:dyDescent="0.25"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76"/>
      <c r="S534" s="76"/>
      <c r="T534" s="88"/>
      <c r="U534" s="76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</row>
    <row r="535" spans="8:32" x14ac:dyDescent="0.25"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76"/>
      <c r="S535" s="76"/>
      <c r="T535" s="88"/>
      <c r="U535" s="76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</row>
    <row r="536" spans="8:32" x14ac:dyDescent="0.25"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76"/>
      <c r="S536" s="76"/>
      <c r="T536" s="88"/>
      <c r="U536" s="76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</row>
    <row r="537" spans="8:32" x14ac:dyDescent="0.25"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76"/>
      <c r="S537" s="76"/>
      <c r="T537" s="88"/>
      <c r="U537" s="76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</row>
    <row r="538" spans="8:32" x14ac:dyDescent="0.25"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76"/>
      <c r="S538" s="76"/>
      <c r="T538" s="88"/>
      <c r="U538" s="76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</row>
    <row r="539" spans="8:32" x14ac:dyDescent="0.25"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76"/>
      <c r="S539" s="76"/>
      <c r="T539" s="88"/>
      <c r="U539" s="76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</row>
    <row r="540" spans="8:32" x14ac:dyDescent="0.25"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76"/>
      <c r="S540" s="76"/>
      <c r="T540" s="88"/>
      <c r="U540" s="76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</row>
    <row r="541" spans="8:32" x14ac:dyDescent="0.25"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76"/>
      <c r="S541" s="76"/>
      <c r="T541" s="88"/>
      <c r="U541" s="76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</row>
    <row r="542" spans="8:32" x14ac:dyDescent="0.25"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76"/>
      <c r="S542" s="76"/>
      <c r="T542" s="88"/>
      <c r="U542" s="76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</row>
    <row r="543" spans="8:32" x14ac:dyDescent="0.25"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76"/>
      <c r="S543" s="76"/>
      <c r="T543" s="88"/>
      <c r="U543" s="76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</row>
    <row r="544" spans="8:32" x14ac:dyDescent="0.25"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76"/>
      <c r="S544" s="76"/>
      <c r="T544" s="88"/>
      <c r="U544" s="76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</row>
    <row r="545" spans="8:32" x14ac:dyDescent="0.25"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76"/>
      <c r="S545" s="76"/>
      <c r="T545" s="88"/>
      <c r="U545" s="76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</row>
    <row r="546" spans="8:32" x14ac:dyDescent="0.25"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76"/>
      <c r="S546" s="76"/>
      <c r="T546" s="88"/>
      <c r="U546" s="76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</row>
    <row r="547" spans="8:32" x14ac:dyDescent="0.25"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76"/>
      <c r="S547" s="76"/>
      <c r="T547" s="88"/>
      <c r="U547" s="76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</row>
    <row r="548" spans="8:32" x14ac:dyDescent="0.25"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76"/>
      <c r="S548" s="76"/>
      <c r="T548" s="88"/>
      <c r="U548" s="76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</row>
    <row r="549" spans="8:32" x14ac:dyDescent="0.25"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76"/>
      <c r="S549" s="76"/>
      <c r="T549" s="88"/>
      <c r="U549" s="76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</row>
    <row r="550" spans="8:32" x14ac:dyDescent="0.25"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76"/>
      <c r="S550" s="76"/>
      <c r="T550" s="88"/>
      <c r="U550" s="76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</row>
    <row r="551" spans="8:32" x14ac:dyDescent="0.25"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76"/>
      <c r="S551" s="76"/>
      <c r="T551" s="88"/>
      <c r="U551" s="76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</row>
    <row r="552" spans="8:32" x14ac:dyDescent="0.25"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76"/>
      <c r="S552" s="76"/>
      <c r="T552" s="88"/>
      <c r="U552" s="76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</row>
    <row r="553" spans="8:32" x14ac:dyDescent="0.25"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76"/>
      <c r="S553" s="76"/>
      <c r="T553" s="88"/>
      <c r="U553" s="76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</row>
    <row r="554" spans="8:32" x14ac:dyDescent="0.25"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76"/>
      <c r="S554" s="76"/>
      <c r="T554" s="88"/>
      <c r="U554" s="76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</row>
    <row r="555" spans="8:32" x14ac:dyDescent="0.25"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76"/>
      <c r="S555" s="76"/>
      <c r="T555" s="88"/>
      <c r="U555" s="76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</row>
    <row r="556" spans="8:32" x14ac:dyDescent="0.25"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76"/>
      <c r="S556" s="76"/>
      <c r="T556" s="88"/>
      <c r="U556" s="76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</row>
    <row r="557" spans="8:32" x14ac:dyDescent="0.25"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76"/>
      <c r="S557" s="76"/>
      <c r="T557" s="88"/>
      <c r="U557" s="76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</row>
    <row r="558" spans="8:32" x14ac:dyDescent="0.25"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76"/>
      <c r="S558" s="76"/>
      <c r="T558" s="88"/>
      <c r="U558" s="76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</row>
    <row r="559" spans="8:32" x14ac:dyDescent="0.25"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76"/>
      <c r="S559" s="76"/>
      <c r="T559" s="88"/>
      <c r="U559" s="76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</row>
    <row r="560" spans="8:32" x14ac:dyDescent="0.25"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76"/>
      <c r="S560" s="76"/>
      <c r="T560" s="88"/>
      <c r="U560" s="76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</row>
    <row r="561" spans="8:32" x14ac:dyDescent="0.25"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76"/>
      <c r="S561" s="76"/>
      <c r="T561" s="88"/>
      <c r="U561" s="76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</row>
    <row r="562" spans="8:32" x14ac:dyDescent="0.25"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76"/>
      <c r="S562" s="76"/>
      <c r="T562" s="88"/>
      <c r="U562" s="76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</row>
    <row r="563" spans="8:32" x14ac:dyDescent="0.25"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76"/>
      <c r="S563" s="76"/>
      <c r="T563" s="88"/>
      <c r="U563" s="76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</row>
    <row r="564" spans="8:32" x14ac:dyDescent="0.25"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76"/>
      <c r="S564" s="76"/>
      <c r="T564" s="88"/>
      <c r="U564" s="76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</row>
    <row r="565" spans="8:32" x14ac:dyDescent="0.25"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76"/>
      <c r="S565" s="76"/>
      <c r="T565" s="88"/>
      <c r="U565" s="76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</row>
    <row r="566" spans="8:32" x14ac:dyDescent="0.25"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76"/>
      <c r="S566" s="76"/>
      <c r="T566" s="88"/>
      <c r="U566" s="76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</row>
    <row r="567" spans="8:32" x14ac:dyDescent="0.25"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76"/>
      <c r="S567" s="76"/>
      <c r="T567" s="88"/>
      <c r="U567" s="76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</row>
    <row r="568" spans="8:32" x14ac:dyDescent="0.25"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76"/>
      <c r="S568" s="76"/>
      <c r="T568" s="88"/>
      <c r="U568" s="76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</row>
    <row r="569" spans="8:32" x14ac:dyDescent="0.25"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76"/>
      <c r="S569" s="76"/>
      <c r="T569" s="88"/>
      <c r="U569" s="76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</row>
    <row r="570" spans="8:32" x14ac:dyDescent="0.25"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76"/>
      <c r="S570" s="76"/>
      <c r="T570" s="88"/>
      <c r="U570" s="76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</row>
    <row r="571" spans="8:32" x14ac:dyDescent="0.25"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76"/>
      <c r="S571" s="76"/>
      <c r="T571" s="88"/>
      <c r="U571" s="76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</row>
    <row r="572" spans="8:32" x14ac:dyDescent="0.25"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76"/>
      <c r="S572" s="76"/>
      <c r="T572" s="88"/>
      <c r="U572" s="76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</row>
    <row r="573" spans="8:32" x14ac:dyDescent="0.25"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76"/>
      <c r="S573" s="76"/>
      <c r="T573" s="88"/>
      <c r="U573" s="76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</row>
    <row r="574" spans="8:32" x14ac:dyDescent="0.25"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76"/>
      <c r="S574" s="76"/>
      <c r="T574" s="88"/>
      <c r="U574" s="76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</row>
    <row r="575" spans="8:32" x14ac:dyDescent="0.25"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76"/>
      <c r="S575" s="76"/>
      <c r="T575" s="88"/>
      <c r="U575" s="76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</row>
    <row r="576" spans="8:32" x14ac:dyDescent="0.25"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76"/>
      <c r="S576" s="76"/>
      <c r="T576" s="88"/>
      <c r="U576" s="76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</row>
    <row r="577" spans="8:32" x14ac:dyDescent="0.25"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76"/>
      <c r="S577" s="76"/>
      <c r="T577" s="88"/>
      <c r="U577" s="76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</row>
    <row r="578" spans="8:32" x14ac:dyDescent="0.25"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76"/>
      <c r="S578" s="76"/>
      <c r="T578" s="88"/>
      <c r="U578" s="76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</row>
    <row r="579" spans="8:32" x14ac:dyDescent="0.25"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76"/>
      <c r="S579" s="76"/>
      <c r="T579" s="88"/>
      <c r="U579" s="76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</row>
    <row r="580" spans="8:32" x14ac:dyDescent="0.25"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76"/>
      <c r="S580" s="76"/>
      <c r="T580" s="88"/>
      <c r="U580" s="76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</row>
    <row r="581" spans="8:32" x14ac:dyDescent="0.25"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76"/>
      <c r="S581" s="76"/>
      <c r="T581" s="88"/>
      <c r="U581" s="76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</row>
    <row r="582" spans="8:32" x14ac:dyDescent="0.25"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76"/>
      <c r="S582" s="76"/>
      <c r="T582" s="88"/>
      <c r="U582" s="76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</row>
    <row r="583" spans="8:32" x14ac:dyDescent="0.25"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76"/>
      <c r="S583" s="76"/>
      <c r="T583" s="88"/>
      <c r="U583" s="76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</row>
    <row r="584" spans="8:32" x14ac:dyDescent="0.25"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76"/>
      <c r="S584" s="76"/>
      <c r="T584" s="88"/>
      <c r="U584" s="76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</row>
    <row r="585" spans="8:32" x14ac:dyDescent="0.25"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76"/>
      <c r="S585" s="76"/>
      <c r="T585" s="88"/>
      <c r="U585" s="76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</row>
    <row r="586" spans="8:32" x14ac:dyDescent="0.25"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76"/>
      <c r="S586" s="76"/>
      <c r="T586" s="88"/>
      <c r="U586" s="76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</row>
    <row r="587" spans="8:32" x14ac:dyDescent="0.25"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76"/>
      <c r="S587" s="76"/>
      <c r="T587" s="88"/>
      <c r="U587" s="76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</row>
    <row r="588" spans="8:32" x14ac:dyDescent="0.25"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76"/>
      <c r="S588" s="76"/>
      <c r="T588" s="88"/>
      <c r="U588" s="76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</row>
    <row r="589" spans="8:32" x14ac:dyDescent="0.25"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76"/>
      <c r="S589" s="76"/>
      <c r="T589" s="88"/>
      <c r="U589" s="76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</row>
    <row r="590" spans="8:32" x14ac:dyDescent="0.25"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76"/>
      <c r="S590" s="76"/>
      <c r="T590" s="88"/>
      <c r="U590" s="76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</row>
    <row r="591" spans="8:32" x14ac:dyDescent="0.25"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76"/>
      <c r="S591" s="76"/>
      <c r="T591" s="88"/>
      <c r="U591" s="76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</row>
    <row r="592" spans="8:32" x14ac:dyDescent="0.25"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76"/>
      <c r="S592" s="76"/>
      <c r="T592" s="88"/>
      <c r="U592" s="76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</row>
    <row r="593" spans="8:32" x14ac:dyDescent="0.25"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76"/>
      <c r="S593" s="76"/>
      <c r="T593" s="88"/>
      <c r="U593" s="76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</row>
    <row r="594" spans="8:32" x14ac:dyDescent="0.25"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76"/>
      <c r="S594" s="76"/>
      <c r="T594" s="88"/>
      <c r="U594" s="76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</row>
    <row r="595" spans="8:32" x14ac:dyDescent="0.25"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76"/>
      <c r="S595" s="76"/>
      <c r="T595" s="88"/>
      <c r="U595" s="76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</row>
    <row r="596" spans="8:32" x14ac:dyDescent="0.25"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76"/>
      <c r="S596" s="76"/>
      <c r="T596" s="88"/>
      <c r="U596" s="76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</row>
    <row r="597" spans="8:32" x14ac:dyDescent="0.25"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76"/>
      <c r="S597" s="76"/>
      <c r="T597" s="88"/>
      <c r="U597" s="76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</row>
    <row r="598" spans="8:32" x14ac:dyDescent="0.25"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76"/>
      <c r="S598" s="76"/>
      <c r="T598" s="88"/>
      <c r="U598" s="76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</row>
    <row r="599" spans="8:32" x14ac:dyDescent="0.25"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76"/>
      <c r="S599" s="76"/>
      <c r="T599" s="88"/>
      <c r="U599" s="76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</row>
    <row r="600" spans="8:32" x14ac:dyDescent="0.25"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76"/>
      <c r="S600" s="76"/>
      <c r="T600" s="88"/>
      <c r="U600" s="76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</row>
    <row r="601" spans="8:32" x14ac:dyDescent="0.25"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76"/>
      <c r="S601" s="76"/>
      <c r="T601" s="88"/>
      <c r="U601" s="76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</row>
    <row r="602" spans="8:32" x14ac:dyDescent="0.25"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76"/>
      <c r="S602" s="76"/>
      <c r="T602" s="88"/>
      <c r="U602" s="76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</row>
    <row r="603" spans="8:32" x14ac:dyDescent="0.25"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76"/>
      <c r="S603" s="76"/>
      <c r="T603" s="88"/>
      <c r="U603" s="76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</row>
    <row r="604" spans="8:32" x14ac:dyDescent="0.25"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76"/>
      <c r="S604" s="76"/>
      <c r="T604" s="88"/>
      <c r="U604" s="76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</row>
    <row r="605" spans="8:32" x14ac:dyDescent="0.25"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76"/>
      <c r="S605" s="76"/>
      <c r="T605" s="88"/>
      <c r="U605" s="76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</row>
    <row r="606" spans="8:32" x14ac:dyDescent="0.25"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76"/>
      <c r="S606" s="76"/>
      <c r="T606" s="88"/>
      <c r="U606" s="76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</row>
    <row r="607" spans="8:32" x14ac:dyDescent="0.25"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76"/>
      <c r="S607" s="76"/>
      <c r="T607" s="88"/>
      <c r="U607" s="76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</row>
    <row r="608" spans="8:32" x14ac:dyDescent="0.25"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76"/>
      <c r="S608" s="76"/>
      <c r="T608" s="88"/>
      <c r="U608" s="76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</row>
    <row r="609" spans="8:32" x14ac:dyDescent="0.25"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76"/>
      <c r="S609" s="76"/>
      <c r="T609" s="88"/>
      <c r="U609" s="76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</row>
    <row r="610" spans="8:32" x14ac:dyDescent="0.25"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76"/>
      <c r="S610" s="76"/>
      <c r="T610" s="88"/>
      <c r="U610" s="76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</row>
    <row r="611" spans="8:32" x14ac:dyDescent="0.25"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76"/>
      <c r="S611" s="76"/>
      <c r="T611" s="88"/>
      <c r="U611" s="76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</row>
    <row r="612" spans="8:32" x14ac:dyDescent="0.25"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76"/>
      <c r="S612" s="76"/>
      <c r="T612" s="88"/>
      <c r="U612" s="76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</row>
    <row r="613" spans="8:32" x14ac:dyDescent="0.25"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76"/>
      <c r="S613" s="76"/>
      <c r="T613" s="88"/>
      <c r="U613" s="76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</row>
    <row r="614" spans="8:32" x14ac:dyDescent="0.25"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76"/>
      <c r="S614" s="76"/>
      <c r="T614" s="88"/>
      <c r="U614" s="76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</row>
    <row r="615" spans="8:32" x14ac:dyDescent="0.25"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76"/>
      <c r="S615" s="76"/>
      <c r="T615" s="88"/>
      <c r="U615" s="76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</row>
    <row r="616" spans="8:32" x14ac:dyDescent="0.25"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76"/>
      <c r="S616" s="76"/>
      <c r="T616" s="88"/>
      <c r="U616" s="76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</row>
    <row r="617" spans="8:32" x14ac:dyDescent="0.25"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76"/>
      <c r="S617" s="76"/>
      <c r="T617" s="88"/>
      <c r="U617" s="76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</row>
    <row r="618" spans="8:32" x14ac:dyDescent="0.25"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76"/>
      <c r="S618" s="76"/>
      <c r="T618" s="88"/>
      <c r="U618" s="76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</row>
    <row r="619" spans="8:32" x14ac:dyDescent="0.25"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76"/>
      <c r="S619" s="76"/>
      <c r="T619" s="88"/>
      <c r="U619" s="76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</row>
    <row r="620" spans="8:32" x14ac:dyDescent="0.25"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76"/>
      <c r="S620" s="76"/>
      <c r="T620" s="88"/>
      <c r="U620" s="76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</row>
    <row r="621" spans="8:32" x14ac:dyDescent="0.25"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76"/>
      <c r="S621" s="76"/>
      <c r="T621" s="88"/>
      <c r="U621" s="76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</row>
    <row r="622" spans="8:32" x14ac:dyDescent="0.25"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76"/>
      <c r="S622" s="76"/>
      <c r="T622" s="88"/>
      <c r="U622" s="76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</row>
    <row r="623" spans="8:32" x14ac:dyDescent="0.25"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76"/>
      <c r="S623" s="76"/>
      <c r="T623" s="88"/>
      <c r="U623" s="76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</row>
    <row r="624" spans="8:32" x14ac:dyDescent="0.25"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76"/>
      <c r="S624" s="76"/>
      <c r="T624" s="88"/>
      <c r="U624" s="76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</row>
    <row r="625" spans="8:32" x14ac:dyDescent="0.25"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76"/>
      <c r="S625" s="76"/>
      <c r="T625" s="88"/>
      <c r="U625" s="76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</row>
    <row r="626" spans="8:32" x14ac:dyDescent="0.25"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76"/>
      <c r="S626" s="76"/>
      <c r="T626" s="88"/>
      <c r="U626" s="76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</row>
    <row r="627" spans="8:32" x14ac:dyDescent="0.25"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76"/>
      <c r="S627" s="76"/>
      <c r="T627" s="88"/>
      <c r="U627" s="76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</row>
    <row r="628" spans="8:32" x14ac:dyDescent="0.25"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76"/>
      <c r="S628" s="76"/>
      <c r="T628" s="88"/>
      <c r="U628" s="76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</row>
    <row r="629" spans="8:32" x14ac:dyDescent="0.25"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76"/>
      <c r="S629" s="76"/>
      <c r="T629" s="88"/>
      <c r="U629" s="76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</row>
    <row r="630" spans="8:32" x14ac:dyDescent="0.25"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76"/>
      <c r="S630" s="76"/>
      <c r="T630" s="88"/>
      <c r="U630" s="76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</row>
    <row r="631" spans="8:32" x14ac:dyDescent="0.25"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76"/>
      <c r="S631" s="76"/>
      <c r="T631" s="88"/>
      <c r="U631" s="76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</row>
    <row r="632" spans="8:32" x14ac:dyDescent="0.25"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76"/>
      <c r="S632" s="76"/>
      <c r="T632" s="88"/>
      <c r="U632" s="76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</row>
    <row r="633" spans="8:32" x14ac:dyDescent="0.25"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76"/>
      <c r="S633" s="76"/>
      <c r="T633" s="88"/>
      <c r="U633" s="76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</row>
    <row r="634" spans="8:32" x14ac:dyDescent="0.25"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76"/>
      <c r="S634" s="76"/>
      <c r="T634" s="88"/>
      <c r="U634" s="76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</row>
    <row r="635" spans="8:32" x14ac:dyDescent="0.25"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76"/>
      <c r="S635" s="76"/>
      <c r="T635" s="88"/>
      <c r="U635" s="76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</row>
    <row r="636" spans="8:32" x14ac:dyDescent="0.25"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76"/>
      <c r="S636" s="76"/>
      <c r="T636" s="88"/>
      <c r="U636" s="76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</row>
    <row r="637" spans="8:32" x14ac:dyDescent="0.25"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76"/>
      <c r="S637" s="76"/>
      <c r="T637" s="88"/>
      <c r="U637" s="76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</row>
    <row r="638" spans="8:32" x14ac:dyDescent="0.25"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76"/>
      <c r="S638" s="76"/>
      <c r="T638" s="88"/>
      <c r="U638" s="76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</row>
    <row r="639" spans="8:32" x14ac:dyDescent="0.25"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76"/>
      <c r="S639" s="76"/>
      <c r="T639" s="88"/>
      <c r="U639" s="76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</row>
    <row r="640" spans="8:32" x14ac:dyDescent="0.25"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76"/>
      <c r="S640" s="76"/>
      <c r="T640" s="88"/>
      <c r="U640" s="76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</row>
    <row r="641" spans="8:32" x14ac:dyDescent="0.25"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76"/>
      <c r="S641" s="76"/>
      <c r="T641" s="88"/>
      <c r="U641" s="76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</row>
    <row r="642" spans="8:32" x14ac:dyDescent="0.25"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76"/>
      <c r="S642" s="76"/>
      <c r="T642" s="88"/>
      <c r="U642" s="76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</row>
    <row r="643" spans="8:32" x14ac:dyDescent="0.25"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76"/>
      <c r="S643" s="76"/>
      <c r="T643" s="88"/>
      <c r="U643" s="76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</row>
    <row r="644" spans="8:32" x14ac:dyDescent="0.25"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76"/>
      <c r="S644" s="76"/>
      <c r="T644" s="88"/>
      <c r="U644" s="76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</row>
    <row r="645" spans="8:32" x14ac:dyDescent="0.25"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76"/>
      <c r="S645" s="76"/>
      <c r="T645" s="88"/>
      <c r="U645" s="76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</row>
    <row r="646" spans="8:32" x14ac:dyDescent="0.25"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76"/>
      <c r="S646" s="76"/>
      <c r="T646" s="88"/>
      <c r="U646" s="76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</row>
    <row r="647" spans="8:32" x14ac:dyDescent="0.25"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76"/>
      <c r="S647" s="76"/>
      <c r="T647" s="88"/>
      <c r="U647" s="76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</row>
    <row r="648" spans="8:32" x14ac:dyDescent="0.25"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76"/>
      <c r="S648" s="76"/>
      <c r="T648" s="88"/>
      <c r="U648" s="76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</row>
    <row r="649" spans="8:32" x14ac:dyDescent="0.25"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76"/>
      <c r="S649" s="76"/>
      <c r="T649" s="88"/>
      <c r="U649" s="76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</row>
    <row r="650" spans="8:32" x14ac:dyDescent="0.25"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76"/>
      <c r="S650" s="76"/>
      <c r="T650" s="88"/>
      <c r="U650" s="76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</row>
    <row r="651" spans="8:32" x14ac:dyDescent="0.25"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76"/>
      <c r="S651" s="76"/>
      <c r="T651" s="88"/>
      <c r="U651" s="76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</row>
    <row r="652" spans="8:32" x14ac:dyDescent="0.25"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76"/>
      <c r="S652" s="76"/>
      <c r="T652" s="88"/>
      <c r="U652" s="76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</row>
    <row r="653" spans="8:32" x14ac:dyDescent="0.25"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76"/>
      <c r="S653" s="76"/>
      <c r="T653" s="88"/>
      <c r="U653" s="76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</row>
    <row r="654" spans="8:32" x14ac:dyDescent="0.25"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76"/>
      <c r="S654" s="76"/>
      <c r="T654" s="88"/>
      <c r="U654" s="76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</row>
    <row r="655" spans="8:32" x14ac:dyDescent="0.25"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76"/>
      <c r="S655" s="76"/>
      <c r="T655" s="88"/>
      <c r="U655" s="76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</row>
    <row r="656" spans="8:32" x14ac:dyDescent="0.25"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76"/>
      <c r="S656" s="76"/>
      <c r="T656" s="88"/>
      <c r="U656" s="76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</row>
    <row r="657" spans="8:32" x14ac:dyDescent="0.25"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76"/>
      <c r="S657" s="76"/>
      <c r="T657" s="88"/>
      <c r="U657" s="76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</row>
    <row r="658" spans="8:32" x14ac:dyDescent="0.25"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76"/>
      <c r="S658" s="76"/>
      <c r="T658" s="88"/>
      <c r="U658" s="76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</row>
    <row r="659" spans="8:32" x14ac:dyDescent="0.25"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76"/>
      <c r="S659" s="76"/>
      <c r="T659" s="88"/>
      <c r="U659" s="76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</row>
    <row r="660" spans="8:32" x14ac:dyDescent="0.25"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76"/>
      <c r="S660" s="76"/>
      <c r="T660" s="88"/>
      <c r="U660" s="76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</row>
    <row r="661" spans="8:32" x14ac:dyDescent="0.25"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76"/>
      <c r="S661" s="76"/>
      <c r="T661" s="88"/>
      <c r="U661" s="76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</row>
    <row r="662" spans="8:32" x14ac:dyDescent="0.25"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76"/>
      <c r="S662" s="76"/>
      <c r="T662" s="88"/>
      <c r="U662" s="76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</row>
    <row r="663" spans="8:32" x14ac:dyDescent="0.25"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76"/>
      <c r="S663" s="76"/>
      <c r="T663" s="88"/>
      <c r="U663" s="76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</row>
    <row r="664" spans="8:32" x14ac:dyDescent="0.25"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76"/>
      <c r="S664" s="76"/>
      <c r="T664" s="88"/>
      <c r="U664" s="76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</row>
    <row r="665" spans="8:32" x14ac:dyDescent="0.25"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76"/>
      <c r="S665" s="76"/>
      <c r="T665" s="88"/>
      <c r="U665" s="76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</row>
    <row r="666" spans="8:32" x14ac:dyDescent="0.25"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76"/>
      <c r="S666" s="76"/>
      <c r="T666" s="88"/>
      <c r="U666" s="76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</row>
    <row r="667" spans="8:32" x14ac:dyDescent="0.25"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76"/>
      <c r="S667" s="76"/>
      <c r="T667" s="88"/>
      <c r="U667" s="76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</row>
    <row r="668" spans="8:32" x14ac:dyDescent="0.25"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76"/>
      <c r="S668" s="76"/>
      <c r="T668" s="88"/>
      <c r="U668" s="76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</row>
    <row r="669" spans="8:32" x14ac:dyDescent="0.25"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76"/>
      <c r="S669" s="76"/>
      <c r="T669" s="88"/>
      <c r="U669" s="76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</row>
    <row r="670" spans="8:32" x14ac:dyDescent="0.25"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76"/>
      <c r="S670" s="76"/>
      <c r="T670" s="88"/>
      <c r="U670" s="76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</row>
    <row r="671" spans="8:32" x14ac:dyDescent="0.25"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76"/>
      <c r="S671" s="76"/>
      <c r="T671" s="88"/>
      <c r="U671" s="76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</row>
    <row r="672" spans="8:32" x14ac:dyDescent="0.25"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76"/>
      <c r="S672" s="76"/>
      <c r="T672" s="88"/>
      <c r="U672" s="76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</row>
    <row r="673" spans="8:32" x14ac:dyDescent="0.25"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76"/>
      <c r="S673" s="76"/>
      <c r="T673" s="88"/>
      <c r="U673" s="76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</row>
    <row r="674" spans="8:32" x14ac:dyDescent="0.25"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76"/>
      <c r="S674" s="76"/>
      <c r="T674" s="88"/>
      <c r="U674" s="76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</row>
    <row r="675" spans="8:32" x14ac:dyDescent="0.25"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76"/>
      <c r="S675" s="76"/>
      <c r="T675" s="88"/>
      <c r="U675" s="76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</row>
    <row r="676" spans="8:32" x14ac:dyDescent="0.25"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76"/>
      <c r="S676" s="76"/>
      <c r="T676" s="88"/>
      <c r="U676" s="76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</row>
    <row r="677" spans="8:32" x14ac:dyDescent="0.25"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76"/>
      <c r="S677" s="76"/>
      <c r="T677" s="88"/>
      <c r="U677" s="76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</row>
    <row r="678" spans="8:32" x14ac:dyDescent="0.25"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76"/>
      <c r="S678" s="76"/>
      <c r="T678" s="88"/>
      <c r="U678" s="76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</row>
    <row r="679" spans="8:32" x14ac:dyDescent="0.25"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76"/>
      <c r="S679" s="76"/>
      <c r="T679" s="88"/>
      <c r="U679" s="76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</row>
    <row r="680" spans="8:32" x14ac:dyDescent="0.25"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76"/>
      <c r="S680" s="76"/>
      <c r="T680" s="88"/>
      <c r="U680" s="76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</row>
    <row r="681" spans="8:32" x14ac:dyDescent="0.25"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76"/>
      <c r="S681" s="76"/>
      <c r="T681" s="88"/>
      <c r="U681" s="76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</row>
    <row r="682" spans="8:32" x14ac:dyDescent="0.25"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76"/>
      <c r="S682" s="76"/>
      <c r="T682" s="88"/>
      <c r="U682" s="76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</row>
    <row r="683" spans="8:32" x14ac:dyDescent="0.25"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76"/>
      <c r="S683" s="76"/>
      <c r="T683" s="88"/>
      <c r="U683" s="76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</row>
    <row r="684" spans="8:32" x14ac:dyDescent="0.25"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76"/>
      <c r="S684" s="76"/>
      <c r="T684" s="88"/>
      <c r="U684" s="76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</row>
    <row r="685" spans="8:32" x14ac:dyDescent="0.25"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76"/>
      <c r="S685" s="76"/>
      <c r="T685" s="88"/>
      <c r="U685" s="76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</row>
    <row r="686" spans="8:32" x14ac:dyDescent="0.25"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76"/>
      <c r="S686" s="76"/>
      <c r="T686" s="88"/>
      <c r="U686" s="76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</row>
    <row r="687" spans="8:32" x14ac:dyDescent="0.25"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76"/>
      <c r="S687" s="76"/>
      <c r="T687" s="88"/>
      <c r="U687" s="76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</row>
    <row r="688" spans="8:32" x14ac:dyDescent="0.25"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76"/>
      <c r="S688" s="76"/>
      <c r="T688" s="88"/>
      <c r="U688" s="76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</row>
    <row r="689" spans="8:32" x14ac:dyDescent="0.25"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76"/>
      <c r="S689" s="76"/>
      <c r="T689" s="88"/>
      <c r="U689" s="76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</row>
    <row r="690" spans="8:32" x14ac:dyDescent="0.25"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76"/>
      <c r="S690" s="76"/>
      <c r="T690" s="88"/>
      <c r="U690" s="76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</row>
    <row r="691" spans="8:32" x14ac:dyDescent="0.25"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76"/>
      <c r="S691" s="76"/>
      <c r="T691" s="88"/>
      <c r="U691" s="76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</row>
    <row r="692" spans="8:32" x14ac:dyDescent="0.25"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76"/>
      <c r="S692" s="76"/>
      <c r="T692" s="88"/>
      <c r="U692" s="76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</row>
    <row r="693" spans="8:32" x14ac:dyDescent="0.25"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76"/>
      <c r="S693" s="76"/>
      <c r="T693" s="88"/>
      <c r="U693" s="76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</row>
    <row r="694" spans="8:32" x14ac:dyDescent="0.25"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76"/>
      <c r="S694" s="76"/>
      <c r="T694" s="88"/>
      <c r="U694" s="76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</row>
    <row r="695" spans="8:32" x14ac:dyDescent="0.25"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76"/>
      <c r="S695" s="76"/>
      <c r="T695" s="88"/>
      <c r="U695" s="76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</row>
    <row r="696" spans="8:32" x14ac:dyDescent="0.25"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76"/>
      <c r="S696" s="76"/>
      <c r="T696" s="88"/>
      <c r="U696" s="76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</row>
    <row r="697" spans="8:32" x14ac:dyDescent="0.25"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76"/>
      <c r="S697" s="76"/>
      <c r="T697" s="88"/>
      <c r="U697" s="76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</row>
    <row r="698" spans="8:32" x14ac:dyDescent="0.25"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76"/>
      <c r="S698" s="76"/>
      <c r="T698" s="88"/>
      <c r="U698" s="76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</row>
    <row r="699" spans="8:32" x14ac:dyDescent="0.25"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76"/>
      <c r="S699" s="76"/>
      <c r="T699" s="88"/>
      <c r="U699" s="76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</row>
    <row r="700" spans="8:32" x14ac:dyDescent="0.25"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76"/>
      <c r="S700" s="76"/>
      <c r="T700" s="88"/>
      <c r="U700" s="76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</row>
    <row r="701" spans="8:32" x14ac:dyDescent="0.25"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76"/>
      <c r="S701" s="76"/>
      <c r="T701" s="88"/>
      <c r="U701" s="76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</row>
    <row r="702" spans="8:32" x14ac:dyDescent="0.25"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76"/>
      <c r="S702" s="76"/>
      <c r="T702" s="88"/>
      <c r="U702" s="76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</row>
    <row r="703" spans="8:32" x14ac:dyDescent="0.25"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76"/>
      <c r="S703" s="76"/>
      <c r="T703" s="88"/>
      <c r="U703" s="76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</row>
    <row r="704" spans="8:32" x14ac:dyDescent="0.25"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76"/>
      <c r="S704" s="76"/>
      <c r="T704" s="88"/>
      <c r="U704" s="76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</row>
    <row r="705" spans="8:32" x14ac:dyDescent="0.25"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76"/>
      <c r="S705" s="76"/>
      <c r="T705" s="88"/>
      <c r="U705" s="76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</row>
    <row r="706" spans="8:32" x14ac:dyDescent="0.25"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76"/>
      <c r="S706" s="76"/>
      <c r="T706" s="88"/>
      <c r="U706" s="76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</row>
    <row r="707" spans="8:32" x14ac:dyDescent="0.25"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76"/>
      <c r="S707" s="76"/>
      <c r="T707" s="88"/>
      <c r="U707" s="76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</row>
    <row r="708" spans="8:32" x14ac:dyDescent="0.25"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76"/>
      <c r="S708" s="76"/>
      <c r="T708" s="88"/>
      <c r="U708" s="76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</row>
    <row r="709" spans="8:32" x14ac:dyDescent="0.25"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76"/>
      <c r="S709" s="76"/>
      <c r="T709" s="88"/>
      <c r="U709" s="76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</row>
    <row r="710" spans="8:32" x14ac:dyDescent="0.25"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76"/>
      <c r="S710" s="76"/>
      <c r="T710" s="88"/>
      <c r="U710" s="76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</row>
    <row r="711" spans="8:32" x14ac:dyDescent="0.25"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76"/>
      <c r="S711" s="76"/>
      <c r="T711" s="88"/>
      <c r="U711" s="76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</row>
    <row r="712" spans="8:32" x14ac:dyDescent="0.25"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76"/>
      <c r="S712" s="76"/>
      <c r="T712" s="88"/>
      <c r="U712" s="76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</row>
    <row r="713" spans="8:32" x14ac:dyDescent="0.25"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76"/>
      <c r="S713" s="76"/>
      <c r="T713" s="88"/>
      <c r="U713" s="76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</row>
    <row r="714" spans="8:32" x14ac:dyDescent="0.25"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76"/>
      <c r="S714" s="76"/>
      <c r="T714" s="88"/>
      <c r="U714" s="76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</row>
    <row r="715" spans="8:32" x14ac:dyDescent="0.25"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76"/>
      <c r="S715" s="76"/>
      <c r="T715" s="88"/>
      <c r="U715" s="76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</row>
    <row r="716" spans="8:32" x14ac:dyDescent="0.25"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76"/>
      <c r="S716" s="76"/>
      <c r="T716" s="88"/>
      <c r="U716" s="76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</row>
    <row r="717" spans="8:32" x14ac:dyDescent="0.25"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76"/>
      <c r="S717" s="76"/>
      <c r="T717" s="88"/>
      <c r="U717" s="76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</row>
    <row r="718" spans="8:32" x14ac:dyDescent="0.25"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76"/>
      <c r="S718" s="76"/>
      <c r="T718" s="88"/>
      <c r="U718" s="76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</row>
    <row r="719" spans="8:32" x14ac:dyDescent="0.25"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76"/>
      <c r="S719" s="76"/>
      <c r="T719" s="88"/>
      <c r="U719" s="76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</row>
    <row r="720" spans="8:32" x14ac:dyDescent="0.25"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76"/>
      <c r="S720" s="76"/>
      <c r="T720" s="88"/>
      <c r="U720" s="76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</row>
    <row r="721" spans="8:32" x14ac:dyDescent="0.25"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76"/>
      <c r="S721" s="76"/>
      <c r="T721" s="88"/>
      <c r="U721" s="76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</row>
    <row r="722" spans="8:32" x14ac:dyDescent="0.25"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76"/>
      <c r="S722" s="76"/>
      <c r="T722" s="88"/>
      <c r="U722" s="76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</row>
    <row r="723" spans="8:32" x14ac:dyDescent="0.25"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76"/>
      <c r="S723" s="76"/>
      <c r="T723" s="88"/>
      <c r="U723" s="76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</row>
    <row r="724" spans="8:32" x14ac:dyDescent="0.25"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76"/>
      <c r="S724" s="76"/>
      <c r="T724" s="88"/>
      <c r="U724" s="76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</row>
    <row r="725" spans="8:32" x14ac:dyDescent="0.25"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76"/>
      <c r="S725" s="76"/>
      <c r="T725" s="88"/>
      <c r="U725" s="76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</row>
    <row r="726" spans="8:32" x14ac:dyDescent="0.25"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76"/>
      <c r="S726" s="76"/>
      <c r="T726" s="88"/>
      <c r="U726" s="76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</row>
    <row r="727" spans="8:32" x14ac:dyDescent="0.25"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76"/>
      <c r="S727" s="76"/>
      <c r="T727" s="88"/>
      <c r="U727" s="76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</row>
    <row r="728" spans="8:32" x14ac:dyDescent="0.25"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76"/>
      <c r="S728" s="76"/>
      <c r="T728" s="88"/>
      <c r="U728" s="76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</row>
    <row r="729" spans="8:32" x14ac:dyDescent="0.25"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76"/>
      <c r="S729" s="76"/>
      <c r="T729" s="88"/>
      <c r="U729" s="76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</row>
    <row r="730" spans="8:32" x14ac:dyDescent="0.25"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76"/>
      <c r="S730" s="76"/>
      <c r="T730" s="88"/>
      <c r="U730" s="76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</row>
    <row r="731" spans="8:32" x14ac:dyDescent="0.25"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76"/>
      <c r="S731" s="76"/>
      <c r="T731" s="88"/>
      <c r="U731" s="76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</row>
    <row r="732" spans="8:32" x14ac:dyDescent="0.25"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76"/>
      <c r="S732" s="76"/>
      <c r="T732" s="88"/>
      <c r="U732" s="76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</row>
    <row r="733" spans="8:32" x14ac:dyDescent="0.25"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76"/>
      <c r="S733" s="76"/>
      <c r="T733" s="88"/>
      <c r="U733" s="76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</row>
    <row r="734" spans="8:32" x14ac:dyDescent="0.25"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76"/>
      <c r="S734" s="76"/>
      <c r="T734" s="88"/>
      <c r="U734" s="76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</row>
    <row r="735" spans="8:32" x14ac:dyDescent="0.25"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76"/>
      <c r="S735" s="76"/>
      <c r="T735" s="88"/>
      <c r="U735" s="76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</row>
    <row r="736" spans="8:32" x14ac:dyDescent="0.25"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76"/>
      <c r="S736" s="76"/>
      <c r="T736" s="88"/>
      <c r="U736" s="76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</row>
    <row r="737" spans="8:32" x14ac:dyDescent="0.25"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76"/>
      <c r="S737" s="76"/>
      <c r="T737" s="88"/>
      <c r="U737" s="76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</row>
    <row r="738" spans="8:32" x14ac:dyDescent="0.25"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76"/>
      <c r="S738" s="76"/>
      <c r="T738" s="88"/>
      <c r="U738" s="76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</row>
    <row r="739" spans="8:32" x14ac:dyDescent="0.25"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76"/>
      <c r="S739" s="76"/>
      <c r="T739" s="88"/>
      <c r="U739" s="76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</row>
    <row r="740" spans="8:32" x14ac:dyDescent="0.25"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76"/>
      <c r="S740" s="76"/>
      <c r="T740" s="88"/>
      <c r="U740" s="76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</row>
    <row r="741" spans="8:32" x14ac:dyDescent="0.25"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76"/>
      <c r="S741" s="76"/>
      <c r="T741" s="88"/>
      <c r="U741" s="76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</row>
    <row r="742" spans="8:32" x14ac:dyDescent="0.25"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76"/>
      <c r="S742" s="76"/>
      <c r="T742" s="88"/>
      <c r="U742" s="76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</row>
    <row r="743" spans="8:32" x14ac:dyDescent="0.25"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76"/>
      <c r="S743" s="76"/>
      <c r="T743" s="88"/>
      <c r="U743" s="76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</row>
    <row r="744" spans="8:32" x14ac:dyDescent="0.25"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76"/>
      <c r="S744" s="76"/>
      <c r="T744" s="88"/>
      <c r="U744" s="76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</row>
    <row r="745" spans="8:32" x14ac:dyDescent="0.25"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76"/>
      <c r="S745" s="76"/>
      <c r="T745" s="88"/>
      <c r="U745" s="76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</row>
    <row r="746" spans="8:32" x14ac:dyDescent="0.25"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76"/>
      <c r="S746" s="76"/>
      <c r="T746" s="88"/>
      <c r="U746" s="76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</row>
    <row r="747" spans="8:32" x14ac:dyDescent="0.25"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76"/>
      <c r="S747" s="76"/>
      <c r="T747" s="88"/>
      <c r="U747" s="76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</row>
    <row r="748" spans="8:32" x14ac:dyDescent="0.25"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76"/>
      <c r="S748" s="76"/>
      <c r="T748" s="88"/>
      <c r="U748" s="76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</row>
    <row r="749" spans="8:32" x14ac:dyDescent="0.25"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76"/>
      <c r="S749" s="76"/>
      <c r="T749" s="88"/>
      <c r="U749" s="76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</row>
    <row r="750" spans="8:32" x14ac:dyDescent="0.25"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76"/>
      <c r="S750" s="76"/>
      <c r="T750" s="88"/>
      <c r="U750" s="76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</row>
  </sheetData>
  <sheetProtection algorithmName="SHA-512" hashValue="+3HTQieDjxLu1f13L5FFjpklRokEzmog1GTkRAO2EVHMfLFd1EL0sxUikauSqjWxXo6XPaF9+AOWuN0dPQEyIA==" saltValue="NDdhXN1w/ixZ06+mWl/qlw==" spinCount="100000" sheet="1" formatCells="0" selectLockedCells="1" sort="0" autoFilter="0"/>
  <autoFilter ref="A3:AI156" xr:uid="{00000000-0009-0000-0000-000003000000}"/>
  <conditionalFormatting sqref="G1 G3:G1048576">
    <cfRule type="containsText" dxfId="18" priority="2" operator="containsText" text="y">
      <formula>NOT(ISERROR(SEARCH("y",G1)))</formula>
    </cfRule>
  </conditionalFormatting>
  <pageMargins left="0.40972222222222199" right="0.52013888888888904" top="0.47013888888888899" bottom="0.47013888888888899" header="0.511811023622047" footer="0.511811023622047"/>
  <pageSetup paperSize="3" fitToHeight="2" orientation="landscape" horizontalDpi="300" verticalDpi="300"/>
  <ignoredErrors>
    <ignoredError sqref="AF4:AF21 AF22:AF34 AF35:AF55 AF56:AF74 AF75:AF112 AF113:AF121 Y10 Y12:Y35 Y37:Y39 AF123:AF125" unlocked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1"/>
  <sheetViews>
    <sheetView zoomScaleNormal="100" workbookViewId="0">
      <selection activeCell="H10" sqref="H10"/>
    </sheetView>
  </sheetViews>
  <sheetFormatPr defaultColWidth="8.7109375" defaultRowHeight="15" x14ac:dyDescent="0.25"/>
  <cols>
    <col min="1" max="1" width="19.5703125" customWidth="1"/>
    <col min="2" max="2" width="28.42578125" customWidth="1"/>
    <col min="3" max="3" width="1.85546875" customWidth="1"/>
    <col min="4" max="4" width="6.28515625" customWidth="1"/>
    <col min="5" max="5" width="3.42578125" customWidth="1"/>
    <col min="6" max="6" width="9.5703125" customWidth="1"/>
    <col min="7" max="7" width="3.42578125" customWidth="1"/>
    <col min="8" max="8" width="6.28515625" customWidth="1"/>
    <col min="9" max="9" width="3.42578125" customWidth="1"/>
    <col min="10" max="10" width="1.85546875" customWidth="1"/>
    <col min="11" max="11" width="6.28515625" customWidth="1"/>
    <col min="12" max="12" width="3.42578125" customWidth="1"/>
    <col min="13" max="13" width="6.28515625" customWidth="1"/>
    <col min="14" max="14" width="3.42578125" customWidth="1"/>
    <col min="15" max="15" width="6.42578125" customWidth="1"/>
    <col min="16" max="16" width="3.42578125" customWidth="1"/>
    <col min="17" max="17" width="6.28515625" customWidth="1"/>
    <col min="18" max="18" width="3.42578125" customWidth="1"/>
    <col min="19" max="19" width="6.28515625" customWidth="1"/>
    <col min="20" max="20" width="3.42578125" customWidth="1"/>
    <col min="21" max="21" width="6.42578125" customWidth="1"/>
    <col min="22" max="22" width="3.42578125" customWidth="1"/>
    <col min="23" max="23" width="6.42578125" customWidth="1"/>
    <col min="24" max="24" width="3.42578125" customWidth="1"/>
    <col min="25" max="25" width="6.42578125" customWidth="1"/>
    <col min="26" max="26" width="3.42578125" customWidth="1"/>
    <col min="27" max="27" width="1.85546875" customWidth="1"/>
    <col min="28" max="28" width="15.7109375" customWidth="1"/>
    <col min="29" max="29" width="14.42578125" customWidth="1"/>
  </cols>
  <sheetData>
    <row r="1" spans="1:31" ht="24" customHeight="1" x14ac:dyDescent="0.25">
      <c r="A1" s="165" t="s">
        <v>70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</row>
    <row r="2" spans="1:31" ht="6.75" customHeight="1" x14ac:dyDescent="0.25"/>
    <row r="3" spans="1:31" ht="19.5" customHeight="1" x14ac:dyDescent="0.25">
      <c r="A3" s="26"/>
      <c r="B3" s="26"/>
      <c r="D3" s="163" t="s">
        <v>11</v>
      </c>
      <c r="E3" s="163"/>
      <c r="F3" s="163"/>
      <c r="G3" s="163"/>
      <c r="H3" s="163"/>
      <c r="I3" s="163"/>
      <c r="J3" s="17"/>
      <c r="K3" s="163" t="s">
        <v>20</v>
      </c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7"/>
      <c r="AB3" s="163" t="s">
        <v>41</v>
      </c>
      <c r="AC3" s="163"/>
      <c r="AD3" s="163"/>
      <c r="AE3" s="163"/>
    </row>
    <row r="4" spans="1:31" ht="7.5" customHeight="1" x14ac:dyDescent="0.25">
      <c r="D4" s="89"/>
      <c r="E4" s="90"/>
      <c r="F4" s="63"/>
    </row>
    <row r="5" spans="1:31" ht="30" customHeight="1" x14ac:dyDescent="0.25">
      <c r="A5" s="14" t="s">
        <v>5</v>
      </c>
      <c r="B5" s="13" t="s">
        <v>6</v>
      </c>
      <c r="C5" s="35"/>
      <c r="D5" s="166" t="s">
        <v>71</v>
      </c>
      <c r="E5" s="166"/>
      <c r="F5" s="166" t="s">
        <v>72</v>
      </c>
      <c r="G5" s="166"/>
      <c r="H5" s="167" t="s">
        <v>24</v>
      </c>
      <c r="I5" s="167"/>
      <c r="J5" s="91"/>
      <c r="K5" s="167" t="s">
        <v>25</v>
      </c>
      <c r="L5" s="167"/>
      <c r="M5" s="167" t="s">
        <v>73</v>
      </c>
      <c r="N5" s="167"/>
      <c r="O5" s="167" t="s">
        <v>26</v>
      </c>
      <c r="P5" s="167"/>
      <c r="Q5" s="167" t="s">
        <v>27</v>
      </c>
      <c r="R5" s="167"/>
      <c r="S5" s="167" t="s">
        <v>28</v>
      </c>
      <c r="T5" s="167"/>
      <c r="U5" s="167" t="s">
        <v>61</v>
      </c>
      <c r="V5" s="167"/>
      <c r="W5" s="167" t="s">
        <v>30</v>
      </c>
      <c r="X5" s="167"/>
      <c r="Y5" s="167" t="s">
        <v>31</v>
      </c>
      <c r="Z5" s="167"/>
      <c r="AA5" s="91"/>
      <c r="AB5" s="92" t="s">
        <v>8</v>
      </c>
      <c r="AC5" s="92" t="s">
        <v>9</v>
      </c>
      <c r="AD5" s="92" t="s">
        <v>10</v>
      </c>
      <c r="AE5" s="92" t="s">
        <v>11</v>
      </c>
    </row>
    <row r="6" spans="1:31" ht="24.75" hidden="1" customHeight="1" x14ac:dyDescent="0.25">
      <c r="A6" s="14" t="s">
        <v>74</v>
      </c>
      <c r="B6" s="13" t="e">
        <f t="shared" ref="B6:B37" si="0">VLOOKUP(A6,Jobs,2,)</f>
        <v>#N/A</v>
      </c>
      <c r="C6" s="35"/>
      <c r="D6" s="93" t="e">
        <f t="shared" ref="D6:D37" si="1">IF(VLOOKUP($A6,Dates,8,)&gt;0,"Y","  ")</f>
        <v>#N/A</v>
      </c>
      <c r="E6" s="37" t="e">
        <f t="shared" ref="E6:E37" si="2">IF(VLOOKUP($A6,Dates,8,)&gt;0,VLOOKUP($A6,Dates,8,)-VLOOKUP($A6,Jobs,8,),"  ")</f>
        <v>#N/A</v>
      </c>
      <c r="F6" s="93" t="e">
        <f t="shared" ref="F6:F37" si="3">IF(VLOOKUP($A6,Dates,16,)&gt;0,"Y","  ")</f>
        <v>#N/A</v>
      </c>
      <c r="G6" s="37" t="e">
        <f t="shared" ref="G6:G37" si="4">IF(VLOOKUP($A6,Dates,16,)&gt;0,VLOOKUP($A6,Dates,16,)-VLOOKUP($A6,Jobs,16,),"  ")</f>
        <v>#N/A</v>
      </c>
      <c r="H6" s="93" t="e">
        <f t="shared" ref="H6:H37" si="5">IF(VLOOKUP($A6,Dates,17,)&gt;0,"Y","  ")</f>
        <v>#N/A</v>
      </c>
      <c r="I6" s="37" t="e">
        <f t="shared" ref="I6:I37" si="6">IF(VLOOKUP($A6,Dates,17,)&gt;0,VLOOKUP($A6,Dates,17,)-VLOOKUP($A6,Jobs,17,),"  ")</f>
        <v>#N/A</v>
      </c>
      <c r="J6" s="35"/>
      <c r="K6" s="93" t="e">
        <f t="shared" ref="K6:K37" si="7">IF(VLOOKUP($A6,Dates,19,)&gt;0,"Y","  ")</f>
        <v>#N/A</v>
      </c>
      <c r="L6" s="37" t="e">
        <f t="shared" ref="L6:L37" si="8">IF(VLOOKUP($A6,Dates,19,)&gt;0,VLOOKUP($A6,Dates,19,)-VLOOKUP($A6,Jobs,19,),"  ")</f>
        <v>#N/A</v>
      </c>
      <c r="M6" s="93" t="e">
        <f t="shared" ref="M6:M37" si="9">IF(VLOOKUP($A6,Dates,20,)&gt;0,"Y","  ")</f>
        <v>#N/A</v>
      </c>
      <c r="N6" s="37" t="e">
        <f t="shared" ref="N6:N37" si="10">IF(VLOOKUP($A6,Dates,20,)&gt;0,VLOOKUP($A6,Dates,20,)-VLOOKUP($A6,Jobs,20,),"  ")</f>
        <v>#N/A</v>
      </c>
      <c r="O6" s="93" t="e">
        <f t="shared" ref="O6:O37" si="11">IF(VLOOKUP($A6,Dates,21,)&gt;0,"Y","  ")</f>
        <v>#N/A</v>
      </c>
      <c r="P6" s="37" t="e">
        <f t="shared" ref="P6:P37" si="12">IF(VLOOKUP($A6,Dates,21,)&gt;0,VLOOKUP($A6,Dates,21,)-VLOOKUP($A6,Jobs,21,),"  ")</f>
        <v>#N/A</v>
      </c>
      <c r="Q6" s="93" t="e">
        <f t="shared" ref="Q6:Q37" si="13">IF(VLOOKUP($A6,Dates,22,)&gt;0,"Y","  ")</f>
        <v>#N/A</v>
      </c>
      <c r="R6" s="37" t="e">
        <f t="shared" ref="R6:R37" si="14">IF(VLOOKUP($A6,Dates,22,)&gt;0,VLOOKUP($A6,Dates,22,)-VLOOKUP($A6,Jobs,22,),"  ")</f>
        <v>#N/A</v>
      </c>
      <c r="S6" s="93" t="e">
        <f t="shared" ref="S6:S37" si="15">IF(VLOOKUP($A6,Dates,23,)&gt;0,"Y","  ")</f>
        <v>#N/A</v>
      </c>
      <c r="T6" s="37" t="e">
        <f t="shared" ref="T6:T37" si="16">IF(VLOOKUP($A6,Dates,23,)&gt;0,VLOOKUP($A6,Dates,23,)-VLOOKUP($A6,Jobs,23,),"  ")</f>
        <v>#N/A</v>
      </c>
      <c r="U6" s="93" t="e">
        <f t="shared" ref="U6:U37" si="17">IF(VLOOKUP($A6,Dates,24,)&gt;0,"Y","  ")</f>
        <v>#N/A</v>
      </c>
      <c r="V6" s="37" t="e">
        <f t="shared" ref="V6:V37" si="18">IF(VLOOKUP($A6,Dates,24,)&gt;0,VLOOKUP($A6,Dates,24,)-VLOOKUP($A6,Jobs,24,),"  ")</f>
        <v>#N/A</v>
      </c>
      <c r="W6" s="93" t="e">
        <f t="shared" ref="W6:W37" si="19">IF(VLOOKUP($A6,Dates,25,)&gt;0,"Y","  ")</f>
        <v>#N/A</v>
      </c>
      <c r="X6" s="37" t="e">
        <f t="shared" ref="X6:X37" si="20">IF(VLOOKUP($A6,Dates,25,)&gt;0,VLOOKUP($A6,Dates,25,)-VLOOKUP($A6,Jobs,25,),"  ")</f>
        <v>#N/A</v>
      </c>
      <c r="Y6" s="93" t="e">
        <f t="shared" ref="Y6:Y37" si="21">IF(VLOOKUP($A6,Dates,26,)&gt;0,"Y","  ")</f>
        <v>#N/A</v>
      </c>
      <c r="Z6" s="37" t="e">
        <f t="shared" ref="Z6:Z37" si="22">IF(VLOOKUP($A6,Dates,26,)&gt;0,VLOOKUP($A6,Dates,26,)-VLOOKUP($A6,Jobs,26,),"  ")</f>
        <v>#N/A</v>
      </c>
      <c r="AA6" s="35"/>
      <c r="AB6" s="38" t="e">
        <f t="shared" ref="AB6:AB37" si="23">VLOOKUP(A6,Jobs,27,)</f>
        <v>#N/A</v>
      </c>
      <c r="AC6" s="38" t="e">
        <f t="shared" ref="AC6:AC37" si="24">IF(VLOOKUP(A6,Dates,27,)&gt;0,VLOOKUP(A6,Dates,27,),"  ")</f>
        <v>#N/A</v>
      </c>
      <c r="AD6" s="14" t="e">
        <f>IF(A6="","",IF(AC6="  ",AB6-Date!$B$3,AB6-AC6))</f>
        <v>#N/A</v>
      </c>
      <c r="AE6" s="20"/>
    </row>
    <row r="7" spans="1:31" ht="24.75" hidden="1" customHeight="1" x14ac:dyDescent="0.25">
      <c r="A7" s="14" t="s">
        <v>75</v>
      </c>
      <c r="B7" s="13" t="e">
        <f t="shared" si="0"/>
        <v>#N/A</v>
      </c>
      <c r="C7" s="35"/>
      <c r="D7" s="93" t="e">
        <f t="shared" si="1"/>
        <v>#N/A</v>
      </c>
      <c r="E7" s="37" t="e">
        <f t="shared" si="2"/>
        <v>#N/A</v>
      </c>
      <c r="F7" s="93" t="e">
        <f t="shared" si="3"/>
        <v>#N/A</v>
      </c>
      <c r="G7" s="37" t="e">
        <f t="shared" si="4"/>
        <v>#N/A</v>
      </c>
      <c r="H7" s="93" t="e">
        <f t="shared" si="5"/>
        <v>#N/A</v>
      </c>
      <c r="I7" s="37" t="e">
        <f t="shared" si="6"/>
        <v>#N/A</v>
      </c>
      <c r="J7" s="35"/>
      <c r="K7" s="93" t="e">
        <f t="shared" si="7"/>
        <v>#N/A</v>
      </c>
      <c r="L7" s="37" t="e">
        <f t="shared" si="8"/>
        <v>#N/A</v>
      </c>
      <c r="M7" s="93" t="e">
        <f t="shared" si="9"/>
        <v>#N/A</v>
      </c>
      <c r="N7" s="37" t="e">
        <f t="shared" si="10"/>
        <v>#N/A</v>
      </c>
      <c r="O7" s="93" t="e">
        <f t="shared" si="11"/>
        <v>#N/A</v>
      </c>
      <c r="P7" s="37" t="e">
        <f t="shared" si="12"/>
        <v>#N/A</v>
      </c>
      <c r="Q7" s="93" t="e">
        <f t="shared" si="13"/>
        <v>#N/A</v>
      </c>
      <c r="R7" s="37" t="e">
        <f t="shared" si="14"/>
        <v>#N/A</v>
      </c>
      <c r="S7" s="93" t="e">
        <f t="shared" si="15"/>
        <v>#N/A</v>
      </c>
      <c r="T7" s="37" t="e">
        <f t="shared" si="16"/>
        <v>#N/A</v>
      </c>
      <c r="U7" s="93" t="e">
        <f t="shared" si="17"/>
        <v>#N/A</v>
      </c>
      <c r="V7" s="37" t="e">
        <f t="shared" si="18"/>
        <v>#N/A</v>
      </c>
      <c r="W7" s="93" t="e">
        <f t="shared" si="19"/>
        <v>#N/A</v>
      </c>
      <c r="X7" s="37" t="e">
        <f t="shared" si="20"/>
        <v>#N/A</v>
      </c>
      <c r="Y7" s="93" t="e">
        <f t="shared" si="21"/>
        <v>#N/A</v>
      </c>
      <c r="Z7" s="37" t="e">
        <f t="shared" si="22"/>
        <v>#N/A</v>
      </c>
      <c r="AA7" s="35"/>
      <c r="AB7" s="38" t="e">
        <f t="shared" si="23"/>
        <v>#N/A</v>
      </c>
      <c r="AC7" s="38" t="e">
        <f t="shared" si="24"/>
        <v>#N/A</v>
      </c>
      <c r="AD7" s="14" t="e">
        <f>IF(A7="","",IF(AC7="  ",AB7-Date!$B$3,AB7-AC7))</f>
        <v>#N/A</v>
      </c>
      <c r="AE7" s="20"/>
    </row>
    <row r="8" spans="1:31" ht="24.75" hidden="1" customHeight="1" x14ac:dyDescent="0.25">
      <c r="A8" s="14" t="s">
        <v>76</v>
      </c>
      <c r="B8" s="13" t="e">
        <f t="shared" si="0"/>
        <v>#N/A</v>
      </c>
      <c r="C8" s="35"/>
      <c r="D8" s="93" t="e">
        <f t="shared" si="1"/>
        <v>#N/A</v>
      </c>
      <c r="E8" s="37" t="e">
        <f t="shared" si="2"/>
        <v>#N/A</v>
      </c>
      <c r="F8" s="93" t="e">
        <f t="shared" si="3"/>
        <v>#N/A</v>
      </c>
      <c r="G8" s="37" t="e">
        <f t="shared" si="4"/>
        <v>#N/A</v>
      </c>
      <c r="H8" s="93" t="e">
        <f t="shared" si="5"/>
        <v>#N/A</v>
      </c>
      <c r="I8" s="37" t="e">
        <f t="shared" si="6"/>
        <v>#N/A</v>
      </c>
      <c r="J8" s="35"/>
      <c r="K8" s="93" t="e">
        <f t="shared" si="7"/>
        <v>#N/A</v>
      </c>
      <c r="L8" s="37" t="e">
        <f t="shared" si="8"/>
        <v>#N/A</v>
      </c>
      <c r="M8" s="93" t="e">
        <f t="shared" si="9"/>
        <v>#N/A</v>
      </c>
      <c r="N8" s="37" t="e">
        <f t="shared" si="10"/>
        <v>#N/A</v>
      </c>
      <c r="O8" s="93" t="e">
        <f t="shared" si="11"/>
        <v>#N/A</v>
      </c>
      <c r="P8" s="37" t="e">
        <f t="shared" si="12"/>
        <v>#N/A</v>
      </c>
      <c r="Q8" s="93" t="e">
        <f t="shared" si="13"/>
        <v>#N/A</v>
      </c>
      <c r="R8" s="37" t="e">
        <f t="shared" si="14"/>
        <v>#N/A</v>
      </c>
      <c r="S8" s="93" t="e">
        <f t="shared" si="15"/>
        <v>#N/A</v>
      </c>
      <c r="T8" s="37" t="e">
        <f t="shared" si="16"/>
        <v>#N/A</v>
      </c>
      <c r="U8" s="93" t="e">
        <f t="shared" si="17"/>
        <v>#N/A</v>
      </c>
      <c r="V8" s="37" t="e">
        <f t="shared" si="18"/>
        <v>#N/A</v>
      </c>
      <c r="W8" s="93" t="e">
        <f t="shared" si="19"/>
        <v>#N/A</v>
      </c>
      <c r="X8" s="37" t="e">
        <f t="shared" si="20"/>
        <v>#N/A</v>
      </c>
      <c r="Y8" s="93" t="e">
        <f t="shared" si="21"/>
        <v>#N/A</v>
      </c>
      <c r="Z8" s="37" t="e">
        <f t="shared" si="22"/>
        <v>#N/A</v>
      </c>
      <c r="AA8" s="35"/>
      <c r="AB8" s="38" t="e">
        <f t="shared" si="23"/>
        <v>#N/A</v>
      </c>
      <c r="AC8" s="38" t="e">
        <f t="shared" si="24"/>
        <v>#N/A</v>
      </c>
      <c r="AD8" s="14" t="e">
        <f>IF(A8="","",IF(AC8="  ",AB8-Date!$B$3,AB8-AC8))</f>
        <v>#N/A</v>
      </c>
      <c r="AE8" s="20"/>
    </row>
    <row r="9" spans="1:31" ht="24.75" hidden="1" customHeight="1" x14ac:dyDescent="0.25">
      <c r="A9" s="14" t="s">
        <v>77</v>
      </c>
      <c r="B9" s="13" t="e">
        <f t="shared" si="0"/>
        <v>#N/A</v>
      </c>
      <c r="C9" s="35"/>
      <c r="D9" s="93" t="e">
        <f t="shared" si="1"/>
        <v>#N/A</v>
      </c>
      <c r="E9" s="37" t="e">
        <f t="shared" si="2"/>
        <v>#N/A</v>
      </c>
      <c r="F9" s="93" t="e">
        <f t="shared" si="3"/>
        <v>#N/A</v>
      </c>
      <c r="G9" s="37" t="e">
        <f t="shared" si="4"/>
        <v>#N/A</v>
      </c>
      <c r="H9" s="93" t="e">
        <f t="shared" si="5"/>
        <v>#N/A</v>
      </c>
      <c r="I9" s="37" t="e">
        <f t="shared" si="6"/>
        <v>#N/A</v>
      </c>
      <c r="J9" s="35"/>
      <c r="K9" s="93" t="e">
        <f t="shared" si="7"/>
        <v>#N/A</v>
      </c>
      <c r="L9" s="37" t="e">
        <f t="shared" si="8"/>
        <v>#N/A</v>
      </c>
      <c r="M9" s="93" t="e">
        <f t="shared" si="9"/>
        <v>#N/A</v>
      </c>
      <c r="N9" s="37" t="e">
        <f t="shared" si="10"/>
        <v>#N/A</v>
      </c>
      <c r="O9" s="93" t="e">
        <f t="shared" si="11"/>
        <v>#N/A</v>
      </c>
      <c r="P9" s="37" t="e">
        <f t="shared" si="12"/>
        <v>#N/A</v>
      </c>
      <c r="Q9" s="93" t="e">
        <f t="shared" si="13"/>
        <v>#N/A</v>
      </c>
      <c r="R9" s="37" t="e">
        <f t="shared" si="14"/>
        <v>#N/A</v>
      </c>
      <c r="S9" s="93" t="e">
        <f t="shared" si="15"/>
        <v>#N/A</v>
      </c>
      <c r="T9" s="37" t="e">
        <f t="shared" si="16"/>
        <v>#N/A</v>
      </c>
      <c r="U9" s="93" t="e">
        <f t="shared" si="17"/>
        <v>#N/A</v>
      </c>
      <c r="V9" s="37" t="e">
        <f t="shared" si="18"/>
        <v>#N/A</v>
      </c>
      <c r="W9" s="93" t="e">
        <f t="shared" si="19"/>
        <v>#N/A</v>
      </c>
      <c r="X9" s="37" t="e">
        <f t="shared" si="20"/>
        <v>#N/A</v>
      </c>
      <c r="Y9" s="93" t="e">
        <f t="shared" si="21"/>
        <v>#N/A</v>
      </c>
      <c r="Z9" s="37" t="e">
        <f t="shared" si="22"/>
        <v>#N/A</v>
      </c>
      <c r="AA9" s="35"/>
      <c r="AB9" s="38" t="e">
        <f t="shared" si="23"/>
        <v>#N/A</v>
      </c>
      <c r="AC9" s="38" t="e">
        <f t="shared" si="24"/>
        <v>#N/A</v>
      </c>
      <c r="AD9" s="14" t="e">
        <f>IF(A9="","",IF(AC9="  ",AB9-Date!$B$3,AB9-AC9))</f>
        <v>#N/A</v>
      </c>
      <c r="AE9" s="20"/>
    </row>
    <row r="10" spans="1:31" ht="23.25" x14ac:dyDescent="0.25">
      <c r="A10" s="14" t="s">
        <v>78</v>
      </c>
      <c r="B10" s="13" t="e">
        <f t="shared" si="0"/>
        <v>#N/A</v>
      </c>
      <c r="C10" s="35"/>
      <c r="D10" s="93" t="e">
        <f t="shared" si="1"/>
        <v>#N/A</v>
      </c>
      <c r="E10" s="37" t="e">
        <f t="shared" si="2"/>
        <v>#N/A</v>
      </c>
      <c r="F10" s="93" t="e">
        <f t="shared" si="3"/>
        <v>#N/A</v>
      </c>
      <c r="G10" s="37" t="e">
        <f t="shared" si="4"/>
        <v>#N/A</v>
      </c>
      <c r="H10" s="93" t="e">
        <f t="shared" si="5"/>
        <v>#N/A</v>
      </c>
      <c r="I10" s="37" t="e">
        <f t="shared" si="6"/>
        <v>#N/A</v>
      </c>
      <c r="J10" s="35"/>
      <c r="K10" s="93" t="e">
        <f t="shared" si="7"/>
        <v>#N/A</v>
      </c>
      <c r="L10" s="37" t="e">
        <f t="shared" si="8"/>
        <v>#N/A</v>
      </c>
      <c r="M10" s="93" t="e">
        <f t="shared" si="9"/>
        <v>#N/A</v>
      </c>
      <c r="N10" s="37" t="e">
        <f t="shared" si="10"/>
        <v>#N/A</v>
      </c>
      <c r="O10" s="93" t="e">
        <f t="shared" si="11"/>
        <v>#N/A</v>
      </c>
      <c r="P10" s="37" t="e">
        <f t="shared" si="12"/>
        <v>#N/A</v>
      </c>
      <c r="Q10" s="93" t="e">
        <f t="shared" si="13"/>
        <v>#N/A</v>
      </c>
      <c r="R10" s="37" t="e">
        <f t="shared" si="14"/>
        <v>#N/A</v>
      </c>
      <c r="S10" s="93" t="e">
        <f t="shared" si="15"/>
        <v>#N/A</v>
      </c>
      <c r="T10" s="37" t="e">
        <f t="shared" si="16"/>
        <v>#N/A</v>
      </c>
      <c r="U10" s="93" t="e">
        <f t="shared" si="17"/>
        <v>#N/A</v>
      </c>
      <c r="V10" s="37" t="e">
        <f t="shared" si="18"/>
        <v>#N/A</v>
      </c>
      <c r="W10" s="93" t="e">
        <f t="shared" si="19"/>
        <v>#N/A</v>
      </c>
      <c r="X10" s="37" t="e">
        <f t="shared" si="20"/>
        <v>#N/A</v>
      </c>
      <c r="Y10" s="93" t="e">
        <f t="shared" si="21"/>
        <v>#N/A</v>
      </c>
      <c r="Z10" s="37" t="e">
        <f t="shared" si="22"/>
        <v>#N/A</v>
      </c>
      <c r="AA10" s="35"/>
      <c r="AB10" s="38" t="e">
        <f t="shared" si="23"/>
        <v>#N/A</v>
      </c>
      <c r="AC10" s="38" t="e">
        <f t="shared" si="24"/>
        <v>#N/A</v>
      </c>
      <c r="AD10" s="14" t="e">
        <f>ROUND(IF(A10="","",IF(AC10="  ",AB10-Date!$B$3,AB10-AC10)),0)</f>
        <v>#N/A</v>
      </c>
      <c r="AE10" s="20"/>
    </row>
    <row r="11" spans="1:31" ht="23.25" x14ac:dyDescent="0.25">
      <c r="A11" s="14" t="s">
        <v>79</v>
      </c>
      <c r="B11" s="13" t="e">
        <f t="shared" si="0"/>
        <v>#N/A</v>
      </c>
      <c r="C11" s="35"/>
      <c r="D11" s="93" t="e">
        <f t="shared" si="1"/>
        <v>#N/A</v>
      </c>
      <c r="E11" s="37" t="e">
        <f t="shared" si="2"/>
        <v>#N/A</v>
      </c>
      <c r="F11" s="93" t="e">
        <f t="shared" si="3"/>
        <v>#N/A</v>
      </c>
      <c r="G11" s="37" t="e">
        <f t="shared" si="4"/>
        <v>#N/A</v>
      </c>
      <c r="H11" s="93" t="e">
        <f t="shared" si="5"/>
        <v>#N/A</v>
      </c>
      <c r="I11" s="37" t="e">
        <f t="shared" si="6"/>
        <v>#N/A</v>
      </c>
      <c r="J11" s="35"/>
      <c r="K11" s="93" t="e">
        <f t="shared" si="7"/>
        <v>#N/A</v>
      </c>
      <c r="L11" s="37" t="e">
        <f t="shared" si="8"/>
        <v>#N/A</v>
      </c>
      <c r="M11" s="93" t="e">
        <f t="shared" si="9"/>
        <v>#N/A</v>
      </c>
      <c r="N11" s="37" t="e">
        <f t="shared" si="10"/>
        <v>#N/A</v>
      </c>
      <c r="O11" s="93" t="e">
        <f t="shared" si="11"/>
        <v>#N/A</v>
      </c>
      <c r="P11" s="37" t="e">
        <f t="shared" si="12"/>
        <v>#N/A</v>
      </c>
      <c r="Q11" s="93" t="e">
        <f t="shared" si="13"/>
        <v>#N/A</v>
      </c>
      <c r="R11" s="37" t="e">
        <f t="shared" si="14"/>
        <v>#N/A</v>
      </c>
      <c r="S11" s="93" t="e">
        <f t="shared" si="15"/>
        <v>#N/A</v>
      </c>
      <c r="T11" s="37" t="e">
        <f t="shared" si="16"/>
        <v>#N/A</v>
      </c>
      <c r="U11" s="93" t="e">
        <f t="shared" si="17"/>
        <v>#N/A</v>
      </c>
      <c r="V11" s="37" t="e">
        <f t="shared" si="18"/>
        <v>#N/A</v>
      </c>
      <c r="W11" s="93" t="e">
        <f t="shared" si="19"/>
        <v>#N/A</v>
      </c>
      <c r="X11" s="37" t="e">
        <f t="shared" si="20"/>
        <v>#N/A</v>
      </c>
      <c r="Y11" s="93" t="e">
        <f t="shared" si="21"/>
        <v>#N/A</v>
      </c>
      <c r="Z11" s="37" t="e">
        <f t="shared" si="22"/>
        <v>#N/A</v>
      </c>
      <c r="AA11" s="35"/>
      <c r="AB11" s="38" t="e">
        <f t="shared" si="23"/>
        <v>#N/A</v>
      </c>
      <c r="AC11" s="38" t="e">
        <f t="shared" si="24"/>
        <v>#N/A</v>
      </c>
      <c r="AD11" s="14" t="e">
        <f>ROUND(IF(A11="","",IF(AC11="  ",AB11-Date!$B$3,AB11-AC11)),0)</f>
        <v>#N/A</v>
      </c>
      <c r="AE11" s="20"/>
    </row>
    <row r="12" spans="1:31" ht="23.25" x14ac:dyDescent="0.25">
      <c r="A12" s="14" t="s">
        <v>80</v>
      </c>
      <c r="B12" s="13" t="e">
        <f t="shared" si="0"/>
        <v>#N/A</v>
      </c>
      <c r="C12" s="35"/>
      <c r="D12" s="93" t="e">
        <f t="shared" si="1"/>
        <v>#N/A</v>
      </c>
      <c r="E12" s="37" t="e">
        <f t="shared" si="2"/>
        <v>#N/A</v>
      </c>
      <c r="F12" s="93" t="e">
        <f t="shared" si="3"/>
        <v>#N/A</v>
      </c>
      <c r="G12" s="37" t="e">
        <f t="shared" si="4"/>
        <v>#N/A</v>
      </c>
      <c r="H12" s="93" t="e">
        <f t="shared" si="5"/>
        <v>#N/A</v>
      </c>
      <c r="I12" s="37" t="e">
        <f t="shared" si="6"/>
        <v>#N/A</v>
      </c>
      <c r="J12" s="35"/>
      <c r="K12" s="93" t="e">
        <f t="shared" si="7"/>
        <v>#N/A</v>
      </c>
      <c r="L12" s="37" t="e">
        <f t="shared" si="8"/>
        <v>#N/A</v>
      </c>
      <c r="M12" s="93" t="e">
        <f t="shared" si="9"/>
        <v>#N/A</v>
      </c>
      <c r="N12" s="37" t="e">
        <f t="shared" si="10"/>
        <v>#N/A</v>
      </c>
      <c r="O12" s="93" t="e">
        <f t="shared" si="11"/>
        <v>#N/A</v>
      </c>
      <c r="P12" s="37" t="e">
        <f t="shared" si="12"/>
        <v>#N/A</v>
      </c>
      <c r="Q12" s="93" t="e">
        <f t="shared" si="13"/>
        <v>#N/A</v>
      </c>
      <c r="R12" s="37" t="e">
        <f t="shared" si="14"/>
        <v>#N/A</v>
      </c>
      <c r="S12" s="93" t="e">
        <f t="shared" si="15"/>
        <v>#N/A</v>
      </c>
      <c r="T12" s="37" t="e">
        <f t="shared" si="16"/>
        <v>#N/A</v>
      </c>
      <c r="U12" s="93" t="e">
        <f t="shared" si="17"/>
        <v>#N/A</v>
      </c>
      <c r="V12" s="37" t="e">
        <f t="shared" si="18"/>
        <v>#N/A</v>
      </c>
      <c r="W12" s="93" t="e">
        <f t="shared" si="19"/>
        <v>#N/A</v>
      </c>
      <c r="X12" s="37" t="e">
        <f t="shared" si="20"/>
        <v>#N/A</v>
      </c>
      <c r="Y12" s="93" t="e">
        <f t="shared" si="21"/>
        <v>#N/A</v>
      </c>
      <c r="Z12" s="37" t="e">
        <f t="shared" si="22"/>
        <v>#N/A</v>
      </c>
      <c r="AA12" s="35"/>
      <c r="AB12" s="38" t="e">
        <f t="shared" si="23"/>
        <v>#N/A</v>
      </c>
      <c r="AC12" s="38" t="e">
        <f t="shared" si="24"/>
        <v>#N/A</v>
      </c>
      <c r="AD12" s="14" t="e">
        <f>ROUND(IF(A12="","",IF(AC12="  ",AB12-Date!$B$3,AB12-AC12)),0)</f>
        <v>#N/A</v>
      </c>
      <c r="AE12" s="20"/>
    </row>
    <row r="13" spans="1:31" ht="23.25" x14ac:dyDescent="0.25">
      <c r="A13" s="14" t="s">
        <v>81</v>
      </c>
      <c r="B13" s="13" t="e">
        <f t="shared" si="0"/>
        <v>#N/A</v>
      </c>
      <c r="C13" s="35"/>
      <c r="D13" s="93" t="e">
        <f t="shared" si="1"/>
        <v>#N/A</v>
      </c>
      <c r="E13" s="37" t="e">
        <f t="shared" si="2"/>
        <v>#N/A</v>
      </c>
      <c r="F13" s="93" t="e">
        <f t="shared" si="3"/>
        <v>#N/A</v>
      </c>
      <c r="G13" s="37" t="e">
        <f t="shared" si="4"/>
        <v>#N/A</v>
      </c>
      <c r="H13" s="93" t="e">
        <f t="shared" si="5"/>
        <v>#N/A</v>
      </c>
      <c r="I13" s="37" t="e">
        <f t="shared" si="6"/>
        <v>#N/A</v>
      </c>
      <c r="J13" s="35"/>
      <c r="K13" s="93" t="e">
        <f t="shared" si="7"/>
        <v>#N/A</v>
      </c>
      <c r="L13" s="37" t="e">
        <f t="shared" si="8"/>
        <v>#N/A</v>
      </c>
      <c r="M13" s="93" t="e">
        <f t="shared" si="9"/>
        <v>#N/A</v>
      </c>
      <c r="N13" s="37" t="e">
        <f t="shared" si="10"/>
        <v>#N/A</v>
      </c>
      <c r="O13" s="93" t="e">
        <f t="shared" si="11"/>
        <v>#N/A</v>
      </c>
      <c r="P13" s="37" t="e">
        <f t="shared" si="12"/>
        <v>#N/A</v>
      </c>
      <c r="Q13" s="93" t="e">
        <f t="shared" si="13"/>
        <v>#N/A</v>
      </c>
      <c r="R13" s="37" t="e">
        <f t="shared" si="14"/>
        <v>#N/A</v>
      </c>
      <c r="S13" s="93" t="e">
        <f t="shared" si="15"/>
        <v>#N/A</v>
      </c>
      <c r="T13" s="37" t="e">
        <f t="shared" si="16"/>
        <v>#N/A</v>
      </c>
      <c r="U13" s="93" t="e">
        <f t="shared" si="17"/>
        <v>#N/A</v>
      </c>
      <c r="V13" s="37" t="e">
        <f t="shared" si="18"/>
        <v>#N/A</v>
      </c>
      <c r="W13" s="93" t="e">
        <f t="shared" si="19"/>
        <v>#N/A</v>
      </c>
      <c r="X13" s="37" t="e">
        <f t="shared" si="20"/>
        <v>#N/A</v>
      </c>
      <c r="Y13" s="93" t="e">
        <f t="shared" si="21"/>
        <v>#N/A</v>
      </c>
      <c r="Z13" s="37" t="e">
        <f t="shared" si="22"/>
        <v>#N/A</v>
      </c>
      <c r="AA13" s="35"/>
      <c r="AB13" s="38" t="e">
        <f t="shared" si="23"/>
        <v>#N/A</v>
      </c>
      <c r="AC13" s="38" t="e">
        <f t="shared" si="24"/>
        <v>#N/A</v>
      </c>
      <c r="AD13" s="14" t="e">
        <f>ROUND(IF(A13="","",IF(AC13="  ",AB13-Date!$B$3,AB13-AC13)),0)</f>
        <v>#N/A</v>
      </c>
      <c r="AE13" s="20"/>
    </row>
    <row r="14" spans="1:31" ht="23.25" x14ac:dyDescent="0.25">
      <c r="A14" s="14" t="s">
        <v>82</v>
      </c>
      <c r="B14" s="13" t="e">
        <f t="shared" si="0"/>
        <v>#N/A</v>
      </c>
      <c r="C14" s="35"/>
      <c r="D14" s="93" t="e">
        <f t="shared" si="1"/>
        <v>#N/A</v>
      </c>
      <c r="E14" s="37" t="e">
        <f t="shared" si="2"/>
        <v>#N/A</v>
      </c>
      <c r="F14" s="93" t="e">
        <f t="shared" si="3"/>
        <v>#N/A</v>
      </c>
      <c r="G14" s="37" t="e">
        <f t="shared" si="4"/>
        <v>#N/A</v>
      </c>
      <c r="H14" s="93" t="e">
        <f t="shared" si="5"/>
        <v>#N/A</v>
      </c>
      <c r="I14" s="37" t="e">
        <f t="shared" si="6"/>
        <v>#N/A</v>
      </c>
      <c r="J14" s="35"/>
      <c r="K14" s="93" t="e">
        <f t="shared" si="7"/>
        <v>#N/A</v>
      </c>
      <c r="L14" s="37" t="e">
        <f t="shared" si="8"/>
        <v>#N/A</v>
      </c>
      <c r="M14" s="93" t="e">
        <f t="shared" si="9"/>
        <v>#N/A</v>
      </c>
      <c r="N14" s="37" t="e">
        <f t="shared" si="10"/>
        <v>#N/A</v>
      </c>
      <c r="O14" s="93" t="e">
        <f t="shared" si="11"/>
        <v>#N/A</v>
      </c>
      <c r="P14" s="37" t="e">
        <f t="shared" si="12"/>
        <v>#N/A</v>
      </c>
      <c r="Q14" s="93" t="e">
        <f t="shared" si="13"/>
        <v>#N/A</v>
      </c>
      <c r="R14" s="37" t="e">
        <f t="shared" si="14"/>
        <v>#N/A</v>
      </c>
      <c r="S14" s="93" t="e">
        <f t="shared" si="15"/>
        <v>#N/A</v>
      </c>
      <c r="T14" s="37" t="e">
        <f t="shared" si="16"/>
        <v>#N/A</v>
      </c>
      <c r="U14" s="93" t="e">
        <f t="shared" si="17"/>
        <v>#N/A</v>
      </c>
      <c r="V14" s="37" t="e">
        <f t="shared" si="18"/>
        <v>#N/A</v>
      </c>
      <c r="W14" s="93" t="e">
        <f t="shared" si="19"/>
        <v>#N/A</v>
      </c>
      <c r="X14" s="37" t="e">
        <f t="shared" si="20"/>
        <v>#N/A</v>
      </c>
      <c r="Y14" s="93" t="e">
        <f t="shared" si="21"/>
        <v>#N/A</v>
      </c>
      <c r="Z14" s="37" t="e">
        <f t="shared" si="22"/>
        <v>#N/A</v>
      </c>
      <c r="AA14" s="35"/>
      <c r="AB14" s="38" t="e">
        <f t="shared" si="23"/>
        <v>#N/A</v>
      </c>
      <c r="AC14" s="38" t="e">
        <f t="shared" si="24"/>
        <v>#N/A</v>
      </c>
      <c r="AD14" s="14" t="e">
        <f>ROUND(IF(A14="","",IF(AC14="  ",AB14-Date!$B$3,AB14-AC14)),0)</f>
        <v>#N/A</v>
      </c>
      <c r="AE14" s="20"/>
    </row>
    <row r="15" spans="1:31" ht="23.25" x14ac:dyDescent="0.25">
      <c r="A15" s="14" t="s">
        <v>83</v>
      </c>
      <c r="B15" s="13" t="e">
        <f t="shared" si="0"/>
        <v>#N/A</v>
      </c>
      <c r="C15" s="35"/>
      <c r="D15" s="93" t="e">
        <f t="shared" si="1"/>
        <v>#N/A</v>
      </c>
      <c r="E15" s="37" t="e">
        <f t="shared" si="2"/>
        <v>#N/A</v>
      </c>
      <c r="F15" s="93" t="e">
        <f t="shared" si="3"/>
        <v>#N/A</v>
      </c>
      <c r="G15" s="37" t="e">
        <f t="shared" si="4"/>
        <v>#N/A</v>
      </c>
      <c r="H15" s="93" t="e">
        <f t="shared" si="5"/>
        <v>#N/A</v>
      </c>
      <c r="I15" s="37" t="e">
        <f t="shared" si="6"/>
        <v>#N/A</v>
      </c>
      <c r="J15" s="35"/>
      <c r="K15" s="93" t="e">
        <f t="shared" si="7"/>
        <v>#N/A</v>
      </c>
      <c r="L15" s="37" t="e">
        <f t="shared" si="8"/>
        <v>#N/A</v>
      </c>
      <c r="M15" s="93" t="e">
        <f t="shared" si="9"/>
        <v>#N/A</v>
      </c>
      <c r="N15" s="37" t="e">
        <f t="shared" si="10"/>
        <v>#N/A</v>
      </c>
      <c r="O15" s="93" t="e">
        <f t="shared" si="11"/>
        <v>#N/A</v>
      </c>
      <c r="P15" s="37" t="e">
        <f t="shared" si="12"/>
        <v>#N/A</v>
      </c>
      <c r="Q15" s="93" t="e">
        <f t="shared" si="13"/>
        <v>#N/A</v>
      </c>
      <c r="R15" s="37" t="e">
        <f t="shared" si="14"/>
        <v>#N/A</v>
      </c>
      <c r="S15" s="93" t="e">
        <f t="shared" si="15"/>
        <v>#N/A</v>
      </c>
      <c r="T15" s="37" t="e">
        <f t="shared" si="16"/>
        <v>#N/A</v>
      </c>
      <c r="U15" s="93" t="e">
        <f t="shared" si="17"/>
        <v>#N/A</v>
      </c>
      <c r="V15" s="37" t="e">
        <f t="shared" si="18"/>
        <v>#N/A</v>
      </c>
      <c r="W15" s="93" t="e">
        <f t="shared" si="19"/>
        <v>#N/A</v>
      </c>
      <c r="X15" s="37" t="e">
        <f t="shared" si="20"/>
        <v>#N/A</v>
      </c>
      <c r="Y15" s="93" t="e">
        <f t="shared" si="21"/>
        <v>#N/A</v>
      </c>
      <c r="Z15" s="37" t="e">
        <f t="shared" si="22"/>
        <v>#N/A</v>
      </c>
      <c r="AA15" s="35"/>
      <c r="AB15" s="38" t="e">
        <f t="shared" si="23"/>
        <v>#N/A</v>
      </c>
      <c r="AC15" s="38" t="e">
        <f t="shared" si="24"/>
        <v>#N/A</v>
      </c>
      <c r="AD15" s="14" t="e">
        <f>ROUND(IF(A15="","",IF(AC15="  ",AB15-Date!$B$3,AB15-AC15)),0)</f>
        <v>#N/A</v>
      </c>
      <c r="AE15" s="20"/>
    </row>
    <row r="16" spans="1:31" ht="23.25" x14ac:dyDescent="0.25">
      <c r="A16" s="14" t="s">
        <v>84</v>
      </c>
      <c r="B16" s="13" t="e">
        <f t="shared" si="0"/>
        <v>#N/A</v>
      </c>
      <c r="C16" s="35"/>
      <c r="D16" s="93" t="e">
        <f t="shared" si="1"/>
        <v>#N/A</v>
      </c>
      <c r="E16" s="37" t="e">
        <f t="shared" si="2"/>
        <v>#N/A</v>
      </c>
      <c r="F16" s="93" t="e">
        <f t="shared" si="3"/>
        <v>#N/A</v>
      </c>
      <c r="G16" s="37" t="e">
        <f t="shared" si="4"/>
        <v>#N/A</v>
      </c>
      <c r="H16" s="93" t="e">
        <f t="shared" si="5"/>
        <v>#N/A</v>
      </c>
      <c r="I16" s="37" t="e">
        <f t="shared" si="6"/>
        <v>#N/A</v>
      </c>
      <c r="J16" s="35"/>
      <c r="K16" s="93" t="e">
        <f t="shared" si="7"/>
        <v>#N/A</v>
      </c>
      <c r="L16" s="37" t="e">
        <f t="shared" si="8"/>
        <v>#N/A</v>
      </c>
      <c r="M16" s="93" t="e">
        <f t="shared" si="9"/>
        <v>#N/A</v>
      </c>
      <c r="N16" s="37" t="e">
        <f t="shared" si="10"/>
        <v>#N/A</v>
      </c>
      <c r="O16" s="93" t="e">
        <f t="shared" si="11"/>
        <v>#N/A</v>
      </c>
      <c r="P16" s="37" t="e">
        <f t="shared" si="12"/>
        <v>#N/A</v>
      </c>
      <c r="Q16" s="93" t="e">
        <f t="shared" si="13"/>
        <v>#N/A</v>
      </c>
      <c r="R16" s="37" t="e">
        <f t="shared" si="14"/>
        <v>#N/A</v>
      </c>
      <c r="S16" s="93" t="e">
        <f t="shared" si="15"/>
        <v>#N/A</v>
      </c>
      <c r="T16" s="37" t="e">
        <f t="shared" si="16"/>
        <v>#N/A</v>
      </c>
      <c r="U16" s="93" t="e">
        <f t="shared" si="17"/>
        <v>#N/A</v>
      </c>
      <c r="V16" s="37" t="e">
        <f t="shared" si="18"/>
        <v>#N/A</v>
      </c>
      <c r="W16" s="93" t="e">
        <f t="shared" si="19"/>
        <v>#N/A</v>
      </c>
      <c r="X16" s="37" t="e">
        <f t="shared" si="20"/>
        <v>#N/A</v>
      </c>
      <c r="Y16" s="93" t="e">
        <f t="shared" si="21"/>
        <v>#N/A</v>
      </c>
      <c r="Z16" s="37" t="e">
        <f t="shared" si="22"/>
        <v>#N/A</v>
      </c>
      <c r="AA16" s="35"/>
      <c r="AB16" s="38" t="e">
        <f t="shared" si="23"/>
        <v>#N/A</v>
      </c>
      <c r="AC16" s="38" t="e">
        <f t="shared" si="24"/>
        <v>#N/A</v>
      </c>
      <c r="AD16" s="14" t="e">
        <f>ROUND(IF(A16="","",IF(AC16="  ",AB16-Date!$B$3,AB16-AC16)),0)</f>
        <v>#N/A</v>
      </c>
      <c r="AE16" s="20"/>
    </row>
    <row r="17" spans="1:31" ht="23.25" x14ac:dyDescent="0.25">
      <c r="A17" s="14" t="s">
        <v>85</v>
      </c>
      <c r="B17" s="13" t="e">
        <f t="shared" si="0"/>
        <v>#N/A</v>
      </c>
      <c r="C17" s="35"/>
      <c r="D17" s="93" t="e">
        <f t="shared" si="1"/>
        <v>#N/A</v>
      </c>
      <c r="E17" s="37" t="e">
        <f t="shared" si="2"/>
        <v>#N/A</v>
      </c>
      <c r="F17" s="93" t="e">
        <f t="shared" si="3"/>
        <v>#N/A</v>
      </c>
      <c r="G17" s="37" t="e">
        <f t="shared" si="4"/>
        <v>#N/A</v>
      </c>
      <c r="H17" s="93" t="e">
        <f t="shared" si="5"/>
        <v>#N/A</v>
      </c>
      <c r="I17" s="37" t="e">
        <f t="shared" si="6"/>
        <v>#N/A</v>
      </c>
      <c r="J17" s="35"/>
      <c r="K17" s="93" t="e">
        <f t="shared" si="7"/>
        <v>#N/A</v>
      </c>
      <c r="L17" s="37" t="e">
        <f t="shared" si="8"/>
        <v>#N/A</v>
      </c>
      <c r="M17" s="93" t="e">
        <f t="shared" si="9"/>
        <v>#N/A</v>
      </c>
      <c r="N17" s="37" t="e">
        <f t="shared" si="10"/>
        <v>#N/A</v>
      </c>
      <c r="O17" s="93" t="e">
        <f t="shared" si="11"/>
        <v>#N/A</v>
      </c>
      <c r="P17" s="37" t="e">
        <f t="shared" si="12"/>
        <v>#N/A</v>
      </c>
      <c r="Q17" s="93" t="e">
        <f t="shared" si="13"/>
        <v>#N/A</v>
      </c>
      <c r="R17" s="37" t="e">
        <f t="shared" si="14"/>
        <v>#N/A</v>
      </c>
      <c r="S17" s="93" t="e">
        <f t="shared" si="15"/>
        <v>#N/A</v>
      </c>
      <c r="T17" s="37" t="e">
        <f t="shared" si="16"/>
        <v>#N/A</v>
      </c>
      <c r="U17" s="93" t="e">
        <f t="shared" si="17"/>
        <v>#N/A</v>
      </c>
      <c r="V17" s="37" t="e">
        <f t="shared" si="18"/>
        <v>#N/A</v>
      </c>
      <c r="W17" s="93" t="e">
        <f t="shared" si="19"/>
        <v>#N/A</v>
      </c>
      <c r="X17" s="37" t="e">
        <f t="shared" si="20"/>
        <v>#N/A</v>
      </c>
      <c r="Y17" s="93" t="e">
        <f t="shared" si="21"/>
        <v>#N/A</v>
      </c>
      <c r="Z17" s="37" t="e">
        <f t="shared" si="22"/>
        <v>#N/A</v>
      </c>
      <c r="AA17" s="35"/>
      <c r="AB17" s="38" t="e">
        <f t="shared" si="23"/>
        <v>#N/A</v>
      </c>
      <c r="AC17" s="38" t="e">
        <f t="shared" si="24"/>
        <v>#N/A</v>
      </c>
      <c r="AD17" s="14" t="e">
        <f>ROUND(IF(A17="","",IF(AC17="  ",AB17-Date!$B$3,AB17-AC17)),0)</f>
        <v>#N/A</v>
      </c>
      <c r="AE17" s="20"/>
    </row>
    <row r="18" spans="1:31" ht="23.25" x14ac:dyDescent="0.25">
      <c r="A18" s="14" t="s">
        <v>86</v>
      </c>
      <c r="B18" s="13" t="e">
        <f t="shared" si="0"/>
        <v>#N/A</v>
      </c>
      <c r="C18" s="35"/>
      <c r="D18" s="93" t="e">
        <f t="shared" si="1"/>
        <v>#N/A</v>
      </c>
      <c r="E18" s="37" t="e">
        <f t="shared" si="2"/>
        <v>#N/A</v>
      </c>
      <c r="F18" s="93" t="e">
        <f t="shared" si="3"/>
        <v>#N/A</v>
      </c>
      <c r="G18" s="37" t="e">
        <f t="shared" si="4"/>
        <v>#N/A</v>
      </c>
      <c r="H18" s="93" t="e">
        <f t="shared" si="5"/>
        <v>#N/A</v>
      </c>
      <c r="I18" s="37" t="e">
        <f t="shared" si="6"/>
        <v>#N/A</v>
      </c>
      <c r="J18" s="35"/>
      <c r="K18" s="93" t="e">
        <f t="shared" si="7"/>
        <v>#N/A</v>
      </c>
      <c r="L18" s="37" t="e">
        <f t="shared" si="8"/>
        <v>#N/A</v>
      </c>
      <c r="M18" s="93" t="e">
        <f t="shared" si="9"/>
        <v>#N/A</v>
      </c>
      <c r="N18" s="37" t="e">
        <f t="shared" si="10"/>
        <v>#N/A</v>
      </c>
      <c r="O18" s="93" t="e">
        <f t="shared" si="11"/>
        <v>#N/A</v>
      </c>
      <c r="P18" s="37" t="e">
        <f t="shared" si="12"/>
        <v>#N/A</v>
      </c>
      <c r="Q18" s="93" t="e">
        <f t="shared" si="13"/>
        <v>#N/A</v>
      </c>
      <c r="R18" s="37" t="e">
        <f t="shared" si="14"/>
        <v>#N/A</v>
      </c>
      <c r="S18" s="93" t="e">
        <f t="shared" si="15"/>
        <v>#N/A</v>
      </c>
      <c r="T18" s="37" t="e">
        <f t="shared" si="16"/>
        <v>#N/A</v>
      </c>
      <c r="U18" s="93" t="e">
        <f t="shared" si="17"/>
        <v>#N/A</v>
      </c>
      <c r="V18" s="37" t="e">
        <f t="shared" si="18"/>
        <v>#N/A</v>
      </c>
      <c r="W18" s="93" t="e">
        <f t="shared" si="19"/>
        <v>#N/A</v>
      </c>
      <c r="X18" s="37" t="e">
        <f t="shared" si="20"/>
        <v>#N/A</v>
      </c>
      <c r="Y18" s="93" t="e">
        <f t="shared" si="21"/>
        <v>#N/A</v>
      </c>
      <c r="Z18" s="37" t="e">
        <f t="shared" si="22"/>
        <v>#N/A</v>
      </c>
      <c r="AA18" s="35"/>
      <c r="AB18" s="38" t="e">
        <f t="shared" si="23"/>
        <v>#N/A</v>
      </c>
      <c r="AC18" s="38" t="e">
        <f t="shared" si="24"/>
        <v>#N/A</v>
      </c>
      <c r="AD18" s="14" t="e">
        <f>ROUND(IF(A18="","",IF(AC18="  ",AB18-Date!$B$3,AB18-AC18)),0)</f>
        <v>#N/A</v>
      </c>
      <c r="AE18" s="20"/>
    </row>
    <row r="19" spans="1:31" ht="23.25" x14ac:dyDescent="0.25">
      <c r="A19" s="14" t="s">
        <v>87</v>
      </c>
      <c r="B19" s="13" t="e">
        <f t="shared" si="0"/>
        <v>#N/A</v>
      </c>
      <c r="C19" s="35"/>
      <c r="D19" s="93" t="e">
        <f t="shared" si="1"/>
        <v>#N/A</v>
      </c>
      <c r="E19" s="37" t="e">
        <f t="shared" si="2"/>
        <v>#N/A</v>
      </c>
      <c r="F19" s="93" t="e">
        <f t="shared" si="3"/>
        <v>#N/A</v>
      </c>
      <c r="G19" s="37" t="e">
        <f t="shared" si="4"/>
        <v>#N/A</v>
      </c>
      <c r="H19" s="93" t="e">
        <f t="shared" si="5"/>
        <v>#N/A</v>
      </c>
      <c r="I19" s="37" t="e">
        <f t="shared" si="6"/>
        <v>#N/A</v>
      </c>
      <c r="J19" s="35"/>
      <c r="K19" s="93" t="e">
        <f t="shared" si="7"/>
        <v>#N/A</v>
      </c>
      <c r="L19" s="37" t="e">
        <f t="shared" si="8"/>
        <v>#N/A</v>
      </c>
      <c r="M19" s="93" t="e">
        <f t="shared" si="9"/>
        <v>#N/A</v>
      </c>
      <c r="N19" s="37" t="e">
        <f t="shared" si="10"/>
        <v>#N/A</v>
      </c>
      <c r="O19" s="93" t="e">
        <f t="shared" si="11"/>
        <v>#N/A</v>
      </c>
      <c r="P19" s="37" t="e">
        <f t="shared" si="12"/>
        <v>#N/A</v>
      </c>
      <c r="Q19" s="93" t="e">
        <f t="shared" si="13"/>
        <v>#N/A</v>
      </c>
      <c r="R19" s="37" t="e">
        <f t="shared" si="14"/>
        <v>#N/A</v>
      </c>
      <c r="S19" s="93" t="e">
        <f t="shared" si="15"/>
        <v>#N/A</v>
      </c>
      <c r="T19" s="37" t="e">
        <f t="shared" si="16"/>
        <v>#N/A</v>
      </c>
      <c r="U19" s="93" t="e">
        <f t="shared" si="17"/>
        <v>#N/A</v>
      </c>
      <c r="V19" s="37" t="e">
        <f t="shared" si="18"/>
        <v>#N/A</v>
      </c>
      <c r="W19" s="93" t="e">
        <f t="shared" si="19"/>
        <v>#N/A</v>
      </c>
      <c r="X19" s="37" t="e">
        <f t="shared" si="20"/>
        <v>#N/A</v>
      </c>
      <c r="Y19" s="93" t="e">
        <f t="shared" si="21"/>
        <v>#N/A</v>
      </c>
      <c r="Z19" s="37" t="e">
        <f t="shared" si="22"/>
        <v>#N/A</v>
      </c>
      <c r="AA19" s="35"/>
      <c r="AB19" s="38" t="e">
        <f t="shared" si="23"/>
        <v>#N/A</v>
      </c>
      <c r="AC19" s="38" t="e">
        <f t="shared" si="24"/>
        <v>#N/A</v>
      </c>
      <c r="AD19" s="14" t="e">
        <f>ROUND(IF(A19="","",IF(AC19="  ",AB19-Date!$B$3,AB19-AC19)),0)</f>
        <v>#N/A</v>
      </c>
      <c r="AE19" s="20"/>
    </row>
    <row r="20" spans="1:31" ht="23.25" x14ac:dyDescent="0.25">
      <c r="A20" s="14" t="s">
        <v>88</v>
      </c>
      <c r="B20" s="13" t="e">
        <f t="shared" si="0"/>
        <v>#N/A</v>
      </c>
      <c r="C20" s="35"/>
      <c r="D20" s="93" t="e">
        <f t="shared" si="1"/>
        <v>#N/A</v>
      </c>
      <c r="E20" s="37" t="e">
        <f t="shared" si="2"/>
        <v>#N/A</v>
      </c>
      <c r="F20" s="93" t="e">
        <f t="shared" si="3"/>
        <v>#N/A</v>
      </c>
      <c r="G20" s="37" t="e">
        <f t="shared" si="4"/>
        <v>#N/A</v>
      </c>
      <c r="H20" s="93" t="e">
        <f t="shared" si="5"/>
        <v>#N/A</v>
      </c>
      <c r="I20" s="37" t="e">
        <f t="shared" si="6"/>
        <v>#N/A</v>
      </c>
      <c r="J20" s="35"/>
      <c r="K20" s="93" t="e">
        <f t="shared" si="7"/>
        <v>#N/A</v>
      </c>
      <c r="L20" s="37" t="e">
        <f t="shared" si="8"/>
        <v>#N/A</v>
      </c>
      <c r="M20" s="93" t="e">
        <f t="shared" si="9"/>
        <v>#N/A</v>
      </c>
      <c r="N20" s="37" t="e">
        <f t="shared" si="10"/>
        <v>#N/A</v>
      </c>
      <c r="O20" s="93" t="e">
        <f t="shared" si="11"/>
        <v>#N/A</v>
      </c>
      <c r="P20" s="37" t="e">
        <f t="shared" si="12"/>
        <v>#N/A</v>
      </c>
      <c r="Q20" s="93" t="e">
        <f t="shared" si="13"/>
        <v>#N/A</v>
      </c>
      <c r="R20" s="37" t="e">
        <f t="shared" si="14"/>
        <v>#N/A</v>
      </c>
      <c r="S20" s="93" t="e">
        <f t="shared" si="15"/>
        <v>#N/A</v>
      </c>
      <c r="T20" s="37" t="e">
        <f t="shared" si="16"/>
        <v>#N/A</v>
      </c>
      <c r="U20" s="93" t="e">
        <f t="shared" si="17"/>
        <v>#N/A</v>
      </c>
      <c r="V20" s="37" t="e">
        <f t="shared" si="18"/>
        <v>#N/A</v>
      </c>
      <c r="W20" s="93" t="e">
        <f t="shared" si="19"/>
        <v>#N/A</v>
      </c>
      <c r="X20" s="37" t="e">
        <f t="shared" si="20"/>
        <v>#N/A</v>
      </c>
      <c r="Y20" s="93" t="e">
        <f t="shared" si="21"/>
        <v>#N/A</v>
      </c>
      <c r="Z20" s="37" t="e">
        <f t="shared" si="22"/>
        <v>#N/A</v>
      </c>
      <c r="AA20" s="35"/>
      <c r="AB20" s="38" t="e">
        <f t="shared" si="23"/>
        <v>#N/A</v>
      </c>
      <c r="AC20" s="38" t="e">
        <f t="shared" si="24"/>
        <v>#N/A</v>
      </c>
      <c r="AD20" s="14" t="e">
        <f>ROUND(IF(A20="","",IF(AC20="  ",AB20-Date!$B$3,AB20-AC20)),0)</f>
        <v>#N/A</v>
      </c>
      <c r="AE20" s="20"/>
    </row>
    <row r="21" spans="1:31" ht="23.25" x14ac:dyDescent="0.25">
      <c r="A21" s="14" t="s">
        <v>89</v>
      </c>
      <c r="B21" s="13" t="e">
        <f t="shared" si="0"/>
        <v>#N/A</v>
      </c>
      <c r="C21" s="35"/>
      <c r="D21" s="93" t="e">
        <f t="shared" si="1"/>
        <v>#N/A</v>
      </c>
      <c r="E21" s="37" t="e">
        <f t="shared" si="2"/>
        <v>#N/A</v>
      </c>
      <c r="F21" s="93" t="e">
        <f t="shared" si="3"/>
        <v>#N/A</v>
      </c>
      <c r="G21" s="37" t="e">
        <f t="shared" si="4"/>
        <v>#N/A</v>
      </c>
      <c r="H21" s="93" t="e">
        <f t="shared" si="5"/>
        <v>#N/A</v>
      </c>
      <c r="I21" s="37" t="e">
        <f t="shared" si="6"/>
        <v>#N/A</v>
      </c>
      <c r="J21" s="35"/>
      <c r="K21" s="93" t="e">
        <f t="shared" si="7"/>
        <v>#N/A</v>
      </c>
      <c r="L21" s="37" t="e">
        <f t="shared" si="8"/>
        <v>#N/A</v>
      </c>
      <c r="M21" s="93" t="e">
        <f t="shared" si="9"/>
        <v>#N/A</v>
      </c>
      <c r="N21" s="37" t="e">
        <f t="shared" si="10"/>
        <v>#N/A</v>
      </c>
      <c r="O21" s="93" t="e">
        <f t="shared" si="11"/>
        <v>#N/A</v>
      </c>
      <c r="P21" s="37" t="e">
        <f t="shared" si="12"/>
        <v>#N/A</v>
      </c>
      <c r="Q21" s="93" t="e">
        <f t="shared" si="13"/>
        <v>#N/A</v>
      </c>
      <c r="R21" s="37" t="e">
        <f t="shared" si="14"/>
        <v>#N/A</v>
      </c>
      <c r="S21" s="93" t="e">
        <f t="shared" si="15"/>
        <v>#N/A</v>
      </c>
      <c r="T21" s="37" t="e">
        <f t="shared" si="16"/>
        <v>#N/A</v>
      </c>
      <c r="U21" s="93" t="e">
        <f t="shared" si="17"/>
        <v>#N/A</v>
      </c>
      <c r="V21" s="37" t="e">
        <f t="shared" si="18"/>
        <v>#N/A</v>
      </c>
      <c r="W21" s="93" t="e">
        <f t="shared" si="19"/>
        <v>#N/A</v>
      </c>
      <c r="X21" s="37" t="e">
        <f t="shared" si="20"/>
        <v>#N/A</v>
      </c>
      <c r="Y21" s="93" t="e">
        <f t="shared" si="21"/>
        <v>#N/A</v>
      </c>
      <c r="Z21" s="37" t="e">
        <f t="shared" si="22"/>
        <v>#N/A</v>
      </c>
      <c r="AA21" s="35"/>
      <c r="AB21" s="38" t="e">
        <f t="shared" si="23"/>
        <v>#N/A</v>
      </c>
      <c r="AC21" s="38" t="e">
        <f t="shared" si="24"/>
        <v>#N/A</v>
      </c>
      <c r="AD21" s="14" t="e">
        <f>ROUND(IF(A21="","",IF(AC21="  ",AB21-Date!$B$3,AB21-AC21)),0)</f>
        <v>#N/A</v>
      </c>
      <c r="AE21" s="20"/>
    </row>
    <row r="22" spans="1:31" ht="23.25" x14ac:dyDescent="0.25">
      <c r="A22" s="14" t="s">
        <v>90</v>
      </c>
      <c r="B22" s="13" t="e">
        <f t="shared" si="0"/>
        <v>#N/A</v>
      </c>
      <c r="C22" s="35"/>
      <c r="D22" s="93" t="e">
        <f t="shared" si="1"/>
        <v>#N/A</v>
      </c>
      <c r="E22" s="37" t="e">
        <f t="shared" si="2"/>
        <v>#N/A</v>
      </c>
      <c r="F22" s="93" t="e">
        <f t="shared" si="3"/>
        <v>#N/A</v>
      </c>
      <c r="G22" s="37" t="e">
        <f t="shared" si="4"/>
        <v>#N/A</v>
      </c>
      <c r="H22" s="93" t="e">
        <f t="shared" si="5"/>
        <v>#N/A</v>
      </c>
      <c r="I22" s="37" t="e">
        <f t="shared" si="6"/>
        <v>#N/A</v>
      </c>
      <c r="J22" s="35"/>
      <c r="K22" s="93" t="e">
        <f t="shared" si="7"/>
        <v>#N/A</v>
      </c>
      <c r="L22" s="37" t="e">
        <f t="shared" si="8"/>
        <v>#N/A</v>
      </c>
      <c r="M22" s="93" t="e">
        <f t="shared" si="9"/>
        <v>#N/A</v>
      </c>
      <c r="N22" s="37" t="e">
        <f t="shared" si="10"/>
        <v>#N/A</v>
      </c>
      <c r="O22" s="93" t="e">
        <f t="shared" si="11"/>
        <v>#N/A</v>
      </c>
      <c r="P22" s="37" t="e">
        <f t="shared" si="12"/>
        <v>#N/A</v>
      </c>
      <c r="Q22" s="93" t="e">
        <f t="shared" si="13"/>
        <v>#N/A</v>
      </c>
      <c r="R22" s="37" t="e">
        <f t="shared" si="14"/>
        <v>#N/A</v>
      </c>
      <c r="S22" s="93" t="e">
        <f t="shared" si="15"/>
        <v>#N/A</v>
      </c>
      <c r="T22" s="37" t="e">
        <f t="shared" si="16"/>
        <v>#N/A</v>
      </c>
      <c r="U22" s="93" t="e">
        <f t="shared" si="17"/>
        <v>#N/A</v>
      </c>
      <c r="V22" s="37" t="e">
        <f t="shared" si="18"/>
        <v>#N/A</v>
      </c>
      <c r="W22" s="93" t="e">
        <f t="shared" si="19"/>
        <v>#N/A</v>
      </c>
      <c r="X22" s="37" t="e">
        <f t="shared" si="20"/>
        <v>#N/A</v>
      </c>
      <c r="Y22" s="93" t="e">
        <f t="shared" si="21"/>
        <v>#N/A</v>
      </c>
      <c r="Z22" s="37" t="e">
        <f t="shared" si="22"/>
        <v>#N/A</v>
      </c>
      <c r="AA22" s="35"/>
      <c r="AB22" s="38" t="e">
        <f t="shared" si="23"/>
        <v>#N/A</v>
      </c>
      <c r="AC22" s="38" t="e">
        <f t="shared" si="24"/>
        <v>#N/A</v>
      </c>
      <c r="AD22" s="14" t="e">
        <f>ROUND(IF(A22="","",IF(AC22="  ",AB22-Date!$B$3,AB22-AC22)),0)</f>
        <v>#N/A</v>
      </c>
      <c r="AE22" s="20"/>
    </row>
    <row r="23" spans="1:31" ht="23.25" x14ac:dyDescent="0.25">
      <c r="A23" s="14" t="s">
        <v>91</v>
      </c>
      <c r="B23" s="13" t="e">
        <f t="shared" si="0"/>
        <v>#N/A</v>
      </c>
      <c r="C23" s="35"/>
      <c r="D23" s="93" t="e">
        <f t="shared" si="1"/>
        <v>#N/A</v>
      </c>
      <c r="E23" s="37" t="e">
        <f t="shared" si="2"/>
        <v>#N/A</v>
      </c>
      <c r="F23" s="93" t="e">
        <f t="shared" si="3"/>
        <v>#N/A</v>
      </c>
      <c r="G23" s="37" t="e">
        <f t="shared" si="4"/>
        <v>#N/A</v>
      </c>
      <c r="H23" s="93" t="e">
        <f t="shared" si="5"/>
        <v>#N/A</v>
      </c>
      <c r="I23" s="37" t="e">
        <f t="shared" si="6"/>
        <v>#N/A</v>
      </c>
      <c r="J23" s="35"/>
      <c r="K23" s="93" t="e">
        <f t="shared" si="7"/>
        <v>#N/A</v>
      </c>
      <c r="L23" s="37" t="e">
        <f t="shared" si="8"/>
        <v>#N/A</v>
      </c>
      <c r="M23" s="93" t="e">
        <f t="shared" si="9"/>
        <v>#N/A</v>
      </c>
      <c r="N23" s="37" t="e">
        <f t="shared" si="10"/>
        <v>#N/A</v>
      </c>
      <c r="O23" s="93" t="e">
        <f t="shared" si="11"/>
        <v>#N/A</v>
      </c>
      <c r="P23" s="37" t="e">
        <f t="shared" si="12"/>
        <v>#N/A</v>
      </c>
      <c r="Q23" s="93" t="e">
        <f t="shared" si="13"/>
        <v>#N/A</v>
      </c>
      <c r="R23" s="37" t="e">
        <f t="shared" si="14"/>
        <v>#N/A</v>
      </c>
      <c r="S23" s="93" t="e">
        <f t="shared" si="15"/>
        <v>#N/A</v>
      </c>
      <c r="T23" s="37" t="e">
        <f t="shared" si="16"/>
        <v>#N/A</v>
      </c>
      <c r="U23" s="93" t="e">
        <f t="shared" si="17"/>
        <v>#N/A</v>
      </c>
      <c r="V23" s="37" t="e">
        <f t="shared" si="18"/>
        <v>#N/A</v>
      </c>
      <c r="W23" s="93" t="e">
        <f t="shared" si="19"/>
        <v>#N/A</v>
      </c>
      <c r="X23" s="37" t="e">
        <f t="shared" si="20"/>
        <v>#N/A</v>
      </c>
      <c r="Y23" s="93" t="e">
        <f t="shared" si="21"/>
        <v>#N/A</v>
      </c>
      <c r="Z23" s="37" t="e">
        <f t="shared" si="22"/>
        <v>#N/A</v>
      </c>
      <c r="AA23" s="35"/>
      <c r="AB23" s="38" t="e">
        <f t="shared" si="23"/>
        <v>#N/A</v>
      </c>
      <c r="AC23" s="38" t="e">
        <f t="shared" si="24"/>
        <v>#N/A</v>
      </c>
      <c r="AD23" s="14" t="e">
        <f>ROUND(IF(A23="","",IF(AC23="  ",AB23-Date!$B$3,AB23-AC23)),0)</f>
        <v>#N/A</v>
      </c>
      <c r="AE23" s="20"/>
    </row>
    <row r="24" spans="1:31" ht="23.25" x14ac:dyDescent="0.25">
      <c r="A24" s="14" t="s">
        <v>92</v>
      </c>
      <c r="B24" s="13" t="e">
        <f t="shared" si="0"/>
        <v>#N/A</v>
      </c>
      <c r="C24" s="35"/>
      <c r="D24" s="93" t="e">
        <f t="shared" si="1"/>
        <v>#N/A</v>
      </c>
      <c r="E24" s="37" t="e">
        <f t="shared" si="2"/>
        <v>#N/A</v>
      </c>
      <c r="F24" s="93" t="e">
        <f t="shared" si="3"/>
        <v>#N/A</v>
      </c>
      <c r="G24" s="37" t="e">
        <f t="shared" si="4"/>
        <v>#N/A</v>
      </c>
      <c r="H24" s="93" t="e">
        <f t="shared" si="5"/>
        <v>#N/A</v>
      </c>
      <c r="I24" s="37" t="e">
        <f t="shared" si="6"/>
        <v>#N/A</v>
      </c>
      <c r="J24" s="35"/>
      <c r="K24" s="93" t="e">
        <f t="shared" si="7"/>
        <v>#N/A</v>
      </c>
      <c r="L24" s="37" t="e">
        <f t="shared" si="8"/>
        <v>#N/A</v>
      </c>
      <c r="M24" s="93" t="e">
        <f t="shared" si="9"/>
        <v>#N/A</v>
      </c>
      <c r="N24" s="37" t="e">
        <f t="shared" si="10"/>
        <v>#N/A</v>
      </c>
      <c r="O24" s="93" t="e">
        <f t="shared" si="11"/>
        <v>#N/A</v>
      </c>
      <c r="P24" s="37" t="e">
        <f t="shared" si="12"/>
        <v>#N/A</v>
      </c>
      <c r="Q24" s="93" t="e">
        <f t="shared" si="13"/>
        <v>#N/A</v>
      </c>
      <c r="R24" s="37" t="e">
        <f t="shared" si="14"/>
        <v>#N/A</v>
      </c>
      <c r="S24" s="93" t="e">
        <f t="shared" si="15"/>
        <v>#N/A</v>
      </c>
      <c r="T24" s="37" t="e">
        <f t="shared" si="16"/>
        <v>#N/A</v>
      </c>
      <c r="U24" s="93" t="e">
        <f t="shared" si="17"/>
        <v>#N/A</v>
      </c>
      <c r="V24" s="37" t="e">
        <f t="shared" si="18"/>
        <v>#N/A</v>
      </c>
      <c r="W24" s="93" t="e">
        <f t="shared" si="19"/>
        <v>#N/A</v>
      </c>
      <c r="X24" s="37" t="e">
        <f t="shared" si="20"/>
        <v>#N/A</v>
      </c>
      <c r="Y24" s="93" t="e">
        <f t="shared" si="21"/>
        <v>#N/A</v>
      </c>
      <c r="Z24" s="37" t="e">
        <f t="shared" si="22"/>
        <v>#N/A</v>
      </c>
      <c r="AA24" s="35"/>
      <c r="AB24" s="38" t="e">
        <f t="shared" si="23"/>
        <v>#N/A</v>
      </c>
      <c r="AC24" s="38" t="e">
        <f t="shared" si="24"/>
        <v>#N/A</v>
      </c>
      <c r="AD24" s="14" t="e">
        <f>ROUND(IF(A24="","",IF(AC24="  ",AB24-Date!$B$3,AB24-AC24)),0)</f>
        <v>#N/A</v>
      </c>
      <c r="AE24" s="20"/>
    </row>
    <row r="25" spans="1:31" ht="23.25" x14ac:dyDescent="0.25">
      <c r="A25" s="14" t="s">
        <v>93</v>
      </c>
      <c r="B25" s="13" t="e">
        <f t="shared" si="0"/>
        <v>#N/A</v>
      </c>
      <c r="C25" s="35"/>
      <c r="D25" s="93" t="e">
        <f t="shared" si="1"/>
        <v>#N/A</v>
      </c>
      <c r="E25" s="37" t="e">
        <f t="shared" si="2"/>
        <v>#N/A</v>
      </c>
      <c r="F25" s="93" t="e">
        <f t="shared" si="3"/>
        <v>#N/A</v>
      </c>
      <c r="G25" s="37" t="e">
        <f t="shared" si="4"/>
        <v>#N/A</v>
      </c>
      <c r="H25" s="93" t="e">
        <f t="shared" si="5"/>
        <v>#N/A</v>
      </c>
      <c r="I25" s="37" t="e">
        <f t="shared" si="6"/>
        <v>#N/A</v>
      </c>
      <c r="J25" s="35"/>
      <c r="K25" s="93" t="e">
        <f t="shared" si="7"/>
        <v>#N/A</v>
      </c>
      <c r="L25" s="37" t="e">
        <f t="shared" si="8"/>
        <v>#N/A</v>
      </c>
      <c r="M25" s="93" t="e">
        <f t="shared" si="9"/>
        <v>#N/A</v>
      </c>
      <c r="N25" s="37" t="e">
        <f t="shared" si="10"/>
        <v>#N/A</v>
      </c>
      <c r="O25" s="93" t="e">
        <f t="shared" si="11"/>
        <v>#N/A</v>
      </c>
      <c r="P25" s="37" t="e">
        <f t="shared" si="12"/>
        <v>#N/A</v>
      </c>
      <c r="Q25" s="93" t="e">
        <f t="shared" si="13"/>
        <v>#N/A</v>
      </c>
      <c r="R25" s="37" t="e">
        <f t="shared" si="14"/>
        <v>#N/A</v>
      </c>
      <c r="S25" s="93" t="e">
        <f t="shared" si="15"/>
        <v>#N/A</v>
      </c>
      <c r="T25" s="37" t="e">
        <f t="shared" si="16"/>
        <v>#N/A</v>
      </c>
      <c r="U25" s="93" t="e">
        <f t="shared" si="17"/>
        <v>#N/A</v>
      </c>
      <c r="V25" s="37" t="e">
        <f t="shared" si="18"/>
        <v>#N/A</v>
      </c>
      <c r="W25" s="93" t="e">
        <f t="shared" si="19"/>
        <v>#N/A</v>
      </c>
      <c r="X25" s="37" t="e">
        <f t="shared" si="20"/>
        <v>#N/A</v>
      </c>
      <c r="Y25" s="93" t="e">
        <f t="shared" si="21"/>
        <v>#N/A</v>
      </c>
      <c r="Z25" s="37" t="e">
        <f t="shared" si="22"/>
        <v>#N/A</v>
      </c>
      <c r="AA25" s="35"/>
      <c r="AB25" s="38" t="e">
        <f t="shared" si="23"/>
        <v>#N/A</v>
      </c>
      <c r="AC25" s="38" t="e">
        <f t="shared" si="24"/>
        <v>#N/A</v>
      </c>
      <c r="AD25" s="14" t="e">
        <f>ROUND(IF(A25="","",IF(AC25="  ",AB25-Date!$B$3,AB25-AC25)),0)</f>
        <v>#N/A</v>
      </c>
      <c r="AE25" s="20"/>
    </row>
    <row r="26" spans="1:31" ht="23.25" x14ac:dyDescent="0.25">
      <c r="A26" s="14" t="s">
        <v>94</v>
      </c>
      <c r="B26" s="13" t="e">
        <f t="shared" si="0"/>
        <v>#N/A</v>
      </c>
      <c r="C26" s="35"/>
      <c r="D26" s="93" t="e">
        <f t="shared" si="1"/>
        <v>#N/A</v>
      </c>
      <c r="E26" s="37" t="e">
        <f t="shared" si="2"/>
        <v>#N/A</v>
      </c>
      <c r="F26" s="93" t="e">
        <f t="shared" si="3"/>
        <v>#N/A</v>
      </c>
      <c r="G26" s="37" t="e">
        <f t="shared" si="4"/>
        <v>#N/A</v>
      </c>
      <c r="H26" s="93" t="e">
        <f t="shared" si="5"/>
        <v>#N/A</v>
      </c>
      <c r="I26" s="37" t="e">
        <f t="shared" si="6"/>
        <v>#N/A</v>
      </c>
      <c r="J26" s="35"/>
      <c r="K26" s="93" t="e">
        <f t="shared" si="7"/>
        <v>#N/A</v>
      </c>
      <c r="L26" s="37" t="e">
        <f t="shared" si="8"/>
        <v>#N/A</v>
      </c>
      <c r="M26" s="93" t="e">
        <f t="shared" si="9"/>
        <v>#N/A</v>
      </c>
      <c r="N26" s="37" t="e">
        <f t="shared" si="10"/>
        <v>#N/A</v>
      </c>
      <c r="O26" s="93" t="e">
        <f t="shared" si="11"/>
        <v>#N/A</v>
      </c>
      <c r="P26" s="37" t="e">
        <f t="shared" si="12"/>
        <v>#N/A</v>
      </c>
      <c r="Q26" s="93" t="e">
        <f t="shared" si="13"/>
        <v>#N/A</v>
      </c>
      <c r="R26" s="37" t="e">
        <f t="shared" si="14"/>
        <v>#N/A</v>
      </c>
      <c r="S26" s="93" t="e">
        <f t="shared" si="15"/>
        <v>#N/A</v>
      </c>
      <c r="T26" s="37" t="e">
        <f t="shared" si="16"/>
        <v>#N/A</v>
      </c>
      <c r="U26" s="93" t="e">
        <f t="shared" si="17"/>
        <v>#N/A</v>
      </c>
      <c r="V26" s="37" t="e">
        <f t="shared" si="18"/>
        <v>#N/A</v>
      </c>
      <c r="W26" s="93" t="e">
        <f t="shared" si="19"/>
        <v>#N/A</v>
      </c>
      <c r="X26" s="37" t="e">
        <f t="shared" si="20"/>
        <v>#N/A</v>
      </c>
      <c r="Y26" s="93" t="e">
        <f t="shared" si="21"/>
        <v>#N/A</v>
      </c>
      <c r="Z26" s="37" t="e">
        <f t="shared" si="22"/>
        <v>#N/A</v>
      </c>
      <c r="AA26" s="35"/>
      <c r="AB26" s="38" t="e">
        <f t="shared" si="23"/>
        <v>#N/A</v>
      </c>
      <c r="AC26" s="38" t="e">
        <f t="shared" si="24"/>
        <v>#N/A</v>
      </c>
      <c r="AD26" s="14" t="e">
        <f>ROUND(IF(A26="","",IF(AC26="  ",AB26-Date!$B$3,AB26-AC26)),0)</f>
        <v>#N/A</v>
      </c>
      <c r="AE26" s="20"/>
    </row>
    <row r="27" spans="1:31" ht="23.25" x14ac:dyDescent="0.25">
      <c r="A27" s="14" t="s">
        <v>95</v>
      </c>
      <c r="B27" s="13" t="e">
        <f t="shared" si="0"/>
        <v>#N/A</v>
      </c>
      <c r="C27" s="35"/>
      <c r="D27" s="93" t="e">
        <f t="shared" si="1"/>
        <v>#N/A</v>
      </c>
      <c r="E27" s="37" t="e">
        <f t="shared" si="2"/>
        <v>#N/A</v>
      </c>
      <c r="F27" s="93" t="e">
        <f t="shared" si="3"/>
        <v>#N/A</v>
      </c>
      <c r="G27" s="37" t="e">
        <f t="shared" si="4"/>
        <v>#N/A</v>
      </c>
      <c r="H27" s="93" t="e">
        <f t="shared" si="5"/>
        <v>#N/A</v>
      </c>
      <c r="I27" s="37" t="e">
        <f t="shared" si="6"/>
        <v>#N/A</v>
      </c>
      <c r="J27" s="35"/>
      <c r="K27" s="93" t="e">
        <f t="shared" si="7"/>
        <v>#N/A</v>
      </c>
      <c r="L27" s="37" t="e">
        <f t="shared" si="8"/>
        <v>#N/A</v>
      </c>
      <c r="M27" s="93" t="e">
        <f t="shared" si="9"/>
        <v>#N/A</v>
      </c>
      <c r="N27" s="37" t="e">
        <f t="shared" si="10"/>
        <v>#N/A</v>
      </c>
      <c r="O27" s="93" t="e">
        <f t="shared" si="11"/>
        <v>#N/A</v>
      </c>
      <c r="P27" s="37" t="e">
        <f t="shared" si="12"/>
        <v>#N/A</v>
      </c>
      <c r="Q27" s="93" t="e">
        <f t="shared" si="13"/>
        <v>#N/A</v>
      </c>
      <c r="R27" s="37" t="e">
        <f t="shared" si="14"/>
        <v>#N/A</v>
      </c>
      <c r="S27" s="93" t="e">
        <f t="shared" si="15"/>
        <v>#N/A</v>
      </c>
      <c r="T27" s="37" t="e">
        <f t="shared" si="16"/>
        <v>#N/A</v>
      </c>
      <c r="U27" s="93" t="e">
        <f t="shared" si="17"/>
        <v>#N/A</v>
      </c>
      <c r="V27" s="37" t="e">
        <f t="shared" si="18"/>
        <v>#N/A</v>
      </c>
      <c r="W27" s="93" t="e">
        <f t="shared" si="19"/>
        <v>#N/A</v>
      </c>
      <c r="X27" s="37" t="e">
        <f t="shared" si="20"/>
        <v>#N/A</v>
      </c>
      <c r="Y27" s="93" t="e">
        <f t="shared" si="21"/>
        <v>#N/A</v>
      </c>
      <c r="Z27" s="37" t="e">
        <f t="shared" si="22"/>
        <v>#N/A</v>
      </c>
      <c r="AA27" s="35"/>
      <c r="AB27" s="38" t="e">
        <f t="shared" si="23"/>
        <v>#N/A</v>
      </c>
      <c r="AC27" s="38" t="e">
        <f t="shared" si="24"/>
        <v>#N/A</v>
      </c>
      <c r="AD27" s="14" t="e">
        <f>ROUND(IF(A27="","",IF(AC27="  ",AB27-Date!$B$3,AB27-AC27)),0)</f>
        <v>#N/A</v>
      </c>
      <c r="AE27" s="20"/>
    </row>
    <row r="28" spans="1:31" ht="23.25" x14ac:dyDescent="0.25">
      <c r="A28" s="14" t="s">
        <v>96</v>
      </c>
      <c r="B28" s="13" t="e">
        <f t="shared" si="0"/>
        <v>#N/A</v>
      </c>
      <c r="C28" s="35"/>
      <c r="D28" s="93" t="e">
        <f t="shared" si="1"/>
        <v>#N/A</v>
      </c>
      <c r="E28" s="37" t="e">
        <f t="shared" si="2"/>
        <v>#N/A</v>
      </c>
      <c r="F28" s="93" t="e">
        <f t="shared" si="3"/>
        <v>#N/A</v>
      </c>
      <c r="G28" s="37" t="e">
        <f t="shared" si="4"/>
        <v>#N/A</v>
      </c>
      <c r="H28" s="93" t="e">
        <f t="shared" si="5"/>
        <v>#N/A</v>
      </c>
      <c r="I28" s="37" t="e">
        <f t="shared" si="6"/>
        <v>#N/A</v>
      </c>
      <c r="J28" s="35"/>
      <c r="K28" s="93" t="e">
        <f t="shared" si="7"/>
        <v>#N/A</v>
      </c>
      <c r="L28" s="37" t="e">
        <f t="shared" si="8"/>
        <v>#N/A</v>
      </c>
      <c r="M28" s="93" t="e">
        <f t="shared" si="9"/>
        <v>#N/A</v>
      </c>
      <c r="N28" s="37" t="e">
        <f t="shared" si="10"/>
        <v>#N/A</v>
      </c>
      <c r="O28" s="93" t="e">
        <f t="shared" si="11"/>
        <v>#N/A</v>
      </c>
      <c r="P28" s="37" t="e">
        <f t="shared" si="12"/>
        <v>#N/A</v>
      </c>
      <c r="Q28" s="93" t="e">
        <f t="shared" si="13"/>
        <v>#N/A</v>
      </c>
      <c r="R28" s="37" t="e">
        <f t="shared" si="14"/>
        <v>#N/A</v>
      </c>
      <c r="S28" s="93" t="e">
        <f t="shared" si="15"/>
        <v>#N/A</v>
      </c>
      <c r="T28" s="37" t="e">
        <f t="shared" si="16"/>
        <v>#N/A</v>
      </c>
      <c r="U28" s="93" t="e">
        <f t="shared" si="17"/>
        <v>#N/A</v>
      </c>
      <c r="V28" s="37" t="e">
        <f t="shared" si="18"/>
        <v>#N/A</v>
      </c>
      <c r="W28" s="93" t="e">
        <f t="shared" si="19"/>
        <v>#N/A</v>
      </c>
      <c r="X28" s="37" t="e">
        <f t="shared" si="20"/>
        <v>#N/A</v>
      </c>
      <c r="Y28" s="93" t="e">
        <f t="shared" si="21"/>
        <v>#N/A</v>
      </c>
      <c r="Z28" s="37" t="e">
        <f t="shared" si="22"/>
        <v>#N/A</v>
      </c>
      <c r="AA28" s="35"/>
      <c r="AB28" s="38" t="e">
        <f t="shared" si="23"/>
        <v>#N/A</v>
      </c>
      <c r="AC28" s="38" t="e">
        <f t="shared" si="24"/>
        <v>#N/A</v>
      </c>
      <c r="AD28" s="14" t="e">
        <f>ROUND(IF(A28="","",IF(AC28="  ",AB28-Date!$B$3,AB28-AC28)),0)</f>
        <v>#N/A</v>
      </c>
      <c r="AE28" s="20"/>
    </row>
    <row r="29" spans="1:31" ht="23.25" x14ac:dyDescent="0.25">
      <c r="A29" s="14" t="s">
        <v>97</v>
      </c>
      <c r="B29" s="13" t="e">
        <f t="shared" si="0"/>
        <v>#N/A</v>
      </c>
      <c r="C29" s="35"/>
      <c r="D29" s="93" t="e">
        <f t="shared" si="1"/>
        <v>#N/A</v>
      </c>
      <c r="E29" s="37" t="e">
        <f t="shared" si="2"/>
        <v>#N/A</v>
      </c>
      <c r="F29" s="93" t="e">
        <f t="shared" si="3"/>
        <v>#N/A</v>
      </c>
      <c r="G29" s="37" t="e">
        <f t="shared" si="4"/>
        <v>#N/A</v>
      </c>
      <c r="H29" s="93" t="e">
        <f t="shared" si="5"/>
        <v>#N/A</v>
      </c>
      <c r="I29" s="37" t="e">
        <f t="shared" si="6"/>
        <v>#N/A</v>
      </c>
      <c r="J29" s="35"/>
      <c r="K29" s="93" t="e">
        <f t="shared" si="7"/>
        <v>#N/A</v>
      </c>
      <c r="L29" s="37" t="e">
        <f t="shared" si="8"/>
        <v>#N/A</v>
      </c>
      <c r="M29" s="93" t="e">
        <f t="shared" si="9"/>
        <v>#N/A</v>
      </c>
      <c r="N29" s="37" t="e">
        <f t="shared" si="10"/>
        <v>#N/A</v>
      </c>
      <c r="O29" s="93" t="e">
        <f t="shared" si="11"/>
        <v>#N/A</v>
      </c>
      <c r="P29" s="37" t="e">
        <f t="shared" si="12"/>
        <v>#N/A</v>
      </c>
      <c r="Q29" s="93" t="e">
        <f t="shared" si="13"/>
        <v>#N/A</v>
      </c>
      <c r="R29" s="37" t="e">
        <f t="shared" si="14"/>
        <v>#N/A</v>
      </c>
      <c r="S29" s="93" t="e">
        <f t="shared" si="15"/>
        <v>#N/A</v>
      </c>
      <c r="T29" s="37" t="e">
        <f t="shared" si="16"/>
        <v>#N/A</v>
      </c>
      <c r="U29" s="93" t="e">
        <f t="shared" si="17"/>
        <v>#N/A</v>
      </c>
      <c r="V29" s="37" t="e">
        <f t="shared" si="18"/>
        <v>#N/A</v>
      </c>
      <c r="W29" s="93" t="e">
        <f t="shared" si="19"/>
        <v>#N/A</v>
      </c>
      <c r="X29" s="37" t="e">
        <f t="shared" si="20"/>
        <v>#N/A</v>
      </c>
      <c r="Y29" s="93" t="e">
        <f t="shared" si="21"/>
        <v>#N/A</v>
      </c>
      <c r="Z29" s="37" t="e">
        <f t="shared" si="22"/>
        <v>#N/A</v>
      </c>
      <c r="AA29" s="35"/>
      <c r="AB29" s="38" t="e">
        <f t="shared" si="23"/>
        <v>#N/A</v>
      </c>
      <c r="AC29" s="38" t="e">
        <f t="shared" si="24"/>
        <v>#N/A</v>
      </c>
      <c r="AD29" s="14" t="e">
        <f>ROUND(IF(A29="","",IF(AC29="  ",AB29-Date!$B$3,AB29-AC29)),0)</f>
        <v>#N/A</v>
      </c>
      <c r="AE29" s="20"/>
    </row>
    <row r="30" spans="1:31" ht="23.25" x14ac:dyDescent="0.25">
      <c r="A30" s="14" t="s">
        <v>98</v>
      </c>
      <c r="B30" s="13" t="e">
        <f t="shared" si="0"/>
        <v>#N/A</v>
      </c>
      <c r="C30" s="35"/>
      <c r="D30" s="93" t="e">
        <f t="shared" si="1"/>
        <v>#N/A</v>
      </c>
      <c r="E30" s="37" t="e">
        <f t="shared" si="2"/>
        <v>#N/A</v>
      </c>
      <c r="F30" s="93" t="e">
        <f t="shared" si="3"/>
        <v>#N/A</v>
      </c>
      <c r="G30" s="37" t="e">
        <f t="shared" si="4"/>
        <v>#N/A</v>
      </c>
      <c r="H30" s="93" t="e">
        <f t="shared" si="5"/>
        <v>#N/A</v>
      </c>
      <c r="I30" s="37" t="e">
        <f t="shared" si="6"/>
        <v>#N/A</v>
      </c>
      <c r="J30" s="35"/>
      <c r="K30" s="93" t="e">
        <f t="shared" si="7"/>
        <v>#N/A</v>
      </c>
      <c r="L30" s="37" t="e">
        <f t="shared" si="8"/>
        <v>#N/A</v>
      </c>
      <c r="M30" s="93" t="e">
        <f t="shared" si="9"/>
        <v>#N/A</v>
      </c>
      <c r="N30" s="37" t="e">
        <f t="shared" si="10"/>
        <v>#N/A</v>
      </c>
      <c r="O30" s="93" t="e">
        <f t="shared" si="11"/>
        <v>#N/A</v>
      </c>
      <c r="P30" s="37" t="e">
        <f t="shared" si="12"/>
        <v>#N/A</v>
      </c>
      <c r="Q30" s="93" t="e">
        <f t="shared" si="13"/>
        <v>#N/A</v>
      </c>
      <c r="R30" s="37" t="e">
        <f t="shared" si="14"/>
        <v>#N/A</v>
      </c>
      <c r="S30" s="93" t="e">
        <f t="shared" si="15"/>
        <v>#N/A</v>
      </c>
      <c r="T30" s="37" t="e">
        <f t="shared" si="16"/>
        <v>#N/A</v>
      </c>
      <c r="U30" s="93" t="e">
        <f t="shared" si="17"/>
        <v>#N/A</v>
      </c>
      <c r="V30" s="37" t="e">
        <f t="shared" si="18"/>
        <v>#N/A</v>
      </c>
      <c r="W30" s="93" t="e">
        <f t="shared" si="19"/>
        <v>#N/A</v>
      </c>
      <c r="X30" s="37" t="e">
        <f t="shared" si="20"/>
        <v>#N/A</v>
      </c>
      <c r="Y30" s="93" t="e">
        <f t="shared" si="21"/>
        <v>#N/A</v>
      </c>
      <c r="Z30" s="37" t="e">
        <f t="shared" si="22"/>
        <v>#N/A</v>
      </c>
      <c r="AA30" s="35"/>
      <c r="AB30" s="38" t="e">
        <f t="shared" si="23"/>
        <v>#N/A</v>
      </c>
      <c r="AC30" s="38" t="e">
        <f t="shared" si="24"/>
        <v>#N/A</v>
      </c>
      <c r="AD30" s="14" t="e">
        <f>ROUND(IF(A30="","",IF(AC30="  ",AB30-Date!$B$3,AB30-AC30)),0)</f>
        <v>#N/A</v>
      </c>
      <c r="AE30" s="20"/>
    </row>
    <row r="31" spans="1:31" ht="23.25" x14ac:dyDescent="0.25">
      <c r="A31" s="14" t="s">
        <v>99</v>
      </c>
      <c r="B31" s="13" t="e">
        <f t="shared" si="0"/>
        <v>#N/A</v>
      </c>
      <c r="C31" s="35"/>
      <c r="D31" s="93" t="e">
        <f t="shared" si="1"/>
        <v>#N/A</v>
      </c>
      <c r="E31" s="37" t="e">
        <f t="shared" si="2"/>
        <v>#N/A</v>
      </c>
      <c r="F31" s="93" t="e">
        <f t="shared" si="3"/>
        <v>#N/A</v>
      </c>
      <c r="G31" s="37" t="e">
        <f t="shared" si="4"/>
        <v>#N/A</v>
      </c>
      <c r="H31" s="93" t="e">
        <f t="shared" si="5"/>
        <v>#N/A</v>
      </c>
      <c r="I31" s="37" t="e">
        <f t="shared" si="6"/>
        <v>#N/A</v>
      </c>
      <c r="J31" s="35"/>
      <c r="K31" s="93" t="e">
        <f t="shared" si="7"/>
        <v>#N/A</v>
      </c>
      <c r="L31" s="37" t="e">
        <f t="shared" si="8"/>
        <v>#N/A</v>
      </c>
      <c r="M31" s="93" t="e">
        <f t="shared" si="9"/>
        <v>#N/A</v>
      </c>
      <c r="N31" s="37" t="e">
        <f t="shared" si="10"/>
        <v>#N/A</v>
      </c>
      <c r="O31" s="93" t="e">
        <f t="shared" si="11"/>
        <v>#N/A</v>
      </c>
      <c r="P31" s="37" t="e">
        <f t="shared" si="12"/>
        <v>#N/A</v>
      </c>
      <c r="Q31" s="93" t="e">
        <f t="shared" si="13"/>
        <v>#N/A</v>
      </c>
      <c r="R31" s="37" t="e">
        <f t="shared" si="14"/>
        <v>#N/A</v>
      </c>
      <c r="S31" s="93" t="e">
        <f t="shared" si="15"/>
        <v>#N/A</v>
      </c>
      <c r="T31" s="37" t="e">
        <f t="shared" si="16"/>
        <v>#N/A</v>
      </c>
      <c r="U31" s="93" t="e">
        <f t="shared" si="17"/>
        <v>#N/A</v>
      </c>
      <c r="V31" s="37" t="e">
        <f t="shared" si="18"/>
        <v>#N/A</v>
      </c>
      <c r="W31" s="93" t="e">
        <f t="shared" si="19"/>
        <v>#N/A</v>
      </c>
      <c r="X31" s="37" t="e">
        <f t="shared" si="20"/>
        <v>#N/A</v>
      </c>
      <c r="Y31" s="93" t="e">
        <f t="shared" si="21"/>
        <v>#N/A</v>
      </c>
      <c r="Z31" s="37" t="e">
        <f t="shared" si="22"/>
        <v>#N/A</v>
      </c>
      <c r="AA31" s="35"/>
      <c r="AB31" s="38" t="e">
        <f t="shared" si="23"/>
        <v>#N/A</v>
      </c>
      <c r="AC31" s="38" t="e">
        <f t="shared" si="24"/>
        <v>#N/A</v>
      </c>
      <c r="AD31" s="14" t="e">
        <f>ROUND(IF(A31="","",IF(AC31="  ",AB31-Date!$B$3,AB31-AC31)),0)</f>
        <v>#N/A</v>
      </c>
      <c r="AE31" s="20"/>
    </row>
    <row r="32" spans="1:31" ht="23.25" x14ac:dyDescent="0.25">
      <c r="A32" s="14" t="s">
        <v>100</v>
      </c>
      <c r="B32" s="13" t="e">
        <f t="shared" si="0"/>
        <v>#N/A</v>
      </c>
      <c r="C32" s="35"/>
      <c r="D32" s="93" t="e">
        <f t="shared" si="1"/>
        <v>#N/A</v>
      </c>
      <c r="E32" s="37" t="e">
        <f t="shared" si="2"/>
        <v>#N/A</v>
      </c>
      <c r="F32" s="93" t="e">
        <f t="shared" si="3"/>
        <v>#N/A</v>
      </c>
      <c r="G32" s="37" t="e">
        <f t="shared" si="4"/>
        <v>#N/A</v>
      </c>
      <c r="H32" s="93" t="e">
        <f t="shared" si="5"/>
        <v>#N/A</v>
      </c>
      <c r="I32" s="37" t="e">
        <f t="shared" si="6"/>
        <v>#N/A</v>
      </c>
      <c r="J32" s="35"/>
      <c r="K32" s="93" t="e">
        <f t="shared" si="7"/>
        <v>#N/A</v>
      </c>
      <c r="L32" s="37" t="e">
        <f t="shared" si="8"/>
        <v>#N/A</v>
      </c>
      <c r="M32" s="93" t="e">
        <f t="shared" si="9"/>
        <v>#N/A</v>
      </c>
      <c r="N32" s="37" t="e">
        <f t="shared" si="10"/>
        <v>#N/A</v>
      </c>
      <c r="O32" s="93" t="e">
        <f t="shared" si="11"/>
        <v>#N/A</v>
      </c>
      <c r="P32" s="37" t="e">
        <f t="shared" si="12"/>
        <v>#N/A</v>
      </c>
      <c r="Q32" s="93" t="e">
        <f t="shared" si="13"/>
        <v>#N/A</v>
      </c>
      <c r="R32" s="37" t="e">
        <f t="shared" si="14"/>
        <v>#N/A</v>
      </c>
      <c r="S32" s="93" t="e">
        <f t="shared" si="15"/>
        <v>#N/A</v>
      </c>
      <c r="T32" s="37" t="e">
        <f t="shared" si="16"/>
        <v>#N/A</v>
      </c>
      <c r="U32" s="93" t="e">
        <f t="shared" si="17"/>
        <v>#N/A</v>
      </c>
      <c r="V32" s="37" t="e">
        <f t="shared" si="18"/>
        <v>#N/A</v>
      </c>
      <c r="W32" s="93" t="e">
        <f t="shared" si="19"/>
        <v>#N/A</v>
      </c>
      <c r="X32" s="37" t="e">
        <f t="shared" si="20"/>
        <v>#N/A</v>
      </c>
      <c r="Y32" s="93" t="e">
        <f t="shared" si="21"/>
        <v>#N/A</v>
      </c>
      <c r="Z32" s="37" t="e">
        <f t="shared" si="22"/>
        <v>#N/A</v>
      </c>
      <c r="AA32" s="35"/>
      <c r="AB32" s="38" t="e">
        <f t="shared" si="23"/>
        <v>#N/A</v>
      </c>
      <c r="AC32" s="38" t="e">
        <f t="shared" si="24"/>
        <v>#N/A</v>
      </c>
      <c r="AD32" s="14" t="e">
        <f>ROUND(IF(A32="","",IF(AC32="  ",AB32-Date!$B$3,AB32-AC32)),0)</f>
        <v>#N/A</v>
      </c>
      <c r="AE32" s="20"/>
    </row>
    <row r="33" spans="1:31" ht="23.25" x14ac:dyDescent="0.25">
      <c r="A33" s="14" t="s">
        <v>101</v>
      </c>
      <c r="B33" s="13" t="e">
        <f t="shared" si="0"/>
        <v>#N/A</v>
      </c>
      <c r="C33" s="35"/>
      <c r="D33" s="93" t="e">
        <f t="shared" si="1"/>
        <v>#N/A</v>
      </c>
      <c r="E33" s="37" t="e">
        <f t="shared" si="2"/>
        <v>#N/A</v>
      </c>
      <c r="F33" s="93" t="e">
        <f t="shared" si="3"/>
        <v>#N/A</v>
      </c>
      <c r="G33" s="37" t="e">
        <f t="shared" si="4"/>
        <v>#N/A</v>
      </c>
      <c r="H33" s="93" t="e">
        <f t="shared" si="5"/>
        <v>#N/A</v>
      </c>
      <c r="I33" s="37" t="e">
        <f t="shared" si="6"/>
        <v>#N/A</v>
      </c>
      <c r="J33" s="35"/>
      <c r="K33" s="93" t="e">
        <f t="shared" si="7"/>
        <v>#N/A</v>
      </c>
      <c r="L33" s="37" t="e">
        <f t="shared" si="8"/>
        <v>#N/A</v>
      </c>
      <c r="M33" s="93" t="e">
        <f t="shared" si="9"/>
        <v>#N/A</v>
      </c>
      <c r="N33" s="37" t="e">
        <f t="shared" si="10"/>
        <v>#N/A</v>
      </c>
      <c r="O33" s="93" t="e">
        <f t="shared" si="11"/>
        <v>#N/A</v>
      </c>
      <c r="P33" s="37" t="e">
        <f t="shared" si="12"/>
        <v>#N/A</v>
      </c>
      <c r="Q33" s="93" t="e">
        <f t="shared" si="13"/>
        <v>#N/A</v>
      </c>
      <c r="R33" s="37" t="e">
        <f t="shared" si="14"/>
        <v>#N/A</v>
      </c>
      <c r="S33" s="93" t="e">
        <f t="shared" si="15"/>
        <v>#N/A</v>
      </c>
      <c r="T33" s="37" t="e">
        <f t="shared" si="16"/>
        <v>#N/A</v>
      </c>
      <c r="U33" s="93" t="e">
        <f t="shared" si="17"/>
        <v>#N/A</v>
      </c>
      <c r="V33" s="37" t="e">
        <f t="shared" si="18"/>
        <v>#N/A</v>
      </c>
      <c r="W33" s="93" t="e">
        <f t="shared" si="19"/>
        <v>#N/A</v>
      </c>
      <c r="X33" s="37" t="e">
        <f t="shared" si="20"/>
        <v>#N/A</v>
      </c>
      <c r="Y33" s="93" t="e">
        <f t="shared" si="21"/>
        <v>#N/A</v>
      </c>
      <c r="Z33" s="37" t="e">
        <f t="shared" si="22"/>
        <v>#N/A</v>
      </c>
      <c r="AA33" s="35"/>
      <c r="AB33" s="38" t="e">
        <f t="shared" si="23"/>
        <v>#N/A</v>
      </c>
      <c r="AC33" s="38" t="e">
        <f t="shared" si="24"/>
        <v>#N/A</v>
      </c>
      <c r="AD33" s="14" t="e">
        <f>ROUND(IF(A33="","",IF(AC33="  ",AB33-Date!$B$3,AB33-AC33)),0)</f>
        <v>#N/A</v>
      </c>
      <c r="AE33" s="20"/>
    </row>
    <row r="34" spans="1:31" ht="23.25" x14ac:dyDescent="0.25">
      <c r="A34" s="14" t="s">
        <v>102</v>
      </c>
      <c r="B34" s="13" t="e">
        <f t="shared" si="0"/>
        <v>#N/A</v>
      </c>
      <c r="C34" s="35"/>
      <c r="D34" s="93" t="e">
        <f t="shared" si="1"/>
        <v>#N/A</v>
      </c>
      <c r="E34" s="37" t="e">
        <f t="shared" si="2"/>
        <v>#N/A</v>
      </c>
      <c r="F34" s="93" t="e">
        <f t="shared" si="3"/>
        <v>#N/A</v>
      </c>
      <c r="G34" s="37" t="e">
        <f t="shared" si="4"/>
        <v>#N/A</v>
      </c>
      <c r="H34" s="93" t="e">
        <f t="shared" si="5"/>
        <v>#N/A</v>
      </c>
      <c r="I34" s="37" t="e">
        <f t="shared" si="6"/>
        <v>#N/A</v>
      </c>
      <c r="J34" s="35"/>
      <c r="K34" s="93" t="e">
        <f t="shared" si="7"/>
        <v>#N/A</v>
      </c>
      <c r="L34" s="37" t="e">
        <f t="shared" si="8"/>
        <v>#N/A</v>
      </c>
      <c r="M34" s="93" t="e">
        <f t="shared" si="9"/>
        <v>#N/A</v>
      </c>
      <c r="N34" s="37" t="e">
        <f t="shared" si="10"/>
        <v>#N/A</v>
      </c>
      <c r="O34" s="93" t="e">
        <f t="shared" si="11"/>
        <v>#N/A</v>
      </c>
      <c r="P34" s="37" t="e">
        <f t="shared" si="12"/>
        <v>#N/A</v>
      </c>
      <c r="Q34" s="93" t="e">
        <f t="shared" si="13"/>
        <v>#N/A</v>
      </c>
      <c r="R34" s="37" t="e">
        <f t="shared" si="14"/>
        <v>#N/A</v>
      </c>
      <c r="S34" s="93" t="e">
        <f t="shared" si="15"/>
        <v>#N/A</v>
      </c>
      <c r="T34" s="37" t="e">
        <f t="shared" si="16"/>
        <v>#N/A</v>
      </c>
      <c r="U34" s="93" t="e">
        <f t="shared" si="17"/>
        <v>#N/A</v>
      </c>
      <c r="V34" s="37" t="e">
        <f t="shared" si="18"/>
        <v>#N/A</v>
      </c>
      <c r="W34" s="93" t="e">
        <f t="shared" si="19"/>
        <v>#N/A</v>
      </c>
      <c r="X34" s="37" t="e">
        <f t="shared" si="20"/>
        <v>#N/A</v>
      </c>
      <c r="Y34" s="93" t="e">
        <f t="shared" si="21"/>
        <v>#N/A</v>
      </c>
      <c r="Z34" s="37" t="e">
        <f t="shared" si="22"/>
        <v>#N/A</v>
      </c>
      <c r="AA34" s="35"/>
      <c r="AB34" s="38" t="e">
        <f t="shared" si="23"/>
        <v>#N/A</v>
      </c>
      <c r="AC34" s="38" t="e">
        <f t="shared" si="24"/>
        <v>#N/A</v>
      </c>
      <c r="AD34" s="14" t="e">
        <f>ROUND(IF(A34="","",IF(AC34="  ",AB34-Date!$B$3,AB34-AC34)),0)</f>
        <v>#N/A</v>
      </c>
      <c r="AE34" s="20"/>
    </row>
    <row r="35" spans="1:31" ht="23.25" x14ac:dyDescent="0.25">
      <c r="A35" s="14" t="s">
        <v>103</v>
      </c>
      <c r="B35" s="13" t="e">
        <f t="shared" si="0"/>
        <v>#N/A</v>
      </c>
      <c r="C35" s="35"/>
      <c r="D35" s="93" t="e">
        <f t="shared" si="1"/>
        <v>#N/A</v>
      </c>
      <c r="E35" s="37" t="e">
        <f t="shared" si="2"/>
        <v>#N/A</v>
      </c>
      <c r="F35" s="93" t="e">
        <f t="shared" si="3"/>
        <v>#N/A</v>
      </c>
      <c r="G35" s="37" t="e">
        <f t="shared" si="4"/>
        <v>#N/A</v>
      </c>
      <c r="H35" s="93" t="e">
        <f t="shared" si="5"/>
        <v>#N/A</v>
      </c>
      <c r="I35" s="37" t="e">
        <f t="shared" si="6"/>
        <v>#N/A</v>
      </c>
      <c r="J35" s="35"/>
      <c r="K35" s="93" t="e">
        <f t="shared" si="7"/>
        <v>#N/A</v>
      </c>
      <c r="L35" s="37" t="e">
        <f t="shared" si="8"/>
        <v>#N/A</v>
      </c>
      <c r="M35" s="93" t="e">
        <f t="shared" si="9"/>
        <v>#N/A</v>
      </c>
      <c r="N35" s="37" t="e">
        <f t="shared" si="10"/>
        <v>#N/A</v>
      </c>
      <c r="O35" s="93" t="e">
        <f t="shared" si="11"/>
        <v>#N/A</v>
      </c>
      <c r="P35" s="37" t="e">
        <f t="shared" si="12"/>
        <v>#N/A</v>
      </c>
      <c r="Q35" s="93" t="e">
        <f t="shared" si="13"/>
        <v>#N/A</v>
      </c>
      <c r="R35" s="37" t="e">
        <f t="shared" si="14"/>
        <v>#N/A</v>
      </c>
      <c r="S35" s="93" t="e">
        <f t="shared" si="15"/>
        <v>#N/A</v>
      </c>
      <c r="T35" s="37" t="e">
        <f t="shared" si="16"/>
        <v>#N/A</v>
      </c>
      <c r="U35" s="93" t="e">
        <f t="shared" si="17"/>
        <v>#N/A</v>
      </c>
      <c r="V35" s="37" t="e">
        <f t="shared" si="18"/>
        <v>#N/A</v>
      </c>
      <c r="W35" s="93" t="e">
        <f t="shared" si="19"/>
        <v>#N/A</v>
      </c>
      <c r="X35" s="37" t="e">
        <f t="shared" si="20"/>
        <v>#N/A</v>
      </c>
      <c r="Y35" s="93" t="e">
        <f t="shared" si="21"/>
        <v>#N/A</v>
      </c>
      <c r="Z35" s="37" t="e">
        <f t="shared" si="22"/>
        <v>#N/A</v>
      </c>
      <c r="AA35" s="35"/>
      <c r="AB35" s="38" t="e">
        <f t="shared" si="23"/>
        <v>#N/A</v>
      </c>
      <c r="AC35" s="38" t="e">
        <f t="shared" si="24"/>
        <v>#N/A</v>
      </c>
      <c r="AD35" s="14" t="e">
        <f>ROUND(IF(A35="","",IF(AC35="  ",AB35-Date!$B$3,AB35-AC35)),0)</f>
        <v>#N/A</v>
      </c>
      <c r="AE35" s="20"/>
    </row>
    <row r="36" spans="1:31" ht="23.25" x14ac:dyDescent="0.25">
      <c r="A36" s="14" t="s">
        <v>104</v>
      </c>
      <c r="B36" s="13" t="e">
        <f t="shared" si="0"/>
        <v>#N/A</v>
      </c>
      <c r="C36" s="35"/>
      <c r="D36" s="93" t="e">
        <f t="shared" si="1"/>
        <v>#N/A</v>
      </c>
      <c r="E36" s="37" t="e">
        <f t="shared" si="2"/>
        <v>#N/A</v>
      </c>
      <c r="F36" s="93" t="e">
        <f t="shared" si="3"/>
        <v>#N/A</v>
      </c>
      <c r="G36" s="37" t="e">
        <f t="shared" si="4"/>
        <v>#N/A</v>
      </c>
      <c r="H36" s="93" t="e">
        <f t="shared" si="5"/>
        <v>#N/A</v>
      </c>
      <c r="I36" s="37" t="e">
        <f t="shared" si="6"/>
        <v>#N/A</v>
      </c>
      <c r="J36" s="35"/>
      <c r="K36" s="93" t="e">
        <f t="shared" si="7"/>
        <v>#N/A</v>
      </c>
      <c r="L36" s="37" t="e">
        <f t="shared" si="8"/>
        <v>#N/A</v>
      </c>
      <c r="M36" s="93" t="e">
        <f t="shared" si="9"/>
        <v>#N/A</v>
      </c>
      <c r="N36" s="37" t="e">
        <f t="shared" si="10"/>
        <v>#N/A</v>
      </c>
      <c r="O36" s="93" t="e">
        <f t="shared" si="11"/>
        <v>#N/A</v>
      </c>
      <c r="P36" s="37" t="e">
        <f t="shared" si="12"/>
        <v>#N/A</v>
      </c>
      <c r="Q36" s="93" t="e">
        <f t="shared" si="13"/>
        <v>#N/A</v>
      </c>
      <c r="R36" s="37" t="e">
        <f t="shared" si="14"/>
        <v>#N/A</v>
      </c>
      <c r="S36" s="93" t="e">
        <f t="shared" si="15"/>
        <v>#N/A</v>
      </c>
      <c r="T36" s="37" t="e">
        <f t="shared" si="16"/>
        <v>#N/A</v>
      </c>
      <c r="U36" s="93" t="e">
        <f t="shared" si="17"/>
        <v>#N/A</v>
      </c>
      <c r="V36" s="37" t="e">
        <f t="shared" si="18"/>
        <v>#N/A</v>
      </c>
      <c r="W36" s="93" t="e">
        <f t="shared" si="19"/>
        <v>#N/A</v>
      </c>
      <c r="X36" s="37" t="e">
        <f t="shared" si="20"/>
        <v>#N/A</v>
      </c>
      <c r="Y36" s="93" t="e">
        <f t="shared" si="21"/>
        <v>#N/A</v>
      </c>
      <c r="Z36" s="37" t="e">
        <f t="shared" si="22"/>
        <v>#N/A</v>
      </c>
      <c r="AA36" s="35"/>
      <c r="AB36" s="38" t="e">
        <f t="shared" si="23"/>
        <v>#N/A</v>
      </c>
      <c r="AC36" s="38" t="e">
        <f t="shared" si="24"/>
        <v>#N/A</v>
      </c>
      <c r="AD36" s="14" t="e">
        <f>ROUND(IF(A36="","",IF(AC36="  ",AB36-Date!$B$3,AB36-AC36)),0)</f>
        <v>#N/A</v>
      </c>
      <c r="AE36" s="20"/>
    </row>
    <row r="37" spans="1:31" ht="23.25" x14ac:dyDescent="0.25">
      <c r="A37" s="14" t="s">
        <v>105</v>
      </c>
      <c r="B37" s="13" t="e">
        <f t="shared" si="0"/>
        <v>#N/A</v>
      </c>
      <c r="C37" s="35"/>
      <c r="D37" s="93" t="e">
        <f t="shared" si="1"/>
        <v>#N/A</v>
      </c>
      <c r="E37" s="37" t="e">
        <f t="shared" si="2"/>
        <v>#N/A</v>
      </c>
      <c r="F37" s="93" t="e">
        <f t="shared" si="3"/>
        <v>#N/A</v>
      </c>
      <c r="G37" s="37" t="e">
        <f t="shared" si="4"/>
        <v>#N/A</v>
      </c>
      <c r="H37" s="93" t="e">
        <f t="shared" si="5"/>
        <v>#N/A</v>
      </c>
      <c r="I37" s="37" t="e">
        <f t="shared" si="6"/>
        <v>#N/A</v>
      </c>
      <c r="J37" s="35"/>
      <c r="K37" s="93" t="e">
        <f t="shared" si="7"/>
        <v>#N/A</v>
      </c>
      <c r="L37" s="37" t="e">
        <f t="shared" si="8"/>
        <v>#N/A</v>
      </c>
      <c r="M37" s="93" t="e">
        <f t="shared" si="9"/>
        <v>#N/A</v>
      </c>
      <c r="N37" s="37" t="e">
        <f t="shared" si="10"/>
        <v>#N/A</v>
      </c>
      <c r="O37" s="93" t="e">
        <f t="shared" si="11"/>
        <v>#N/A</v>
      </c>
      <c r="P37" s="37" t="e">
        <f t="shared" si="12"/>
        <v>#N/A</v>
      </c>
      <c r="Q37" s="93" t="e">
        <f t="shared" si="13"/>
        <v>#N/A</v>
      </c>
      <c r="R37" s="37" t="e">
        <f t="shared" si="14"/>
        <v>#N/A</v>
      </c>
      <c r="S37" s="93" t="e">
        <f t="shared" si="15"/>
        <v>#N/A</v>
      </c>
      <c r="T37" s="37" t="e">
        <f t="shared" si="16"/>
        <v>#N/A</v>
      </c>
      <c r="U37" s="93" t="e">
        <f t="shared" si="17"/>
        <v>#N/A</v>
      </c>
      <c r="V37" s="37" t="e">
        <f t="shared" si="18"/>
        <v>#N/A</v>
      </c>
      <c r="W37" s="93" t="e">
        <f t="shared" si="19"/>
        <v>#N/A</v>
      </c>
      <c r="X37" s="37" t="e">
        <f t="shared" si="20"/>
        <v>#N/A</v>
      </c>
      <c r="Y37" s="93" t="e">
        <f t="shared" si="21"/>
        <v>#N/A</v>
      </c>
      <c r="Z37" s="37" t="e">
        <f t="shared" si="22"/>
        <v>#N/A</v>
      </c>
      <c r="AA37" s="35"/>
      <c r="AB37" s="38" t="e">
        <f t="shared" si="23"/>
        <v>#N/A</v>
      </c>
      <c r="AC37" s="38" t="e">
        <f t="shared" si="24"/>
        <v>#N/A</v>
      </c>
      <c r="AD37" s="14" t="e">
        <f>ROUND(IF(A37="","",IF(AC37="  ",AB37-Date!$B$3,AB37-AC37)),0)</f>
        <v>#N/A</v>
      </c>
      <c r="AE37" s="20"/>
    </row>
    <row r="38" spans="1:31" ht="23.25" x14ac:dyDescent="0.25">
      <c r="A38" s="14" t="s">
        <v>106</v>
      </c>
      <c r="B38" s="13" t="e">
        <f t="shared" ref="B38:B69" si="25">VLOOKUP(A38,Jobs,2,)</f>
        <v>#N/A</v>
      </c>
      <c r="C38" s="35"/>
      <c r="D38" s="93" t="e">
        <f t="shared" ref="D38:D69" si="26">IF(VLOOKUP($A38,Dates,8,)&gt;0,"Y","  ")</f>
        <v>#N/A</v>
      </c>
      <c r="E38" s="37" t="e">
        <f t="shared" ref="E38:E69" si="27">IF(VLOOKUP($A38,Dates,8,)&gt;0,VLOOKUP($A38,Dates,8,)-VLOOKUP($A38,Jobs,8,),"  ")</f>
        <v>#N/A</v>
      </c>
      <c r="F38" s="93" t="e">
        <f t="shared" ref="F38:F69" si="28">IF(VLOOKUP($A38,Dates,16,)&gt;0,"Y","  ")</f>
        <v>#N/A</v>
      </c>
      <c r="G38" s="37" t="e">
        <f t="shared" ref="G38:G69" si="29">IF(VLOOKUP($A38,Dates,16,)&gt;0,VLOOKUP($A38,Dates,16,)-VLOOKUP($A38,Jobs,16,),"  ")</f>
        <v>#N/A</v>
      </c>
      <c r="H38" s="93" t="e">
        <f t="shared" ref="H38:H69" si="30">IF(VLOOKUP($A38,Dates,17,)&gt;0,"Y","  ")</f>
        <v>#N/A</v>
      </c>
      <c r="I38" s="37" t="e">
        <f t="shared" ref="I38:I69" si="31">IF(VLOOKUP($A38,Dates,17,)&gt;0,VLOOKUP($A38,Dates,17,)-VLOOKUP($A38,Jobs,17,),"  ")</f>
        <v>#N/A</v>
      </c>
      <c r="J38" s="35"/>
      <c r="K38" s="93" t="e">
        <f t="shared" ref="K38:K69" si="32">IF(VLOOKUP($A38,Dates,19,)&gt;0,"Y","  ")</f>
        <v>#N/A</v>
      </c>
      <c r="L38" s="37" t="e">
        <f t="shared" ref="L38:L69" si="33">IF(VLOOKUP($A38,Dates,19,)&gt;0,VLOOKUP($A38,Dates,19,)-VLOOKUP($A38,Jobs,19,),"  ")</f>
        <v>#N/A</v>
      </c>
      <c r="M38" s="93" t="e">
        <f t="shared" ref="M38:M69" si="34">IF(VLOOKUP($A38,Dates,20,)&gt;0,"Y","  ")</f>
        <v>#N/A</v>
      </c>
      <c r="N38" s="37" t="e">
        <f t="shared" ref="N38:N69" si="35">IF(VLOOKUP($A38,Dates,20,)&gt;0,VLOOKUP($A38,Dates,20,)-VLOOKUP($A38,Jobs,20,),"  ")</f>
        <v>#N/A</v>
      </c>
      <c r="O38" s="93" t="e">
        <f t="shared" ref="O38:O69" si="36">IF(VLOOKUP($A38,Dates,21,)&gt;0,"Y","  ")</f>
        <v>#N/A</v>
      </c>
      <c r="P38" s="37" t="e">
        <f t="shared" ref="P38:P69" si="37">IF(VLOOKUP($A38,Dates,21,)&gt;0,VLOOKUP($A38,Dates,21,)-VLOOKUP($A38,Jobs,21,),"  ")</f>
        <v>#N/A</v>
      </c>
      <c r="Q38" s="93" t="e">
        <f t="shared" ref="Q38:Q69" si="38">IF(VLOOKUP($A38,Dates,22,)&gt;0,"Y","  ")</f>
        <v>#N/A</v>
      </c>
      <c r="R38" s="37" t="e">
        <f t="shared" ref="R38:R69" si="39">IF(VLOOKUP($A38,Dates,22,)&gt;0,VLOOKUP($A38,Dates,22,)-VLOOKUP($A38,Jobs,22,),"  ")</f>
        <v>#N/A</v>
      </c>
      <c r="S38" s="93" t="e">
        <f t="shared" ref="S38:S69" si="40">IF(VLOOKUP($A38,Dates,23,)&gt;0,"Y","  ")</f>
        <v>#N/A</v>
      </c>
      <c r="T38" s="37" t="e">
        <f t="shared" ref="T38:T69" si="41">IF(VLOOKUP($A38,Dates,23,)&gt;0,VLOOKUP($A38,Dates,23,)-VLOOKUP($A38,Jobs,23,),"  ")</f>
        <v>#N/A</v>
      </c>
      <c r="U38" s="93" t="e">
        <f t="shared" ref="U38:U69" si="42">IF(VLOOKUP($A38,Dates,24,)&gt;0,"Y","  ")</f>
        <v>#N/A</v>
      </c>
      <c r="V38" s="37" t="e">
        <f t="shared" ref="V38:V69" si="43">IF(VLOOKUP($A38,Dates,24,)&gt;0,VLOOKUP($A38,Dates,24,)-VLOOKUP($A38,Jobs,24,),"  ")</f>
        <v>#N/A</v>
      </c>
      <c r="W38" s="93" t="e">
        <f t="shared" ref="W38:W69" si="44">IF(VLOOKUP($A38,Dates,25,)&gt;0,"Y","  ")</f>
        <v>#N/A</v>
      </c>
      <c r="X38" s="37" t="e">
        <f t="shared" ref="X38:X69" si="45">IF(VLOOKUP($A38,Dates,25,)&gt;0,VLOOKUP($A38,Dates,25,)-VLOOKUP($A38,Jobs,25,),"  ")</f>
        <v>#N/A</v>
      </c>
      <c r="Y38" s="93" t="e">
        <f t="shared" ref="Y38:Y69" si="46">IF(VLOOKUP($A38,Dates,26,)&gt;0,"Y","  ")</f>
        <v>#N/A</v>
      </c>
      <c r="Z38" s="37" t="e">
        <f t="shared" ref="Z38:Z69" si="47">IF(VLOOKUP($A38,Dates,26,)&gt;0,VLOOKUP($A38,Dates,26,)-VLOOKUP($A38,Jobs,26,),"  ")</f>
        <v>#N/A</v>
      </c>
      <c r="AA38" s="35"/>
      <c r="AB38" s="38" t="e">
        <f t="shared" ref="AB38:AB69" si="48">VLOOKUP(A38,Jobs,27,)</f>
        <v>#N/A</v>
      </c>
      <c r="AC38" s="38" t="e">
        <f t="shared" ref="AC38:AC69" si="49">IF(VLOOKUP(A38,Dates,27,)&gt;0,VLOOKUP(A38,Dates,27,),"  ")</f>
        <v>#N/A</v>
      </c>
      <c r="AD38" s="14" t="e">
        <f>ROUND(IF(A38="","",IF(AC38="  ",AB38-Date!$B$3,AB38-AC38)),0)</f>
        <v>#N/A</v>
      </c>
      <c r="AE38" s="20"/>
    </row>
    <row r="39" spans="1:31" ht="23.25" x14ac:dyDescent="0.25">
      <c r="A39" s="14" t="s">
        <v>107</v>
      </c>
      <c r="B39" s="13" t="e">
        <f t="shared" si="25"/>
        <v>#N/A</v>
      </c>
      <c r="C39" s="35"/>
      <c r="D39" s="93" t="e">
        <f t="shared" si="26"/>
        <v>#N/A</v>
      </c>
      <c r="E39" s="37" t="e">
        <f t="shared" si="27"/>
        <v>#N/A</v>
      </c>
      <c r="F39" s="93" t="e">
        <f t="shared" si="28"/>
        <v>#N/A</v>
      </c>
      <c r="G39" s="37" t="e">
        <f t="shared" si="29"/>
        <v>#N/A</v>
      </c>
      <c r="H39" s="93" t="e">
        <f t="shared" si="30"/>
        <v>#N/A</v>
      </c>
      <c r="I39" s="37" t="e">
        <f t="shared" si="31"/>
        <v>#N/A</v>
      </c>
      <c r="J39" s="35"/>
      <c r="K39" s="93" t="e">
        <f t="shared" si="32"/>
        <v>#N/A</v>
      </c>
      <c r="L39" s="37" t="e">
        <f t="shared" si="33"/>
        <v>#N/A</v>
      </c>
      <c r="M39" s="93" t="e">
        <f t="shared" si="34"/>
        <v>#N/A</v>
      </c>
      <c r="N39" s="37" t="e">
        <f t="shared" si="35"/>
        <v>#N/A</v>
      </c>
      <c r="O39" s="93" t="e">
        <f t="shared" si="36"/>
        <v>#N/A</v>
      </c>
      <c r="P39" s="37" t="e">
        <f t="shared" si="37"/>
        <v>#N/A</v>
      </c>
      <c r="Q39" s="93" t="e">
        <f t="shared" si="38"/>
        <v>#N/A</v>
      </c>
      <c r="R39" s="37" t="e">
        <f t="shared" si="39"/>
        <v>#N/A</v>
      </c>
      <c r="S39" s="93" t="e">
        <f t="shared" si="40"/>
        <v>#N/A</v>
      </c>
      <c r="T39" s="37" t="e">
        <f t="shared" si="41"/>
        <v>#N/A</v>
      </c>
      <c r="U39" s="93" t="e">
        <f t="shared" si="42"/>
        <v>#N/A</v>
      </c>
      <c r="V39" s="37" t="e">
        <f t="shared" si="43"/>
        <v>#N/A</v>
      </c>
      <c r="W39" s="93" t="e">
        <f t="shared" si="44"/>
        <v>#N/A</v>
      </c>
      <c r="X39" s="37" t="e">
        <f t="shared" si="45"/>
        <v>#N/A</v>
      </c>
      <c r="Y39" s="93" t="e">
        <f t="shared" si="46"/>
        <v>#N/A</v>
      </c>
      <c r="Z39" s="37" t="e">
        <f t="shared" si="47"/>
        <v>#N/A</v>
      </c>
      <c r="AA39" s="35"/>
      <c r="AB39" s="38" t="e">
        <f t="shared" si="48"/>
        <v>#N/A</v>
      </c>
      <c r="AC39" s="38" t="e">
        <f t="shared" si="49"/>
        <v>#N/A</v>
      </c>
      <c r="AD39" s="14" t="e">
        <f>ROUND(IF(A39="","",IF(AC39="  ",AB39-Date!$B$3,AB39-AC39)),0)</f>
        <v>#N/A</v>
      </c>
      <c r="AE39" s="20"/>
    </row>
    <row r="40" spans="1:31" ht="23.25" x14ac:dyDescent="0.25">
      <c r="A40" s="14" t="s">
        <v>108</v>
      </c>
      <c r="B40" s="13" t="e">
        <f t="shared" si="25"/>
        <v>#N/A</v>
      </c>
      <c r="C40" s="35"/>
      <c r="D40" s="93" t="e">
        <f t="shared" si="26"/>
        <v>#N/A</v>
      </c>
      <c r="E40" s="37" t="e">
        <f t="shared" si="27"/>
        <v>#N/A</v>
      </c>
      <c r="F40" s="93" t="e">
        <f t="shared" si="28"/>
        <v>#N/A</v>
      </c>
      <c r="G40" s="37" t="e">
        <f t="shared" si="29"/>
        <v>#N/A</v>
      </c>
      <c r="H40" s="93" t="e">
        <f t="shared" si="30"/>
        <v>#N/A</v>
      </c>
      <c r="I40" s="37" t="e">
        <f t="shared" si="31"/>
        <v>#N/A</v>
      </c>
      <c r="J40" s="35"/>
      <c r="K40" s="93" t="e">
        <f t="shared" si="32"/>
        <v>#N/A</v>
      </c>
      <c r="L40" s="37" t="e">
        <f t="shared" si="33"/>
        <v>#N/A</v>
      </c>
      <c r="M40" s="93" t="e">
        <f t="shared" si="34"/>
        <v>#N/A</v>
      </c>
      <c r="N40" s="37" t="e">
        <f t="shared" si="35"/>
        <v>#N/A</v>
      </c>
      <c r="O40" s="93" t="e">
        <f t="shared" si="36"/>
        <v>#N/A</v>
      </c>
      <c r="P40" s="37" t="e">
        <f t="shared" si="37"/>
        <v>#N/A</v>
      </c>
      <c r="Q40" s="93" t="e">
        <f t="shared" si="38"/>
        <v>#N/A</v>
      </c>
      <c r="R40" s="37" t="e">
        <f t="shared" si="39"/>
        <v>#N/A</v>
      </c>
      <c r="S40" s="93" t="e">
        <f t="shared" si="40"/>
        <v>#N/A</v>
      </c>
      <c r="T40" s="37" t="e">
        <f t="shared" si="41"/>
        <v>#N/A</v>
      </c>
      <c r="U40" s="93" t="e">
        <f t="shared" si="42"/>
        <v>#N/A</v>
      </c>
      <c r="V40" s="37" t="e">
        <f t="shared" si="43"/>
        <v>#N/A</v>
      </c>
      <c r="W40" s="93" t="e">
        <f t="shared" si="44"/>
        <v>#N/A</v>
      </c>
      <c r="X40" s="37" t="e">
        <f t="shared" si="45"/>
        <v>#N/A</v>
      </c>
      <c r="Y40" s="93" t="e">
        <f t="shared" si="46"/>
        <v>#N/A</v>
      </c>
      <c r="Z40" s="37" t="e">
        <f t="shared" si="47"/>
        <v>#N/A</v>
      </c>
      <c r="AA40" s="35"/>
      <c r="AB40" s="38" t="e">
        <f t="shared" si="48"/>
        <v>#N/A</v>
      </c>
      <c r="AC40" s="38" t="e">
        <f t="shared" si="49"/>
        <v>#N/A</v>
      </c>
      <c r="AD40" s="14" t="e">
        <f>ROUND(IF(A40="","",IF(AC40="  ",AB40-Date!$B$3,AB40-AC40)),0)</f>
        <v>#N/A</v>
      </c>
      <c r="AE40" s="20"/>
    </row>
    <row r="41" spans="1:31" ht="23.25" x14ac:dyDescent="0.25">
      <c r="A41" s="14" t="s">
        <v>109</v>
      </c>
      <c r="B41" s="13" t="e">
        <f t="shared" si="25"/>
        <v>#N/A</v>
      </c>
      <c r="C41" s="35"/>
      <c r="D41" s="93" t="e">
        <f t="shared" si="26"/>
        <v>#N/A</v>
      </c>
      <c r="E41" s="37" t="e">
        <f t="shared" si="27"/>
        <v>#N/A</v>
      </c>
      <c r="F41" s="93" t="e">
        <f t="shared" si="28"/>
        <v>#N/A</v>
      </c>
      <c r="G41" s="37" t="e">
        <f t="shared" si="29"/>
        <v>#N/A</v>
      </c>
      <c r="H41" s="93" t="e">
        <f t="shared" si="30"/>
        <v>#N/A</v>
      </c>
      <c r="I41" s="37" t="e">
        <f t="shared" si="31"/>
        <v>#N/A</v>
      </c>
      <c r="J41" s="35"/>
      <c r="K41" s="93" t="e">
        <f t="shared" si="32"/>
        <v>#N/A</v>
      </c>
      <c r="L41" s="37" t="e">
        <f t="shared" si="33"/>
        <v>#N/A</v>
      </c>
      <c r="M41" s="93" t="e">
        <f t="shared" si="34"/>
        <v>#N/A</v>
      </c>
      <c r="N41" s="37" t="e">
        <f t="shared" si="35"/>
        <v>#N/A</v>
      </c>
      <c r="O41" s="93" t="e">
        <f t="shared" si="36"/>
        <v>#N/A</v>
      </c>
      <c r="P41" s="37" t="e">
        <f t="shared" si="37"/>
        <v>#N/A</v>
      </c>
      <c r="Q41" s="93" t="e">
        <f t="shared" si="38"/>
        <v>#N/A</v>
      </c>
      <c r="R41" s="37" t="e">
        <f t="shared" si="39"/>
        <v>#N/A</v>
      </c>
      <c r="S41" s="93" t="e">
        <f t="shared" si="40"/>
        <v>#N/A</v>
      </c>
      <c r="T41" s="37" t="e">
        <f t="shared" si="41"/>
        <v>#N/A</v>
      </c>
      <c r="U41" s="93" t="e">
        <f t="shared" si="42"/>
        <v>#N/A</v>
      </c>
      <c r="V41" s="37" t="e">
        <f t="shared" si="43"/>
        <v>#N/A</v>
      </c>
      <c r="W41" s="93" t="e">
        <f t="shared" si="44"/>
        <v>#N/A</v>
      </c>
      <c r="X41" s="37" t="e">
        <f t="shared" si="45"/>
        <v>#N/A</v>
      </c>
      <c r="Y41" s="93" t="e">
        <f t="shared" si="46"/>
        <v>#N/A</v>
      </c>
      <c r="Z41" s="37" t="e">
        <f t="shared" si="47"/>
        <v>#N/A</v>
      </c>
      <c r="AA41" s="35"/>
      <c r="AB41" s="38" t="e">
        <f t="shared" si="48"/>
        <v>#N/A</v>
      </c>
      <c r="AC41" s="38" t="e">
        <f t="shared" si="49"/>
        <v>#N/A</v>
      </c>
      <c r="AD41" s="14" t="e">
        <f>ROUND(IF(A41="","",IF(AC41="  ",AB41-Date!$B$3,AB41-AC41)),0)</f>
        <v>#N/A</v>
      </c>
      <c r="AE41" s="20"/>
    </row>
    <row r="42" spans="1:31" ht="23.25" x14ac:dyDescent="0.25">
      <c r="A42" s="14" t="s">
        <v>110</v>
      </c>
      <c r="B42" s="13" t="e">
        <f t="shared" si="25"/>
        <v>#N/A</v>
      </c>
      <c r="C42" s="35"/>
      <c r="D42" s="93" t="e">
        <f t="shared" si="26"/>
        <v>#N/A</v>
      </c>
      <c r="E42" s="37" t="e">
        <f t="shared" si="27"/>
        <v>#N/A</v>
      </c>
      <c r="F42" s="93" t="e">
        <f t="shared" si="28"/>
        <v>#N/A</v>
      </c>
      <c r="G42" s="37" t="e">
        <f t="shared" si="29"/>
        <v>#N/A</v>
      </c>
      <c r="H42" s="93" t="e">
        <f t="shared" si="30"/>
        <v>#N/A</v>
      </c>
      <c r="I42" s="37" t="e">
        <f t="shared" si="31"/>
        <v>#N/A</v>
      </c>
      <c r="J42" s="35"/>
      <c r="K42" s="93" t="e">
        <f t="shared" si="32"/>
        <v>#N/A</v>
      </c>
      <c r="L42" s="37" t="e">
        <f t="shared" si="33"/>
        <v>#N/A</v>
      </c>
      <c r="M42" s="93" t="e">
        <f t="shared" si="34"/>
        <v>#N/A</v>
      </c>
      <c r="N42" s="37" t="e">
        <f t="shared" si="35"/>
        <v>#N/A</v>
      </c>
      <c r="O42" s="93" t="e">
        <f t="shared" si="36"/>
        <v>#N/A</v>
      </c>
      <c r="P42" s="37" t="e">
        <f t="shared" si="37"/>
        <v>#N/A</v>
      </c>
      <c r="Q42" s="93" t="e">
        <f t="shared" si="38"/>
        <v>#N/A</v>
      </c>
      <c r="R42" s="37" t="e">
        <f t="shared" si="39"/>
        <v>#N/A</v>
      </c>
      <c r="S42" s="93" t="e">
        <f t="shared" si="40"/>
        <v>#N/A</v>
      </c>
      <c r="T42" s="37" t="e">
        <f t="shared" si="41"/>
        <v>#N/A</v>
      </c>
      <c r="U42" s="93" t="e">
        <f t="shared" si="42"/>
        <v>#N/A</v>
      </c>
      <c r="V42" s="37" t="e">
        <f t="shared" si="43"/>
        <v>#N/A</v>
      </c>
      <c r="W42" s="93" t="e">
        <f t="shared" si="44"/>
        <v>#N/A</v>
      </c>
      <c r="X42" s="37" t="e">
        <f t="shared" si="45"/>
        <v>#N/A</v>
      </c>
      <c r="Y42" s="93" t="e">
        <f t="shared" si="46"/>
        <v>#N/A</v>
      </c>
      <c r="Z42" s="37" t="e">
        <f t="shared" si="47"/>
        <v>#N/A</v>
      </c>
      <c r="AA42" s="35"/>
      <c r="AB42" s="38" t="e">
        <f t="shared" si="48"/>
        <v>#N/A</v>
      </c>
      <c r="AC42" s="38" t="e">
        <f t="shared" si="49"/>
        <v>#N/A</v>
      </c>
      <c r="AD42" s="14" t="e">
        <f>ROUND(IF(A42="","",IF(AC42="  ",AB42-Date!$B$3,AB42-AC42)),0)</f>
        <v>#N/A</v>
      </c>
      <c r="AE42" s="20"/>
    </row>
    <row r="43" spans="1:31" ht="23.25" x14ac:dyDescent="0.25">
      <c r="A43" s="14" t="s">
        <v>111</v>
      </c>
      <c r="B43" s="13" t="e">
        <f t="shared" si="25"/>
        <v>#N/A</v>
      </c>
      <c r="C43" s="35"/>
      <c r="D43" s="93" t="e">
        <f t="shared" si="26"/>
        <v>#N/A</v>
      </c>
      <c r="E43" s="37" t="e">
        <f t="shared" si="27"/>
        <v>#N/A</v>
      </c>
      <c r="F43" s="93" t="e">
        <f t="shared" si="28"/>
        <v>#N/A</v>
      </c>
      <c r="G43" s="37" t="e">
        <f t="shared" si="29"/>
        <v>#N/A</v>
      </c>
      <c r="H43" s="93" t="e">
        <f t="shared" si="30"/>
        <v>#N/A</v>
      </c>
      <c r="I43" s="37" t="e">
        <f t="shared" si="31"/>
        <v>#N/A</v>
      </c>
      <c r="J43" s="35"/>
      <c r="K43" s="93" t="e">
        <f t="shared" si="32"/>
        <v>#N/A</v>
      </c>
      <c r="L43" s="37" t="e">
        <f t="shared" si="33"/>
        <v>#N/A</v>
      </c>
      <c r="M43" s="93" t="e">
        <f t="shared" si="34"/>
        <v>#N/A</v>
      </c>
      <c r="N43" s="37" t="e">
        <f t="shared" si="35"/>
        <v>#N/A</v>
      </c>
      <c r="O43" s="93" t="e">
        <f t="shared" si="36"/>
        <v>#N/A</v>
      </c>
      <c r="P43" s="37" t="e">
        <f t="shared" si="37"/>
        <v>#N/A</v>
      </c>
      <c r="Q43" s="93" t="e">
        <f t="shared" si="38"/>
        <v>#N/A</v>
      </c>
      <c r="R43" s="37" t="e">
        <f t="shared" si="39"/>
        <v>#N/A</v>
      </c>
      <c r="S43" s="93" t="e">
        <f t="shared" si="40"/>
        <v>#N/A</v>
      </c>
      <c r="T43" s="37" t="e">
        <f t="shared" si="41"/>
        <v>#N/A</v>
      </c>
      <c r="U43" s="93" t="e">
        <f t="shared" si="42"/>
        <v>#N/A</v>
      </c>
      <c r="V43" s="37" t="e">
        <f t="shared" si="43"/>
        <v>#N/A</v>
      </c>
      <c r="W43" s="93" t="e">
        <f t="shared" si="44"/>
        <v>#N/A</v>
      </c>
      <c r="X43" s="37" t="e">
        <f t="shared" si="45"/>
        <v>#N/A</v>
      </c>
      <c r="Y43" s="93" t="e">
        <f t="shared" si="46"/>
        <v>#N/A</v>
      </c>
      <c r="Z43" s="37" t="e">
        <f t="shared" si="47"/>
        <v>#N/A</v>
      </c>
      <c r="AA43" s="35"/>
      <c r="AB43" s="38" t="e">
        <f t="shared" si="48"/>
        <v>#N/A</v>
      </c>
      <c r="AC43" s="38" t="e">
        <f t="shared" si="49"/>
        <v>#N/A</v>
      </c>
      <c r="AD43" s="14" t="e">
        <f>ROUND(IF(A43="","",IF(AC43="  ",AB43-Date!$B$3,AB43-AC43)),0)</f>
        <v>#N/A</v>
      </c>
      <c r="AE43" s="20"/>
    </row>
    <row r="44" spans="1:31" ht="23.25" x14ac:dyDescent="0.25">
      <c r="A44" s="14" t="s">
        <v>112</v>
      </c>
      <c r="B44" s="13" t="e">
        <f t="shared" si="25"/>
        <v>#N/A</v>
      </c>
      <c r="C44" s="35"/>
      <c r="D44" s="93" t="e">
        <f t="shared" si="26"/>
        <v>#N/A</v>
      </c>
      <c r="E44" s="37" t="e">
        <f t="shared" si="27"/>
        <v>#N/A</v>
      </c>
      <c r="F44" s="93" t="e">
        <f t="shared" si="28"/>
        <v>#N/A</v>
      </c>
      <c r="G44" s="37" t="e">
        <f t="shared" si="29"/>
        <v>#N/A</v>
      </c>
      <c r="H44" s="93" t="e">
        <f t="shared" si="30"/>
        <v>#N/A</v>
      </c>
      <c r="I44" s="37" t="e">
        <f t="shared" si="31"/>
        <v>#N/A</v>
      </c>
      <c r="J44" s="35"/>
      <c r="K44" s="93" t="e">
        <f t="shared" si="32"/>
        <v>#N/A</v>
      </c>
      <c r="L44" s="37" t="e">
        <f t="shared" si="33"/>
        <v>#N/A</v>
      </c>
      <c r="M44" s="93" t="e">
        <f t="shared" si="34"/>
        <v>#N/A</v>
      </c>
      <c r="N44" s="37" t="e">
        <f t="shared" si="35"/>
        <v>#N/A</v>
      </c>
      <c r="O44" s="93" t="e">
        <f t="shared" si="36"/>
        <v>#N/A</v>
      </c>
      <c r="P44" s="37" t="e">
        <f t="shared" si="37"/>
        <v>#N/A</v>
      </c>
      <c r="Q44" s="93" t="e">
        <f t="shared" si="38"/>
        <v>#N/A</v>
      </c>
      <c r="R44" s="37" t="e">
        <f t="shared" si="39"/>
        <v>#N/A</v>
      </c>
      <c r="S44" s="93" t="e">
        <f t="shared" si="40"/>
        <v>#N/A</v>
      </c>
      <c r="T44" s="37" t="e">
        <f t="shared" si="41"/>
        <v>#N/A</v>
      </c>
      <c r="U44" s="93" t="e">
        <f t="shared" si="42"/>
        <v>#N/A</v>
      </c>
      <c r="V44" s="37" t="e">
        <f t="shared" si="43"/>
        <v>#N/A</v>
      </c>
      <c r="W44" s="93" t="e">
        <f t="shared" si="44"/>
        <v>#N/A</v>
      </c>
      <c r="X44" s="37" t="e">
        <f t="shared" si="45"/>
        <v>#N/A</v>
      </c>
      <c r="Y44" s="93" t="e">
        <f t="shared" si="46"/>
        <v>#N/A</v>
      </c>
      <c r="Z44" s="37" t="e">
        <f t="shared" si="47"/>
        <v>#N/A</v>
      </c>
      <c r="AA44" s="35"/>
      <c r="AB44" s="38" t="e">
        <f t="shared" si="48"/>
        <v>#N/A</v>
      </c>
      <c r="AC44" s="38" t="e">
        <f t="shared" si="49"/>
        <v>#N/A</v>
      </c>
      <c r="AD44" s="14" t="e">
        <f>ROUND(IF(A44="","",IF(AC44="  ",AB44-Date!$B$3,AB44-AC44)),0)</f>
        <v>#N/A</v>
      </c>
      <c r="AE44" s="20"/>
    </row>
    <row r="45" spans="1:31" ht="23.25" x14ac:dyDescent="0.25">
      <c r="A45" s="14" t="s">
        <v>113</v>
      </c>
      <c r="B45" s="13" t="e">
        <f t="shared" si="25"/>
        <v>#N/A</v>
      </c>
      <c r="C45" s="35"/>
      <c r="D45" s="93" t="e">
        <f t="shared" si="26"/>
        <v>#N/A</v>
      </c>
      <c r="E45" s="37" t="e">
        <f t="shared" si="27"/>
        <v>#N/A</v>
      </c>
      <c r="F45" s="93" t="e">
        <f t="shared" si="28"/>
        <v>#N/A</v>
      </c>
      <c r="G45" s="37" t="e">
        <f t="shared" si="29"/>
        <v>#N/A</v>
      </c>
      <c r="H45" s="93" t="e">
        <f t="shared" si="30"/>
        <v>#N/A</v>
      </c>
      <c r="I45" s="37" t="e">
        <f t="shared" si="31"/>
        <v>#N/A</v>
      </c>
      <c r="J45" s="35"/>
      <c r="K45" s="93" t="e">
        <f t="shared" si="32"/>
        <v>#N/A</v>
      </c>
      <c r="L45" s="37" t="e">
        <f t="shared" si="33"/>
        <v>#N/A</v>
      </c>
      <c r="M45" s="93" t="e">
        <f t="shared" si="34"/>
        <v>#N/A</v>
      </c>
      <c r="N45" s="37" t="e">
        <f t="shared" si="35"/>
        <v>#N/A</v>
      </c>
      <c r="O45" s="93" t="e">
        <f t="shared" si="36"/>
        <v>#N/A</v>
      </c>
      <c r="P45" s="37" t="e">
        <f t="shared" si="37"/>
        <v>#N/A</v>
      </c>
      <c r="Q45" s="93" t="e">
        <f t="shared" si="38"/>
        <v>#N/A</v>
      </c>
      <c r="R45" s="37" t="e">
        <f t="shared" si="39"/>
        <v>#N/A</v>
      </c>
      <c r="S45" s="93" t="e">
        <f t="shared" si="40"/>
        <v>#N/A</v>
      </c>
      <c r="T45" s="37" t="e">
        <f t="shared" si="41"/>
        <v>#N/A</v>
      </c>
      <c r="U45" s="93" t="e">
        <f t="shared" si="42"/>
        <v>#N/A</v>
      </c>
      <c r="V45" s="37" t="e">
        <f t="shared" si="43"/>
        <v>#N/A</v>
      </c>
      <c r="W45" s="93" t="e">
        <f t="shared" si="44"/>
        <v>#N/A</v>
      </c>
      <c r="X45" s="37" t="e">
        <f t="shared" si="45"/>
        <v>#N/A</v>
      </c>
      <c r="Y45" s="93" t="e">
        <f t="shared" si="46"/>
        <v>#N/A</v>
      </c>
      <c r="Z45" s="37" t="e">
        <f t="shared" si="47"/>
        <v>#N/A</v>
      </c>
      <c r="AA45" s="35"/>
      <c r="AB45" s="38" t="e">
        <f t="shared" si="48"/>
        <v>#N/A</v>
      </c>
      <c r="AC45" s="38" t="e">
        <f t="shared" si="49"/>
        <v>#N/A</v>
      </c>
      <c r="AD45" s="14" t="e">
        <f>ROUND(IF(A45="","",IF(AC45="  ",AB45-Date!$B$3,AB45-AC45)),0)</f>
        <v>#N/A</v>
      </c>
      <c r="AE45" s="20"/>
    </row>
    <row r="46" spans="1:31" ht="23.25" x14ac:dyDescent="0.25">
      <c r="A46" s="14" t="s">
        <v>114</v>
      </c>
      <c r="B46" s="13" t="e">
        <f t="shared" si="25"/>
        <v>#N/A</v>
      </c>
      <c r="C46" s="35"/>
      <c r="D46" s="93" t="e">
        <f t="shared" si="26"/>
        <v>#N/A</v>
      </c>
      <c r="E46" s="37" t="e">
        <f t="shared" si="27"/>
        <v>#N/A</v>
      </c>
      <c r="F46" s="93" t="e">
        <f t="shared" si="28"/>
        <v>#N/A</v>
      </c>
      <c r="G46" s="37" t="e">
        <f t="shared" si="29"/>
        <v>#N/A</v>
      </c>
      <c r="H46" s="93" t="e">
        <f t="shared" si="30"/>
        <v>#N/A</v>
      </c>
      <c r="I46" s="37" t="e">
        <f t="shared" si="31"/>
        <v>#N/A</v>
      </c>
      <c r="J46" s="35"/>
      <c r="K46" s="93" t="e">
        <f t="shared" si="32"/>
        <v>#N/A</v>
      </c>
      <c r="L46" s="37" t="e">
        <f t="shared" si="33"/>
        <v>#N/A</v>
      </c>
      <c r="M46" s="93" t="e">
        <f t="shared" si="34"/>
        <v>#N/A</v>
      </c>
      <c r="N46" s="37" t="e">
        <f t="shared" si="35"/>
        <v>#N/A</v>
      </c>
      <c r="O46" s="93" t="e">
        <f t="shared" si="36"/>
        <v>#N/A</v>
      </c>
      <c r="P46" s="37" t="e">
        <f t="shared" si="37"/>
        <v>#N/A</v>
      </c>
      <c r="Q46" s="93" t="e">
        <f t="shared" si="38"/>
        <v>#N/A</v>
      </c>
      <c r="R46" s="37" t="e">
        <f t="shared" si="39"/>
        <v>#N/A</v>
      </c>
      <c r="S46" s="93" t="e">
        <f t="shared" si="40"/>
        <v>#N/A</v>
      </c>
      <c r="T46" s="37" t="e">
        <f t="shared" si="41"/>
        <v>#N/A</v>
      </c>
      <c r="U46" s="93" t="e">
        <f t="shared" si="42"/>
        <v>#N/A</v>
      </c>
      <c r="V46" s="37" t="e">
        <f t="shared" si="43"/>
        <v>#N/A</v>
      </c>
      <c r="W46" s="93" t="e">
        <f t="shared" si="44"/>
        <v>#N/A</v>
      </c>
      <c r="X46" s="37" t="e">
        <f t="shared" si="45"/>
        <v>#N/A</v>
      </c>
      <c r="Y46" s="93" t="e">
        <f t="shared" si="46"/>
        <v>#N/A</v>
      </c>
      <c r="Z46" s="37" t="e">
        <f t="shared" si="47"/>
        <v>#N/A</v>
      </c>
      <c r="AA46" s="35"/>
      <c r="AB46" s="38" t="e">
        <f t="shared" si="48"/>
        <v>#N/A</v>
      </c>
      <c r="AC46" s="38" t="e">
        <f t="shared" si="49"/>
        <v>#N/A</v>
      </c>
      <c r="AD46" s="14" t="e">
        <f>ROUND(IF(A46="","",IF(AC46="  ",AB46-Date!$B$3,AB46-AC46)),0)</f>
        <v>#N/A</v>
      </c>
      <c r="AE46" s="20"/>
    </row>
    <row r="47" spans="1:31" ht="23.25" x14ac:dyDescent="0.25">
      <c r="A47" s="14" t="s">
        <v>115</v>
      </c>
      <c r="B47" s="13" t="e">
        <f t="shared" si="25"/>
        <v>#N/A</v>
      </c>
      <c r="C47" s="35"/>
      <c r="D47" s="93" t="e">
        <f t="shared" si="26"/>
        <v>#N/A</v>
      </c>
      <c r="E47" s="37" t="e">
        <f t="shared" si="27"/>
        <v>#N/A</v>
      </c>
      <c r="F47" s="93" t="e">
        <f t="shared" si="28"/>
        <v>#N/A</v>
      </c>
      <c r="G47" s="37" t="e">
        <f t="shared" si="29"/>
        <v>#N/A</v>
      </c>
      <c r="H47" s="93" t="e">
        <f t="shared" si="30"/>
        <v>#N/A</v>
      </c>
      <c r="I47" s="37" t="e">
        <f t="shared" si="31"/>
        <v>#N/A</v>
      </c>
      <c r="J47" s="35"/>
      <c r="K47" s="93" t="e">
        <f t="shared" si="32"/>
        <v>#N/A</v>
      </c>
      <c r="L47" s="37" t="e">
        <f t="shared" si="33"/>
        <v>#N/A</v>
      </c>
      <c r="M47" s="93" t="e">
        <f t="shared" si="34"/>
        <v>#N/A</v>
      </c>
      <c r="N47" s="37" t="e">
        <f t="shared" si="35"/>
        <v>#N/A</v>
      </c>
      <c r="O47" s="93" t="e">
        <f t="shared" si="36"/>
        <v>#N/A</v>
      </c>
      <c r="P47" s="37" t="e">
        <f t="shared" si="37"/>
        <v>#N/A</v>
      </c>
      <c r="Q47" s="93" t="e">
        <f t="shared" si="38"/>
        <v>#N/A</v>
      </c>
      <c r="R47" s="37" t="e">
        <f t="shared" si="39"/>
        <v>#N/A</v>
      </c>
      <c r="S47" s="93" t="e">
        <f t="shared" si="40"/>
        <v>#N/A</v>
      </c>
      <c r="T47" s="37" t="e">
        <f t="shared" si="41"/>
        <v>#N/A</v>
      </c>
      <c r="U47" s="93" t="e">
        <f t="shared" si="42"/>
        <v>#N/A</v>
      </c>
      <c r="V47" s="37" t="e">
        <f t="shared" si="43"/>
        <v>#N/A</v>
      </c>
      <c r="W47" s="93" t="e">
        <f t="shared" si="44"/>
        <v>#N/A</v>
      </c>
      <c r="X47" s="37" t="e">
        <f t="shared" si="45"/>
        <v>#N/A</v>
      </c>
      <c r="Y47" s="93" t="e">
        <f t="shared" si="46"/>
        <v>#N/A</v>
      </c>
      <c r="Z47" s="37" t="e">
        <f t="shared" si="47"/>
        <v>#N/A</v>
      </c>
      <c r="AA47" s="35"/>
      <c r="AB47" s="38" t="e">
        <f t="shared" si="48"/>
        <v>#N/A</v>
      </c>
      <c r="AC47" s="38" t="e">
        <f t="shared" si="49"/>
        <v>#N/A</v>
      </c>
      <c r="AD47" s="14" t="e">
        <f>ROUND(IF(A47="","",IF(AC47="  ",AB47-Date!$B$3,AB47-AC47)),0)</f>
        <v>#N/A</v>
      </c>
      <c r="AE47" s="20"/>
    </row>
    <row r="48" spans="1:31" ht="23.25" x14ac:dyDescent="0.25">
      <c r="A48" s="14" t="s">
        <v>116</v>
      </c>
      <c r="B48" s="13" t="e">
        <f t="shared" si="25"/>
        <v>#N/A</v>
      </c>
      <c r="C48" s="35"/>
      <c r="D48" s="93" t="e">
        <f t="shared" si="26"/>
        <v>#N/A</v>
      </c>
      <c r="E48" s="37" t="e">
        <f t="shared" si="27"/>
        <v>#N/A</v>
      </c>
      <c r="F48" s="93" t="e">
        <f t="shared" si="28"/>
        <v>#N/A</v>
      </c>
      <c r="G48" s="37" t="e">
        <f t="shared" si="29"/>
        <v>#N/A</v>
      </c>
      <c r="H48" s="93" t="e">
        <f t="shared" si="30"/>
        <v>#N/A</v>
      </c>
      <c r="I48" s="37" t="e">
        <f t="shared" si="31"/>
        <v>#N/A</v>
      </c>
      <c r="J48" s="35"/>
      <c r="K48" s="93" t="e">
        <f t="shared" si="32"/>
        <v>#N/A</v>
      </c>
      <c r="L48" s="37" t="e">
        <f t="shared" si="33"/>
        <v>#N/A</v>
      </c>
      <c r="M48" s="93" t="e">
        <f t="shared" si="34"/>
        <v>#N/A</v>
      </c>
      <c r="N48" s="37" t="e">
        <f t="shared" si="35"/>
        <v>#N/A</v>
      </c>
      <c r="O48" s="93" t="e">
        <f t="shared" si="36"/>
        <v>#N/A</v>
      </c>
      <c r="P48" s="37" t="e">
        <f t="shared" si="37"/>
        <v>#N/A</v>
      </c>
      <c r="Q48" s="93" t="e">
        <f t="shared" si="38"/>
        <v>#N/A</v>
      </c>
      <c r="R48" s="37" t="e">
        <f t="shared" si="39"/>
        <v>#N/A</v>
      </c>
      <c r="S48" s="93" t="e">
        <f t="shared" si="40"/>
        <v>#N/A</v>
      </c>
      <c r="T48" s="37" t="e">
        <f t="shared" si="41"/>
        <v>#N/A</v>
      </c>
      <c r="U48" s="93" t="e">
        <f t="shared" si="42"/>
        <v>#N/A</v>
      </c>
      <c r="V48" s="37" t="e">
        <f t="shared" si="43"/>
        <v>#N/A</v>
      </c>
      <c r="W48" s="93" t="e">
        <f t="shared" si="44"/>
        <v>#N/A</v>
      </c>
      <c r="X48" s="37" t="e">
        <f t="shared" si="45"/>
        <v>#N/A</v>
      </c>
      <c r="Y48" s="93" t="e">
        <f t="shared" si="46"/>
        <v>#N/A</v>
      </c>
      <c r="Z48" s="37" t="e">
        <f t="shared" si="47"/>
        <v>#N/A</v>
      </c>
      <c r="AA48" s="35"/>
      <c r="AB48" s="38" t="e">
        <f t="shared" si="48"/>
        <v>#N/A</v>
      </c>
      <c r="AC48" s="38" t="e">
        <f t="shared" si="49"/>
        <v>#N/A</v>
      </c>
      <c r="AD48" s="14" t="e">
        <f>ROUND(IF(A48="","",IF(AC48="  ",AB48-Date!$B$3,AB48-AC48)),0)</f>
        <v>#N/A</v>
      </c>
      <c r="AE48" s="20"/>
    </row>
    <row r="49" spans="1:31" ht="23.25" x14ac:dyDescent="0.25">
      <c r="A49" s="14" t="s">
        <v>117</v>
      </c>
      <c r="B49" s="13" t="e">
        <f t="shared" si="25"/>
        <v>#N/A</v>
      </c>
      <c r="C49" s="35"/>
      <c r="D49" s="93" t="e">
        <f t="shared" si="26"/>
        <v>#N/A</v>
      </c>
      <c r="E49" s="37" t="e">
        <f t="shared" si="27"/>
        <v>#N/A</v>
      </c>
      <c r="F49" s="93" t="e">
        <f t="shared" si="28"/>
        <v>#N/A</v>
      </c>
      <c r="G49" s="37" t="e">
        <f t="shared" si="29"/>
        <v>#N/A</v>
      </c>
      <c r="H49" s="93" t="e">
        <f t="shared" si="30"/>
        <v>#N/A</v>
      </c>
      <c r="I49" s="37" t="e">
        <f t="shared" si="31"/>
        <v>#N/A</v>
      </c>
      <c r="J49" s="35"/>
      <c r="K49" s="93" t="e">
        <f t="shared" si="32"/>
        <v>#N/A</v>
      </c>
      <c r="L49" s="37" t="e">
        <f t="shared" si="33"/>
        <v>#N/A</v>
      </c>
      <c r="M49" s="93" t="e">
        <f t="shared" si="34"/>
        <v>#N/A</v>
      </c>
      <c r="N49" s="37" t="e">
        <f t="shared" si="35"/>
        <v>#N/A</v>
      </c>
      <c r="O49" s="93" t="e">
        <f t="shared" si="36"/>
        <v>#N/A</v>
      </c>
      <c r="P49" s="37" t="e">
        <f t="shared" si="37"/>
        <v>#N/A</v>
      </c>
      <c r="Q49" s="93" t="e">
        <f t="shared" si="38"/>
        <v>#N/A</v>
      </c>
      <c r="R49" s="37" t="e">
        <f t="shared" si="39"/>
        <v>#N/A</v>
      </c>
      <c r="S49" s="93" t="e">
        <f t="shared" si="40"/>
        <v>#N/A</v>
      </c>
      <c r="T49" s="37" t="e">
        <f t="shared" si="41"/>
        <v>#N/A</v>
      </c>
      <c r="U49" s="93" t="e">
        <f t="shared" si="42"/>
        <v>#N/A</v>
      </c>
      <c r="V49" s="37" t="e">
        <f t="shared" si="43"/>
        <v>#N/A</v>
      </c>
      <c r="W49" s="93" t="e">
        <f t="shared" si="44"/>
        <v>#N/A</v>
      </c>
      <c r="X49" s="37" t="e">
        <f t="shared" si="45"/>
        <v>#N/A</v>
      </c>
      <c r="Y49" s="93" t="e">
        <f t="shared" si="46"/>
        <v>#N/A</v>
      </c>
      <c r="Z49" s="37" t="e">
        <f t="shared" si="47"/>
        <v>#N/A</v>
      </c>
      <c r="AA49" s="35"/>
      <c r="AB49" s="38" t="e">
        <f t="shared" si="48"/>
        <v>#N/A</v>
      </c>
      <c r="AC49" s="38" t="e">
        <f t="shared" si="49"/>
        <v>#N/A</v>
      </c>
      <c r="AD49" s="14" t="e">
        <f>ROUND(IF(A49="","",IF(AC49="  ",AB49-Date!$B$3,AB49-AC49)),0)</f>
        <v>#N/A</v>
      </c>
      <c r="AE49" s="20"/>
    </row>
    <row r="50" spans="1:31" ht="23.25" x14ac:dyDescent="0.25">
      <c r="A50" s="14" t="s">
        <v>118</v>
      </c>
      <c r="B50" s="13" t="e">
        <f t="shared" si="25"/>
        <v>#N/A</v>
      </c>
      <c r="C50" s="35"/>
      <c r="D50" s="93" t="e">
        <f t="shared" si="26"/>
        <v>#N/A</v>
      </c>
      <c r="E50" s="37" t="e">
        <f t="shared" si="27"/>
        <v>#N/A</v>
      </c>
      <c r="F50" s="93" t="e">
        <f t="shared" si="28"/>
        <v>#N/A</v>
      </c>
      <c r="G50" s="37" t="e">
        <f t="shared" si="29"/>
        <v>#N/A</v>
      </c>
      <c r="H50" s="93" t="e">
        <f t="shared" si="30"/>
        <v>#N/A</v>
      </c>
      <c r="I50" s="37" t="e">
        <f t="shared" si="31"/>
        <v>#N/A</v>
      </c>
      <c r="J50" s="35"/>
      <c r="K50" s="93" t="e">
        <f t="shared" si="32"/>
        <v>#N/A</v>
      </c>
      <c r="L50" s="37" t="e">
        <f t="shared" si="33"/>
        <v>#N/A</v>
      </c>
      <c r="M50" s="93" t="e">
        <f t="shared" si="34"/>
        <v>#N/A</v>
      </c>
      <c r="N50" s="37" t="e">
        <f t="shared" si="35"/>
        <v>#N/A</v>
      </c>
      <c r="O50" s="93" t="e">
        <f t="shared" si="36"/>
        <v>#N/A</v>
      </c>
      <c r="P50" s="37" t="e">
        <f t="shared" si="37"/>
        <v>#N/A</v>
      </c>
      <c r="Q50" s="93" t="e">
        <f t="shared" si="38"/>
        <v>#N/A</v>
      </c>
      <c r="R50" s="37" t="e">
        <f t="shared" si="39"/>
        <v>#N/A</v>
      </c>
      <c r="S50" s="93" t="e">
        <f t="shared" si="40"/>
        <v>#N/A</v>
      </c>
      <c r="T50" s="37" t="e">
        <f t="shared" si="41"/>
        <v>#N/A</v>
      </c>
      <c r="U50" s="93" t="e">
        <f t="shared" si="42"/>
        <v>#N/A</v>
      </c>
      <c r="V50" s="37" t="e">
        <f t="shared" si="43"/>
        <v>#N/A</v>
      </c>
      <c r="W50" s="93" t="e">
        <f t="shared" si="44"/>
        <v>#N/A</v>
      </c>
      <c r="X50" s="37" t="e">
        <f t="shared" si="45"/>
        <v>#N/A</v>
      </c>
      <c r="Y50" s="93" t="e">
        <f t="shared" si="46"/>
        <v>#N/A</v>
      </c>
      <c r="Z50" s="37" t="e">
        <f t="shared" si="47"/>
        <v>#N/A</v>
      </c>
      <c r="AA50" s="35"/>
      <c r="AB50" s="38" t="e">
        <f t="shared" si="48"/>
        <v>#N/A</v>
      </c>
      <c r="AC50" s="38" t="e">
        <f t="shared" si="49"/>
        <v>#N/A</v>
      </c>
      <c r="AD50" s="14" t="e">
        <f>ROUND(IF(A50="","",IF(AC50="  ",AB50-Date!$B$3,AB50-AC50)),0)</f>
        <v>#N/A</v>
      </c>
      <c r="AE50" s="20"/>
    </row>
    <row r="51" spans="1:31" ht="23.25" x14ac:dyDescent="0.25">
      <c r="A51" s="14" t="s">
        <v>119</v>
      </c>
      <c r="B51" s="13" t="e">
        <f t="shared" si="25"/>
        <v>#N/A</v>
      </c>
      <c r="C51" s="35"/>
      <c r="D51" s="93" t="e">
        <f t="shared" si="26"/>
        <v>#N/A</v>
      </c>
      <c r="E51" s="37" t="e">
        <f t="shared" si="27"/>
        <v>#N/A</v>
      </c>
      <c r="F51" s="93" t="e">
        <f t="shared" si="28"/>
        <v>#N/A</v>
      </c>
      <c r="G51" s="37" t="e">
        <f t="shared" si="29"/>
        <v>#N/A</v>
      </c>
      <c r="H51" s="93" t="e">
        <f t="shared" si="30"/>
        <v>#N/A</v>
      </c>
      <c r="I51" s="37" t="e">
        <f t="shared" si="31"/>
        <v>#N/A</v>
      </c>
      <c r="J51" s="35"/>
      <c r="K51" s="93" t="e">
        <f t="shared" si="32"/>
        <v>#N/A</v>
      </c>
      <c r="L51" s="37" t="e">
        <f t="shared" si="33"/>
        <v>#N/A</v>
      </c>
      <c r="M51" s="93" t="e">
        <f t="shared" si="34"/>
        <v>#N/A</v>
      </c>
      <c r="N51" s="37" t="e">
        <f t="shared" si="35"/>
        <v>#N/A</v>
      </c>
      <c r="O51" s="93" t="e">
        <f t="shared" si="36"/>
        <v>#N/A</v>
      </c>
      <c r="P51" s="37" t="e">
        <f t="shared" si="37"/>
        <v>#N/A</v>
      </c>
      <c r="Q51" s="93" t="e">
        <f t="shared" si="38"/>
        <v>#N/A</v>
      </c>
      <c r="R51" s="37" t="e">
        <f t="shared" si="39"/>
        <v>#N/A</v>
      </c>
      <c r="S51" s="93" t="e">
        <f t="shared" si="40"/>
        <v>#N/A</v>
      </c>
      <c r="T51" s="37" t="e">
        <f t="shared" si="41"/>
        <v>#N/A</v>
      </c>
      <c r="U51" s="93" t="e">
        <f t="shared" si="42"/>
        <v>#N/A</v>
      </c>
      <c r="V51" s="37" t="e">
        <f t="shared" si="43"/>
        <v>#N/A</v>
      </c>
      <c r="W51" s="93" t="e">
        <f t="shared" si="44"/>
        <v>#N/A</v>
      </c>
      <c r="X51" s="37" t="e">
        <f t="shared" si="45"/>
        <v>#N/A</v>
      </c>
      <c r="Y51" s="93" t="e">
        <f t="shared" si="46"/>
        <v>#N/A</v>
      </c>
      <c r="Z51" s="37" t="e">
        <f t="shared" si="47"/>
        <v>#N/A</v>
      </c>
      <c r="AA51" s="35"/>
      <c r="AB51" s="38" t="e">
        <f t="shared" si="48"/>
        <v>#N/A</v>
      </c>
      <c r="AC51" s="38" t="e">
        <f t="shared" si="49"/>
        <v>#N/A</v>
      </c>
      <c r="AD51" s="14" t="e">
        <f>ROUND(IF(A51="","",IF(AC51="  ",AB51-Date!$B$3,AB51-AC51)),0)</f>
        <v>#N/A</v>
      </c>
      <c r="AE51" s="20"/>
    </row>
    <row r="52" spans="1:31" ht="23.25" x14ac:dyDescent="0.25">
      <c r="A52" s="14" t="s">
        <v>120</v>
      </c>
      <c r="B52" s="13" t="e">
        <f t="shared" si="25"/>
        <v>#N/A</v>
      </c>
      <c r="C52" s="35"/>
      <c r="D52" s="93" t="e">
        <f t="shared" si="26"/>
        <v>#N/A</v>
      </c>
      <c r="E52" s="37" t="e">
        <f t="shared" si="27"/>
        <v>#N/A</v>
      </c>
      <c r="F52" s="93" t="e">
        <f t="shared" si="28"/>
        <v>#N/A</v>
      </c>
      <c r="G52" s="37" t="e">
        <f t="shared" si="29"/>
        <v>#N/A</v>
      </c>
      <c r="H52" s="93" t="e">
        <f t="shared" si="30"/>
        <v>#N/A</v>
      </c>
      <c r="I52" s="37" t="e">
        <f t="shared" si="31"/>
        <v>#N/A</v>
      </c>
      <c r="J52" s="35"/>
      <c r="K52" s="93" t="e">
        <f t="shared" si="32"/>
        <v>#N/A</v>
      </c>
      <c r="L52" s="37" t="e">
        <f t="shared" si="33"/>
        <v>#N/A</v>
      </c>
      <c r="M52" s="93" t="e">
        <f t="shared" si="34"/>
        <v>#N/A</v>
      </c>
      <c r="N52" s="37" t="e">
        <f t="shared" si="35"/>
        <v>#N/A</v>
      </c>
      <c r="O52" s="93" t="e">
        <f t="shared" si="36"/>
        <v>#N/A</v>
      </c>
      <c r="P52" s="37" t="e">
        <f t="shared" si="37"/>
        <v>#N/A</v>
      </c>
      <c r="Q52" s="93" t="e">
        <f t="shared" si="38"/>
        <v>#N/A</v>
      </c>
      <c r="R52" s="37" t="e">
        <f t="shared" si="39"/>
        <v>#N/A</v>
      </c>
      <c r="S52" s="93" t="e">
        <f t="shared" si="40"/>
        <v>#N/A</v>
      </c>
      <c r="T52" s="37" t="e">
        <f t="shared" si="41"/>
        <v>#N/A</v>
      </c>
      <c r="U52" s="93" t="e">
        <f t="shared" si="42"/>
        <v>#N/A</v>
      </c>
      <c r="V52" s="37" t="e">
        <f t="shared" si="43"/>
        <v>#N/A</v>
      </c>
      <c r="W52" s="93" t="e">
        <f t="shared" si="44"/>
        <v>#N/A</v>
      </c>
      <c r="X52" s="37" t="e">
        <f t="shared" si="45"/>
        <v>#N/A</v>
      </c>
      <c r="Y52" s="93" t="e">
        <f t="shared" si="46"/>
        <v>#N/A</v>
      </c>
      <c r="Z52" s="37" t="e">
        <f t="shared" si="47"/>
        <v>#N/A</v>
      </c>
      <c r="AA52" s="35"/>
      <c r="AB52" s="38" t="e">
        <f t="shared" si="48"/>
        <v>#N/A</v>
      </c>
      <c r="AC52" s="38" t="e">
        <f t="shared" si="49"/>
        <v>#N/A</v>
      </c>
      <c r="AD52" s="14" t="e">
        <f>ROUND(IF(A52="","",IF(AC52="  ",AB52-Date!$B$3,AB52-AC52)),0)</f>
        <v>#N/A</v>
      </c>
      <c r="AE52" s="20"/>
    </row>
    <row r="53" spans="1:31" ht="23.25" x14ac:dyDescent="0.25">
      <c r="A53" s="14" t="s">
        <v>121</v>
      </c>
      <c r="B53" s="13" t="e">
        <f t="shared" si="25"/>
        <v>#N/A</v>
      </c>
      <c r="C53" s="35"/>
      <c r="D53" s="93" t="e">
        <f t="shared" si="26"/>
        <v>#N/A</v>
      </c>
      <c r="E53" s="37" t="e">
        <f t="shared" si="27"/>
        <v>#N/A</v>
      </c>
      <c r="F53" s="93" t="e">
        <f t="shared" si="28"/>
        <v>#N/A</v>
      </c>
      <c r="G53" s="37" t="e">
        <f t="shared" si="29"/>
        <v>#N/A</v>
      </c>
      <c r="H53" s="93" t="e">
        <f t="shared" si="30"/>
        <v>#N/A</v>
      </c>
      <c r="I53" s="37" t="e">
        <f t="shared" si="31"/>
        <v>#N/A</v>
      </c>
      <c r="J53" s="35"/>
      <c r="K53" s="93" t="e">
        <f t="shared" si="32"/>
        <v>#N/A</v>
      </c>
      <c r="L53" s="37" t="e">
        <f t="shared" si="33"/>
        <v>#N/A</v>
      </c>
      <c r="M53" s="93" t="e">
        <f t="shared" si="34"/>
        <v>#N/A</v>
      </c>
      <c r="N53" s="37" t="e">
        <f t="shared" si="35"/>
        <v>#N/A</v>
      </c>
      <c r="O53" s="93" t="e">
        <f t="shared" si="36"/>
        <v>#N/A</v>
      </c>
      <c r="P53" s="37" t="e">
        <f t="shared" si="37"/>
        <v>#N/A</v>
      </c>
      <c r="Q53" s="93" t="e">
        <f t="shared" si="38"/>
        <v>#N/A</v>
      </c>
      <c r="R53" s="37" t="e">
        <f t="shared" si="39"/>
        <v>#N/A</v>
      </c>
      <c r="S53" s="93" t="e">
        <f t="shared" si="40"/>
        <v>#N/A</v>
      </c>
      <c r="T53" s="37" t="e">
        <f t="shared" si="41"/>
        <v>#N/A</v>
      </c>
      <c r="U53" s="93" t="e">
        <f t="shared" si="42"/>
        <v>#N/A</v>
      </c>
      <c r="V53" s="37" t="e">
        <f t="shared" si="43"/>
        <v>#N/A</v>
      </c>
      <c r="W53" s="93" t="e">
        <f t="shared" si="44"/>
        <v>#N/A</v>
      </c>
      <c r="X53" s="37" t="e">
        <f t="shared" si="45"/>
        <v>#N/A</v>
      </c>
      <c r="Y53" s="93" t="e">
        <f t="shared" si="46"/>
        <v>#N/A</v>
      </c>
      <c r="Z53" s="37" t="e">
        <f t="shared" si="47"/>
        <v>#N/A</v>
      </c>
      <c r="AA53" s="35"/>
      <c r="AB53" s="38" t="e">
        <f t="shared" si="48"/>
        <v>#N/A</v>
      </c>
      <c r="AC53" s="38" t="e">
        <f t="shared" si="49"/>
        <v>#N/A</v>
      </c>
      <c r="AD53" s="14" t="e">
        <f>ROUND(IF(A53="","",IF(AC53="  ",AB53-Date!$B$3,AB53-AC53)),0)</f>
        <v>#N/A</v>
      </c>
      <c r="AE53" s="20"/>
    </row>
    <row r="54" spans="1:31" ht="23.25" x14ac:dyDescent="0.25">
      <c r="A54" s="14" t="s">
        <v>122</v>
      </c>
      <c r="B54" s="13" t="e">
        <f t="shared" si="25"/>
        <v>#N/A</v>
      </c>
      <c r="C54" s="35"/>
      <c r="D54" s="93" t="e">
        <f t="shared" si="26"/>
        <v>#N/A</v>
      </c>
      <c r="E54" s="37" t="e">
        <f t="shared" si="27"/>
        <v>#N/A</v>
      </c>
      <c r="F54" s="93" t="e">
        <f t="shared" si="28"/>
        <v>#N/A</v>
      </c>
      <c r="G54" s="37" t="e">
        <f t="shared" si="29"/>
        <v>#N/A</v>
      </c>
      <c r="H54" s="93" t="e">
        <f t="shared" si="30"/>
        <v>#N/A</v>
      </c>
      <c r="I54" s="37" t="e">
        <f t="shared" si="31"/>
        <v>#N/A</v>
      </c>
      <c r="J54" s="35"/>
      <c r="K54" s="93" t="e">
        <f t="shared" si="32"/>
        <v>#N/A</v>
      </c>
      <c r="L54" s="37" t="e">
        <f t="shared" si="33"/>
        <v>#N/A</v>
      </c>
      <c r="M54" s="93" t="e">
        <f t="shared" si="34"/>
        <v>#N/A</v>
      </c>
      <c r="N54" s="37" t="e">
        <f t="shared" si="35"/>
        <v>#N/A</v>
      </c>
      <c r="O54" s="93" t="e">
        <f t="shared" si="36"/>
        <v>#N/A</v>
      </c>
      <c r="P54" s="37" t="e">
        <f t="shared" si="37"/>
        <v>#N/A</v>
      </c>
      <c r="Q54" s="93" t="e">
        <f t="shared" si="38"/>
        <v>#N/A</v>
      </c>
      <c r="R54" s="37" t="e">
        <f t="shared" si="39"/>
        <v>#N/A</v>
      </c>
      <c r="S54" s="93" t="e">
        <f t="shared" si="40"/>
        <v>#N/A</v>
      </c>
      <c r="T54" s="37" t="e">
        <f t="shared" si="41"/>
        <v>#N/A</v>
      </c>
      <c r="U54" s="93" t="e">
        <f t="shared" si="42"/>
        <v>#N/A</v>
      </c>
      <c r="V54" s="37" t="e">
        <f t="shared" si="43"/>
        <v>#N/A</v>
      </c>
      <c r="W54" s="93" t="e">
        <f t="shared" si="44"/>
        <v>#N/A</v>
      </c>
      <c r="X54" s="37" t="e">
        <f t="shared" si="45"/>
        <v>#N/A</v>
      </c>
      <c r="Y54" s="93" t="e">
        <f t="shared" si="46"/>
        <v>#N/A</v>
      </c>
      <c r="Z54" s="37" t="e">
        <f t="shared" si="47"/>
        <v>#N/A</v>
      </c>
      <c r="AA54" s="35"/>
      <c r="AB54" s="38" t="e">
        <f t="shared" si="48"/>
        <v>#N/A</v>
      </c>
      <c r="AC54" s="38" t="e">
        <f t="shared" si="49"/>
        <v>#N/A</v>
      </c>
      <c r="AD54" s="14" t="e">
        <f>ROUND(IF(A54="","",IF(AC54="  ",AB54-Date!$B$3,AB54-AC54)),0)</f>
        <v>#N/A</v>
      </c>
      <c r="AE54" s="20"/>
    </row>
    <row r="55" spans="1:31" ht="23.25" x14ac:dyDescent="0.25">
      <c r="A55" s="14" t="s">
        <v>123</v>
      </c>
      <c r="B55" s="13" t="e">
        <f t="shared" si="25"/>
        <v>#N/A</v>
      </c>
      <c r="C55" s="35"/>
      <c r="D55" s="93" t="e">
        <f t="shared" si="26"/>
        <v>#N/A</v>
      </c>
      <c r="E55" s="37" t="e">
        <f t="shared" si="27"/>
        <v>#N/A</v>
      </c>
      <c r="F55" s="93" t="e">
        <f t="shared" si="28"/>
        <v>#N/A</v>
      </c>
      <c r="G55" s="37" t="e">
        <f t="shared" si="29"/>
        <v>#N/A</v>
      </c>
      <c r="H55" s="93" t="e">
        <f t="shared" si="30"/>
        <v>#N/A</v>
      </c>
      <c r="I55" s="37" t="e">
        <f t="shared" si="31"/>
        <v>#N/A</v>
      </c>
      <c r="J55" s="35"/>
      <c r="K55" s="93" t="e">
        <f t="shared" si="32"/>
        <v>#N/A</v>
      </c>
      <c r="L55" s="37" t="e">
        <f t="shared" si="33"/>
        <v>#N/A</v>
      </c>
      <c r="M55" s="93" t="e">
        <f t="shared" si="34"/>
        <v>#N/A</v>
      </c>
      <c r="N55" s="37" t="e">
        <f t="shared" si="35"/>
        <v>#N/A</v>
      </c>
      <c r="O55" s="93" t="e">
        <f t="shared" si="36"/>
        <v>#N/A</v>
      </c>
      <c r="P55" s="37" t="e">
        <f t="shared" si="37"/>
        <v>#N/A</v>
      </c>
      <c r="Q55" s="93" t="e">
        <f t="shared" si="38"/>
        <v>#N/A</v>
      </c>
      <c r="R55" s="37" t="e">
        <f t="shared" si="39"/>
        <v>#N/A</v>
      </c>
      <c r="S55" s="93" t="e">
        <f t="shared" si="40"/>
        <v>#N/A</v>
      </c>
      <c r="T55" s="37" t="e">
        <f t="shared" si="41"/>
        <v>#N/A</v>
      </c>
      <c r="U55" s="93" t="e">
        <f t="shared" si="42"/>
        <v>#N/A</v>
      </c>
      <c r="V55" s="37" t="e">
        <f t="shared" si="43"/>
        <v>#N/A</v>
      </c>
      <c r="W55" s="93" t="e">
        <f t="shared" si="44"/>
        <v>#N/A</v>
      </c>
      <c r="X55" s="37" t="e">
        <f t="shared" si="45"/>
        <v>#N/A</v>
      </c>
      <c r="Y55" s="93" t="e">
        <f t="shared" si="46"/>
        <v>#N/A</v>
      </c>
      <c r="Z55" s="37" t="e">
        <f t="shared" si="47"/>
        <v>#N/A</v>
      </c>
      <c r="AA55" s="35"/>
      <c r="AB55" s="38" t="e">
        <f t="shared" si="48"/>
        <v>#N/A</v>
      </c>
      <c r="AC55" s="38" t="e">
        <f t="shared" si="49"/>
        <v>#N/A</v>
      </c>
      <c r="AD55" s="14" t="e">
        <f>ROUND(IF(A55="","",IF(AC55="  ",AB55-Date!$B$3,AB55-AC55)),0)</f>
        <v>#N/A</v>
      </c>
      <c r="AE55" s="20"/>
    </row>
    <row r="56" spans="1:31" ht="23.25" x14ac:dyDescent="0.25">
      <c r="A56" s="14" t="s">
        <v>124</v>
      </c>
      <c r="B56" s="13" t="e">
        <f t="shared" si="25"/>
        <v>#N/A</v>
      </c>
      <c r="C56" s="35"/>
      <c r="D56" s="93" t="e">
        <f t="shared" si="26"/>
        <v>#N/A</v>
      </c>
      <c r="E56" s="37" t="e">
        <f t="shared" si="27"/>
        <v>#N/A</v>
      </c>
      <c r="F56" s="93" t="e">
        <f t="shared" si="28"/>
        <v>#N/A</v>
      </c>
      <c r="G56" s="37" t="e">
        <f t="shared" si="29"/>
        <v>#N/A</v>
      </c>
      <c r="H56" s="93" t="e">
        <f t="shared" si="30"/>
        <v>#N/A</v>
      </c>
      <c r="I56" s="37" t="e">
        <f t="shared" si="31"/>
        <v>#N/A</v>
      </c>
      <c r="J56" s="35"/>
      <c r="K56" s="93" t="e">
        <f t="shared" si="32"/>
        <v>#N/A</v>
      </c>
      <c r="L56" s="37" t="e">
        <f t="shared" si="33"/>
        <v>#N/A</v>
      </c>
      <c r="M56" s="93" t="e">
        <f t="shared" si="34"/>
        <v>#N/A</v>
      </c>
      <c r="N56" s="37" t="e">
        <f t="shared" si="35"/>
        <v>#N/A</v>
      </c>
      <c r="O56" s="93" t="e">
        <f t="shared" si="36"/>
        <v>#N/A</v>
      </c>
      <c r="P56" s="37" t="e">
        <f t="shared" si="37"/>
        <v>#N/A</v>
      </c>
      <c r="Q56" s="93" t="e">
        <f t="shared" si="38"/>
        <v>#N/A</v>
      </c>
      <c r="R56" s="37" t="e">
        <f t="shared" si="39"/>
        <v>#N/A</v>
      </c>
      <c r="S56" s="93" t="e">
        <f t="shared" si="40"/>
        <v>#N/A</v>
      </c>
      <c r="T56" s="37" t="e">
        <f t="shared" si="41"/>
        <v>#N/A</v>
      </c>
      <c r="U56" s="93" t="e">
        <f t="shared" si="42"/>
        <v>#N/A</v>
      </c>
      <c r="V56" s="37" t="e">
        <f t="shared" si="43"/>
        <v>#N/A</v>
      </c>
      <c r="W56" s="93" t="e">
        <f t="shared" si="44"/>
        <v>#N/A</v>
      </c>
      <c r="X56" s="37" t="e">
        <f t="shared" si="45"/>
        <v>#N/A</v>
      </c>
      <c r="Y56" s="93" t="e">
        <f t="shared" si="46"/>
        <v>#N/A</v>
      </c>
      <c r="Z56" s="37" t="e">
        <f t="shared" si="47"/>
        <v>#N/A</v>
      </c>
      <c r="AA56" s="35"/>
      <c r="AB56" s="38" t="e">
        <f t="shared" si="48"/>
        <v>#N/A</v>
      </c>
      <c r="AC56" s="38" t="e">
        <f t="shared" si="49"/>
        <v>#N/A</v>
      </c>
      <c r="AD56" s="14" t="e">
        <f>ROUND(IF(A56="","",IF(AC56="  ",AB56-Date!$B$3,AB56-AC56)),0)</f>
        <v>#N/A</v>
      </c>
      <c r="AE56" s="20"/>
    </row>
    <row r="57" spans="1:31" ht="23.25" x14ac:dyDescent="0.25">
      <c r="A57" s="14" t="s">
        <v>125</v>
      </c>
      <c r="B57" s="13" t="e">
        <f t="shared" si="25"/>
        <v>#N/A</v>
      </c>
      <c r="C57" s="35"/>
      <c r="D57" s="93" t="e">
        <f t="shared" si="26"/>
        <v>#N/A</v>
      </c>
      <c r="E57" s="37" t="e">
        <f t="shared" si="27"/>
        <v>#N/A</v>
      </c>
      <c r="F57" s="93" t="e">
        <f t="shared" si="28"/>
        <v>#N/A</v>
      </c>
      <c r="G57" s="37" t="e">
        <f t="shared" si="29"/>
        <v>#N/A</v>
      </c>
      <c r="H57" s="93" t="e">
        <f t="shared" si="30"/>
        <v>#N/A</v>
      </c>
      <c r="I57" s="37" t="e">
        <f t="shared" si="31"/>
        <v>#N/A</v>
      </c>
      <c r="J57" s="35"/>
      <c r="K57" s="93" t="e">
        <f t="shared" si="32"/>
        <v>#N/A</v>
      </c>
      <c r="L57" s="37" t="e">
        <f t="shared" si="33"/>
        <v>#N/A</v>
      </c>
      <c r="M57" s="93" t="e">
        <f t="shared" si="34"/>
        <v>#N/A</v>
      </c>
      <c r="N57" s="37" t="e">
        <f t="shared" si="35"/>
        <v>#N/A</v>
      </c>
      <c r="O57" s="93" t="e">
        <f t="shared" si="36"/>
        <v>#N/A</v>
      </c>
      <c r="P57" s="37" t="e">
        <f t="shared" si="37"/>
        <v>#N/A</v>
      </c>
      <c r="Q57" s="93" t="e">
        <f t="shared" si="38"/>
        <v>#N/A</v>
      </c>
      <c r="R57" s="37" t="e">
        <f t="shared" si="39"/>
        <v>#N/A</v>
      </c>
      <c r="S57" s="93" t="e">
        <f t="shared" si="40"/>
        <v>#N/A</v>
      </c>
      <c r="T57" s="37" t="e">
        <f t="shared" si="41"/>
        <v>#N/A</v>
      </c>
      <c r="U57" s="93" t="e">
        <f t="shared" si="42"/>
        <v>#N/A</v>
      </c>
      <c r="V57" s="37" t="e">
        <f t="shared" si="43"/>
        <v>#N/A</v>
      </c>
      <c r="W57" s="93" t="e">
        <f t="shared" si="44"/>
        <v>#N/A</v>
      </c>
      <c r="X57" s="37" t="e">
        <f t="shared" si="45"/>
        <v>#N/A</v>
      </c>
      <c r="Y57" s="93" t="e">
        <f t="shared" si="46"/>
        <v>#N/A</v>
      </c>
      <c r="Z57" s="37" t="e">
        <f t="shared" si="47"/>
        <v>#N/A</v>
      </c>
      <c r="AA57" s="35"/>
      <c r="AB57" s="38" t="e">
        <f t="shared" si="48"/>
        <v>#N/A</v>
      </c>
      <c r="AC57" s="38" t="e">
        <f t="shared" si="49"/>
        <v>#N/A</v>
      </c>
      <c r="AD57" s="14" t="e">
        <f>ROUND(IF(A57="","",IF(AC57="  ",AB57-Date!$B$3,AB57-AC57)),0)</f>
        <v>#N/A</v>
      </c>
      <c r="AE57" s="20"/>
    </row>
    <row r="58" spans="1:31" ht="23.25" x14ac:dyDescent="0.25">
      <c r="A58" s="14" t="s">
        <v>126</v>
      </c>
      <c r="B58" s="13" t="e">
        <f t="shared" si="25"/>
        <v>#N/A</v>
      </c>
      <c r="C58" s="35"/>
      <c r="D58" s="93" t="e">
        <f t="shared" si="26"/>
        <v>#N/A</v>
      </c>
      <c r="E58" s="37" t="e">
        <f t="shared" si="27"/>
        <v>#N/A</v>
      </c>
      <c r="F58" s="93" t="e">
        <f t="shared" si="28"/>
        <v>#N/A</v>
      </c>
      <c r="G58" s="37" t="e">
        <f t="shared" si="29"/>
        <v>#N/A</v>
      </c>
      <c r="H58" s="93" t="e">
        <f t="shared" si="30"/>
        <v>#N/A</v>
      </c>
      <c r="I58" s="37" t="e">
        <f t="shared" si="31"/>
        <v>#N/A</v>
      </c>
      <c r="J58" s="35"/>
      <c r="K58" s="93" t="e">
        <f t="shared" si="32"/>
        <v>#N/A</v>
      </c>
      <c r="L58" s="37" t="e">
        <f t="shared" si="33"/>
        <v>#N/A</v>
      </c>
      <c r="M58" s="93" t="e">
        <f t="shared" si="34"/>
        <v>#N/A</v>
      </c>
      <c r="N58" s="37" t="e">
        <f t="shared" si="35"/>
        <v>#N/A</v>
      </c>
      <c r="O58" s="93" t="e">
        <f t="shared" si="36"/>
        <v>#N/A</v>
      </c>
      <c r="P58" s="37" t="e">
        <f t="shared" si="37"/>
        <v>#N/A</v>
      </c>
      <c r="Q58" s="93" t="e">
        <f t="shared" si="38"/>
        <v>#N/A</v>
      </c>
      <c r="R58" s="37" t="e">
        <f t="shared" si="39"/>
        <v>#N/A</v>
      </c>
      <c r="S58" s="93" t="e">
        <f t="shared" si="40"/>
        <v>#N/A</v>
      </c>
      <c r="T58" s="37" t="e">
        <f t="shared" si="41"/>
        <v>#N/A</v>
      </c>
      <c r="U58" s="93" t="e">
        <f t="shared" si="42"/>
        <v>#N/A</v>
      </c>
      <c r="V58" s="37" t="e">
        <f t="shared" si="43"/>
        <v>#N/A</v>
      </c>
      <c r="W58" s="93" t="e">
        <f t="shared" si="44"/>
        <v>#N/A</v>
      </c>
      <c r="X58" s="37" t="e">
        <f t="shared" si="45"/>
        <v>#N/A</v>
      </c>
      <c r="Y58" s="93" t="e">
        <f t="shared" si="46"/>
        <v>#N/A</v>
      </c>
      <c r="Z58" s="37" t="e">
        <f t="shared" si="47"/>
        <v>#N/A</v>
      </c>
      <c r="AA58" s="35"/>
      <c r="AB58" s="38" t="e">
        <f t="shared" si="48"/>
        <v>#N/A</v>
      </c>
      <c r="AC58" s="38" t="e">
        <f t="shared" si="49"/>
        <v>#N/A</v>
      </c>
      <c r="AD58" s="14" t="e">
        <f>ROUND(IF(A58="","",IF(AC58="  ",AB58-Date!$B$3,AB58-AC58)),0)</f>
        <v>#N/A</v>
      </c>
      <c r="AE58" s="20"/>
    </row>
    <row r="59" spans="1:31" ht="23.25" x14ac:dyDescent="0.25">
      <c r="A59" s="14" t="s">
        <v>127</v>
      </c>
      <c r="B59" s="13" t="e">
        <f t="shared" si="25"/>
        <v>#N/A</v>
      </c>
      <c r="C59" s="35"/>
      <c r="D59" s="93" t="e">
        <f t="shared" si="26"/>
        <v>#N/A</v>
      </c>
      <c r="E59" s="37" t="e">
        <f t="shared" si="27"/>
        <v>#N/A</v>
      </c>
      <c r="F59" s="93" t="e">
        <f t="shared" si="28"/>
        <v>#N/A</v>
      </c>
      <c r="G59" s="37" t="e">
        <f t="shared" si="29"/>
        <v>#N/A</v>
      </c>
      <c r="H59" s="93" t="e">
        <f t="shared" si="30"/>
        <v>#N/A</v>
      </c>
      <c r="I59" s="37" t="e">
        <f t="shared" si="31"/>
        <v>#N/A</v>
      </c>
      <c r="J59" s="35"/>
      <c r="K59" s="93" t="e">
        <f t="shared" si="32"/>
        <v>#N/A</v>
      </c>
      <c r="L59" s="37" t="e">
        <f t="shared" si="33"/>
        <v>#N/A</v>
      </c>
      <c r="M59" s="93" t="e">
        <f t="shared" si="34"/>
        <v>#N/A</v>
      </c>
      <c r="N59" s="37" t="e">
        <f t="shared" si="35"/>
        <v>#N/A</v>
      </c>
      <c r="O59" s="93" t="e">
        <f t="shared" si="36"/>
        <v>#N/A</v>
      </c>
      <c r="P59" s="37" t="e">
        <f t="shared" si="37"/>
        <v>#N/A</v>
      </c>
      <c r="Q59" s="93" t="e">
        <f t="shared" si="38"/>
        <v>#N/A</v>
      </c>
      <c r="R59" s="37" t="e">
        <f t="shared" si="39"/>
        <v>#N/A</v>
      </c>
      <c r="S59" s="93" t="e">
        <f t="shared" si="40"/>
        <v>#N/A</v>
      </c>
      <c r="T59" s="37" t="e">
        <f t="shared" si="41"/>
        <v>#N/A</v>
      </c>
      <c r="U59" s="93" t="e">
        <f t="shared" si="42"/>
        <v>#N/A</v>
      </c>
      <c r="V59" s="37" t="e">
        <f t="shared" si="43"/>
        <v>#N/A</v>
      </c>
      <c r="W59" s="93" t="e">
        <f t="shared" si="44"/>
        <v>#N/A</v>
      </c>
      <c r="X59" s="37" t="e">
        <f t="shared" si="45"/>
        <v>#N/A</v>
      </c>
      <c r="Y59" s="93" t="e">
        <f t="shared" si="46"/>
        <v>#N/A</v>
      </c>
      <c r="Z59" s="37" t="e">
        <f t="shared" si="47"/>
        <v>#N/A</v>
      </c>
      <c r="AA59" s="35"/>
      <c r="AB59" s="38" t="e">
        <f t="shared" si="48"/>
        <v>#N/A</v>
      </c>
      <c r="AC59" s="38" t="e">
        <f t="shared" si="49"/>
        <v>#N/A</v>
      </c>
      <c r="AD59" s="14" t="e">
        <f>ROUND(IF(A59="","",IF(AC59="  ",AB59-Date!$B$3,AB59-AC59)),0)</f>
        <v>#N/A</v>
      </c>
      <c r="AE59" s="20"/>
    </row>
    <row r="60" spans="1:31" ht="23.25" x14ac:dyDescent="0.25">
      <c r="A60" s="14" t="s">
        <v>128</v>
      </c>
      <c r="B60" s="13" t="e">
        <f t="shared" si="25"/>
        <v>#N/A</v>
      </c>
      <c r="C60" s="35"/>
      <c r="D60" s="93" t="e">
        <f t="shared" si="26"/>
        <v>#N/A</v>
      </c>
      <c r="E60" s="37" t="e">
        <f t="shared" si="27"/>
        <v>#N/A</v>
      </c>
      <c r="F60" s="93" t="e">
        <f t="shared" si="28"/>
        <v>#N/A</v>
      </c>
      <c r="G60" s="37" t="e">
        <f t="shared" si="29"/>
        <v>#N/A</v>
      </c>
      <c r="H60" s="93" t="e">
        <f t="shared" si="30"/>
        <v>#N/A</v>
      </c>
      <c r="I60" s="37" t="e">
        <f t="shared" si="31"/>
        <v>#N/A</v>
      </c>
      <c r="J60" s="35"/>
      <c r="K60" s="93" t="e">
        <f t="shared" si="32"/>
        <v>#N/A</v>
      </c>
      <c r="L60" s="37" t="e">
        <f t="shared" si="33"/>
        <v>#N/A</v>
      </c>
      <c r="M60" s="93" t="e">
        <f t="shared" si="34"/>
        <v>#N/A</v>
      </c>
      <c r="N60" s="37" t="e">
        <f t="shared" si="35"/>
        <v>#N/A</v>
      </c>
      <c r="O60" s="93" t="e">
        <f t="shared" si="36"/>
        <v>#N/A</v>
      </c>
      <c r="P60" s="37" t="e">
        <f t="shared" si="37"/>
        <v>#N/A</v>
      </c>
      <c r="Q60" s="93" t="e">
        <f t="shared" si="38"/>
        <v>#N/A</v>
      </c>
      <c r="R60" s="37" t="e">
        <f t="shared" si="39"/>
        <v>#N/A</v>
      </c>
      <c r="S60" s="93" t="e">
        <f t="shared" si="40"/>
        <v>#N/A</v>
      </c>
      <c r="T60" s="37" t="e">
        <f t="shared" si="41"/>
        <v>#N/A</v>
      </c>
      <c r="U60" s="93" t="e">
        <f t="shared" si="42"/>
        <v>#N/A</v>
      </c>
      <c r="V60" s="37" t="e">
        <f t="shared" si="43"/>
        <v>#N/A</v>
      </c>
      <c r="W60" s="93" t="e">
        <f t="shared" si="44"/>
        <v>#N/A</v>
      </c>
      <c r="X60" s="37" t="e">
        <f t="shared" si="45"/>
        <v>#N/A</v>
      </c>
      <c r="Y60" s="93" t="e">
        <f t="shared" si="46"/>
        <v>#N/A</v>
      </c>
      <c r="Z60" s="37" t="e">
        <f t="shared" si="47"/>
        <v>#N/A</v>
      </c>
      <c r="AA60" s="35"/>
      <c r="AB60" s="38" t="e">
        <f t="shared" si="48"/>
        <v>#N/A</v>
      </c>
      <c r="AC60" s="38" t="e">
        <f t="shared" si="49"/>
        <v>#N/A</v>
      </c>
      <c r="AD60" s="14" t="e">
        <f>ROUND(IF(A60="","",IF(AC60="  ",AB60-Date!$B$3,AB60-AC60)),0)</f>
        <v>#N/A</v>
      </c>
      <c r="AE60" s="20"/>
    </row>
    <row r="61" spans="1:31" ht="23.25" x14ac:dyDescent="0.25">
      <c r="A61" s="14" t="s">
        <v>129</v>
      </c>
      <c r="B61" s="13" t="e">
        <f t="shared" si="25"/>
        <v>#N/A</v>
      </c>
      <c r="C61" s="35"/>
      <c r="D61" s="93" t="e">
        <f t="shared" si="26"/>
        <v>#N/A</v>
      </c>
      <c r="E61" s="37" t="e">
        <f t="shared" si="27"/>
        <v>#N/A</v>
      </c>
      <c r="F61" s="93" t="e">
        <f t="shared" si="28"/>
        <v>#N/A</v>
      </c>
      <c r="G61" s="37" t="e">
        <f t="shared" si="29"/>
        <v>#N/A</v>
      </c>
      <c r="H61" s="93" t="e">
        <f t="shared" si="30"/>
        <v>#N/A</v>
      </c>
      <c r="I61" s="37" t="e">
        <f t="shared" si="31"/>
        <v>#N/A</v>
      </c>
      <c r="J61" s="35"/>
      <c r="K61" s="93" t="e">
        <f t="shared" si="32"/>
        <v>#N/A</v>
      </c>
      <c r="L61" s="37" t="e">
        <f t="shared" si="33"/>
        <v>#N/A</v>
      </c>
      <c r="M61" s="93" t="e">
        <f t="shared" si="34"/>
        <v>#N/A</v>
      </c>
      <c r="N61" s="37" t="e">
        <f t="shared" si="35"/>
        <v>#N/A</v>
      </c>
      <c r="O61" s="93" t="e">
        <f t="shared" si="36"/>
        <v>#N/A</v>
      </c>
      <c r="P61" s="37" t="e">
        <f t="shared" si="37"/>
        <v>#N/A</v>
      </c>
      <c r="Q61" s="93" t="e">
        <f t="shared" si="38"/>
        <v>#N/A</v>
      </c>
      <c r="R61" s="37" t="e">
        <f t="shared" si="39"/>
        <v>#N/A</v>
      </c>
      <c r="S61" s="93" t="e">
        <f t="shared" si="40"/>
        <v>#N/A</v>
      </c>
      <c r="T61" s="37" t="e">
        <f t="shared" si="41"/>
        <v>#N/A</v>
      </c>
      <c r="U61" s="93" t="e">
        <f t="shared" si="42"/>
        <v>#N/A</v>
      </c>
      <c r="V61" s="37" t="e">
        <f t="shared" si="43"/>
        <v>#N/A</v>
      </c>
      <c r="W61" s="93" t="e">
        <f t="shared" si="44"/>
        <v>#N/A</v>
      </c>
      <c r="X61" s="37" t="e">
        <f t="shared" si="45"/>
        <v>#N/A</v>
      </c>
      <c r="Y61" s="93" t="e">
        <f t="shared" si="46"/>
        <v>#N/A</v>
      </c>
      <c r="Z61" s="37" t="e">
        <f t="shared" si="47"/>
        <v>#N/A</v>
      </c>
      <c r="AA61" s="35"/>
      <c r="AB61" s="38" t="e">
        <f t="shared" si="48"/>
        <v>#N/A</v>
      </c>
      <c r="AC61" s="38" t="e">
        <f t="shared" si="49"/>
        <v>#N/A</v>
      </c>
      <c r="AD61" s="14" t="e">
        <f>ROUND(IF(A61="","",IF(AC61="  ",AB61-Date!$B$3,AB61-AC61)),0)</f>
        <v>#N/A</v>
      </c>
      <c r="AE61" s="20"/>
    </row>
    <row r="62" spans="1:31" ht="23.25" x14ac:dyDescent="0.25">
      <c r="A62" s="14" t="s">
        <v>130</v>
      </c>
      <c r="B62" s="13" t="e">
        <f t="shared" si="25"/>
        <v>#N/A</v>
      </c>
      <c r="C62" s="35"/>
      <c r="D62" s="93" t="e">
        <f t="shared" si="26"/>
        <v>#N/A</v>
      </c>
      <c r="E62" s="37" t="e">
        <f t="shared" si="27"/>
        <v>#N/A</v>
      </c>
      <c r="F62" s="93" t="e">
        <f t="shared" si="28"/>
        <v>#N/A</v>
      </c>
      <c r="G62" s="37" t="e">
        <f t="shared" si="29"/>
        <v>#N/A</v>
      </c>
      <c r="H62" s="93" t="e">
        <f t="shared" si="30"/>
        <v>#N/A</v>
      </c>
      <c r="I62" s="37" t="e">
        <f t="shared" si="31"/>
        <v>#N/A</v>
      </c>
      <c r="J62" s="35"/>
      <c r="K62" s="93" t="e">
        <f t="shared" si="32"/>
        <v>#N/A</v>
      </c>
      <c r="L62" s="37" t="e">
        <f t="shared" si="33"/>
        <v>#N/A</v>
      </c>
      <c r="M62" s="93" t="e">
        <f t="shared" si="34"/>
        <v>#N/A</v>
      </c>
      <c r="N62" s="37" t="e">
        <f t="shared" si="35"/>
        <v>#N/A</v>
      </c>
      <c r="O62" s="93" t="e">
        <f t="shared" si="36"/>
        <v>#N/A</v>
      </c>
      <c r="P62" s="37" t="e">
        <f t="shared" si="37"/>
        <v>#N/A</v>
      </c>
      <c r="Q62" s="93" t="e">
        <f t="shared" si="38"/>
        <v>#N/A</v>
      </c>
      <c r="R62" s="37" t="e">
        <f t="shared" si="39"/>
        <v>#N/A</v>
      </c>
      <c r="S62" s="93" t="e">
        <f t="shared" si="40"/>
        <v>#N/A</v>
      </c>
      <c r="T62" s="37" t="e">
        <f t="shared" si="41"/>
        <v>#N/A</v>
      </c>
      <c r="U62" s="93" t="e">
        <f t="shared" si="42"/>
        <v>#N/A</v>
      </c>
      <c r="V62" s="37" t="e">
        <f t="shared" si="43"/>
        <v>#N/A</v>
      </c>
      <c r="W62" s="93" t="e">
        <f t="shared" si="44"/>
        <v>#N/A</v>
      </c>
      <c r="X62" s="37" t="e">
        <f t="shared" si="45"/>
        <v>#N/A</v>
      </c>
      <c r="Y62" s="93" t="e">
        <f t="shared" si="46"/>
        <v>#N/A</v>
      </c>
      <c r="Z62" s="37" t="e">
        <f t="shared" si="47"/>
        <v>#N/A</v>
      </c>
      <c r="AA62" s="35"/>
      <c r="AB62" s="38" t="e">
        <f t="shared" si="48"/>
        <v>#N/A</v>
      </c>
      <c r="AC62" s="38" t="e">
        <f t="shared" si="49"/>
        <v>#N/A</v>
      </c>
      <c r="AD62" s="14" t="e">
        <f>ROUND(IF(A62="","",IF(AC62="  ",AB62-Date!$B$3,AB62-AC62)),0)</f>
        <v>#N/A</v>
      </c>
      <c r="AE62" s="20"/>
    </row>
    <row r="63" spans="1:31" ht="23.25" x14ac:dyDescent="0.25">
      <c r="A63" s="14" t="s">
        <v>131</v>
      </c>
      <c r="B63" s="13" t="e">
        <f t="shared" si="25"/>
        <v>#N/A</v>
      </c>
      <c r="C63" s="35"/>
      <c r="D63" s="93" t="e">
        <f t="shared" si="26"/>
        <v>#N/A</v>
      </c>
      <c r="E63" s="37" t="e">
        <f t="shared" si="27"/>
        <v>#N/A</v>
      </c>
      <c r="F63" s="93" t="e">
        <f t="shared" si="28"/>
        <v>#N/A</v>
      </c>
      <c r="G63" s="37" t="e">
        <f t="shared" si="29"/>
        <v>#N/A</v>
      </c>
      <c r="H63" s="93" t="e">
        <f t="shared" si="30"/>
        <v>#N/A</v>
      </c>
      <c r="I63" s="37" t="e">
        <f t="shared" si="31"/>
        <v>#N/A</v>
      </c>
      <c r="J63" s="35"/>
      <c r="K63" s="93" t="e">
        <f t="shared" si="32"/>
        <v>#N/A</v>
      </c>
      <c r="L63" s="37" t="e">
        <f t="shared" si="33"/>
        <v>#N/A</v>
      </c>
      <c r="M63" s="93" t="e">
        <f t="shared" si="34"/>
        <v>#N/A</v>
      </c>
      <c r="N63" s="37" t="e">
        <f t="shared" si="35"/>
        <v>#N/A</v>
      </c>
      <c r="O63" s="93" t="e">
        <f t="shared" si="36"/>
        <v>#N/A</v>
      </c>
      <c r="P63" s="37" t="e">
        <f t="shared" si="37"/>
        <v>#N/A</v>
      </c>
      <c r="Q63" s="93" t="e">
        <f t="shared" si="38"/>
        <v>#N/A</v>
      </c>
      <c r="R63" s="37" t="e">
        <f t="shared" si="39"/>
        <v>#N/A</v>
      </c>
      <c r="S63" s="93" t="e">
        <f t="shared" si="40"/>
        <v>#N/A</v>
      </c>
      <c r="T63" s="37" t="e">
        <f t="shared" si="41"/>
        <v>#N/A</v>
      </c>
      <c r="U63" s="93" t="e">
        <f t="shared" si="42"/>
        <v>#N/A</v>
      </c>
      <c r="V63" s="37" t="e">
        <f t="shared" si="43"/>
        <v>#N/A</v>
      </c>
      <c r="W63" s="93" t="e">
        <f t="shared" si="44"/>
        <v>#N/A</v>
      </c>
      <c r="X63" s="37" t="e">
        <f t="shared" si="45"/>
        <v>#N/A</v>
      </c>
      <c r="Y63" s="93" t="e">
        <f t="shared" si="46"/>
        <v>#N/A</v>
      </c>
      <c r="Z63" s="37" t="e">
        <f t="shared" si="47"/>
        <v>#N/A</v>
      </c>
      <c r="AA63" s="35"/>
      <c r="AB63" s="38" t="e">
        <f t="shared" si="48"/>
        <v>#N/A</v>
      </c>
      <c r="AC63" s="38" t="e">
        <f t="shared" si="49"/>
        <v>#N/A</v>
      </c>
      <c r="AD63" s="14" t="e">
        <f>ROUND(IF(A63="","",IF(AC63="  ",AB63-Date!$B$3,AB63-AC63)),0)</f>
        <v>#N/A</v>
      </c>
      <c r="AE63" s="20"/>
    </row>
    <row r="64" spans="1:31" ht="23.25" x14ac:dyDescent="0.25">
      <c r="A64" s="14" t="s">
        <v>132</v>
      </c>
      <c r="B64" s="13" t="e">
        <f t="shared" si="25"/>
        <v>#N/A</v>
      </c>
      <c r="C64" s="35"/>
      <c r="D64" s="93" t="e">
        <f t="shared" si="26"/>
        <v>#N/A</v>
      </c>
      <c r="E64" s="37" t="e">
        <f t="shared" si="27"/>
        <v>#N/A</v>
      </c>
      <c r="F64" s="93" t="e">
        <f t="shared" si="28"/>
        <v>#N/A</v>
      </c>
      <c r="G64" s="37" t="e">
        <f t="shared" si="29"/>
        <v>#N/A</v>
      </c>
      <c r="H64" s="93" t="e">
        <f t="shared" si="30"/>
        <v>#N/A</v>
      </c>
      <c r="I64" s="37" t="e">
        <f t="shared" si="31"/>
        <v>#N/A</v>
      </c>
      <c r="J64" s="35"/>
      <c r="K64" s="93" t="e">
        <f t="shared" si="32"/>
        <v>#N/A</v>
      </c>
      <c r="L64" s="37" t="e">
        <f t="shared" si="33"/>
        <v>#N/A</v>
      </c>
      <c r="M64" s="93" t="e">
        <f t="shared" si="34"/>
        <v>#N/A</v>
      </c>
      <c r="N64" s="37" t="e">
        <f t="shared" si="35"/>
        <v>#N/A</v>
      </c>
      <c r="O64" s="93" t="e">
        <f t="shared" si="36"/>
        <v>#N/A</v>
      </c>
      <c r="P64" s="37" t="e">
        <f t="shared" si="37"/>
        <v>#N/A</v>
      </c>
      <c r="Q64" s="93" t="e">
        <f t="shared" si="38"/>
        <v>#N/A</v>
      </c>
      <c r="R64" s="37" t="e">
        <f t="shared" si="39"/>
        <v>#N/A</v>
      </c>
      <c r="S64" s="93" t="e">
        <f t="shared" si="40"/>
        <v>#N/A</v>
      </c>
      <c r="T64" s="37" t="e">
        <f t="shared" si="41"/>
        <v>#N/A</v>
      </c>
      <c r="U64" s="93" t="e">
        <f t="shared" si="42"/>
        <v>#N/A</v>
      </c>
      <c r="V64" s="37" t="e">
        <f t="shared" si="43"/>
        <v>#N/A</v>
      </c>
      <c r="W64" s="93" t="e">
        <f t="shared" si="44"/>
        <v>#N/A</v>
      </c>
      <c r="X64" s="37" t="e">
        <f t="shared" si="45"/>
        <v>#N/A</v>
      </c>
      <c r="Y64" s="93" t="e">
        <f t="shared" si="46"/>
        <v>#N/A</v>
      </c>
      <c r="Z64" s="37" t="e">
        <f t="shared" si="47"/>
        <v>#N/A</v>
      </c>
      <c r="AA64" s="35"/>
      <c r="AB64" s="38" t="e">
        <f t="shared" si="48"/>
        <v>#N/A</v>
      </c>
      <c r="AC64" s="38" t="e">
        <f t="shared" si="49"/>
        <v>#N/A</v>
      </c>
      <c r="AD64" s="14" t="e">
        <f>ROUND(IF(A64="","",IF(AC64="  ",AB64-Date!$B$3,AB64-AC64)),0)</f>
        <v>#N/A</v>
      </c>
      <c r="AE64" s="20"/>
    </row>
    <row r="65" spans="1:31" ht="23.25" x14ac:dyDescent="0.25">
      <c r="A65" s="14" t="s">
        <v>133</v>
      </c>
      <c r="B65" s="13" t="e">
        <f t="shared" si="25"/>
        <v>#N/A</v>
      </c>
      <c r="C65" s="35"/>
      <c r="D65" s="93" t="e">
        <f t="shared" si="26"/>
        <v>#N/A</v>
      </c>
      <c r="E65" s="37" t="e">
        <f t="shared" si="27"/>
        <v>#N/A</v>
      </c>
      <c r="F65" s="93" t="e">
        <f t="shared" si="28"/>
        <v>#N/A</v>
      </c>
      <c r="G65" s="37" t="e">
        <f t="shared" si="29"/>
        <v>#N/A</v>
      </c>
      <c r="H65" s="93" t="e">
        <f t="shared" si="30"/>
        <v>#N/A</v>
      </c>
      <c r="I65" s="37" t="e">
        <f t="shared" si="31"/>
        <v>#N/A</v>
      </c>
      <c r="J65" s="35"/>
      <c r="K65" s="93" t="e">
        <f t="shared" si="32"/>
        <v>#N/A</v>
      </c>
      <c r="L65" s="37" t="e">
        <f t="shared" si="33"/>
        <v>#N/A</v>
      </c>
      <c r="M65" s="93" t="e">
        <f t="shared" si="34"/>
        <v>#N/A</v>
      </c>
      <c r="N65" s="37" t="e">
        <f t="shared" si="35"/>
        <v>#N/A</v>
      </c>
      <c r="O65" s="93" t="e">
        <f t="shared" si="36"/>
        <v>#N/A</v>
      </c>
      <c r="P65" s="37" t="e">
        <f t="shared" si="37"/>
        <v>#N/A</v>
      </c>
      <c r="Q65" s="93" t="e">
        <f t="shared" si="38"/>
        <v>#N/A</v>
      </c>
      <c r="R65" s="37" t="e">
        <f t="shared" si="39"/>
        <v>#N/A</v>
      </c>
      <c r="S65" s="93" t="e">
        <f t="shared" si="40"/>
        <v>#N/A</v>
      </c>
      <c r="T65" s="37" t="e">
        <f t="shared" si="41"/>
        <v>#N/A</v>
      </c>
      <c r="U65" s="93" t="e">
        <f t="shared" si="42"/>
        <v>#N/A</v>
      </c>
      <c r="V65" s="37" t="e">
        <f t="shared" si="43"/>
        <v>#N/A</v>
      </c>
      <c r="W65" s="93" t="e">
        <f t="shared" si="44"/>
        <v>#N/A</v>
      </c>
      <c r="X65" s="37" t="e">
        <f t="shared" si="45"/>
        <v>#N/A</v>
      </c>
      <c r="Y65" s="93" t="e">
        <f t="shared" si="46"/>
        <v>#N/A</v>
      </c>
      <c r="Z65" s="37" t="e">
        <f t="shared" si="47"/>
        <v>#N/A</v>
      </c>
      <c r="AA65" s="35"/>
      <c r="AB65" s="38" t="e">
        <f t="shared" si="48"/>
        <v>#N/A</v>
      </c>
      <c r="AC65" s="38" t="e">
        <f t="shared" si="49"/>
        <v>#N/A</v>
      </c>
      <c r="AD65" s="14" t="e">
        <f>ROUND(IF(A65="","",IF(AC65="  ",AB65-Date!$B$3,AB65-AC65)),0)</f>
        <v>#N/A</v>
      </c>
      <c r="AE65" s="20"/>
    </row>
    <row r="66" spans="1:31" ht="23.25" x14ac:dyDescent="0.25">
      <c r="A66" s="14" t="s">
        <v>134</v>
      </c>
      <c r="B66" s="13" t="e">
        <f t="shared" si="25"/>
        <v>#N/A</v>
      </c>
      <c r="C66" s="35"/>
      <c r="D66" s="93" t="e">
        <f t="shared" si="26"/>
        <v>#N/A</v>
      </c>
      <c r="E66" s="37" t="e">
        <f t="shared" si="27"/>
        <v>#N/A</v>
      </c>
      <c r="F66" s="93" t="e">
        <f t="shared" si="28"/>
        <v>#N/A</v>
      </c>
      <c r="G66" s="37" t="e">
        <f t="shared" si="29"/>
        <v>#N/A</v>
      </c>
      <c r="H66" s="93" t="e">
        <f t="shared" si="30"/>
        <v>#N/A</v>
      </c>
      <c r="I66" s="37" t="e">
        <f t="shared" si="31"/>
        <v>#N/A</v>
      </c>
      <c r="J66" s="35"/>
      <c r="K66" s="93" t="e">
        <f t="shared" si="32"/>
        <v>#N/A</v>
      </c>
      <c r="L66" s="37" t="e">
        <f t="shared" si="33"/>
        <v>#N/A</v>
      </c>
      <c r="M66" s="93" t="e">
        <f t="shared" si="34"/>
        <v>#N/A</v>
      </c>
      <c r="N66" s="37" t="e">
        <f t="shared" si="35"/>
        <v>#N/A</v>
      </c>
      <c r="O66" s="93" t="e">
        <f t="shared" si="36"/>
        <v>#N/A</v>
      </c>
      <c r="P66" s="37" t="e">
        <f t="shared" si="37"/>
        <v>#N/A</v>
      </c>
      <c r="Q66" s="93" t="e">
        <f t="shared" si="38"/>
        <v>#N/A</v>
      </c>
      <c r="R66" s="37" t="e">
        <f t="shared" si="39"/>
        <v>#N/A</v>
      </c>
      <c r="S66" s="93" t="e">
        <f t="shared" si="40"/>
        <v>#N/A</v>
      </c>
      <c r="T66" s="37" t="e">
        <f t="shared" si="41"/>
        <v>#N/A</v>
      </c>
      <c r="U66" s="93" t="e">
        <f t="shared" si="42"/>
        <v>#N/A</v>
      </c>
      <c r="V66" s="37" t="e">
        <f t="shared" si="43"/>
        <v>#N/A</v>
      </c>
      <c r="W66" s="93" t="e">
        <f t="shared" si="44"/>
        <v>#N/A</v>
      </c>
      <c r="X66" s="37" t="e">
        <f t="shared" si="45"/>
        <v>#N/A</v>
      </c>
      <c r="Y66" s="93" t="e">
        <f t="shared" si="46"/>
        <v>#N/A</v>
      </c>
      <c r="Z66" s="37" t="e">
        <f t="shared" si="47"/>
        <v>#N/A</v>
      </c>
      <c r="AA66" s="35"/>
      <c r="AB66" s="38" t="e">
        <f t="shared" si="48"/>
        <v>#N/A</v>
      </c>
      <c r="AC66" s="38" t="e">
        <f t="shared" si="49"/>
        <v>#N/A</v>
      </c>
      <c r="AD66" s="14" t="e">
        <f>ROUND(IF(A66="","",IF(AC66="  ",AB66-Date!$B$3,AB66-AC66)),0)</f>
        <v>#N/A</v>
      </c>
      <c r="AE66" s="20"/>
    </row>
    <row r="67" spans="1:31" ht="23.25" x14ac:dyDescent="0.25">
      <c r="A67" s="14" t="s">
        <v>135</v>
      </c>
      <c r="B67" s="13" t="e">
        <f t="shared" si="25"/>
        <v>#N/A</v>
      </c>
      <c r="C67" s="35"/>
      <c r="D67" s="93" t="e">
        <f t="shared" si="26"/>
        <v>#N/A</v>
      </c>
      <c r="E67" s="37" t="e">
        <f t="shared" si="27"/>
        <v>#N/A</v>
      </c>
      <c r="F67" s="93" t="e">
        <f t="shared" si="28"/>
        <v>#N/A</v>
      </c>
      <c r="G67" s="37" t="e">
        <f t="shared" si="29"/>
        <v>#N/A</v>
      </c>
      <c r="H67" s="93" t="e">
        <f t="shared" si="30"/>
        <v>#N/A</v>
      </c>
      <c r="I67" s="37" t="e">
        <f t="shared" si="31"/>
        <v>#N/A</v>
      </c>
      <c r="J67" s="35"/>
      <c r="K67" s="93" t="e">
        <f t="shared" si="32"/>
        <v>#N/A</v>
      </c>
      <c r="L67" s="37" t="e">
        <f t="shared" si="33"/>
        <v>#N/A</v>
      </c>
      <c r="M67" s="93" t="e">
        <f t="shared" si="34"/>
        <v>#N/A</v>
      </c>
      <c r="N67" s="37" t="e">
        <f t="shared" si="35"/>
        <v>#N/A</v>
      </c>
      <c r="O67" s="93" t="e">
        <f t="shared" si="36"/>
        <v>#N/A</v>
      </c>
      <c r="P67" s="37" t="e">
        <f t="shared" si="37"/>
        <v>#N/A</v>
      </c>
      <c r="Q67" s="93" t="e">
        <f t="shared" si="38"/>
        <v>#N/A</v>
      </c>
      <c r="R67" s="37" t="e">
        <f t="shared" si="39"/>
        <v>#N/A</v>
      </c>
      <c r="S67" s="93" t="e">
        <f t="shared" si="40"/>
        <v>#N/A</v>
      </c>
      <c r="T67" s="37" t="e">
        <f t="shared" si="41"/>
        <v>#N/A</v>
      </c>
      <c r="U67" s="93" t="e">
        <f t="shared" si="42"/>
        <v>#N/A</v>
      </c>
      <c r="V67" s="37" t="e">
        <f t="shared" si="43"/>
        <v>#N/A</v>
      </c>
      <c r="W67" s="93" t="e">
        <f t="shared" si="44"/>
        <v>#N/A</v>
      </c>
      <c r="X67" s="37" t="e">
        <f t="shared" si="45"/>
        <v>#N/A</v>
      </c>
      <c r="Y67" s="93" t="e">
        <f t="shared" si="46"/>
        <v>#N/A</v>
      </c>
      <c r="Z67" s="37" t="e">
        <f t="shared" si="47"/>
        <v>#N/A</v>
      </c>
      <c r="AA67" s="35"/>
      <c r="AB67" s="38" t="e">
        <f t="shared" si="48"/>
        <v>#N/A</v>
      </c>
      <c r="AC67" s="38" t="e">
        <f t="shared" si="49"/>
        <v>#N/A</v>
      </c>
      <c r="AD67" s="14" t="e">
        <f>ROUND(IF(A67="","",IF(AC67="  ",AB67-Date!$B$3,AB67-AC67)),0)</f>
        <v>#N/A</v>
      </c>
      <c r="AE67" s="20"/>
    </row>
    <row r="68" spans="1:31" ht="23.25" x14ac:dyDescent="0.25">
      <c r="A68" s="14" t="s">
        <v>136</v>
      </c>
      <c r="B68" s="13" t="e">
        <f t="shared" si="25"/>
        <v>#N/A</v>
      </c>
      <c r="C68" s="35"/>
      <c r="D68" s="93" t="e">
        <f t="shared" si="26"/>
        <v>#N/A</v>
      </c>
      <c r="E68" s="37" t="e">
        <f t="shared" si="27"/>
        <v>#N/A</v>
      </c>
      <c r="F68" s="93" t="e">
        <f t="shared" si="28"/>
        <v>#N/A</v>
      </c>
      <c r="G68" s="37" t="e">
        <f t="shared" si="29"/>
        <v>#N/A</v>
      </c>
      <c r="H68" s="93" t="e">
        <f t="shared" si="30"/>
        <v>#N/A</v>
      </c>
      <c r="I68" s="37" t="e">
        <f t="shared" si="31"/>
        <v>#N/A</v>
      </c>
      <c r="J68" s="35"/>
      <c r="K68" s="93" t="e">
        <f t="shared" si="32"/>
        <v>#N/A</v>
      </c>
      <c r="L68" s="37" t="e">
        <f t="shared" si="33"/>
        <v>#N/A</v>
      </c>
      <c r="M68" s="93" t="e">
        <f t="shared" si="34"/>
        <v>#N/A</v>
      </c>
      <c r="N68" s="37" t="e">
        <f t="shared" si="35"/>
        <v>#N/A</v>
      </c>
      <c r="O68" s="93" t="e">
        <f t="shared" si="36"/>
        <v>#N/A</v>
      </c>
      <c r="P68" s="37" t="e">
        <f t="shared" si="37"/>
        <v>#N/A</v>
      </c>
      <c r="Q68" s="93" t="e">
        <f t="shared" si="38"/>
        <v>#N/A</v>
      </c>
      <c r="R68" s="37" t="e">
        <f t="shared" si="39"/>
        <v>#N/A</v>
      </c>
      <c r="S68" s="93" t="e">
        <f t="shared" si="40"/>
        <v>#N/A</v>
      </c>
      <c r="T68" s="37" t="e">
        <f t="shared" si="41"/>
        <v>#N/A</v>
      </c>
      <c r="U68" s="93" t="e">
        <f t="shared" si="42"/>
        <v>#N/A</v>
      </c>
      <c r="V68" s="37" t="e">
        <f t="shared" si="43"/>
        <v>#N/A</v>
      </c>
      <c r="W68" s="93" t="e">
        <f t="shared" si="44"/>
        <v>#N/A</v>
      </c>
      <c r="X68" s="37" t="e">
        <f t="shared" si="45"/>
        <v>#N/A</v>
      </c>
      <c r="Y68" s="93" t="e">
        <f t="shared" si="46"/>
        <v>#N/A</v>
      </c>
      <c r="Z68" s="37" t="e">
        <f t="shared" si="47"/>
        <v>#N/A</v>
      </c>
      <c r="AA68" s="35"/>
      <c r="AB68" s="38" t="e">
        <f t="shared" si="48"/>
        <v>#N/A</v>
      </c>
      <c r="AC68" s="38" t="e">
        <f t="shared" si="49"/>
        <v>#N/A</v>
      </c>
      <c r="AD68" s="14" t="e">
        <f>ROUND(IF(A68="","",IF(AC68="  ",AB68-Date!$B$3,AB68-AC68)),0)</f>
        <v>#N/A</v>
      </c>
      <c r="AE68" s="20"/>
    </row>
    <row r="69" spans="1:31" ht="23.25" x14ac:dyDescent="0.25">
      <c r="A69" s="14" t="s">
        <v>137</v>
      </c>
      <c r="B69" s="13" t="e">
        <f t="shared" si="25"/>
        <v>#N/A</v>
      </c>
      <c r="C69" s="35"/>
      <c r="D69" s="93" t="e">
        <f t="shared" si="26"/>
        <v>#N/A</v>
      </c>
      <c r="E69" s="37" t="e">
        <f t="shared" si="27"/>
        <v>#N/A</v>
      </c>
      <c r="F69" s="93" t="e">
        <f t="shared" si="28"/>
        <v>#N/A</v>
      </c>
      <c r="G69" s="37" t="e">
        <f t="shared" si="29"/>
        <v>#N/A</v>
      </c>
      <c r="H69" s="93" t="e">
        <f t="shared" si="30"/>
        <v>#N/A</v>
      </c>
      <c r="I69" s="37" t="e">
        <f t="shared" si="31"/>
        <v>#N/A</v>
      </c>
      <c r="J69" s="35"/>
      <c r="K69" s="93" t="e">
        <f t="shared" si="32"/>
        <v>#N/A</v>
      </c>
      <c r="L69" s="37" t="e">
        <f t="shared" si="33"/>
        <v>#N/A</v>
      </c>
      <c r="M69" s="93" t="e">
        <f t="shared" si="34"/>
        <v>#N/A</v>
      </c>
      <c r="N69" s="37" t="e">
        <f t="shared" si="35"/>
        <v>#N/A</v>
      </c>
      <c r="O69" s="93" t="e">
        <f t="shared" si="36"/>
        <v>#N/A</v>
      </c>
      <c r="P69" s="37" t="e">
        <f t="shared" si="37"/>
        <v>#N/A</v>
      </c>
      <c r="Q69" s="93" t="e">
        <f t="shared" si="38"/>
        <v>#N/A</v>
      </c>
      <c r="R69" s="37" t="e">
        <f t="shared" si="39"/>
        <v>#N/A</v>
      </c>
      <c r="S69" s="93" t="e">
        <f t="shared" si="40"/>
        <v>#N/A</v>
      </c>
      <c r="T69" s="37" t="e">
        <f t="shared" si="41"/>
        <v>#N/A</v>
      </c>
      <c r="U69" s="93" t="e">
        <f t="shared" si="42"/>
        <v>#N/A</v>
      </c>
      <c r="V69" s="37" t="e">
        <f t="shared" si="43"/>
        <v>#N/A</v>
      </c>
      <c r="W69" s="93" t="e">
        <f t="shared" si="44"/>
        <v>#N/A</v>
      </c>
      <c r="X69" s="37" t="e">
        <f t="shared" si="45"/>
        <v>#N/A</v>
      </c>
      <c r="Y69" s="93" t="e">
        <f t="shared" si="46"/>
        <v>#N/A</v>
      </c>
      <c r="Z69" s="37" t="e">
        <f t="shared" si="47"/>
        <v>#N/A</v>
      </c>
      <c r="AA69" s="35"/>
      <c r="AB69" s="38" t="e">
        <f t="shared" si="48"/>
        <v>#N/A</v>
      </c>
      <c r="AC69" s="38" t="e">
        <f t="shared" si="49"/>
        <v>#N/A</v>
      </c>
      <c r="AD69" s="14" t="e">
        <f>ROUND(IF(A69="","",IF(AC69="  ",AB69-Date!$B$3,AB69-AC69)),0)</f>
        <v>#N/A</v>
      </c>
      <c r="AE69" s="20"/>
    </row>
    <row r="70" spans="1:31" ht="23.25" x14ac:dyDescent="0.25">
      <c r="A70" s="14" t="s">
        <v>138</v>
      </c>
      <c r="B70" s="13" t="e">
        <f t="shared" ref="B70:B101" si="50">VLOOKUP(A70,Jobs,2,)</f>
        <v>#N/A</v>
      </c>
      <c r="C70" s="35"/>
      <c r="D70" s="93" t="e">
        <f t="shared" ref="D70:D101" si="51">IF(VLOOKUP($A70,Dates,8,)&gt;0,"Y","  ")</f>
        <v>#N/A</v>
      </c>
      <c r="E70" s="37" t="e">
        <f t="shared" ref="E70:E101" si="52">IF(VLOOKUP($A70,Dates,8,)&gt;0,VLOOKUP($A70,Dates,8,)-VLOOKUP($A70,Jobs,8,),"  ")</f>
        <v>#N/A</v>
      </c>
      <c r="F70" s="93" t="e">
        <f t="shared" ref="F70:F101" si="53">IF(VLOOKUP($A70,Dates,16,)&gt;0,"Y","  ")</f>
        <v>#N/A</v>
      </c>
      <c r="G70" s="37" t="e">
        <f t="shared" ref="G70:G101" si="54">IF(VLOOKUP($A70,Dates,16,)&gt;0,VLOOKUP($A70,Dates,16,)-VLOOKUP($A70,Jobs,16,),"  ")</f>
        <v>#N/A</v>
      </c>
      <c r="H70" s="93" t="e">
        <f t="shared" ref="H70:H101" si="55">IF(VLOOKUP($A70,Dates,17,)&gt;0,"Y","  ")</f>
        <v>#N/A</v>
      </c>
      <c r="I70" s="37" t="e">
        <f t="shared" ref="I70:I101" si="56">IF(VLOOKUP($A70,Dates,17,)&gt;0,VLOOKUP($A70,Dates,17,)-VLOOKUP($A70,Jobs,17,),"  ")</f>
        <v>#N/A</v>
      </c>
      <c r="J70" s="35"/>
      <c r="K70" s="93" t="e">
        <f t="shared" ref="K70:K101" si="57">IF(VLOOKUP($A70,Dates,19,)&gt;0,"Y","  ")</f>
        <v>#N/A</v>
      </c>
      <c r="L70" s="37" t="e">
        <f t="shared" ref="L70:L101" si="58">IF(VLOOKUP($A70,Dates,19,)&gt;0,VLOOKUP($A70,Dates,19,)-VLOOKUP($A70,Jobs,19,),"  ")</f>
        <v>#N/A</v>
      </c>
      <c r="M70" s="93" t="e">
        <f t="shared" ref="M70:M101" si="59">IF(VLOOKUP($A70,Dates,20,)&gt;0,"Y","  ")</f>
        <v>#N/A</v>
      </c>
      <c r="N70" s="37" t="e">
        <f t="shared" ref="N70:N101" si="60">IF(VLOOKUP($A70,Dates,20,)&gt;0,VLOOKUP($A70,Dates,20,)-VLOOKUP($A70,Jobs,20,),"  ")</f>
        <v>#N/A</v>
      </c>
      <c r="O70" s="93" t="e">
        <f t="shared" ref="O70:O101" si="61">IF(VLOOKUP($A70,Dates,21,)&gt;0,"Y","  ")</f>
        <v>#N/A</v>
      </c>
      <c r="P70" s="37" t="e">
        <f t="shared" ref="P70:P101" si="62">IF(VLOOKUP($A70,Dates,21,)&gt;0,VLOOKUP($A70,Dates,21,)-VLOOKUP($A70,Jobs,21,),"  ")</f>
        <v>#N/A</v>
      </c>
      <c r="Q70" s="93" t="e">
        <f t="shared" ref="Q70:Q101" si="63">IF(VLOOKUP($A70,Dates,22,)&gt;0,"Y","  ")</f>
        <v>#N/A</v>
      </c>
      <c r="R70" s="37" t="e">
        <f t="shared" ref="R70:R101" si="64">IF(VLOOKUP($A70,Dates,22,)&gt;0,VLOOKUP($A70,Dates,22,)-VLOOKUP($A70,Jobs,22,),"  ")</f>
        <v>#N/A</v>
      </c>
      <c r="S70" s="93" t="e">
        <f t="shared" ref="S70:S101" si="65">IF(VLOOKUP($A70,Dates,23,)&gt;0,"Y","  ")</f>
        <v>#N/A</v>
      </c>
      <c r="T70" s="37" t="e">
        <f t="shared" ref="T70:T101" si="66">IF(VLOOKUP($A70,Dates,23,)&gt;0,VLOOKUP($A70,Dates,23,)-VLOOKUP($A70,Jobs,23,),"  ")</f>
        <v>#N/A</v>
      </c>
      <c r="U70" s="93" t="e">
        <f t="shared" ref="U70:U101" si="67">IF(VLOOKUP($A70,Dates,24,)&gt;0,"Y","  ")</f>
        <v>#N/A</v>
      </c>
      <c r="V70" s="37" t="e">
        <f t="shared" ref="V70:V101" si="68">IF(VLOOKUP($A70,Dates,24,)&gt;0,VLOOKUP($A70,Dates,24,)-VLOOKUP($A70,Jobs,24,),"  ")</f>
        <v>#N/A</v>
      </c>
      <c r="W70" s="93" t="e">
        <f t="shared" ref="W70:W101" si="69">IF(VLOOKUP($A70,Dates,25,)&gt;0,"Y","  ")</f>
        <v>#N/A</v>
      </c>
      <c r="X70" s="37" t="e">
        <f t="shared" ref="X70:X101" si="70">IF(VLOOKUP($A70,Dates,25,)&gt;0,VLOOKUP($A70,Dates,25,)-VLOOKUP($A70,Jobs,25,),"  ")</f>
        <v>#N/A</v>
      </c>
      <c r="Y70" s="93" t="e">
        <f t="shared" ref="Y70:Y101" si="71">IF(VLOOKUP($A70,Dates,26,)&gt;0,"Y","  ")</f>
        <v>#N/A</v>
      </c>
      <c r="Z70" s="37" t="e">
        <f t="shared" ref="Z70:Z101" si="72">IF(VLOOKUP($A70,Dates,26,)&gt;0,VLOOKUP($A70,Dates,26,)-VLOOKUP($A70,Jobs,26,),"  ")</f>
        <v>#N/A</v>
      </c>
      <c r="AA70" s="35"/>
      <c r="AB70" s="38" t="e">
        <f t="shared" ref="AB70:AB101" si="73">VLOOKUP(A70,Jobs,27,)</f>
        <v>#N/A</v>
      </c>
      <c r="AC70" s="38" t="e">
        <f t="shared" ref="AC70:AC101" si="74">IF(VLOOKUP(A70,Dates,27,)&gt;0,VLOOKUP(A70,Dates,27,),"  ")</f>
        <v>#N/A</v>
      </c>
      <c r="AD70" s="14" t="e">
        <f>ROUND(IF(A70="","",IF(AC70="  ",AB70-Date!$B$3,AB70-AC70)),0)</f>
        <v>#N/A</v>
      </c>
      <c r="AE70" s="20"/>
    </row>
    <row r="71" spans="1:31" ht="23.25" x14ac:dyDescent="0.25">
      <c r="A71" s="14" t="s">
        <v>139</v>
      </c>
      <c r="B71" s="13" t="e">
        <f t="shared" si="50"/>
        <v>#N/A</v>
      </c>
      <c r="C71" s="35"/>
      <c r="D71" s="93" t="e">
        <f t="shared" si="51"/>
        <v>#N/A</v>
      </c>
      <c r="E71" s="37" t="e">
        <f t="shared" si="52"/>
        <v>#N/A</v>
      </c>
      <c r="F71" s="93" t="e">
        <f t="shared" si="53"/>
        <v>#N/A</v>
      </c>
      <c r="G71" s="37" t="e">
        <f t="shared" si="54"/>
        <v>#N/A</v>
      </c>
      <c r="H71" s="93" t="e">
        <f t="shared" si="55"/>
        <v>#N/A</v>
      </c>
      <c r="I71" s="37" t="e">
        <f t="shared" si="56"/>
        <v>#N/A</v>
      </c>
      <c r="J71" s="35"/>
      <c r="K71" s="93" t="e">
        <f t="shared" si="57"/>
        <v>#N/A</v>
      </c>
      <c r="L71" s="37" t="e">
        <f t="shared" si="58"/>
        <v>#N/A</v>
      </c>
      <c r="M71" s="93" t="e">
        <f t="shared" si="59"/>
        <v>#N/A</v>
      </c>
      <c r="N71" s="37" t="e">
        <f t="shared" si="60"/>
        <v>#N/A</v>
      </c>
      <c r="O71" s="93" t="e">
        <f t="shared" si="61"/>
        <v>#N/A</v>
      </c>
      <c r="P71" s="37" t="e">
        <f t="shared" si="62"/>
        <v>#N/A</v>
      </c>
      <c r="Q71" s="93" t="e">
        <f t="shared" si="63"/>
        <v>#N/A</v>
      </c>
      <c r="R71" s="37" t="e">
        <f t="shared" si="64"/>
        <v>#N/A</v>
      </c>
      <c r="S71" s="93" t="e">
        <f t="shared" si="65"/>
        <v>#N/A</v>
      </c>
      <c r="T71" s="37" t="e">
        <f t="shared" si="66"/>
        <v>#N/A</v>
      </c>
      <c r="U71" s="93" t="e">
        <f t="shared" si="67"/>
        <v>#N/A</v>
      </c>
      <c r="V71" s="37" t="e">
        <f t="shared" si="68"/>
        <v>#N/A</v>
      </c>
      <c r="W71" s="93" t="e">
        <f t="shared" si="69"/>
        <v>#N/A</v>
      </c>
      <c r="X71" s="37" t="e">
        <f t="shared" si="70"/>
        <v>#N/A</v>
      </c>
      <c r="Y71" s="93" t="e">
        <f t="shared" si="71"/>
        <v>#N/A</v>
      </c>
      <c r="Z71" s="37" t="e">
        <f t="shared" si="72"/>
        <v>#N/A</v>
      </c>
      <c r="AA71" s="35"/>
      <c r="AB71" s="38" t="e">
        <f t="shared" si="73"/>
        <v>#N/A</v>
      </c>
      <c r="AC71" s="38" t="e">
        <f t="shared" si="74"/>
        <v>#N/A</v>
      </c>
      <c r="AD71" s="14" t="e">
        <f>ROUND(IF(A71="","",IF(AC71="  ",AB71-Date!$B$3,AB71-AC71)),0)</f>
        <v>#N/A</v>
      </c>
      <c r="AE71" s="20"/>
    </row>
    <row r="72" spans="1:31" ht="23.25" x14ac:dyDescent="0.25">
      <c r="A72" s="14" t="s">
        <v>140</v>
      </c>
      <c r="B72" s="13" t="e">
        <f t="shared" si="50"/>
        <v>#N/A</v>
      </c>
      <c r="C72" s="35"/>
      <c r="D72" s="93" t="e">
        <f t="shared" si="51"/>
        <v>#N/A</v>
      </c>
      <c r="E72" s="37" t="e">
        <f t="shared" si="52"/>
        <v>#N/A</v>
      </c>
      <c r="F72" s="93" t="e">
        <f t="shared" si="53"/>
        <v>#N/A</v>
      </c>
      <c r="G72" s="37" t="e">
        <f t="shared" si="54"/>
        <v>#N/A</v>
      </c>
      <c r="H72" s="93" t="e">
        <f t="shared" si="55"/>
        <v>#N/A</v>
      </c>
      <c r="I72" s="37" t="e">
        <f t="shared" si="56"/>
        <v>#N/A</v>
      </c>
      <c r="J72" s="35"/>
      <c r="K72" s="93" t="e">
        <f t="shared" si="57"/>
        <v>#N/A</v>
      </c>
      <c r="L72" s="37" t="e">
        <f t="shared" si="58"/>
        <v>#N/A</v>
      </c>
      <c r="M72" s="93" t="e">
        <f t="shared" si="59"/>
        <v>#N/A</v>
      </c>
      <c r="N72" s="37" t="e">
        <f t="shared" si="60"/>
        <v>#N/A</v>
      </c>
      <c r="O72" s="93" t="e">
        <f t="shared" si="61"/>
        <v>#N/A</v>
      </c>
      <c r="P72" s="37" t="e">
        <f t="shared" si="62"/>
        <v>#N/A</v>
      </c>
      <c r="Q72" s="93" t="e">
        <f t="shared" si="63"/>
        <v>#N/A</v>
      </c>
      <c r="R72" s="37" t="e">
        <f t="shared" si="64"/>
        <v>#N/A</v>
      </c>
      <c r="S72" s="93" t="e">
        <f t="shared" si="65"/>
        <v>#N/A</v>
      </c>
      <c r="T72" s="37" t="e">
        <f t="shared" si="66"/>
        <v>#N/A</v>
      </c>
      <c r="U72" s="93" t="e">
        <f t="shared" si="67"/>
        <v>#N/A</v>
      </c>
      <c r="V72" s="37" t="e">
        <f t="shared" si="68"/>
        <v>#N/A</v>
      </c>
      <c r="W72" s="93" t="e">
        <f t="shared" si="69"/>
        <v>#N/A</v>
      </c>
      <c r="X72" s="37" t="e">
        <f t="shared" si="70"/>
        <v>#N/A</v>
      </c>
      <c r="Y72" s="93" t="e">
        <f t="shared" si="71"/>
        <v>#N/A</v>
      </c>
      <c r="Z72" s="37" t="e">
        <f t="shared" si="72"/>
        <v>#N/A</v>
      </c>
      <c r="AA72" s="35"/>
      <c r="AB72" s="38" t="e">
        <f t="shared" si="73"/>
        <v>#N/A</v>
      </c>
      <c r="AC72" s="38" t="e">
        <f t="shared" si="74"/>
        <v>#N/A</v>
      </c>
      <c r="AD72" s="14" t="e">
        <f>ROUND(IF(A72="","",IF(AC72="  ",AB72-Date!$B$3,AB72-AC72)),0)</f>
        <v>#N/A</v>
      </c>
      <c r="AE72" s="20"/>
    </row>
    <row r="73" spans="1:31" ht="23.25" x14ac:dyDescent="0.25">
      <c r="A73" s="14" t="s">
        <v>141</v>
      </c>
      <c r="B73" s="13" t="e">
        <f t="shared" si="50"/>
        <v>#N/A</v>
      </c>
      <c r="C73" s="35"/>
      <c r="D73" s="93" t="e">
        <f t="shared" si="51"/>
        <v>#N/A</v>
      </c>
      <c r="E73" s="37" t="e">
        <f t="shared" si="52"/>
        <v>#N/A</v>
      </c>
      <c r="F73" s="93" t="e">
        <f t="shared" si="53"/>
        <v>#N/A</v>
      </c>
      <c r="G73" s="37" t="e">
        <f t="shared" si="54"/>
        <v>#N/A</v>
      </c>
      <c r="H73" s="93" t="e">
        <f t="shared" si="55"/>
        <v>#N/A</v>
      </c>
      <c r="I73" s="37" t="e">
        <f t="shared" si="56"/>
        <v>#N/A</v>
      </c>
      <c r="J73" s="35"/>
      <c r="K73" s="93" t="e">
        <f t="shared" si="57"/>
        <v>#N/A</v>
      </c>
      <c r="L73" s="37" t="e">
        <f t="shared" si="58"/>
        <v>#N/A</v>
      </c>
      <c r="M73" s="93" t="e">
        <f t="shared" si="59"/>
        <v>#N/A</v>
      </c>
      <c r="N73" s="37" t="e">
        <f t="shared" si="60"/>
        <v>#N/A</v>
      </c>
      <c r="O73" s="93" t="e">
        <f t="shared" si="61"/>
        <v>#N/A</v>
      </c>
      <c r="P73" s="37" t="e">
        <f t="shared" si="62"/>
        <v>#N/A</v>
      </c>
      <c r="Q73" s="93" t="e">
        <f t="shared" si="63"/>
        <v>#N/A</v>
      </c>
      <c r="R73" s="37" t="e">
        <f t="shared" si="64"/>
        <v>#N/A</v>
      </c>
      <c r="S73" s="93" t="e">
        <f t="shared" si="65"/>
        <v>#N/A</v>
      </c>
      <c r="T73" s="37" t="e">
        <f t="shared" si="66"/>
        <v>#N/A</v>
      </c>
      <c r="U73" s="93" t="e">
        <f t="shared" si="67"/>
        <v>#N/A</v>
      </c>
      <c r="V73" s="37" t="e">
        <f t="shared" si="68"/>
        <v>#N/A</v>
      </c>
      <c r="W73" s="93" t="e">
        <f t="shared" si="69"/>
        <v>#N/A</v>
      </c>
      <c r="X73" s="37" t="e">
        <f t="shared" si="70"/>
        <v>#N/A</v>
      </c>
      <c r="Y73" s="93" t="e">
        <f t="shared" si="71"/>
        <v>#N/A</v>
      </c>
      <c r="Z73" s="37" t="e">
        <f t="shared" si="72"/>
        <v>#N/A</v>
      </c>
      <c r="AA73" s="35"/>
      <c r="AB73" s="38" t="e">
        <f t="shared" si="73"/>
        <v>#N/A</v>
      </c>
      <c r="AC73" s="38" t="e">
        <f t="shared" si="74"/>
        <v>#N/A</v>
      </c>
      <c r="AD73" s="14" t="e">
        <f>ROUND(IF(A73="","",IF(AC73="  ",AB73-Date!$B$3,AB73-AC73)),0)</f>
        <v>#N/A</v>
      </c>
      <c r="AE73" s="20"/>
    </row>
    <row r="74" spans="1:31" ht="23.25" x14ac:dyDescent="0.25">
      <c r="A74" s="14" t="s">
        <v>142</v>
      </c>
      <c r="B74" s="13" t="e">
        <f t="shared" si="50"/>
        <v>#N/A</v>
      </c>
      <c r="C74" s="35"/>
      <c r="D74" s="93" t="e">
        <f t="shared" si="51"/>
        <v>#N/A</v>
      </c>
      <c r="E74" s="37" t="e">
        <f t="shared" si="52"/>
        <v>#N/A</v>
      </c>
      <c r="F74" s="93" t="e">
        <f t="shared" si="53"/>
        <v>#N/A</v>
      </c>
      <c r="G74" s="37" t="e">
        <f t="shared" si="54"/>
        <v>#N/A</v>
      </c>
      <c r="H74" s="93" t="e">
        <f t="shared" si="55"/>
        <v>#N/A</v>
      </c>
      <c r="I74" s="37" t="e">
        <f t="shared" si="56"/>
        <v>#N/A</v>
      </c>
      <c r="J74" s="35"/>
      <c r="K74" s="93" t="e">
        <f t="shared" si="57"/>
        <v>#N/A</v>
      </c>
      <c r="L74" s="37" t="e">
        <f t="shared" si="58"/>
        <v>#N/A</v>
      </c>
      <c r="M74" s="93" t="e">
        <f t="shared" si="59"/>
        <v>#N/A</v>
      </c>
      <c r="N74" s="37" t="e">
        <f t="shared" si="60"/>
        <v>#N/A</v>
      </c>
      <c r="O74" s="93" t="e">
        <f t="shared" si="61"/>
        <v>#N/A</v>
      </c>
      <c r="P74" s="37" t="e">
        <f t="shared" si="62"/>
        <v>#N/A</v>
      </c>
      <c r="Q74" s="93" t="e">
        <f t="shared" si="63"/>
        <v>#N/A</v>
      </c>
      <c r="R74" s="37" t="e">
        <f t="shared" si="64"/>
        <v>#N/A</v>
      </c>
      <c r="S74" s="93" t="e">
        <f t="shared" si="65"/>
        <v>#N/A</v>
      </c>
      <c r="T74" s="37" t="e">
        <f t="shared" si="66"/>
        <v>#N/A</v>
      </c>
      <c r="U74" s="93" t="e">
        <f t="shared" si="67"/>
        <v>#N/A</v>
      </c>
      <c r="V74" s="37" t="e">
        <f t="shared" si="68"/>
        <v>#N/A</v>
      </c>
      <c r="W74" s="93" t="e">
        <f t="shared" si="69"/>
        <v>#N/A</v>
      </c>
      <c r="X74" s="37" t="e">
        <f t="shared" si="70"/>
        <v>#N/A</v>
      </c>
      <c r="Y74" s="93" t="e">
        <f t="shared" si="71"/>
        <v>#N/A</v>
      </c>
      <c r="Z74" s="37" t="e">
        <f t="shared" si="72"/>
        <v>#N/A</v>
      </c>
      <c r="AA74" s="35"/>
      <c r="AB74" s="38" t="e">
        <f t="shared" si="73"/>
        <v>#N/A</v>
      </c>
      <c r="AC74" s="38" t="e">
        <f t="shared" si="74"/>
        <v>#N/A</v>
      </c>
      <c r="AD74" s="14" t="e">
        <f>ROUND(IF(A74="","",IF(AC74="  ",AB74-Date!$B$3,AB74-AC74)),0)</f>
        <v>#N/A</v>
      </c>
      <c r="AE74" s="20"/>
    </row>
    <row r="75" spans="1:31" ht="23.25" x14ac:dyDescent="0.25">
      <c r="A75" s="14" t="s">
        <v>143</v>
      </c>
      <c r="B75" s="13" t="e">
        <f t="shared" si="50"/>
        <v>#N/A</v>
      </c>
      <c r="C75" s="35"/>
      <c r="D75" s="93" t="e">
        <f t="shared" si="51"/>
        <v>#N/A</v>
      </c>
      <c r="E75" s="37" t="e">
        <f t="shared" si="52"/>
        <v>#N/A</v>
      </c>
      <c r="F75" s="93" t="e">
        <f t="shared" si="53"/>
        <v>#N/A</v>
      </c>
      <c r="G75" s="37" t="e">
        <f t="shared" si="54"/>
        <v>#N/A</v>
      </c>
      <c r="H75" s="93" t="e">
        <f t="shared" si="55"/>
        <v>#N/A</v>
      </c>
      <c r="I75" s="37" t="e">
        <f t="shared" si="56"/>
        <v>#N/A</v>
      </c>
      <c r="J75" s="35"/>
      <c r="K75" s="93" t="e">
        <f t="shared" si="57"/>
        <v>#N/A</v>
      </c>
      <c r="L75" s="37" t="e">
        <f t="shared" si="58"/>
        <v>#N/A</v>
      </c>
      <c r="M75" s="93" t="e">
        <f t="shared" si="59"/>
        <v>#N/A</v>
      </c>
      <c r="N75" s="37" t="e">
        <f t="shared" si="60"/>
        <v>#N/A</v>
      </c>
      <c r="O75" s="93" t="e">
        <f t="shared" si="61"/>
        <v>#N/A</v>
      </c>
      <c r="P75" s="37" t="e">
        <f t="shared" si="62"/>
        <v>#N/A</v>
      </c>
      <c r="Q75" s="93" t="e">
        <f t="shared" si="63"/>
        <v>#N/A</v>
      </c>
      <c r="R75" s="37" t="e">
        <f t="shared" si="64"/>
        <v>#N/A</v>
      </c>
      <c r="S75" s="93" t="e">
        <f t="shared" si="65"/>
        <v>#N/A</v>
      </c>
      <c r="T75" s="37" t="e">
        <f t="shared" si="66"/>
        <v>#N/A</v>
      </c>
      <c r="U75" s="93" t="e">
        <f t="shared" si="67"/>
        <v>#N/A</v>
      </c>
      <c r="V75" s="37" t="e">
        <f t="shared" si="68"/>
        <v>#N/A</v>
      </c>
      <c r="W75" s="93" t="e">
        <f t="shared" si="69"/>
        <v>#N/A</v>
      </c>
      <c r="X75" s="37" t="e">
        <f t="shared" si="70"/>
        <v>#N/A</v>
      </c>
      <c r="Y75" s="93" t="e">
        <f t="shared" si="71"/>
        <v>#N/A</v>
      </c>
      <c r="Z75" s="37" t="e">
        <f t="shared" si="72"/>
        <v>#N/A</v>
      </c>
      <c r="AA75" s="35"/>
      <c r="AB75" s="38" t="e">
        <f t="shared" si="73"/>
        <v>#N/A</v>
      </c>
      <c r="AC75" s="38" t="e">
        <f t="shared" si="74"/>
        <v>#N/A</v>
      </c>
      <c r="AD75" s="14" t="e">
        <f>ROUND(IF(A75="","",IF(AC75="  ",AB75-Date!$B$3,AB75-AC75)),0)</f>
        <v>#N/A</v>
      </c>
      <c r="AE75" s="20"/>
    </row>
    <row r="76" spans="1:31" ht="23.25" x14ac:dyDescent="0.25">
      <c r="A76" s="14" t="s">
        <v>144</v>
      </c>
      <c r="B76" s="13" t="e">
        <f t="shared" si="50"/>
        <v>#N/A</v>
      </c>
      <c r="C76" s="35"/>
      <c r="D76" s="93" t="e">
        <f t="shared" si="51"/>
        <v>#N/A</v>
      </c>
      <c r="E76" s="37" t="e">
        <f t="shared" si="52"/>
        <v>#N/A</v>
      </c>
      <c r="F76" s="93" t="e">
        <f t="shared" si="53"/>
        <v>#N/A</v>
      </c>
      <c r="G76" s="37" t="e">
        <f t="shared" si="54"/>
        <v>#N/A</v>
      </c>
      <c r="H76" s="93" t="e">
        <f t="shared" si="55"/>
        <v>#N/A</v>
      </c>
      <c r="I76" s="37" t="e">
        <f t="shared" si="56"/>
        <v>#N/A</v>
      </c>
      <c r="J76" s="35"/>
      <c r="K76" s="93" t="e">
        <f t="shared" si="57"/>
        <v>#N/A</v>
      </c>
      <c r="L76" s="37" t="e">
        <f t="shared" si="58"/>
        <v>#N/A</v>
      </c>
      <c r="M76" s="93" t="e">
        <f t="shared" si="59"/>
        <v>#N/A</v>
      </c>
      <c r="N76" s="37" t="e">
        <f t="shared" si="60"/>
        <v>#N/A</v>
      </c>
      <c r="O76" s="93" t="e">
        <f t="shared" si="61"/>
        <v>#N/A</v>
      </c>
      <c r="P76" s="37" t="e">
        <f t="shared" si="62"/>
        <v>#N/A</v>
      </c>
      <c r="Q76" s="93" t="e">
        <f t="shared" si="63"/>
        <v>#N/A</v>
      </c>
      <c r="R76" s="37" t="e">
        <f t="shared" si="64"/>
        <v>#N/A</v>
      </c>
      <c r="S76" s="93" t="e">
        <f t="shared" si="65"/>
        <v>#N/A</v>
      </c>
      <c r="T76" s="37" t="e">
        <f t="shared" si="66"/>
        <v>#N/A</v>
      </c>
      <c r="U76" s="93" t="e">
        <f t="shared" si="67"/>
        <v>#N/A</v>
      </c>
      <c r="V76" s="37" t="e">
        <f t="shared" si="68"/>
        <v>#N/A</v>
      </c>
      <c r="W76" s="93" t="e">
        <f t="shared" si="69"/>
        <v>#N/A</v>
      </c>
      <c r="X76" s="37" t="e">
        <f t="shared" si="70"/>
        <v>#N/A</v>
      </c>
      <c r="Y76" s="93" t="e">
        <f t="shared" si="71"/>
        <v>#N/A</v>
      </c>
      <c r="Z76" s="37" t="e">
        <f t="shared" si="72"/>
        <v>#N/A</v>
      </c>
      <c r="AA76" s="35"/>
      <c r="AB76" s="38" t="e">
        <f t="shared" si="73"/>
        <v>#N/A</v>
      </c>
      <c r="AC76" s="38" t="e">
        <f t="shared" si="74"/>
        <v>#N/A</v>
      </c>
      <c r="AD76" s="14" t="e">
        <f>ROUND(IF(A76="","",IF(AC76="  ",AB76-Date!$B$3,AB76-AC76)),0)</f>
        <v>#N/A</v>
      </c>
      <c r="AE76" s="20"/>
    </row>
    <row r="77" spans="1:31" ht="23.25" x14ac:dyDescent="0.25">
      <c r="A77" s="14" t="s">
        <v>145</v>
      </c>
      <c r="B77" s="13" t="e">
        <f t="shared" si="50"/>
        <v>#N/A</v>
      </c>
      <c r="C77" s="35"/>
      <c r="D77" s="93" t="e">
        <f t="shared" si="51"/>
        <v>#N/A</v>
      </c>
      <c r="E77" s="37" t="e">
        <f t="shared" si="52"/>
        <v>#N/A</v>
      </c>
      <c r="F77" s="93" t="e">
        <f t="shared" si="53"/>
        <v>#N/A</v>
      </c>
      <c r="G77" s="37" t="e">
        <f t="shared" si="54"/>
        <v>#N/A</v>
      </c>
      <c r="H77" s="93" t="e">
        <f t="shared" si="55"/>
        <v>#N/A</v>
      </c>
      <c r="I77" s="37" t="e">
        <f t="shared" si="56"/>
        <v>#N/A</v>
      </c>
      <c r="J77" s="35"/>
      <c r="K77" s="93" t="e">
        <f t="shared" si="57"/>
        <v>#N/A</v>
      </c>
      <c r="L77" s="37" t="e">
        <f t="shared" si="58"/>
        <v>#N/A</v>
      </c>
      <c r="M77" s="93" t="e">
        <f t="shared" si="59"/>
        <v>#N/A</v>
      </c>
      <c r="N77" s="37" t="e">
        <f t="shared" si="60"/>
        <v>#N/A</v>
      </c>
      <c r="O77" s="93" t="e">
        <f t="shared" si="61"/>
        <v>#N/A</v>
      </c>
      <c r="P77" s="37" t="e">
        <f t="shared" si="62"/>
        <v>#N/A</v>
      </c>
      <c r="Q77" s="93" t="e">
        <f t="shared" si="63"/>
        <v>#N/A</v>
      </c>
      <c r="R77" s="37" t="e">
        <f t="shared" si="64"/>
        <v>#N/A</v>
      </c>
      <c r="S77" s="93" t="e">
        <f t="shared" si="65"/>
        <v>#N/A</v>
      </c>
      <c r="T77" s="37" t="e">
        <f t="shared" si="66"/>
        <v>#N/A</v>
      </c>
      <c r="U77" s="93" t="e">
        <f t="shared" si="67"/>
        <v>#N/A</v>
      </c>
      <c r="V77" s="37" t="e">
        <f t="shared" si="68"/>
        <v>#N/A</v>
      </c>
      <c r="W77" s="93" t="e">
        <f t="shared" si="69"/>
        <v>#N/A</v>
      </c>
      <c r="X77" s="37" t="e">
        <f t="shared" si="70"/>
        <v>#N/A</v>
      </c>
      <c r="Y77" s="93" t="e">
        <f t="shared" si="71"/>
        <v>#N/A</v>
      </c>
      <c r="Z77" s="37" t="e">
        <f t="shared" si="72"/>
        <v>#N/A</v>
      </c>
      <c r="AA77" s="35"/>
      <c r="AB77" s="38" t="e">
        <f t="shared" si="73"/>
        <v>#N/A</v>
      </c>
      <c r="AC77" s="38" t="e">
        <f t="shared" si="74"/>
        <v>#N/A</v>
      </c>
      <c r="AD77" s="14" t="e">
        <f>ROUND(IF(A77="","",IF(AC77="  ",AB77-Date!$B$3,AB77-AC77)),0)</f>
        <v>#N/A</v>
      </c>
      <c r="AE77" s="20"/>
    </row>
    <row r="78" spans="1:31" ht="23.25" x14ac:dyDescent="0.25">
      <c r="A78" s="14" t="s">
        <v>146</v>
      </c>
      <c r="B78" s="13" t="e">
        <f t="shared" si="50"/>
        <v>#N/A</v>
      </c>
      <c r="C78" s="35"/>
      <c r="D78" s="93" t="e">
        <f t="shared" si="51"/>
        <v>#N/A</v>
      </c>
      <c r="E78" s="37" t="e">
        <f t="shared" si="52"/>
        <v>#N/A</v>
      </c>
      <c r="F78" s="93" t="e">
        <f t="shared" si="53"/>
        <v>#N/A</v>
      </c>
      <c r="G78" s="37" t="e">
        <f t="shared" si="54"/>
        <v>#N/A</v>
      </c>
      <c r="H78" s="93" t="e">
        <f t="shared" si="55"/>
        <v>#N/A</v>
      </c>
      <c r="I78" s="37" t="e">
        <f t="shared" si="56"/>
        <v>#N/A</v>
      </c>
      <c r="J78" s="35"/>
      <c r="K78" s="93" t="e">
        <f t="shared" si="57"/>
        <v>#N/A</v>
      </c>
      <c r="L78" s="37" t="e">
        <f t="shared" si="58"/>
        <v>#N/A</v>
      </c>
      <c r="M78" s="93" t="e">
        <f t="shared" si="59"/>
        <v>#N/A</v>
      </c>
      <c r="N78" s="37" t="e">
        <f t="shared" si="60"/>
        <v>#N/A</v>
      </c>
      <c r="O78" s="93" t="e">
        <f t="shared" si="61"/>
        <v>#N/A</v>
      </c>
      <c r="P78" s="37" t="e">
        <f t="shared" si="62"/>
        <v>#N/A</v>
      </c>
      <c r="Q78" s="93" t="e">
        <f t="shared" si="63"/>
        <v>#N/A</v>
      </c>
      <c r="R78" s="37" t="e">
        <f t="shared" si="64"/>
        <v>#N/A</v>
      </c>
      <c r="S78" s="93" t="e">
        <f t="shared" si="65"/>
        <v>#N/A</v>
      </c>
      <c r="T78" s="37" t="e">
        <f t="shared" si="66"/>
        <v>#N/A</v>
      </c>
      <c r="U78" s="93" t="e">
        <f t="shared" si="67"/>
        <v>#N/A</v>
      </c>
      <c r="V78" s="37" t="e">
        <f t="shared" si="68"/>
        <v>#N/A</v>
      </c>
      <c r="W78" s="93" t="e">
        <f t="shared" si="69"/>
        <v>#N/A</v>
      </c>
      <c r="X78" s="37" t="e">
        <f t="shared" si="70"/>
        <v>#N/A</v>
      </c>
      <c r="Y78" s="93" t="e">
        <f t="shared" si="71"/>
        <v>#N/A</v>
      </c>
      <c r="Z78" s="37" t="e">
        <f t="shared" si="72"/>
        <v>#N/A</v>
      </c>
      <c r="AA78" s="35"/>
      <c r="AB78" s="38" t="e">
        <f t="shared" si="73"/>
        <v>#N/A</v>
      </c>
      <c r="AC78" s="38" t="e">
        <f t="shared" si="74"/>
        <v>#N/A</v>
      </c>
      <c r="AD78" s="14" t="e">
        <f>ROUND(IF(A78="","",IF(AC78="  ",AB78-Date!$B$3,AB78-AC78)),0)</f>
        <v>#N/A</v>
      </c>
      <c r="AE78" s="20"/>
    </row>
    <row r="79" spans="1:31" ht="23.25" x14ac:dyDescent="0.25">
      <c r="A79" s="14" t="s">
        <v>147</v>
      </c>
      <c r="B79" s="13" t="e">
        <f t="shared" si="50"/>
        <v>#N/A</v>
      </c>
      <c r="C79" s="35"/>
      <c r="D79" s="93" t="e">
        <f t="shared" si="51"/>
        <v>#N/A</v>
      </c>
      <c r="E79" s="37" t="e">
        <f t="shared" si="52"/>
        <v>#N/A</v>
      </c>
      <c r="F79" s="93" t="e">
        <f t="shared" si="53"/>
        <v>#N/A</v>
      </c>
      <c r="G79" s="37" t="e">
        <f t="shared" si="54"/>
        <v>#N/A</v>
      </c>
      <c r="H79" s="93" t="e">
        <f t="shared" si="55"/>
        <v>#N/A</v>
      </c>
      <c r="I79" s="37" t="e">
        <f t="shared" si="56"/>
        <v>#N/A</v>
      </c>
      <c r="J79" s="35"/>
      <c r="K79" s="93" t="e">
        <f t="shared" si="57"/>
        <v>#N/A</v>
      </c>
      <c r="L79" s="37" t="e">
        <f t="shared" si="58"/>
        <v>#N/A</v>
      </c>
      <c r="M79" s="93" t="e">
        <f t="shared" si="59"/>
        <v>#N/A</v>
      </c>
      <c r="N79" s="37" t="e">
        <f t="shared" si="60"/>
        <v>#N/A</v>
      </c>
      <c r="O79" s="93" t="e">
        <f t="shared" si="61"/>
        <v>#N/A</v>
      </c>
      <c r="P79" s="37" t="e">
        <f t="shared" si="62"/>
        <v>#N/A</v>
      </c>
      <c r="Q79" s="93" t="e">
        <f t="shared" si="63"/>
        <v>#N/A</v>
      </c>
      <c r="R79" s="37" t="e">
        <f t="shared" si="64"/>
        <v>#N/A</v>
      </c>
      <c r="S79" s="93" t="e">
        <f t="shared" si="65"/>
        <v>#N/A</v>
      </c>
      <c r="T79" s="37" t="e">
        <f t="shared" si="66"/>
        <v>#N/A</v>
      </c>
      <c r="U79" s="93" t="e">
        <f t="shared" si="67"/>
        <v>#N/A</v>
      </c>
      <c r="V79" s="37" t="e">
        <f t="shared" si="68"/>
        <v>#N/A</v>
      </c>
      <c r="W79" s="93" t="e">
        <f t="shared" si="69"/>
        <v>#N/A</v>
      </c>
      <c r="X79" s="37" t="e">
        <f t="shared" si="70"/>
        <v>#N/A</v>
      </c>
      <c r="Y79" s="93" t="e">
        <f t="shared" si="71"/>
        <v>#N/A</v>
      </c>
      <c r="Z79" s="37" t="e">
        <f t="shared" si="72"/>
        <v>#N/A</v>
      </c>
      <c r="AA79" s="35"/>
      <c r="AB79" s="38" t="e">
        <f t="shared" si="73"/>
        <v>#N/A</v>
      </c>
      <c r="AC79" s="38" t="e">
        <f t="shared" si="74"/>
        <v>#N/A</v>
      </c>
      <c r="AD79" s="14" t="e">
        <f>ROUND(IF(A79="","",IF(AC79="  ",AB79-Date!$B$3,AB79-AC79)),0)</f>
        <v>#N/A</v>
      </c>
      <c r="AE79" s="20"/>
    </row>
    <row r="80" spans="1:31" ht="23.25" x14ac:dyDescent="0.25">
      <c r="A80" s="14" t="s">
        <v>148</v>
      </c>
      <c r="B80" s="13" t="e">
        <f t="shared" si="50"/>
        <v>#N/A</v>
      </c>
      <c r="C80" s="35"/>
      <c r="D80" s="93" t="e">
        <f t="shared" si="51"/>
        <v>#N/A</v>
      </c>
      <c r="E80" s="37" t="e">
        <f t="shared" si="52"/>
        <v>#N/A</v>
      </c>
      <c r="F80" s="93" t="e">
        <f t="shared" si="53"/>
        <v>#N/A</v>
      </c>
      <c r="G80" s="37" t="e">
        <f t="shared" si="54"/>
        <v>#N/A</v>
      </c>
      <c r="H80" s="93" t="e">
        <f t="shared" si="55"/>
        <v>#N/A</v>
      </c>
      <c r="I80" s="37" t="e">
        <f t="shared" si="56"/>
        <v>#N/A</v>
      </c>
      <c r="J80" s="35"/>
      <c r="K80" s="93" t="e">
        <f t="shared" si="57"/>
        <v>#N/A</v>
      </c>
      <c r="L80" s="37" t="e">
        <f t="shared" si="58"/>
        <v>#N/A</v>
      </c>
      <c r="M80" s="93" t="e">
        <f t="shared" si="59"/>
        <v>#N/A</v>
      </c>
      <c r="N80" s="37" t="e">
        <f t="shared" si="60"/>
        <v>#N/A</v>
      </c>
      <c r="O80" s="93" t="e">
        <f t="shared" si="61"/>
        <v>#N/A</v>
      </c>
      <c r="P80" s="37" t="e">
        <f t="shared" si="62"/>
        <v>#N/A</v>
      </c>
      <c r="Q80" s="93" t="e">
        <f t="shared" si="63"/>
        <v>#N/A</v>
      </c>
      <c r="R80" s="37" t="e">
        <f t="shared" si="64"/>
        <v>#N/A</v>
      </c>
      <c r="S80" s="93" t="e">
        <f t="shared" si="65"/>
        <v>#N/A</v>
      </c>
      <c r="T80" s="37" t="e">
        <f t="shared" si="66"/>
        <v>#N/A</v>
      </c>
      <c r="U80" s="93" t="e">
        <f t="shared" si="67"/>
        <v>#N/A</v>
      </c>
      <c r="V80" s="37" t="e">
        <f t="shared" si="68"/>
        <v>#N/A</v>
      </c>
      <c r="W80" s="93" t="e">
        <f t="shared" si="69"/>
        <v>#N/A</v>
      </c>
      <c r="X80" s="37" t="e">
        <f t="shared" si="70"/>
        <v>#N/A</v>
      </c>
      <c r="Y80" s="93" t="e">
        <f t="shared" si="71"/>
        <v>#N/A</v>
      </c>
      <c r="Z80" s="37" t="e">
        <f t="shared" si="72"/>
        <v>#N/A</v>
      </c>
      <c r="AA80" s="35"/>
      <c r="AB80" s="38" t="e">
        <f t="shared" si="73"/>
        <v>#N/A</v>
      </c>
      <c r="AC80" s="38" t="e">
        <f t="shared" si="74"/>
        <v>#N/A</v>
      </c>
      <c r="AD80" s="14" t="e">
        <f>ROUND(IF(A80="","",IF(AC80="  ",AB80-Date!$B$3,AB80-AC80)),0)</f>
        <v>#N/A</v>
      </c>
      <c r="AE80" s="20"/>
    </row>
    <row r="81" spans="1:31" ht="23.25" x14ac:dyDescent="0.25">
      <c r="A81" s="14" t="s">
        <v>149</v>
      </c>
      <c r="B81" s="13" t="e">
        <f t="shared" si="50"/>
        <v>#N/A</v>
      </c>
      <c r="C81" s="35"/>
      <c r="D81" s="93" t="e">
        <f t="shared" si="51"/>
        <v>#N/A</v>
      </c>
      <c r="E81" s="37" t="e">
        <f t="shared" si="52"/>
        <v>#N/A</v>
      </c>
      <c r="F81" s="93" t="e">
        <f t="shared" si="53"/>
        <v>#N/A</v>
      </c>
      <c r="G81" s="37" t="e">
        <f t="shared" si="54"/>
        <v>#N/A</v>
      </c>
      <c r="H81" s="93" t="e">
        <f t="shared" si="55"/>
        <v>#N/A</v>
      </c>
      <c r="I81" s="37" t="e">
        <f t="shared" si="56"/>
        <v>#N/A</v>
      </c>
      <c r="J81" s="35"/>
      <c r="K81" s="93" t="e">
        <f t="shared" si="57"/>
        <v>#N/A</v>
      </c>
      <c r="L81" s="37" t="e">
        <f t="shared" si="58"/>
        <v>#N/A</v>
      </c>
      <c r="M81" s="93" t="e">
        <f t="shared" si="59"/>
        <v>#N/A</v>
      </c>
      <c r="N81" s="37" t="e">
        <f t="shared" si="60"/>
        <v>#N/A</v>
      </c>
      <c r="O81" s="93" t="e">
        <f t="shared" si="61"/>
        <v>#N/A</v>
      </c>
      <c r="P81" s="37" t="e">
        <f t="shared" si="62"/>
        <v>#N/A</v>
      </c>
      <c r="Q81" s="93" t="e">
        <f t="shared" si="63"/>
        <v>#N/A</v>
      </c>
      <c r="R81" s="37" t="e">
        <f t="shared" si="64"/>
        <v>#N/A</v>
      </c>
      <c r="S81" s="93" t="e">
        <f t="shared" si="65"/>
        <v>#N/A</v>
      </c>
      <c r="T81" s="37" t="e">
        <f t="shared" si="66"/>
        <v>#N/A</v>
      </c>
      <c r="U81" s="93" t="e">
        <f t="shared" si="67"/>
        <v>#N/A</v>
      </c>
      <c r="V81" s="37" t="e">
        <f t="shared" si="68"/>
        <v>#N/A</v>
      </c>
      <c r="W81" s="93" t="e">
        <f t="shared" si="69"/>
        <v>#N/A</v>
      </c>
      <c r="X81" s="37" t="e">
        <f t="shared" si="70"/>
        <v>#N/A</v>
      </c>
      <c r="Y81" s="93" t="e">
        <f t="shared" si="71"/>
        <v>#N/A</v>
      </c>
      <c r="Z81" s="37" t="e">
        <f t="shared" si="72"/>
        <v>#N/A</v>
      </c>
      <c r="AA81" s="35"/>
      <c r="AB81" s="38" t="e">
        <f t="shared" si="73"/>
        <v>#N/A</v>
      </c>
      <c r="AC81" s="38" t="e">
        <f t="shared" si="74"/>
        <v>#N/A</v>
      </c>
      <c r="AD81" s="14" t="e">
        <f>ROUND(IF(A81="","",IF(AC81="  ",AB81-Date!$B$3,AB81-AC81)),0)</f>
        <v>#N/A</v>
      </c>
      <c r="AE81" s="20"/>
    </row>
    <row r="82" spans="1:31" ht="23.25" x14ac:dyDescent="0.25">
      <c r="A82" s="14" t="s">
        <v>150</v>
      </c>
      <c r="B82" s="13" t="e">
        <f t="shared" si="50"/>
        <v>#N/A</v>
      </c>
      <c r="C82" s="35"/>
      <c r="D82" s="93" t="e">
        <f t="shared" si="51"/>
        <v>#N/A</v>
      </c>
      <c r="E82" s="37" t="e">
        <f t="shared" si="52"/>
        <v>#N/A</v>
      </c>
      <c r="F82" s="93" t="e">
        <f t="shared" si="53"/>
        <v>#N/A</v>
      </c>
      <c r="G82" s="37" t="e">
        <f t="shared" si="54"/>
        <v>#N/A</v>
      </c>
      <c r="H82" s="93" t="e">
        <f t="shared" si="55"/>
        <v>#N/A</v>
      </c>
      <c r="I82" s="37" t="e">
        <f t="shared" si="56"/>
        <v>#N/A</v>
      </c>
      <c r="J82" s="35"/>
      <c r="K82" s="93" t="e">
        <f t="shared" si="57"/>
        <v>#N/A</v>
      </c>
      <c r="L82" s="37" t="e">
        <f t="shared" si="58"/>
        <v>#N/A</v>
      </c>
      <c r="M82" s="93" t="e">
        <f t="shared" si="59"/>
        <v>#N/A</v>
      </c>
      <c r="N82" s="37" t="e">
        <f t="shared" si="60"/>
        <v>#N/A</v>
      </c>
      <c r="O82" s="93" t="e">
        <f t="shared" si="61"/>
        <v>#N/A</v>
      </c>
      <c r="P82" s="37" t="e">
        <f t="shared" si="62"/>
        <v>#N/A</v>
      </c>
      <c r="Q82" s="93" t="e">
        <f t="shared" si="63"/>
        <v>#N/A</v>
      </c>
      <c r="R82" s="37" t="e">
        <f t="shared" si="64"/>
        <v>#N/A</v>
      </c>
      <c r="S82" s="93" t="e">
        <f t="shared" si="65"/>
        <v>#N/A</v>
      </c>
      <c r="T82" s="37" t="e">
        <f t="shared" si="66"/>
        <v>#N/A</v>
      </c>
      <c r="U82" s="93" t="e">
        <f t="shared" si="67"/>
        <v>#N/A</v>
      </c>
      <c r="V82" s="37" t="e">
        <f t="shared" si="68"/>
        <v>#N/A</v>
      </c>
      <c r="W82" s="93" t="e">
        <f t="shared" si="69"/>
        <v>#N/A</v>
      </c>
      <c r="X82" s="37" t="e">
        <f t="shared" si="70"/>
        <v>#N/A</v>
      </c>
      <c r="Y82" s="93" t="e">
        <f t="shared" si="71"/>
        <v>#N/A</v>
      </c>
      <c r="Z82" s="37" t="e">
        <f t="shared" si="72"/>
        <v>#N/A</v>
      </c>
      <c r="AA82" s="35"/>
      <c r="AB82" s="38" t="e">
        <f t="shared" si="73"/>
        <v>#N/A</v>
      </c>
      <c r="AC82" s="38" t="e">
        <f t="shared" si="74"/>
        <v>#N/A</v>
      </c>
      <c r="AD82" s="14" t="e">
        <f>ROUND(IF(A82="","",IF(AC82="  ",AB82-Date!$B$3,AB82-AC82)),0)</f>
        <v>#N/A</v>
      </c>
      <c r="AE82" s="20"/>
    </row>
    <row r="83" spans="1:31" ht="23.25" x14ac:dyDescent="0.25">
      <c r="A83" s="14" t="s">
        <v>151</v>
      </c>
      <c r="B83" s="13" t="e">
        <f t="shared" si="50"/>
        <v>#N/A</v>
      </c>
      <c r="C83" s="35"/>
      <c r="D83" s="93" t="e">
        <f t="shared" si="51"/>
        <v>#N/A</v>
      </c>
      <c r="E83" s="37" t="e">
        <f t="shared" si="52"/>
        <v>#N/A</v>
      </c>
      <c r="F83" s="93" t="e">
        <f t="shared" si="53"/>
        <v>#N/A</v>
      </c>
      <c r="G83" s="37" t="e">
        <f t="shared" si="54"/>
        <v>#N/A</v>
      </c>
      <c r="H83" s="93" t="e">
        <f t="shared" si="55"/>
        <v>#N/A</v>
      </c>
      <c r="I83" s="37" t="e">
        <f t="shared" si="56"/>
        <v>#N/A</v>
      </c>
      <c r="J83" s="35"/>
      <c r="K83" s="93" t="e">
        <f t="shared" si="57"/>
        <v>#N/A</v>
      </c>
      <c r="L83" s="37" t="e">
        <f t="shared" si="58"/>
        <v>#N/A</v>
      </c>
      <c r="M83" s="93" t="e">
        <f t="shared" si="59"/>
        <v>#N/A</v>
      </c>
      <c r="N83" s="37" t="e">
        <f t="shared" si="60"/>
        <v>#N/A</v>
      </c>
      <c r="O83" s="93" t="e">
        <f t="shared" si="61"/>
        <v>#N/A</v>
      </c>
      <c r="P83" s="37" t="e">
        <f t="shared" si="62"/>
        <v>#N/A</v>
      </c>
      <c r="Q83" s="93" t="e">
        <f t="shared" si="63"/>
        <v>#N/A</v>
      </c>
      <c r="R83" s="37" t="e">
        <f t="shared" si="64"/>
        <v>#N/A</v>
      </c>
      <c r="S83" s="93" t="e">
        <f t="shared" si="65"/>
        <v>#N/A</v>
      </c>
      <c r="T83" s="37" t="e">
        <f t="shared" si="66"/>
        <v>#N/A</v>
      </c>
      <c r="U83" s="93" t="e">
        <f t="shared" si="67"/>
        <v>#N/A</v>
      </c>
      <c r="V83" s="37" t="e">
        <f t="shared" si="68"/>
        <v>#N/A</v>
      </c>
      <c r="W83" s="93" t="e">
        <f t="shared" si="69"/>
        <v>#N/A</v>
      </c>
      <c r="X83" s="37" t="e">
        <f t="shared" si="70"/>
        <v>#N/A</v>
      </c>
      <c r="Y83" s="93" t="e">
        <f t="shared" si="71"/>
        <v>#N/A</v>
      </c>
      <c r="Z83" s="37" t="e">
        <f t="shared" si="72"/>
        <v>#N/A</v>
      </c>
      <c r="AA83" s="35"/>
      <c r="AB83" s="38" t="e">
        <f t="shared" si="73"/>
        <v>#N/A</v>
      </c>
      <c r="AC83" s="38" t="e">
        <f t="shared" si="74"/>
        <v>#N/A</v>
      </c>
      <c r="AD83" s="14" t="e">
        <f>ROUND(IF(A83="","",IF(AC83="  ",AB83-Date!$B$3,AB83-AC83)),0)</f>
        <v>#N/A</v>
      </c>
      <c r="AE83" s="20"/>
    </row>
    <row r="84" spans="1:31" ht="23.25" x14ac:dyDescent="0.25">
      <c r="A84" s="14" t="s">
        <v>152</v>
      </c>
      <c r="B84" s="13" t="e">
        <f t="shared" si="50"/>
        <v>#N/A</v>
      </c>
      <c r="C84" s="35"/>
      <c r="D84" s="93" t="e">
        <f t="shared" si="51"/>
        <v>#N/A</v>
      </c>
      <c r="E84" s="37" t="e">
        <f t="shared" si="52"/>
        <v>#N/A</v>
      </c>
      <c r="F84" s="93" t="e">
        <f t="shared" si="53"/>
        <v>#N/A</v>
      </c>
      <c r="G84" s="37" t="e">
        <f t="shared" si="54"/>
        <v>#N/A</v>
      </c>
      <c r="H84" s="93" t="e">
        <f t="shared" si="55"/>
        <v>#N/A</v>
      </c>
      <c r="I84" s="37" t="e">
        <f t="shared" si="56"/>
        <v>#N/A</v>
      </c>
      <c r="J84" s="35"/>
      <c r="K84" s="93" t="e">
        <f t="shared" si="57"/>
        <v>#N/A</v>
      </c>
      <c r="L84" s="37" t="e">
        <f t="shared" si="58"/>
        <v>#N/A</v>
      </c>
      <c r="M84" s="93" t="e">
        <f t="shared" si="59"/>
        <v>#N/A</v>
      </c>
      <c r="N84" s="37" t="e">
        <f t="shared" si="60"/>
        <v>#N/A</v>
      </c>
      <c r="O84" s="93" t="e">
        <f t="shared" si="61"/>
        <v>#N/A</v>
      </c>
      <c r="P84" s="37" t="e">
        <f t="shared" si="62"/>
        <v>#N/A</v>
      </c>
      <c r="Q84" s="93" t="e">
        <f t="shared" si="63"/>
        <v>#N/A</v>
      </c>
      <c r="R84" s="37" t="e">
        <f t="shared" si="64"/>
        <v>#N/A</v>
      </c>
      <c r="S84" s="93" t="e">
        <f t="shared" si="65"/>
        <v>#N/A</v>
      </c>
      <c r="T84" s="37" t="e">
        <f t="shared" si="66"/>
        <v>#N/A</v>
      </c>
      <c r="U84" s="93" t="e">
        <f t="shared" si="67"/>
        <v>#N/A</v>
      </c>
      <c r="V84" s="37" t="e">
        <f t="shared" si="68"/>
        <v>#N/A</v>
      </c>
      <c r="W84" s="93" t="e">
        <f t="shared" si="69"/>
        <v>#N/A</v>
      </c>
      <c r="X84" s="37" t="e">
        <f t="shared" si="70"/>
        <v>#N/A</v>
      </c>
      <c r="Y84" s="93" t="e">
        <f t="shared" si="71"/>
        <v>#N/A</v>
      </c>
      <c r="Z84" s="37" t="e">
        <f t="shared" si="72"/>
        <v>#N/A</v>
      </c>
      <c r="AA84" s="35"/>
      <c r="AB84" s="38" t="e">
        <f t="shared" si="73"/>
        <v>#N/A</v>
      </c>
      <c r="AC84" s="38" t="e">
        <f t="shared" si="74"/>
        <v>#N/A</v>
      </c>
      <c r="AD84" s="14" t="e">
        <f>ROUND(IF(A84="","",IF(AC84="  ",AB84-Date!$B$3,AB84-AC84)),0)</f>
        <v>#N/A</v>
      </c>
      <c r="AE84" s="20"/>
    </row>
    <row r="85" spans="1:31" ht="23.25" x14ac:dyDescent="0.25">
      <c r="A85" s="14" t="s">
        <v>153</v>
      </c>
      <c r="B85" s="13" t="e">
        <f t="shared" si="50"/>
        <v>#N/A</v>
      </c>
      <c r="C85" s="35"/>
      <c r="D85" s="93" t="e">
        <f t="shared" si="51"/>
        <v>#N/A</v>
      </c>
      <c r="E85" s="37" t="e">
        <f t="shared" si="52"/>
        <v>#N/A</v>
      </c>
      <c r="F85" s="93" t="e">
        <f t="shared" si="53"/>
        <v>#N/A</v>
      </c>
      <c r="G85" s="37" t="e">
        <f t="shared" si="54"/>
        <v>#N/A</v>
      </c>
      <c r="H85" s="93" t="e">
        <f t="shared" si="55"/>
        <v>#N/A</v>
      </c>
      <c r="I85" s="37" t="e">
        <f t="shared" si="56"/>
        <v>#N/A</v>
      </c>
      <c r="J85" s="35"/>
      <c r="K85" s="93" t="e">
        <f t="shared" si="57"/>
        <v>#N/A</v>
      </c>
      <c r="L85" s="37" t="e">
        <f t="shared" si="58"/>
        <v>#N/A</v>
      </c>
      <c r="M85" s="93" t="e">
        <f t="shared" si="59"/>
        <v>#N/A</v>
      </c>
      <c r="N85" s="37" t="e">
        <f t="shared" si="60"/>
        <v>#N/A</v>
      </c>
      <c r="O85" s="93" t="e">
        <f t="shared" si="61"/>
        <v>#N/A</v>
      </c>
      <c r="P85" s="37" t="e">
        <f t="shared" si="62"/>
        <v>#N/A</v>
      </c>
      <c r="Q85" s="93" t="e">
        <f t="shared" si="63"/>
        <v>#N/A</v>
      </c>
      <c r="R85" s="37" t="e">
        <f t="shared" si="64"/>
        <v>#N/A</v>
      </c>
      <c r="S85" s="93" t="e">
        <f t="shared" si="65"/>
        <v>#N/A</v>
      </c>
      <c r="T85" s="37" t="e">
        <f t="shared" si="66"/>
        <v>#N/A</v>
      </c>
      <c r="U85" s="93" t="e">
        <f t="shared" si="67"/>
        <v>#N/A</v>
      </c>
      <c r="V85" s="37" t="e">
        <f t="shared" si="68"/>
        <v>#N/A</v>
      </c>
      <c r="W85" s="93" t="e">
        <f t="shared" si="69"/>
        <v>#N/A</v>
      </c>
      <c r="X85" s="37" t="e">
        <f t="shared" si="70"/>
        <v>#N/A</v>
      </c>
      <c r="Y85" s="93" t="e">
        <f t="shared" si="71"/>
        <v>#N/A</v>
      </c>
      <c r="Z85" s="37" t="e">
        <f t="shared" si="72"/>
        <v>#N/A</v>
      </c>
      <c r="AA85" s="35"/>
      <c r="AB85" s="38" t="e">
        <f t="shared" si="73"/>
        <v>#N/A</v>
      </c>
      <c r="AC85" s="38" t="e">
        <f t="shared" si="74"/>
        <v>#N/A</v>
      </c>
      <c r="AD85" s="14" t="e">
        <f>ROUND(IF(A85="","",IF(AC85="  ",AB85-Date!$B$3,AB85-AC85)),0)</f>
        <v>#N/A</v>
      </c>
      <c r="AE85" s="20"/>
    </row>
    <row r="86" spans="1:31" ht="23.25" x14ac:dyDescent="0.25">
      <c r="A86" s="14" t="s">
        <v>154</v>
      </c>
      <c r="B86" s="13" t="e">
        <f t="shared" si="50"/>
        <v>#N/A</v>
      </c>
      <c r="C86" s="35"/>
      <c r="D86" s="93" t="e">
        <f t="shared" si="51"/>
        <v>#N/A</v>
      </c>
      <c r="E86" s="37" t="e">
        <f t="shared" si="52"/>
        <v>#N/A</v>
      </c>
      <c r="F86" s="93" t="e">
        <f t="shared" si="53"/>
        <v>#N/A</v>
      </c>
      <c r="G86" s="37" t="e">
        <f t="shared" si="54"/>
        <v>#N/A</v>
      </c>
      <c r="H86" s="93" t="e">
        <f t="shared" si="55"/>
        <v>#N/A</v>
      </c>
      <c r="I86" s="37" t="e">
        <f t="shared" si="56"/>
        <v>#N/A</v>
      </c>
      <c r="J86" s="35"/>
      <c r="K86" s="93" t="e">
        <f t="shared" si="57"/>
        <v>#N/A</v>
      </c>
      <c r="L86" s="37" t="e">
        <f t="shared" si="58"/>
        <v>#N/A</v>
      </c>
      <c r="M86" s="93" t="e">
        <f t="shared" si="59"/>
        <v>#N/A</v>
      </c>
      <c r="N86" s="37" t="e">
        <f t="shared" si="60"/>
        <v>#N/A</v>
      </c>
      <c r="O86" s="93" t="e">
        <f t="shared" si="61"/>
        <v>#N/A</v>
      </c>
      <c r="P86" s="37" t="e">
        <f t="shared" si="62"/>
        <v>#N/A</v>
      </c>
      <c r="Q86" s="93" t="e">
        <f t="shared" si="63"/>
        <v>#N/A</v>
      </c>
      <c r="R86" s="37" t="e">
        <f t="shared" si="64"/>
        <v>#N/A</v>
      </c>
      <c r="S86" s="93" t="e">
        <f t="shared" si="65"/>
        <v>#N/A</v>
      </c>
      <c r="T86" s="37" t="e">
        <f t="shared" si="66"/>
        <v>#N/A</v>
      </c>
      <c r="U86" s="93" t="e">
        <f t="shared" si="67"/>
        <v>#N/A</v>
      </c>
      <c r="V86" s="37" t="e">
        <f t="shared" si="68"/>
        <v>#N/A</v>
      </c>
      <c r="W86" s="93" t="e">
        <f t="shared" si="69"/>
        <v>#N/A</v>
      </c>
      <c r="X86" s="37" t="e">
        <f t="shared" si="70"/>
        <v>#N/A</v>
      </c>
      <c r="Y86" s="93" t="e">
        <f t="shared" si="71"/>
        <v>#N/A</v>
      </c>
      <c r="Z86" s="37" t="e">
        <f t="shared" si="72"/>
        <v>#N/A</v>
      </c>
      <c r="AA86" s="35"/>
      <c r="AB86" s="38" t="e">
        <f t="shared" si="73"/>
        <v>#N/A</v>
      </c>
      <c r="AC86" s="38" t="e">
        <f t="shared" si="74"/>
        <v>#N/A</v>
      </c>
      <c r="AD86" s="14" t="e">
        <f>ROUND(IF(A86="","",IF(AC86="  ",AB86-Date!$B$3,AB86-AC86)),0)</f>
        <v>#N/A</v>
      </c>
      <c r="AE86" s="20"/>
    </row>
    <row r="87" spans="1:31" ht="23.25" x14ac:dyDescent="0.25">
      <c r="A87" s="14" t="s">
        <v>155</v>
      </c>
      <c r="B87" s="13" t="e">
        <f t="shared" si="50"/>
        <v>#N/A</v>
      </c>
      <c r="C87" s="35"/>
      <c r="D87" s="93" t="e">
        <f t="shared" si="51"/>
        <v>#N/A</v>
      </c>
      <c r="E87" s="37" t="e">
        <f t="shared" si="52"/>
        <v>#N/A</v>
      </c>
      <c r="F87" s="93" t="e">
        <f t="shared" si="53"/>
        <v>#N/A</v>
      </c>
      <c r="G87" s="37" t="e">
        <f t="shared" si="54"/>
        <v>#N/A</v>
      </c>
      <c r="H87" s="93" t="e">
        <f t="shared" si="55"/>
        <v>#N/A</v>
      </c>
      <c r="I87" s="37" t="e">
        <f t="shared" si="56"/>
        <v>#N/A</v>
      </c>
      <c r="J87" s="35"/>
      <c r="K87" s="93" t="e">
        <f t="shared" si="57"/>
        <v>#N/A</v>
      </c>
      <c r="L87" s="37" t="e">
        <f t="shared" si="58"/>
        <v>#N/A</v>
      </c>
      <c r="M87" s="93" t="e">
        <f t="shared" si="59"/>
        <v>#N/A</v>
      </c>
      <c r="N87" s="37" t="e">
        <f t="shared" si="60"/>
        <v>#N/A</v>
      </c>
      <c r="O87" s="93" t="e">
        <f t="shared" si="61"/>
        <v>#N/A</v>
      </c>
      <c r="P87" s="37" t="e">
        <f t="shared" si="62"/>
        <v>#N/A</v>
      </c>
      <c r="Q87" s="93" t="e">
        <f t="shared" si="63"/>
        <v>#N/A</v>
      </c>
      <c r="R87" s="37" t="e">
        <f t="shared" si="64"/>
        <v>#N/A</v>
      </c>
      <c r="S87" s="93" t="e">
        <f t="shared" si="65"/>
        <v>#N/A</v>
      </c>
      <c r="T87" s="37" t="e">
        <f t="shared" si="66"/>
        <v>#N/A</v>
      </c>
      <c r="U87" s="93" t="e">
        <f t="shared" si="67"/>
        <v>#N/A</v>
      </c>
      <c r="V87" s="37" t="e">
        <f t="shared" si="68"/>
        <v>#N/A</v>
      </c>
      <c r="W87" s="93" t="e">
        <f t="shared" si="69"/>
        <v>#N/A</v>
      </c>
      <c r="X87" s="37" t="e">
        <f t="shared" si="70"/>
        <v>#N/A</v>
      </c>
      <c r="Y87" s="93" t="e">
        <f t="shared" si="71"/>
        <v>#N/A</v>
      </c>
      <c r="Z87" s="37" t="e">
        <f t="shared" si="72"/>
        <v>#N/A</v>
      </c>
      <c r="AA87" s="35"/>
      <c r="AB87" s="38" t="e">
        <f t="shared" si="73"/>
        <v>#N/A</v>
      </c>
      <c r="AC87" s="38" t="e">
        <f t="shared" si="74"/>
        <v>#N/A</v>
      </c>
      <c r="AD87" s="14" t="e">
        <f>ROUND(IF(A87="","",IF(AC87="  ",AB87-Date!$B$3,AB87-AC87)),0)</f>
        <v>#N/A</v>
      </c>
      <c r="AE87" s="20"/>
    </row>
    <row r="88" spans="1:31" ht="23.25" x14ac:dyDescent="0.25">
      <c r="A88" s="14" t="s">
        <v>156</v>
      </c>
      <c r="B88" s="13" t="e">
        <f t="shared" si="50"/>
        <v>#N/A</v>
      </c>
      <c r="C88" s="35"/>
      <c r="D88" s="93" t="e">
        <f t="shared" si="51"/>
        <v>#N/A</v>
      </c>
      <c r="E88" s="37" t="e">
        <f t="shared" si="52"/>
        <v>#N/A</v>
      </c>
      <c r="F88" s="93" t="e">
        <f t="shared" si="53"/>
        <v>#N/A</v>
      </c>
      <c r="G88" s="37" t="e">
        <f t="shared" si="54"/>
        <v>#N/A</v>
      </c>
      <c r="H88" s="93" t="e">
        <f t="shared" si="55"/>
        <v>#N/A</v>
      </c>
      <c r="I88" s="37" t="e">
        <f t="shared" si="56"/>
        <v>#N/A</v>
      </c>
      <c r="J88" s="35"/>
      <c r="K88" s="93" t="e">
        <f t="shared" si="57"/>
        <v>#N/A</v>
      </c>
      <c r="L88" s="37" t="e">
        <f t="shared" si="58"/>
        <v>#N/A</v>
      </c>
      <c r="M88" s="93" t="e">
        <f t="shared" si="59"/>
        <v>#N/A</v>
      </c>
      <c r="N88" s="37" t="e">
        <f t="shared" si="60"/>
        <v>#N/A</v>
      </c>
      <c r="O88" s="93" t="e">
        <f t="shared" si="61"/>
        <v>#N/A</v>
      </c>
      <c r="P88" s="37" t="e">
        <f t="shared" si="62"/>
        <v>#N/A</v>
      </c>
      <c r="Q88" s="93" t="e">
        <f t="shared" si="63"/>
        <v>#N/A</v>
      </c>
      <c r="R88" s="37" t="e">
        <f t="shared" si="64"/>
        <v>#N/A</v>
      </c>
      <c r="S88" s="93" t="e">
        <f t="shared" si="65"/>
        <v>#N/A</v>
      </c>
      <c r="T88" s="37" t="e">
        <f t="shared" si="66"/>
        <v>#N/A</v>
      </c>
      <c r="U88" s="93" t="e">
        <f t="shared" si="67"/>
        <v>#N/A</v>
      </c>
      <c r="V88" s="37" t="e">
        <f t="shared" si="68"/>
        <v>#N/A</v>
      </c>
      <c r="W88" s="93" t="e">
        <f t="shared" si="69"/>
        <v>#N/A</v>
      </c>
      <c r="X88" s="37" t="e">
        <f t="shared" si="70"/>
        <v>#N/A</v>
      </c>
      <c r="Y88" s="93" t="e">
        <f t="shared" si="71"/>
        <v>#N/A</v>
      </c>
      <c r="Z88" s="37" t="e">
        <f t="shared" si="72"/>
        <v>#N/A</v>
      </c>
      <c r="AA88" s="35"/>
      <c r="AB88" s="38" t="e">
        <f t="shared" si="73"/>
        <v>#N/A</v>
      </c>
      <c r="AC88" s="38" t="e">
        <f t="shared" si="74"/>
        <v>#N/A</v>
      </c>
      <c r="AD88" s="14" t="e">
        <f>ROUND(IF(A88="","",IF(AC88="  ",AB88-Date!$B$3,AB88-AC88)),0)</f>
        <v>#N/A</v>
      </c>
      <c r="AE88" s="20"/>
    </row>
    <row r="89" spans="1:31" ht="23.25" x14ac:dyDescent="0.25">
      <c r="A89" s="14" t="s">
        <v>157</v>
      </c>
      <c r="B89" s="13" t="e">
        <f t="shared" si="50"/>
        <v>#N/A</v>
      </c>
      <c r="C89" s="35"/>
      <c r="D89" s="93" t="e">
        <f t="shared" si="51"/>
        <v>#N/A</v>
      </c>
      <c r="E89" s="37" t="e">
        <f t="shared" si="52"/>
        <v>#N/A</v>
      </c>
      <c r="F89" s="93" t="e">
        <f t="shared" si="53"/>
        <v>#N/A</v>
      </c>
      <c r="G89" s="37" t="e">
        <f t="shared" si="54"/>
        <v>#N/A</v>
      </c>
      <c r="H89" s="93" t="e">
        <f t="shared" si="55"/>
        <v>#N/A</v>
      </c>
      <c r="I89" s="37" t="e">
        <f t="shared" si="56"/>
        <v>#N/A</v>
      </c>
      <c r="J89" s="35"/>
      <c r="K89" s="93" t="e">
        <f t="shared" si="57"/>
        <v>#N/A</v>
      </c>
      <c r="L89" s="37" t="e">
        <f t="shared" si="58"/>
        <v>#N/A</v>
      </c>
      <c r="M89" s="93" t="e">
        <f t="shared" si="59"/>
        <v>#N/A</v>
      </c>
      <c r="N89" s="37" t="e">
        <f t="shared" si="60"/>
        <v>#N/A</v>
      </c>
      <c r="O89" s="93" t="e">
        <f t="shared" si="61"/>
        <v>#N/A</v>
      </c>
      <c r="P89" s="37" t="e">
        <f t="shared" si="62"/>
        <v>#N/A</v>
      </c>
      <c r="Q89" s="93" t="e">
        <f t="shared" si="63"/>
        <v>#N/A</v>
      </c>
      <c r="R89" s="37" t="e">
        <f t="shared" si="64"/>
        <v>#N/A</v>
      </c>
      <c r="S89" s="93" t="e">
        <f t="shared" si="65"/>
        <v>#N/A</v>
      </c>
      <c r="T89" s="37" t="e">
        <f t="shared" si="66"/>
        <v>#N/A</v>
      </c>
      <c r="U89" s="93" t="e">
        <f t="shared" si="67"/>
        <v>#N/A</v>
      </c>
      <c r="V89" s="37" t="e">
        <f t="shared" si="68"/>
        <v>#N/A</v>
      </c>
      <c r="W89" s="93" t="e">
        <f t="shared" si="69"/>
        <v>#N/A</v>
      </c>
      <c r="X89" s="37" t="e">
        <f t="shared" si="70"/>
        <v>#N/A</v>
      </c>
      <c r="Y89" s="93" t="e">
        <f t="shared" si="71"/>
        <v>#N/A</v>
      </c>
      <c r="Z89" s="37" t="e">
        <f t="shared" si="72"/>
        <v>#N/A</v>
      </c>
      <c r="AA89" s="35"/>
      <c r="AB89" s="38" t="e">
        <f t="shared" si="73"/>
        <v>#N/A</v>
      </c>
      <c r="AC89" s="38" t="e">
        <f t="shared" si="74"/>
        <v>#N/A</v>
      </c>
      <c r="AD89" s="14" t="e">
        <f>ROUND(IF(A89="","",IF(AC89="  ",AB89-Date!$B$3,AB89-AC89)),0)</f>
        <v>#N/A</v>
      </c>
      <c r="AE89" s="20"/>
    </row>
    <row r="90" spans="1:31" ht="23.25" x14ac:dyDescent="0.25">
      <c r="A90" s="14" t="s">
        <v>158</v>
      </c>
      <c r="B90" s="13" t="e">
        <f t="shared" si="50"/>
        <v>#N/A</v>
      </c>
      <c r="C90" s="35"/>
      <c r="D90" s="93" t="e">
        <f t="shared" si="51"/>
        <v>#N/A</v>
      </c>
      <c r="E90" s="37" t="e">
        <f t="shared" si="52"/>
        <v>#N/A</v>
      </c>
      <c r="F90" s="93" t="e">
        <f t="shared" si="53"/>
        <v>#N/A</v>
      </c>
      <c r="G90" s="37" t="e">
        <f t="shared" si="54"/>
        <v>#N/A</v>
      </c>
      <c r="H90" s="93" t="e">
        <f t="shared" si="55"/>
        <v>#N/A</v>
      </c>
      <c r="I90" s="37" t="e">
        <f t="shared" si="56"/>
        <v>#N/A</v>
      </c>
      <c r="J90" s="35"/>
      <c r="K90" s="93" t="e">
        <f t="shared" si="57"/>
        <v>#N/A</v>
      </c>
      <c r="L90" s="37" t="e">
        <f t="shared" si="58"/>
        <v>#N/A</v>
      </c>
      <c r="M90" s="93" t="e">
        <f t="shared" si="59"/>
        <v>#N/A</v>
      </c>
      <c r="N90" s="37" t="e">
        <f t="shared" si="60"/>
        <v>#N/A</v>
      </c>
      <c r="O90" s="93" t="e">
        <f t="shared" si="61"/>
        <v>#N/A</v>
      </c>
      <c r="P90" s="37" t="e">
        <f t="shared" si="62"/>
        <v>#N/A</v>
      </c>
      <c r="Q90" s="93" t="e">
        <f t="shared" si="63"/>
        <v>#N/A</v>
      </c>
      <c r="R90" s="37" t="e">
        <f t="shared" si="64"/>
        <v>#N/A</v>
      </c>
      <c r="S90" s="93" t="e">
        <f t="shared" si="65"/>
        <v>#N/A</v>
      </c>
      <c r="T90" s="37" t="e">
        <f t="shared" si="66"/>
        <v>#N/A</v>
      </c>
      <c r="U90" s="93" t="e">
        <f t="shared" si="67"/>
        <v>#N/A</v>
      </c>
      <c r="V90" s="37" t="e">
        <f t="shared" si="68"/>
        <v>#N/A</v>
      </c>
      <c r="W90" s="93" t="e">
        <f t="shared" si="69"/>
        <v>#N/A</v>
      </c>
      <c r="X90" s="37" t="e">
        <f t="shared" si="70"/>
        <v>#N/A</v>
      </c>
      <c r="Y90" s="93" t="e">
        <f t="shared" si="71"/>
        <v>#N/A</v>
      </c>
      <c r="Z90" s="37" t="e">
        <f t="shared" si="72"/>
        <v>#N/A</v>
      </c>
      <c r="AA90" s="35"/>
      <c r="AB90" s="38" t="e">
        <f t="shared" si="73"/>
        <v>#N/A</v>
      </c>
      <c r="AC90" s="38" t="e">
        <f t="shared" si="74"/>
        <v>#N/A</v>
      </c>
      <c r="AD90" s="14" t="e">
        <f>ROUND(IF(A90="","",IF(AC90="  ",AB90-Date!$B$3,AB90-AC90)),0)</f>
        <v>#N/A</v>
      </c>
      <c r="AE90" s="20"/>
    </row>
    <row r="91" spans="1:31" ht="23.25" x14ac:dyDescent="0.25">
      <c r="A91" s="14" t="s">
        <v>159</v>
      </c>
      <c r="B91" s="13" t="e">
        <f t="shared" si="50"/>
        <v>#N/A</v>
      </c>
      <c r="C91" s="35"/>
      <c r="D91" s="93" t="e">
        <f t="shared" si="51"/>
        <v>#N/A</v>
      </c>
      <c r="E91" s="37" t="e">
        <f t="shared" si="52"/>
        <v>#N/A</v>
      </c>
      <c r="F91" s="93" t="e">
        <f t="shared" si="53"/>
        <v>#N/A</v>
      </c>
      <c r="G91" s="37" t="e">
        <f t="shared" si="54"/>
        <v>#N/A</v>
      </c>
      <c r="H91" s="93" t="e">
        <f t="shared" si="55"/>
        <v>#N/A</v>
      </c>
      <c r="I91" s="37" t="e">
        <f t="shared" si="56"/>
        <v>#N/A</v>
      </c>
      <c r="J91" s="35"/>
      <c r="K91" s="93" t="e">
        <f t="shared" si="57"/>
        <v>#N/A</v>
      </c>
      <c r="L91" s="37" t="e">
        <f t="shared" si="58"/>
        <v>#N/A</v>
      </c>
      <c r="M91" s="93" t="e">
        <f t="shared" si="59"/>
        <v>#N/A</v>
      </c>
      <c r="N91" s="37" t="e">
        <f t="shared" si="60"/>
        <v>#N/A</v>
      </c>
      <c r="O91" s="93" t="e">
        <f t="shared" si="61"/>
        <v>#N/A</v>
      </c>
      <c r="P91" s="37" t="e">
        <f t="shared" si="62"/>
        <v>#N/A</v>
      </c>
      <c r="Q91" s="93" t="e">
        <f t="shared" si="63"/>
        <v>#N/A</v>
      </c>
      <c r="R91" s="37" t="e">
        <f t="shared" si="64"/>
        <v>#N/A</v>
      </c>
      <c r="S91" s="93" t="e">
        <f t="shared" si="65"/>
        <v>#N/A</v>
      </c>
      <c r="T91" s="37" t="e">
        <f t="shared" si="66"/>
        <v>#N/A</v>
      </c>
      <c r="U91" s="93" t="e">
        <f t="shared" si="67"/>
        <v>#N/A</v>
      </c>
      <c r="V91" s="37" t="e">
        <f t="shared" si="68"/>
        <v>#N/A</v>
      </c>
      <c r="W91" s="93" t="e">
        <f t="shared" si="69"/>
        <v>#N/A</v>
      </c>
      <c r="X91" s="37" t="e">
        <f t="shared" si="70"/>
        <v>#N/A</v>
      </c>
      <c r="Y91" s="93" t="e">
        <f t="shared" si="71"/>
        <v>#N/A</v>
      </c>
      <c r="Z91" s="37" t="e">
        <f t="shared" si="72"/>
        <v>#N/A</v>
      </c>
      <c r="AA91" s="35"/>
      <c r="AB91" s="38" t="e">
        <f t="shared" si="73"/>
        <v>#N/A</v>
      </c>
      <c r="AC91" s="38" t="e">
        <f t="shared" si="74"/>
        <v>#N/A</v>
      </c>
      <c r="AD91" s="14" t="e">
        <f>ROUND(IF(A91="","",IF(AC91="  ",AB91-Date!$B$3,AB91-AC91)),0)</f>
        <v>#N/A</v>
      </c>
      <c r="AE91" s="20"/>
    </row>
    <row r="92" spans="1:31" ht="23.25" x14ac:dyDescent="0.25">
      <c r="A92" s="14" t="s">
        <v>160</v>
      </c>
      <c r="B92" s="13" t="e">
        <f t="shared" si="50"/>
        <v>#N/A</v>
      </c>
      <c r="C92" s="35"/>
      <c r="D92" s="93" t="e">
        <f t="shared" si="51"/>
        <v>#N/A</v>
      </c>
      <c r="E92" s="37" t="e">
        <f t="shared" si="52"/>
        <v>#N/A</v>
      </c>
      <c r="F92" s="93" t="e">
        <f t="shared" si="53"/>
        <v>#N/A</v>
      </c>
      <c r="G92" s="37" t="e">
        <f t="shared" si="54"/>
        <v>#N/A</v>
      </c>
      <c r="H92" s="93" t="e">
        <f t="shared" si="55"/>
        <v>#N/A</v>
      </c>
      <c r="I92" s="37" t="e">
        <f t="shared" si="56"/>
        <v>#N/A</v>
      </c>
      <c r="J92" s="35"/>
      <c r="K92" s="93" t="e">
        <f t="shared" si="57"/>
        <v>#N/A</v>
      </c>
      <c r="L92" s="37" t="e">
        <f t="shared" si="58"/>
        <v>#N/A</v>
      </c>
      <c r="M92" s="93" t="e">
        <f t="shared" si="59"/>
        <v>#N/A</v>
      </c>
      <c r="N92" s="37" t="e">
        <f t="shared" si="60"/>
        <v>#N/A</v>
      </c>
      <c r="O92" s="93" t="e">
        <f t="shared" si="61"/>
        <v>#N/A</v>
      </c>
      <c r="P92" s="37" t="e">
        <f t="shared" si="62"/>
        <v>#N/A</v>
      </c>
      <c r="Q92" s="93" t="e">
        <f t="shared" si="63"/>
        <v>#N/A</v>
      </c>
      <c r="R92" s="37" t="e">
        <f t="shared" si="64"/>
        <v>#N/A</v>
      </c>
      <c r="S92" s="93" t="e">
        <f t="shared" si="65"/>
        <v>#N/A</v>
      </c>
      <c r="T92" s="37" t="e">
        <f t="shared" si="66"/>
        <v>#N/A</v>
      </c>
      <c r="U92" s="93" t="e">
        <f t="shared" si="67"/>
        <v>#N/A</v>
      </c>
      <c r="V92" s="37" t="e">
        <f t="shared" si="68"/>
        <v>#N/A</v>
      </c>
      <c r="W92" s="93" t="e">
        <f t="shared" si="69"/>
        <v>#N/A</v>
      </c>
      <c r="X92" s="37" t="e">
        <f t="shared" si="70"/>
        <v>#N/A</v>
      </c>
      <c r="Y92" s="93" t="e">
        <f t="shared" si="71"/>
        <v>#N/A</v>
      </c>
      <c r="Z92" s="37" t="e">
        <f t="shared" si="72"/>
        <v>#N/A</v>
      </c>
      <c r="AA92" s="35"/>
      <c r="AB92" s="38" t="e">
        <f t="shared" si="73"/>
        <v>#N/A</v>
      </c>
      <c r="AC92" s="38" t="e">
        <f t="shared" si="74"/>
        <v>#N/A</v>
      </c>
      <c r="AD92" s="14" t="e">
        <f>ROUND(IF(A92="","",IF(AC92="  ",AB92-Date!$B$3,AB92-AC92)),0)</f>
        <v>#N/A</v>
      </c>
      <c r="AE92" s="20"/>
    </row>
    <row r="93" spans="1:31" ht="23.25" x14ac:dyDescent="0.25">
      <c r="A93" s="14" t="s">
        <v>161</v>
      </c>
      <c r="B93" s="13" t="e">
        <f t="shared" si="50"/>
        <v>#N/A</v>
      </c>
      <c r="C93" s="35"/>
      <c r="D93" s="93" t="e">
        <f t="shared" si="51"/>
        <v>#N/A</v>
      </c>
      <c r="E93" s="37" t="e">
        <f t="shared" si="52"/>
        <v>#N/A</v>
      </c>
      <c r="F93" s="93" t="e">
        <f t="shared" si="53"/>
        <v>#N/A</v>
      </c>
      <c r="G93" s="37" t="e">
        <f t="shared" si="54"/>
        <v>#N/A</v>
      </c>
      <c r="H93" s="93" t="e">
        <f t="shared" si="55"/>
        <v>#N/A</v>
      </c>
      <c r="I93" s="37" t="e">
        <f t="shared" si="56"/>
        <v>#N/A</v>
      </c>
      <c r="J93" s="35"/>
      <c r="K93" s="93" t="e">
        <f t="shared" si="57"/>
        <v>#N/A</v>
      </c>
      <c r="L93" s="37" t="e">
        <f t="shared" si="58"/>
        <v>#N/A</v>
      </c>
      <c r="M93" s="93" t="e">
        <f t="shared" si="59"/>
        <v>#N/A</v>
      </c>
      <c r="N93" s="37" t="e">
        <f t="shared" si="60"/>
        <v>#N/A</v>
      </c>
      <c r="O93" s="93" t="e">
        <f t="shared" si="61"/>
        <v>#N/A</v>
      </c>
      <c r="P93" s="37" t="e">
        <f t="shared" si="62"/>
        <v>#N/A</v>
      </c>
      <c r="Q93" s="93" t="e">
        <f t="shared" si="63"/>
        <v>#N/A</v>
      </c>
      <c r="R93" s="37" t="e">
        <f t="shared" si="64"/>
        <v>#N/A</v>
      </c>
      <c r="S93" s="93" t="e">
        <f t="shared" si="65"/>
        <v>#N/A</v>
      </c>
      <c r="T93" s="37" t="e">
        <f t="shared" si="66"/>
        <v>#N/A</v>
      </c>
      <c r="U93" s="93" t="e">
        <f t="shared" si="67"/>
        <v>#N/A</v>
      </c>
      <c r="V93" s="37" t="e">
        <f t="shared" si="68"/>
        <v>#N/A</v>
      </c>
      <c r="W93" s="93" t="e">
        <f t="shared" si="69"/>
        <v>#N/A</v>
      </c>
      <c r="X93" s="37" t="e">
        <f t="shared" si="70"/>
        <v>#N/A</v>
      </c>
      <c r="Y93" s="93" t="e">
        <f t="shared" si="71"/>
        <v>#N/A</v>
      </c>
      <c r="Z93" s="37" t="e">
        <f t="shared" si="72"/>
        <v>#N/A</v>
      </c>
      <c r="AA93" s="35"/>
      <c r="AB93" s="38" t="e">
        <f t="shared" si="73"/>
        <v>#N/A</v>
      </c>
      <c r="AC93" s="38" t="e">
        <f t="shared" si="74"/>
        <v>#N/A</v>
      </c>
      <c r="AD93" s="14" t="e">
        <f>ROUND(IF(A93="","",IF(AC93="  ",AB93-Date!$B$3,AB93-AC93)),0)</f>
        <v>#N/A</v>
      </c>
      <c r="AE93" s="20"/>
    </row>
    <row r="94" spans="1:31" ht="23.25" x14ac:dyDescent="0.25">
      <c r="A94" s="14" t="s">
        <v>162</v>
      </c>
      <c r="B94" s="13" t="e">
        <f t="shared" si="50"/>
        <v>#N/A</v>
      </c>
      <c r="C94" s="35"/>
      <c r="D94" s="93" t="e">
        <f t="shared" si="51"/>
        <v>#N/A</v>
      </c>
      <c r="E94" s="37" t="e">
        <f t="shared" si="52"/>
        <v>#N/A</v>
      </c>
      <c r="F94" s="93" t="e">
        <f t="shared" si="53"/>
        <v>#N/A</v>
      </c>
      <c r="G94" s="37" t="e">
        <f t="shared" si="54"/>
        <v>#N/A</v>
      </c>
      <c r="H94" s="93" t="e">
        <f t="shared" si="55"/>
        <v>#N/A</v>
      </c>
      <c r="I94" s="37" t="e">
        <f t="shared" si="56"/>
        <v>#N/A</v>
      </c>
      <c r="J94" s="35"/>
      <c r="K94" s="93" t="e">
        <f t="shared" si="57"/>
        <v>#N/A</v>
      </c>
      <c r="L94" s="37" t="e">
        <f t="shared" si="58"/>
        <v>#N/A</v>
      </c>
      <c r="M94" s="93" t="e">
        <f t="shared" si="59"/>
        <v>#N/A</v>
      </c>
      <c r="N94" s="37" t="e">
        <f t="shared" si="60"/>
        <v>#N/A</v>
      </c>
      <c r="O94" s="93" t="e">
        <f t="shared" si="61"/>
        <v>#N/A</v>
      </c>
      <c r="P94" s="37" t="e">
        <f t="shared" si="62"/>
        <v>#N/A</v>
      </c>
      <c r="Q94" s="93" t="e">
        <f t="shared" si="63"/>
        <v>#N/A</v>
      </c>
      <c r="R94" s="37" t="e">
        <f t="shared" si="64"/>
        <v>#N/A</v>
      </c>
      <c r="S94" s="93" t="e">
        <f t="shared" si="65"/>
        <v>#N/A</v>
      </c>
      <c r="T94" s="37" t="e">
        <f t="shared" si="66"/>
        <v>#N/A</v>
      </c>
      <c r="U94" s="93" t="e">
        <f t="shared" si="67"/>
        <v>#N/A</v>
      </c>
      <c r="V94" s="37" t="e">
        <f t="shared" si="68"/>
        <v>#N/A</v>
      </c>
      <c r="W94" s="93" t="e">
        <f t="shared" si="69"/>
        <v>#N/A</v>
      </c>
      <c r="X94" s="37" t="e">
        <f t="shared" si="70"/>
        <v>#N/A</v>
      </c>
      <c r="Y94" s="93" t="e">
        <f t="shared" si="71"/>
        <v>#N/A</v>
      </c>
      <c r="Z94" s="37" t="e">
        <f t="shared" si="72"/>
        <v>#N/A</v>
      </c>
      <c r="AA94" s="35"/>
      <c r="AB94" s="38" t="e">
        <f t="shared" si="73"/>
        <v>#N/A</v>
      </c>
      <c r="AC94" s="38" t="e">
        <f t="shared" si="74"/>
        <v>#N/A</v>
      </c>
      <c r="AD94" s="14" t="e">
        <f>ROUND(IF(A94="","",IF(AC94="  ",AB94-Date!$B$3,AB94-AC94)),0)</f>
        <v>#N/A</v>
      </c>
      <c r="AE94" s="20"/>
    </row>
    <row r="95" spans="1:31" ht="23.25" x14ac:dyDescent="0.25">
      <c r="A95" s="14" t="s">
        <v>163</v>
      </c>
      <c r="B95" s="13" t="e">
        <f t="shared" si="50"/>
        <v>#N/A</v>
      </c>
      <c r="C95" s="35"/>
      <c r="D95" s="93" t="e">
        <f t="shared" si="51"/>
        <v>#N/A</v>
      </c>
      <c r="E95" s="37" t="e">
        <f t="shared" si="52"/>
        <v>#N/A</v>
      </c>
      <c r="F95" s="93" t="e">
        <f t="shared" si="53"/>
        <v>#N/A</v>
      </c>
      <c r="G95" s="37" t="e">
        <f t="shared" si="54"/>
        <v>#N/A</v>
      </c>
      <c r="H95" s="93" t="e">
        <f t="shared" si="55"/>
        <v>#N/A</v>
      </c>
      <c r="I95" s="37" t="e">
        <f t="shared" si="56"/>
        <v>#N/A</v>
      </c>
      <c r="J95" s="35"/>
      <c r="K95" s="93" t="e">
        <f t="shared" si="57"/>
        <v>#N/A</v>
      </c>
      <c r="L95" s="37" t="e">
        <f t="shared" si="58"/>
        <v>#N/A</v>
      </c>
      <c r="M95" s="93" t="e">
        <f t="shared" si="59"/>
        <v>#N/A</v>
      </c>
      <c r="N95" s="37" t="e">
        <f t="shared" si="60"/>
        <v>#N/A</v>
      </c>
      <c r="O95" s="93" t="e">
        <f t="shared" si="61"/>
        <v>#N/A</v>
      </c>
      <c r="P95" s="37" t="e">
        <f t="shared" si="62"/>
        <v>#N/A</v>
      </c>
      <c r="Q95" s="93" t="e">
        <f t="shared" si="63"/>
        <v>#N/A</v>
      </c>
      <c r="R95" s="37" t="e">
        <f t="shared" si="64"/>
        <v>#N/A</v>
      </c>
      <c r="S95" s="93" t="e">
        <f t="shared" si="65"/>
        <v>#N/A</v>
      </c>
      <c r="T95" s="37" t="e">
        <f t="shared" si="66"/>
        <v>#N/A</v>
      </c>
      <c r="U95" s="93" t="e">
        <f t="shared" si="67"/>
        <v>#N/A</v>
      </c>
      <c r="V95" s="37" t="e">
        <f t="shared" si="68"/>
        <v>#N/A</v>
      </c>
      <c r="W95" s="93" t="e">
        <f t="shared" si="69"/>
        <v>#N/A</v>
      </c>
      <c r="X95" s="37" t="e">
        <f t="shared" si="70"/>
        <v>#N/A</v>
      </c>
      <c r="Y95" s="93" t="e">
        <f t="shared" si="71"/>
        <v>#N/A</v>
      </c>
      <c r="Z95" s="37" t="e">
        <f t="shared" si="72"/>
        <v>#N/A</v>
      </c>
      <c r="AA95" s="35"/>
      <c r="AB95" s="38" t="e">
        <f t="shared" si="73"/>
        <v>#N/A</v>
      </c>
      <c r="AC95" s="38" t="e">
        <f t="shared" si="74"/>
        <v>#N/A</v>
      </c>
      <c r="AD95" s="14" t="e">
        <f>ROUND(IF(A95="","",IF(AC95="  ",AB95-Date!$B$3,AB95-AC95)),0)</f>
        <v>#N/A</v>
      </c>
      <c r="AE95" s="20"/>
    </row>
    <row r="96" spans="1:31" ht="23.25" x14ac:dyDescent="0.25">
      <c r="A96" s="14" t="s">
        <v>164</v>
      </c>
      <c r="B96" s="13" t="e">
        <f t="shared" si="50"/>
        <v>#N/A</v>
      </c>
      <c r="C96" s="35"/>
      <c r="D96" s="93" t="e">
        <f t="shared" si="51"/>
        <v>#N/A</v>
      </c>
      <c r="E96" s="37" t="e">
        <f t="shared" si="52"/>
        <v>#N/A</v>
      </c>
      <c r="F96" s="93" t="e">
        <f t="shared" si="53"/>
        <v>#N/A</v>
      </c>
      <c r="G96" s="37" t="e">
        <f t="shared" si="54"/>
        <v>#N/A</v>
      </c>
      <c r="H96" s="93" t="e">
        <f t="shared" si="55"/>
        <v>#N/A</v>
      </c>
      <c r="I96" s="37" t="e">
        <f t="shared" si="56"/>
        <v>#N/A</v>
      </c>
      <c r="J96" s="35"/>
      <c r="K96" s="93" t="e">
        <f t="shared" si="57"/>
        <v>#N/A</v>
      </c>
      <c r="L96" s="37" t="e">
        <f t="shared" si="58"/>
        <v>#N/A</v>
      </c>
      <c r="M96" s="93" t="e">
        <f t="shared" si="59"/>
        <v>#N/A</v>
      </c>
      <c r="N96" s="37" t="e">
        <f t="shared" si="60"/>
        <v>#N/A</v>
      </c>
      <c r="O96" s="93" t="e">
        <f t="shared" si="61"/>
        <v>#N/A</v>
      </c>
      <c r="P96" s="37" t="e">
        <f t="shared" si="62"/>
        <v>#N/A</v>
      </c>
      <c r="Q96" s="93" t="e">
        <f t="shared" si="63"/>
        <v>#N/A</v>
      </c>
      <c r="R96" s="37" t="e">
        <f t="shared" si="64"/>
        <v>#N/A</v>
      </c>
      <c r="S96" s="93" t="e">
        <f t="shared" si="65"/>
        <v>#N/A</v>
      </c>
      <c r="T96" s="37" t="e">
        <f t="shared" si="66"/>
        <v>#N/A</v>
      </c>
      <c r="U96" s="93" t="e">
        <f t="shared" si="67"/>
        <v>#N/A</v>
      </c>
      <c r="V96" s="37" t="e">
        <f t="shared" si="68"/>
        <v>#N/A</v>
      </c>
      <c r="W96" s="93" t="e">
        <f t="shared" si="69"/>
        <v>#N/A</v>
      </c>
      <c r="X96" s="37" t="e">
        <f t="shared" si="70"/>
        <v>#N/A</v>
      </c>
      <c r="Y96" s="93" t="e">
        <f t="shared" si="71"/>
        <v>#N/A</v>
      </c>
      <c r="Z96" s="37" t="e">
        <f t="shared" si="72"/>
        <v>#N/A</v>
      </c>
      <c r="AA96" s="35"/>
      <c r="AB96" s="38" t="e">
        <f t="shared" si="73"/>
        <v>#N/A</v>
      </c>
      <c r="AC96" s="38" t="e">
        <f t="shared" si="74"/>
        <v>#N/A</v>
      </c>
      <c r="AD96" s="14" t="e">
        <f>ROUND(IF(A96="","",IF(AC96="  ",AB96-Date!$B$3,AB96-AC96)),0)</f>
        <v>#N/A</v>
      </c>
      <c r="AE96" s="20"/>
    </row>
    <row r="97" spans="1:31" ht="23.25" x14ac:dyDescent="0.25">
      <c r="A97" s="14" t="s">
        <v>165</v>
      </c>
      <c r="B97" s="13" t="e">
        <f t="shared" si="50"/>
        <v>#N/A</v>
      </c>
      <c r="C97" s="35"/>
      <c r="D97" s="93" t="e">
        <f t="shared" si="51"/>
        <v>#N/A</v>
      </c>
      <c r="E97" s="37" t="e">
        <f t="shared" si="52"/>
        <v>#N/A</v>
      </c>
      <c r="F97" s="93" t="e">
        <f t="shared" si="53"/>
        <v>#N/A</v>
      </c>
      <c r="G97" s="37" t="e">
        <f t="shared" si="54"/>
        <v>#N/A</v>
      </c>
      <c r="H97" s="93" t="e">
        <f t="shared" si="55"/>
        <v>#N/A</v>
      </c>
      <c r="I97" s="37" t="e">
        <f t="shared" si="56"/>
        <v>#N/A</v>
      </c>
      <c r="J97" s="35"/>
      <c r="K97" s="93" t="e">
        <f t="shared" si="57"/>
        <v>#N/A</v>
      </c>
      <c r="L97" s="37" t="e">
        <f t="shared" si="58"/>
        <v>#N/A</v>
      </c>
      <c r="M97" s="93" t="e">
        <f t="shared" si="59"/>
        <v>#N/A</v>
      </c>
      <c r="N97" s="37" t="e">
        <f t="shared" si="60"/>
        <v>#N/A</v>
      </c>
      <c r="O97" s="93" t="e">
        <f t="shared" si="61"/>
        <v>#N/A</v>
      </c>
      <c r="P97" s="37" t="e">
        <f t="shared" si="62"/>
        <v>#N/A</v>
      </c>
      <c r="Q97" s="93" t="e">
        <f t="shared" si="63"/>
        <v>#N/A</v>
      </c>
      <c r="R97" s="37" t="e">
        <f t="shared" si="64"/>
        <v>#N/A</v>
      </c>
      <c r="S97" s="93" t="e">
        <f t="shared" si="65"/>
        <v>#N/A</v>
      </c>
      <c r="T97" s="37" t="e">
        <f t="shared" si="66"/>
        <v>#N/A</v>
      </c>
      <c r="U97" s="93" t="e">
        <f t="shared" si="67"/>
        <v>#N/A</v>
      </c>
      <c r="V97" s="37" t="e">
        <f t="shared" si="68"/>
        <v>#N/A</v>
      </c>
      <c r="W97" s="93" t="e">
        <f t="shared" si="69"/>
        <v>#N/A</v>
      </c>
      <c r="X97" s="37" t="e">
        <f t="shared" si="70"/>
        <v>#N/A</v>
      </c>
      <c r="Y97" s="93" t="e">
        <f t="shared" si="71"/>
        <v>#N/A</v>
      </c>
      <c r="Z97" s="37" t="e">
        <f t="shared" si="72"/>
        <v>#N/A</v>
      </c>
      <c r="AA97" s="35"/>
      <c r="AB97" s="38" t="e">
        <f t="shared" si="73"/>
        <v>#N/A</v>
      </c>
      <c r="AC97" s="38" t="e">
        <f t="shared" si="74"/>
        <v>#N/A</v>
      </c>
      <c r="AD97" s="14" t="e">
        <f>ROUND(IF(A97="","",IF(AC97="  ",AB97-Date!$B$3,AB97-AC97)),0)</f>
        <v>#N/A</v>
      </c>
      <c r="AE97" s="20"/>
    </row>
    <row r="98" spans="1:31" ht="23.25" x14ac:dyDescent="0.25">
      <c r="A98" s="14" t="s">
        <v>166</v>
      </c>
      <c r="B98" s="13" t="e">
        <f t="shared" si="50"/>
        <v>#N/A</v>
      </c>
      <c r="C98" s="35"/>
      <c r="D98" s="93" t="e">
        <f t="shared" si="51"/>
        <v>#N/A</v>
      </c>
      <c r="E98" s="37" t="e">
        <f t="shared" si="52"/>
        <v>#N/A</v>
      </c>
      <c r="F98" s="93" t="e">
        <f t="shared" si="53"/>
        <v>#N/A</v>
      </c>
      <c r="G98" s="37" t="e">
        <f t="shared" si="54"/>
        <v>#N/A</v>
      </c>
      <c r="H98" s="93" t="e">
        <f t="shared" si="55"/>
        <v>#N/A</v>
      </c>
      <c r="I98" s="37" t="e">
        <f t="shared" si="56"/>
        <v>#N/A</v>
      </c>
      <c r="J98" s="35"/>
      <c r="K98" s="93" t="e">
        <f t="shared" si="57"/>
        <v>#N/A</v>
      </c>
      <c r="L98" s="37" t="e">
        <f t="shared" si="58"/>
        <v>#N/A</v>
      </c>
      <c r="M98" s="93" t="e">
        <f t="shared" si="59"/>
        <v>#N/A</v>
      </c>
      <c r="N98" s="37" t="e">
        <f t="shared" si="60"/>
        <v>#N/A</v>
      </c>
      <c r="O98" s="93" t="e">
        <f t="shared" si="61"/>
        <v>#N/A</v>
      </c>
      <c r="P98" s="37" t="e">
        <f t="shared" si="62"/>
        <v>#N/A</v>
      </c>
      <c r="Q98" s="93" t="e">
        <f t="shared" si="63"/>
        <v>#N/A</v>
      </c>
      <c r="R98" s="37" t="e">
        <f t="shared" si="64"/>
        <v>#N/A</v>
      </c>
      <c r="S98" s="93" t="e">
        <f t="shared" si="65"/>
        <v>#N/A</v>
      </c>
      <c r="T98" s="37" t="e">
        <f t="shared" si="66"/>
        <v>#N/A</v>
      </c>
      <c r="U98" s="93" t="e">
        <f t="shared" si="67"/>
        <v>#N/A</v>
      </c>
      <c r="V98" s="37" t="e">
        <f t="shared" si="68"/>
        <v>#N/A</v>
      </c>
      <c r="W98" s="93" t="e">
        <f t="shared" si="69"/>
        <v>#N/A</v>
      </c>
      <c r="X98" s="37" t="e">
        <f t="shared" si="70"/>
        <v>#N/A</v>
      </c>
      <c r="Y98" s="93" t="e">
        <f t="shared" si="71"/>
        <v>#N/A</v>
      </c>
      <c r="Z98" s="37" t="e">
        <f t="shared" si="72"/>
        <v>#N/A</v>
      </c>
      <c r="AA98" s="35"/>
      <c r="AB98" s="38" t="e">
        <f t="shared" si="73"/>
        <v>#N/A</v>
      </c>
      <c r="AC98" s="38" t="e">
        <f t="shared" si="74"/>
        <v>#N/A</v>
      </c>
      <c r="AD98" s="14" t="e">
        <f>ROUND(IF(A98="","",IF(AC98="  ",AB98-Date!$B$3,AB98-AC98)),0)</f>
        <v>#N/A</v>
      </c>
      <c r="AE98" s="20"/>
    </row>
    <row r="99" spans="1:31" ht="23.25" x14ac:dyDescent="0.25">
      <c r="A99" s="14" t="s">
        <v>167</v>
      </c>
      <c r="B99" s="13" t="e">
        <f t="shared" si="50"/>
        <v>#N/A</v>
      </c>
      <c r="C99" s="35"/>
      <c r="D99" s="93" t="e">
        <f t="shared" si="51"/>
        <v>#N/A</v>
      </c>
      <c r="E99" s="37" t="e">
        <f t="shared" si="52"/>
        <v>#N/A</v>
      </c>
      <c r="F99" s="93" t="e">
        <f t="shared" si="53"/>
        <v>#N/A</v>
      </c>
      <c r="G99" s="37" t="e">
        <f t="shared" si="54"/>
        <v>#N/A</v>
      </c>
      <c r="H99" s="93" t="e">
        <f t="shared" si="55"/>
        <v>#N/A</v>
      </c>
      <c r="I99" s="37" t="e">
        <f t="shared" si="56"/>
        <v>#N/A</v>
      </c>
      <c r="J99" s="35"/>
      <c r="K99" s="93" t="e">
        <f t="shared" si="57"/>
        <v>#N/A</v>
      </c>
      <c r="L99" s="37" t="e">
        <f t="shared" si="58"/>
        <v>#N/A</v>
      </c>
      <c r="M99" s="93" t="e">
        <f t="shared" si="59"/>
        <v>#N/A</v>
      </c>
      <c r="N99" s="37" t="e">
        <f t="shared" si="60"/>
        <v>#N/A</v>
      </c>
      <c r="O99" s="93" t="e">
        <f t="shared" si="61"/>
        <v>#N/A</v>
      </c>
      <c r="P99" s="37" t="e">
        <f t="shared" si="62"/>
        <v>#N/A</v>
      </c>
      <c r="Q99" s="93" t="e">
        <f t="shared" si="63"/>
        <v>#N/A</v>
      </c>
      <c r="R99" s="37" t="e">
        <f t="shared" si="64"/>
        <v>#N/A</v>
      </c>
      <c r="S99" s="93" t="e">
        <f t="shared" si="65"/>
        <v>#N/A</v>
      </c>
      <c r="T99" s="37" t="e">
        <f t="shared" si="66"/>
        <v>#N/A</v>
      </c>
      <c r="U99" s="93" t="e">
        <f t="shared" si="67"/>
        <v>#N/A</v>
      </c>
      <c r="V99" s="37" t="e">
        <f t="shared" si="68"/>
        <v>#N/A</v>
      </c>
      <c r="W99" s="93" t="e">
        <f t="shared" si="69"/>
        <v>#N/A</v>
      </c>
      <c r="X99" s="37" t="e">
        <f t="shared" si="70"/>
        <v>#N/A</v>
      </c>
      <c r="Y99" s="93" t="e">
        <f t="shared" si="71"/>
        <v>#N/A</v>
      </c>
      <c r="Z99" s="37" t="e">
        <f t="shared" si="72"/>
        <v>#N/A</v>
      </c>
      <c r="AA99" s="35"/>
      <c r="AB99" s="38" t="e">
        <f t="shared" si="73"/>
        <v>#N/A</v>
      </c>
      <c r="AC99" s="38" t="e">
        <f t="shared" si="74"/>
        <v>#N/A</v>
      </c>
      <c r="AD99" s="14" t="e">
        <f>ROUND(IF(A99="","",IF(AC99="  ",AB99-Date!$B$3,AB99-AC99)),0)</f>
        <v>#N/A</v>
      </c>
      <c r="AE99" s="20"/>
    </row>
    <row r="100" spans="1:31" ht="23.25" x14ac:dyDescent="0.25">
      <c r="A100" s="14" t="s">
        <v>168</v>
      </c>
      <c r="B100" s="13" t="e">
        <f t="shared" si="50"/>
        <v>#N/A</v>
      </c>
      <c r="C100" s="35"/>
      <c r="D100" s="93" t="e">
        <f t="shared" si="51"/>
        <v>#N/A</v>
      </c>
      <c r="E100" s="37" t="e">
        <f t="shared" si="52"/>
        <v>#N/A</v>
      </c>
      <c r="F100" s="93" t="e">
        <f t="shared" si="53"/>
        <v>#N/A</v>
      </c>
      <c r="G100" s="37" t="e">
        <f t="shared" si="54"/>
        <v>#N/A</v>
      </c>
      <c r="H100" s="93" t="e">
        <f t="shared" si="55"/>
        <v>#N/A</v>
      </c>
      <c r="I100" s="37" t="e">
        <f t="shared" si="56"/>
        <v>#N/A</v>
      </c>
      <c r="J100" s="35"/>
      <c r="K100" s="93" t="e">
        <f t="shared" si="57"/>
        <v>#N/A</v>
      </c>
      <c r="L100" s="37" t="e">
        <f t="shared" si="58"/>
        <v>#N/A</v>
      </c>
      <c r="M100" s="93" t="e">
        <f t="shared" si="59"/>
        <v>#N/A</v>
      </c>
      <c r="N100" s="37" t="e">
        <f t="shared" si="60"/>
        <v>#N/A</v>
      </c>
      <c r="O100" s="93" t="e">
        <f t="shared" si="61"/>
        <v>#N/A</v>
      </c>
      <c r="P100" s="37" t="e">
        <f t="shared" si="62"/>
        <v>#N/A</v>
      </c>
      <c r="Q100" s="93" t="e">
        <f t="shared" si="63"/>
        <v>#N/A</v>
      </c>
      <c r="R100" s="37" t="e">
        <f t="shared" si="64"/>
        <v>#N/A</v>
      </c>
      <c r="S100" s="93" t="e">
        <f t="shared" si="65"/>
        <v>#N/A</v>
      </c>
      <c r="T100" s="37" t="e">
        <f t="shared" si="66"/>
        <v>#N/A</v>
      </c>
      <c r="U100" s="93" t="e">
        <f t="shared" si="67"/>
        <v>#N/A</v>
      </c>
      <c r="V100" s="37" t="e">
        <f t="shared" si="68"/>
        <v>#N/A</v>
      </c>
      <c r="W100" s="93" t="e">
        <f t="shared" si="69"/>
        <v>#N/A</v>
      </c>
      <c r="X100" s="37" t="e">
        <f t="shared" si="70"/>
        <v>#N/A</v>
      </c>
      <c r="Y100" s="93" t="e">
        <f t="shared" si="71"/>
        <v>#N/A</v>
      </c>
      <c r="Z100" s="37" t="e">
        <f t="shared" si="72"/>
        <v>#N/A</v>
      </c>
      <c r="AA100" s="35"/>
      <c r="AB100" s="38" t="e">
        <f t="shared" si="73"/>
        <v>#N/A</v>
      </c>
      <c r="AC100" s="38" t="e">
        <f t="shared" si="74"/>
        <v>#N/A</v>
      </c>
      <c r="AD100" s="14" t="e">
        <f>ROUND(IF(A100="","",IF(AC100="  ",AB100-Date!$B$3,AB100-AC100)),0)</f>
        <v>#N/A</v>
      </c>
      <c r="AE100" s="20"/>
    </row>
    <row r="101" spans="1:31" ht="23.25" x14ac:dyDescent="0.25">
      <c r="A101" s="14" t="s">
        <v>169</v>
      </c>
      <c r="B101" s="13" t="e">
        <f t="shared" si="50"/>
        <v>#N/A</v>
      </c>
      <c r="C101" s="35"/>
      <c r="D101" s="93" t="e">
        <f t="shared" si="51"/>
        <v>#N/A</v>
      </c>
      <c r="E101" s="37" t="e">
        <f t="shared" si="52"/>
        <v>#N/A</v>
      </c>
      <c r="F101" s="93" t="e">
        <f t="shared" si="53"/>
        <v>#N/A</v>
      </c>
      <c r="G101" s="37" t="e">
        <f t="shared" si="54"/>
        <v>#N/A</v>
      </c>
      <c r="H101" s="93" t="e">
        <f t="shared" si="55"/>
        <v>#N/A</v>
      </c>
      <c r="I101" s="37" t="e">
        <f t="shared" si="56"/>
        <v>#N/A</v>
      </c>
      <c r="J101" s="35"/>
      <c r="K101" s="93" t="e">
        <f t="shared" si="57"/>
        <v>#N/A</v>
      </c>
      <c r="L101" s="37" t="e">
        <f t="shared" si="58"/>
        <v>#N/A</v>
      </c>
      <c r="M101" s="93" t="e">
        <f t="shared" si="59"/>
        <v>#N/A</v>
      </c>
      <c r="N101" s="37" t="e">
        <f t="shared" si="60"/>
        <v>#N/A</v>
      </c>
      <c r="O101" s="93" t="e">
        <f t="shared" si="61"/>
        <v>#N/A</v>
      </c>
      <c r="P101" s="37" t="e">
        <f t="shared" si="62"/>
        <v>#N/A</v>
      </c>
      <c r="Q101" s="93" t="e">
        <f t="shared" si="63"/>
        <v>#N/A</v>
      </c>
      <c r="R101" s="37" t="e">
        <f t="shared" si="64"/>
        <v>#N/A</v>
      </c>
      <c r="S101" s="93" t="e">
        <f t="shared" si="65"/>
        <v>#N/A</v>
      </c>
      <c r="T101" s="37" t="e">
        <f t="shared" si="66"/>
        <v>#N/A</v>
      </c>
      <c r="U101" s="93" t="e">
        <f t="shared" si="67"/>
        <v>#N/A</v>
      </c>
      <c r="V101" s="37" t="e">
        <f t="shared" si="68"/>
        <v>#N/A</v>
      </c>
      <c r="W101" s="93" t="e">
        <f t="shared" si="69"/>
        <v>#N/A</v>
      </c>
      <c r="X101" s="37" t="e">
        <f t="shared" si="70"/>
        <v>#N/A</v>
      </c>
      <c r="Y101" s="93" t="e">
        <f t="shared" si="71"/>
        <v>#N/A</v>
      </c>
      <c r="Z101" s="37" t="e">
        <f t="shared" si="72"/>
        <v>#N/A</v>
      </c>
      <c r="AA101" s="35"/>
      <c r="AB101" s="38" t="e">
        <f t="shared" si="73"/>
        <v>#N/A</v>
      </c>
      <c r="AC101" s="38" t="e">
        <f t="shared" si="74"/>
        <v>#N/A</v>
      </c>
      <c r="AD101" s="14" t="e">
        <f>ROUND(IF(A101="","",IF(AC101="  ",AB101-Date!$B$3,AB101-AC101)),0)</f>
        <v>#N/A</v>
      </c>
      <c r="AE101" s="20"/>
    </row>
  </sheetData>
  <mergeCells count="15">
    <mergeCell ref="A1:AE1"/>
    <mergeCell ref="D3:I3"/>
    <mergeCell ref="K3:Z3"/>
    <mergeCell ref="AB3:AE3"/>
    <mergeCell ref="D5:E5"/>
    <mergeCell ref="F5:G5"/>
    <mergeCell ref="H5:I5"/>
    <mergeCell ref="K5:L5"/>
    <mergeCell ref="M5:N5"/>
    <mergeCell ref="O5:P5"/>
    <mergeCell ref="Q5:R5"/>
    <mergeCell ref="S5:T5"/>
    <mergeCell ref="U5:V5"/>
    <mergeCell ref="W5:X5"/>
    <mergeCell ref="Y5:Z5"/>
  </mergeCells>
  <conditionalFormatting sqref="D6:D101 F10:F101 H10:H101">
    <cfRule type="expression" dxfId="17" priority="2">
      <formula>$E6&gt;0</formula>
    </cfRule>
  </conditionalFormatting>
  <conditionalFormatting sqref="F6:F101 H10:H101">
    <cfRule type="expression" dxfId="16" priority="3">
      <formula>$G6&gt;0</formula>
    </cfRule>
  </conditionalFormatting>
  <conditionalFormatting sqref="H6:H101">
    <cfRule type="expression" dxfId="15" priority="4">
      <formula>$I6&gt;0</formula>
    </cfRule>
  </conditionalFormatting>
  <conditionalFormatting sqref="K6:K101">
    <cfRule type="expression" dxfId="14" priority="5">
      <formula>$L6&gt;0</formula>
    </cfRule>
  </conditionalFormatting>
  <conditionalFormatting sqref="M6:M101">
    <cfRule type="expression" dxfId="13" priority="6">
      <formula>$N6&gt;0</formula>
    </cfRule>
  </conditionalFormatting>
  <conditionalFormatting sqref="O6:O101">
    <cfRule type="expression" dxfId="12" priority="7">
      <formula>$P6&gt;0</formula>
    </cfRule>
  </conditionalFormatting>
  <conditionalFormatting sqref="Q6:Q101">
    <cfRule type="expression" dxfId="11" priority="8">
      <formula>$R6&gt;0</formula>
    </cfRule>
  </conditionalFormatting>
  <conditionalFormatting sqref="S6:S101">
    <cfRule type="expression" dxfId="10" priority="9">
      <formula>$T6&gt;0</formula>
    </cfRule>
  </conditionalFormatting>
  <conditionalFormatting sqref="U6:U101">
    <cfRule type="expression" dxfId="9" priority="10">
      <formula>$V6&gt;0</formula>
    </cfRule>
  </conditionalFormatting>
  <conditionalFormatting sqref="W6:W101">
    <cfRule type="expression" dxfId="8" priority="11">
      <formula>$X6&gt;0</formula>
    </cfRule>
  </conditionalFormatting>
  <conditionalFormatting sqref="Y6:Y101">
    <cfRule type="expression" dxfId="7" priority="12">
      <formula>ZI6&gt;0</formula>
    </cfRule>
  </conditionalFormatting>
  <conditionalFormatting sqref="AE6:AE9">
    <cfRule type="expression" dxfId="6" priority="13">
      <formula>AND(#REF!&lt;2,#REF!&gt;-2)</formula>
    </cfRule>
  </conditionalFormatting>
  <conditionalFormatting sqref="AE6:AE101">
    <cfRule type="expression" dxfId="5" priority="14">
      <formula>#REF!&lt;-2</formula>
    </cfRule>
    <cfRule type="expression" dxfId="4" priority="15">
      <formula>#REF!&gt;1</formula>
    </cfRule>
    <cfRule type="expression" dxfId="3" priority="16">
      <formula>$AD6&lt;-2</formula>
    </cfRule>
    <cfRule type="expression" dxfId="2" priority="17">
      <formula>AND($AD6&lt;2,$AD6&gt;-2)</formula>
    </cfRule>
    <cfRule type="expression" dxfId="1" priority="18">
      <formula>$AD6&gt;1</formula>
    </cfRule>
  </conditionalFormatting>
  <conditionalFormatting sqref="AE10:AE101">
    <cfRule type="expression" dxfId="0" priority="19">
      <formula>AND(#REF!&lt;2,#REF!&gt;-2)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13"/>
  <sheetViews>
    <sheetView zoomScaleNormal="100" workbookViewId="0">
      <selection activeCell="F14" sqref="F14"/>
    </sheetView>
  </sheetViews>
  <sheetFormatPr defaultColWidth="8.7109375" defaultRowHeight="15" x14ac:dyDescent="0.25"/>
  <cols>
    <col min="2" max="2" width="10.7109375" customWidth="1"/>
  </cols>
  <sheetData>
    <row r="3" spans="1:6" x14ac:dyDescent="0.25">
      <c r="A3" t="s">
        <v>170</v>
      </c>
      <c r="B3" s="4">
        <f ca="1">TODAY()</f>
        <v>46115</v>
      </c>
    </row>
    <row r="11" spans="1:6" x14ac:dyDescent="0.25">
      <c r="E11" t="s">
        <v>171</v>
      </c>
      <c r="F11" t="s">
        <v>172</v>
      </c>
    </row>
    <row r="12" spans="1:6" x14ac:dyDescent="0.25">
      <c r="E12" t="s">
        <v>173</v>
      </c>
      <c r="F12" t="s">
        <v>174</v>
      </c>
    </row>
    <row r="13" spans="1:6" x14ac:dyDescent="0.25">
      <c r="E13" t="s">
        <v>175</v>
      </c>
      <c r="F13" t="s">
        <v>176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51"/>
  <sheetViews>
    <sheetView zoomScaleNormal="100" workbookViewId="0">
      <pane xSplit="3" ySplit="4" topLeftCell="D108" activePane="bottomRight" state="frozen"/>
      <selection pane="topRight" activeCell="D1" sqref="D1"/>
      <selection pane="bottomLeft" activeCell="A5" sqref="A5"/>
      <selection pane="bottomRight" activeCell="V94" sqref="V94"/>
    </sheetView>
  </sheetViews>
  <sheetFormatPr defaultColWidth="8.7109375" defaultRowHeight="15" x14ac:dyDescent="0.25"/>
  <cols>
    <col min="1" max="2" width="12.28515625" customWidth="1"/>
    <col min="3" max="3" width="9.28515625" style="4" customWidth="1"/>
    <col min="4" max="7" width="9.28515625" customWidth="1"/>
    <col min="8" max="8" width="12" customWidth="1"/>
    <col min="9" max="11" width="10.85546875" customWidth="1"/>
    <col min="12" max="12" width="10.28515625" customWidth="1"/>
    <col min="13" max="13" width="10.5703125" customWidth="1"/>
    <col min="14" max="14" width="10.28515625" customWidth="1"/>
    <col min="15" max="15" width="10.5703125" customWidth="1"/>
    <col min="16" max="17" width="10.42578125" customWidth="1"/>
    <col min="18" max="18" width="2.7109375" customWidth="1"/>
    <col min="19" max="20" width="10.42578125" customWidth="1"/>
    <col min="21" max="21" width="11" customWidth="1"/>
    <col min="22" max="23" width="11" style="94" customWidth="1"/>
    <col min="24" max="24" width="11" customWidth="1"/>
    <col min="25" max="25" width="10.85546875" customWidth="1"/>
    <col min="26" max="26" width="11.85546875" customWidth="1"/>
    <col min="27" max="27" width="10.85546875" customWidth="1"/>
    <col min="28" max="28" width="10.42578125" customWidth="1"/>
    <col min="29" max="29" width="10.28515625" customWidth="1"/>
    <col min="30" max="31" width="10.42578125" customWidth="1"/>
    <col min="32" max="32" width="10.140625" customWidth="1"/>
    <col min="33" max="33" width="11.85546875" bestFit="1" customWidth="1"/>
    <col min="34" max="34" width="10.7109375" customWidth="1"/>
  </cols>
  <sheetData>
    <row r="1" spans="1:34" x14ac:dyDescent="0.25">
      <c r="A1">
        <v>1</v>
      </c>
      <c r="B1">
        <v>2</v>
      </c>
      <c r="C1" s="95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 s="94">
        <v>22</v>
      </c>
      <c r="W1" s="94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</row>
    <row r="2" spans="1:34" x14ac:dyDescent="0.25">
      <c r="C2" s="4" t="s">
        <v>171</v>
      </c>
      <c r="D2" s="168" t="s">
        <v>177</v>
      </c>
      <c r="E2" s="168"/>
      <c r="F2" s="168"/>
      <c r="G2" s="168"/>
      <c r="H2" t="s">
        <v>178</v>
      </c>
      <c r="I2" s="96">
        <v>14</v>
      </c>
      <c r="J2" s="96">
        <v>7</v>
      </c>
      <c r="K2" s="96">
        <v>7</v>
      </c>
      <c r="L2" s="96">
        <v>7</v>
      </c>
      <c r="M2" s="96">
        <v>7</v>
      </c>
      <c r="N2" s="96">
        <v>7</v>
      </c>
      <c r="O2" s="96">
        <v>7</v>
      </c>
      <c r="P2">
        <v>14</v>
      </c>
      <c r="Q2">
        <v>14</v>
      </c>
      <c r="S2">
        <v>2</v>
      </c>
      <c r="T2">
        <v>1</v>
      </c>
      <c r="U2">
        <v>7</v>
      </c>
      <c r="Y2">
        <v>14</v>
      </c>
      <c r="Z2">
        <v>21</v>
      </c>
      <c r="AA2">
        <v>21</v>
      </c>
      <c r="AB2">
        <v>21</v>
      </c>
      <c r="AC2">
        <v>14</v>
      </c>
      <c r="AD2">
        <v>1</v>
      </c>
      <c r="AE2">
        <v>7</v>
      </c>
      <c r="AF2">
        <v>2</v>
      </c>
    </row>
    <row r="3" spans="1:34" s="76" customFormat="1" ht="12" x14ac:dyDescent="0.2">
      <c r="C3" s="97"/>
      <c r="D3" s="85"/>
      <c r="E3" s="85"/>
      <c r="F3" s="85"/>
      <c r="G3" s="85"/>
      <c r="H3" s="76" t="s">
        <v>179</v>
      </c>
      <c r="I3" s="98" t="s">
        <v>180</v>
      </c>
      <c r="J3" s="98" t="s">
        <v>181</v>
      </c>
      <c r="K3" s="98" t="s">
        <v>182</v>
      </c>
      <c r="L3" s="98" t="s">
        <v>183</v>
      </c>
      <c r="M3" s="98" t="s">
        <v>184</v>
      </c>
      <c r="N3" s="98" t="s">
        <v>185</v>
      </c>
      <c r="O3" s="98" t="s">
        <v>186</v>
      </c>
      <c r="P3" s="76" t="s">
        <v>187</v>
      </c>
      <c r="Q3" s="76" t="s">
        <v>187</v>
      </c>
      <c r="S3" s="76" t="s">
        <v>188</v>
      </c>
      <c r="T3" s="76" t="s">
        <v>189</v>
      </c>
      <c r="U3" s="76" t="s">
        <v>188</v>
      </c>
      <c r="V3" s="99"/>
      <c r="W3" s="99"/>
      <c r="Y3" s="76" t="s">
        <v>188</v>
      </c>
      <c r="Z3" s="76" t="s">
        <v>188</v>
      </c>
      <c r="AA3" s="76" t="s">
        <v>188</v>
      </c>
      <c r="AB3" s="76" t="s">
        <v>188</v>
      </c>
      <c r="AC3" s="76" t="s">
        <v>188</v>
      </c>
      <c r="AF3" s="76" t="s">
        <v>190</v>
      </c>
      <c r="AG3" s="76" t="s">
        <v>188</v>
      </c>
    </row>
    <row r="4" spans="1:34" ht="44.25" x14ac:dyDescent="0.25">
      <c r="A4" s="100" t="s">
        <v>51</v>
      </c>
      <c r="B4" s="100" t="s">
        <v>6</v>
      </c>
      <c r="C4" s="100" t="s">
        <v>191</v>
      </c>
      <c r="D4" s="100" t="s">
        <v>192</v>
      </c>
      <c r="E4" s="100" t="s">
        <v>193</v>
      </c>
      <c r="F4" s="100" t="s">
        <v>194</v>
      </c>
      <c r="G4" s="100" t="s">
        <v>195</v>
      </c>
      <c r="H4" s="2" t="s">
        <v>57</v>
      </c>
      <c r="I4" s="101" t="s">
        <v>58</v>
      </c>
      <c r="J4" s="101" t="s">
        <v>59</v>
      </c>
      <c r="K4" s="101" t="s">
        <v>58</v>
      </c>
      <c r="L4" s="101" t="s">
        <v>59</v>
      </c>
      <c r="M4" s="101" t="s">
        <v>58</v>
      </c>
      <c r="N4" s="101" t="s">
        <v>59</v>
      </c>
      <c r="O4" s="101" t="s">
        <v>58</v>
      </c>
      <c r="P4" s="2" t="s">
        <v>23</v>
      </c>
      <c r="Q4" s="2" t="s">
        <v>24</v>
      </c>
      <c r="R4" s="91"/>
      <c r="S4" s="2" t="s">
        <v>25</v>
      </c>
      <c r="T4" s="2" t="s">
        <v>73</v>
      </c>
      <c r="U4" s="2" t="s">
        <v>26</v>
      </c>
      <c r="V4" s="102" t="s">
        <v>196</v>
      </c>
      <c r="W4" s="102" t="s">
        <v>197</v>
      </c>
      <c r="X4" s="2" t="s">
        <v>198</v>
      </c>
      <c r="Y4" s="2" t="s">
        <v>27</v>
      </c>
      <c r="Z4" s="2" t="s">
        <v>28</v>
      </c>
      <c r="AA4" s="2" t="s">
        <v>61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199</v>
      </c>
      <c r="AG4" s="2" t="s">
        <v>64</v>
      </c>
      <c r="AH4" s="2" t="s">
        <v>200</v>
      </c>
    </row>
    <row r="5" spans="1:34" x14ac:dyDescent="0.25">
      <c r="A5" s="103" t="s">
        <v>201</v>
      </c>
      <c r="B5" s="103" t="s">
        <v>202</v>
      </c>
      <c r="C5" s="104">
        <v>45519</v>
      </c>
      <c r="D5" s="103">
        <v>2</v>
      </c>
      <c r="E5" s="103">
        <v>3</v>
      </c>
      <c r="F5" s="103">
        <v>18</v>
      </c>
      <c r="G5" s="103">
        <v>30</v>
      </c>
      <c r="H5" s="78">
        <f t="shared" ref="H5:H36" si="0">C5+E5*7</f>
        <v>45540</v>
      </c>
      <c r="I5" s="78">
        <f t="shared" ref="I5:I36" si="1">IF(VLOOKUP($A5,Dates,8,)=0,H5+I$2,VLOOKUP($A5,Dates,8,)+I$2)</f>
        <v>45558</v>
      </c>
      <c r="J5" s="78">
        <f t="shared" ref="J5:J36" si="2">IF(VLOOKUP(A5,Dates,9,)=0,I5+J$2,VLOOKUP(A5,Dates,9,)+J$2)</f>
        <v>45789</v>
      </c>
      <c r="K5" s="78">
        <f t="shared" ref="K5:K36" si="3">IF(VLOOKUP($A5,Dates,10,)=0,J5+K$2,VLOOKUP($A5,Dates,10,)+K$2)</f>
        <v>45808</v>
      </c>
      <c r="L5" s="78">
        <f t="shared" ref="L5:L36" si="4">IF(VLOOKUP($A5,Dates,11,)=0,K5+L$2,VLOOKUP($A5,Dates,11,)+L$2)</f>
        <v>45853</v>
      </c>
      <c r="M5" s="78">
        <f t="shared" ref="M5:M36" si="5">IF(VLOOKUP($A5,Dates,12,)=0,L5+M$2,VLOOKUP($A5,Dates,12,)+M$2)</f>
        <v>45861</v>
      </c>
      <c r="N5" s="78">
        <f t="shared" ref="N5:N36" si="6">IF(VLOOKUP($A5,Dates,13,)=0,M5+N$2,VLOOKUP($A5,Dates,13,)+N$2)</f>
        <v>45875</v>
      </c>
      <c r="O5" s="78">
        <f t="shared" ref="O5:O36" si="7">IF(VLOOKUP($A5,Dates,14,)=0,N5+O$2,VLOOKUP($A5,Dates,14,)+O$2)</f>
        <v>45882</v>
      </c>
      <c r="P5" s="78">
        <f t="shared" ref="P5:Q24" si="8">$C5+P$2</f>
        <v>45533</v>
      </c>
      <c r="Q5" s="78">
        <f t="shared" si="8"/>
        <v>45533</v>
      </c>
      <c r="R5" s="78"/>
      <c r="S5" s="78">
        <f>IF(VLOOKUP(A5,Dates,15,)&gt;0,VLOOKUP(A5,Dates,15,)+'Date Calcs'!S$2,IF(VLOOKUP(A5,Dates,13,)&gt;0,VLOOKUP(A5,Dates,13,)+'Date Calcs'!S$2,IF(VLOOKUP(A5,Dates,11,)&gt;0,VLOOKUP(A5,Dates,11,)+'Date Calcs'!S$2,IF(VLOOKUP(A5,Dates,9,)&gt;0,VLOOKUP(A5,Dates,9,)+'Date Calcs'!S$2,$I5+S$2))))+(V5*7)</f>
        <v>45879</v>
      </c>
      <c r="T5" s="78">
        <f t="shared" ref="T5:T36" si="9">$S5+T$2</f>
        <v>45880</v>
      </c>
      <c r="U5" s="78">
        <f t="shared" ref="U5:U36" si="10">S5+U$2-S$2</f>
        <v>45884</v>
      </c>
      <c r="V5" s="105">
        <v>0</v>
      </c>
      <c r="W5" s="105">
        <v>10</v>
      </c>
      <c r="X5" s="78">
        <f t="shared" ref="X5:X36" si="11">(G5*7)+(W5*7)+U5</f>
        <v>46164</v>
      </c>
      <c r="Y5" s="78">
        <f t="shared" ref="Y5:Y36" si="12">S5+Y$2-S$2</f>
        <v>45891</v>
      </c>
      <c r="Z5" s="78">
        <f t="shared" ref="Z5:Z36" si="13">S5+Z$2-S$2</f>
        <v>45898</v>
      </c>
      <c r="AA5" s="78">
        <f t="shared" ref="AA5:AB24" si="14">Z5</f>
        <v>45898</v>
      </c>
      <c r="AB5" s="78">
        <f t="shared" si="14"/>
        <v>45898</v>
      </c>
      <c r="AC5" s="78">
        <f>U5+$AC$2+$S$2</f>
        <v>45900</v>
      </c>
      <c r="AD5" s="78">
        <f t="shared" ref="AD5:AD36" si="15">AB5+$AD$2</f>
        <v>45899</v>
      </c>
      <c r="AE5" s="78">
        <f t="shared" ref="AE5:AE36" si="16">U5+$AE$2</f>
        <v>45891</v>
      </c>
      <c r="AF5" s="78">
        <f t="shared" ref="AF5:AF36" si="17">IF(P5&gt;AD5,P5+$AD$2,AD5+$AF$2)</f>
        <v>45901</v>
      </c>
      <c r="AG5" s="78">
        <f t="shared" ref="AG5:AG36" si="18">S5-S$2+G5*7</f>
        <v>46087</v>
      </c>
      <c r="AH5" s="78"/>
    </row>
    <row r="6" spans="1:34" x14ac:dyDescent="0.25">
      <c r="A6" s="103" t="s">
        <v>203</v>
      </c>
      <c r="B6" s="103" t="s">
        <v>204</v>
      </c>
      <c r="C6" s="104">
        <v>45685</v>
      </c>
      <c r="D6" s="103">
        <v>4</v>
      </c>
      <c r="E6" s="103">
        <v>5</v>
      </c>
      <c r="F6" s="103">
        <v>12</v>
      </c>
      <c r="G6" s="103">
        <v>14</v>
      </c>
      <c r="H6" s="78">
        <f t="shared" si="0"/>
        <v>45720</v>
      </c>
      <c r="I6" s="78">
        <f t="shared" si="1"/>
        <v>45819</v>
      </c>
      <c r="J6" s="78">
        <f t="shared" si="2"/>
        <v>45841</v>
      </c>
      <c r="K6" s="78">
        <f t="shared" si="3"/>
        <v>45848</v>
      </c>
      <c r="L6" s="78">
        <f t="shared" si="4"/>
        <v>45897</v>
      </c>
      <c r="M6" s="78">
        <f t="shared" si="5"/>
        <v>45904</v>
      </c>
      <c r="N6" s="78">
        <f t="shared" si="6"/>
        <v>45911</v>
      </c>
      <c r="O6" s="78">
        <f t="shared" si="7"/>
        <v>45918</v>
      </c>
      <c r="P6" s="78">
        <f t="shared" si="8"/>
        <v>45699</v>
      </c>
      <c r="Q6" s="78">
        <f t="shared" si="8"/>
        <v>45699</v>
      </c>
      <c r="R6" s="78"/>
      <c r="S6" s="78">
        <f>IF(VLOOKUP(A6,Dates,15,)&gt;0,VLOOKUP(A6,Dates,15,)+'Date Calcs'!S$2,IF(VLOOKUP(A6,Dates,13,)&gt;0,VLOOKUP(A6,Dates,13,)+'Date Calcs'!S$2,IF(VLOOKUP(A6,Dates,11,)&gt;0,VLOOKUP(A6,Dates,11,)+'Date Calcs'!S$2,IF(VLOOKUP(A6,Dates,9,)&gt;0,VLOOKUP(A6,Dates,9,)+'Date Calcs'!S$2,$I6+S$2))))+(V6*7)</f>
        <v>45892</v>
      </c>
      <c r="T6" s="78">
        <f t="shared" si="9"/>
        <v>45893</v>
      </c>
      <c r="U6" s="78">
        <f t="shared" si="10"/>
        <v>45897</v>
      </c>
      <c r="V6" s="105">
        <v>0</v>
      </c>
      <c r="W6" s="105">
        <v>0</v>
      </c>
      <c r="X6" s="78">
        <f t="shared" si="11"/>
        <v>45995</v>
      </c>
      <c r="Y6" s="78">
        <f t="shared" si="12"/>
        <v>45904</v>
      </c>
      <c r="Z6" s="78">
        <f t="shared" si="13"/>
        <v>45911</v>
      </c>
      <c r="AA6" s="78">
        <f t="shared" si="14"/>
        <v>45911</v>
      </c>
      <c r="AB6" s="78">
        <f t="shared" si="14"/>
        <v>45911</v>
      </c>
      <c r="AC6" s="78">
        <f t="shared" ref="AC6:AC37" si="19">U6+$AC$2</f>
        <v>45911</v>
      </c>
      <c r="AD6" s="78">
        <f t="shared" si="15"/>
        <v>45912</v>
      </c>
      <c r="AE6" s="78">
        <f t="shared" si="16"/>
        <v>45904</v>
      </c>
      <c r="AF6" s="78">
        <f t="shared" si="17"/>
        <v>45914</v>
      </c>
      <c r="AG6" s="78">
        <f t="shared" si="18"/>
        <v>45988</v>
      </c>
      <c r="AH6" s="78"/>
    </row>
    <row r="7" spans="1:34" x14ac:dyDescent="0.25">
      <c r="A7" s="103" t="s">
        <v>205</v>
      </c>
      <c r="B7" s="103" t="s">
        <v>204</v>
      </c>
      <c r="C7" s="104">
        <v>45685</v>
      </c>
      <c r="D7" s="103">
        <v>4</v>
      </c>
      <c r="E7" s="103">
        <v>5</v>
      </c>
      <c r="F7" s="103">
        <v>16</v>
      </c>
      <c r="G7" s="103">
        <v>18</v>
      </c>
      <c r="H7" s="78">
        <f t="shared" si="0"/>
        <v>45720</v>
      </c>
      <c r="I7" s="78">
        <f t="shared" si="1"/>
        <v>45786</v>
      </c>
      <c r="J7" s="78">
        <f t="shared" si="2"/>
        <v>45813</v>
      </c>
      <c r="K7" s="78">
        <f t="shared" si="3"/>
        <v>45819</v>
      </c>
      <c r="L7" s="78">
        <f t="shared" si="4"/>
        <v>45904</v>
      </c>
      <c r="M7" s="78">
        <f t="shared" si="5"/>
        <v>45911</v>
      </c>
      <c r="N7" s="78">
        <f t="shared" si="6"/>
        <v>45918</v>
      </c>
      <c r="O7" s="78">
        <f t="shared" si="7"/>
        <v>45925</v>
      </c>
      <c r="P7" s="78">
        <f t="shared" si="8"/>
        <v>45699</v>
      </c>
      <c r="Q7" s="78">
        <f t="shared" si="8"/>
        <v>45699</v>
      </c>
      <c r="R7" s="78"/>
      <c r="S7" s="78">
        <f>IF(VLOOKUP(A7,Dates,15,)&gt;0,VLOOKUP(A7,Dates,15,)+'Date Calcs'!S$2,IF(VLOOKUP(A7,Dates,13,)&gt;0,VLOOKUP(A7,Dates,13,)+'Date Calcs'!S$2,IF(VLOOKUP(A7,Dates,11,)&gt;0,VLOOKUP(A7,Dates,11,)+'Date Calcs'!S$2,IF(VLOOKUP(A7,Dates,9,)&gt;0,VLOOKUP(A7,Dates,9,)+'Date Calcs'!S$2,$I7+S$2))))+(V7*7)</f>
        <v>45899</v>
      </c>
      <c r="T7" s="78">
        <f t="shared" si="9"/>
        <v>45900</v>
      </c>
      <c r="U7" s="78">
        <f t="shared" si="10"/>
        <v>45904</v>
      </c>
      <c r="V7" s="105">
        <v>0</v>
      </c>
      <c r="W7" s="105">
        <v>0</v>
      </c>
      <c r="X7" s="78">
        <f t="shared" si="11"/>
        <v>46030</v>
      </c>
      <c r="Y7" s="78">
        <f t="shared" si="12"/>
        <v>45911</v>
      </c>
      <c r="Z7" s="78">
        <f t="shared" si="13"/>
        <v>45918</v>
      </c>
      <c r="AA7" s="78">
        <f t="shared" si="14"/>
        <v>45918</v>
      </c>
      <c r="AB7" s="78">
        <f t="shared" si="14"/>
        <v>45918</v>
      </c>
      <c r="AC7" s="78">
        <f t="shared" si="19"/>
        <v>45918</v>
      </c>
      <c r="AD7" s="78">
        <f t="shared" si="15"/>
        <v>45919</v>
      </c>
      <c r="AE7" s="78">
        <f t="shared" si="16"/>
        <v>45911</v>
      </c>
      <c r="AF7" s="78">
        <f t="shared" si="17"/>
        <v>45921</v>
      </c>
      <c r="AG7" s="78">
        <f t="shared" si="18"/>
        <v>46023</v>
      </c>
      <c r="AH7" s="78"/>
    </row>
    <row r="8" spans="1:34" x14ac:dyDescent="0.25">
      <c r="A8" s="103" t="s">
        <v>206</v>
      </c>
      <c r="B8" s="103" t="s">
        <v>204</v>
      </c>
      <c r="C8" s="104">
        <v>45685</v>
      </c>
      <c r="D8" s="103">
        <v>4</v>
      </c>
      <c r="E8" s="103">
        <v>5</v>
      </c>
      <c r="F8" s="103">
        <v>16</v>
      </c>
      <c r="G8" s="103">
        <v>18</v>
      </c>
      <c r="H8" s="78">
        <f t="shared" si="0"/>
        <v>45720</v>
      </c>
      <c r="I8" s="78">
        <f t="shared" si="1"/>
        <v>45786</v>
      </c>
      <c r="J8" s="78">
        <f t="shared" si="2"/>
        <v>45813</v>
      </c>
      <c r="K8" s="78">
        <f t="shared" si="3"/>
        <v>45819</v>
      </c>
      <c r="L8" s="78">
        <f t="shared" si="4"/>
        <v>45904</v>
      </c>
      <c r="M8" s="78">
        <f t="shared" si="5"/>
        <v>45911</v>
      </c>
      <c r="N8" s="78">
        <f t="shared" si="6"/>
        <v>45918</v>
      </c>
      <c r="O8" s="78">
        <f t="shared" si="7"/>
        <v>45925</v>
      </c>
      <c r="P8" s="78">
        <f t="shared" si="8"/>
        <v>45699</v>
      </c>
      <c r="Q8" s="78">
        <f t="shared" si="8"/>
        <v>45699</v>
      </c>
      <c r="R8" s="78"/>
      <c r="S8" s="78">
        <f>IF(VLOOKUP(A8,Dates,15,)&gt;0,VLOOKUP(A8,Dates,15,)+'Date Calcs'!S$2,IF(VLOOKUP(A8,Dates,13,)&gt;0,VLOOKUP(A8,Dates,13,)+'Date Calcs'!S$2,IF(VLOOKUP(A8,Dates,11,)&gt;0,VLOOKUP(A8,Dates,11,)+'Date Calcs'!S$2,IF(VLOOKUP(A8,Dates,9,)&gt;0,VLOOKUP(A8,Dates,9,)+'Date Calcs'!S$2,$I8+S$2))))+(V8*7)</f>
        <v>45899</v>
      </c>
      <c r="T8" s="78">
        <f t="shared" si="9"/>
        <v>45900</v>
      </c>
      <c r="U8" s="78">
        <f t="shared" si="10"/>
        <v>45904</v>
      </c>
      <c r="V8" s="105">
        <v>0</v>
      </c>
      <c r="W8" s="105">
        <v>0</v>
      </c>
      <c r="X8" s="78">
        <f t="shared" si="11"/>
        <v>46030</v>
      </c>
      <c r="Y8" s="78">
        <f t="shared" si="12"/>
        <v>45911</v>
      </c>
      <c r="Z8" s="78">
        <f t="shared" si="13"/>
        <v>45918</v>
      </c>
      <c r="AA8" s="78">
        <f t="shared" si="14"/>
        <v>45918</v>
      </c>
      <c r="AB8" s="78">
        <f t="shared" si="14"/>
        <v>45918</v>
      </c>
      <c r="AC8" s="78">
        <f t="shared" si="19"/>
        <v>45918</v>
      </c>
      <c r="AD8" s="78">
        <f t="shared" si="15"/>
        <v>45919</v>
      </c>
      <c r="AE8" s="78">
        <f t="shared" si="16"/>
        <v>45911</v>
      </c>
      <c r="AF8" s="78">
        <f t="shared" si="17"/>
        <v>45921</v>
      </c>
      <c r="AG8" s="78">
        <f t="shared" si="18"/>
        <v>46023</v>
      </c>
      <c r="AH8" s="78"/>
    </row>
    <row r="9" spans="1:34" x14ac:dyDescent="0.25">
      <c r="A9" s="103" t="s">
        <v>207</v>
      </c>
      <c r="B9" s="103" t="s">
        <v>204</v>
      </c>
      <c r="C9" s="104">
        <v>45685</v>
      </c>
      <c r="D9" s="103">
        <v>4</v>
      </c>
      <c r="E9" s="103">
        <v>5</v>
      </c>
      <c r="F9" s="103">
        <v>16</v>
      </c>
      <c r="G9" s="103">
        <v>18</v>
      </c>
      <c r="H9" s="78">
        <f t="shared" si="0"/>
        <v>45720</v>
      </c>
      <c r="I9" s="78">
        <f t="shared" si="1"/>
        <v>45755</v>
      </c>
      <c r="J9" s="78">
        <f t="shared" si="2"/>
        <v>45813</v>
      </c>
      <c r="K9" s="78">
        <f t="shared" si="3"/>
        <v>45819</v>
      </c>
      <c r="L9" s="78">
        <f t="shared" si="4"/>
        <v>45826</v>
      </c>
      <c r="M9" s="78">
        <f t="shared" si="5"/>
        <v>45833</v>
      </c>
      <c r="N9" s="78">
        <f t="shared" si="6"/>
        <v>45840</v>
      </c>
      <c r="O9" s="78">
        <f t="shared" si="7"/>
        <v>45847</v>
      </c>
      <c r="P9" s="78">
        <f t="shared" si="8"/>
        <v>45699</v>
      </c>
      <c r="Q9" s="78">
        <f t="shared" si="8"/>
        <v>45699</v>
      </c>
      <c r="R9" s="78"/>
      <c r="S9" s="78">
        <f>IF(VLOOKUP(A9,Dates,15,)&gt;0,VLOOKUP(A9,Dates,15,)+'Date Calcs'!S$2,IF(VLOOKUP(A9,Dates,13,)&gt;0,VLOOKUP(A9,Dates,13,)+'Date Calcs'!S$2,IF(VLOOKUP(A9,Dates,11,)&gt;0,VLOOKUP(A9,Dates,11,)+'Date Calcs'!S$2,IF(VLOOKUP(A9,Dates,9,)&gt;0,VLOOKUP(A9,Dates,9,)+'Date Calcs'!S$2,$I9+S$2))))+(V9*7)</f>
        <v>45808</v>
      </c>
      <c r="T9" s="78">
        <f t="shared" si="9"/>
        <v>45809</v>
      </c>
      <c r="U9" s="78">
        <f t="shared" si="10"/>
        <v>45813</v>
      </c>
      <c r="V9" s="105">
        <v>0</v>
      </c>
      <c r="W9" s="105">
        <v>0</v>
      </c>
      <c r="X9" s="78">
        <f t="shared" si="11"/>
        <v>45939</v>
      </c>
      <c r="Y9" s="78">
        <f t="shared" si="12"/>
        <v>45820</v>
      </c>
      <c r="Z9" s="78">
        <f t="shared" si="13"/>
        <v>45827</v>
      </c>
      <c r="AA9" s="78">
        <f t="shared" si="14"/>
        <v>45827</v>
      </c>
      <c r="AB9" s="78">
        <f t="shared" si="14"/>
        <v>45827</v>
      </c>
      <c r="AC9" s="78">
        <f t="shared" si="19"/>
        <v>45827</v>
      </c>
      <c r="AD9" s="78">
        <f t="shared" si="15"/>
        <v>45828</v>
      </c>
      <c r="AE9" s="78">
        <f t="shared" si="16"/>
        <v>45820</v>
      </c>
      <c r="AF9" s="78">
        <f t="shared" si="17"/>
        <v>45830</v>
      </c>
      <c r="AG9" s="78">
        <f t="shared" si="18"/>
        <v>45932</v>
      </c>
      <c r="AH9" s="78"/>
    </row>
    <row r="10" spans="1:34" x14ac:dyDescent="0.25">
      <c r="A10" s="103" t="s">
        <v>208</v>
      </c>
      <c r="B10" s="103" t="s">
        <v>204</v>
      </c>
      <c r="C10" s="104">
        <v>45685</v>
      </c>
      <c r="D10" s="103">
        <v>4</v>
      </c>
      <c r="E10" s="103">
        <v>5</v>
      </c>
      <c r="F10" s="103">
        <v>16</v>
      </c>
      <c r="G10" s="103">
        <v>18</v>
      </c>
      <c r="H10" s="78">
        <f t="shared" si="0"/>
        <v>45720</v>
      </c>
      <c r="I10" s="78">
        <f t="shared" si="1"/>
        <v>45763</v>
      </c>
      <c r="J10" s="78">
        <f t="shared" si="2"/>
        <v>45798</v>
      </c>
      <c r="K10" s="78">
        <f t="shared" si="3"/>
        <v>45812</v>
      </c>
      <c r="L10" s="78">
        <f t="shared" si="4"/>
        <v>45819</v>
      </c>
      <c r="M10" s="78">
        <f t="shared" si="5"/>
        <v>45826</v>
      </c>
      <c r="N10" s="78">
        <f t="shared" si="6"/>
        <v>45833</v>
      </c>
      <c r="O10" s="78">
        <f t="shared" si="7"/>
        <v>45840</v>
      </c>
      <c r="P10" s="78">
        <f t="shared" si="8"/>
        <v>45699</v>
      </c>
      <c r="Q10" s="78">
        <f t="shared" si="8"/>
        <v>45699</v>
      </c>
      <c r="R10" s="78"/>
      <c r="S10" s="78">
        <f>IF(VLOOKUP(A10,Dates,15,)&gt;0,VLOOKUP(A10,Dates,15,)+'Date Calcs'!S$2,IF(VLOOKUP(A10,Dates,13,)&gt;0,VLOOKUP(A10,Dates,13,)+'Date Calcs'!S$2,IF(VLOOKUP(A10,Dates,11,)&gt;0,VLOOKUP(A10,Dates,11,)+'Date Calcs'!S$2,IF(VLOOKUP(A10,Dates,9,)&gt;0,VLOOKUP(A10,Dates,9,)+'Date Calcs'!S$2,$I10+S$2))))+(V10*7)</f>
        <v>45793</v>
      </c>
      <c r="T10" s="78">
        <f t="shared" si="9"/>
        <v>45794</v>
      </c>
      <c r="U10" s="78">
        <f t="shared" si="10"/>
        <v>45798</v>
      </c>
      <c r="V10" s="105">
        <v>0</v>
      </c>
      <c r="W10" s="105">
        <v>0</v>
      </c>
      <c r="X10" s="78">
        <f t="shared" si="11"/>
        <v>45924</v>
      </c>
      <c r="Y10" s="78">
        <f t="shared" si="12"/>
        <v>45805</v>
      </c>
      <c r="Z10" s="78">
        <f t="shared" si="13"/>
        <v>45812</v>
      </c>
      <c r="AA10" s="78">
        <f t="shared" si="14"/>
        <v>45812</v>
      </c>
      <c r="AB10" s="78">
        <f t="shared" si="14"/>
        <v>45812</v>
      </c>
      <c r="AC10" s="78">
        <f t="shared" si="19"/>
        <v>45812</v>
      </c>
      <c r="AD10" s="78">
        <f t="shared" si="15"/>
        <v>45813</v>
      </c>
      <c r="AE10" s="78">
        <f t="shared" si="16"/>
        <v>45805</v>
      </c>
      <c r="AF10" s="78">
        <f t="shared" si="17"/>
        <v>45815</v>
      </c>
      <c r="AG10" s="78">
        <f t="shared" si="18"/>
        <v>45917</v>
      </c>
      <c r="AH10" s="78"/>
    </row>
    <row r="11" spans="1:34" x14ac:dyDescent="0.25">
      <c r="A11" s="103" t="s">
        <v>209</v>
      </c>
      <c r="B11" s="103" t="s">
        <v>204</v>
      </c>
      <c r="C11" s="104">
        <v>45685</v>
      </c>
      <c r="D11" s="103">
        <v>4</v>
      </c>
      <c r="E11" s="103">
        <v>5</v>
      </c>
      <c r="F11" s="103">
        <v>20</v>
      </c>
      <c r="G11" s="103">
        <v>22</v>
      </c>
      <c r="H11" s="78">
        <f t="shared" si="0"/>
        <v>45720</v>
      </c>
      <c r="I11" s="78">
        <f t="shared" si="1"/>
        <v>45763</v>
      </c>
      <c r="J11" s="78">
        <f t="shared" si="2"/>
        <v>45798</v>
      </c>
      <c r="K11" s="78">
        <f t="shared" si="3"/>
        <v>45812</v>
      </c>
      <c r="L11" s="78">
        <f t="shared" si="4"/>
        <v>45819</v>
      </c>
      <c r="M11" s="78">
        <f t="shared" si="5"/>
        <v>45826</v>
      </c>
      <c r="N11" s="78">
        <f t="shared" si="6"/>
        <v>45833</v>
      </c>
      <c r="O11" s="78">
        <f t="shared" si="7"/>
        <v>45840</v>
      </c>
      <c r="P11" s="78">
        <f t="shared" si="8"/>
        <v>45699</v>
      </c>
      <c r="Q11" s="78">
        <f t="shared" si="8"/>
        <v>45699</v>
      </c>
      <c r="R11" s="78"/>
      <c r="S11" s="78">
        <f>IF(VLOOKUP(A11,Dates,15,)&gt;0,VLOOKUP(A11,Dates,15,)+'Date Calcs'!S$2,IF(VLOOKUP(A11,Dates,13,)&gt;0,VLOOKUP(A11,Dates,13,)+'Date Calcs'!S$2,IF(VLOOKUP(A11,Dates,11,)&gt;0,VLOOKUP(A11,Dates,11,)+'Date Calcs'!S$2,IF(VLOOKUP(A11,Dates,9,)&gt;0,VLOOKUP(A11,Dates,9,)+'Date Calcs'!S$2,$I11+S$2))))+(V11*7)</f>
        <v>45793</v>
      </c>
      <c r="T11" s="78">
        <f t="shared" si="9"/>
        <v>45794</v>
      </c>
      <c r="U11" s="78">
        <f t="shared" si="10"/>
        <v>45798</v>
      </c>
      <c r="V11" s="105">
        <v>0</v>
      </c>
      <c r="W11" s="105">
        <v>0</v>
      </c>
      <c r="X11" s="78">
        <f t="shared" si="11"/>
        <v>45952</v>
      </c>
      <c r="Y11" s="78">
        <f t="shared" si="12"/>
        <v>45805</v>
      </c>
      <c r="Z11" s="78">
        <f t="shared" si="13"/>
        <v>45812</v>
      </c>
      <c r="AA11" s="78">
        <f t="shared" si="14"/>
        <v>45812</v>
      </c>
      <c r="AB11" s="78">
        <f t="shared" si="14"/>
        <v>45812</v>
      </c>
      <c r="AC11" s="78">
        <f t="shared" si="19"/>
        <v>45812</v>
      </c>
      <c r="AD11" s="78">
        <f t="shared" si="15"/>
        <v>45813</v>
      </c>
      <c r="AE11" s="78">
        <f t="shared" si="16"/>
        <v>45805</v>
      </c>
      <c r="AF11" s="78">
        <f t="shared" si="17"/>
        <v>45815</v>
      </c>
      <c r="AG11" s="78">
        <f t="shared" si="18"/>
        <v>45945</v>
      </c>
      <c r="AH11" s="78"/>
    </row>
    <row r="12" spans="1:34" x14ac:dyDescent="0.25">
      <c r="A12" s="103" t="s">
        <v>210</v>
      </c>
      <c r="B12" s="103" t="s">
        <v>204</v>
      </c>
      <c r="C12" s="104">
        <v>45685</v>
      </c>
      <c r="D12" s="103">
        <v>4</v>
      </c>
      <c r="E12" s="103">
        <v>5</v>
      </c>
      <c r="F12" s="103">
        <v>20</v>
      </c>
      <c r="G12" s="103">
        <v>22</v>
      </c>
      <c r="H12" s="78">
        <f t="shared" si="0"/>
        <v>45720</v>
      </c>
      <c r="I12" s="78">
        <f t="shared" si="1"/>
        <v>45763</v>
      </c>
      <c r="J12" s="78">
        <f t="shared" si="2"/>
        <v>45798</v>
      </c>
      <c r="K12" s="78">
        <f t="shared" si="3"/>
        <v>45812</v>
      </c>
      <c r="L12" s="78">
        <f t="shared" si="4"/>
        <v>45819</v>
      </c>
      <c r="M12" s="78">
        <f t="shared" si="5"/>
        <v>45826</v>
      </c>
      <c r="N12" s="78">
        <f t="shared" si="6"/>
        <v>45833</v>
      </c>
      <c r="O12" s="78">
        <f t="shared" si="7"/>
        <v>45840</v>
      </c>
      <c r="P12" s="78">
        <f t="shared" si="8"/>
        <v>45699</v>
      </c>
      <c r="Q12" s="78">
        <f t="shared" si="8"/>
        <v>45699</v>
      </c>
      <c r="R12" s="78"/>
      <c r="S12" s="78">
        <f>IF(VLOOKUP(A12,Dates,15,)&gt;0,VLOOKUP(A12,Dates,15,)+'Date Calcs'!S$2,IF(VLOOKUP(A12,Dates,13,)&gt;0,VLOOKUP(A12,Dates,13,)+'Date Calcs'!S$2,IF(VLOOKUP(A12,Dates,11,)&gt;0,VLOOKUP(A12,Dates,11,)+'Date Calcs'!S$2,IF(VLOOKUP(A12,Dates,9,)&gt;0,VLOOKUP(A12,Dates,9,)+'Date Calcs'!S$2,$I12+S$2))))+(V12*7)</f>
        <v>45793</v>
      </c>
      <c r="T12" s="78">
        <f t="shared" si="9"/>
        <v>45794</v>
      </c>
      <c r="U12" s="78">
        <f t="shared" si="10"/>
        <v>45798</v>
      </c>
      <c r="V12" s="105">
        <v>0</v>
      </c>
      <c r="W12" s="105">
        <v>0</v>
      </c>
      <c r="X12" s="78">
        <f t="shared" si="11"/>
        <v>45952</v>
      </c>
      <c r="Y12" s="78">
        <f t="shared" si="12"/>
        <v>45805</v>
      </c>
      <c r="Z12" s="78">
        <f t="shared" si="13"/>
        <v>45812</v>
      </c>
      <c r="AA12" s="78">
        <f t="shared" si="14"/>
        <v>45812</v>
      </c>
      <c r="AB12" s="78">
        <f t="shared" si="14"/>
        <v>45812</v>
      </c>
      <c r="AC12" s="78">
        <f t="shared" si="19"/>
        <v>45812</v>
      </c>
      <c r="AD12" s="78">
        <f t="shared" si="15"/>
        <v>45813</v>
      </c>
      <c r="AE12" s="78">
        <f t="shared" si="16"/>
        <v>45805</v>
      </c>
      <c r="AF12" s="78">
        <f t="shared" si="17"/>
        <v>45815</v>
      </c>
      <c r="AG12" s="78">
        <f t="shared" si="18"/>
        <v>45945</v>
      </c>
      <c r="AH12" s="78"/>
    </row>
    <row r="13" spans="1:34" x14ac:dyDescent="0.25">
      <c r="A13" s="103" t="s">
        <v>211</v>
      </c>
      <c r="B13" s="103" t="s">
        <v>204</v>
      </c>
      <c r="C13" s="104">
        <v>45685</v>
      </c>
      <c r="D13" s="103">
        <v>4</v>
      </c>
      <c r="E13" s="103">
        <v>5</v>
      </c>
      <c r="F13" s="103">
        <v>20</v>
      </c>
      <c r="G13" s="103">
        <v>22</v>
      </c>
      <c r="H13" s="78">
        <f t="shared" si="0"/>
        <v>45720</v>
      </c>
      <c r="I13" s="78">
        <f t="shared" si="1"/>
        <v>45740</v>
      </c>
      <c r="J13" s="78">
        <f t="shared" si="2"/>
        <v>45761</v>
      </c>
      <c r="K13" s="78">
        <f t="shared" si="3"/>
        <v>45776</v>
      </c>
      <c r="L13" s="78">
        <f t="shared" si="4"/>
        <v>45783</v>
      </c>
      <c r="M13" s="78">
        <f t="shared" si="5"/>
        <v>45790</v>
      </c>
      <c r="N13" s="78">
        <f t="shared" si="6"/>
        <v>45797</v>
      </c>
      <c r="O13" s="78">
        <f t="shared" si="7"/>
        <v>45804</v>
      </c>
      <c r="P13" s="78">
        <f t="shared" si="8"/>
        <v>45699</v>
      </c>
      <c r="Q13" s="78">
        <f t="shared" si="8"/>
        <v>45699</v>
      </c>
      <c r="R13" s="78"/>
      <c r="S13" s="78">
        <f>IF(VLOOKUP(A13,Dates,15,)&gt;0,VLOOKUP(A13,Dates,15,)+'Date Calcs'!S$2,IF(VLOOKUP(A13,Dates,13,)&gt;0,VLOOKUP(A13,Dates,13,)+'Date Calcs'!S$2,IF(VLOOKUP(A13,Dates,11,)&gt;0,VLOOKUP(A13,Dates,11,)+'Date Calcs'!S$2,IF(VLOOKUP(A13,Dates,9,)&gt;0,VLOOKUP(A13,Dates,9,)+'Date Calcs'!S$2,$I13+S$2))))+(V13*7)</f>
        <v>45756</v>
      </c>
      <c r="T13" s="78">
        <f t="shared" si="9"/>
        <v>45757</v>
      </c>
      <c r="U13" s="78">
        <f t="shared" si="10"/>
        <v>45761</v>
      </c>
      <c r="V13" s="105">
        <v>0</v>
      </c>
      <c r="W13" s="105">
        <v>0</v>
      </c>
      <c r="X13" s="78">
        <f t="shared" si="11"/>
        <v>45915</v>
      </c>
      <c r="Y13" s="78">
        <f t="shared" si="12"/>
        <v>45768</v>
      </c>
      <c r="Z13" s="78">
        <f t="shared" si="13"/>
        <v>45775</v>
      </c>
      <c r="AA13" s="78">
        <f t="shared" si="14"/>
        <v>45775</v>
      </c>
      <c r="AB13" s="78">
        <f t="shared" si="14"/>
        <v>45775</v>
      </c>
      <c r="AC13" s="78">
        <f t="shared" si="19"/>
        <v>45775</v>
      </c>
      <c r="AD13" s="78">
        <f t="shared" si="15"/>
        <v>45776</v>
      </c>
      <c r="AE13" s="78">
        <f t="shared" si="16"/>
        <v>45768</v>
      </c>
      <c r="AF13" s="78">
        <f t="shared" si="17"/>
        <v>45778</v>
      </c>
      <c r="AG13" s="78">
        <f t="shared" si="18"/>
        <v>45908</v>
      </c>
      <c r="AH13" s="78"/>
    </row>
    <row r="14" spans="1:34" x14ac:dyDescent="0.25">
      <c r="A14" s="103" t="s">
        <v>212</v>
      </c>
      <c r="B14" s="103" t="s">
        <v>204</v>
      </c>
      <c r="C14" s="104">
        <v>45685</v>
      </c>
      <c r="D14" s="103">
        <v>4</v>
      </c>
      <c r="E14" s="103">
        <v>5</v>
      </c>
      <c r="F14" s="103">
        <v>20</v>
      </c>
      <c r="G14" s="103">
        <v>22</v>
      </c>
      <c r="H14" s="78">
        <f t="shared" si="0"/>
        <v>45720</v>
      </c>
      <c r="I14" s="78">
        <f t="shared" si="1"/>
        <v>45812</v>
      </c>
      <c r="J14" s="78">
        <f t="shared" si="2"/>
        <v>45859</v>
      </c>
      <c r="K14" s="78">
        <f t="shared" si="3"/>
        <v>45881</v>
      </c>
      <c r="L14" s="78">
        <f t="shared" si="4"/>
        <v>45897</v>
      </c>
      <c r="M14" s="78">
        <f t="shared" si="5"/>
        <v>45912</v>
      </c>
      <c r="N14" s="78">
        <f t="shared" si="6"/>
        <v>45919</v>
      </c>
      <c r="O14" s="78">
        <f t="shared" si="7"/>
        <v>45926</v>
      </c>
      <c r="P14" s="78">
        <f t="shared" si="8"/>
        <v>45699</v>
      </c>
      <c r="Q14" s="78">
        <f t="shared" si="8"/>
        <v>45699</v>
      </c>
      <c r="R14" s="78"/>
      <c r="S14" s="78">
        <f>IF(VLOOKUP(A14,Dates,15,)&gt;0,VLOOKUP(A14,Dates,15,)+'Date Calcs'!S$2,IF(VLOOKUP(A14,Dates,13,)&gt;0,VLOOKUP(A14,Dates,13,)+'Date Calcs'!S$2,IF(VLOOKUP(A14,Dates,11,)&gt;0,VLOOKUP(A14,Dates,11,)+'Date Calcs'!S$2,IF(VLOOKUP(A14,Dates,9,)&gt;0,VLOOKUP(A14,Dates,9,)+'Date Calcs'!S$2,$I14+S$2))))+(V14*7)</f>
        <v>45892</v>
      </c>
      <c r="T14" s="78">
        <f t="shared" si="9"/>
        <v>45893</v>
      </c>
      <c r="U14" s="78">
        <f t="shared" si="10"/>
        <v>45897</v>
      </c>
      <c r="V14" s="105">
        <v>0</v>
      </c>
      <c r="W14" s="105">
        <v>0</v>
      </c>
      <c r="X14" s="78">
        <f t="shared" si="11"/>
        <v>46051</v>
      </c>
      <c r="Y14" s="78">
        <f t="shared" si="12"/>
        <v>45904</v>
      </c>
      <c r="Z14" s="78">
        <f t="shared" si="13"/>
        <v>45911</v>
      </c>
      <c r="AA14" s="78">
        <f t="shared" si="14"/>
        <v>45911</v>
      </c>
      <c r="AB14" s="78">
        <f t="shared" si="14"/>
        <v>45911</v>
      </c>
      <c r="AC14" s="78">
        <f t="shared" si="19"/>
        <v>45911</v>
      </c>
      <c r="AD14" s="78">
        <f t="shared" si="15"/>
        <v>45912</v>
      </c>
      <c r="AE14" s="78">
        <f t="shared" si="16"/>
        <v>45904</v>
      </c>
      <c r="AF14" s="78">
        <f t="shared" si="17"/>
        <v>45914</v>
      </c>
      <c r="AG14" s="78">
        <f t="shared" si="18"/>
        <v>46044</v>
      </c>
      <c r="AH14" s="78"/>
    </row>
    <row r="15" spans="1:34" x14ac:dyDescent="0.25">
      <c r="A15" s="103" t="s">
        <v>213</v>
      </c>
      <c r="B15" s="103" t="s">
        <v>204</v>
      </c>
      <c r="C15" s="104">
        <v>45685</v>
      </c>
      <c r="D15" s="103">
        <v>4</v>
      </c>
      <c r="E15" s="103">
        <v>5</v>
      </c>
      <c r="F15" s="103">
        <v>24</v>
      </c>
      <c r="G15" s="103">
        <v>26</v>
      </c>
      <c r="H15" s="78">
        <f t="shared" si="0"/>
        <v>45720</v>
      </c>
      <c r="I15" s="78">
        <f t="shared" si="1"/>
        <v>45804</v>
      </c>
      <c r="J15" s="78">
        <f t="shared" si="2"/>
        <v>45833</v>
      </c>
      <c r="K15" s="78">
        <f t="shared" si="3"/>
        <v>45841</v>
      </c>
      <c r="L15" s="78">
        <f t="shared" si="4"/>
        <v>45904</v>
      </c>
      <c r="M15" s="78">
        <f t="shared" si="5"/>
        <v>45912</v>
      </c>
      <c r="N15" s="78">
        <f t="shared" si="6"/>
        <v>45919</v>
      </c>
      <c r="O15" s="78">
        <f t="shared" si="7"/>
        <v>45926</v>
      </c>
      <c r="P15" s="78">
        <f t="shared" si="8"/>
        <v>45699</v>
      </c>
      <c r="Q15" s="78">
        <f t="shared" si="8"/>
        <v>45699</v>
      </c>
      <c r="R15" s="78"/>
      <c r="S15" s="78">
        <f>IF(VLOOKUP(A15,Dates,15,)&gt;0,VLOOKUP(A15,Dates,15,)+'Date Calcs'!S$2,IF(VLOOKUP(A15,Dates,13,)&gt;0,VLOOKUP(A15,Dates,13,)+'Date Calcs'!S$2,IF(VLOOKUP(A15,Dates,11,)&gt;0,VLOOKUP(A15,Dates,11,)+'Date Calcs'!S$2,IF(VLOOKUP(A15,Dates,9,)&gt;0,VLOOKUP(A15,Dates,9,)+'Date Calcs'!S$2,$I15+S$2))))+(V15*7)</f>
        <v>45899</v>
      </c>
      <c r="T15" s="78">
        <f t="shared" si="9"/>
        <v>45900</v>
      </c>
      <c r="U15" s="78">
        <f t="shared" si="10"/>
        <v>45904</v>
      </c>
      <c r="V15" s="105">
        <v>0</v>
      </c>
      <c r="W15" s="105">
        <v>0</v>
      </c>
      <c r="X15" s="78">
        <f t="shared" si="11"/>
        <v>46086</v>
      </c>
      <c r="Y15" s="78">
        <f t="shared" si="12"/>
        <v>45911</v>
      </c>
      <c r="Z15" s="78">
        <f t="shared" si="13"/>
        <v>45918</v>
      </c>
      <c r="AA15" s="78">
        <f t="shared" si="14"/>
        <v>45918</v>
      </c>
      <c r="AB15" s="78">
        <f t="shared" si="14"/>
        <v>45918</v>
      </c>
      <c r="AC15" s="78">
        <f t="shared" si="19"/>
        <v>45918</v>
      </c>
      <c r="AD15" s="78">
        <f t="shared" si="15"/>
        <v>45919</v>
      </c>
      <c r="AE15" s="78">
        <f t="shared" si="16"/>
        <v>45911</v>
      </c>
      <c r="AF15" s="78">
        <f t="shared" si="17"/>
        <v>45921</v>
      </c>
      <c r="AG15" s="78">
        <f t="shared" si="18"/>
        <v>46079</v>
      </c>
      <c r="AH15" s="78"/>
    </row>
    <row r="16" spans="1:34" x14ac:dyDescent="0.25">
      <c r="A16" s="103" t="s">
        <v>214</v>
      </c>
      <c r="B16" s="103" t="s">
        <v>204</v>
      </c>
      <c r="C16" s="104">
        <v>45685</v>
      </c>
      <c r="D16" s="103">
        <v>4</v>
      </c>
      <c r="E16" s="103">
        <v>5</v>
      </c>
      <c r="F16" s="103">
        <v>24</v>
      </c>
      <c r="G16" s="103">
        <v>26</v>
      </c>
      <c r="H16" s="78">
        <f t="shared" si="0"/>
        <v>45720</v>
      </c>
      <c r="I16" s="78">
        <f t="shared" si="1"/>
        <v>45755</v>
      </c>
      <c r="J16" s="78">
        <f t="shared" si="2"/>
        <v>45813</v>
      </c>
      <c r="K16" s="78">
        <f t="shared" si="3"/>
        <v>45819</v>
      </c>
      <c r="L16" s="78">
        <f t="shared" si="4"/>
        <v>45869</v>
      </c>
      <c r="M16" s="78">
        <f t="shared" si="5"/>
        <v>45880</v>
      </c>
      <c r="N16" s="78">
        <f t="shared" si="6"/>
        <v>45897</v>
      </c>
      <c r="O16" s="78">
        <f t="shared" si="7"/>
        <v>45902</v>
      </c>
      <c r="P16" s="78">
        <f t="shared" si="8"/>
        <v>45699</v>
      </c>
      <c r="Q16" s="78">
        <f t="shared" si="8"/>
        <v>45699</v>
      </c>
      <c r="R16" s="78"/>
      <c r="S16" s="78">
        <f>IF(VLOOKUP(A16,Dates,15,)&gt;0,VLOOKUP(A16,Dates,15,)+'Date Calcs'!S$2,IF(VLOOKUP(A16,Dates,13,)&gt;0,VLOOKUP(A16,Dates,13,)+'Date Calcs'!S$2,IF(VLOOKUP(A16,Dates,11,)&gt;0,VLOOKUP(A16,Dates,11,)+'Date Calcs'!S$2,IF(VLOOKUP(A16,Dates,9,)&gt;0,VLOOKUP(A16,Dates,9,)+'Date Calcs'!S$2,$I16+S$2))))+(V16*7)</f>
        <v>45892</v>
      </c>
      <c r="T16" s="78">
        <f t="shared" si="9"/>
        <v>45893</v>
      </c>
      <c r="U16" s="78">
        <f t="shared" si="10"/>
        <v>45897</v>
      </c>
      <c r="V16" s="105">
        <v>0</v>
      </c>
      <c r="W16" s="105">
        <v>0</v>
      </c>
      <c r="X16" s="78">
        <f t="shared" si="11"/>
        <v>46079</v>
      </c>
      <c r="Y16" s="78">
        <f t="shared" si="12"/>
        <v>45904</v>
      </c>
      <c r="Z16" s="78">
        <f t="shared" si="13"/>
        <v>45911</v>
      </c>
      <c r="AA16" s="78">
        <f t="shared" si="14"/>
        <v>45911</v>
      </c>
      <c r="AB16" s="78">
        <f t="shared" si="14"/>
        <v>45911</v>
      </c>
      <c r="AC16" s="78">
        <f t="shared" si="19"/>
        <v>45911</v>
      </c>
      <c r="AD16" s="78">
        <f t="shared" si="15"/>
        <v>45912</v>
      </c>
      <c r="AE16" s="78">
        <f t="shared" si="16"/>
        <v>45904</v>
      </c>
      <c r="AF16" s="78">
        <f t="shared" si="17"/>
        <v>45914</v>
      </c>
      <c r="AG16" s="78">
        <f t="shared" si="18"/>
        <v>46072</v>
      </c>
      <c r="AH16" s="78"/>
    </row>
    <row r="17" spans="1:34" x14ac:dyDescent="0.25">
      <c r="A17" s="103" t="s">
        <v>215</v>
      </c>
      <c r="B17" s="103" t="s">
        <v>204</v>
      </c>
      <c r="C17" s="104">
        <v>45685</v>
      </c>
      <c r="D17" s="103">
        <v>4</v>
      </c>
      <c r="E17" s="103">
        <v>5</v>
      </c>
      <c r="F17" s="103">
        <v>24</v>
      </c>
      <c r="G17" s="103">
        <v>26</v>
      </c>
      <c r="H17" s="78">
        <f t="shared" si="0"/>
        <v>45720</v>
      </c>
      <c r="I17" s="78">
        <f t="shared" si="1"/>
        <v>45804</v>
      </c>
      <c r="J17" s="78">
        <f t="shared" si="2"/>
        <v>45833</v>
      </c>
      <c r="K17" s="78">
        <f t="shared" si="3"/>
        <v>45898</v>
      </c>
      <c r="L17" s="78">
        <f t="shared" si="4"/>
        <v>45904</v>
      </c>
      <c r="M17" s="78">
        <f t="shared" si="5"/>
        <v>45909</v>
      </c>
      <c r="N17" s="78">
        <f t="shared" si="6"/>
        <v>45916</v>
      </c>
      <c r="O17" s="78">
        <f t="shared" si="7"/>
        <v>45923</v>
      </c>
      <c r="P17" s="78">
        <f t="shared" si="8"/>
        <v>45699</v>
      </c>
      <c r="Q17" s="78">
        <f t="shared" si="8"/>
        <v>45699</v>
      </c>
      <c r="R17" s="78"/>
      <c r="S17" s="78">
        <f>IF(VLOOKUP(A17,Dates,15,)&gt;0,VLOOKUP(A17,Dates,15,)+'Date Calcs'!S$2,IF(VLOOKUP(A17,Dates,13,)&gt;0,VLOOKUP(A17,Dates,13,)+'Date Calcs'!S$2,IF(VLOOKUP(A17,Dates,11,)&gt;0,VLOOKUP(A17,Dates,11,)+'Date Calcs'!S$2,IF(VLOOKUP(A17,Dates,9,)&gt;0,VLOOKUP(A17,Dates,9,)+'Date Calcs'!S$2,$I17+S$2))))+(V17*7)</f>
        <v>45899</v>
      </c>
      <c r="T17" s="78">
        <f t="shared" si="9"/>
        <v>45900</v>
      </c>
      <c r="U17" s="78">
        <f t="shared" si="10"/>
        <v>45904</v>
      </c>
      <c r="V17" s="105">
        <v>0</v>
      </c>
      <c r="W17" s="105">
        <v>0</v>
      </c>
      <c r="X17" s="78">
        <f t="shared" si="11"/>
        <v>46086</v>
      </c>
      <c r="Y17" s="78">
        <f t="shared" si="12"/>
        <v>45911</v>
      </c>
      <c r="Z17" s="78">
        <f t="shared" si="13"/>
        <v>45918</v>
      </c>
      <c r="AA17" s="78">
        <f t="shared" si="14"/>
        <v>45918</v>
      </c>
      <c r="AB17" s="78">
        <f t="shared" si="14"/>
        <v>45918</v>
      </c>
      <c r="AC17" s="78">
        <f t="shared" si="19"/>
        <v>45918</v>
      </c>
      <c r="AD17" s="78">
        <f t="shared" si="15"/>
        <v>45919</v>
      </c>
      <c r="AE17" s="78">
        <f t="shared" si="16"/>
        <v>45911</v>
      </c>
      <c r="AF17" s="78">
        <f t="shared" si="17"/>
        <v>45921</v>
      </c>
      <c r="AG17" s="78">
        <f t="shared" si="18"/>
        <v>46079</v>
      </c>
      <c r="AH17" s="78"/>
    </row>
    <row r="18" spans="1:34" x14ac:dyDescent="0.25">
      <c r="A18" s="103" t="s">
        <v>216</v>
      </c>
      <c r="B18" s="103" t="s">
        <v>217</v>
      </c>
      <c r="C18" s="104">
        <v>45687</v>
      </c>
      <c r="D18" s="103">
        <v>1</v>
      </c>
      <c r="E18" s="103">
        <v>2</v>
      </c>
      <c r="F18" s="103">
        <v>10</v>
      </c>
      <c r="G18" s="103">
        <v>12</v>
      </c>
      <c r="H18" s="78">
        <f t="shared" si="0"/>
        <v>45701</v>
      </c>
      <c r="I18" s="78">
        <f t="shared" si="1"/>
        <v>45714</v>
      </c>
      <c r="J18" s="78">
        <f t="shared" si="2"/>
        <v>45721</v>
      </c>
      <c r="K18" s="78">
        <f t="shared" si="3"/>
        <v>45728</v>
      </c>
      <c r="L18" s="78">
        <f t="shared" si="4"/>
        <v>45733</v>
      </c>
      <c r="M18" s="78">
        <f t="shared" si="5"/>
        <v>45733</v>
      </c>
      <c r="N18" s="78">
        <f t="shared" si="6"/>
        <v>45740</v>
      </c>
      <c r="O18" s="78">
        <f t="shared" si="7"/>
        <v>45747</v>
      </c>
      <c r="P18" s="78">
        <f t="shared" si="8"/>
        <v>45701</v>
      </c>
      <c r="Q18" s="78">
        <f t="shared" si="8"/>
        <v>45701</v>
      </c>
      <c r="R18" s="78"/>
      <c r="S18" s="78">
        <f>IF(VLOOKUP(A18,Dates,15,)&gt;0,VLOOKUP(A18,Dates,15,)+'Date Calcs'!S$2,IF(VLOOKUP(A18,Dates,13,)&gt;0,VLOOKUP(A18,Dates,13,)+'Date Calcs'!S$2,IF(VLOOKUP(A18,Dates,11,)&gt;0,VLOOKUP(A18,Dates,11,)+'Date Calcs'!S$2,IF(VLOOKUP(A18,Dates,9,)&gt;0,VLOOKUP(A18,Dates,9,)+'Date Calcs'!S$2,$I18+S$2))))+(V18*7)</f>
        <v>45728</v>
      </c>
      <c r="T18" s="78">
        <f t="shared" si="9"/>
        <v>45729</v>
      </c>
      <c r="U18" s="78">
        <f t="shared" si="10"/>
        <v>45733</v>
      </c>
      <c r="V18" s="105">
        <v>0</v>
      </c>
      <c r="W18" s="105">
        <v>0</v>
      </c>
      <c r="X18" s="78">
        <f t="shared" si="11"/>
        <v>45817</v>
      </c>
      <c r="Y18" s="78">
        <f t="shared" si="12"/>
        <v>45740</v>
      </c>
      <c r="Z18" s="78">
        <f t="shared" si="13"/>
        <v>45747</v>
      </c>
      <c r="AA18" s="78">
        <f t="shared" si="14"/>
        <v>45747</v>
      </c>
      <c r="AB18" s="78">
        <f t="shared" si="14"/>
        <v>45747</v>
      </c>
      <c r="AC18" s="78">
        <f t="shared" si="19"/>
        <v>45747</v>
      </c>
      <c r="AD18" s="78">
        <f t="shared" si="15"/>
        <v>45748</v>
      </c>
      <c r="AE18" s="78">
        <f t="shared" si="16"/>
        <v>45740</v>
      </c>
      <c r="AF18" s="78">
        <f t="shared" si="17"/>
        <v>45750</v>
      </c>
      <c r="AG18" s="78">
        <f t="shared" si="18"/>
        <v>45810</v>
      </c>
      <c r="AH18" s="78"/>
    </row>
    <row r="19" spans="1:34" x14ac:dyDescent="0.25">
      <c r="A19" s="103" t="s">
        <v>218</v>
      </c>
      <c r="B19" s="103" t="s">
        <v>217</v>
      </c>
      <c r="C19" s="104">
        <v>45687</v>
      </c>
      <c r="D19" s="103">
        <v>1</v>
      </c>
      <c r="E19" s="103">
        <v>2</v>
      </c>
      <c r="F19" s="103">
        <v>10</v>
      </c>
      <c r="G19" s="103">
        <v>12</v>
      </c>
      <c r="H19" s="78">
        <f t="shared" si="0"/>
        <v>45701</v>
      </c>
      <c r="I19" s="78">
        <f t="shared" si="1"/>
        <v>45714</v>
      </c>
      <c r="J19" s="78">
        <f t="shared" si="2"/>
        <v>45721</v>
      </c>
      <c r="K19" s="78">
        <f t="shared" si="3"/>
        <v>45728</v>
      </c>
      <c r="L19" s="78">
        <f t="shared" si="4"/>
        <v>45733</v>
      </c>
      <c r="M19" s="78">
        <f t="shared" si="5"/>
        <v>45733</v>
      </c>
      <c r="N19" s="78">
        <f t="shared" si="6"/>
        <v>45740</v>
      </c>
      <c r="O19" s="78">
        <f t="shared" si="7"/>
        <v>45747</v>
      </c>
      <c r="P19" s="78">
        <f t="shared" si="8"/>
        <v>45701</v>
      </c>
      <c r="Q19" s="78">
        <f t="shared" si="8"/>
        <v>45701</v>
      </c>
      <c r="R19" s="78"/>
      <c r="S19" s="78">
        <f>IF(VLOOKUP(A19,Dates,15,)&gt;0,VLOOKUP(A19,Dates,15,)+'Date Calcs'!S$2,IF(VLOOKUP(A19,Dates,13,)&gt;0,VLOOKUP(A19,Dates,13,)+'Date Calcs'!S$2,IF(VLOOKUP(A19,Dates,11,)&gt;0,VLOOKUP(A19,Dates,11,)+'Date Calcs'!S$2,IF(VLOOKUP(A19,Dates,9,)&gt;0,VLOOKUP(A19,Dates,9,)+'Date Calcs'!S$2,$I19+S$2))))+(V19*7)</f>
        <v>45728</v>
      </c>
      <c r="T19" s="78">
        <f t="shared" si="9"/>
        <v>45729</v>
      </c>
      <c r="U19" s="78">
        <f t="shared" si="10"/>
        <v>45733</v>
      </c>
      <c r="V19" s="105">
        <v>0</v>
      </c>
      <c r="W19" s="105">
        <v>0</v>
      </c>
      <c r="X19" s="78">
        <f t="shared" si="11"/>
        <v>45817</v>
      </c>
      <c r="Y19" s="78">
        <f t="shared" si="12"/>
        <v>45740</v>
      </c>
      <c r="Z19" s="78">
        <f t="shared" si="13"/>
        <v>45747</v>
      </c>
      <c r="AA19" s="78">
        <f t="shared" si="14"/>
        <v>45747</v>
      </c>
      <c r="AB19" s="78">
        <f t="shared" si="14"/>
        <v>45747</v>
      </c>
      <c r="AC19" s="78">
        <f t="shared" si="19"/>
        <v>45747</v>
      </c>
      <c r="AD19" s="78">
        <f t="shared" si="15"/>
        <v>45748</v>
      </c>
      <c r="AE19" s="78">
        <f t="shared" si="16"/>
        <v>45740</v>
      </c>
      <c r="AF19" s="78">
        <f t="shared" si="17"/>
        <v>45750</v>
      </c>
      <c r="AG19" s="78">
        <f t="shared" si="18"/>
        <v>45810</v>
      </c>
      <c r="AH19" s="78"/>
    </row>
    <row r="20" spans="1:34" x14ac:dyDescent="0.25">
      <c r="A20" s="103" t="s">
        <v>219</v>
      </c>
      <c r="B20" s="103" t="s">
        <v>220</v>
      </c>
      <c r="C20" s="104">
        <v>45693</v>
      </c>
      <c r="D20" s="103">
        <v>3</v>
      </c>
      <c r="E20" s="103">
        <v>4</v>
      </c>
      <c r="F20" s="103">
        <v>20</v>
      </c>
      <c r="G20" s="103">
        <v>24</v>
      </c>
      <c r="H20" s="78">
        <f t="shared" si="0"/>
        <v>45721</v>
      </c>
      <c r="I20" s="78">
        <f t="shared" si="1"/>
        <v>45728</v>
      </c>
      <c r="J20" s="78">
        <f t="shared" si="2"/>
        <v>45761</v>
      </c>
      <c r="K20" s="78">
        <f t="shared" si="3"/>
        <v>45771</v>
      </c>
      <c r="L20" s="78">
        <f t="shared" si="4"/>
        <v>45806</v>
      </c>
      <c r="M20" s="78">
        <f t="shared" si="5"/>
        <v>45812</v>
      </c>
      <c r="N20" s="78">
        <f t="shared" si="6"/>
        <v>45819</v>
      </c>
      <c r="O20" s="78">
        <f t="shared" si="7"/>
        <v>45826</v>
      </c>
      <c r="P20" s="78">
        <f t="shared" si="8"/>
        <v>45707</v>
      </c>
      <c r="Q20" s="78">
        <f t="shared" si="8"/>
        <v>45707</v>
      </c>
      <c r="R20" s="78"/>
      <c r="S20" s="78">
        <f>IF(VLOOKUP(A20,Dates,15,)&gt;0,VLOOKUP(A20,Dates,15,)+'Date Calcs'!S$2,IF(VLOOKUP(A20,Dates,13,)&gt;0,VLOOKUP(A20,Dates,13,)+'Date Calcs'!S$2,IF(VLOOKUP(A20,Dates,11,)&gt;0,VLOOKUP(A20,Dates,11,)+'Date Calcs'!S$2,IF(VLOOKUP(A20,Dates,9,)&gt;0,VLOOKUP(A20,Dates,9,)+'Date Calcs'!S$2,$I20+S$2))))+(V20*7)</f>
        <v>45801</v>
      </c>
      <c r="T20" s="78">
        <f t="shared" si="9"/>
        <v>45802</v>
      </c>
      <c r="U20" s="78">
        <f t="shared" si="10"/>
        <v>45806</v>
      </c>
      <c r="V20" s="105">
        <v>0</v>
      </c>
      <c r="W20" s="105">
        <v>0</v>
      </c>
      <c r="X20" s="78">
        <f t="shared" si="11"/>
        <v>45974</v>
      </c>
      <c r="Y20" s="78">
        <f t="shared" si="12"/>
        <v>45813</v>
      </c>
      <c r="Z20" s="78">
        <f t="shared" si="13"/>
        <v>45820</v>
      </c>
      <c r="AA20" s="78">
        <f t="shared" si="14"/>
        <v>45820</v>
      </c>
      <c r="AB20" s="78">
        <f t="shared" si="14"/>
        <v>45820</v>
      </c>
      <c r="AC20" s="78">
        <f t="shared" si="19"/>
        <v>45820</v>
      </c>
      <c r="AD20" s="78">
        <f t="shared" si="15"/>
        <v>45821</v>
      </c>
      <c r="AE20" s="78">
        <f t="shared" si="16"/>
        <v>45813</v>
      </c>
      <c r="AF20" s="78">
        <f t="shared" si="17"/>
        <v>45823</v>
      </c>
      <c r="AG20" s="78">
        <f t="shared" si="18"/>
        <v>45967</v>
      </c>
      <c r="AH20" s="78"/>
    </row>
    <row r="21" spans="1:34" x14ac:dyDescent="0.25">
      <c r="A21" s="103" t="s">
        <v>221</v>
      </c>
      <c r="B21" s="103" t="s">
        <v>220</v>
      </c>
      <c r="C21" s="104">
        <v>45693</v>
      </c>
      <c r="D21" s="103">
        <v>3</v>
      </c>
      <c r="E21" s="103">
        <v>4</v>
      </c>
      <c r="F21" s="103">
        <v>20</v>
      </c>
      <c r="G21" s="103">
        <v>24</v>
      </c>
      <c r="H21" s="78">
        <f t="shared" si="0"/>
        <v>45721</v>
      </c>
      <c r="I21" s="78">
        <f t="shared" si="1"/>
        <v>45728</v>
      </c>
      <c r="J21" s="78">
        <f t="shared" si="2"/>
        <v>45761</v>
      </c>
      <c r="K21" s="78">
        <f t="shared" si="3"/>
        <v>45771</v>
      </c>
      <c r="L21" s="78">
        <f t="shared" si="4"/>
        <v>45797</v>
      </c>
      <c r="M21" s="78">
        <f t="shared" si="5"/>
        <v>45804</v>
      </c>
      <c r="N21" s="78">
        <f t="shared" si="6"/>
        <v>45811</v>
      </c>
      <c r="O21" s="78">
        <f t="shared" si="7"/>
        <v>45818</v>
      </c>
      <c r="P21" s="78">
        <f t="shared" si="8"/>
        <v>45707</v>
      </c>
      <c r="Q21" s="78">
        <f t="shared" si="8"/>
        <v>45707</v>
      </c>
      <c r="R21" s="78"/>
      <c r="S21" s="78">
        <f>IF(VLOOKUP(A21,Dates,15,)&gt;0,VLOOKUP(A21,Dates,15,)+'Date Calcs'!S$2,IF(VLOOKUP(A21,Dates,13,)&gt;0,VLOOKUP(A21,Dates,13,)+'Date Calcs'!S$2,IF(VLOOKUP(A21,Dates,11,)&gt;0,VLOOKUP(A21,Dates,11,)+'Date Calcs'!S$2,IF(VLOOKUP(A21,Dates,9,)&gt;0,VLOOKUP(A21,Dates,9,)+'Date Calcs'!S$2,$I21+S$2))))+(V21*7)</f>
        <v>45792</v>
      </c>
      <c r="T21" s="78">
        <f t="shared" si="9"/>
        <v>45793</v>
      </c>
      <c r="U21" s="78">
        <f t="shared" si="10"/>
        <v>45797</v>
      </c>
      <c r="V21" s="105">
        <v>0</v>
      </c>
      <c r="W21" s="105">
        <v>0</v>
      </c>
      <c r="X21" s="78">
        <f t="shared" si="11"/>
        <v>45965</v>
      </c>
      <c r="Y21" s="78">
        <f t="shared" si="12"/>
        <v>45804</v>
      </c>
      <c r="Z21" s="78">
        <f t="shared" si="13"/>
        <v>45811</v>
      </c>
      <c r="AA21" s="78">
        <f t="shared" si="14"/>
        <v>45811</v>
      </c>
      <c r="AB21" s="78">
        <f t="shared" si="14"/>
        <v>45811</v>
      </c>
      <c r="AC21" s="78">
        <f t="shared" si="19"/>
        <v>45811</v>
      </c>
      <c r="AD21" s="78">
        <f t="shared" si="15"/>
        <v>45812</v>
      </c>
      <c r="AE21" s="78">
        <f t="shared" si="16"/>
        <v>45804</v>
      </c>
      <c r="AF21" s="78">
        <f t="shared" si="17"/>
        <v>45814</v>
      </c>
      <c r="AG21" s="78">
        <f t="shared" si="18"/>
        <v>45958</v>
      </c>
      <c r="AH21" s="78"/>
    </row>
    <row r="22" spans="1:34" x14ac:dyDescent="0.25">
      <c r="A22" s="103" t="s">
        <v>222</v>
      </c>
      <c r="B22" s="103" t="s">
        <v>220</v>
      </c>
      <c r="C22" s="104">
        <v>45693</v>
      </c>
      <c r="D22" s="103">
        <v>3</v>
      </c>
      <c r="E22" s="103">
        <v>4</v>
      </c>
      <c r="F22" s="103">
        <v>20</v>
      </c>
      <c r="G22" s="103">
        <v>24</v>
      </c>
      <c r="H22" s="78">
        <f t="shared" si="0"/>
        <v>45721</v>
      </c>
      <c r="I22" s="78">
        <f t="shared" si="1"/>
        <v>45728</v>
      </c>
      <c r="J22" s="78">
        <f t="shared" si="2"/>
        <v>45761</v>
      </c>
      <c r="K22" s="78">
        <f t="shared" si="3"/>
        <v>45771</v>
      </c>
      <c r="L22" s="78">
        <f t="shared" si="4"/>
        <v>45797</v>
      </c>
      <c r="M22" s="78">
        <f t="shared" si="5"/>
        <v>45804</v>
      </c>
      <c r="N22" s="78">
        <f t="shared" si="6"/>
        <v>45811</v>
      </c>
      <c r="O22" s="78">
        <f t="shared" si="7"/>
        <v>45818</v>
      </c>
      <c r="P22" s="78">
        <f t="shared" si="8"/>
        <v>45707</v>
      </c>
      <c r="Q22" s="78">
        <f t="shared" si="8"/>
        <v>45707</v>
      </c>
      <c r="R22" s="78"/>
      <c r="S22" s="78">
        <f>IF(VLOOKUP(A22,Dates,15,)&gt;0,VLOOKUP(A22,Dates,15,)+'Date Calcs'!S$2,IF(VLOOKUP(A22,Dates,13,)&gt;0,VLOOKUP(A22,Dates,13,)+'Date Calcs'!S$2,IF(VLOOKUP(A22,Dates,11,)&gt;0,VLOOKUP(A22,Dates,11,)+'Date Calcs'!S$2,IF(VLOOKUP(A22,Dates,9,)&gt;0,VLOOKUP(A22,Dates,9,)+'Date Calcs'!S$2,$I22+S$2))))+(V22*7)</f>
        <v>45792</v>
      </c>
      <c r="T22" s="78">
        <f t="shared" si="9"/>
        <v>45793</v>
      </c>
      <c r="U22" s="78">
        <f t="shared" si="10"/>
        <v>45797</v>
      </c>
      <c r="V22" s="105">
        <v>0</v>
      </c>
      <c r="W22" s="105">
        <v>0</v>
      </c>
      <c r="X22" s="78">
        <f t="shared" si="11"/>
        <v>45965</v>
      </c>
      <c r="Y22" s="78">
        <f t="shared" si="12"/>
        <v>45804</v>
      </c>
      <c r="Z22" s="78">
        <f t="shared" si="13"/>
        <v>45811</v>
      </c>
      <c r="AA22" s="78">
        <f t="shared" si="14"/>
        <v>45811</v>
      </c>
      <c r="AB22" s="78">
        <f t="shared" si="14"/>
        <v>45811</v>
      </c>
      <c r="AC22" s="78">
        <f t="shared" si="19"/>
        <v>45811</v>
      </c>
      <c r="AD22" s="78">
        <f t="shared" si="15"/>
        <v>45812</v>
      </c>
      <c r="AE22" s="78">
        <f t="shared" si="16"/>
        <v>45804</v>
      </c>
      <c r="AF22" s="78">
        <f t="shared" si="17"/>
        <v>45814</v>
      </c>
      <c r="AG22" s="78">
        <f t="shared" si="18"/>
        <v>45958</v>
      </c>
      <c r="AH22" s="78"/>
    </row>
    <row r="23" spans="1:34" x14ac:dyDescent="0.25">
      <c r="A23" s="103" t="s">
        <v>223</v>
      </c>
      <c r="B23" s="103" t="s">
        <v>220</v>
      </c>
      <c r="C23" s="104">
        <v>45693</v>
      </c>
      <c r="D23" s="103">
        <v>3</v>
      </c>
      <c r="E23" s="103">
        <v>4</v>
      </c>
      <c r="F23" s="103">
        <v>20</v>
      </c>
      <c r="G23" s="103">
        <v>24</v>
      </c>
      <c r="H23" s="78">
        <f t="shared" si="0"/>
        <v>45721</v>
      </c>
      <c r="I23" s="78">
        <f t="shared" si="1"/>
        <v>45733</v>
      </c>
      <c r="J23" s="78">
        <f t="shared" si="2"/>
        <v>45761</v>
      </c>
      <c r="K23" s="78">
        <f t="shared" si="3"/>
        <v>45771</v>
      </c>
      <c r="L23" s="78">
        <f t="shared" si="4"/>
        <v>45797</v>
      </c>
      <c r="M23" s="78">
        <f t="shared" si="5"/>
        <v>45804</v>
      </c>
      <c r="N23" s="78">
        <f t="shared" si="6"/>
        <v>45811</v>
      </c>
      <c r="O23" s="78">
        <f t="shared" si="7"/>
        <v>45818</v>
      </c>
      <c r="P23" s="78">
        <f t="shared" si="8"/>
        <v>45707</v>
      </c>
      <c r="Q23" s="78">
        <f t="shared" si="8"/>
        <v>45707</v>
      </c>
      <c r="R23" s="78"/>
      <c r="S23" s="78">
        <f>IF(VLOOKUP(A23,Dates,15,)&gt;0,VLOOKUP(A23,Dates,15,)+'Date Calcs'!S$2,IF(VLOOKUP(A23,Dates,13,)&gt;0,VLOOKUP(A23,Dates,13,)+'Date Calcs'!S$2,IF(VLOOKUP(A23,Dates,11,)&gt;0,VLOOKUP(A23,Dates,11,)+'Date Calcs'!S$2,IF(VLOOKUP(A23,Dates,9,)&gt;0,VLOOKUP(A23,Dates,9,)+'Date Calcs'!S$2,$I23+S$2))))+(V23*7)</f>
        <v>45792</v>
      </c>
      <c r="T23" s="78">
        <f t="shared" si="9"/>
        <v>45793</v>
      </c>
      <c r="U23" s="78">
        <f t="shared" si="10"/>
        <v>45797</v>
      </c>
      <c r="V23" s="105">
        <v>0</v>
      </c>
      <c r="W23" s="105">
        <v>0</v>
      </c>
      <c r="X23" s="78">
        <f t="shared" si="11"/>
        <v>45965</v>
      </c>
      <c r="Y23" s="78">
        <f t="shared" si="12"/>
        <v>45804</v>
      </c>
      <c r="Z23" s="78">
        <f t="shared" si="13"/>
        <v>45811</v>
      </c>
      <c r="AA23" s="78">
        <f t="shared" si="14"/>
        <v>45811</v>
      </c>
      <c r="AB23" s="78">
        <f t="shared" si="14"/>
        <v>45811</v>
      </c>
      <c r="AC23" s="78">
        <f t="shared" si="19"/>
        <v>45811</v>
      </c>
      <c r="AD23" s="78">
        <f t="shared" si="15"/>
        <v>45812</v>
      </c>
      <c r="AE23" s="78">
        <f t="shared" si="16"/>
        <v>45804</v>
      </c>
      <c r="AF23" s="78">
        <f t="shared" si="17"/>
        <v>45814</v>
      </c>
      <c r="AG23" s="78">
        <f t="shared" si="18"/>
        <v>45958</v>
      </c>
      <c r="AH23" s="78"/>
    </row>
    <row r="24" spans="1:34" x14ac:dyDescent="0.25">
      <c r="A24" s="103" t="s">
        <v>224</v>
      </c>
      <c r="B24" s="103" t="s">
        <v>220</v>
      </c>
      <c r="C24" s="104">
        <v>45693</v>
      </c>
      <c r="D24" s="103">
        <v>3</v>
      </c>
      <c r="E24" s="103">
        <v>4</v>
      </c>
      <c r="F24" s="103">
        <v>20</v>
      </c>
      <c r="G24" s="103">
        <v>24</v>
      </c>
      <c r="H24" s="78">
        <f t="shared" si="0"/>
        <v>45721</v>
      </c>
      <c r="I24" s="78">
        <f t="shared" si="1"/>
        <v>45733</v>
      </c>
      <c r="J24" s="78">
        <f t="shared" si="2"/>
        <v>45761</v>
      </c>
      <c r="K24" s="78">
        <f t="shared" si="3"/>
        <v>45771</v>
      </c>
      <c r="L24" s="78">
        <f t="shared" si="4"/>
        <v>45797</v>
      </c>
      <c r="M24" s="78">
        <f t="shared" si="5"/>
        <v>45804</v>
      </c>
      <c r="N24" s="78">
        <f t="shared" si="6"/>
        <v>45811</v>
      </c>
      <c r="O24" s="78">
        <f t="shared" si="7"/>
        <v>45818</v>
      </c>
      <c r="P24" s="78">
        <f t="shared" si="8"/>
        <v>45707</v>
      </c>
      <c r="Q24" s="78">
        <f t="shared" si="8"/>
        <v>45707</v>
      </c>
      <c r="R24" s="78"/>
      <c r="S24" s="78">
        <f>IF(VLOOKUP(A24,Dates,15,)&gt;0,VLOOKUP(A24,Dates,15,)+'Date Calcs'!S$2,IF(VLOOKUP(A24,Dates,13,)&gt;0,VLOOKUP(A24,Dates,13,)+'Date Calcs'!S$2,IF(VLOOKUP(A24,Dates,11,)&gt;0,VLOOKUP(A24,Dates,11,)+'Date Calcs'!S$2,IF(VLOOKUP(A24,Dates,9,)&gt;0,VLOOKUP(A24,Dates,9,)+'Date Calcs'!S$2,$I24+S$2))))+(V24*7)</f>
        <v>45792</v>
      </c>
      <c r="T24" s="78">
        <f t="shared" si="9"/>
        <v>45793</v>
      </c>
      <c r="U24" s="78">
        <f t="shared" si="10"/>
        <v>45797</v>
      </c>
      <c r="V24" s="105">
        <v>0</v>
      </c>
      <c r="W24" s="105">
        <v>0</v>
      </c>
      <c r="X24" s="78">
        <f t="shared" si="11"/>
        <v>45965</v>
      </c>
      <c r="Y24" s="78">
        <f t="shared" si="12"/>
        <v>45804</v>
      </c>
      <c r="Z24" s="78">
        <f t="shared" si="13"/>
        <v>45811</v>
      </c>
      <c r="AA24" s="78">
        <f t="shared" si="14"/>
        <v>45811</v>
      </c>
      <c r="AB24" s="78">
        <f t="shared" si="14"/>
        <v>45811</v>
      </c>
      <c r="AC24" s="78">
        <f t="shared" si="19"/>
        <v>45811</v>
      </c>
      <c r="AD24" s="78">
        <f t="shared" si="15"/>
        <v>45812</v>
      </c>
      <c r="AE24" s="78">
        <f t="shared" si="16"/>
        <v>45804</v>
      </c>
      <c r="AF24" s="78">
        <f t="shared" si="17"/>
        <v>45814</v>
      </c>
      <c r="AG24" s="78">
        <f t="shared" si="18"/>
        <v>45958</v>
      </c>
      <c r="AH24" s="78"/>
    </row>
    <row r="25" spans="1:34" x14ac:dyDescent="0.25">
      <c r="A25" s="103" t="s">
        <v>225</v>
      </c>
      <c r="B25" s="103" t="s">
        <v>220</v>
      </c>
      <c r="C25" s="104">
        <v>45693</v>
      </c>
      <c r="D25" s="103">
        <v>3</v>
      </c>
      <c r="E25" s="103">
        <v>4</v>
      </c>
      <c r="F25" s="103">
        <v>20</v>
      </c>
      <c r="G25" s="103">
        <v>24</v>
      </c>
      <c r="H25" s="78">
        <f t="shared" si="0"/>
        <v>45721</v>
      </c>
      <c r="I25" s="78">
        <f t="shared" si="1"/>
        <v>45735</v>
      </c>
      <c r="J25" s="78">
        <f t="shared" si="2"/>
        <v>45761</v>
      </c>
      <c r="K25" s="78">
        <f t="shared" si="3"/>
        <v>45771</v>
      </c>
      <c r="L25" s="78">
        <f t="shared" si="4"/>
        <v>45797</v>
      </c>
      <c r="M25" s="78">
        <f t="shared" si="5"/>
        <v>45804</v>
      </c>
      <c r="N25" s="78">
        <f t="shared" si="6"/>
        <v>45811</v>
      </c>
      <c r="O25" s="78">
        <f t="shared" si="7"/>
        <v>45818</v>
      </c>
      <c r="P25" s="78">
        <f t="shared" ref="P25:Q44" si="20">$C25+P$2</f>
        <v>45707</v>
      </c>
      <c r="Q25" s="78">
        <f t="shared" si="20"/>
        <v>45707</v>
      </c>
      <c r="R25" s="78"/>
      <c r="S25" s="78">
        <f>IF(VLOOKUP(A25,Dates,15,)&gt;0,VLOOKUP(A25,Dates,15,)+'Date Calcs'!S$2,IF(VLOOKUP(A25,Dates,13,)&gt;0,VLOOKUP(A25,Dates,13,)+'Date Calcs'!S$2,IF(VLOOKUP(A25,Dates,11,)&gt;0,VLOOKUP(A25,Dates,11,)+'Date Calcs'!S$2,IF(VLOOKUP(A25,Dates,9,)&gt;0,VLOOKUP(A25,Dates,9,)+'Date Calcs'!S$2,$I25+S$2))))+(V25*7)</f>
        <v>45792</v>
      </c>
      <c r="T25" s="78">
        <f t="shared" si="9"/>
        <v>45793</v>
      </c>
      <c r="U25" s="78">
        <f t="shared" si="10"/>
        <v>45797</v>
      </c>
      <c r="V25" s="105">
        <v>0</v>
      </c>
      <c r="W25" s="105">
        <v>0</v>
      </c>
      <c r="X25" s="78">
        <f t="shared" si="11"/>
        <v>45965</v>
      </c>
      <c r="Y25" s="78">
        <f t="shared" si="12"/>
        <v>45804</v>
      </c>
      <c r="Z25" s="78">
        <f t="shared" si="13"/>
        <v>45811</v>
      </c>
      <c r="AA25" s="78">
        <f t="shared" ref="AA25:AB44" si="21">Z25</f>
        <v>45811</v>
      </c>
      <c r="AB25" s="78">
        <f t="shared" si="21"/>
        <v>45811</v>
      </c>
      <c r="AC25" s="78">
        <f t="shared" si="19"/>
        <v>45811</v>
      </c>
      <c r="AD25" s="78">
        <f t="shared" si="15"/>
        <v>45812</v>
      </c>
      <c r="AE25" s="78">
        <f t="shared" si="16"/>
        <v>45804</v>
      </c>
      <c r="AF25" s="78">
        <f t="shared" si="17"/>
        <v>45814</v>
      </c>
      <c r="AG25" s="78">
        <f t="shared" si="18"/>
        <v>45958</v>
      </c>
      <c r="AH25" s="78"/>
    </row>
    <row r="26" spans="1:34" x14ac:dyDescent="0.25">
      <c r="A26" s="103" t="s">
        <v>226</v>
      </c>
      <c r="B26" s="103" t="s">
        <v>220</v>
      </c>
      <c r="C26" s="104">
        <v>45693</v>
      </c>
      <c r="D26" s="103">
        <v>3</v>
      </c>
      <c r="E26" s="103">
        <v>4</v>
      </c>
      <c r="F26" s="103">
        <v>20</v>
      </c>
      <c r="G26" s="103">
        <v>24</v>
      </c>
      <c r="H26" s="78">
        <f t="shared" si="0"/>
        <v>45721</v>
      </c>
      <c r="I26" s="78">
        <f t="shared" si="1"/>
        <v>45729</v>
      </c>
      <c r="J26" s="78">
        <f t="shared" si="2"/>
        <v>45761</v>
      </c>
      <c r="K26" s="78">
        <f t="shared" si="3"/>
        <v>45771</v>
      </c>
      <c r="L26" s="78">
        <f t="shared" si="4"/>
        <v>45805</v>
      </c>
      <c r="M26" s="78">
        <f t="shared" si="5"/>
        <v>45812</v>
      </c>
      <c r="N26" s="78">
        <f t="shared" si="6"/>
        <v>45819</v>
      </c>
      <c r="O26" s="78">
        <f t="shared" si="7"/>
        <v>45826</v>
      </c>
      <c r="P26" s="78">
        <f t="shared" si="20"/>
        <v>45707</v>
      </c>
      <c r="Q26" s="78">
        <f t="shared" si="20"/>
        <v>45707</v>
      </c>
      <c r="R26" s="78"/>
      <c r="S26" s="78">
        <f>IF(VLOOKUP(A26,Dates,15,)&gt;0,VLOOKUP(A26,Dates,15,)+'Date Calcs'!S$2,IF(VLOOKUP(A26,Dates,13,)&gt;0,VLOOKUP(A26,Dates,13,)+'Date Calcs'!S$2,IF(VLOOKUP(A26,Dates,11,)&gt;0,VLOOKUP(A26,Dates,11,)+'Date Calcs'!S$2,IF(VLOOKUP(A26,Dates,9,)&gt;0,VLOOKUP(A26,Dates,9,)+'Date Calcs'!S$2,$I26+S$2))))+(V26*7)</f>
        <v>45800</v>
      </c>
      <c r="T26" s="78">
        <f t="shared" si="9"/>
        <v>45801</v>
      </c>
      <c r="U26" s="78">
        <f t="shared" si="10"/>
        <v>45805</v>
      </c>
      <c r="V26" s="105">
        <v>0</v>
      </c>
      <c r="W26" s="105">
        <v>0</v>
      </c>
      <c r="X26" s="78">
        <f t="shared" si="11"/>
        <v>45973</v>
      </c>
      <c r="Y26" s="78">
        <f t="shared" si="12"/>
        <v>45812</v>
      </c>
      <c r="Z26" s="78">
        <f t="shared" si="13"/>
        <v>45819</v>
      </c>
      <c r="AA26" s="78">
        <f t="shared" si="21"/>
        <v>45819</v>
      </c>
      <c r="AB26" s="78">
        <f t="shared" si="21"/>
        <v>45819</v>
      </c>
      <c r="AC26" s="78">
        <f t="shared" si="19"/>
        <v>45819</v>
      </c>
      <c r="AD26" s="78">
        <f t="shared" si="15"/>
        <v>45820</v>
      </c>
      <c r="AE26" s="78">
        <f t="shared" si="16"/>
        <v>45812</v>
      </c>
      <c r="AF26" s="78">
        <f t="shared" si="17"/>
        <v>45822</v>
      </c>
      <c r="AG26" s="78">
        <f t="shared" si="18"/>
        <v>45966</v>
      </c>
      <c r="AH26" s="78"/>
    </row>
    <row r="27" spans="1:34" x14ac:dyDescent="0.25">
      <c r="A27" s="103" t="s">
        <v>227</v>
      </c>
      <c r="B27" s="103" t="s">
        <v>220</v>
      </c>
      <c r="C27" s="104">
        <v>45693</v>
      </c>
      <c r="D27" s="103">
        <v>3</v>
      </c>
      <c r="E27" s="103">
        <v>4</v>
      </c>
      <c r="F27" s="103">
        <v>20</v>
      </c>
      <c r="G27" s="103">
        <v>24</v>
      </c>
      <c r="H27" s="78">
        <f t="shared" si="0"/>
        <v>45721</v>
      </c>
      <c r="I27" s="78">
        <f t="shared" si="1"/>
        <v>45729</v>
      </c>
      <c r="J27" s="78">
        <f t="shared" si="2"/>
        <v>45761</v>
      </c>
      <c r="K27" s="78">
        <f t="shared" si="3"/>
        <v>45771</v>
      </c>
      <c r="L27" s="78">
        <f t="shared" si="4"/>
        <v>45805</v>
      </c>
      <c r="M27" s="78">
        <f t="shared" si="5"/>
        <v>45812</v>
      </c>
      <c r="N27" s="78">
        <f t="shared" si="6"/>
        <v>45819</v>
      </c>
      <c r="O27" s="78">
        <f t="shared" si="7"/>
        <v>45826</v>
      </c>
      <c r="P27" s="78">
        <f t="shared" si="20"/>
        <v>45707</v>
      </c>
      <c r="Q27" s="78">
        <f t="shared" si="20"/>
        <v>45707</v>
      </c>
      <c r="R27" s="78"/>
      <c r="S27" s="78">
        <f>IF(VLOOKUP(A27,Dates,15,)&gt;0,VLOOKUP(A27,Dates,15,)+'Date Calcs'!S$2,IF(VLOOKUP(A27,Dates,13,)&gt;0,VLOOKUP(A27,Dates,13,)+'Date Calcs'!S$2,IF(VLOOKUP(A27,Dates,11,)&gt;0,VLOOKUP(A27,Dates,11,)+'Date Calcs'!S$2,IF(VLOOKUP(A27,Dates,9,)&gt;0,VLOOKUP(A27,Dates,9,)+'Date Calcs'!S$2,$I27+S$2))))+(V27*7)</f>
        <v>45800</v>
      </c>
      <c r="T27" s="78">
        <f t="shared" si="9"/>
        <v>45801</v>
      </c>
      <c r="U27" s="78">
        <f t="shared" si="10"/>
        <v>45805</v>
      </c>
      <c r="V27" s="105">
        <v>0</v>
      </c>
      <c r="W27" s="105">
        <v>0</v>
      </c>
      <c r="X27" s="78">
        <f t="shared" si="11"/>
        <v>45973</v>
      </c>
      <c r="Y27" s="78">
        <f t="shared" si="12"/>
        <v>45812</v>
      </c>
      <c r="Z27" s="78">
        <f t="shared" si="13"/>
        <v>45819</v>
      </c>
      <c r="AA27" s="78">
        <f t="shared" si="21"/>
        <v>45819</v>
      </c>
      <c r="AB27" s="78">
        <f t="shared" si="21"/>
        <v>45819</v>
      </c>
      <c r="AC27" s="78">
        <f t="shared" si="19"/>
        <v>45819</v>
      </c>
      <c r="AD27" s="78">
        <f t="shared" si="15"/>
        <v>45820</v>
      </c>
      <c r="AE27" s="78">
        <f t="shared" si="16"/>
        <v>45812</v>
      </c>
      <c r="AF27" s="78">
        <f t="shared" si="17"/>
        <v>45822</v>
      </c>
      <c r="AG27" s="78">
        <f t="shared" si="18"/>
        <v>45966</v>
      </c>
      <c r="AH27" s="78"/>
    </row>
    <row r="28" spans="1:34" x14ac:dyDescent="0.25">
      <c r="A28" s="103" t="s">
        <v>228</v>
      </c>
      <c r="B28" s="103" t="s">
        <v>220</v>
      </c>
      <c r="C28" s="104">
        <v>45693</v>
      </c>
      <c r="D28" s="103">
        <v>3</v>
      </c>
      <c r="E28" s="103">
        <v>4</v>
      </c>
      <c r="F28" s="103">
        <v>20</v>
      </c>
      <c r="G28" s="103">
        <v>24</v>
      </c>
      <c r="H28" s="78">
        <f t="shared" si="0"/>
        <v>45721</v>
      </c>
      <c r="I28" s="78">
        <f t="shared" si="1"/>
        <v>45735</v>
      </c>
      <c r="J28" s="78">
        <f t="shared" si="2"/>
        <v>45761</v>
      </c>
      <c r="K28" s="78">
        <f t="shared" si="3"/>
        <v>45771</v>
      </c>
      <c r="L28" s="78">
        <f t="shared" si="4"/>
        <v>45805</v>
      </c>
      <c r="M28" s="78">
        <f t="shared" si="5"/>
        <v>45812</v>
      </c>
      <c r="N28" s="78">
        <f t="shared" si="6"/>
        <v>45819</v>
      </c>
      <c r="O28" s="78">
        <f t="shared" si="7"/>
        <v>45826</v>
      </c>
      <c r="P28" s="78">
        <f t="shared" si="20"/>
        <v>45707</v>
      </c>
      <c r="Q28" s="78">
        <f t="shared" si="20"/>
        <v>45707</v>
      </c>
      <c r="R28" s="78"/>
      <c r="S28" s="78">
        <f>IF(VLOOKUP(A28,Dates,15,)&gt;0,VLOOKUP(A28,Dates,15,)+'Date Calcs'!S$2,IF(VLOOKUP(A28,Dates,13,)&gt;0,VLOOKUP(A28,Dates,13,)+'Date Calcs'!S$2,IF(VLOOKUP(A28,Dates,11,)&gt;0,VLOOKUP(A28,Dates,11,)+'Date Calcs'!S$2,IF(VLOOKUP(A28,Dates,9,)&gt;0,VLOOKUP(A28,Dates,9,)+'Date Calcs'!S$2,$I28+S$2))))+(V28*7)</f>
        <v>45800</v>
      </c>
      <c r="T28" s="78">
        <f t="shared" si="9"/>
        <v>45801</v>
      </c>
      <c r="U28" s="78">
        <f t="shared" si="10"/>
        <v>45805</v>
      </c>
      <c r="V28" s="105">
        <v>0</v>
      </c>
      <c r="W28" s="105">
        <v>0</v>
      </c>
      <c r="X28" s="78">
        <f t="shared" si="11"/>
        <v>45973</v>
      </c>
      <c r="Y28" s="78">
        <f t="shared" si="12"/>
        <v>45812</v>
      </c>
      <c r="Z28" s="78">
        <f t="shared" si="13"/>
        <v>45819</v>
      </c>
      <c r="AA28" s="78">
        <f t="shared" si="21"/>
        <v>45819</v>
      </c>
      <c r="AB28" s="78">
        <f t="shared" si="21"/>
        <v>45819</v>
      </c>
      <c r="AC28" s="78">
        <f t="shared" si="19"/>
        <v>45819</v>
      </c>
      <c r="AD28" s="78">
        <f t="shared" si="15"/>
        <v>45820</v>
      </c>
      <c r="AE28" s="78">
        <f t="shared" si="16"/>
        <v>45812</v>
      </c>
      <c r="AF28" s="78">
        <f t="shared" si="17"/>
        <v>45822</v>
      </c>
      <c r="AG28" s="78">
        <f t="shared" si="18"/>
        <v>45966</v>
      </c>
      <c r="AH28" s="78"/>
    </row>
    <row r="29" spans="1:34" x14ac:dyDescent="0.25">
      <c r="A29" s="103" t="s">
        <v>229</v>
      </c>
      <c r="B29" s="103" t="s">
        <v>220</v>
      </c>
      <c r="C29" s="104">
        <v>45693</v>
      </c>
      <c r="D29" s="103">
        <v>3</v>
      </c>
      <c r="E29" s="103">
        <v>4</v>
      </c>
      <c r="F29" s="103">
        <v>20</v>
      </c>
      <c r="G29" s="103">
        <v>24</v>
      </c>
      <c r="H29" s="78">
        <f t="shared" si="0"/>
        <v>45721</v>
      </c>
      <c r="I29" s="78">
        <f t="shared" si="1"/>
        <v>45728</v>
      </c>
      <c r="J29" s="78">
        <f t="shared" si="2"/>
        <v>45761</v>
      </c>
      <c r="K29" s="78">
        <f t="shared" si="3"/>
        <v>45771</v>
      </c>
      <c r="L29" s="78">
        <f t="shared" si="4"/>
        <v>45805</v>
      </c>
      <c r="M29" s="78">
        <f t="shared" si="5"/>
        <v>45812</v>
      </c>
      <c r="N29" s="78">
        <f t="shared" si="6"/>
        <v>45819</v>
      </c>
      <c r="O29" s="78">
        <f t="shared" si="7"/>
        <v>45826</v>
      </c>
      <c r="P29" s="78">
        <f t="shared" si="20"/>
        <v>45707</v>
      </c>
      <c r="Q29" s="78">
        <f t="shared" si="20"/>
        <v>45707</v>
      </c>
      <c r="R29" s="78"/>
      <c r="S29" s="78">
        <f>IF(VLOOKUP(A29,Dates,15,)&gt;0,VLOOKUP(A29,Dates,15,)+'Date Calcs'!S$2,IF(VLOOKUP(A29,Dates,13,)&gt;0,VLOOKUP(A29,Dates,13,)+'Date Calcs'!S$2,IF(VLOOKUP(A29,Dates,11,)&gt;0,VLOOKUP(A29,Dates,11,)+'Date Calcs'!S$2,IF(VLOOKUP(A29,Dates,9,)&gt;0,VLOOKUP(A29,Dates,9,)+'Date Calcs'!S$2,$I29+S$2))))+(V29*7)</f>
        <v>45800</v>
      </c>
      <c r="T29" s="78">
        <f t="shared" si="9"/>
        <v>45801</v>
      </c>
      <c r="U29" s="78">
        <f t="shared" si="10"/>
        <v>45805</v>
      </c>
      <c r="V29" s="105">
        <v>0</v>
      </c>
      <c r="W29" s="105">
        <v>0</v>
      </c>
      <c r="X29" s="78">
        <f t="shared" si="11"/>
        <v>45973</v>
      </c>
      <c r="Y29" s="78">
        <f t="shared" si="12"/>
        <v>45812</v>
      </c>
      <c r="Z29" s="78">
        <f t="shared" si="13"/>
        <v>45819</v>
      </c>
      <c r="AA29" s="78">
        <f t="shared" si="21"/>
        <v>45819</v>
      </c>
      <c r="AB29" s="78">
        <f t="shared" si="21"/>
        <v>45819</v>
      </c>
      <c r="AC29" s="78">
        <f t="shared" si="19"/>
        <v>45819</v>
      </c>
      <c r="AD29" s="78">
        <f t="shared" si="15"/>
        <v>45820</v>
      </c>
      <c r="AE29" s="78">
        <f t="shared" si="16"/>
        <v>45812</v>
      </c>
      <c r="AF29" s="78">
        <f t="shared" si="17"/>
        <v>45822</v>
      </c>
      <c r="AG29" s="78">
        <f t="shared" si="18"/>
        <v>45966</v>
      </c>
      <c r="AH29" s="78"/>
    </row>
    <row r="30" spans="1:34" x14ac:dyDescent="0.25">
      <c r="A30" s="103" t="s">
        <v>230</v>
      </c>
      <c r="B30" s="103" t="s">
        <v>220</v>
      </c>
      <c r="C30" s="104">
        <v>45693</v>
      </c>
      <c r="D30" s="103">
        <v>3</v>
      </c>
      <c r="E30" s="103">
        <v>4</v>
      </c>
      <c r="F30" s="103">
        <v>20</v>
      </c>
      <c r="G30" s="103">
        <v>24</v>
      </c>
      <c r="H30" s="78">
        <f t="shared" si="0"/>
        <v>45721</v>
      </c>
      <c r="I30" s="78">
        <f t="shared" si="1"/>
        <v>45735</v>
      </c>
      <c r="J30" s="78">
        <f t="shared" si="2"/>
        <v>45761</v>
      </c>
      <c r="K30" s="78">
        <f t="shared" si="3"/>
        <v>45771</v>
      </c>
      <c r="L30" s="78">
        <f t="shared" si="4"/>
        <v>45805</v>
      </c>
      <c r="M30" s="78">
        <f t="shared" si="5"/>
        <v>45812</v>
      </c>
      <c r="N30" s="78">
        <f t="shared" si="6"/>
        <v>45819</v>
      </c>
      <c r="O30" s="78">
        <f t="shared" si="7"/>
        <v>45826</v>
      </c>
      <c r="P30" s="78">
        <f t="shared" si="20"/>
        <v>45707</v>
      </c>
      <c r="Q30" s="78">
        <f t="shared" si="20"/>
        <v>45707</v>
      </c>
      <c r="R30" s="78"/>
      <c r="S30" s="78">
        <f>IF(VLOOKUP(A30,Dates,15,)&gt;0,VLOOKUP(A30,Dates,15,)+'Date Calcs'!S$2,IF(VLOOKUP(A30,Dates,13,)&gt;0,VLOOKUP(A30,Dates,13,)+'Date Calcs'!S$2,IF(VLOOKUP(A30,Dates,11,)&gt;0,VLOOKUP(A30,Dates,11,)+'Date Calcs'!S$2,IF(VLOOKUP(A30,Dates,9,)&gt;0,VLOOKUP(A30,Dates,9,)+'Date Calcs'!S$2,$I30+S$2))))+(V30*7)</f>
        <v>45800</v>
      </c>
      <c r="T30" s="78">
        <f t="shared" si="9"/>
        <v>45801</v>
      </c>
      <c r="U30" s="78">
        <f t="shared" si="10"/>
        <v>45805</v>
      </c>
      <c r="V30" s="105">
        <v>0</v>
      </c>
      <c r="W30" s="105">
        <v>0</v>
      </c>
      <c r="X30" s="78">
        <f t="shared" si="11"/>
        <v>45973</v>
      </c>
      <c r="Y30" s="78">
        <f t="shared" si="12"/>
        <v>45812</v>
      </c>
      <c r="Z30" s="78">
        <f t="shared" si="13"/>
        <v>45819</v>
      </c>
      <c r="AA30" s="78">
        <f t="shared" si="21"/>
        <v>45819</v>
      </c>
      <c r="AB30" s="78">
        <f t="shared" si="21"/>
        <v>45819</v>
      </c>
      <c r="AC30" s="78">
        <f t="shared" si="19"/>
        <v>45819</v>
      </c>
      <c r="AD30" s="78">
        <f t="shared" si="15"/>
        <v>45820</v>
      </c>
      <c r="AE30" s="78">
        <f t="shared" si="16"/>
        <v>45812</v>
      </c>
      <c r="AF30" s="78">
        <f t="shared" si="17"/>
        <v>45822</v>
      </c>
      <c r="AG30" s="78">
        <f t="shared" si="18"/>
        <v>45966</v>
      </c>
      <c r="AH30" s="78"/>
    </row>
    <row r="31" spans="1:34" x14ac:dyDescent="0.25">
      <c r="A31" s="103" t="s">
        <v>231</v>
      </c>
      <c r="B31" s="103" t="s">
        <v>220</v>
      </c>
      <c r="C31" s="104">
        <v>45693</v>
      </c>
      <c r="D31" s="103">
        <v>3</v>
      </c>
      <c r="E31" s="103">
        <v>4</v>
      </c>
      <c r="F31" s="103">
        <v>20</v>
      </c>
      <c r="G31" s="103">
        <v>24</v>
      </c>
      <c r="H31" s="78">
        <f t="shared" si="0"/>
        <v>45721</v>
      </c>
      <c r="I31" s="78">
        <f t="shared" si="1"/>
        <v>45728</v>
      </c>
      <c r="J31" s="78">
        <f t="shared" si="2"/>
        <v>45761</v>
      </c>
      <c r="K31" s="78">
        <f t="shared" si="3"/>
        <v>45771</v>
      </c>
      <c r="L31" s="78">
        <f t="shared" si="4"/>
        <v>45805</v>
      </c>
      <c r="M31" s="78">
        <f t="shared" si="5"/>
        <v>45812</v>
      </c>
      <c r="N31" s="78">
        <f t="shared" si="6"/>
        <v>45819</v>
      </c>
      <c r="O31" s="78">
        <f t="shared" si="7"/>
        <v>45826</v>
      </c>
      <c r="P31" s="78">
        <f t="shared" si="20"/>
        <v>45707</v>
      </c>
      <c r="Q31" s="78">
        <f t="shared" si="20"/>
        <v>45707</v>
      </c>
      <c r="R31" s="78"/>
      <c r="S31" s="78">
        <f>IF(VLOOKUP(A31,Dates,15,)&gt;0,VLOOKUP(A31,Dates,15,)+'Date Calcs'!S$2,IF(VLOOKUP(A31,Dates,13,)&gt;0,VLOOKUP(A31,Dates,13,)+'Date Calcs'!S$2,IF(VLOOKUP(A31,Dates,11,)&gt;0,VLOOKUP(A31,Dates,11,)+'Date Calcs'!S$2,IF(VLOOKUP(A31,Dates,9,)&gt;0,VLOOKUP(A31,Dates,9,)+'Date Calcs'!S$2,$I31+S$2))))+(V31*7)</f>
        <v>45800</v>
      </c>
      <c r="T31" s="78">
        <f t="shared" si="9"/>
        <v>45801</v>
      </c>
      <c r="U31" s="78">
        <f t="shared" si="10"/>
        <v>45805</v>
      </c>
      <c r="V31" s="105">
        <v>0</v>
      </c>
      <c r="W31" s="105">
        <v>0</v>
      </c>
      <c r="X31" s="78">
        <f t="shared" si="11"/>
        <v>45973</v>
      </c>
      <c r="Y31" s="78">
        <f t="shared" si="12"/>
        <v>45812</v>
      </c>
      <c r="Z31" s="78">
        <f t="shared" si="13"/>
        <v>45819</v>
      </c>
      <c r="AA31" s="78">
        <f t="shared" si="21"/>
        <v>45819</v>
      </c>
      <c r="AB31" s="78">
        <f t="shared" si="21"/>
        <v>45819</v>
      </c>
      <c r="AC31" s="78">
        <f t="shared" si="19"/>
        <v>45819</v>
      </c>
      <c r="AD31" s="78">
        <f t="shared" si="15"/>
        <v>45820</v>
      </c>
      <c r="AE31" s="78">
        <f t="shared" si="16"/>
        <v>45812</v>
      </c>
      <c r="AF31" s="78">
        <f t="shared" si="17"/>
        <v>45822</v>
      </c>
      <c r="AG31" s="78">
        <f t="shared" si="18"/>
        <v>45966</v>
      </c>
      <c r="AH31" s="78"/>
    </row>
    <row r="32" spans="1:34" x14ac:dyDescent="0.25">
      <c r="A32" s="103" t="s">
        <v>232</v>
      </c>
      <c r="B32" s="103" t="s">
        <v>220</v>
      </c>
      <c r="C32" s="104">
        <v>45693</v>
      </c>
      <c r="D32" s="103">
        <v>3</v>
      </c>
      <c r="E32" s="103">
        <v>4</v>
      </c>
      <c r="F32" s="103">
        <v>20</v>
      </c>
      <c r="G32" s="103">
        <v>24</v>
      </c>
      <c r="H32" s="78">
        <f t="shared" si="0"/>
        <v>45721</v>
      </c>
      <c r="I32" s="78">
        <f t="shared" si="1"/>
        <v>45730</v>
      </c>
      <c r="J32" s="78">
        <f t="shared" si="2"/>
        <v>45761</v>
      </c>
      <c r="K32" s="78">
        <f t="shared" si="3"/>
        <v>45771</v>
      </c>
      <c r="L32" s="78">
        <f t="shared" si="4"/>
        <v>45805</v>
      </c>
      <c r="M32" s="78">
        <f t="shared" si="5"/>
        <v>45812</v>
      </c>
      <c r="N32" s="78">
        <f t="shared" si="6"/>
        <v>45819</v>
      </c>
      <c r="O32" s="78">
        <f t="shared" si="7"/>
        <v>45826</v>
      </c>
      <c r="P32" s="78">
        <f t="shared" si="20"/>
        <v>45707</v>
      </c>
      <c r="Q32" s="78">
        <f t="shared" si="20"/>
        <v>45707</v>
      </c>
      <c r="R32" s="78"/>
      <c r="S32" s="78">
        <f>IF(VLOOKUP(A32,Dates,15,)&gt;0,VLOOKUP(A32,Dates,15,)+'Date Calcs'!S$2,IF(VLOOKUP(A32,Dates,13,)&gt;0,VLOOKUP(A32,Dates,13,)+'Date Calcs'!S$2,IF(VLOOKUP(A32,Dates,11,)&gt;0,VLOOKUP(A32,Dates,11,)+'Date Calcs'!S$2,IF(VLOOKUP(A32,Dates,9,)&gt;0,VLOOKUP(A32,Dates,9,)+'Date Calcs'!S$2,$I32+S$2))))+(V32*7)</f>
        <v>45800</v>
      </c>
      <c r="T32" s="78">
        <f t="shared" si="9"/>
        <v>45801</v>
      </c>
      <c r="U32" s="78">
        <f t="shared" si="10"/>
        <v>45805</v>
      </c>
      <c r="V32" s="105">
        <v>0</v>
      </c>
      <c r="W32" s="105">
        <v>0</v>
      </c>
      <c r="X32" s="78">
        <f t="shared" si="11"/>
        <v>45973</v>
      </c>
      <c r="Y32" s="78">
        <f t="shared" si="12"/>
        <v>45812</v>
      </c>
      <c r="Z32" s="78">
        <f t="shared" si="13"/>
        <v>45819</v>
      </c>
      <c r="AA32" s="78">
        <f t="shared" si="21"/>
        <v>45819</v>
      </c>
      <c r="AB32" s="78">
        <f t="shared" si="21"/>
        <v>45819</v>
      </c>
      <c r="AC32" s="78">
        <f t="shared" si="19"/>
        <v>45819</v>
      </c>
      <c r="AD32" s="78">
        <f t="shared" si="15"/>
        <v>45820</v>
      </c>
      <c r="AE32" s="78">
        <f t="shared" si="16"/>
        <v>45812</v>
      </c>
      <c r="AF32" s="78">
        <f t="shared" si="17"/>
        <v>45822</v>
      </c>
      <c r="AG32" s="78">
        <f t="shared" si="18"/>
        <v>45966</v>
      </c>
      <c r="AH32" s="78"/>
    </row>
    <row r="33" spans="1:34" x14ac:dyDescent="0.25">
      <c r="A33" s="103" t="s">
        <v>233</v>
      </c>
      <c r="B33" s="103" t="s">
        <v>234</v>
      </c>
      <c r="C33" s="104">
        <v>45714</v>
      </c>
      <c r="D33" s="103">
        <v>2</v>
      </c>
      <c r="E33" s="103">
        <v>3</v>
      </c>
      <c r="F33" s="103">
        <v>14</v>
      </c>
      <c r="G33" s="103">
        <v>16</v>
      </c>
      <c r="H33" s="78">
        <f t="shared" si="0"/>
        <v>45735</v>
      </c>
      <c r="I33" s="78">
        <f t="shared" si="1"/>
        <v>45750</v>
      </c>
      <c r="J33" s="78">
        <f t="shared" si="2"/>
        <v>45785</v>
      </c>
      <c r="K33" s="78">
        <f t="shared" si="3"/>
        <v>45790</v>
      </c>
      <c r="L33" s="78">
        <f t="shared" si="4"/>
        <v>45797</v>
      </c>
      <c r="M33" s="78">
        <f t="shared" si="5"/>
        <v>45804</v>
      </c>
      <c r="N33" s="78">
        <f t="shared" si="6"/>
        <v>45811</v>
      </c>
      <c r="O33" s="78">
        <f t="shared" si="7"/>
        <v>45818</v>
      </c>
      <c r="P33" s="78">
        <f t="shared" si="20"/>
        <v>45728</v>
      </c>
      <c r="Q33" s="78">
        <f t="shared" si="20"/>
        <v>45728</v>
      </c>
      <c r="R33" s="78"/>
      <c r="S33" s="78">
        <f>IF(VLOOKUP(A33,Dates,15,)&gt;0,VLOOKUP(A33,Dates,15,)+'Date Calcs'!S$2,IF(VLOOKUP(A33,Dates,13,)&gt;0,VLOOKUP(A33,Dates,13,)+'Date Calcs'!S$2,IF(VLOOKUP(A33,Dates,11,)&gt;0,VLOOKUP(A33,Dates,11,)+'Date Calcs'!S$2,IF(VLOOKUP(A33,Dates,9,)&gt;0,VLOOKUP(A33,Dates,9,)+'Date Calcs'!S$2,$I33+S$2))))+(V33*7)</f>
        <v>45780</v>
      </c>
      <c r="T33" s="78">
        <f t="shared" si="9"/>
        <v>45781</v>
      </c>
      <c r="U33" s="78">
        <f t="shared" si="10"/>
        <v>45785</v>
      </c>
      <c r="V33" s="105">
        <v>0</v>
      </c>
      <c r="W33" s="105">
        <v>0</v>
      </c>
      <c r="X33" s="78">
        <f t="shared" si="11"/>
        <v>45897</v>
      </c>
      <c r="Y33" s="78">
        <f t="shared" si="12"/>
        <v>45792</v>
      </c>
      <c r="Z33" s="78">
        <f t="shared" si="13"/>
        <v>45799</v>
      </c>
      <c r="AA33" s="78">
        <f t="shared" si="21"/>
        <v>45799</v>
      </c>
      <c r="AB33" s="78">
        <f t="shared" si="21"/>
        <v>45799</v>
      </c>
      <c r="AC33" s="78">
        <f t="shared" si="19"/>
        <v>45799</v>
      </c>
      <c r="AD33" s="78">
        <f t="shared" si="15"/>
        <v>45800</v>
      </c>
      <c r="AE33" s="78">
        <f t="shared" si="16"/>
        <v>45792</v>
      </c>
      <c r="AF33" s="78">
        <f t="shared" si="17"/>
        <v>45802</v>
      </c>
      <c r="AG33" s="78">
        <f t="shared" si="18"/>
        <v>45890</v>
      </c>
      <c r="AH33" s="78"/>
    </row>
    <row r="34" spans="1:34" x14ac:dyDescent="0.25">
      <c r="A34" s="103" t="s">
        <v>235</v>
      </c>
      <c r="B34" s="103" t="s">
        <v>236</v>
      </c>
      <c r="C34" s="104">
        <v>45721</v>
      </c>
      <c r="D34" s="103">
        <v>1</v>
      </c>
      <c r="E34" s="103">
        <v>2</v>
      </c>
      <c r="F34" s="103">
        <v>20</v>
      </c>
      <c r="G34" s="103">
        <v>22</v>
      </c>
      <c r="H34" s="78">
        <f t="shared" si="0"/>
        <v>45735</v>
      </c>
      <c r="I34" s="78">
        <f t="shared" si="1"/>
        <v>45720</v>
      </c>
      <c r="J34" s="78">
        <f t="shared" si="2"/>
        <v>45720</v>
      </c>
      <c r="K34" s="78">
        <f t="shared" si="3"/>
        <v>45736</v>
      </c>
      <c r="L34" s="78">
        <f t="shared" si="4"/>
        <v>45743</v>
      </c>
      <c r="M34" s="78">
        <f t="shared" si="5"/>
        <v>45750</v>
      </c>
      <c r="N34" s="78">
        <f t="shared" si="6"/>
        <v>45757</v>
      </c>
      <c r="O34" s="78">
        <f t="shared" si="7"/>
        <v>45764</v>
      </c>
      <c r="P34" s="78">
        <f t="shared" si="20"/>
        <v>45735</v>
      </c>
      <c r="Q34" s="78">
        <f t="shared" si="20"/>
        <v>45735</v>
      </c>
      <c r="R34" s="78"/>
      <c r="S34" s="78">
        <f>IF(VLOOKUP(A34,Dates,15,)&gt;0,VLOOKUP(A34,Dates,15,)+'Date Calcs'!S$2,IF(VLOOKUP(A34,Dates,13,)&gt;0,VLOOKUP(A34,Dates,13,)+'Date Calcs'!S$2,IF(VLOOKUP(A34,Dates,11,)&gt;0,VLOOKUP(A34,Dates,11,)+'Date Calcs'!S$2,IF(VLOOKUP(A34,Dates,9,)&gt;0,VLOOKUP(A34,Dates,9,)+'Date Calcs'!S$2,$I34+S$2))))+(V34*7)</f>
        <v>45715</v>
      </c>
      <c r="T34" s="78">
        <f t="shared" si="9"/>
        <v>45716</v>
      </c>
      <c r="U34" s="78">
        <f t="shared" si="10"/>
        <v>45720</v>
      </c>
      <c r="V34" s="105">
        <v>0</v>
      </c>
      <c r="W34" s="105">
        <v>29</v>
      </c>
      <c r="X34" s="78">
        <f t="shared" si="11"/>
        <v>46077</v>
      </c>
      <c r="Y34" s="78">
        <f t="shared" si="12"/>
        <v>45727</v>
      </c>
      <c r="Z34" s="78">
        <f t="shared" si="13"/>
        <v>45734</v>
      </c>
      <c r="AA34" s="78">
        <f t="shared" si="21"/>
        <v>45734</v>
      </c>
      <c r="AB34" s="78">
        <f t="shared" si="21"/>
        <v>45734</v>
      </c>
      <c r="AC34" s="78">
        <f t="shared" si="19"/>
        <v>45734</v>
      </c>
      <c r="AD34" s="78">
        <f t="shared" si="15"/>
        <v>45735</v>
      </c>
      <c r="AE34" s="78">
        <f t="shared" si="16"/>
        <v>45727</v>
      </c>
      <c r="AF34" s="78">
        <f t="shared" si="17"/>
        <v>45737</v>
      </c>
      <c r="AG34" s="78">
        <f t="shared" si="18"/>
        <v>45867</v>
      </c>
      <c r="AH34" s="78"/>
    </row>
    <row r="35" spans="1:34" x14ac:dyDescent="0.25">
      <c r="A35" s="103" t="s">
        <v>237</v>
      </c>
      <c r="B35" s="103" t="s">
        <v>217</v>
      </c>
      <c r="C35" s="104">
        <v>45735</v>
      </c>
      <c r="D35" s="103">
        <v>2</v>
      </c>
      <c r="E35" s="103">
        <v>3</v>
      </c>
      <c r="F35" s="103">
        <v>8</v>
      </c>
      <c r="G35" s="103">
        <v>10</v>
      </c>
      <c r="H35" s="78">
        <f t="shared" si="0"/>
        <v>45756</v>
      </c>
      <c r="I35" s="78">
        <f t="shared" si="1"/>
        <v>45755</v>
      </c>
      <c r="J35" s="78">
        <f t="shared" si="2"/>
        <v>45768</v>
      </c>
      <c r="K35" s="78">
        <f t="shared" si="3"/>
        <v>45769</v>
      </c>
      <c r="L35" s="78">
        <f t="shared" si="4"/>
        <v>45803</v>
      </c>
      <c r="M35" s="78">
        <f t="shared" si="5"/>
        <v>45806</v>
      </c>
      <c r="N35" s="78">
        <f t="shared" si="6"/>
        <v>45813</v>
      </c>
      <c r="O35" s="78">
        <f t="shared" si="7"/>
        <v>45820</v>
      </c>
      <c r="P35" s="78">
        <f t="shared" si="20"/>
        <v>45749</v>
      </c>
      <c r="Q35" s="78">
        <f t="shared" si="20"/>
        <v>45749</v>
      </c>
      <c r="R35" s="78"/>
      <c r="S35" s="78">
        <f>IF(VLOOKUP(A35,Dates,15,)&gt;0,VLOOKUP(A35,Dates,15,)+'Date Calcs'!S$2,IF(VLOOKUP(A35,Dates,13,)&gt;0,VLOOKUP(A35,Dates,13,)+'Date Calcs'!S$2,IF(VLOOKUP(A35,Dates,11,)&gt;0,VLOOKUP(A35,Dates,11,)+'Date Calcs'!S$2,IF(VLOOKUP(A35,Dates,9,)&gt;0,VLOOKUP(A35,Dates,9,)+'Date Calcs'!S$2,$I35+S$2))))+(V35*7)</f>
        <v>45798</v>
      </c>
      <c r="T35" s="78">
        <f t="shared" si="9"/>
        <v>45799</v>
      </c>
      <c r="U35" s="78">
        <f t="shared" si="10"/>
        <v>45803</v>
      </c>
      <c r="V35" s="105">
        <v>0</v>
      </c>
      <c r="W35" s="105">
        <v>0</v>
      </c>
      <c r="X35" s="78">
        <f t="shared" si="11"/>
        <v>45873</v>
      </c>
      <c r="Y35" s="78">
        <f t="shared" si="12"/>
        <v>45810</v>
      </c>
      <c r="Z35" s="78">
        <f t="shared" si="13"/>
        <v>45817</v>
      </c>
      <c r="AA35" s="78">
        <f t="shared" si="21"/>
        <v>45817</v>
      </c>
      <c r="AB35" s="78">
        <f t="shared" si="21"/>
        <v>45817</v>
      </c>
      <c r="AC35" s="78">
        <f t="shared" si="19"/>
        <v>45817</v>
      </c>
      <c r="AD35" s="78">
        <f t="shared" si="15"/>
        <v>45818</v>
      </c>
      <c r="AE35" s="78">
        <f t="shared" si="16"/>
        <v>45810</v>
      </c>
      <c r="AF35" s="78">
        <f t="shared" si="17"/>
        <v>45820</v>
      </c>
      <c r="AG35" s="78">
        <f t="shared" si="18"/>
        <v>45866</v>
      </c>
      <c r="AH35" s="78"/>
    </row>
    <row r="36" spans="1:34" x14ac:dyDescent="0.25">
      <c r="A36" s="103" t="s">
        <v>238</v>
      </c>
      <c r="B36" s="103" t="s">
        <v>239</v>
      </c>
      <c r="C36" s="104">
        <v>45748</v>
      </c>
      <c r="D36" s="103">
        <v>3</v>
      </c>
      <c r="E36" s="103">
        <v>4</v>
      </c>
      <c r="F36" s="103">
        <v>10</v>
      </c>
      <c r="G36" s="103">
        <v>12</v>
      </c>
      <c r="H36" s="78">
        <f t="shared" si="0"/>
        <v>45776</v>
      </c>
      <c r="I36" s="78">
        <f t="shared" si="1"/>
        <v>45805</v>
      </c>
      <c r="J36" s="78">
        <f t="shared" si="2"/>
        <v>45805</v>
      </c>
      <c r="K36" s="78">
        <f t="shared" si="3"/>
        <v>45811</v>
      </c>
      <c r="L36" s="78">
        <f t="shared" si="4"/>
        <v>45813</v>
      </c>
      <c r="M36" s="78">
        <f t="shared" si="5"/>
        <v>45814</v>
      </c>
      <c r="N36" s="78">
        <f t="shared" si="6"/>
        <v>45821</v>
      </c>
      <c r="O36" s="78">
        <f t="shared" si="7"/>
        <v>45828</v>
      </c>
      <c r="P36" s="78">
        <f t="shared" si="20"/>
        <v>45762</v>
      </c>
      <c r="Q36" s="78">
        <f t="shared" si="20"/>
        <v>45762</v>
      </c>
      <c r="R36" s="78"/>
      <c r="S36" s="78">
        <f>IF(VLOOKUP(A36,Dates,15,)&gt;0,VLOOKUP(A36,Dates,15,)+'Date Calcs'!S$2,IF(VLOOKUP(A36,Dates,13,)&gt;0,VLOOKUP(A36,Dates,13,)+'Date Calcs'!S$2,IF(VLOOKUP(A36,Dates,11,)&gt;0,VLOOKUP(A36,Dates,11,)+'Date Calcs'!S$2,IF(VLOOKUP(A36,Dates,9,)&gt;0,VLOOKUP(A36,Dates,9,)+'Date Calcs'!S$2,$I36+S$2))))+(V36*7)</f>
        <v>45808</v>
      </c>
      <c r="T36" s="78">
        <f t="shared" si="9"/>
        <v>45809</v>
      </c>
      <c r="U36" s="78">
        <f t="shared" si="10"/>
        <v>45813</v>
      </c>
      <c r="V36" s="105">
        <v>0</v>
      </c>
      <c r="W36" s="105">
        <v>0</v>
      </c>
      <c r="X36" s="78">
        <f t="shared" si="11"/>
        <v>45897</v>
      </c>
      <c r="Y36" s="78">
        <f t="shared" si="12"/>
        <v>45820</v>
      </c>
      <c r="Z36" s="78">
        <f t="shared" si="13"/>
        <v>45827</v>
      </c>
      <c r="AA36" s="78">
        <f t="shared" si="21"/>
        <v>45827</v>
      </c>
      <c r="AB36" s="78">
        <f t="shared" si="21"/>
        <v>45827</v>
      </c>
      <c r="AC36" s="78">
        <f t="shared" si="19"/>
        <v>45827</v>
      </c>
      <c r="AD36" s="78">
        <f t="shared" si="15"/>
        <v>45828</v>
      </c>
      <c r="AE36" s="78">
        <f t="shared" si="16"/>
        <v>45820</v>
      </c>
      <c r="AF36" s="78">
        <f t="shared" si="17"/>
        <v>45830</v>
      </c>
      <c r="AG36" s="78">
        <f t="shared" si="18"/>
        <v>45890</v>
      </c>
      <c r="AH36" s="78"/>
    </row>
    <row r="37" spans="1:34" x14ac:dyDescent="0.25">
      <c r="A37" s="103" t="s">
        <v>240</v>
      </c>
      <c r="B37" s="103" t="s">
        <v>241</v>
      </c>
      <c r="C37" s="104">
        <v>45752</v>
      </c>
      <c r="D37" s="103">
        <v>1</v>
      </c>
      <c r="E37" s="103">
        <v>1</v>
      </c>
      <c r="F37" s="103">
        <v>1</v>
      </c>
      <c r="G37" s="103">
        <v>2</v>
      </c>
      <c r="H37" s="78">
        <f t="shared" ref="H37:H68" si="22">C37+E37*7</f>
        <v>45759</v>
      </c>
      <c r="I37" s="78">
        <f t="shared" ref="I37:I68" si="23">IF(VLOOKUP($A37,Dates,8,)=0,H37+I$2,VLOOKUP($A37,Dates,8,)+I$2)</f>
        <v>46036</v>
      </c>
      <c r="J37" s="78">
        <f t="shared" ref="J37:J68" si="24">IF(VLOOKUP(A37,Dates,9,)=0,I37+J$2,VLOOKUP(A37,Dates,9,)+J$2)</f>
        <v>46029</v>
      </c>
      <c r="K37" s="78">
        <f t="shared" ref="K37:K68" si="25">IF(VLOOKUP($A37,Dates,10,)=0,J37+K$2,VLOOKUP($A37,Dates,10,)+K$2)</f>
        <v>46029</v>
      </c>
      <c r="L37" s="78">
        <f t="shared" ref="L37:L68" si="26">IF(VLOOKUP($A37,Dates,11,)=0,K37+L$2,VLOOKUP($A37,Dates,11,)+L$2)</f>
        <v>46029</v>
      </c>
      <c r="M37" s="78">
        <f t="shared" ref="M37:M68" si="27">IF(VLOOKUP($A37,Dates,12,)=0,L37+M$2,VLOOKUP($A37,Dates,12,)+M$2)</f>
        <v>46029</v>
      </c>
      <c r="N37" s="78">
        <f t="shared" ref="N37:N68" si="28">IF(VLOOKUP($A37,Dates,13,)=0,M37+N$2,VLOOKUP($A37,Dates,13,)+N$2)</f>
        <v>46029</v>
      </c>
      <c r="O37" s="78">
        <f t="shared" ref="O37:O68" si="29">IF(VLOOKUP($A37,Dates,14,)=0,N37+O$2,VLOOKUP($A37,Dates,14,)+O$2)</f>
        <v>46029</v>
      </c>
      <c r="P37" s="78">
        <f t="shared" si="20"/>
        <v>45766</v>
      </c>
      <c r="Q37" s="78">
        <f t="shared" si="20"/>
        <v>45766</v>
      </c>
      <c r="R37" s="78"/>
      <c r="S37" s="78">
        <f>IF(VLOOKUP(A37,Dates,15,)&gt;0,VLOOKUP(A37,Dates,15,)+'Date Calcs'!S$2,IF(VLOOKUP(A37,Dates,13,)&gt;0,VLOOKUP(A37,Dates,13,)+'Date Calcs'!S$2,IF(VLOOKUP(A37,Dates,11,)&gt;0,VLOOKUP(A37,Dates,11,)+'Date Calcs'!S$2,IF(VLOOKUP(A37,Dates,9,)&gt;0,VLOOKUP(A37,Dates,9,)+'Date Calcs'!S$2,$I37+S$2))))+(V37*7)</f>
        <v>46024</v>
      </c>
      <c r="T37" s="78">
        <f t="shared" ref="T37:T68" si="30">$S37+T$2</f>
        <v>46025</v>
      </c>
      <c r="U37" s="78">
        <f t="shared" ref="U37:U68" si="31">S37+U$2-S$2</f>
        <v>46029</v>
      </c>
      <c r="V37" s="105">
        <v>0</v>
      </c>
      <c r="W37" s="105">
        <v>0</v>
      </c>
      <c r="X37" s="78">
        <f t="shared" ref="X37:X68" si="32">(G37*7)+(W37*7)+U37</f>
        <v>46043</v>
      </c>
      <c r="Y37" s="78">
        <f t="shared" ref="Y37:Y68" si="33">S37+Y$2-S$2</f>
        <v>46036</v>
      </c>
      <c r="Z37" s="78">
        <f t="shared" ref="Z37:Z68" si="34">S37+Z$2-S$2</f>
        <v>46043</v>
      </c>
      <c r="AA37" s="78">
        <f t="shared" si="21"/>
        <v>46043</v>
      </c>
      <c r="AB37" s="78">
        <f t="shared" si="21"/>
        <v>46043</v>
      </c>
      <c r="AC37" s="78">
        <f t="shared" si="19"/>
        <v>46043</v>
      </c>
      <c r="AD37" s="78">
        <f t="shared" ref="AD37:AD68" si="35">AB37+$AD$2</f>
        <v>46044</v>
      </c>
      <c r="AE37" s="78">
        <f t="shared" ref="AE37:AE68" si="36">U37+$AE$2</f>
        <v>46036</v>
      </c>
      <c r="AF37" s="78">
        <f t="shared" ref="AF37:AF68" si="37">IF(P37&gt;AD37,P37+$AD$2,AD37+$AF$2)</f>
        <v>46046</v>
      </c>
      <c r="AG37" s="78">
        <f t="shared" ref="AG37:AG68" si="38">S37-S$2+G37*7</f>
        <v>46036</v>
      </c>
      <c r="AH37" s="78"/>
    </row>
    <row r="38" spans="1:34" x14ac:dyDescent="0.25">
      <c r="A38" s="103" t="s">
        <v>242</v>
      </c>
      <c r="B38" s="103" t="s">
        <v>243</v>
      </c>
      <c r="C38" s="104">
        <v>45796</v>
      </c>
      <c r="D38" s="103">
        <v>2</v>
      </c>
      <c r="E38" s="103">
        <v>3</v>
      </c>
      <c r="F38" s="103">
        <v>12</v>
      </c>
      <c r="G38" s="103">
        <v>14</v>
      </c>
      <c r="H38" s="78">
        <f t="shared" si="22"/>
        <v>45817</v>
      </c>
      <c r="I38" s="78">
        <f t="shared" si="23"/>
        <v>45833</v>
      </c>
      <c r="J38" s="78">
        <f t="shared" si="24"/>
        <v>45846</v>
      </c>
      <c r="K38" s="78">
        <f t="shared" si="25"/>
        <v>45853</v>
      </c>
      <c r="L38" s="78">
        <f t="shared" si="26"/>
        <v>45859</v>
      </c>
      <c r="M38" s="78">
        <f t="shared" si="27"/>
        <v>45866</v>
      </c>
      <c r="N38" s="78">
        <f t="shared" si="28"/>
        <v>45867</v>
      </c>
      <c r="O38" s="78">
        <f t="shared" si="29"/>
        <v>45874</v>
      </c>
      <c r="P38" s="78">
        <f t="shared" si="20"/>
        <v>45810</v>
      </c>
      <c r="Q38" s="78">
        <f t="shared" si="20"/>
        <v>45810</v>
      </c>
      <c r="R38" s="78"/>
      <c r="S38" s="78">
        <f>IF(VLOOKUP(A38,Dates,15,)&gt;0,VLOOKUP(A38,Dates,15,)+'Date Calcs'!S$2,IF(VLOOKUP(A38,Dates,13,)&gt;0,VLOOKUP(A38,Dates,13,)+'Date Calcs'!S$2,IF(VLOOKUP(A38,Dates,11,)&gt;0,VLOOKUP(A38,Dates,11,)+'Date Calcs'!S$2,IF(VLOOKUP(A38,Dates,9,)&gt;0,VLOOKUP(A38,Dates,9,)+'Date Calcs'!S$2,$I38+S$2))))+(V38*7)</f>
        <v>45862</v>
      </c>
      <c r="T38" s="78">
        <f t="shared" si="30"/>
        <v>45863</v>
      </c>
      <c r="U38" s="78">
        <f t="shared" si="31"/>
        <v>45867</v>
      </c>
      <c r="V38" s="105">
        <v>0</v>
      </c>
      <c r="W38" s="105">
        <v>0</v>
      </c>
      <c r="X38" s="78">
        <f t="shared" si="32"/>
        <v>45965</v>
      </c>
      <c r="Y38" s="78">
        <f t="shared" si="33"/>
        <v>45874</v>
      </c>
      <c r="Z38" s="78">
        <f t="shared" si="34"/>
        <v>45881</v>
      </c>
      <c r="AA38" s="78">
        <f t="shared" si="21"/>
        <v>45881</v>
      </c>
      <c r="AB38" s="78">
        <f t="shared" si="21"/>
        <v>45881</v>
      </c>
      <c r="AC38" s="78">
        <f t="shared" ref="AC38:AC69" si="39">U38+$AC$2</f>
        <v>45881</v>
      </c>
      <c r="AD38" s="78">
        <f t="shared" si="35"/>
        <v>45882</v>
      </c>
      <c r="AE38" s="78">
        <f t="shared" si="36"/>
        <v>45874</v>
      </c>
      <c r="AF38" s="78">
        <f t="shared" si="37"/>
        <v>45884</v>
      </c>
      <c r="AG38" s="78">
        <f t="shared" si="38"/>
        <v>45958</v>
      </c>
      <c r="AH38" s="78"/>
    </row>
    <row r="39" spans="1:34" x14ac:dyDescent="0.25">
      <c r="A39" s="103" t="s">
        <v>244</v>
      </c>
      <c r="B39" s="103" t="s">
        <v>217</v>
      </c>
      <c r="C39" s="104">
        <v>45810</v>
      </c>
      <c r="D39" s="103">
        <v>2</v>
      </c>
      <c r="E39" s="103">
        <v>31</v>
      </c>
      <c r="F39" s="103">
        <v>8</v>
      </c>
      <c r="G39" s="103">
        <v>10</v>
      </c>
      <c r="H39" s="78">
        <f t="shared" si="22"/>
        <v>46027</v>
      </c>
      <c r="I39" s="78">
        <f t="shared" si="23"/>
        <v>46041</v>
      </c>
      <c r="J39" s="78">
        <f t="shared" si="24"/>
        <v>46048</v>
      </c>
      <c r="K39" s="78">
        <f t="shared" si="25"/>
        <v>46055</v>
      </c>
      <c r="L39" s="78">
        <f t="shared" si="26"/>
        <v>46062</v>
      </c>
      <c r="M39" s="78">
        <f t="shared" si="27"/>
        <v>46069</v>
      </c>
      <c r="N39" s="78">
        <f t="shared" si="28"/>
        <v>46076</v>
      </c>
      <c r="O39" s="78">
        <f t="shared" si="29"/>
        <v>46083</v>
      </c>
      <c r="P39" s="78">
        <f t="shared" si="20"/>
        <v>45824</v>
      </c>
      <c r="Q39" s="78">
        <f t="shared" si="20"/>
        <v>45824</v>
      </c>
      <c r="R39" s="78"/>
      <c r="S39" s="78">
        <f>IF(VLOOKUP(A39,Dates,15,)&gt;0,VLOOKUP(A39,Dates,15,)+'Date Calcs'!S$2,IF(VLOOKUP(A39,Dates,13,)&gt;0,VLOOKUP(A39,Dates,13,)+'Date Calcs'!S$2,IF(VLOOKUP(A39,Dates,11,)&gt;0,VLOOKUP(A39,Dates,11,)+'Date Calcs'!S$2,IF(VLOOKUP(A39,Dates,9,)&gt;0,VLOOKUP(A39,Dates,9,)+'Date Calcs'!S$2,$I39+S$2))))+(V39*7)</f>
        <v>46155</v>
      </c>
      <c r="T39" s="78">
        <f t="shared" si="30"/>
        <v>46156</v>
      </c>
      <c r="U39" s="78">
        <f t="shared" si="31"/>
        <v>46160</v>
      </c>
      <c r="V39" s="105">
        <v>16</v>
      </c>
      <c r="W39" s="105">
        <v>0</v>
      </c>
      <c r="X39" s="78">
        <f t="shared" si="32"/>
        <v>46230</v>
      </c>
      <c r="Y39" s="78">
        <f t="shared" si="33"/>
        <v>46167</v>
      </c>
      <c r="Z39" s="78">
        <f t="shared" si="34"/>
        <v>46174</v>
      </c>
      <c r="AA39" s="78">
        <f t="shared" si="21"/>
        <v>46174</v>
      </c>
      <c r="AB39" s="78">
        <f t="shared" si="21"/>
        <v>46174</v>
      </c>
      <c r="AC39" s="78">
        <f t="shared" si="39"/>
        <v>46174</v>
      </c>
      <c r="AD39" s="78">
        <f t="shared" si="35"/>
        <v>46175</v>
      </c>
      <c r="AE39" s="78">
        <f t="shared" si="36"/>
        <v>46167</v>
      </c>
      <c r="AF39" s="78">
        <f t="shared" si="37"/>
        <v>46177</v>
      </c>
      <c r="AG39" s="78">
        <f t="shared" si="38"/>
        <v>46223</v>
      </c>
      <c r="AH39" s="78"/>
    </row>
    <row r="40" spans="1:34" x14ac:dyDescent="0.25">
      <c r="A40" s="103" t="s">
        <v>245</v>
      </c>
      <c r="B40" s="103" t="s">
        <v>246</v>
      </c>
      <c r="C40" s="104">
        <v>45811</v>
      </c>
      <c r="D40" s="103">
        <v>3</v>
      </c>
      <c r="E40" s="103">
        <v>4</v>
      </c>
      <c r="F40" s="103">
        <v>13</v>
      </c>
      <c r="G40" s="103">
        <v>15</v>
      </c>
      <c r="H40" s="78">
        <f t="shared" si="22"/>
        <v>45839</v>
      </c>
      <c r="I40" s="78">
        <f t="shared" si="23"/>
        <v>45849</v>
      </c>
      <c r="J40" s="78">
        <f t="shared" si="24"/>
        <v>45845</v>
      </c>
      <c r="K40" s="78">
        <f t="shared" si="25"/>
        <v>45855</v>
      </c>
      <c r="L40" s="78">
        <f t="shared" si="26"/>
        <v>45855</v>
      </c>
      <c r="M40" s="78">
        <f t="shared" si="27"/>
        <v>45862</v>
      </c>
      <c r="N40" s="78">
        <f t="shared" si="28"/>
        <v>45869</v>
      </c>
      <c r="O40" s="78">
        <f t="shared" si="29"/>
        <v>45876</v>
      </c>
      <c r="P40" s="78">
        <f t="shared" si="20"/>
        <v>45825</v>
      </c>
      <c r="Q40" s="78">
        <f t="shared" si="20"/>
        <v>45825</v>
      </c>
      <c r="R40" s="78"/>
      <c r="S40" s="78">
        <f>IF(VLOOKUP(A40,Dates,15,)&gt;0,VLOOKUP(A40,Dates,15,)+'Date Calcs'!S$2,IF(VLOOKUP(A40,Dates,13,)&gt;0,VLOOKUP(A40,Dates,13,)+'Date Calcs'!S$2,IF(VLOOKUP(A40,Dates,11,)&gt;0,VLOOKUP(A40,Dates,11,)+'Date Calcs'!S$2,IF(VLOOKUP(A40,Dates,9,)&gt;0,VLOOKUP(A40,Dates,9,)+'Date Calcs'!S$2,$I40+S$2))))+(V40*7)</f>
        <v>45850</v>
      </c>
      <c r="T40" s="78">
        <f t="shared" si="30"/>
        <v>45851</v>
      </c>
      <c r="U40" s="78">
        <f t="shared" si="31"/>
        <v>45855</v>
      </c>
      <c r="V40" s="105">
        <v>0</v>
      </c>
      <c r="W40" s="105">
        <v>0</v>
      </c>
      <c r="X40" s="78">
        <f t="shared" si="32"/>
        <v>45960</v>
      </c>
      <c r="Y40" s="78">
        <f t="shared" si="33"/>
        <v>45862</v>
      </c>
      <c r="Z40" s="78">
        <f t="shared" si="34"/>
        <v>45869</v>
      </c>
      <c r="AA40" s="78">
        <f t="shared" si="21"/>
        <v>45869</v>
      </c>
      <c r="AB40" s="78">
        <f t="shared" si="21"/>
        <v>45869</v>
      </c>
      <c r="AC40" s="78">
        <f t="shared" si="39"/>
        <v>45869</v>
      </c>
      <c r="AD40" s="78">
        <f t="shared" si="35"/>
        <v>45870</v>
      </c>
      <c r="AE40" s="78">
        <f t="shared" si="36"/>
        <v>45862</v>
      </c>
      <c r="AF40" s="78">
        <f t="shared" si="37"/>
        <v>45872</v>
      </c>
      <c r="AG40" s="78">
        <f t="shared" si="38"/>
        <v>45953</v>
      </c>
      <c r="AH40" s="78"/>
    </row>
    <row r="41" spans="1:34" x14ac:dyDescent="0.25">
      <c r="A41" s="103" t="s">
        <v>247</v>
      </c>
      <c r="B41" s="103" t="s">
        <v>248</v>
      </c>
      <c r="C41" s="104">
        <v>45820</v>
      </c>
      <c r="D41" s="103">
        <v>3</v>
      </c>
      <c r="E41" s="103">
        <v>16</v>
      </c>
      <c r="F41" s="103">
        <v>22</v>
      </c>
      <c r="G41" s="103">
        <v>26</v>
      </c>
      <c r="H41" s="78">
        <f t="shared" si="22"/>
        <v>45932</v>
      </c>
      <c r="I41" s="78">
        <f t="shared" si="23"/>
        <v>46000</v>
      </c>
      <c r="J41" s="78">
        <f t="shared" si="24"/>
        <v>46008</v>
      </c>
      <c r="K41" s="78">
        <f t="shared" si="25"/>
        <v>46015</v>
      </c>
      <c r="L41" s="78">
        <f t="shared" si="26"/>
        <v>46022</v>
      </c>
      <c r="M41" s="78">
        <f t="shared" si="27"/>
        <v>46029</v>
      </c>
      <c r="N41" s="78">
        <f t="shared" si="28"/>
        <v>46036</v>
      </c>
      <c r="O41" s="78">
        <f t="shared" si="29"/>
        <v>46043</v>
      </c>
      <c r="P41" s="78">
        <f t="shared" si="20"/>
        <v>45834</v>
      </c>
      <c r="Q41" s="78">
        <f t="shared" si="20"/>
        <v>45834</v>
      </c>
      <c r="R41" s="78"/>
      <c r="S41" s="78">
        <f>IF(VLOOKUP(A41,Dates,15,)&gt;0,VLOOKUP(A41,Dates,15,)+'Date Calcs'!S$2,IF(VLOOKUP(A41,Dates,13,)&gt;0,VLOOKUP(A41,Dates,13,)+'Date Calcs'!S$2,IF(VLOOKUP(A41,Dates,11,)&gt;0,VLOOKUP(A41,Dates,11,)+'Date Calcs'!S$2,IF(VLOOKUP(A41,Dates,9,)&gt;0,VLOOKUP(A41,Dates,9,)+'Date Calcs'!S$2,$I41+S$2))))+(V41*7)</f>
        <v>46003</v>
      </c>
      <c r="T41" s="78">
        <f t="shared" si="30"/>
        <v>46004</v>
      </c>
      <c r="U41" s="78">
        <f t="shared" si="31"/>
        <v>46008</v>
      </c>
      <c r="V41" s="105">
        <v>0</v>
      </c>
      <c r="W41" s="105">
        <v>0</v>
      </c>
      <c r="X41" s="78">
        <f t="shared" si="32"/>
        <v>46190</v>
      </c>
      <c r="Y41" s="78">
        <f t="shared" si="33"/>
        <v>46015</v>
      </c>
      <c r="Z41" s="78">
        <f t="shared" si="34"/>
        <v>46022</v>
      </c>
      <c r="AA41" s="78">
        <f t="shared" si="21"/>
        <v>46022</v>
      </c>
      <c r="AB41" s="78">
        <f t="shared" si="21"/>
        <v>46022</v>
      </c>
      <c r="AC41" s="78">
        <f t="shared" si="39"/>
        <v>46022</v>
      </c>
      <c r="AD41" s="78">
        <f t="shared" si="35"/>
        <v>46023</v>
      </c>
      <c r="AE41" s="78">
        <f t="shared" si="36"/>
        <v>46015</v>
      </c>
      <c r="AF41" s="78">
        <f t="shared" si="37"/>
        <v>46025</v>
      </c>
      <c r="AG41" s="78">
        <f t="shared" si="38"/>
        <v>46183</v>
      </c>
      <c r="AH41" s="78"/>
    </row>
    <row r="42" spans="1:34" x14ac:dyDescent="0.25">
      <c r="A42" s="103" t="s">
        <v>249</v>
      </c>
      <c r="B42" s="103" t="s">
        <v>250</v>
      </c>
      <c r="C42" s="104">
        <v>45821</v>
      </c>
      <c r="D42" s="103">
        <v>2</v>
      </c>
      <c r="E42" s="103">
        <v>3</v>
      </c>
      <c r="F42" s="103">
        <v>12</v>
      </c>
      <c r="G42" s="103">
        <v>14</v>
      </c>
      <c r="H42" s="78">
        <f t="shared" si="22"/>
        <v>45842</v>
      </c>
      <c r="I42" s="78">
        <f t="shared" si="23"/>
        <v>45861</v>
      </c>
      <c r="J42" s="78">
        <f t="shared" si="24"/>
        <v>45859</v>
      </c>
      <c r="K42" s="78">
        <f t="shared" si="25"/>
        <v>45868</v>
      </c>
      <c r="L42" s="78">
        <f t="shared" si="26"/>
        <v>45873</v>
      </c>
      <c r="M42" s="78">
        <f t="shared" si="27"/>
        <v>45880</v>
      </c>
      <c r="N42" s="78">
        <f t="shared" si="28"/>
        <v>45887</v>
      </c>
      <c r="O42" s="78">
        <f t="shared" si="29"/>
        <v>45894</v>
      </c>
      <c r="P42" s="78">
        <f t="shared" si="20"/>
        <v>45835</v>
      </c>
      <c r="Q42" s="78">
        <f t="shared" si="20"/>
        <v>45835</v>
      </c>
      <c r="R42" s="78"/>
      <c r="S42" s="78">
        <f>IF(VLOOKUP(A42,Dates,15,)&gt;0,VLOOKUP(A42,Dates,15,)+'Date Calcs'!S$2,IF(VLOOKUP(A42,Dates,13,)&gt;0,VLOOKUP(A42,Dates,13,)+'Date Calcs'!S$2,IF(VLOOKUP(A42,Dates,11,)&gt;0,VLOOKUP(A42,Dates,11,)+'Date Calcs'!S$2,IF(VLOOKUP(A42,Dates,9,)&gt;0,VLOOKUP(A42,Dates,9,)+'Date Calcs'!S$2,$I42+S$2))))+(V42*7)</f>
        <v>45868</v>
      </c>
      <c r="T42" s="78">
        <f t="shared" si="30"/>
        <v>45869</v>
      </c>
      <c r="U42" s="78">
        <f t="shared" si="31"/>
        <v>45873</v>
      </c>
      <c r="V42" s="105">
        <v>0</v>
      </c>
      <c r="W42" s="105">
        <v>0</v>
      </c>
      <c r="X42" s="78">
        <f t="shared" si="32"/>
        <v>45971</v>
      </c>
      <c r="Y42" s="78">
        <f t="shared" si="33"/>
        <v>45880</v>
      </c>
      <c r="Z42" s="78">
        <f t="shared" si="34"/>
        <v>45887</v>
      </c>
      <c r="AA42" s="78">
        <f t="shared" si="21"/>
        <v>45887</v>
      </c>
      <c r="AB42" s="78">
        <f t="shared" si="21"/>
        <v>45887</v>
      </c>
      <c r="AC42" s="78">
        <f t="shared" si="39"/>
        <v>45887</v>
      </c>
      <c r="AD42" s="78">
        <f t="shared" si="35"/>
        <v>45888</v>
      </c>
      <c r="AE42" s="78">
        <f t="shared" si="36"/>
        <v>45880</v>
      </c>
      <c r="AF42" s="78">
        <f t="shared" si="37"/>
        <v>45890</v>
      </c>
      <c r="AG42" s="78">
        <f t="shared" si="38"/>
        <v>45964</v>
      </c>
      <c r="AH42" s="78"/>
    </row>
    <row r="43" spans="1:34" x14ac:dyDescent="0.25">
      <c r="A43" s="103" t="s">
        <v>251</v>
      </c>
      <c r="B43" s="103" t="s">
        <v>250</v>
      </c>
      <c r="C43" s="104">
        <v>45821</v>
      </c>
      <c r="D43" s="103">
        <v>2</v>
      </c>
      <c r="E43" s="103">
        <v>3</v>
      </c>
      <c r="F43" s="103">
        <v>12</v>
      </c>
      <c r="G43" s="103">
        <v>14</v>
      </c>
      <c r="H43" s="78">
        <f t="shared" si="22"/>
        <v>45842</v>
      </c>
      <c r="I43" s="78">
        <f t="shared" si="23"/>
        <v>45861</v>
      </c>
      <c r="J43" s="78">
        <f t="shared" si="24"/>
        <v>45859</v>
      </c>
      <c r="K43" s="78">
        <f t="shared" si="25"/>
        <v>45868</v>
      </c>
      <c r="L43" s="78">
        <f t="shared" si="26"/>
        <v>45873</v>
      </c>
      <c r="M43" s="78">
        <f t="shared" si="27"/>
        <v>45880</v>
      </c>
      <c r="N43" s="78">
        <f t="shared" si="28"/>
        <v>45887</v>
      </c>
      <c r="O43" s="78">
        <f t="shared" si="29"/>
        <v>45894</v>
      </c>
      <c r="P43" s="78">
        <f t="shared" si="20"/>
        <v>45835</v>
      </c>
      <c r="Q43" s="78">
        <f t="shared" si="20"/>
        <v>45835</v>
      </c>
      <c r="R43" s="78"/>
      <c r="S43" s="78">
        <f>IF(VLOOKUP(A43,Dates,15,)&gt;0,VLOOKUP(A43,Dates,15,)+'Date Calcs'!S$2,IF(VLOOKUP(A43,Dates,13,)&gt;0,VLOOKUP(A43,Dates,13,)+'Date Calcs'!S$2,IF(VLOOKUP(A43,Dates,11,)&gt;0,VLOOKUP(A43,Dates,11,)+'Date Calcs'!S$2,IF(VLOOKUP(A43,Dates,9,)&gt;0,VLOOKUP(A43,Dates,9,)+'Date Calcs'!S$2,$I43+S$2))))+(V43*7)</f>
        <v>45868</v>
      </c>
      <c r="T43" s="78">
        <f t="shared" si="30"/>
        <v>45869</v>
      </c>
      <c r="U43" s="78">
        <f t="shared" si="31"/>
        <v>45873</v>
      </c>
      <c r="V43" s="105">
        <v>0</v>
      </c>
      <c r="W43" s="105">
        <v>0</v>
      </c>
      <c r="X43" s="78">
        <f t="shared" si="32"/>
        <v>45971</v>
      </c>
      <c r="Y43" s="78">
        <f t="shared" si="33"/>
        <v>45880</v>
      </c>
      <c r="Z43" s="78">
        <f t="shared" si="34"/>
        <v>45887</v>
      </c>
      <c r="AA43" s="78">
        <f t="shared" si="21"/>
        <v>45887</v>
      </c>
      <c r="AB43" s="78">
        <f t="shared" si="21"/>
        <v>45887</v>
      </c>
      <c r="AC43" s="78">
        <f t="shared" si="39"/>
        <v>45887</v>
      </c>
      <c r="AD43" s="78">
        <f t="shared" si="35"/>
        <v>45888</v>
      </c>
      <c r="AE43" s="78">
        <f t="shared" si="36"/>
        <v>45880</v>
      </c>
      <c r="AF43" s="78">
        <f t="shared" si="37"/>
        <v>45890</v>
      </c>
      <c r="AG43" s="78">
        <f t="shared" si="38"/>
        <v>45964</v>
      </c>
      <c r="AH43" s="78"/>
    </row>
    <row r="44" spans="1:34" x14ac:dyDescent="0.25">
      <c r="A44" s="103" t="s">
        <v>252</v>
      </c>
      <c r="B44" s="103" t="s">
        <v>250</v>
      </c>
      <c r="C44" s="104">
        <v>45821</v>
      </c>
      <c r="D44" s="103">
        <v>2</v>
      </c>
      <c r="E44" s="103">
        <v>3</v>
      </c>
      <c r="F44" s="103">
        <v>16</v>
      </c>
      <c r="G44" s="103">
        <v>18</v>
      </c>
      <c r="H44" s="78">
        <f t="shared" si="22"/>
        <v>45842</v>
      </c>
      <c r="I44" s="78">
        <f t="shared" si="23"/>
        <v>45861</v>
      </c>
      <c r="J44" s="78">
        <f t="shared" si="24"/>
        <v>45859</v>
      </c>
      <c r="K44" s="78">
        <f t="shared" si="25"/>
        <v>45868</v>
      </c>
      <c r="L44" s="78">
        <f t="shared" si="26"/>
        <v>45873</v>
      </c>
      <c r="M44" s="78">
        <f t="shared" si="27"/>
        <v>45880</v>
      </c>
      <c r="N44" s="78">
        <f t="shared" si="28"/>
        <v>45887</v>
      </c>
      <c r="O44" s="78">
        <f t="shared" si="29"/>
        <v>45894</v>
      </c>
      <c r="P44" s="78">
        <f t="shared" si="20"/>
        <v>45835</v>
      </c>
      <c r="Q44" s="78">
        <f t="shared" si="20"/>
        <v>45835</v>
      </c>
      <c r="R44" s="78"/>
      <c r="S44" s="78">
        <f>IF(VLOOKUP(A44,Dates,15,)&gt;0,VLOOKUP(A44,Dates,15,)+'Date Calcs'!S$2,IF(VLOOKUP(A44,Dates,13,)&gt;0,VLOOKUP(A44,Dates,13,)+'Date Calcs'!S$2,IF(VLOOKUP(A44,Dates,11,)&gt;0,VLOOKUP(A44,Dates,11,)+'Date Calcs'!S$2,IF(VLOOKUP(A44,Dates,9,)&gt;0,VLOOKUP(A44,Dates,9,)+'Date Calcs'!S$2,$I44+S$2))))+(V44*7)</f>
        <v>45868</v>
      </c>
      <c r="T44" s="78">
        <f t="shared" si="30"/>
        <v>45869</v>
      </c>
      <c r="U44" s="78">
        <f t="shared" si="31"/>
        <v>45873</v>
      </c>
      <c r="V44" s="105">
        <v>0</v>
      </c>
      <c r="W44" s="105">
        <v>0</v>
      </c>
      <c r="X44" s="78">
        <f t="shared" si="32"/>
        <v>45999</v>
      </c>
      <c r="Y44" s="78">
        <f t="shared" si="33"/>
        <v>45880</v>
      </c>
      <c r="Z44" s="78">
        <f t="shared" si="34"/>
        <v>45887</v>
      </c>
      <c r="AA44" s="78">
        <f t="shared" si="21"/>
        <v>45887</v>
      </c>
      <c r="AB44" s="78">
        <f t="shared" si="21"/>
        <v>45887</v>
      </c>
      <c r="AC44" s="78">
        <f t="shared" si="39"/>
        <v>45887</v>
      </c>
      <c r="AD44" s="78">
        <f t="shared" si="35"/>
        <v>45888</v>
      </c>
      <c r="AE44" s="78">
        <f t="shared" si="36"/>
        <v>45880</v>
      </c>
      <c r="AF44" s="78">
        <f t="shared" si="37"/>
        <v>45890</v>
      </c>
      <c r="AG44" s="78">
        <f t="shared" si="38"/>
        <v>45992</v>
      </c>
      <c r="AH44" s="78"/>
    </row>
    <row r="45" spans="1:34" x14ac:dyDescent="0.25">
      <c r="A45" s="103" t="s">
        <v>253</v>
      </c>
      <c r="B45" s="103" t="s">
        <v>250</v>
      </c>
      <c r="C45" s="104">
        <v>45821</v>
      </c>
      <c r="D45" s="103">
        <v>2</v>
      </c>
      <c r="E45" s="103">
        <v>3</v>
      </c>
      <c r="F45" s="103">
        <v>16</v>
      </c>
      <c r="G45" s="103">
        <v>18</v>
      </c>
      <c r="H45" s="78">
        <f t="shared" si="22"/>
        <v>45842</v>
      </c>
      <c r="I45" s="78">
        <f t="shared" si="23"/>
        <v>45861</v>
      </c>
      <c r="J45" s="78">
        <f t="shared" si="24"/>
        <v>45859</v>
      </c>
      <c r="K45" s="78">
        <f t="shared" si="25"/>
        <v>45868</v>
      </c>
      <c r="L45" s="78">
        <f t="shared" si="26"/>
        <v>45873</v>
      </c>
      <c r="M45" s="78">
        <f t="shared" si="27"/>
        <v>45880</v>
      </c>
      <c r="N45" s="78">
        <f t="shared" si="28"/>
        <v>45887</v>
      </c>
      <c r="O45" s="78">
        <f t="shared" si="29"/>
        <v>45894</v>
      </c>
      <c r="P45" s="78">
        <f t="shared" ref="P45:Q64" si="40">$C45+P$2</f>
        <v>45835</v>
      </c>
      <c r="Q45" s="78">
        <f t="shared" si="40"/>
        <v>45835</v>
      </c>
      <c r="R45" s="78"/>
      <c r="S45" s="78">
        <f>IF(VLOOKUP(A45,Dates,15,)&gt;0,VLOOKUP(A45,Dates,15,)+'Date Calcs'!S$2,IF(VLOOKUP(A45,Dates,13,)&gt;0,VLOOKUP(A45,Dates,13,)+'Date Calcs'!S$2,IF(VLOOKUP(A45,Dates,11,)&gt;0,VLOOKUP(A45,Dates,11,)+'Date Calcs'!S$2,IF(VLOOKUP(A45,Dates,9,)&gt;0,VLOOKUP(A45,Dates,9,)+'Date Calcs'!S$2,$I45+S$2))))+(V45*7)</f>
        <v>45868</v>
      </c>
      <c r="T45" s="78">
        <f t="shared" si="30"/>
        <v>45869</v>
      </c>
      <c r="U45" s="78">
        <f t="shared" si="31"/>
        <v>45873</v>
      </c>
      <c r="V45" s="105">
        <v>0</v>
      </c>
      <c r="W45" s="105">
        <v>0</v>
      </c>
      <c r="X45" s="78">
        <f t="shared" si="32"/>
        <v>45999</v>
      </c>
      <c r="Y45" s="78">
        <f t="shared" si="33"/>
        <v>45880</v>
      </c>
      <c r="Z45" s="78">
        <f t="shared" si="34"/>
        <v>45887</v>
      </c>
      <c r="AA45" s="78">
        <f t="shared" ref="AA45:AB64" si="41">Z45</f>
        <v>45887</v>
      </c>
      <c r="AB45" s="78">
        <f t="shared" si="41"/>
        <v>45887</v>
      </c>
      <c r="AC45" s="78">
        <f t="shared" si="39"/>
        <v>45887</v>
      </c>
      <c r="AD45" s="78">
        <f t="shared" si="35"/>
        <v>45888</v>
      </c>
      <c r="AE45" s="78">
        <f t="shared" si="36"/>
        <v>45880</v>
      </c>
      <c r="AF45" s="78">
        <f t="shared" si="37"/>
        <v>45890</v>
      </c>
      <c r="AG45" s="78">
        <f t="shared" si="38"/>
        <v>45992</v>
      </c>
      <c r="AH45" s="78"/>
    </row>
    <row r="46" spans="1:34" x14ac:dyDescent="0.25">
      <c r="A46" s="103" t="s">
        <v>254</v>
      </c>
      <c r="B46" s="103" t="s">
        <v>250</v>
      </c>
      <c r="C46" s="104">
        <v>45821</v>
      </c>
      <c r="D46" s="103">
        <v>2</v>
      </c>
      <c r="E46" s="103">
        <v>3</v>
      </c>
      <c r="F46" s="103">
        <v>20</v>
      </c>
      <c r="G46" s="103">
        <v>22</v>
      </c>
      <c r="H46" s="78">
        <f t="shared" si="22"/>
        <v>45842</v>
      </c>
      <c r="I46" s="78">
        <f t="shared" si="23"/>
        <v>45861</v>
      </c>
      <c r="J46" s="78">
        <f t="shared" si="24"/>
        <v>45859</v>
      </c>
      <c r="K46" s="78">
        <f t="shared" si="25"/>
        <v>45868</v>
      </c>
      <c r="L46" s="78">
        <f t="shared" si="26"/>
        <v>45873</v>
      </c>
      <c r="M46" s="78">
        <f t="shared" si="27"/>
        <v>45880</v>
      </c>
      <c r="N46" s="78">
        <f t="shared" si="28"/>
        <v>45887</v>
      </c>
      <c r="O46" s="78">
        <f t="shared" si="29"/>
        <v>45894</v>
      </c>
      <c r="P46" s="78">
        <f t="shared" si="40"/>
        <v>45835</v>
      </c>
      <c r="Q46" s="78">
        <f t="shared" si="40"/>
        <v>45835</v>
      </c>
      <c r="R46" s="78"/>
      <c r="S46" s="78">
        <f>IF(VLOOKUP(A46,Dates,15,)&gt;0,VLOOKUP(A46,Dates,15,)+'Date Calcs'!S$2,IF(VLOOKUP(A46,Dates,13,)&gt;0,VLOOKUP(A46,Dates,13,)+'Date Calcs'!S$2,IF(VLOOKUP(A46,Dates,11,)&gt;0,VLOOKUP(A46,Dates,11,)+'Date Calcs'!S$2,IF(VLOOKUP(A46,Dates,9,)&gt;0,VLOOKUP(A46,Dates,9,)+'Date Calcs'!S$2,$I46+S$2))))+(V46*7)</f>
        <v>45868</v>
      </c>
      <c r="T46" s="78">
        <f t="shared" si="30"/>
        <v>45869</v>
      </c>
      <c r="U46" s="78">
        <f t="shared" si="31"/>
        <v>45873</v>
      </c>
      <c r="V46" s="105">
        <v>0</v>
      </c>
      <c r="W46" s="105">
        <v>0</v>
      </c>
      <c r="X46" s="78">
        <f t="shared" si="32"/>
        <v>46027</v>
      </c>
      <c r="Y46" s="78">
        <f t="shared" si="33"/>
        <v>45880</v>
      </c>
      <c r="Z46" s="78">
        <f t="shared" si="34"/>
        <v>45887</v>
      </c>
      <c r="AA46" s="78">
        <f t="shared" si="41"/>
        <v>45887</v>
      </c>
      <c r="AB46" s="78">
        <f t="shared" si="41"/>
        <v>45887</v>
      </c>
      <c r="AC46" s="78">
        <f t="shared" si="39"/>
        <v>45887</v>
      </c>
      <c r="AD46" s="78">
        <f t="shared" si="35"/>
        <v>45888</v>
      </c>
      <c r="AE46" s="78">
        <f t="shared" si="36"/>
        <v>45880</v>
      </c>
      <c r="AF46" s="78">
        <f t="shared" si="37"/>
        <v>45890</v>
      </c>
      <c r="AG46" s="78">
        <f t="shared" si="38"/>
        <v>46020</v>
      </c>
      <c r="AH46" s="78"/>
    </row>
    <row r="47" spans="1:34" x14ac:dyDescent="0.25">
      <c r="A47" s="103" t="s">
        <v>255</v>
      </c>
      <c r="B47" s="103" t="s">
        <v>250</v>
      </c>
      <c r="C47" s="104">
        <v>45821</v>
      </c>
      <c r="D47" s="103">
        <v>2</v>
      </c>
      <c r="E47" s="103">
        <v>3</v>
      </c>
      <c r="F47" s="103">
        <v>20</v>
      </c>
      <c r="G47" s="103">
        <v>22</v>
      </c>
      <c r="H47" s="78">
        <f t="shared" si="22"/>
        <v>45842</v>
      </c>
      <c r="I47" s="78">
        <f t="shared" si="23"/>
        <v>45861</v>
      </c>
      <c r="J47" s="78">
        <f t="shared" si="24"/>
        <v>45859</v>
      </c>
      <c r="K47" s="78">
        <f t="shared" si="25"/>
        <v>45868</v>
      </c>
      <c r="L47" s="78">
        <f t="shared" si="26"/>
        <v>45873</v>
      </c>
      <c r="M47" s="78">
        <f t="shared" si="27"/>
        <v>45880</v>
      </c>
      <c r="N47" s="78">
        <f t="shared" si="28"/>
        <v>45887</v>
      </c>
      <c r="O47" s="78">
        <f t="shared" si="29"/>
        <v>45894</v>
      </c>
      <c r="P47" s="78">
        <f t="shared" si="40"/>
        <v>45835</v>
      </c>
      <c r="Q47" s="78">
        <f t="shared" si="40"/>
        <v>45835</v>
      </c>
      <c r="R47" s="78"/>
      <c r="S47" s="78">
        <f>IF(VLOOKUP(A47,Dates,15,)&gt;0,VLOOKUP(A47,Dates,15,)+'Date Calcs'!S$2,IF(VLOOKUP(A47,Dates,13,)&gt;0,VLOOKUP(A47,Dates,13,)+'Date Calcs'!S$2,IF(VLOOKUP(A47,Dates,11,)&gt;0,VLOOKUP(A47,Dates,11,)+'Date Calcs'!S$2,IF(VLOOKUP(A47,Dates,9,)&gt;0,VLOOKUP(A47,Dates,9,)+'Date Calcs'!S$2,$I47+S$2))))+(V47*7)</f>
        <v>45868</v>
      </c>
      <c r="T47" s="78">
        <f t="shared" si="30"/>
        <v>45869</v>
      </c>
      <c r="U47" s="78">
        <f t="shared" si="31"/>
        <v>45873</v>
      </c>
      <c r="V47" s="105">
        <v>0</v>
      </c>
      <c r="W47" s="105">
        <v>0</v>
      </c>
      <c r="X47" s="78">
        <f t="shared" si="32"/>
        <v>46027</v>
      </c>
      <c r="Y47" s="78">
        <f t="shared" si="33"/>
        <v>45880</v>
      </c>
      <c r="Z47" s="78">
        <f t="shared" si="34"/>
        <v>45887</v>
      </c>
      <c r="AA47" s="78">
        <f t="shared" si="41"/>
        <v>45887</v>
      </c>
      <c r="AB47" s="78">
        <f t="shared" si="41"/>
        <v>45887</v>
      </c>
      <c r="AC47" s="78">
        <f t="shared" si="39"/>
        <v>45887</v>
      </c>
      <c r="AD47" s="78">
        <f t="shared" si="35"/>
        <v>45888</v>
      </c>
      <c r="AE47" s="78">
        <f t="shared" si="36"/>
        <v>45880</v>
      </c>
      <c r="AF47" s="78">
        <f t="shared" si="37"/>
        <v>45890</v>
      </c>
      <c r="AG47" s="78">
        <f t="shared" si="38"/>
        <v>46020</v>
      </c>
      <c r="AH47" s="78"/>
    </row>
    <row r="48" spans="1:34" x14ac:dyDescent="0.25">
      <c r="A48" s="103" t="s">
        <v>256</v>
      </c>
      <c r="B48" s="103" t="s">
        <v>250</v>
      </c>
      <c r="C48" s="104">
        <v>45821</v>
      </c>
      <c r="D48" s="103">
        <v>2</v>
      </c>
      <c r="E48" s="103">
        <v>3</v>
      </c>
      <c r="F48" s="103">
        <v>24</v>
      </c>
      <c r="G48" s="103">
        <v>26</v>
      </c>
      <c r="H48" s="78">
        <f t="shared" si="22"/>
        <v>45842</v>
      </c>
      <c r="I48" s="78">
        <f t="shared" si="23"/>
        <v>45861</v>
      </c>
      <c r="J48" s="78">
        <f t="shared" si="24"/>
        <v>45859</v>
      </c>
      <c r="K48" s="78">
        <f t="shared" si="25"/>
        <v>45868</v>
      </c>
      <c r="L48" s="78">
        <f t="shared" si="26"/>
        <v>45873</v>
      </c>
      <c r="M48" s="78">
        <f t="shared" si="27"/>
        <v>45880</v>
      </c>
      <c r="N48" s="78">
        <f t="shared" si="28"/>
        <v>45887</v>
      </c>
      <c r="O48" s="78">
        <f t="shared" si="29"/>
        <v>45894</v>
      </c>
      <c r="P48" s="78">
        <f t="shared" si="40"/>
        <v>45835</v>
      </c>
      <c r="Q48" s="78">
        <f t="shared" si="40"/>
        <v>45835</v>
      </c>
      <c r="R48" s="78"/>
      <c r="S48" s="78">
        <f>IF(VLOOKUP(A48,Dates,15,)&gt;0,VLOOKUP(A48,Dates,15,)+'Date Calcs'!S$2,IF(VLOOKUP(A48,Dates,13,)&gt;0,VLOOKUP(A48,Dates,13,)+'Date Calcs'!S$2,IF(VLOOKUP(A48,Dates,11,)&gt;0,VLOOKUP(A48,Dates,11,)+'Date Calcs'!S$2,IF(VLOOKUP(A48,Dates,9,)&gt;0,VLOOKUP(A48,Dates,9,)+'Date Calcs'!S$2,$I48+S$2))))+(V48*7)</f>
        <v>45868</v>
      </c>
      <c r="T48" s="78">
        <f t="shared" si="30"/>
        <v>45869</v>
      </c>
      <c r="U48" s="78">
        <f t="shared" si="31"/>
        <v>45873</v>
      </c>
      <c r="V48" s="105">
        <v>0</v>
      </c>
      <c r="W48" s="105">
        <v>0</v>
      </c>
      <c r="X48" s="78">
        <f t="shared" si="32"/>
        <v>46055</v>
      </c>
      <c r="Y48" s="78">
        <f t="shared" si="33"/>
        <v>45880</v>
      </c>
      <c r="Z48" s="78">
        <f t="shared" si="34"/>
        <v>45887</v>
      </c>
      <c r="AA48" s="78">
        <f t="shared" si="41"/>
        <v>45887</v>
      </c>
      <c r="AB48" s="78">
        <f t="shared" si="41"/>
        <v>45887</v>
      </c>
      <c r="AC48" s="78">
        <f t="shared" si="39"/>
        <v>45887</v>
      </c>
      <c r="AD48" s="78">
        <f t="shared" si="35"/>
        <v>45888</v>
      </c>
      <c r="AE48" s="78">
        <f t="shared" si="36"/>
        <v>45880</v>
      </c>
      <c r="AF48" s="78">
        <f t="shared" si="37"/>
        <v>45890</v>
      </c>
      <c r="AG48" s="78">
        <f t="shared" si="38"/>
        <v>46048</v>
      </c>
      <c r="AH48" s="78"/>
    </row>
    <row r="49" spans="1:34" x14ac:dyDescent="0.25">
      <c r="A49" s="103" t="s">
        <v>257</v>
      </c>
      <c r="B49" s="103" t="s">
        <v>250</v>
      </c>
      <c r="C49" s="104">
        <v>45821</v>
      </c>
      <c r="D49" s="103">
        <v>2</v>
      </c>
      <c r="E49" s="103">
        <v>3</v>
      </c>
      <c r="F49" s="103">
        <v>24</v>
      </c>
      <c r="G49" s="103">
        <v>26</v>
      </c>
      <c r="H49" s="78">
        <f t="shared" si="22"/>
        <v>45842</v>
      </c>
      <c r="I49" s="78">
        <f t="shared" si="23"/>
        <v>45861</v>
      </c>
      <c r="J49" s="78">
        <f t="shared" si="24"/>
        <v>45859</v>
      </c>
      <c r="K49" s="78">
        <f t="shared" si="25"/>
        <v>45868</v>
      </c>
      <c r="L49" s="78">
        <f t="shared" si="26"/>
        <v>45873</v>
      </c>
      <c r="M49" s="78">
        <f t="shared" si="27"/>
        <v>45880</v>
      </c>
      <c r="N49" s="78">
        <f t="shared" si="28"/>
        <v>45887</v>
      </c>
      <c r="O49" s="78">
        <f t="shared" si="29"/>
        <v>45894</v>
      </c>
      <c r="P49" s="78">
        <f t="shared" si="40"/>
        <v>45835</v>
      </c>
      <c r="Q49" s="78">
        <f t="shared" si="40"/>
        <v>45835</v>
      </c>
      <c r="R49" s="78"/>
      <c r="S49" s="78">
        <f>IF(VLOOKUP(A49,Dates,15,)&gt;0,VLOOKUP(A49,Dates,15,)+'Date Calcs'!S$2,IF(VLOOKUP(A49,Dates,13,)&gt;0,VLOOKUP(A49,Dates,13,)+'Date Calcs'!S$2,IF(VLOOKUP(A49,Dates,11,)&gt;0,VLOOKUP(A49,Dates,11,)+'Date Calcs'!S$2,IF(VLOOKUP(A49,Dates,9,)&gt;0,VLOOKUP(A49,Dates,9,)+'Date Calcs'!S$2,$I49+S$2))))+(V49*7)</f>
        <v>45868</v>
      </c>
      <c r="T49" s="78">
        <f t="shared" si="30"/>
        <v>45869</v>
      </c>
      <c r="U49" s="78">
        <f t="shared" si="31"/>
        <v>45873</v>
      </c>
      <c r="V49" s="105">
        <v>0</v>
      </c>
      <c r="W49" s="105">
        <v>0</v>
      </c>
      <c r="X49" s="78">
        <f t="shared" si="32"/>
        <v>46055</v>
      </c>
      <c r="Y49" s="78">
        <f t="shared" si="33"/>
        <v>45880</v>
      </c>
      <c r="Z49" s="78">
        <f t="shared" si="34"/>
        <v>45887</v>
      </c>
      <c r="AA49" s="78">
        <f t="shared" si="41"/>
        <v>45887</v>
      </c>
      <c r="AB49" s="78">
        <f t="shared" si="41"/>
        <v>45887</v>
      </c>
      <c r="AC49" s="78">
        <f t="shared" si="39"/>
        <v>45887</v>
      </c>
      <c r="AD49" s="78">
        <f t="shared" si="35"/>
        <v>45888</v>
      </c>
      <c r="AE49" s="78">
        <f t="shared" si="36"/>
        <v>45880</v>
      </c>
      <c r="AF49" s="78">
        <f t="shared" si="37"/>
        <v>45890</v>
      </c>
      <c r="AG49" s="78">
        <f t="shared" si="38"/>
        <v>46048</v>
      </c>
      <c r="AH49" s="78"/>
    </row>
    <row r="50" spans="1:34" x14ac:dyDescent="0.25">
      <c r="A50" s="103" t="s">
        <v>258</v>
      </c>
      <c r="B50" s="103" t="s">
        <v>250</v>
      </c>
      <c r="C50" s="104">
        <v>45821</v>
      </c>
      <c r="D50" s="103">
        <v>2</v>
      </c>
      <c r="E50" s="103">
        <v>3</v>
      </c>
      <c r="F50" s="103">
        <v>28</v>
      </c>
      <c r="G50" s="103">
        <v>30</v>
      </c>
      <c r="H50" s="78">
        <f t="shared" si="22"/>
        <v>45842</v>
      </c>
      <c r="I50" s="78">
        <f t="shared" si="23"/>
        <v>45861</v>
      </c>
      <c r="J50" s="78">
        <f t="shared" si="24"/>
        <v>45859</v>
      </c>
      <c r="K50" s="78">
        <f t="shared" si="25"/>
        <v>45868</v>
      </c>
      <c r="L50" s="78">
        <f t="shared" si="26"/>
        <v>45873</v>
      </c>
      <c r="M50" s="78">
        <f t="shared" si="27"/>
        <v>45880</v>
      </c>
      <c r="N50" s="78">
        <f t="shared" si="28"/>
        <v>45887</v>
      </c>
      <c r="O50" s="78">
        <f t="shared" si="29"/>
        <v>45894</v>
      </c>
      <c r="P50" s="78">
        <f t="shared" si="40"/>
        <v>45835</v>
      </c>
      <c r="Q50" s="78">
        <f t="shared" si="40"/>
        <v>45835</v>
      </c>
      <c r="R50" s="78"/>
      <c r="S50" s="78">
        <f>IF(VLOOKUP(A50,Dates,15,)&gt;0,VLOOKUP(A50,Dates,15,)+'Date Calcs'!S$2,IF(VLOOKUP(A50,Dates,13,)&gt;0,VLOOKUP(A50,Dates,13,)+'Date Calcs'!S$2,IF(VLOOKUP(A50,Dates,11,)&gt;0,VLOOKUP(A50,Dates,11,)+'Date Calcs'!S$2,IF(VLOOKUP(A50,Dates,9,)&gt;0,VLOOKUP(A50,Dates,9,)+'Date Calcs'!S$2,$I50+S$2))))+(V50*7)</f>
        <v>45868</v>
      </c>
      <c r="T50" s="78">
        <f t="shared" si="30"/>
        <v>45869</v>
      </c>
      <c r="U50" s="78">
        <f t="shared" si="31"/>
        <v>45873</v>
      </c>
      <c r="V50" s="105">
        <v>0</v>
      </c>
      <c r="W50" s="105">
        <v>0</v>
      </c>
      <c r="X50" s="78">
        <f t="shared" si="32"/>
        <v>46083</v>
      </c>
      <c r="Y50" s="78">
        <f t="shared" si="33"/>
        <v>45880</v>
      </c>
      <c r="Z50" s="78">
        <f t="shared" si="34"/>
        <v>45887</v>
      </c>
      <c r="AA50" s="78">
        <f t="shared" si="41"/>
        <v>45887</v>
      </c>
      <c r="AB50" s="78">
        <f t="shared" si="41"/>
        <v>45887</v>
      </c>
      <c r="AC50" s="78">
        <f t="shared" si="39"/>
        <v>45887</v>
      </c>
      <c r="AD50" s="78">
        <f t="shared" si="35"/>
        <v>45888</v>
      </c>
      <c r="AE50" s="78">
        <f t="shared" si="36"/>
        <v>45880</v>
      </c>
      <c r="AF50" s="78">
        <f t="shared" si="37"/>
        <v>45890</v>
      </c>
      <c r="AG50" s="78">
        <f t="shared" si="38"/>
        <v>46076</v>
      </c>
      <c r="AH50" s="78"/>
    </row>
    <row r="51" spans="1:34" x14ac:dyDescent="0.25">
      <c r="A51" s="103" t="s">
        <v>259</v>
      </c>
      <c r="B51" s="103" t="s">
        <v>250</v>
      </c>
      <c r="C51" s="104">
        <v>45821</v>
      </c>
      <c r="D51" s="103">
        <v>2</v>
      </c>
      <c r="E51" s="103">
        <v>3</v>
      </c>
      <c r="F51" s="103">
        <v>28</v>
      </c>
      <c r="G51" s="103">
        <v>30</v>
      </c>
      <c r="H51" s="78">
        <f t="shared" si="22"/>
        <v>45842</v>
      </c>
      <c r="I51" s="78">
        <f t="shared" si="23"/>
        <v>45861</v>
      </c>
      <c r="J51" s="78">
        <f t="shared" si="24"/>
        <v>45859</v>
      </c>
      <c r="K51" s="78">
        <f t="shared" si="25"/>
        <v>45868</v>
      </c>
      <c r="L51" s="78">
        <f t="shared" si="26"/>
        <v>45873</v>
      </c>
      <c r="M51" s="78">
        <f t="shared" si="27"/>
        <v>45880</v>
      </c>
      <c r="N51" s="78">
        <f t="shared" si="28"/>
        <v>45887</v>
      </c>
      <c r="O51" s="78">
        <f t="shared" si="29"/>
        <v>45894</v>
      </c>
      <c r="P51" s="78">
        <f t="shared" si="40"/>
        <v>45835</v>
      </c>
      <c r="Q51" s="78">
        <f t="shared" si="40"/>
        <v>45835</v>
      </c>
      <c r="R51" s="78"/>
      <c r="S51" s="78">
        <f>IF(VLOOKUP(A51,Dates,15,)&gt;0,VLOOKUP(A51,Dates,15,)+'Date Calcs'!S$2,IF(VLOOKUP(A51,Dates,13,)&gt;0,VLOOKUP(A51,Dates,13,)+'Date Calcs'!S$2,IF(VLOOKUP(A51,Dates,11,)&gt;0,VLOOKUP(A51,Dates,11,)+'Date Calcs'!S$2,IF(VLOOKUP(A51,Dates,9,)&gt;0,VLOOKUP(A51,Dates,9,)+'Date Calcs'!S$2,$I51+S$2))))+(V51*7)</f>
        <v>45868</v>
      </c>
      <c r="T51" s="78">
        <f t="shared" si="30"/>
        <v>45869</v>
      </c>
      <c r="U51" s="78">
        <f t="shared" si="31"/>
        <v>45873</v>
      </c>
      <c r="V51" s="105">
        <v>0</v>
      </c>
      <c r="W51" s="105">
        <v>0</v>
      </c>
      <c r="X51" s="78">
        <f t="shared" si="32"/>
        <v>46083</v>
      </c>
      <c r="Y51" s="78">
        <f t="shared" si="33"/>
        <v>45880</v>
      </c>
      <c r="Z51" s="78">
        <f t="shared" si="34"/>
        <v>45887</v>
      </c>
      <c r="AA51" s="78">
        <f t="shared" si="41"/>
        <v>45887</v>
      </c>
      <c r="AB51" s="78">
        <f t="shared" si="41"/>
        <v>45887</v>
      </c>
      <c r="AC51" s="78">
        <f t="shared" si="39"/>
        <v>45887</v>
      </c>
      <c r="AD51" s="78">
        <f t="shared" si="35"/>
        <v>45888</v>
      </c>
      <c r="AE51" s="78">
        <f t="shared" si="36"/>
        <v>45880</v>
      </c>
      <c r="AF51" s="78">
        <f t="shared" si="37"/>
        <v>45890</v>
      </c>
      <c r="AG51" s="78">
        <f t="shared" si="38"/>
        <v>46076</v>
      </c>
      <c r="AH51" s="78"/>
    </row>
    <row r="52" spans="1:34" x14ac:dyDescent="0.25">
      <c r="A52" s="103" t="s">
        <v>260</v>
      </c>
      <c r="B52" s="103" t="s">
        <v>250</v>
      </c>
      <c r="C52" s="104">
        <v>45821</v>
      </c>
      <c r="D52" s="103">
        <v>2</v>
      </c>
      <c r="E52" s="103">
        <v>3</v>
      </c>
      <c r="F52" s="103">
        <v>32</v>
      </c>
      <c r="G52" s="103">
        <v>34</v>
      </c>
      <c r="H52" s="78">
        <f t="shared" si="22"/>
        <v>45842</v>
      </c>
      <c r="I52" s="78">
        <f t="shared" si="23"/>
        <v>45861</v>
      </c>
      <c r="J52" s="78">
        <f t="shared" si="24"/>
        <v>45859</v>
      </c>
      <c r="K52" s="78">
        <f t="shared" si="25"/>
        <v>45868</v>
      </c>
      <c r="L52" s="78">
        <f t="shared" si="26"/>
        <v>45873</v>
      </c>
      <c r="M52" s="78">
        <f t="shared" si="27"/>
        <v>45880</v>
      </c>
      <c r="N52" s="78">
        <f t="shared" si="28"/>
        <v>45887</v>
      </c>
      <c r="O52" s="78">
        <f t="shared" si="29"/>
        <v>45894</v>
      </c>
      <c r="P52" s="78">
        <f t="shared" si="40"/>
        <v>45835</v>
      </c>
      <c r="Q52" s="78">
        <f t="shared" si="40"/>
        <v>45835</v>
      </c>
      <c r="R52" s="78"/>
      <c r="S52" s="78">
        <f>IF(VLOOKUP(A52,Dates,15,)&gt;0,VLOOKUP(A52,Dates,15,)+'Date Calcs'!S$2,IF(VLOOKUP(A52,Dates,13,)&gt;0,VLOOKUP(A52,Dates,13,)+'Date Calcs'!S$2,IF(VLOOKUP(A52,Dates,11,)&gt;0,VLOOKUP(A52,Dates,11,)+'Date Calcs'!S$2,IF(VLOOKUP(A52,Dates,9,)&gt;0,VLOOKUP(A52,Dates,9,)+'Date Calcs'!S$2,$I52+S$2))))+(V52*7)</f>
        <v>45868</v>
      </c>
      <c r="T52" s="78">
        <f t="shared" si="30"/>
        <v>45869</v>
      </c>
      <c r="U52" s="78">
        <f t="shared" si="31"/>
        <v>45873</v>
      </c>
      <c r="V52" s="105">
        <v>0</v>
      </c>
      <c r="W52" s="105">
        <v>0</v>
      </c>
      <c r="X52" s="78">
        <f t="shared" si="32"/>
        <v>46111</v>
      </c>
      <c r="Y52" s="78">
        <f t="shared" si="33"/>
        <v>45880</v>
      </c>
      <c r="Z52" s="78">
        <f t="shared" si="34"/>
        <v>45887</v>
      </c>
      <c r="AA52" s="78">
        <f t="shared" si="41"/>
        <v>45887</v>
      </c>
      <c r="AB52" s="78">
        <f t="shared" si="41"/>
        <v>45887</v>
      </c>
      <c r="AC52" s="78">
        <f t="shared" si="39"/>
        <v>45887</v>
      </c>
      <c r="AD52" s="78">
        <f t="shared" si="35"/>
        <v>45888</v>
      </c>
      <c r="AE52" s="78">
        <f t="shared" si="36"/>
        <v>45880</v>
      </c>
      <c r="AF52" s="78">
        <f t="shared" si="37"/>
        <v>45890</v>
      </c>
      <c r="AG52" s="78">
        <f t="shared" si="38"/>
        <v>46104</v>
      </c>
      <c r="AH52" s="78"/>
    </row>
    <row r="53" spans="1:34" x14ac:dyDescent="0.25">
      <c r="A53" s="103" t="s">
        <v>261</v>
      </c>
      <c r="B53" s="103" t="s">
        <v>250</v>
      </c>
      <c r="C53" s="104">
        <v>45821</v>
      </c>
      <c r="D53" s="103">
        <v>2</v>
      </c>
      <c r="E53" s="103">
        <v>3</v>
      </c>
      <c r="F53" s="103">
        <v>32</v>
      </c>
      <c r="G53" s="103">
        <v>34</v>
      </c>
      <c r="H53" s="78">
        <f t="shared" si="22"/>
        <v>45842</v>
      </c>
      <c r="I53" s="78">
        <f t="shared" si="23"/>
        <v>45861</v>
      </c>
      <c r="J53" s="78">
        <f t="shared" si="24"/>
        <v>45859</v>
      </c>
      <c r="K53" s="78">
        <f t="shared" si="25"/>
        <v>45868</v>
      </c>
      <c r="L53" s="78">
        <f t="shared" si="26"/>
        <v>45873</v>
      </c>
      <c r="M53" s="78">
        <f t="shared" si="27"/>
        <v>45880</v>
      </c>
      <c r="N53" s="78">
        <f t="shared" si="28"/>
        <v>45887</v>
      </c>
      <c r="O53" s="78">
        <f t="shared" si="29"/>
        <v>45894</v>
      </c>
      <c r="P53" s="78">
        <f t="shared" si="40"/>
        <v>45835</v>
      </c>
      <c r="Q53" s="78">
        <f t="shared" si="40"/>
        <v>45835</v>
      </c>
      <c r="R53" s="78"/>
      <c r="S53" s="78">
        <f>IF(VLOOKUP(A53,Dates,15,)&gt;0,VLOOKUP(A53,Dates,15,)+'Date Calcs'!S$2,IF(VLOOKUP(A53,Dates,13,)&gt;0,VLOOKUP(A53,Dates,13,)+'Date Calcs'!S$2,IF(VLOOKUP(A53,Dates,11,)&gt;0,VLOOKUP(A53,Dates,11,)+'Date Calcs'!S$2,IF(VLOOKUP(A53,Dates,9,)&gt;0,VLOOKUP(A53,Dates,9,)+'Date Calcs'!S$2,$I53+S$2))))+(V53*7)</f>
        <v>45868</v>
      </c>
      <c r="T53" s="78">
        <f t="shared" si="30"/>
        <v>45869</v>
      </c>
      <c r="U53" s="78">
        <f t="shared" si="31"/>
        <v>45873</v>
      </c>
      <c r="V53" s="105">
        <v>0</v>
      </c>
      <c r="W53" s="105">
        <v>0</v>
      </c>
      <c r="X53" s="78">
        <f t="shared" si="32"/>
        <v>46111</v>
      </c>
      <c r="Y53" s="78">
        <f t="shared" si="33"/>
        <v>45880</v>
      </c>
      <c r="Z53" s="78">
        <f t="shared" si="34"/>
        <v>45887</v>
      </c>
      <c r="AA53" s="78">
        <f t="shared" si="41"/>
        <v>45887</v>
      </c>
      <c r="AB53" s="78">
        <f t="shared" si="41"/>
        <v>45887</v>
      </c>
      <c r="AC53" s="78">
        <f t="shared" si="39"/>
        <v>45887</v>
      </c>
      <c r="AD53" s="78">
        <f t="shared" si="35"/>
        <v>45888</v>
      </c>
      <c r="AE53" s="78">
        <f t="shared" si="36"/>
        <v>45880</v>
      </c>
      <c r="AF53" s="78">
        <f t="shared" si="37"/>
        <v>45890</v>
      </c>
      <c r="AG53" s="78">
        <f t="shared" si="38"/>
        <v>46104</v>
      </c>
      <c r="AH53" s="78"/>
    </row>
    <row r="54" spans="1:34" x14ac:dyDescent="0.25">
      <c r="A54" s="103" t="s">
        <v>262</v>
      </c>
      <c r="B54" s="103" t="s">
        <v>250</v>
      </c>
      <c r="C54" s="104">
        <v>45821</v>
      </c>
      <c r="D54" s="103">
        <v>2</v>
      </c>
      <c r="E54" s="103">
        <v>3</v>
      </c>
      <c r="F54" s="103">
        <v>36</v>
      </c>
      <c r="G54" s="103">
        <v>38</v>
      </c>
      <c r="H54" s="78">
        <f t="shared" si="22"/>
        <v>45842</v>
      </c>
      <c r="I54" s="78">
        <f t="shared" si="23"/>
        <v>45861</v>
      </c>
      <c r="J54" s="78">
        <f t="shared" si="24"/>
        <v>45859</v>
      </c>
      <c r="K54" s="78">
        <f t="shared" si="25"/>
        <v>45868</v>
      </c>
      <c r="L54" s="78">
        <f t="shared" si="26"/>
        <v>45873</v>
      </c>
      <c r="M54" s="78">
        <f t="shared" si="27"/>
        <v>45880</v>
      </c>
      <c r="N54" s="78">
        <f t="shared" si="28"/>
        <v>45887</v>
      </c>
      <c r="O54" s="78">
        <f t="shared" si="29"/>
        <v>45894</v>
      </c>
      <c r="P54" s="78">
        <f t="shared" si="40"/>
        <v>45835</v>
      </c>
      <c r="Q54" s="78">
        <f t="shared" si="40"/>
        <v>45835</v>
      </c>
      <c r="R54" s="78"/>
      <c r="S54" s="78">
        <f>IF(VLOOKUP(A54,Dates,15,)&gt;0,VLOOKUP(A54,Dates,15,)+'Date Calcs'!S$2,IF(VLOOKUP(A54,Dates,13,)&gt;0,VLOOKUP(A54,Dates,13,)+'Date Calcs'!S$2,IF(VLOOKUP(A54,Dates,11,)&gt;0,VLOOKUP(A54,Dates,11,)+'Date Calcs'!S$2,IF(VLOOKUP(A54,Dates,9,)&gt;0,VLOOKUP(A54,Dates,9,)+'Date Calcs'!S$2,$I54+S$2))))+(V54*7)</f>
        <v>45868</v>
      </c>
      <c r="T54" s="78">
        <f t="shared" si="30"/>
        <v>45869</v>
      </c>
      <c r="U54" s="78">
        <f t="shared" si="31"/>
        <v>45873</v>
      </c>
      <c r="V54" s="105">
        <v>0</v>
      </c>
      <c r="W54" s="105">
        <v>0</v>
      </c>
      <c r="X54" s="78">
        <f t="shared" si="32"/>
        <v>46139</v>
      </c>
      <c r="Y54" s="78">
        <f t="shared" si="33"/>
        <v>45880</v>
      </c>
      <c r="Z54" s="78">
        <f t="shared" si="34"/>
        <v>45887</v>
      </c>
      <c r="AA54" s="78">
        <f t="shared" si="41"/>
        <v>45887</v>
      </c>
      <c r="AB54" s="78">
        <f t="shared" si="41"/>
        <v>45887</v>
      </c>
      <c r="AC54" s="78">
        <f t="shared" si="39"/>
        <v>45887</v>
      </c>
      <c r="AD54" s="78">
        <f t="shared" si="35"/>
        <v>45888</v>
      </c>
      <c r="AE54" s="78">
        <f t="shared" si="36"/>
        <v>45880</v>
      </c>
      <c r="AF54" s="78">
        <f t="shared" si="37"/>
        <v>45890</v>
      </c>
      <c r="AG54" s="78">
        <f t="shared" si="38"/>
        <v>46132</v>
      </c>
      <c r="AH54" s="78"/>
    </row>
    <row r="55" spans="1:34" x14ac:dyDescent="0.25">
      <c r="A55" s="103" t="s">
        <v>263</v>
      </c>
      <c r="B55" s="103" t="s">
        <v>250</v>
      </c>
      <c r="C55" s="104">
        <v>45821</v>
      </c>
      <c r="D55" s="103">
        <v>2</v>
      </c>
      <c r="E55" s="103">
        <v>3</v>
      </c>
      <c r="F55" s="103">
        <v>36</v>
      </c>
      <c r="G55" s="103">
        <v>38</v>
      </c>
      <c r="H55" s="78">
        <f t="shared" si="22"/>
        <v>45842</v>
      </c>
      <c r="I55" s="78">
        <f t="shared" si="23"/>
        <v>45861</v>
      </c>
      <c r="J55" s="78">
        <f t="shared" si="24"/>
        <v>45859</v>
      </c>
      <c r="K55" s="78">
        <f t="shared" si="25"/>
        <v>45868</v>
      </c>
      <c r="L55" s="78">
        <f t="shared" si="26"/>
        <v>45873</v>
      </c>
      <c r="M55" s="78">
        <f t="shared" si="27"/>
        <v>45880</v>
      </c>
      <c r="N55" s="78">
        <f t="shared" si="28"/>
        <v>45887</v>
      </c>
      <c r="O55" s="78">
        <f t="shared" si="29"/>
        <v>45894</v>
      </c>
      <c r="P55" s="78">
        <f t="shared" si="40"/>
        <v>45835</v>
      </c>
      <c r="Q55" s="78">
        <f t="shared" si="40"/>
        <v>45835</v>
      </c>
      <c r="R55" s="78"/>
      <c r="S55" s="78">
        <f>IF(VLOOKUP(A55,Dates,15,)&gt;0,VLOOKUP(A55,Dates,15,)+'Date Calcs'!S$2,IF(VLOOKUP(A55,Dates,13,)&gt;0,VLOOKUP(A55,Dates,13,)+'Date Calcs'!S$2,IF(VLOOKUP(A55,Dates,11,)&gt;0,VLOOKUP(A55,Dates,11,)+'Date Calcs'!S$2,IF(VLOOKUP(A55,Dates,9,)&gt;0,VLOOKUP(A55,Dates,9,)+'Date Calcs'!S$2,$I55+S$2))))+(V55*7)</f>
        <v>45868</v>
      </c>
      <c r="T55" s="78">
        <f t="shared" si="30"/>
        <v>45869</v>
      </c>
      <c r="U55" s="78">
        <f t="shared" si="31"/>
        <v>45873</v>
      </c>
      <c r="V55" s="105">
        <v>0</v>
      </c>
      <c r="W55" s="105">
        <v>0</v>
      </c>
      <c r="X55" s="78">
        <f t="shared" si="32"/>
        <v>46139</v>
      </c>
      <c r="Y55" s="78">
        <f t="shared" si="33"/>
        <v>45880</v>
      </c>
      <c r="Z55" s="78">
        <f t="shared" si="34"/>
        <v>45887</v>
      </c>
      <c r="AA55" s="78">
        <f t="shared" si="41"/>
        <v>45887</v>
      </c>
      <c r="AB55" s="78">
        <f t="shared" si="41"/>
        <v>45887</v>
      </c>
      <c r="AC55" s="78">
        <f t="shared" si="39"/>
        <v>45887</v>
      </c>
      <c r="AD55" s="78">
        <f t="shared" si="35"/>
        <v>45888</v>
      </c>
      <c r="AE55" s="78">
        <f t="shared" si="36"/>
        <v>45880</v>
      </c>
      <c r="AF55" s="78">
        <f t="shared" si="37"/>
        <v>45890</v>
      </c>
      <c r="AG55" s="78">
        <f t="shared" si="38"/>
        <v>46132</v>
      </c>
      <c r="AH55" s="78"/>
    </row>
    <row r="56" spans="1:34" x14ac:dyDescent="0.25">
      <c r="A56" s="103" t="s">
        <v>264</v>
      </c>
      <c r="B56" s="103" t="s">
        <v>250</v>
      </c>
      <c r="C56" s="104">
        <v>45821</v>
      </c>
      <c r="D56" s="103">
        <v>2</v>
      </c>
      <c r="E56" s="103">
        <v>3</v>
      </c>
      <c r="F56" s="103">
        <v>40</v>
      </c>
      <c r="G56" s="103">
        <v>42</v>
      </c>
      <c r="H56" s="78">
        <f t="shared" si="22"/>
        <v>45842</v>
      </c>
      <c r="I56" s="78">
        <f t="shared" si="23"/>
        <v>45861</v>
      </c>
      <c r="J56" s="78">
        <f t="shared" si="24"/>
        <v>45859</v>
      </c>
      <c r="K56" s="78">
        <f t="shared" si="25"/>
        <v>45868</v>
      </c>
      <c r="L56" s="78">
        <f t="shared" si="26"/>
        <v>45873</v>
      </c>
      <c r="M56" s="78">
        <f t="shared" si="27"/>
        <v>45880</v>
      </c>
      <c r="N56" s="78">
        <f t="shared" si="28"/>
        <v>45887</v>
      </c>
      <c r="O56" s="78">
        <f t="shared" si="29"/>
        <v>45894</v>
      </c>
      <c r="P56" s="78">
        <f t="shared" si="40"/>
        <v>45835</v>
      </c>
      <c r="Q56" s="78">
        <f t="shared" si="40"/>
        <v>45835</v>
      </c>
      <c r="R56" s="78"/>
      <c r="S56" s="78">
        <f>IF(VLOOKUP(A56,Dates,15,)&gt;0,VLOOKUP(A56,Dates,15,)+'Date Calcs'!S$2,IF(VLOOKUP(A56,Dates,13,)&gt;0,VLOOKUP(A56,Dates,13,)+'Date Calcs'!S$2,IF(VLOOKUP(A56,Dates,11,)&gt;0,VLOOKUP(A56,Dates,11,)+'Date Calcs'!S$2,IF(VLOOKUP(A56,Dates,9,)&gt;0,VLOOKUP(A56,Dates,9,)+'Date Calcs'!S$2,$I56+S$2))))+(V56*7)</f>
        <v>45868</v>
      </c>
      <c r="T56" s="78">
        <f t="shared" si="30"/>
        <v>45869</v>
      </c>
      <c r="U56" s="78">
        <f t="shared" si="31"/>
        <v>45873</v>
      </c>
      <c r="V56" s="105">
        <v>0</v>
      </c>
      <c r="W56" s="105">
        <v>0</v>
      </c>
      <c r="X56" s="78">
        <f t="shared" si="32"/>
        <v>46167</v>
      </c>
      <c r="Y56" s="78">
        <f t="shared" si="33"/>
        <v>45880</v>
      </c>
      <c r="Z56" s="78">
        <f t="shared" si="34"/>
        <v>45887</v>
      </c>
      <c r="AA56" s="78">
        <f t="shared" si="41"/>
        <v>45887</v>
      </c>
      <c r="AB56" s="78">
        <f t="shared" si="41"/>
        <v>45887</v>
      </c>
      <c r="AC56" s="78">
        <f t="shared" si="39"/>
        <v>45887</v>
      </c>
      <c r="AD56" s="78">
        <f t="shared" si="35"/>
        <v>45888</v>
      </c>
      <c r="AE56" s="78">
        <f t="shared" si="36"/>
        <v>45880</v>
      </c>
      <c r="AF56" s="78">
        <f t="shared" si="37"/>
        <v>45890</v>
      </c>
      <c r="AG56" s="78">
        <f t="shared" si="38"/>
        <v>46160</v>
      </c>
      <c r="AH56" s="78"/>
    </row>
    <row r="57" spans="1:34" x14ac:dyDescent="0.25">
      <c r="A57" s="103" t="s">
        <v>265</v>
      </c>
      <c r="B57" s="103" t="s">
        <v>250</v>
      </c>
      <c r="C57" s="104">
        <v>45821</v>
      </c>
      <c r="D57" s="103">
        <v>2</v>
      </c>
      <c r="E57" s="103">
        <v>3</v>
      </c>
      <c r="F57" s="103">
        <v>40</v>
      </c>
      <c r="G57" s="103">
        <v>42</v>
      </c>
      <c r="H57" s="78">
        <f t="shared" si="22"/>
        <v>45842</v>
      </c>
      <c r="I57" s="78">
        <f t="shared" si="23"/>
        <v>45861</v>
      </c>
      <c r="J57" s="78">
        <f t="shared" si="24"/>
        <v>45859</v>
      </c>
      <c r="K57" s="78">
        <f t="shared" si="25"/>
        <v>45868</v>
      </c>
      <c r="L57" s="78">
        <f t="shared" si="26"/>
        <v>45873</v>
      </c>
      <c r="M57" s="78">
        <f t="shared" si="27"/>
        <v>45880</v>
      </c>
      <c r="N57" s="78">
        <f t="shared" si="28"/>
        <v>45887</v>
      </c>
      <c r="O57" s="78">
        <f t="shared" si="29"/>
        <v>45894</v>
      </c>
      <c r="P57" s="78">
        <f t="shared" si="40"/>
        <v>45835</v>
      </c>
      <c r="Q57" s="78">
        <f t="shared" si="40"/>
        <v>45835</v>
      </c>
      <c r="R57" s="78"/>
      <c r="S57" s="78">
        <f>IF(VLOOKUP(A57,Dates,15,)&gt;0,VLOOKUP(A57,Dates,15,)+'Date Calcs'!S$2,IF(VLOOKUP(A57,Dates,13,)&gt;0,VLOOKUP(A57,Dates,13,)+'Date Calcs'!S$2,IF(VLOOKUP(A57,Dates,11,)&gt;0,VLOOKUP(A57,Dates,11,)+'Date Calcs'!S$2,IF(VLOOKUP(A57,Dates,9,)&gt;0,VLOOKUP(A57,Dates,9,)+'Date Calcs'!S$2,$I57+S$2))))+(V57*7)</f>
        <v>45868</v>
      </c>
      <c r="T57" s="78">
        <f t="shared" si="30"/>
        <v>45869</v>
      </c>
      <c r="U57" s="78">
        <f t="shared" si="31"/>
        <v>45873</v>
      </c>
      <c r="V57" s="105">
        <v>0</v>
      </c>
      <c r="W57" s="105">
        <v>0</v>
      </c>
      <c r="X57" s="78">
        <f t="shared" si="32"/>
        <v>46167</v>
      </c>
      <c r="Y57" s="78">
        <f t="shared" si="33"/>
        <v>45880</v>
      </c>
      <c r="Z57" s="78">
        <f t="shared" si="34"/>
        <v>45887</v>
      </c>
      <c r="AA57" s="78">
        <f t="shared" si="41"/>
        <v>45887</v>
      </c>
      <c r="AB57" s="78">
        <f t="shared" si="41"/>
        <v>45887</v>
      </c>
      <c r="AC57" s="78">
        <f t="shared" si="39"/>
        <v>45887</v>
      </c>
      <c r="AD57" s="78">
        <f t="shared" si="35"/>
        <v>45888</v>
      </c>
      <c r="AE57" s="78">
        <f t="shared" si="36"/>
        <v>45880</v>
      </c>
      <c r="AF57" s="78">
        <f t="shared" si="37"/>
        <v>45890</v>
      </c>
      <c r="AG57" s="78">
        <f t="shared" si="38"/>
        <v>46160</v>
      </c>
      <c r="AH57" s="78"/>
    </row>
    <row r="58" spans="1:34" x14ac:dyDescent="0.25">
      <c r="A58" s="103" t="s">
        <v>266</v>
      </c>
      <c r="B58" s="103" t="s">
        <v>267</v>
      </c>
      <c r="C58" s="104">
        <v>45824</v>
      </c>
      <c r="D58" s="103">
        <v>2</v>
      </c>
      <c r="E58" s="103">
        <v>3</v>
      </c>
      <c r="F58" s="103">
        <v>11</v>
      </c>
      <c r="G58" s="103">
        <v>13</v>
      </c>
      <c r="H58" s="78">
        <f t="shared" si="22"/>
        <v>45845</v>
      </c>
      <c r="I58" s="78">
        <f t="shared" si="23"/>
        <v>45855</v>
      </c>
      <c r="J58" s="78">
        <f t="shared" si="24"/>
        <v>45852</v>
      </c>
      <c r="K58" s="78">
        <f t="shared" si="25"/>
        <v>45859</v>
      </c>
      <c r="L58" s="78">
        <f t="shared" si="26"/>
        <v>45866</v>
      </c>
      <c r="M58" s="78">
        <f t="shared" si="27"/>
        <v>45873</v>
      </c>
      <c r="N58" s="78">
        <f t="shared" si="28"/>
        <v>45880</v>
      </c>
      <c r="O58" s="78">
        <f t="shared" si="29"/>
        <v>45887</v>
      </c>
      <c r="P58" s="78">
        <f t="shared" si="40"/>
        <v>45838</v>
      </c>
      <c r="Q58" s="78">
        <f t="shared" si="40"/>
        <v>45838</v>
      </c>
      <c r="R58" s="78"/>
      <c r="S58" s="78">
        <f>IF(VLOOKUP(A58,Dates,15,)&gt;0,VLOOKUP(A58,Dates,15,)+'Date Calcs'!S$2,IF(VLOOKUP(A58,Dates,13,)&gt;0,VLOOKUP(A58,Dates,13,)+'Date Calcs'!S$2,IF(VLOOKUP(A58,Dates,11,)&gt;0,VLOOKUP(A58,Dates,11,)+'Date Calcs'!S$2,IF(VLOOKUP(A58,Dates,9,)&gt;0,VLOOKUP(A58,Dates,9,)+'Date Calcs'!S$2,$I58+S$2))))+(V58*7)</f>
        <v>45847</v>
      </c>
      <c r="T58" s="78">
        <f t="shared" si="30"/>
        <v>45848</v>
      </c>
      <c r="U58" s="78">
        <f t="shared" si="31"/>
        <v>45852</v>
      </c>
      <c r="V58" s="105">
        <v>0</v>
      </c>
      <c r="W58" s="105">
        <v>0</v>
      </c>
      <c r="X58" s="78">
        <f t="shared" si="32"/>
        <v>45943</v>
      </c>
      <c r="Y58" s="78">
        <f t="shared" si="33"/>
        <v>45859</v>
      </c>
      <c r="Z58" s="78">
        <f t="shared" si="34"/>
        <v>45866</v>
      </c>
      <c r="AA58" s="78">
        <f t="shared" si="41"/>
        <v>45866</v>
      </c>
      <c r="AB58" s="78">
        <f t="shared" si="41"/>
        <v>45866</v>
      </c>
      <c r="AC58" s="78">
        <f t="shared" si="39"/>
        <v>45866</v>
      </c>
      <c r="AD58" s="78">
        <f t="shared" si="35"/>
        <v>45867</v>
      </c>
      <c r="AE58" s="78">
        <f t="shared" si="36"/>
        <v>45859</v>
      </c>
      <c r="AF58" s="78">
        <f t="shared" si="37"/>
        <v>45869</v>
      </c>
      <c r="AG58" s="78">
        <f t="shared" si="38"/>
        <v>45936</v>
      </c>
      <c r="AH58" s="78"/>
    </row>
    <row r="59" spans="1:34" x14ac:dyDescent="0.25">
      <c r="A59" s="103" t="s">
        <v>268</v>
      </c>
      <c r="B59" s="103" t="s">
        <v>267</v>
      </c>
      <c r="C59" s="104">
        <v>45824</v>
      </c>
      <c r="D59" s="103">
        <v>2</v>
      </c>
      <c r="E59" s="103">
        <v>3</v>
      </c>
      <c r="F59" s="103">
        <v>11</v>
      </c>
      <c r="G59" s="103">
        <v>13</v>
      </c>
      <c r="H59" s="78">
        <f t="shared" si="22"/>
        <v>45845</v>
      </c>
      <c r="I59" s="78">
        <f t="shared" si="23"/>
        <v>45855</v>
      </c>
      <c r="J59" s="78">
        <f t="shared" si="24"/>
        <v>45852</v>
      </c>
      <c r="K59" s="78">
        <f t="shared" si="25"/>
        <v>45859</v>
      </c>
      <c r="L59" s="78">
        <f t="shared" si="26"/>
        <v>45866</v>
      </c>
      <c r="M59" s="78">
        <f t="shared" si="27"/>
        <v>45873</v>
      </c>
      <c r="N59" s="78">
        <f t="shared" si="28"/>
        <v>45880</v>
      </c>
      <c r="O59" s="78">
        <f t="shared" si="29"/>
        <v>45887</v>
      </c>
      <c r="P59" s="78">
        <f t="shared" si="40"/>
        <v>45838</v>
      </c>
      <c r="Q59" s="78">
        <f t="shared" si="40"/>
        <v>45838</v>
      </c>
      <c r="R59" s="78"/>
      <c r="S59" s="78">
        <f>IF(VLOOKUP(A59,Dates,15,)&gt;0,VLOOKUP(A59,Dates,15,)+'Date Calcs'!S$2,IF(VLOOKUP(A59,Dates,13,)&gt;0,VLOOKUP(A59,Dates,13,)+'Date Calcs'!S$2,IF(VLOOKUP(A59,Dates,11,)&gt;0,VLOOKUP(A59,Dates,11,)+'Date Calcs'!S$2,IF(VLOOKUP(A59,Dates,9,)&gt;0,VLOOKUP(A59,Dates,9,)+'Date Calcs'!S$2,$I59+S$2))))+(V59*7)</f>
        <v>45847</v>
      </c>
      <c r="T59" s="78">
        <f t="shared" si="30"/>
        <v>45848</v>
      </c>
      <c r="U59" s="78">
        <f t="shared" si="31"/>
        <v>45852</v>
      </c>
      <c r="V59" s="105">
        <v>0</v>
      </c>
      <c r="W59" s="105">
        <v>0</v>
      </c>
      <c r="X59" s="78">
        <f t="shared" si="32"/>
        <v>45943</v>
      </c>
      <c r="Y59" s="78">
        <f t="shared" si="33"/>
        <v>45859</v>
      </c>
      <c r="Z59" s="78">
        <f t="shared" si="34"/>
        <v>45866</v>
      </c>
      <c r="AA59" s="78">
        <f t="shared" si="41"/>
        <v>45866</v>
      </c>
      <c r="AB59" s="78">
        <f t="shared" si="41"/>
        <v>45866</v>
      </c>
      <c r="AC59" s="78">
        <f t="shared" si="39"/>
        <v>45866</v>
      </c>
      <c r="AD59" s="78">
        <f t="shared" si="35"/>
        <v>45867</v>
      </c>
      <c r="AE59" s="78">
        <f t="shared" si="36"/>
        <v>45859</v>
      </c>
      <c r="AF59" s="78">
        <f t="shared" si="37"/>
        <v>45869</v>
      </c>
      <c r="AG59" s="78">
        <f t="shared" si="38"/>
        <v>45936</v>
      </c>
      <c r="AH59" s="78"/>
    </row>
    <row r="60" spans="1:34" x14ac:dyDescent="0.25">
      <c r="A60" s="103" t="s">
        <v>269</v>
      </c>
      <c r="B60" s="103" t="s">
        <v>270</v>
      </c>
      <c r="C60" s="104">
        <v>45824</v>
      </c>
      <c r="D60" s="103">
        <v>2</v>
      </c>
      <c r="E60" s="103">
        <v>3</v>
      </c>
      <c r="F60" s="103">
        <v>12</v>
      </c>
      <c r="G60" s="103">
        <v>14</v>
      </c>
      <c r="H60" s="78">
        <f t="shared" si="22"/>
        <v>45845</v>
      </c>
      <c r="I60" s="78">
        <f t="shared" si="23"/>
        <v>45868</v>
      </c>
      <c r="J60" s="78">
        <f t="shared" si="24"/>
        <v>45862</v>
      </c>
      <c r="K60" s="78">
        <f t="shared" si="25"/>
        <v>45867</v>
      </c>
      <c r="L60" s="78">
        <f t="shared" si="26"/>
        <v>45874</v>
      </c>
      <c r="M60" s="78">
        <f t="shared" si="27"/>
        <v>45881</v>
      </c>
      <c r="N60" s="78">
        <f t="shared" si="28"/>
        <v>45888</v>
      </c>
      <c r="O60" s="78">
        <f t="shared" si="29"/>
        <v>45895</v>
      </c>
      <c r="P60" s="78">
        <f t="shared" si="40"/>
        <v>45838</v>
      </c>
      <c r="Q60" s="78">
        <f t="shared" si="40"/>
        <v>45838</v>
      </c>
      <c r="R60" s="78"/>
      <c r="S60" s="78">
        <f>IF(VLOOKUP(A60,Dates,15,)&gt;0,VLOOKUP(A60,Dates,15,)+'Date Calcs'!S$2,IF(VLOOKUP(A60,Dates,13,)&gt;0,VLOOKUP(A60,Dates,13,)+'Date Calcs'!S$2,IF(VLOOKUP(A60,Dates,11,)&gt;0,VLOOKUP(A60,Dates,11,)+'Date Calcs'!S$2,IF(VLOOKUP(A60,Dates,9,)&gt;0,VLOOKUP(A60,Dates,9,)+'Date Calcs'!S$2,$I60+S$2))))+(V60*7)</f>
        <v>45857</v>
      </c>
      <c r="T60" s="78">
        <f t="shared" si="30"/>
        <v>45858</v>
      </c>
      <c r="U60" s="78">
        <f t="shared" si="31"/>
        <v>45862</v>
      </c>
      <c r="V60" s="105">
        <v>0</v>
      </c>
      <c r="W60" s="105">
        <v>0</v>
      </c>
      <c r="X60" s="78">
        <f t="shared" si="32"/>
        <v>45960</v>
      </c>
      <c r="Y60" s="78">
        <f t="shared" si="33"/>
        <v>45869</v>
      </c>
      <c r="Z60" s="78">
        <f t="shared" si="34"/>
        <v>45876</v>
      </c>
      <c r="AA60" s="78">
        <f t="shared" si="41"/>
        <v>45876</v>
      </c>
      <c r="AB60" s="78">
        <f t="shared" si="41"/>
        <v>45876</v>
      </c>
      <c r="AC60" s="78">
        <f t="shared" si="39"/>
        <v>45876</v>
      </c>
      <c r="AD60" s="78">
        <f t="shared" si="35"/>
        <v>45877</v>
      </c>
      <c r="AE60" s="78">
        <f t="shared" si="36"/>
        <v>45869</v>
      </c>
      <c r="AF60" s="78">
        <f t="shared" si="37"/>
        <v>45879</v>
      </c>
      <c r="AG60" s="78">
        <f t="shared" si="38"/>
        <v>45953</v>
      </c>
      <c r="AH60" s="78"/>
    </row>
    <row r="61" spans="1:34" x14ac:dyDescent="0.25">
      <c r="A61" s="103" t="s">
        <v>271</v>
      </c>
      <c r="B61" s="103" t="s">
        <v>270</v>
      </c>
      <c r="C61" s="104">
        <v>45824</v>
      </c>
      <c r="D61" s="103">
        <v>2</v>
      </c>
      <c r="E61" s="103">
        <v>3</v>
      </c>
      <c r="F61" s="103">
        <v>12</v>
      </c>
      <c r="G61" s="103">
        <v>14</v>
      </c>
      <c r="H61" s="78">
        <f t="shared" si="22"/>
        <v>45845</v>
      </c>
      <c r="I61" s="78">
        <f t="shared" si="23"/>
        <v>45868</v>
      </c>
      <c r="J61" s="78">
        <f t="shared" si="24"/>
        <v>45866</v>
      </c>
      <c r="K61" s="78">
        <f t="shared" si="25"/>
        <v>45875</v>
      </c>
      <c r="L61" s="78">
        <f t="shared" si="26"/>
        <v>45891</v>
      </c>
      <c r="M61" s="78">
        <f t="shared" si="27"/>
        <v>45895</v>
      </c>
      <c r="N61" s="78">
        <f t="shared" si="28"/>
        <v>45902</v>
      </c>
      <c r="O61" s="78">
        <f t="shared" si="29"/>
        <v>45909</v>
      </c>
      <c r="P61" s="78">
        <f t="shared" si="40"/>
        <v>45838</v>
      </c>
      <c r="Q61" s="78">
        <f t="shared" si="40"/>
        <v>45838</v>
      </c>
      <c r="R61" s="78"/>
      <c r="S61" s="78">
        <f>IF(VLOOKUP(A61,Dates,15,)&gt;0,VLOOKUP(A61,Dates,15,)+'Date Calcs'!S$2,IF(VLOOKUP(A61,Dates,13,)&gt;0,VLOOKUP(A61,Dates,13,)+'Date Calcs'!S$2,IF(VLOOKUP(A61,Dates,11,)&gt;0,VLOOKUP(A61,Dates,11,)+'Date Calcs'!S$2,IF(VLOOKUP(A61,Dates,9,)&gt;0,VLOOKUP(A61,Dates,9,)+'Date Calcs'!S$2,$I61+S$2))))+(V61*7)</f>
        <v>45886</v>
      </c>
      <c r="T61" s="78">
        <f t="shared" si="30"/>
        <v>45887</v>
      </c>
      <c r="U61" s="78">
        <f t="shared" si="31"/>
        <v>45891</v>
      </c>
      <c r="V61" s="105">
        <v>0</v>
      </c>
      <c r="W61" s="105">
        <v>0</v>
      </c>
      <c r="X61" s="78">
        <f t="shared" si="32"/>
        <v>45989</v>
      </c>
      <c r="Y61" s="78">
        <f t="shared" si="33"/>
        <v>45898</v>
      </c>
      <c r="Z61" s="78">
        <f t="shared" si="34"/>
        <v>45905</v>
      </c>
      <c r="AA61" s="78">
        <f t="shared" si="41"/>
        <v>45905</v>
      </c>
      <c r="AB61" s="78">
        <f t="shared" si="41"/>
        <v>45905</v>
      </c>
      <c r="AC61" s="78">
        <f t="shared" si="39"/>
        <v>45905</v>
      </c>
      <c r="AD61" s="78">
        <f t="shared" si="35"/>
        <v>45906</v>
      </c>
      <c r="AE61" s="78">
        <f t="shared" si="36"/>
        <v>45898</v>
      </c>
      <c r="AF61" s="78">
        <f t="shared" si="37"/>
        <v>45908</v>
      </c>
      <c r="AG61" s="78">
        <f t="shared" si="38"/>
        <v>45982</v>
      </c>
      <c r="AH61" s="78"/>
    </row>
    <row r="62" spans="1:34" x14ac:dyDescent="0.25">
      <c r="A62" s="103" t="s">
        <v>272</v>
      </c>
      <c r="B62" s="103" t="s">
        <v>273</v>
      </c>
      <c r="C62" s="104">
        <v>45825</v>
      </c>
      <c r="D62" s="103">
        <v>2</v>
      </c>
      <c r="E62" s="103">
        <v>4</v>
      </c>
      <c r="F62" s="103">
        <v>22</v>
      </c>
      <c r="G62" s="103">
        <v>26</v>
      </c>
      <c r="H62" s="78">
        <f t="shared" si="22"/>
        <v>45853</v>
      </c>
      <c r="I62" s="78">
        <f t="shared" si="23"/>
        <v>45880</v>
      </c>
      <c r="J62" s="78">
        <f t="shared" si="24"/>
        <v>45888</v>
      </c>
      <c r="K62" s="78">
        <f t="shared" si="25"/>
        <v>45895</v>
      </c>
      <c r="L62" s="78">
        <f t="shared" si="26"/>
        <v>45902</v>
      </c>
      <c r="M62" s="78">
        <f t="shared" si="27"/>
        <v>45909</v>
      </c>
      <c r="N62" s="78">
        <f t="shared" si="28"/>
        <v>45916</v>
      </c>
      <c r="O62" s="78">
        <f t="shared" si="29"/>
        <v>45923</v>
      </c>
      <c r="P62" s="78">
        <f t="shared" si="40"/>
        <v>45839</v>
      </c>
      <c r="Q62" s="78">
        <f t="shared" si="40"/>
        <v>45839</v>
      </c>
      <c r="R62" s="78"/>
      <c r="S62" s="78">
        <f>IF(VLOOKUP(A62,Dates,15,)&gt;0,VLOOKUP(A62,Dates,15,)+'Date Calcs'!S$2,IF(VLOOKUP(A62,Dates,13,)&gt;0,VLOOKUP(A62,Dates,13,)+'Date Calcs'!S$2,IF(VLOOKUP(A62,Dates,11,)&gt;0,VLOOKUP(A62,Dates,11,)+'Date Calcs'!S$2,IF(VLOOKUP(A62,Dates,9,)&gt;0,VLOOKUP(A62,Dates,9,)+'Date Calcs'!S$2,$I62+S$2))))+(V62*7)</f>
        <v>45883</v>
      </c>
      <c r="T62" s="78">
        <f t="shared" si="30"/>
        <v>45884</v>
      </c>
      <c r="U62" s="78">
        <f t="shared" si="31"/>
        <v>45888</v>
      </c>
      <c r="V62" s="105">
        <v>0</v>
      </c>
      <c r="W62" s="105">
        <v>0</v>
      </c>
      <c r="X62" s="78">
        <f t="shared" si="32"/>
        <v>46070</v>
      </c>
      <c r="Y62" s="78">
        <f t="shared" si="33"/>
        <v>45895</v>
      </c>
      <c r="Z62" s="78">
        <f t="shared" si="34"/>
        <v>45902</v>
      </c>
      <c r="AA62" s="78">
        <f t="shared" si="41"/>
        <v>45902</v>
      </c>
      <c r="AB62" s="78">
        <f t="shared" si="41"/>
        <v>45902</v>
      </c>
      <c r="AC62" s="78">
        <f t="shared" si="39"/>
        <v>45902</v>
      </c>
      <c r="AD62" s="78">
        <f t="shared" si="35"/>
        <v>45903</v>
      </c>
      <c r="AE62" s="78">
        <f t="shared" si="36"/>
        <v>45895</v>
      </c>
      <c r="AF62" s="78">
        <f t="shared" si="37"/>
        <v>45905</v>
      </c>
      <c r="AG62" s="78">
        <f t="shared" si="38"/>
        <v>46063</v>
      </c>
      <c r="AH62" s="78"/>
    </row>
    <row r="63" spans="1:34" x14ac:dyDescent="0.25">
      <c r="A63" s="103" t="s">
        <v>274</v>
      </c>
      <c r="B63" s="103" t="s">
        <v>275</v>
      </c>
      <c r="C63" s="104">
        <v>45833</v>
      </c>
      <c r="D63" s="103">
        <v>2</v>
      </c>
      <c r="E63" s="103">
        <v>3</v>
      </c>
      <c r="F63" s="103">
        <v>22</v>
      </c>
      <c r="G63" s="103">
        <v>26</v>
      </c>
      <c r="H63" s="78">
        <f t="shared" si="22"/>
        <v>45854</v>
      </c>
      <c r="I63" s="78">
        <f t="shared" si="23"/>
        <v>45875</v>
      </c>
      <c r="J63" s="78">
        <f t="shared" si="24"/>
        <v>45882</v>
      </c>
      <c r="K63" s="78">
        <f t="shared" si="25"/>
        <v>45890</v>
      </c>
      <c r="L63" s="78">
        <f t="shared" si="26"/>
        <v>45894</v>
      </c>
      <c r="M63" s="78">
        <f t="shared" si="27"/>
        <v>45901</v>
      </c>
      <c r="N63" s="78">
        <f t="shared" si="28"/>
        <v>45908</v>
      </c>
      <c r="O63" s="78">
        <f t="shared" si="29"/>
        <v>45915</v>
      </c>
      <c r="P63" s="78">
        <f t="shared" si="40"/>
        <v>45847</v>
      </c>
      <c r="Q63" s="78">
        <f t="shared" si="40"/>
        <v>45847</v>
      </c>
      <c r="R63" s="78"/>
      <c r="S63" s="78">
        <f>IF(VLOOKUP(A63,Dates,15,)&gt;0,VLOOKUP(A63,Dates,15,)+'Date Calcs'!S$2,IF(VLOOKUP(A63,Dates,13,)&gt;0,VLOOKUP(A63,Dates,13,)+'Date Calcs'!S$2,IF(VLOOKUP(A63,Dates,11,)&gt;0,VLOOKUP(A63,Dates,11,)+'Date Calcs'!S$2,IF(VLOOKUP(A63,Dates,9,)&gt;0,VLOOKUP(A63,Dates,9,)+'Date Calcs'!S$2,$I63+S$2))))+(V63*7)</f>
        <v>45889</v>
      </c>
      <c r="T63" s="78">
        <f t="shared" si="30"/>
        <v>45890</v>
      </c>
      <c r="U63" s="78">
        <f t="shared" si="31"/>
        <v>45894</v>
      </c>
      <c r="V63" s="105">
        <v>0</v>
      </c>
      <c r="W63" s="105">
        <v>0</v>
      </c>
      <c r="X63" s="78">
        <f t="shared" si="32"/>
        <v>46076</v>
      </c>
      <c r="Y63" s="78">
        <f t="shared" si="33"/>
        <v>45901</v>
      </c>
      <c r="Z63" s="78">
        <f t="shared" si="34"/>
        <v>45908</v>
      </c>
      <c r="AA63" s="78">
        <f t="shared" si="41"/>
        <v>45908</v>
      </c>
      <c r="AB63" s="78">
        <f t="shared" si="41"/>
        <v>45908</v>
      </c>
      <c r="AC63" s="78">
        <f t="shared" si="39"/>
        <v>45908</v>
      </c>
      <c r="AD63" s="78">
        <f t="shared" si="35"/>
        <v>45909</v>
      </c>
      <c r="AE63" s="78">
        <f t="shared" si="36"/>
        <v>45901</v>
      </c>
      <c r="AF63" s="78">
        <f t="shared" si="37"/>
        <v>45911</v>
      </c>
      <c r="AG63" s="78">
        <f t="shared" si="38"/>
        <v>46069</v>
      </c>
      <c r="AH63" s="78"/>
    </row>
    <row r="64" spans="1:34" x14ac:dyDescent="0.25">
      <c r="A64" s="103" t="s">
        <v>276</v>
      </c>
      <c r="B64" s="103" t="s">
        <v>275</v>
      </c>
      <c r="C64" s="104">
        <v>45833</v>
      </c>
      <c r="D64" s="103">
        <v>2</v>
      </c>
      <c r="E64" s="103">
        <v>3</v>
      </c>
      <c r="F64" s="103">
        <v>22</v>
      </c>
      <c r="G64" s="103">
        <v>26</v>
      </c>
      <c r="H64" s="78">
        <f t="shared" si="22"/>
        <v>45854</v>
      </c>
      <c r="I64" s="78">
        <f t="shared" si="23"/>
        <v>45873</v>
      </c>
      <c r="J64" s="78">
        <f t="shared" si="24"/>
        <v>45877</v>
      </c>
      <c r="K64" s="78">
        <f t="shared" si="25"/>
        <v>45887</v>
      </c>
      <c r="L64" s="78">
        <f t="shared" si="26"/>
        <v>45894</v>
      </c>
      <c r="M64" s="78">
        <f t="shared" si="27"/>
        <v>45901</v>
      </c>
      <c r="N64" s="78">
        <f t="shared" si="28"/>
        <v>45908</v>
      </c>
      <c r="O64" s="78">
        <f t="shared" si="29"/>
        <v>45915</v>
      </c>
      <c r="P64" s="78">
        <f t="shared" si="40"/>
        <v>45847</v>
      </c>
      <c r="Q64" s="78">
        <f t="shared" si="40"/>
        <v>45847</v>
      </c>
      <c r="R64" s="78"/>
      <c r="S64" s="78">
        <f>IF(VLOOKUP(A64,Dates,15,)&gt;0,VLOOKUP(A64,Dates,15,)+'Date Calcs'!S$2,IF(VLOOKUP(A64,Dates,13,)&gt;0,VLOOKUP(A64,Dates,13,)+'Date Calcs'!S$2,IF(VLOOKUP(A64,Dates,11,)&gt;0,VLOOKUP(A64,Dates,11,)+'Date Calcs'!S$2,IF(VLOOKUP(A64,Dates,9,)&gt;0,VLOOKUP(A64,Dates,9,)+'Date Calcs'!S$2,$I64+S$2))))+(V64*7)</f>
        <v>45889</v>
      </c>
      <c r="T64" s="78">
        <f t="shared" si="30"/>
        <v>45890</v>
      </c>
      <c r="U64" s="78">
        <f t="shared" si="31"/>
        <v>45894</v>
      </c>
      <c r="V64" s="105">
        <v>0</v>
      </c>
      <c r="W64" s="105">
        <v>0</v>
      </c>
      <c r="X64" s="78">
        <f t="shared" si="32"/>
        <v>46076</v>
      </c>
      <c r="Y64" s="78">
        <f t="shared" si="33"/>
        <v>45901</v>
      </c>
      <c r="Z64" s="78">
        <f t="shared" si="34"/>
        <v>45908</v>
      </c>
      <c r="AA64" s="78">
        <f t="shared" si="41"/>
        <v>45908</v>
      </c>
      <c r="AB64" s="78">
        <f t="shared" si="41"/>
        <v>45908</v>
      </c>
      <c r="AC64" s="78">
        <f t="shared" si="39"/>
        <v>45908</v>
      </c>
      <c r="AD64" s="78">
        <f t="shared" si="35"/>
        <v>45909</v>
      </c>
      <c r="AE64" s="78">
        <f t="shared" si="36"/>
        <v>45901</v>
      </c>
      <c r="AF64" s="78">
        <f t="shared" si="37"/>
        <v>45911</v>
      </c>
      <c r="AG64" s="78">
        <f t="shared" si="38"/>
        <v>46069</v>
      </c>
      <c r="AH64" s="78"/>
    </row>
    <row r="65" spans="1:34" x14ac:dyDescent="0.25">
      <c r="A65" s="103" t="s">
        <v>277</v>
      </c>
      <c r="B65" s="103" t="s">
        <v>275</v>
      </c>
      <c r="C65" s="104">
        <v>45833</v>
      </c>
      <c r="D65" s="103">
        <v>2</v>
      </c>
      <c r="E65" s="103">
        <v>3</v>
      </c>
      <c r="F65" s="103">
        <v>22</v>
      </c>
      <c r="G65" s="103">
        <v>26</v>
      </c>
      <c r="H65" s="78">
        <f t="shared" si="22"/>
        <v>45854</v>
      </c>
      <c r="I65" s="78">
        <f t="shared" si="23"/>
        <v>45873</v>
      </c>
      <c r="J65" s="78">
        <f t="shared" si="24"/>
        <v>45877</v>
      </c>
      <c r="K65" s="78">
        <f t="shared" si="25"/>
        <v>45887</v>
      </c>
      <c r="L65" s="78">
        <f t="shared" si="26"/>
        <v>45894</v>
      </c>
      <c r="M65" s="78">
        <f t="shared" si="27"/>
        <v>45901</v>
      </c>
      <c r="N65" s="78">
        <f t="shared" si="28"/>
        <v>45908</v>
      </c>
      <c r="O65" s="78">
        <f t="shared" si="29"/>
        <v>45915</v>
      </c>
      <c r="P65" s="78">
        <f t="shared" ref="P65:Q84" si="42">$C65+P$2</f>
        <v>45847</v>
      </c>
      <c r="Q65" s="78">
        <f t="shared" si="42"/>
        <v>45847</v>
      </c>
      <c r="R65" s="78"/>
      <c r="S65" s="78">
        <f>IF(VLOOKUP(A65,Dates,15,)&gt;0,VLOOKUP(A65,Dates,15,)+'Date Calcs'!S$2,IF(VLOOKUP(A65,Dates,13,)&gt;0,VLOOKUP(A65,Dates,13,)+'Date Calcs'!S$2,IF(VLOOKUP(A65,Dates,11,)&gt;0,VLOOKUP(A65,Dates,11,)+'Date Calcs'!S$2,IF(VLOOKUP(A65,Dates,9,)&gt;0,VLOOKUP(A65,Dates,9,)+'Date Calcs'!S$2,$I65+S$2))))+(V65*7)</f>
        <v>45889</v>
      </c>
      <c r="T65" s="78">
        <f t="shared" si="30"/>
        <v>45890</v>
      </c>
      <c r="U65" s="78">
        <f t="shared" si="31"/>
        <v>45894</v>
      </c>
      <c r="V65" s="105">
        <v>0</v>
      </c>
      <c r="W65" s="105">
        <v>0</v>
      </c>
      <c r="X65" s="78">
        <f t="shared" si="32"/>
        <v>46076</v>
      </c>
      <c r="Y65" s="78">
        <f t="shared" si="33"/>
        <v>45901</v>
      </c>
      <c r="Z65" s="78">
        <f t="shared" si="34"/>
        <v>45908</v>
      </c>
      <c r="AA65" s="78">
        <f t="shared" ref="AA65:AB81" si="43">Z65</f>
        <v>45908</v>
      </c>
      <c r="AB65" s="78">
        <f t="shared" si="43"/>
        <v>45908</v>
      </c>
      <c r="AC65" s="78">
        <f t="shared" si="39"/>
        <v>45908</v>
      </c>
      <c r="AD65" s="78">
        <f t="shared" si="35"/>
        <v>45909</v>
      </c>
      <c r="AE65" s="78">
        <f t="shared" si="36"/>
        <v>45901</v>
      </c>
      <c r="AF65" s="78">
        <f t="shared" si="37"/>
        <v>45911</v>
      </c>
      <c r="AG65" s="78">
        <f t="shared" si="38"/>
        <v>46069</v>
      </c>
      <c r="AH65" s="78"/>
    </row>
    <row r="66" spans="1:34" x14ac:dyDescent="0.25">
      <c r="A66" s="103" t="s">
        <v>278</v>
      </c>
      <c r="B66" s="103" t="s">
        <v>279</v>
      </c>
      <c r="C66" s="104">
        <v>45835</v>
      </c>
      <c r="D66" s="103">
        <v>2</v>
      </c>
      <c r="E66" s="103">
        <v>3</v>
      </c>
      <c r="F66" s="103">
        <v>22</v>
      </c>
      <c r="G66" s="103">
        <v>26</v>
      </c>
      <c r="H66" s="78">
        <f t="shared" si="22"/>
        <v>45856</v>
      </c>
      <c r="I66" s="78">
        <f t="shared" si="23"/>
        <v>45870</v>
      </c>
      <c r="J66" s="78">
        <f t="shared" si="24"/>
        <v>45876</v>
      </c>
      <c r="K66" s="78">
        <f t="shared" si="25"/>
        <v>45897</v>
      </c>
      <c r="L66" s="78">
        <f t="shared" si="26"/>
        <v>45904</v>
      </c>
      <c r="M66" s="78">
        <f t="shared" si="27"/>
        <v>45911</v>
      </c>
      <c r="N66" s="78">
        <f t="shared" si="28"/>
        <v>45918</v>
      </c>
      <c r="O66" s="78">
        <f t="shared" si="29"/>
        <v>45925</v>
      </c>
      <c r="P66" s="78">
        <f t="shared" si="42"/>
        <v>45849</v>
      </c>
      <c r="Q66" s="78">
        <f t="shared" si="42"/>
        <v>45849</v>
      </c>
      <c r="R66" s="78"/>
      <c r="S66" s="78">
        <f>IF(VLOOKUP(A66,Dates,15,)&gt;0,VLOOKUP(A66,Dates,15,)+'Date Calcs'!S$2,IF(VLOOKUP(A66,Dates,13,)&gt;0,VLOOKUP(A66,Dates,13,)+'Date Calcs'!S$2,IF(VLOOKUP(A66,Dates,11,)&gt;0,VLOOKUP(A66,Dates,11,)+'Date Calcs'!S$2,IF(VLOOKUP(A66,Dates,9,)&gt;0,VLOOKUP(A66,Dates,9,)+'Date Calcs'!S$2,$I66+S$2))))+(V66*7)</f>
        <v>45871</v>
      </c>
      <c r="T66" s="78">
        <f t="shared" si="30"/>
        <v>45872</v>
      </c>
      <c r="U66" s="78">
        <f t="shared" si="31"/>
        <v>45876</v>
      </c>
      <c r="V66" s="105">
        <v>0</v>
      </c>
      <c r="W66" s="105">
        <v>0</v>
      </c>
      <c r="X66" s="78">
        <f t="shared" si="32"/>
        <v>46058</v>
      </c>
      <c r="Y66" s="78">
        <f t="shared" si="33"/>
        <v>45883</v>
      </c>
      <c r="Z66" s="78">
        <f t="shared" si="34"/>
        <v>45890</v>
      </c>
      <c r="AA66" s="78">
        <f t="shared" si="43"/>
        <v>45890</v>
      </c>
      <c r="AB66" s="78">
        <f t="shared" si="43"/>
        <v>45890</v>
      </c>
      <c r="AC66" s="78">
        <f t="shared" si="39"/>
        <v>45890</v>
      </c>
      <c r="AD66" s="78">
        <f t="shared" si="35"/>
        <v>45891</v>
      </c>
      <c r="AE66" s="78">
        <f t="shared" si="36"/>
        <v>45883</v>
      </c>
      <c r="AF66" s="78">
        <f t="shared" si="37"/>
        <v>45893</v>
      </c>
      <c r="AG66" s="78">
        <f t="shared" si="38"/>
        <v>46051</v>
      </c>
      <c r="AH66" s="78"/>
    </row>
    <row r="67" spans="1:34" x14ac:dyDescent="0.25">
      <c r="A67" s="103" t="s">
        <v>280</v>
      </c>
      <c r="B67" s="103" t="s">
        <v>281</v>
      </c>
      <c r="C67" s="104">
        <v>45853</v>
      </c>
      <c r="D67" s="103">
        <v>2</v>
      </c>
      <c r="E67" s="103">
        <v>3</v>
      </c>
      <c r="F67" s="103">
        <v>22</v>
      </c>
      <c r="G67" s="103">
        <v>26</v>
      </c>
      <c r="H67" s="78">
        <f t="shared" si="22"/>
        <v>45874</v>
      </c>
      <c r="I67" s="78">
        <f t="shared" si="23"/>
        <v>45898</v>
      </c>
      <c r="J67" s="78">
        <f t="shared" si="24"/>
        <v>45951</v>
      </c>
      <c r="K67" s="78">
        <f t="shared" si="25"/>
        <v>45966</v>
      </c>
      <c r="L67" s="78">
        <f t="shared" si="26"/>
        <v>45967</v>
      </c>
      <c r="M67" s="78">
        <f t="shared" si="27"/>
        <v>45972</v>
      </c>
      <c r="N67" s="78">
        <f t="shared" si="28"/>
        <v>46062</v>
      </c>
      <c r="O67" s="78">
        <f t="shared" si="29"/>
        <v>46069</v>
      </c>
      <c r="P67" s="78">
        <f t="shared" si="42"/>
        <v>45867</v>
      </c>
      <c r="Q67" s="78">
        <f t="shared" si="42"/>
        <v>45867</v>
      </c>
      <c r="R67" s="78"/>
      <c r="S67" s="78">
        <f>IF(VLOOKUP(A67,Dates,15,)&gt;0,VLOOKUP(A67,Dates,15,)+'Date Calcs'!S$2,IF(VLOOKUP(A67,Dates,13,)&gt;0,VLOOKUP(A67,Dates,13,)+'Date Calcs'!S$2,IF(VLOOKUP(A67,Dates,11,)&gt;0,VLOOKUP(A67,Dates,11,)+'Date Calcs'!S$2,IF(VLOOKUP(A67,Dates,9,)&gt;0,VLOOKUP(A67,Dates,9,)+'Date Calcs'!S$2,$I67+S$2))))+(V67*7)</f>
        <v>46057</v>
      </c>
      <c r="T67" s="78">
        <f t="shared" si="30"/>
        <v>46058</v>
      </c>
      <c r="U67" s="78">
        <f t="shared" si="31"/>
        <v>46062</v>
      </c>
      <c r="V67" s="105">
        <v>0</v>
      </c>
      <c r="W67" s="105">
        <v>0</v>
      </c>
      <c r="X67" s="78">
        <f t="shared" si="32"/>
        <v>46244</v>
      </c>
      <c r="Y67" s="78">
        <f t="shared" si="33"/>
        <v>46069</v>
      </c>
      <c r="Z67" s="78">
        <f t="shared" si="34"/>
        <v>46076</v>
      </c>
      <c r="AA67" s="78">
        <f t="shared" si="43"/>
        <v>46076</v>
      </c>
      <c r="AB67" s="78">
        <f t="shared" si="43"/>
        <v>46076</v>
      </c>
      <c r="AC67" s="78">
        <f t="shared" si="39"/>
        <v>46076</v>
      </c>
      <c r="AD67" s="78">
        <f t="shared" si="35"/>
        <v>46077</v>
      </c>
      <c r="AE67" s="78">
        <f t="shared" si="36"/>
        <v>46069</v>
      </c>
      <c r="AF67" s="78">
        <f t="shared" si="37"/>
        <v>46079</v>
      </c>
      <c r="AG67" s="78">
        <f t="shared" si="38"/>
        <v>46237</v>
      </c>
      <c r="AH67" s="78"/>
    </row>
    <row r="68" spans="1:34" x14ac:dyDescent="0.25">
      <c r="A68" s="103" t="s">
        <v>282</v>
      </c>
      <c r="B68" s="103" t="s">
        <v>283</v>
      </c>
      <c r="C68" s="104">
        <v>45856</v>
      </c>
      <c r="D68" s="103">
        <v>2</v>
      </c>
      <c r="E68" s="103">
        <v>3</v>
      </c>
      <c r="F68" s="103">
        <v>13</v>
      </c>
      <c r="G68" s="103">
        <v>15</v>
      </c>
      <c r="H68" s="78">
        <f t="shared" si="22"/>
        <v>45877</v>
      </c>
      <c r="I68" s="78">
        <f t="shared" si="23"/>
        <v>45891</v>
      </c>
      <c r="J68" s="78">
        <f t="shared" si="24"/>
        <v>45887</v>
      </c>
      <c r="K68" s="78">
        <f t="shared" si="25"/>
        <v>45894</v>
      </c>
      <c r="L68" s="78">
        <f t="shared" si="26"/>
        <v>45952</v>
      </c>
      <c r="M68" s="78">
        <f t="shared" si="27"/>
        <v>45958</v>
      </c>
      <c r="N68" s="78">
        <f t="shared" si="28"/>
        <v>45961</v>
      </c>
      <c r="O68" s="78">
        <f t="shared" si="29"/>
        <v>45968</v>
      </c>
      <c r="P68" s="78">
        <f t="shared" si="42"/>
        <v>45870</v>
      </c>
      <c r="Q68" s="78">
        <f t="shared" si="42"/>
        <v>45870</v>
      </c>
      <c r="R68" s="78"/>
      <c r="S68" s="78">
        <f>IF(VLOOKUP(A68,Dates,15,)&gt;0,VLOOKUP(A68,Dates,15,)+'Date Calcs'!S$2,IF(VLOOKUP(A68,Dates,13,)&gt;0,VLOOKUP(A68,Dates,13,)+'Date Calcs'!S$2,IF(VLOOKUP(A68,Dates,11,)&gt;0,VLOOKUP(A68,Dates,11,)+'Date Calcs'!S$2,IF(VLOOKUP(A68,Dates,9,)&gt;0,VLOOKUP(A68,Dates,9,)+'Date Calcs'!S$2,$I68+S$2))))+(V68*7)</f>
        <v>45967</v>
      </c>
      <c r="T68" s="78">
        <f t="shared" si="30"/>
        <v>45968</v>
      </c>
      <c r="U68" s="78">
        <f t="shared" si="31"/>
        <v>45972</v>
      </c>
      <c r="V68" s="105">
        <v>0</v>
      </c>
      <c r="W68" s="105">
        <v>9</v>
      </c>
      <c r="X68" s="78">
        <f t="shared" si="32"/>
        <v>46140</v>
      </c>
      <c r="Y68" s="78">
        <f t="shared" si="33"/>
        <v>45979</v>
      </c>
      <c r="Z68" s="78">
        <f t="shared" si="34"/>
        <v>45986</v>
      </c>
      <c r="AA68" s="78">
        <f t="shared" si="43"/>
        <v>45986</v>
      </c>
      <c r="AB68" s="78">
        <f t="shared" si="43"/>
        <v>45986</v>
      </c>
      <c r="AC68" s="78">
        <f t="shared" si="39"/>
        <v>45986</v>
      </c>
      <c r="AD68" s="78">
        <f t="shared" si="35"/>
        <v>45987</v>
      </c>
      <c r="AE68" s="78">
        <f t="shared" si="36"/>
        <v>45979</v>
      </c>
      <c r="AF68" s="78">
        <f t="shared" si="37"/>
        <v>45989</v>
      </c>
      <c r="AG68" s="78">
        <f t="shared" si="38"/>
        <v>46070</v>
      </c>
      <c r="AH68" s="78"/>
    </row>
    <row r="69" spans="1:34" x14ac:dyDescent="0.25">
      <c r="A69" s="103" t="s">
        <v>284</v>
      </c>
      <c r="B69" s="103" t="s">
        <v>239</v>
      </c>
      <c r="C69" s="104">
        <v>45860</v>
      </c>
      <c r="D69" s="103">
        <v>2</v>
      </c>
      <c r="E69" s="103">
        <v>3</v>
      </c>
      <c r="F69" s="103">
        <v>14</v>
      </c>
      <c r="G69" s="103">
        <v>16</v>
      </c>
      <c r="H69" s="78">
        <f t="shared" ref="H69:H100" si="44">C69+E69*7</f>
        <v>45881</v>
      </c>
      <c r="I69" s="78">
        <f t="shared" ref="I69:I100" si="45">IF(VLOOKUP($A69,Dates,8,)=0,H69+I$2,VLOOKUP($A69,Dates,8,)+I$2)</f>
        <v>45895</v>
      </c>
      <c r="J69" s="78">
        <f t="shared" ref="J69:J100" si="46">IF(VLOOKUP(A69,Dates,9,)=0,I69+J$2,VLOOKUP(A69,Dates,9,)+J$2)</f>
        <v>45890</v>
      </c>
      <c r="K69" s="78">
        <f t="shared" ref="K69:K100" si="47">IF(VLOOKUP($A69,Dates,10,)=0,J69+K$2,VLOOKUP($A69,Dates,10,)+K$2)</f>
        <v>45895</v>
      </c>
      <c r="L69" s="78">
        <f t="shared" ref="L69:L100" si="48">IF(VLOOKUP($A69,Dates,11,)=0,K69+L$2,VLOOKUP($A69,Dates,11,)+L$2)</f>
        <v>45902</v>
      </c>
      <c r="M69" s="78">
        <f t="shared" ref="M69:M100" si="49">IF(VLOOKUP($A69,Dates,12,)=0,L69+M$2,VLOOKUP($A69,Dates,12,)+M$2)</f>
        <v>45909</v>
      </c>
      <c r="N69" s="78">
        <f t="shared" ref="N69:N100" si="50">IF(VLOOKUP($A69,Dates,13,)=0,M69+N$2,VLOOKUP($A69,Dates,13,)+N$2)</f>
        <v>45916</v>
      </c>
      <c r="O69" s="78">
        <f t="shared" ref="O69:O100" si="51">IF(VLOOKUP($A69,Dates,14,)=0,N69+O$2,VLOOKUP($A69,Dates,14,)+O$2)</f>
        <v>45923</v>
      </c>
      <c r="P69" s="78">
        <f t="shared" si="42"/>
        <v>45874</v>
      </c>
      <c r="Q69" s="78">
        <f t="shared" si="42"/>
        <v>45874</v>
      </c>
      <c r="R69" s="78"/>
      <c r="S69" s="78">
        <f>IF(VLOOKUP(A69,Dates,15,)&gt;0,VLOOKUP(A69,Dates,15,)+'Date Calcs'!S$2,IF(VLOOKUP(A69,Dates,13,)&gt;0,VLOOKUP(A69,Dates,13,)+'Date Calcs'!S$2,IF(VLOOKUP(A69,Dates,11,)&gt;0,VLOOKUP(A69,Dates,11,)+'Date Calcs'!S$2,IF(VLOOKUP(A69,Dates,9,)&gt;0,VLOOKUP(A69,Dates,9,)+'Date Calcs'!S$2,$I69+S$2))))+(V69*7)</f>
        <v>45885</v>
      </c>
      <c r="T69" s="78">
        <f t="shared" ref="T69:T100" si="52">$S69+T$2</f>
        <v>45886</v>
      </c>
      <c r="U69" s="78">
        <f t="shared" ref="U69:U100" si="53">S69+U$2-S$2</f>
        <v>45890</v>
      </c>
      <c r="V69" s="105">
        <v>0</v>
      </c>
      <c r="W69" s="105">
        <v>0</v>
      </c>
      <c r="X69" s="78">
        <f t="shared" ref="X69:X100" si="54">(G69*7)+(W69*7)+U69</f>
        <v>46002</v>
      </c>
      <c r="Y69" s="78">
        <f t="shared" ref="Y69:Y100" si="55">S69+Y$2-S$2</f>
        <v>45897</v>
      </c>
      <c r="Z69" s="78">
        <f t="shared" ref="Z69:Z100" si="56">S69+Z$2-S$2</f>
        <v>45904</v>
      </c>
      <c r="AA69" s="78">
        <f t="shared" si="43"/>
        <v>45904</v>
      </c>
      <c r="AB69" s="78">
        <f t="shared" si="43"/>
        <v>45904</v>
      </c>
      <c r="AC69" s="78">
        <f t="shared" si="39"/>
        <v>45904</v>
      </c>
      <c r="AD69" s="78">
        <f t="shared" ref="AD69:AD100" si="57">AB69+$AD$2</f>
        <v>45905</v>
      </c>
      <c r="AE69" s="78">
        <f t="shared" ref="AE69:AE100" si="58">U69+$AE$2</f>
        <v>45897</v>
      </c>
      <c r="AF69" s="78">
        <f t="shared" ref="AF69:AF100" si="59">IF(P69&gt;AD69,P69+$AD$2,AD69+$AF$2)</f>
        <v>45907</v>
      </c>
      <c r="AG69" s="78">
        <f t="shared" ref="AG69:AG100" si="60">S69-S$2+G69*7</f>
        <v>45995</v>
      </c>
      <c r="AH69" s="78"/>
    </row>
    <row r="70" spans="1:34" x14ac:dyDescent="0.25">
      <c r="A70" s="103" t="s">
        <v>285</v>
      </c>
      <c r="B70" s="103" t="s">
        <v>286</v>
      </c>
      <c r="C70" s="104">
        <v>45868</v>
      </c>
      <c r="D70" s="103">
        <v>0</v>
      </c>
      <c r="E70" s="103">
        <v>0</v>
      </c>
      <c r="F70" s="103">
        <v>22</v>
      </c>
      <c r="G70" s="103">
        <v>26</v>
      </c>
      <c r="H70" s="78">
        <f t="shared" si="44"/>
        <v>45868</v>
      </c>
      <c r="I70" s="78">
        <f t="shared" si="45"/>
        <v>46036</v>
      </c>
      <c r="J70" s="78">
        <f t="shared" si="46"/>
        <v>46029</v>
      </c>
      <c r="K70" s="78">
        <f t="shared" si="47"/>
        <v>46029</v>
      </c>
      <c r="L70" s="78">
        <f t="shared" si="48"/>
        <v>46029</v>
      </c>
      <c r="M70" s="78">
        <f t="shared" si="49"/>
        <v>46029</v>
      </c>
      <c r="N70" s="78">
        <f t="shared" si="50"/>
        <v>46029</v>
      </c>
      <c r="O70" s="78">
        <f t="shared" si="51"/>
        <v>46029</v>
      </c>
      <c r="P70" s="78">
        <f t="shared" si="42"/>
        <v>45882</v>
      </c>
      <c r="Q70" s="78">
        <f t="shared" si="42"/>
        <v>45882</v>
      </c>
      <c r="R70" s="78"/>
      <c r="S70" s="78">
        <f>IF(VLOOKUP(A70,Dates,15,)&gt;0,VLOOKUP(A70,Dates,15,)+'Date Calcs'!S$2,IF(VLOOKUP(A70,Dates,13,)&gt;0,VLOOKUP(A70,Dates,13,)+'Date Calcs'!S$2,IF(VLOOKUP(A70,Dates,11,)&gt;0,VLOOKUP(A70,Dates,11,)+'Date Calcs'!S$2,IF(VLOOKUP(A70,Dates,9,)&gt;0,VLOOKUP(A70,Dates,9,)+'Date Calcs'!S$2,$I70+S$2))))+(V70*7)</f>
        <v>46024</v>
      </c>
      <c r="T70" s="78">
        <f t="shared" si="52"/>
        <v>46025</v>
      </c>
      <c r="U70" s="78">
        <f t="shared" si="53"/>
        <v>46029</v>
      </c>
      <c r="V70" s="105">
        <v>0</v>
      </c>
      <c r="W70" s="105">
        <v>0</v>
      </c>
      <c r="X70" s="78">
        <f t="shared" si="54"/>
        <v>46211</v>
      </c>
      <c r="Y70" s="78">
        <f t="shared" si="55"/>
        <v>46036</v>
      </c>
      <c r="Z70" s="78">
        <f t="shared" si="56"/>
        <v>46043</v>
      </c>
      <c r="AA70" s="78">
        <f t="shared" si="43"/>
        <v>46043</v>
      </c>
      <c r="AB70" s="78">
        <f t="shared" si="43"/>
        <v>46043</v>
      </c>
      <c r="AC70" s="78">
        <f t="shared" ref="AC70:AC101" si="61">U70+$AC$2</f>
        <v>46043</v>
      </c>
      <c r="AD70" s="78">
        <f t="shared" si="57"/>
        <v>46044</v>
      </c>
      <c r="AE70" s="78">
        <f t="shared" si="58"/>
        <v>46036</v>
      </c>
      <c r="AF70" s="78">
        <f t="shared" si="59"/>
        <v>46046</v>
      </c>
      <c r="AG70" s="78">
        <f t="shared" si="60"/>
        <v>46204</v>
      </c>
      <c r="AH70" s="78"/>
    </row>
    <row r="71" spans="1:34" x14ac:dyDescent="0.25">
      <c r="A71" s="103" t="s">
        <v>287</v>
      </c>
      <c r="B71" s="103" t="s">
        <v>288</v>
      </c>
      <c r="C71" s="104">
        <v>45876</v>
      </c>
      <c r="D71" s="103">
        <v>2</v>
      </c>
      <c r="E71" s="103">
        <v>3</v>
      </c>
      <c r="F71" s="103">
        <v>10</v>
      </c>
      <c r="G71" s="103">
        <v>12</v>
      </c>
      <c r="H71" s="78">
        <f t="shared" si="44"/>
        <v>45897</v>
      </c>
      <c r="I71" s="78">
        <f t="shared" si="45"/>
        <v>45911</v>
      </c>
      <c r="J71" s="78">
        <f t="shared" si="46"/>
        <v>45915</v>
      </c>
      <c r="K71" s="78">
        <f t="shared" si="47"/>
        <v>45922</v>
      </c>
      <c r="L71" s="78">
        <f t="shared" si="48"/>
        <v>45929</v>
      </c>
      <c r="M71" s="78">
        <f t="shared" si="49"/>
        <v>45936</v>
      </c>
      <c r="N71" s="78">
        <f t="shared" si="50"/>
        <v>45943</v>
      </c>
      <c r="O71" s="78">
        <f t="shared" si="51"/>
        <v>45950</v>
      </c>
      <c r="P71" s="78">
        <f t="shared" si="42"/>
        <v>45890</v>
      </c>
      <c r="Q71" s="78">
        <f t="shared" si="42"/>
        <v>45890</v>
      </c>
      <c r="R71" s="78"/>
      <c r="S71" s="78">
        <f>IF(VLOOKUP(A71,Dates,15,)&gt;0,VLOOKUP(A71,Dates,15,)+'Date Calcs'!S$2,IF(VLOOKUP(A71,Dates,13,)&gt;0,VLOOKUP(A71,Dates,13,)+'Date Calcs'!S$2,IF(VLOOKUP(A71,Dates,11,)&gt;0,VLOOKUP(A71,Dates,11,)+'Date Calcs'!S$2,IF(VLOOKUP(A71,Dates,9,)&gt;0,VLOOKUP(A71,Dates,9,)+'Date Calcs'!S$2,$I71+S$2))))+(V71*7)</f>
        <v>45910</v>
      </c>
      <c r="T71" s="78">
        <f t="shared" si="52"/>
        <v>45911</v>
      </c>
      <c r="U71" s="78">
        <f t="shared" si="53"/>
        <v>45915</v>
      </c>
      <c r="V71" s="105">
        <v>0</v>
      </c>
      <c r="W71" s="105">
        <v>0</v>
      </c>
      <c r="X71" s="78">
        <f t="shared" si="54"/>
        <v>45999</v>
      </c>
      <c r="Y71" s="78">
        <f t="shared" si="55"/>
        <v>45922</v>
      </c>
      <c r="Z71" s="78">
        <f t="shared" si="56"/>
        <v>45929</v>
      </c>
      <c r="AA71" s="78">
        <f t="shared" si="43"/>
        <v>45929</v>
      </c>
      <c r="AB71" s="78">
        <f t="shared" si="43"/>
        <v>45929</v>
      </c>
      <c r="AC71" s="78">
        <f t="shared" si="61"/>
        <v>45929</v>
      </c>
      <c r="AD71" s="78">
        <f t="shared" si="57"/>
        <v>45930</v>
      </c>
      <c r="AE71" s="78">
        <f t="shared" si="58"/>
        <v>45922</v>
      </c>
      <c r="AF71" s="78">
        <f t="shared" si="59"/>
        <v>45932</v>
      </c>
      <c r="AG71" s="78">
        <f t="shared" si="60"/>
        <v>45992</v>
      </c>
      <c r="AH71" s="78"/>
    </row>
    <row r="72" spans="1:34" x14ac:dyDescent="0.25">
      <c r="A72" s="103" t="s">
        <v>289</v>
      </c>
      <c r="B72" s="103" t="s">
        <v>290</v>
      </c>
      <c r="C72" s="104">
        <v>45882</v>
      </c>
      <c r="D72" s="103">
        <v>2</v>
      </c>
      <c r="E72" s="103">
        <v>3</v>
      </c>
      <c r="F72" s="103">
        <v>6</v>
      </c>
      <c r="G72" s="103">
        <v>7</v>
      </c>
      <c r="H72" s="78">
        <f t="shared" si="44"/>
        <v>45903</v>
      </c>
      <c r="I72" s="78">
        <f t="shared" si="45"/>
        <v>45917</v>
      </c>
      <c r="J72" s="78">
        <f t="shared" si="46"/>
        <v>45916</v>
      </c>
      <c r="K72" s="78">
        <f t="shared" si="47"/>
        <v>45922</v>
      </c>
      <c r="L72" s="78">
        <f t="shared" si="48"/>
        <v>45929</v>
      </c>
      <c r="M72" s="78">
        <f t="shared" si="49"/>
        <v>45936</v>
      </c>
      <c r="N72" s="78">
        <f t="shared" si="50"/>
        <v>45943</v>
      </c>
      <c r="O72" s="78">
        <f t="shared" si="51"/>
        <v>45950</v>
      </c>
      <c r="P72" s="78">
        <f t="shared" si="42"/>
        <v>45896</v>
      </c>
      <c r="Q72" s="78">
        <f t="shared" si="42"/>
        <v>45896</v>
      </c>
      <c r="R72" s="78"/>
      <c r="S72" s="78">
        <f>IF(VLOOKUP(A72,Dates,15,)&gt;0,VLOOKUP(A72,Dates,15,)+'Date Calcs'!S$2,IF(VLOOKUP(A72,Dates,13,)&gt;0,VLOOKUP(A72,Dates,13,)+'Date Calcs'!S$2,IF(VLOOKUP(A72,Dates,11,)&gt;0,VLOOKUP(A72,Dates,11,)+'Date Calcs'!S$2,IF(VLOOKUP(A72,Dates,9,)&gt;0,VLOOKUP(A72,Dates,9,)+'Date Calcs'!S$2,$I72+S$2))))+(V72*7)</f>
        <v>45911</v>
      </c>
      <c r="T72" s="78">
        <f t="shared" si="52"/>
        <v>45912</v>
      </c>
      <c r="U72" s="78">
        <f t="shared" si="53"/>
        <v>45916</v>
      </c>
      <c r="V72" s="105">
        <v>0</v>
      </c>
      <c r="W72" s="105">
        <v>0</v>
      </c>
      <c r="X72" s="78">
        <f t="shared" si="54"/>
        <v>45965</v>
      </c>
      <c r="Y72" s="78">
        <f t="shared" si="55"/>
        <v>45923</v>
      </c>
      <c r="Z72" s="78">
        <f t="shared" si="56"/>
        <v>45930</v>
      </c>
      <c r="AA72" s="78">
        <f t="shared" si="43"/>
        <v>45930</v>
      </c>
      <c r="AB72" s="78">
        <f t="shared" si="43"/>
        <v>45930</v>
      </c>
      <c r="AC72" s="78">
        <f t="shared" si="61"/>
        <v>45930</v>
      </c>
      <c r="AD72" s="78">
        <f t="shared" si="57"/>
        <v>45931</v>
      </c>
      <c r="AE72" s="78">
        <f t="shared" si="58"/>
        <v>45923</v>
      </c>
      <c r="AF72" s="78">
        <f t="shared" si="59"/>
        <v>45933</v>
      </c>
      <c r="AG72" s="78">
        <f t="shared" si="60"/>
        <v>45958</v>
      </c>
      <c r="AH72" s="78"/>
    </row>
    <row r="73" spans="1:34" x14ac:dyDescent="0.25">
      <c r="A73" s="103" t="s">
        <v>291</v>
      </c>
      <c r="B73" s="103" t="s">
        <v>292</v>
      </c>
      <c r="C73" s="104">
        <v>45891</v>
      </c>
      <c r="D73" s="103">
        <v>3</v>
      </c>
      <c r="E73" s="103">
        <v>4.5</v>
      </c>
      <c r="F73" s="103">
        <v>20</v>
      </c>
      <c r="G73" s="103">
        <v>24</v>
      </c>
      <c r="H73" s="78">
        <f t="shared" si="44"/>
        <v>45922.5</v>
      </c>
      <c r="I73" s="78">
        <f t="shared" si="45"/>
        <v>45936</v>
      </c>
      <c r="J73" s="78">
        <f t="shared" si="46"/>
        <v>45989</v>
      </c>
      <c r="K73" s="78">
        <f t="shared" si="47"/>
        <v>46002</v>
      </c>
      <c r="L73" s="78">
        <f t="shared" si="48"/>
        <v>46009</v>
      </c>
      <c r="M73" s="78">
        <f t="shared" si="49"/>
        <v>46016</v>
      </c>
      <c r="N73" s="78">
        <f t="shared" si="50"/>
        <v>46023</v>
      </c>
      <c r="O73" s="78">
        <f t="shared" si="51"/>
        <v>46030</v>
      </c>
      <c r="P73" s="78">
        <f t="shared" si="42"/>
        <v>45905</v>
      </c>
      <c r="Q73" s="78">
        <f t="shared" si="42"/>
        <v>45905</v>
      </c>
      <c r="R73" s="78"/>
      <c r="S73" s="78">
        <f>IF(VLOOKUP(A73,Dates,15,)&gt;0,VLOOKUP(A73,Dates,15,)+'Date Calcs'!S$2,IF(VLOOKUP(A73,Dates,13,)&gt;0,VLOOKUP(A73,Dates,13,)+'Date Calcs'!S$2,IF(VLOOKUP(A73,Dates,11,)&gt;0,VLOOKUP(A73,Dates,11,)+'Date Calcs'!S$2,IF(VLOOKUP(A73,Dates,9,)&gt;0,VLOOKUP(A73,Dates,9,)+'Date Calcs'!S$2,$I73+S$2))))+(V73*7)</f>
        <v>45984</v>
      </c>
      <c r="T73" s="78">
        <f t="shared" si="52"/>
        <v>45985</v>
      </c>
      <c r="U73" s="78">
        <f t="shared" si="53"/>
        <v>45989</v>
      </c>
      <c r="V73" s="105">
        <v>0</v>
      </c>
      <c r="W73" s="105">
        <v>0</v>
      </c>
      <c r="X73" s="78">
        <f t="shared" si="54"/>
        <v>46157</v>
      </c>
      <c r="Y73" s="78">
        <f t="shared" si="55"/>
        <v>45996</v>
      </c>
      <c r="Z73" s="78">
        <f t="shared" si="56"/>
        <v>46003</v>
      </c>
      <c r="AA73" s="78">
        <f t="shared" si="43"/>
        <v>46003</v>
      </c>
      <c r="AB73" s="78">
        <f t="shared" si="43"/>
        <v>46003</v>
      </c>
      <c r="AC73" s="78">
        <f t="shared" si="61"/>
        <v>46003</v>
      </c>
      <c r="AD73" s="78">
        <f t="shared" si="57"/>
        <v>46004</v>
      </c>
      <c r="AE73" s="78">
        <f t="shared" si="58"/>
        <v>45996</v>
      </c>
      <c r="AF73" s="78">
        <f t="shared" si="59"/>
        <v>46006</v>
      </c>
      <c r="AG73" s="78">
        <f t="shared" si="60"/>
        <v>46150</v>
      </c>
      <c r="AH73" s="78"/>
    </row>
    <row r="74" spans="1:34" x14ac:dyDescent="0.25">
      <c r="A74" s="103" t="s">
        <v>293</v>
      </c>
      <c r="B74" s="103" t="s">
        <v>294</v>
      </c>
      <c r="C74" s="104">
        <v>45887</v>
      </c>
      <c r="D74" s="103">
        <v>1</v>
      </c>
      <c r="E74" s="103">
        <v>1</v>
      </c>
      <c r="F74" s="103">
        <v>2</v>
      </c>
      <c r="G74" s="103">
        <v>3</v>
      </c>
      <c r="H74" s="78">
        <f t="shared" si="44"/>
        <v>45894</v>
      </c>
      <c r="I74" s="78">
        <f t="shared" si="45"/>
        <v>45905</v>
      </c>
      <c r="J74" s="78">
        <f t="shared" si="46"/>
        <v>45912</v>
      </c>
      <c r="K74" s="78">
        <f t="shared" si="47"/>
        <v>45919</v>
      </c>
      <c r="L74" s="78">
        <f t="shared" si="48"/>
        <v>45926</v>
      </c>
      <c r="M74" s="78">
        <f t="shared" si="49"/>
        <v>45933</v>
      </c>
      <c r="N74" s="78">
        <f t="shared" si="50"/>
        <v>45940</v>
      </c>
      <c r="O74" s="78">
        <f t="shared" si="51"/>
        <v>45947</v>
      </c>
      <c r="P74" s="78">
        <f t="shared" si="42"/>
        <v>45901</v>
      </c>
      <c r="Q74" s="78">
        <f t="shared" si="42"/>
        <v>45901</v>
      </c>
      <c r="R74" s="78"/>
      <c r="S74" s="78">
        <f>IF(VLOOKUP(A74,Dates,15,)&gt;0,VLOOKUP(A74,Dates,15,)+'Date Calcs'!S$2,IF(VLOOKUP(A74,Dates,13,)&gt;0,VLOOKUP(A74,Dates,13,)+'Date Calcs'!S$2,IF(VLOOKUP(A74,Dates,11,)&gt;0,VLOOKUP(A74,Dates,11,)+'Date Calcs'!S$2,IF(VLOOKUP(A74,Dates,9,)&gt;0,VLOOKUP(A74,Dates,9,)+'Date Calcs'!S$2,$I74+S$2))))+(V74*7)</f>
        <v>45907</v>
      </c>
      <c r="T74" s="78">
        <f t="shared" si="52"/>
        <v>45908</v>
      </c>
      <c r="U74" s="78">
        <f t="shared" si="53"/>
        <v>45912</v>
      </c>
      <c r="V74" s="105">
        <v>0</v>
      </c>
      <c r="W74" s="105">
        <v>0</v>
      </c>
      <c r="X74" s="78">
        <f t="shared" si="54"/>
        <v>45933</v>
      </c>
      <c r="Y74" s="78">
        <f t="shared" si="55"/>
        <v>45919</v>
      </c>
      <c r="Z74" s="78">
        <f t="shared" si="56"/>
        <v>45926</v>
      </c>
      <c r="AA74" s="78">
        <f t="shared" si="43"/>
        <v>45926</v>
      </c>
      <c r="AB74" s="78">
        <f t="shared" si="43"/>
        <v>45926</v>
      </c>
      <c r="AC74" s="78">
        <f t="shared" si="61"/>
        <v>45926</v>
      </c>
      <c r="AD74" s="78">
        <f t="shared" si="57"/>
        <v>45927</v>
      </c>
      <c r="AE74" s="78">
        <f t="shared" si="58"/>
        <v>45919</v>
      </c>
      <c r="AF74" s="78">
        <f t="shared" si="59"/>
        <v>45929</v>
      </c>
      <c r="AG74" s="78">
        <f t="shared" si="60"/>
        <v>45926</v>
      </c>
      <c r="AH74" s="78"/>
    </row>
    <row r="75" spans="1:34" x14ac:dyDescent="0.25">
      <c r="A75" s="103" t="s">
        <v>295</v>
      </c>
      <c r="B75" s="103" t="s">
        <v>296</v>
      </c>
      <c r="C75" s="104">
        <v>45904</v>
      </c>
      <c r="D75" s="103">
        <v>1</v>
      </c>
      <c r="E75" s="103">
        <v>1</v>
      </c>
      <c r="F75" s="103">
        <v>1</v>
      </c>
      <c r="G75" s="103">
        <v>1</v>
      </c>
      <c r="H75" s="78">
        <f t="shared" si="44"/>
        <v>45911</v>
      </c>
      <c r="I75" s="78">
        <f t="shared" si="45"/>
        <v>46036</v>
      </c>
      <c r="J75" s="78">
        <f t="shared" si="46"/>
        <v>46029</v>
      </c>
      <c r="K75" s="78">
        <f t="shared" si="47"/>
        <v>46029</v>
      </c>
      <c r="L75" s="78">
        <f t="shared" si="48"/>
        <v>46029</v>
      </c>
      <c r="M75" s="78">
        <f t="shared" si="49"/>
        <v>46029</v>
      </c>
      <c r="N75" s="78">
        <f t="shared" si="50"/>
        <v>46029</v>
      </c>
      <c r="O75" s="78">
        <f t="shared" si="51"/>
        <v>46029</v>
      </c>
      <c r="P75" s="78">
        <f t="shared" si="42"/>
        <v>45918</v>
      </c>
      <c r="Q75" s="78">
        <f t="shared" si="42"/>
        <v>45918</v>
      </c>
      <c r="R75" s="78"/>
      <c r="S75" s="78">
        <f>IF(VLOOKUP(A75,Dates,15,)&gt;0,VLOOKUP(A75,Dates,15,)+'Date Calcs'!S$2,IF(VLOOKUP(A75,Dates,13,)&gt;0,VLOOKUP(A75,Dates,13,)+'Date Calcs'!S$2,IF(VLOOKUP(A75,Dates,11,)&gt;0,VLOOKUP(A75,Dates,11,)+'Date Calcs'!S$2,IF(VLOOKUP(A75,Dates,9,)&gt;0,VLOOKUP(A75,Dates,9,)+'Date Calcs'!S$2,$I75+S$2))))+(V75*7)</f>
        <v>46024</v>
      </c>
      <c r="T75" s="78">
        <f t="shared" si="52"/>
        <v>46025</v>
      </c>
      <c r="U75" s="78">
        <f t="shared" si="53"/>
        <v>46029</v>
      </c>
      <c r="V75" s="105">
        <v>0</v>
      </c>
      <c r="W75" s="105">
        <v>0</v>
      </c>
      <c r="X75" s="78">
        <f t="shared" si="54"/>
        <v>46036</v>
      </c>
      <c r="Y75" s="78">
        <f t="shared" si="55"/>
        <v>46036</v>
      </c>
      <c r="Z75" s="78">
        <f t="shared" si="56"/>
        <v>46043</v>
      </c>
      <c r="AA75" s="78">
        <f t="shared" si="43"/>
        <v>46043</v>
      </c>
      <c r="AB75" s="78">
        <f t="shared" si="43"/>
        <v>46043</v>
      </c>
      <c r="AC75" s="78">
        <f t="shared" si="61"/>
        <v>46043</v>
      </c>
      <c r="AD75" s="78">
        <f t="shared" si="57"/>
        <v>46044</v>
      </c>
      <c r="AE75" s="78">
        <f t="shared" si="58"/>
        <v>46036</v>
      </c>
      <c r="AF75" s="78">
        <f t="shared" si="59"/>
        <v>46046</v>
      </c>
      <c r="AG75" s="78">
        <f t="shared" si="60"/>
        <v>46029</v>
      </c>
      <c r="AH75" s="78"/>
    </row>
    <row r="76" spans="1:34" x14ac:dyDescent="0.25">
      <c r="A76" s="103" t="s">
        <v>297</v>
      </c>
      <c r="B76" s="103" t="s">
        <v>298</v>
      </c>
      <c r="C76" s="104">
        <v>45910</v>
      </c>
      <c r="D76" s="103">
        <v>3</v>
      </c>
      <c r="E76" s="103">
        <v>4</v>
      </c>
      <c r="F76" s="103">
        <v>16</v>
      </c>
      <c r="G76" s="103">
        <v>18</v>
      </c>
      <c r="H76" s="78">
        <f t="shared" si="44"/>
        <v>45938</v>
      </c>
      <c r="I76" s="78">
        <f t="shared" si="45"/>
        <v>45945</v>
      </c>
      <c r="J76" s="78">
        <f t="shared" si="46"/>
        <v>45944</v>
      </c>
      <c r="K76" s="78">
        <f t="shared" si="47"/>
        <v>45951</v>
      </c>
      <c r="L76" s="78">
        <f t="shared" si="48"/>
        <v>45960</v>
      </c>
      <c r="M76" s="78">
        <f t="shared" si="49"/>
        <v>45964</v>
      </c>
      <c r="N76" s="78">
        <f t="shared" si="50"/>
        <v>45971</v>
      </c>
      <c r="O76" s="78">
        <f t="shared" si="51"/>
        <v>45978</v>
      </c>
      <c r="P76" s="78">
        <f t="shared" si="42"/>
        <v>45924</v>
      </c>
      <c r="Q76" s="78">
        <f t="shared" si="42"/>
        <v>45924</v>
      </c>
      <c r="R76" s="78"/>
      <c r="S76" s="78">
        <f>IF(VLOOKUP(A76,Dates,15,)&gt;0,VLOOKUP(A76,Dates,15,)+'Date Calcs'!S$2,IF(VLOOKUP(A76,Dates,13,)&gt;0,VLOOKUP(A76,Dates,13,)+'Date Calcs'!S$2,IF(VLOOKUP(A76,Dates,11,)&gt;0,VLOOKUP(A76,Dates,11,)+'Date Calcs'!S$2,IF(VLOOKUP(A76,Dates,9,)&gt;0,VLOOKUP(A76,Dates,9,)+'Date Calcs'!S$2,$I76+S$2))))+(V76*7)</f>
        <v>45955</v>
      </c>
      <c r="T76" s="78">
        <f t="shared" si="52"/>
        <v>45956</v>
      </c>
      <c r="U76" s="78">
        <f t="shared" si="53"/>
        <v>45960</v>
      </c>
      <c r="V76" s="105">
        <v>0</v>
      </c>
      <c r="W76" s="105">
        <v>0</v>
      </c>
      <c r="X76" s="78">
        <f t="shared" si="54"/>
        <v>46086</v>
      </c>
      <c r="Y76" s="78">
        <f t="shared" si="55"/>
        <v>45967</v>
      </c>
      <c r="Z76" s="78">
        <f t="shared" si="56"/>
        <v>45974</v>
      </c>
      <c r="AA76" s="78">
        <f t="shared" si="43"/>
        <v>45974</v>
      </c>
      <c r="AB76" s="78">
        <f t="shared" si="43"/>
        <v>45974</v>
      </c>
      <c r="AC76" s="78">
        <f t="shared" si="61"/>
        <v>45974</v>
      </c>
      <c r="AD76" s="78">
        <f t="shared" si="57"/>
        <v>45975</v>
      </c>
      <c r="AE76" s="78">
        <f t="shared" si="58"/>
        <v>45967</v>
      </c>
      <c r="AF76" s="78">
        <f t="shared" si="59"/>
        <v>45977</v>
      </c>
      <c r="AG76" s="78">
        <f t="shared" si="60"/>
        <v>46079</v>
      </c>
      <c r="AH76" s="78"/>
    </row>
    <row r="77" spans="1:34" x14ac:dyDescent="0.25">
      <c r="A77" s="103" t="s">
        <v>299</v>
      </c>
      <c r="B77" s="103" t="s">
        <v>298</v>
      </c>
      <c r="C77" s="104">
        <v>45910</v>
      </c>
      <c r="D77" s="103">
        <v>3</v>
      </c>
      <c r="E77" s="103">
        <v>4</v>
      </c>
      <c r="F77" s="103">
        <v>16</v>
      </c>
      <c r="G77" s="103">
        <v>18</v>
      </c>
      <c r="H77" s="78">
        <f t="shared" si="44"/>
        <v>45938</v>
      </c>
      <c r="I77" s="78">
        <f t="shared" si="45"/>
        <v>45945</v>
      </c>
      <c r="J77" s="78">
        <f t="shared" si="46"/>
        <v>45944</v>
      </c>
      <c r="K77" s="78">
        <f t="shared" si="47"/>
        <v>45951</v>
      </c>
      <c r="L77" s="78">
        <f t="shared" si="48"/>
        <v>45960</v>
      </c>
      <c r="M77" s="78">
        <f t="shared" si="49"/>
        <v>45964</v>
      </c>
      <c r="N77" s="78">
        <f t="shared" si="50"/>
        <v>45971</v>
      </c>
      <c r="O77" s="78">
        <f t="shared" si="51"/>
        <v>45978</v>
      </c>
      <c r="P77" s="78">
        <f t="shared" si="42"/>
        <v>45924</v>
      </c>
      <c r="Q77" s="78">
        <f t="shared" si="42"/>
        <v>45924</v>
      </c>
      <c r="R77" s="78"/>
      <c r="S77" s="78">
        <f>IF(VLOOKUP(A77,Dates,15,)&gt;0,VLOOKUP(A77,Dates,15,)+'Date Calcs'!S$2,IF(VLOOKUP(A77,Dates,13,)&gt;0,VLOOKUP(A77,Dates,13,)+'Date Calcs'!S$2,IF(VLOOKUP(A77,Dates,11,)&gt;0,VLOOKUP(A77,Dates,11,)+'Date Calcs'!S$2,IF(VLOOKUP(A77,Dates,9,)&gt;0,VLOOKUP(A77,Dates,9,)+'Date Calcs'!S$2,$I77+S$2))))+(V77*7)</f>
        <v>45955</v>
      </c>
      <c r="T77" s="78">
        <f t="shared" si="52"/>
        <v>45956</v>
      </c>
      <c r="U77" s="78">
        <f t="shared" si="53"/>
        <v>45960</v>
      </c>
      <c r="V77" s="105">
        <v>0</v>
      </c>
      <c r="W77" s="105">
        <v>0</v>
      </c>
      <c r="X77" s="78">
        <f t="shared" si="54"/>
        <v>46086</v>
      </c>
      <c r="Y77" s="78">
        <f t="shared" si="55"/>
        <v>45967</v>
      </c>
      <c r="Z77" s="78">
        <f t="shared" si="56"/>
        <v>45974</v>
      </c>
      <c r="AA77" s="78">
        <f t="shared" si="43"/>
        <v>45974</v>
      </c>
      <c r="AB77" s="78">
        <f t="shared" si="43"/>
        <v>45974</v>
      </c>
      <c r="AC77" s="78">
        <f t="shared" si="61"/>
        <v>45974</v>
      </c>
      <c r="AD77" s="78">
        <f t="shared" si="57"/>
        <v>45975</v>
      </c>
      <c r="AE77" s="78">
        <f t="shared" si="58"/>
        <v>45967</v>
      </c>
      <c r="AF77" s="78">
        <f t="shared" si="59"/>
        <v>45977</v>
      </c>
      <c r="AG77" s="78">
        <f t="shared" si="60"/>
        <v>46079</v>
      </c>
      <c r="AH77" s="78"/>
    </row>
    <row r="78" spans="1:34" x14ac:dyDescent="0.25">
      <c r="A78" s="103" t="s">
        <v>300</v>
      </c>
      <c r="B78" s="103" t="s">
        <v>204</v>
      </c>
      <c r="C78" s="104">
        <v>45915</v>
      </c>
      <c r="D78" s="103">
        <v>2</v>
      </c>
      <c r="E78" s="103">
        <v>3</v>
      </c>
      <c r="F78" s="103">
        <v>12</v>
      </c>
      <c r="G78" s="103">
        <v>14</v>
      </c>
      <c r="H78" s="78">
        <f t="shared" si="44"/>
        <v>45936</v>
      </c>
      <c r="I78" s="78">
        <f t="shared" si="45"/>
        <v>45950</v>
      </c>
      <c r="J78" s="78">
        <f t="shared" si="46"/>
        <v>45957</v>
      </c>
      <c r="K78" s="78">
        <f t="shared" si="47"/>
        <v>45986</v>
      </c>
      <c r="L78" s="78">
        <f t="shared" si="48"/>
        <v>45993</v>
      </c>
      <c r="M78" s="78">
        <f t="shared" si="49"/>
        <v>46000</v>
      </c>
      <c r="N78" s="78">
        <f t="shared" si="50"/>
        <v>46007</v>
      </c>
      <c r="O78" s="78">
        <f t="shared" si="51"/>
        <v>46014</v>
      </c>
      <c r="P78" s="78">
        <f t="shared" si="42"/>
        <v>45929</v>
      </c>
      <c r="Q78" s="78">
        <f t="shared" si="42"/>
        <v>45929</v>
      </c>
      <c r="R78" s="78"/>
      <c r="S78" s="78">
        <f>IF(VLOOKUP(A78,Dates,15,)&gt;0,VLOOKUP(A78,Dates,15,)+'Date Calcs'!S$2,IF(VLOOKUP(A78,Dates,13,)&gt;0,VLOOKUP(A78,Dates,13,)+'Date Calcs'!S$2,IF(VLOOKUP(A78,Dates,11,)&gt;0,VLOOKUP(A78,Dates,11,)+'Date Calcs'!S$2,IF(VLOOKUP(A78,Dates,9,)&gt;0,VLOOKUP(A78,Dates,9,)+'Date Calcs'!S$2,$I78+S$2))))+(V78*7)</f>
        <v>45952</v>
      </c>
      <c r="T78" s="78">
        <f t="shared" si="52"/>
        <v>45953</v>
      </c>
      <c r="U78" s="78">
        <f t="shared" si="53"/>
        <v>45957</v>
      </c>
      <c r="V78" s="105">
        <v>0</v>
      </c>
      <c r="W78" s="105">
        <v>0</v>
      </c>
      <c r="X78" s="78">
        <f t="shared" si="54"/>
        <v>46055</v>
      </c>
      <c r="Y78" s="78">
        <f t="shared" si="55"/>
        <v>45964</v>
      </c>
      <c r="Z78" s="78">
        <f t="shared" si="56"/>
        <v>45971</v>
      </c>
      <c r="AA78" s="78">
        <f t="shared" si="43"/>
        <v>45971</v>
      </c>
      <c r="AB78" s="78">
        <f t="shared" si="43"/>
        <v>45971</v>
      </c>
      <c r="AC78" s="78">
        <f t="shared" si="61"/>
        <v>45971</v>
      </c>
      <c r="AD78" s="78">
        <f t="shared" si="57"/>
        <v>45972</v>
      </c>
      <c r="AE78" s="78">
        <f t="shared" si="58"/>
        <v>45964</v>
      </c>
      <c r="AF78" s="78">
        <f t="shared" si="59"/>
        <v>45974</v>
      </c>
      <c r="AG78" s="78">
        <f t="shared" si="60"/>
        <v>46048</v>
      </c>
      <c r="AH78" s="78"/>
    </row>
    <row r="79" spans="1:34" x14ac:dyDescent="0.25">
      <c r="A79" s="103" t="s">
        <v>301</v>
      </c>
      <c r="B79" s="103" t="s">
        <v>217</v>
      </c>
      <c r="C79" s="104">
        <v>45919</v>
      </c>
      <c r="D79" s="103">
        <v>3</v>
      </c>
      <c r="E79" s="103">
        <v>4</v>
      </c>
      <c r="F79" s="103">
        <v>1</v>
      </c>
      <c r="G79" s="103">
        <v>1</v>
      </c>
      <c r="H79" s="78">
        <f t="shared" si="44"/>
        <v>45947</v>
      </c>
      <c r="I79" s="78">
        <f t="shared" si="45"/>
        <v>45960</v>
      </c>
      <c r="J79" s="78">
        <f t="shared" si="46"/>
        <v>45980</v>
      </c>
      <c r="K79" s="78">
        <f t="shared" si="47"/>
        <v>45987</v>
      </c>
      <c r="L79" s="78">
        <f t="shared" si="48"/>
        <v>46062</v>
      </c>
      <c r="M79" s="78">
        <f t="shared" si="49"/>
        <v>46073</v>
      </c>
      <c r="N79" s="78">
        <f t="shared" si="50"/>
        <v>46115</v>
      </c>
      <c r="O79" s="78">
        <f t="shared" si="51"/>
        <v>46121</v>
      </c>
      <c r="P79" s="78">
        <f t="shared" si="42"/>
        <v>45933</v>
      </c>
      <c r="Q79" s="78">
        <f t="shared" si="42"/>
        <v>45933</v>
      </c>
      <c r="R79" s="78"/>
      <c r="S79" s="78">
        <f>IF(VLOOKUP(A79,Dates,15,)&gt;0,VLOOKUP(A79,Dates,15,)+'Date Calcs'!S$2,IF(VLOOKUP(A79,Dates,13,)&gt;0,VLOOKUP(A79,Dates,13,)+'Date Calcs'!S$2,IF(VLOOKUP(A79,Dates,11,)&gt;0,VLOOKUP(A79,Dates,11,)+'Date Calcs'!S$2,IF(VLOOKUP(A79,Dates,9,)&gt;0,VLOOKUP(A79,Dates,9,)+'Date Calcs'!S$2,$I79+S$2))))+(V79*7)</f>
        <v>46110</v>
      </c>
      <c r="T79" s="78">
        <f t="shared" si="52"/>
        <v>46111</v>
      </c>
      <c r="U79" s="78">
        <f t="shared" si="53"/>
        <v>46115</v>
      </c>
      <c r="V79" s="105">
        <v>0</v>
      </c>
      <c r="W79" s="105">
        <v>0</v>
      </c>
      <c r="X79" s="78">
        <f t="shared" si="54"/>
        <v>46122</v>
      </c>
      <c r="Y79" s="78">
        <f t="shared" si="55"/>
        <v>46122</v>
      </c>
      <c r="Z79" s="78">
        <f t="shared" si="56"/>
        <v>46129</v>
      </c>
      <c r="AA79" s="78">
        <f t="shared" si="43"/>
        <v>46129</v>
      </c>
      <c r="AB79" s="78">
        <f t="shared" si="43"/>
        <v>46129</v>
      </c>
      <c r="AC79" s="78">
        <f t="shared" si="61"/>
        <v>46129</v>
      </c>
      <c r="AD79" s="78">
        <f t="shared" si="57"/>
        <v>46130</v>
      </c>
      <c r="AE79" s="78">
        <f t="shared" si="58"/>
        <v>46122</v>
      </c>
      <c r="AF79" s="78">
        <f t="shared" si="59"/>
        <v>46132</v>
      </c>
      <c r="AG79" s="78">
        <f t="shared" si="60"/>
        <v>46115</v>
      </c>
      <c r="AH79" s="78"/>
    </row>
    <row r="80" spans="1:34" x14ac:dyDescent="0.25">
      <c r="A80" s="103" t="s">
        <v>302</v>
      </c>
      <c r="B80" s="103" t="s">
        <v>303</v>
      </c>
      <c r="C80" s="104">
        <v>45922</v>
      </c>
      <c r="D80" s="103">
        <v>2</v>
      </c>
      <c r="E80" s="103">
        <v>3</v>
      </c>
      <c r="F80" s="103">
        <v>10</v>
      </c>
      <c r="G80" s="103">
        <v>11</v>
      </c>
      <c r="H80" s="78">
        <f t="shared" si="44"/>
        <v>45943</v>
      </c>
      <c r="I80" s="78">
        <f t="shared" si="45"/>
        <v>45959</v>
      </c>
      <c r="J80" s="78">
        <f t="shared" si="46"/>
        <v>45953</v>
      </c>
      <c r="K80" s="78">
        <f t="shared" si="47"/>
        <v>45960</v>
      </c>
      <c r="L80" s="78">
        <f t="shared" si="48"/>
        <v>45967</v>
      </c>
      <c r="M80" s="78">
        <f t="shared" si="49"/>
        <v>45974</v>
      </c>
      <c r="N80" s="78">
        <f t="shared" si="50"/>
        <v>45981</v>
      </c>
      <c r="O80" s="78">
        <f t="shared" si="51"/>
        <v>45988</v>
      </c>
      <c r="P80" s="78">
        <f t="shared" si="42"/>
        <v>45936</v>
      </c>
      <c r="Q80" s="78">
        <f t="shared" si="42"/>
        <v>45936</v>
      </c>
      <c r="R80" s="78"/>
      <c r="S80" s="78">
        <f>IF(VLOOKUP(A80,Dates,15,)&gt;0,VLOOKUP(A80,Dates,15,)+'Date Calcs'!S$2,IF(VLOOKUP(A80,Dates,13,)&gt;0,VLOOKUP(A80,Dates,13,)+'Date Calcs'!S$2,IF(VLOOKUP(A80,Dates,11,)&gt;0,VLOOKUP(A80,Dates,11,)+'Date Calcs'!S$2,IF(VLOOKUP(A80,Dates,9,)&gt;0,VLOOKUP(A80,Dates,9,)+'Date Calcs'!S$2,$I80+S$2))))+(V80*7)</f>
        <v>45948</v>
      </c>
      <c r="T80" s="78">
        <f t="shared" si="52"/>
        <v>45949</v>
      </c>
      <c r="U80" s="78">
        <f t="shared" si="53"/>
        <v>45953</v>
      </c>
      <c r="V80" s="105">
        <v>0</v>
      </c>
      <c r="W80" s="105">
        <v>0</v>
      </c>
      <c r="X80" s="78">
        <f t="shared" si="54"/>
        <v>46030</v>
      </c>
      <c r="Y80" s="78">
        <f t="shared" si="55"/>
        <v>45960</v>
      </c>
      <c r="Z80" s="78">
        <f t="shared" si="56"/>
        <v>45967</v>
      </c>
      <c r="AA80" s="78">
        <f t="shared" si="43"/>
        <v>45967</v>
      </c>
      <c r="AB80" s="78">
        <f t="shared" si="43"/>
        <v>45967</v>
      </c>
      <c r="AC80" s="78">
        <f t="shared" si="61"/>
        <v>45967</v>
      </c>
      <c r="AD80" s="78">
        <f t="shared" si="57"/>
        <v>45968</v>
      </c>
      <c r="AE80" s="78">
        <f t="shared" si="58"/>
        <v>45960</v>
      </c>
      <c r="AF80" s="78">
        <f t="shared" si="59"/>
        <v>45970</v>
      </c>
      <c r="AG80" s="78">
        <f t="shared" si="60"/>
        <v>46023</v>
      </c>
      <c r="AH80" s="78"/>
    </row>
    <row r="81" spans="1:34" x14ac:dyDescent="0.25">
      <c r="A81" s="103" t="s">
        <v>304</v>
      </c>
      <c r="B81" s="103" t="s">
        <v>303</v>
      </c>
      <c r="C81" s="104">
        <v>45922</v>
      </c>
      <c r="D81" s="103">
        <v>2</v>
      </c>
      <c r="E81" s="103">
        <v>3</v>
      </c>
      <c r="F81" s="103">
        <v>10</v>
      </c>
      <c r="G81" s="103">
        <v>11</v>
      </c>
      <c r="H81" s="78">
        <f t="shared" si="44"/>
        <v>45943</v>
      </c>
      <c r="I81" s="78">
        <f t="shared" si="45"/>
        <v>45959</v>
      </c>
      <c r="J81" s="78">
        <f t="shared" si="46"/>
        <v>45953</v>
      </c>
      <c r="K81" s="78">
        <f t="shared" si="47"/>
        <v>45960</v>
      </c>
      <c r="L81" s="78">
        <f t="shared" si="48"/>
        <v>45967</v>
      </c>
      <c r="M81" s="78">
        <f t="shared" si="49"/>
        <v>45974</v>
      </c>
      <c r="N81" s="78">
        <f t="shared" si="50"/>
        <v>45981</v>
      </c>
      <c r="O81" s="78">
        <f t="shared" si="51"/>
        <v>45988</v>
      </c>
      <c r="P81" s="78">
        <f t="shared" si="42"/>
        <v>45936</v>
      </c>
      <c r="Q81" s="78">
        <f t="shared" si="42"/>
        <v>45936</v>
      </c>
      <c r="R81" s="78"/>
      <c r="S81" s="78">
        <f>IF(VLOOKUP(A81,Dates,15,)&gt;0,VLOOKUP(A81,Dates,15,)+'Date Calcs'!S$2,IF(VLOOKUP(A81,Dates,13,)&gt;0,VLOOKUP(A81,Dates,13,)+'Date Calcs'!S$2,IF(VLOOKUP(A81,Dates,11,)&gt;0,VLOOKUP(A81,Dates,11,)+'Date Calcs'!S$2,IF(VLOOKUP(A81,Dates,9,)&gt;0,VLOOKUP(A81,Dates,9,)+'Date Calcs'!S$2,$I81+S$2))))+(V81*7)</f>
        <v>45948</v>
      </c>
      <c r="T81" s="78">
        <f t="shared" si="52"/>
        <v>45949</v>
      </c>
      <c r="U81" s="78">
        <f t="shared" si="53"/>
        <v>45953</v>
      </c>
      <c r="V81" s="105">
        <v>0</v>
      </c>
      <c r="W81" s="105">
        <v>0</v>
      </c>
      <c r="X81" s="78">
        <f t="shared" si="54"/>
        <v>46030</v>
      </c>
      <c r="Y81" s="78">
        <f t="shared" si="55"/>
        <v>45960</v>
      </c>
      <c r="Z81" s="78">
        <f t="shared" si="56"/>
        <v>45967</v>
      </c>
      <c r="AA81" s="78">
        <f t="shared" si="43"/>
        <v>45967</v>
      </c>
      <c r="AB81" s="78">
        <f t="shared" si="43"/>
        <v>45967</v>
      </c>
      <c r="AC81" s="78">
        <f t="shared" si="61"/>
        <v>45967</v>
      </c>
      <c r="AD81" s="78">
        <f t="shared" si="57"/>
        <v>45968</v>
      </c>
      <c r="AE81" s="78">
        <f t="shared" si="58"/>
        <v>45960</v>
      </c>
      <c r="AF81" s="78">
        <f t="shared" si="59"/>
        <v>45970</v>
      </c>
      <c r="AG81" s="78">
        <f t="shared" si="60"/>
        <v>46023</v>
      </c>
      <c r="AH81" s="78"/>
    </row>
    <row r="82" spans="1:34" x14ac:dyDescent="0.25">
      <c r="A82" s="103" t="s">
        <v>305</v>
      </c>
      <c r="B82" s="103" t="s">
        <v>306</v>
      </c>
      <c r="C82" s="104">
        <v>45924</v>
      </c>
      <c r="D82" s="103">
        <v>3</v>
      </c>
      <c r="E82" s="103">
        <v>4</v>
      </c>
      <c r="F82" s="103">
        <v>16</v>
      </c>
      <c r="G82" s="103">
        <v>18</v>
      </c>
      <c r="H82" s="78">
        <f t="shared" si="44"/>
        <v>45952</v>
      </c>
      <c r="I82" s="78">
        <f t="shared" si="45"/>
        <v>45966</v>
      </c>
      <c r="J82" s="78">
        <f t="shared" si="46"/>
        <v>45961</v>
      </c>
      <c r="K82" s="78">
        <f t="shared" si="47"/>
        <v>45967</v>
      </c>
      <c r="L82" s="78">
        <f t="shared" si="48"/>
        <v>45974</v>
      </c>
      <c r="M82" s="78">
        <f t="shared" si="49"/>
        <v>45981</v>
      </c>
      <c r="N82" s="78">
        <f t="shared" si="50"/>
        <v>45988</v>
      </c>
      <c r="O82" s="78">
        <f t="shared" si="51"/>
        <v>45995</v>
      </c>
      <c r="P82" s="78">
        <f t="shared" si="42"/>
        <v>45938</v>
      </c>
      <c r="Q82" s="78">
        <f t="shared" si="42"/>
        <v>45938</v>
      </c>
      <c r="R82" s="78"/>
      <c r="S82" s="78">
        <f>IF(VLOOKUP(A82,Dates,15,)&gt;0,VLOOKUP(A82,Dates,15,)+'Date Calcs'!S$2,IF(VLOOKUP(A82,Dates,13,)&gt;0,VLOOKUP(A82,Dates,13,)+'Date Calcs'!S$2,IF(VLOOKUP(A82,Dates,11,)&gt;0,VLOOKUP(A82,Dates,11,)+'Date Calcs'!S$2,IF(VLOOKUP(A82,Dates,9,)&gt;0,VLOOKUP(A82,Dates,9,)+'Date Calcs'!S$2,$I82+S$2))))+(V82*7)</f>
        <v>45956</v>
      </c>
      <c r="T82" s="78">
        <f t="shared" si="52"/>
        <v>45957</v>
      </c>
      <c r="U82" s="78">
        <f t="shared" si="53"/>
        <v>45961</v>
      </c>
      <c r="V82" s="105">
        <v>0</v>
      </c>
      <c r="W82" s="105">
        <v>6</v>
      </c>
      <c r="X82" s="78">
        <f t="shared" si="54"/>
        <v>46129</v>
      </c>
      <c r="Y82" s="78">
        <f t="shared" si="55"/>
        <v>45968</v>
      </c>
      <c r="Z82" s="78">
        <f t="shared" si="56"/>
        <v>45975</v>
      </c>
      <c r="AA82" s="78">
        <v>46079</v>
      </c>
      <c r="AB82" s="78">
        <f t="shared" ref="AB82:AB122" si="62">AA82</f>
        <v>46079</v>
      </c>
      <c r="AC82" s="78">
        <f t="shared" si="61"/>
        <v>45975</v>
      </c>
      <c r="AD82" s="78">
        <f t="shared" si="57"/>
        <v>46080</v>
      </c>
      <c r="AE82" s="78">
        <f t="shared" si="58"/>
        <v>45968</v>
      </c>
      <c r="AF82" s="78">
        <f t="shared" si="59"/>
        <v>46082</v>
      </c>
      <c r="AG82" s="78">
        <f t="shared" si="60"/>
        <v>46080</v>
      </c>
      <c r="AH82" s="78"/>
    </row>
    <row r="83" spans="1:34" x14ac:dyDescent="0.25">
      <c r="A83" s="103" t="s">
        <v>307</v>
      </c>
      <c r="B83" s="103" t="s">
        <v>267</v>
      </c>
      <c r="C83" s="104">
        <v>45932</v>
      </c>
      <c r="D83" s="103">
        <v>3</v>
      </c>
      <c r="E83" s="103">
        <v>4</v>
      </c>
      <c r="F83" s="103">
        <v>14</v>
      </c>
      <c r="G83" s="103">
        <v>16</v>
      </c>
      <c r="H83" s="78">
        <f t="shared" si="44"/>
        <v>45960</v>
      </c>
      <c r="I83" s="78">
        <f t="shared" si="45"/>
        <v>45973</v>
      </c>
      <c r="J83" s="78">
        <f t="shared" si="46"/>
        <v>45966</v>
      </c>
      <c r="K83" s="78">
        <f t="shared" si="47"/>
        <v>45973</v>
      </c>
      <c r="L83" s="78">
        <f t="shared" si="48"/>
        <v>45980</v>
      </c>
      <c r="M83" s="78">
        <f t="shared" si="49"/>
        <v>45987</v>
      </c>
      <c r="N83" s="78">
        <f t="shared" si="50"/>
        <v>45994</v>
      </c>
      <c r="O83" s="78">
        <f t="shared" si="51"/>
        <v>46001</v>
      </c>
      <c r="P83" s="78">
        <f t="shared" si="42"/>
        <v>45946</v>
      </c>
      <c r="Q83" s="78">
        <f t="shared" si="42"/>
        <v>45946</v>
      </c>
      <c r="R83" s="78"/>
      <c r="S83" s="78">
        <f>IF(VLOOKUP(A83,Dates,15,)&gt;0,VLOOKUP(A83,Dates,15,)+'Date Calcs'!S$2,IF(VLOOKUP(A83,Dates,13,)&gt;0,VLOOKUP(A83,Dates,13,)+'Date Calcs'!S$2,IF(VLOOKUP(A83,Dates,11,)&gt;0,VLOOKUP(A83,Dates,11,)+'Date Calcs'!S$2,IF(VLOOKUP(A83,Dates,9,)&gt;0,VLOOKUP(A83,Dates,9,)+'Date Calcs'!S$2,$I83+S$2))))+(V83*7)</f>
        <v>45961</v>
      </c>
      <c r="T83" s="78">
        <f t="shared" si="52"/>
        <v>45962</v>
      </c>
      <c r="U83" s="78">
        <f t="shared" si="53"/>
        <v>45966</v>
      </c>
      <c r="V83" s="105">
        <v>0</v>
      </c>
      <c r="W83" s="105">
        <v>0</v>
      </c>
      <c r="X83" s="78">
        <f t="shared" si="54"/>
        <v>46078</v>
      </c>
      <c r="Y83" s="78">
        <f t="shared" si="55"/>
        <v>45973</v>
      </c>
      <c r="Z83" s="78">
        <f t="shared" si="56"/>
        <v>45980</v>
      </c>
      <c r="AA83" s="78">
        <f t="shared" ref="AA83:AA122" si="63">Z83</f>
        <v>45980</v>
      </c>
      <c r="AB83" s="78">
        <f t="shared" si="62"/>
        <v>45980</v>
      </c>
      <c r="AC83" s="78">
        <f t="shared" si="61"/>
        <v>45980</v>
      </c>
      <c r="AD83" s="78">
        <f t="shared" si="57"/>
        <v>45981</v>
      </c>
      <c r="AE83" s="78">
        <f t="shared" si="58"/>
        <v>45973</v>
      </c>
      <c r="AF83" s="78">
        <f t="shared" si="59"/>
        <v>45983</v>
      </c>
      <c r="AG83" s="78">
        <f t="shared" si="60"/>
        <v>46071</v>
      </c>
      <c r="AH83" s="78"/>
    </row>
    <row r="84" spans="1:34" x14ac:dyDescent="0.25">
      <c r="A84" s="103" t="s">
        <v>308</v>
      </c>
      <c r="B84" s="103" t="s">
        <v>309</v>
      </c>
      <c r="C84" s="104">
        <v>45954</v>
      </c>
      <c r="D84" s="103">
        <v>3</v>
      </c>
      <c r="E84" s="103">
        <v>4</v>
      </c>
      <c r="F84" s="103">
        <v>16</v>
      </c>
      <c r="G84" s="103">
        <v>18</v>
      </c>
      <c r="H84" s="78">
        <f t="shared" si="44"/>
        <v>45982</v>
      </c>
      <c r="I84" s="78">
        <f t="shared" si="45"/>
        <v>45995</v>
      </c>
      <c r="J84" s="78">
        <f t="shared" si="46"/>
        <v>45999</v>
      </c>
      <c r="K84" s="78">
        <f t="shared" si="47"/>
        <v>46006</v>
      </c>
      <c r="L84" s="78">
        <f t="shared" si="48"/>
        <v>46013</v>
      </c>
      <c r="M84" s="78">
        <f t="shared" si="49"/>
        <v>46020</v>
      </c>
      <c r="N84" s="78">
        <f t="shared" si="50"/>
        <v>46027</v>
      </c>
      <c r="O84" s="78">
        <f t="shared" si="51"/>
        <v>46034</v>
      </c>
      <c r="P84" s="78">
        <f t="shared" si="42"/>
        <v>45968</v>
      </c>
      <c r="Q84" s="78">
        <f t="shared" si="42"/>
        <v>45968</v>
      </c>
      <c r="R84" s="78"/>
      <c r="S84" s="78">
        <f>IF(VLOOKUP(A84,Dates,15,)&gt;0,VLOOKUP(A84,Dates,15,)+'Date Calcs'!S$2,IF(VLOOKUP(A84,Dates,13,)&gt;0,VLOOKUP(A84,Dates,13,)+'Date Calcs'!S$2,IF(VLOOKUP(A84,Dates,11,)&gt;0,VLOOKUP(A84,Dates,11,)+'Date Calcs'!S$2,IF(VLOOKUP(A84,Dates,9,)&gt;0,VLOOKUP(A84,Dates,9,)+'Date Calcs'!S$2,$I84+S$2))))+(V84*7)</f>
        <v>45994</v>
      </c>
      <c r="T84" s="78">
        <f t="shared" si="52"/>
        <v>45995</v>
      </c>
      <c r="U84" s="78">
        <f t="shared" si="53"/>
        <v>45999</v>
      </c>
      <c r="V84" s="105">
        <v>0</v>
      </c>
      <c r="W84" s="105">
        <v>0</v>
      </c>
      <c r="X84" s="78">
        <f t="shared" si="54"/>
        <v>46125</v>
      </c>
      <c r="Y84" s="78">
        <f t="shared" si="55"/>
        <v>46006</v>
      </c>
      <c r="Z84" s="78">
        <f t="shared" si="56"/>
        <v>46013</v>
      </c>
      <c r="AA84" s="78">
        <f t="shared" si="63"/>
        <v>46013</v>
      </c>
      <c r="AB84" s="78">
        <f t="shared" si="62"/>
        <v>46013</v>
      </c>
      <c r="AC84" s="78">
        <f t="shared" si="61"/>
        <v>46013</v>
      </c>
      <c r="AD84" s="78">
        <f t="shared" si="57"/>
        <v>46014</v>
      </c>
      <c r="AE84" s="78">
        <f t="shared" si="58"/>
        <v>46006</v>
      </c>
      <c r="AF84" s="78">
        <f t="shared" si="59"/>
        <v>46016</v>
      </c>
      <c r="AG84" s="78">
        <f t="shared" si="60"/>
        <v>46118</v>
      </c>
      <c r="AH84" s="78"/>
    </row>
    <row r="85" spans="1:34" x14ac:dyDescent="0.25">
      <c r="A85" s="103" t="s">
        <v>310</v>
      </c>
      <c r="B85" s="103" t="s">
        <v>275</v>
      </c>
      <c r="C85" s="104">
        <v>45968</v>
      </c>
      <c r="D85" s="103">
        <v>3</v>
      </c>
      <c r="E85" s="103">
        <v>5</v>
      </c>
      <c r="F85" s="103">
        <v>16</v>
      </c>
      <c r="G85" s="103">
        <v>18</v>
      </c>
      <c r="H85" s="78">
        <f t="shared" si="44"/>
        <v>46003</v>
      </c>
      <c r="I85" s="78">
        <f t="shared" si="45"/>
        <v>46017</v>
      </c>
      <c r="J85" s="78">
        <f t="shared" si="46"/>
        <v>46041</v>
      </c>
      <c r="K85" s="78">
        <f t="shared" si="47"/>
        <v>46048</v>
      </c>
      <c r="L85" s="78">
        <f t="shared" si="48"/>
        <v>46062</v>
      </c>
      <c r="M85" s="78">
        <f t="shared" si="49"/>
        <v>46064</v>
      </c>
      <c r="N85" s="78">
        <f t="shared" si="50"/>
        <v>46079</v>
      </c>
      <c r="O85" s="78">
        <f t="shared" si="51"/>
        <v>46086</v>
      </c>
      <c r="P85" s="78">
        <f t="shared" ref="P85:Q104" si="64">$C85+P$2</f>
        <v>45982</v>
      </c>
      <c r="Q85" s="78">
        <f t="shared" si="64"/>
        <v>45982</v>
      </c>
      <c r="R85" s="78"/>
      <c r="S85" s="78">
        <f>IF(VLOOKUP(A85,Dates,15,)&gt;0,VLOOKUP(A85,Dates,15,)+'Date Calcs'!S$2,IF(VLOOKUP(A85,Dates,13,)&gt;0,VLOOKUP(A85,Dates,13,)+'Date Calcs'!S$2,IF(VLOOKUP(A85,Dates,11,)&gt;0,VLOOKUP(A85,Dates,11,)+'Date Calcs'!S$2,IF(VLOOKUP(A85,Dates,9,)&gt;0,VLOOKUP(A85,Dates,9,)+'Date Calcs'!S$2,$I85+S$2))))+(V85*7)</f>
        <v>46074</v>
      </c>
      <c r="T85" s="78">
        <f t="shared" si="52"/>
        <v>46075</v>
      </c>
      <c r="U85" s="78">
        <f t="shared" si="53"/>
        <v>46079</v>
      </c>
      <c r="V85" s="105">
        <v>0</v>
      </c>
      <c r="W85" s="105">
        <v>0</v>
      </c>
      <c r="X85" s="78">
        <f t="shared" si="54"/>
        <v>46205</v>
      </c>
      <c r="Y85" s="78">
        <f t="shared" si="55"/>
        <v>46086</v>
      </c>
      <c r="Z85" s="78">
        <f t="shared" si="56"/>
        <v>46093</v>
      </c>
      <c r="AA85" s="78">
        <f t="shared" si="63"/>
        <v>46093</v>
      </c>
      <c r="AB85" s="78">
        <f t="shared" si="62"/>
        <v>46093</v>
      </c>
      <c r="AC85" s="78">
        <f t="shared" si="61"/>
        <v>46093</v>
      </c>
      <c r="AD85" s="78">
        <f t="shared" si="57"/>
        <v>46094</v>
      </c>
      <c r="AE85" s="78">
        <f t="shared" si="58"/>
        <v>46086</v>
      </c>
      <c r="AF85" s="78">
        <f t="shared" si="59"/>
        <v>46096</v>
      </c>
      <c r="AG85" s="78">
        <f t="shared" si="60"/>
        <v>46198</v>
      </c>
      <c r="AH85" s="78"/>
    </row>
    <row r="86" spans="1:34" x14ac:dyDescent="0.25">
      <c r="A86" s="103" t="s">
        <v>311</v>
      </c>
      <c r="B86" s="103" t="s">
        <v>275</v>
      </c>
      <c r="C86" s="104">
        <v>45968</v>
      </c>
      <c r="D86" s="103">
        <v>3</v>
      </c>
      <c r="E86" s="103">
        <v>5</v>
      </c>
      <c r="F86" s="103">
        <v>16</v>
      </c>
      <c r="G86" s="103">
        <v>18</v>
      </c>
      <c r="H86" s="78">
        <f t="shared" si="44"/>
        <v>46003</v>
      </c>
      <c r="I86" s="78">
        <f t="shared" si="45"/>
        <v>46017</v>
      </c>
      <c r="J86" s="78">
        <f t="shared" si="46"/>
        <v>46041</v>
      </c>
      <c r="K86" s="78">
        <f t="shared" si="47"/>
        <v>46051</v>
      </c>
      <c r="L86" s="78">
        <f t="shared" si="48"/>
        <v>46062</v>
      </c>
      <c r="M86" s="78">
        <f t="shared" si="49"/>
        <v>46064</v>
      </c>
      <c r="N86" s="78">
        <f t="shared" si="50"/>
        <v>46079</v>
      </c>
      <c r="O86" s="78">
        <f t="shared" si="51"/>
        <v>46086</v>
      </c>
      <c r="P86" s="78">
        <f t="shared" si="64"/>
        <v>45982</v>
      </c>
      <c r="Q86" s="78">
        <f t="shared" si="64"/>
        <v>45982</v>
      </c>
      <c r="R86" s="78"/>
      <c r="S86" s="78">
        <f>IF(VLOOKUP(A86,Dates,15,)&gt;0,VLOOKUP(A86,Dates,15,)+'Date Calcs'!S$2,IF(VLOOKUP(A86,Dates,13,)&gt;0,VLOOKUP(A86,Dates,13,)+'Date Calcs'!S$2,IF(VLOOKUP(A86,Dates,11,)&gt;0,VLOOKUP(A86,Dates,11,)+'Date Calcs'!S$2,IF(VLOOKUP(A86,Dates,9,)&gt;0,VLOOKUP(A86,Dates,9,)+'Date Calcs'!S$2,$I86+S$2))))+(V86*7)</f>
        <v>46074</v>
      </c>
      <c r="T86" s="78">
        <f t="shared" si="52"/>
        <v>46075</v>
      </c>
      <c r="U86" s="78">
        <f t="shared" si="53"/>
        <v>46079</v>
      </c>
      <c r="V86" s="105">
        <v>0</v>
      </c>
      <c r="W86" s="105">
        <v>0</v>
      </c>
      <c r="X86" s="78">
        <f t="shared" si="54"/>
        <v>46205</v>
      </c>
      <c r="Y86" s="78">
        <f t="shared" si="55"/>
        <v>46086</v>
      </c>
      <c r="Z86" s="78">
        <f t="shared" si="56"/>
        <v>46093</v>
      </c>
      <c r="AA86" s="78">
        <f t="shared" si="63"/>
        <v>46093</v>
      </c>
      <c r="AB86" s="78">
        <f t="shared" si="62"/>
        <v>46093</v>
      </c>
      <c r="AC86" s="78">
        <f t="shared" si="61"/>
        <v>46093</v>
      </c>
      <c r="AD86" s="78">
        <f t="shared" si="57"/>
        <v>46094</v>
      </c>
      <c r="AE86" s="78">
        <f t="shared" si="58"/>
        <v>46086</v>
      </c>
      <c r="AF86" s="78">
        <f t="shared" si="59"/>
        <v>46096</v>
      </c>
      <c r="AG86" s="78">
        <f t="shared" si="60"/>
        <v>46198</v>
      </c>
      <c r="AH86" s="78"/>
    </row>
    <row r="87" spans="1:34" x14ac:dyDescent="0.25">
      <c r="A87" s="103" t="s">
        <v>312</v>
      </c>
      <c r="B87" s="103" t="s">
        <v>275</v>
      </c>
      <c r="C87" s="104">
        <v>45968</v>
      </c>
      <c r="D87" s="103">
        <v>3</v>
      </c>
      <c r="E87" s="103">
        <v>5</v>
      </c>
      <c r="F87" s="103">
        <v>16</v>
      </c>
      <c r="G87" s="103">
        <v>18</v>
      </c>
      <c r="H87" s="78">
        <f t="shared" si="44"/>
        <v>46003</v>
      </c>
      <c r="I87" s="78">
        <f t="shared" si="45"/>
        <v>46017</v>
      </c>
      <c r="J87" s="78">
        <f t="shared" si="46"/>
        <v>46041</v>
      </c>
      <c r="K87" s="78">
        <f t="shared" si="47"/>
        <v>46051</v>
      </c>
      <c r="L87" s="78">
        <f t="shared" si="48"/>
        <v>46062</v>
      </c>
      <c r="M87" s="78">
        <f t="shared" si="49"/>
        <v>46064</v>
      </c>
      <c r="N87" s="78">
        <f t="shared" si="50"/>
        <v>46079</v>
      </c>
      <c r="O87" s="78">
        <f t="shared" si="51"/>
        <v>46086</v>
      </c>
      <c r="P87" s="78">
        <f t="shared" si="64"/>
        <v>45982</v>
      </c>
      <c r="Q87" s="78">
        <f t="shared" si="64"/>
        <v>45982</v>
      </c>
      <c r="R87" s="78"/>
      <c r="S87" s="78">
        <f>IF(VLOOKUP(A87,Dates,15,)&gt;0,VLOOKUP(A87,Dates,15,)+'Date Calcs'!S$2,IF(VLOOKUP(A87,Dates,13,)&gt;0,VLOOKUP(A87,Dates,13,)+'Date Calcs'!S$2,IF(VLOOKUP(A87,Dates,11,)&gt;0,VLOOKUP(A87,Dates,11,)+'Date Calcs'!S$2,IF(VLOOKUP(A87,Dates,9,)&gt;0,VLOOKUP(A87,Dates,9,)+'Date Calcs'!S$2,$I87+S$2))))+(V87*7)</f>
        <v>46074</v>
      </c>
      <c r="T87" s="78">
        <f t="shared" si="52"/>
        <v>46075</v>
      </c>
      <c r="U87" s="78">
        <f t="shared" si="53"/>
        <v>46079</v>
      </c>
      <c r="V87" s="105">
        <v>0</v>
      </c>
      <c r="W87" s="105">
        <v>0</v>
      </c>
      <c r="X87" s="78">
        <f t="shared" si="54"/>
        <v>46205</v>
      </c>
      <c r="Y87" s="78">
        <f t="shared" si="55"/>
        <v>46086</v>
      </c>
      <c r="Z87" s="78">
        <f t="shared" si="56"/>
        <v>46093</v>
      </c>
      <c r="AA87" s="78">
        <f t="shared" si="63"/>
        <v>46093</v>
      </c>
      <c r="AB87" s="78">
        <f t="shared" si="62"/>
        <v>46093</v>
      </c>
      <c r="AC87" s="78">
        <f t="shared" si="61"/>
        <v>46093</v>
      </c>
      <c r="AD87" s="78">
        <f t="shared" si="57"/>
        <v>46094</v>
      </c>
      <c r="AE87" s="78">
        <f t="shared" si="58"/>
        <v>46086</v>
      </c>
      <c r="AF87" s="78">
        <f t="shared" si="59"/>
        <v>46096</v>
      </c>
      <c r="AG87" s="78">
        <f t="shared" si="60"/>
        <v>46198</v>
      </c>
      <c r="AH87" s="78"/>
    </row>
    <row r="88" spans="1:34" x14ac:dyDescent="0.25">
      <c r="A88" s="103" t="s">
        <v>313</v>
      </c>
      <c r="B88" s="103" t="s">
        <v>275</v>
      </c>
      <c r="C88" s="104">
        <v>45968</v>
      </c>
      <c r="D88" s="103">
        <v>3</v>
      </c>
      <c r="E88" s="103">
        <v>5</v>
      </c>
      <c r="F88" s="103">
        <v>16</v>
      </c>
      <c r="G88" s="103">
        <v>18</v>
      </c>
      <c r="H88" s="78">
        <f t="shared" si="44"/>
        <v>46003</v>
      </c>
      <c r="I88" s="78">
        <f t="shared" si="45"/>
        <v>46017</v>
      </c>
      <c r="J88" s="78">
        <f t="shared" si="46"/>
        <v>46041</v>
      </c>
      <c r="K88" s="78">
        <f t="shared" si="47"/>
        <v>46057</v>
      </c>
      <c r="L88" s="78">
        <f t="shared" si="48"/>
        <v>46062</v>
      </c>
      <c r="M88" s="78">
        <f t="shared" si="49"/>
        <v>46064</v>
      </c>
      <c r="N88" s="78">
        <f t="shared" si="50"/>
        <v>46079</v>
      </c>
      <c r="O88" s="78">
        <f t="shared" si="51"/>
        <v>46086</v>
      </c>
      <c r="P88" s="78">
        <f t="shared" si="64"/>
        <v>45982</v>
      </c>
      <c r="Q88" s="78">
        <f t="shared" si="64"/>
        <v>45982</v>
      </c>
      <c r="R88" s="78"/>
      <c r="S88" s="78">
        <f>IF(VLOOKUP(A88,Dates,15,)&gt;0,VLOOKUP(A88,Dates,15,)+'Date Calcs'!S$2,IF(VLOOKUP(A88,Dates,13,)&gt;0,VLOOKUP(A88,Dates,13,)+'Date Calcs'!S$2,IF(VLOOKUP(A88,Dates,11,)&gt;0,VLOOKUP(A88,Dates,11,)+'Date Calcs'!S$2,IF(VLOOKUP(A88,Dates,9,)&gt;0,VLOOKUP(A88,Dates,9,)+'Date Calcs'!S$2,$I88+S$2))))+(V88*7)</f>
        <v>46074</v>
      </c>
      <c r="T88" s="78">
        <f t="shared" si="52"/>
        <v>46075</v>
      </c>
      <c r="U88" s="78">
        <f t="shared" si="53"/>
        <v>46079</v>
      </c>
      <c r="V88" s="105">
        <v>0</v>
      </c>
      <c r="W88" s="105">
        <v>0</v>
      </c>
      <c r="X88" s="78">
        <f t="shared" si="54"/>
        <v>46205</v>
      </c>
      <c r="Y88" s="78">
        <f t="shared" si="55"/>
        <v>46086</v>
      </c>
      <c r="Z88" s="78">
        <f t="shared" si="56"/>
        <v>46093</v>
      </c>
      <c r="AA88" s="78">
        <f t="shared" si="63"/>
        <v>46093</v>
      </c>
      <c r="AB88" s="78">
        <f t="shared" si="62"/>
        <v>46093</v>
      </c>
      <c r="AC88" s="78">
        <f t="shared" si="61"/>
        <v>46093</v>
      </c>
      <c r="AD88" s="78">
        <f t="shared" si="57"/>
        <v>46094</v>
      </c>
      <c r="AE88" s="78">
        <f t="shared" si="58"/>
        <v>46086</v>
      </c>
      <c r="AF88" s="78">
        <f t="shared" si="59"/>
        <v>46096</v>
      </c>
      <c r="AG88" s="78">
        <f t="shared" si="60"/>
        <v>46198</v>
      </c>
      <c r="AH88" s="78"/>
    </row>
    <row r="89" spans="1:34" x14ac:dyDescent="0.25">
      <c r="A89" s="103" t="s">
        <v>314</v>
      </c>
      <c r="B89" s="103" t="s">
        <v>275</v>
      </c>
      <c r="C89" s="104">
        <v>45968</v>
      </c>
      <c r="D89" s="103">
        <v>3</v>
      </c>
      <c r="E89" s="103">
        <v>5</v>
      </c>
      <c r="F89" s="103">
        <v>16</v>
      </c>
      <c r="G89" s="103">
        <v>18</v>
      </c>
      <c r="H89" s="78">
        <f t="shared" si="44"/>
        <v>46003</v>
      </c>
      <c r="I89" s="78">
        <f t="shared" si="45"/>
        <v>46017</v>
      </c>
      <c r="J89" s="78">
        <f t="shared" si="46"/>
        <v>46041</v>
      </c>
      <c r="K89" s="78">
        <f t="shared" si="47"/>
        <v>46057</v>
      </c>
      <c r="L89" s="78">
        <f t="shared" si="48"/>
        <v>46062</v>
      </c>
      <c r="M89" s="78">
        <f t="shared" si="49"/>
        <v>46065</v>
      </c>
      <c r="N89" s="78">
        <f t="shared" si="50"/>
        <v>46079</v>
      </c>
      <c r="O89" s="78">
        <f t="shared" si="51"/>
        <v>46086</v>
      </c>
      <c r="P89" s="78">
        <f t="shared" si="64"/>
        <v>45982</v>
      </c>
      <c r="Q89" s="78">
        <f t="shared" si="64"/>
        <v>45982</v>
      </c>
      <c r="R89" s="78"/>
      <c r="S89" s="78">
        <f>IF(VLOOKUP(A89,Dates,15,)&gt;0,VLOOKUP(A89,Dates,15,)+'Date Calcs'!S$2,IF(VLOOKUP(A89,Dates,13,)&gt;0,VLOOKUP(A89,Dates,13,)+'Date Calcs'!S$2,IF(VLOOKUP(A89,Dates,11,)&gt;0,VLOOKUP(A89,Dates,11,)+'Date Calcs'!S$2,IF(VLOOKUP(A89,Dates,9,)&gt;0,VLOOKUP(A89,Dates,9,)+'Date Calcs'!S$2,$I89+S$2))))+(V89*7)</f>
        <v>46074</v>
      </c>
      <c r="T89" s="78">
        <f t="shared" si="52"/>
        <v>46075</v>
      </c>
      <c r="U89" s="78">
        <f t="shared" si="53"/>
        <v>46079</v>
      </c>
      <c r="V89" s="105">
        <v>0</v>
      </c>
      <c r="W89" s="105">
        <v>0</v>
      </c>
      <c r="X89" s="78">
        <f t="shared" si="54"/>
        <v>46205</v>
      </c>
      <c r="Y89" s="78">
        <f t="shared" si="55"/>
        <v>46086</v>
      </c>
      <c r="Z89" s="78">
        <f t="shared" si="56"/>
        <v>46093</v>
      </c>
      <c r="AA89" s="78">
        <f t="shared" si="63"/>
        <v>46093</v>
      </c>
      <c r="AB89" s="78">
        <f t="shared" si="62"/>
        <v>46093</v>
      </c>
      <c r="AC89" s="78">
        <f t="shared" si="61"/>
        <v>46093</v>
      </c>
      <c r="AD89" s="78">
        <f t="shared" si="57"/>
        <v>46094</v>
      </c>
      <c r="AE89" s="78">
        <f t="shared" si="58"/>
        <v>46086</v>
      </c>
      <c r="AF89" s="78">
        <f t="shared" si="59"/>
        <v>46096</v>
      </c>
      <c r="AG89" s="78">
        <f t="shared" si="60"/>
        <v>46198</v>
      </c>
      <c r="AH89" s="78"/>
    </row>
    <row r="90" spans="1:34" x14ac:dyDescent="0.25">
      <c r="A90" s="103" t="s">
        <v>315</v>
      </c>
      <c r="B90" s="103" t="s">
        <v>275</v>
      </c>
      <c r="C90" s="104">
        <v>46055</v>
      </c>
      <c r="D90" s="103">
        <v>3</v>
      </c>
      <c r="E90" s="103">
        <v>4</v>
      </c>
      <c r="F90" s="103">
        <v>16</v>
      </c>
      <c r="G90" s="103">
        <v>18</v>
      </c>
      <c r="H90" s="78">
        <f t="shared" si="44"/>
        <v>46083</v>
      </c>
      <c r="I90" s="78">
        <f t="shared" si="45"/>
        <v>46001</v>
      </c>
      <c r="J90" s="78">
        <f t="shared" si="46"/>
        <v>46062</v>
      </c>
      <c r="K90" s="78">
        <f t="shared" si="47"/>
        <v>46085</v>
      </c>
      <c r="L90" s="78">
        <f t="shared" si="48"/>
        <v>46100</v>
      </c>
      <c r="M90" s="78">
        <f t="shared" si="49"/>
        <v>46113</v>
      </c>
      <c r="N90" s="78">
        <f t="shared" si="50"/>
        <v>46114</v>
      </c>
      <c r="O90" s="78">
        <f t="shared" si="51"/>
        <v>46118</v>
      </c>
      <c r="P90" s="78">
        <f t="shared" si="64"/>
        <v>46069</v>
      </c>
      <c r="Q90" s="78">
        <f t="shared" si="64"/>
        <v>46069</v>
      </c>
      <c r="R90" s="78"/>
      <c r="S90" s="78">
        <f>IF(VLOOKUP(A90,Dates,15,)&gt;0,VLOOKUP(A90,Dates,15,)+'Date Calcs'!S$2,IF(VLOOKUP(A90,Dates,13,)&gt;0,VLOOKUP(A90,Dates,13,)+'Date Calcs'!S$2,IF(VLOOKUP(A90,Dates,11,)&gt;0,VLOOKUP(A90,Dates,11,)+'Date Calcs'!S$2,IF(VLOOKUP(A90,Dates,9,)&gt;0,VLOOKUP(A90,Dates,9,)+'Date Calcs'!S$2,$I90+S$2))))+(V90*7)</f>
        <v>46116</v>
      </c>
      <c r="T90" s="78">
        <f t="shared" si="52"/>
        <v>46117</v>
      </c>
      <c r="U90" s="78">
        <f t="shared" si="53"/>
        <v>46121</v>
      </c>
      <c r="V90" s="105">
        <v>1</v>
      </c>
      <c r="W90" s="105">
        <v>0</v>
      </c>
      <c r="X90" s="78">
        <f t="shared" si="54"/>
        <v>46247</v>
      </c>
      <c r="Y90" s="78">
        <f t="shared" si="55"/>
        <v>46128</v>
      </c>
      <c r="Z90" s="78">
        <f t="shared" si="56"/>
        <v>46135</v>
      </c>
      <c r="AA90" s="78">
        <f t="shared" si="63"/>
        <v>46135</v>
      </c>
      <c r="AB90" s="78">
        <f t="shared" si="62"/>
        <v>46135</v>
      </c>
      <c r="AC90" s="78">
        <f t="shared" si="61"/>
        <v>46135</v>
      </c>
      <c r="AD90" s="78">
        <f t="shared" si="57"/>
        <v>46136</v>
      </c>
      <c r="AE90" s="78">
        <f t="shared" si="58"/>
        <v>46128</v>
      </c>
      <c r="AF90" s="78">
        <f t="shared" si="59"/>
        <v>46138</v>
      </c>
      <c r="AG90" s="78">
        <f t="shared" si="60"/>
        <v>46240</v>
      </c>
      <c r="AH90" s="78"/>
    </row>
    <row r="91" spans="1:34" x14ac:dyDescent="0.25">
      <c r="A91" s="103" t="s">
        <v>316</v>
      </c>
      <c r="B91" s="103" t="s">
        <v>275</v>
      </c>
      <c r="C91" s="104">
        <v>45960</v>
      </c>
      <c r="D91" s="103">
        <v>3</v>
      </c>
      <c r="E91" s="103">
        <v>4</v>
      </c>
      <c r="F91" s="103">
        <v>16</v>
      </c>
      <c r="G91" s="103">
        <v>18</v>
      </c>
      <c r="H91" s="78">
        <f t="shared" si="44"/>
        <v>45988</v>
      </c>
      <c r="I91" s="78">
        <f t="shared" si="45"/>
        <v>46001</v>
      </c>
      <c r="J91" s="78">
        <f t="shared" si="46"/>
        <v>46062</v>
      </c>
      <c r="K91" s="78">
        <f t="shared" si="47"/>
        <v>46071</v>
      </c>
      <c r="L91" s="78">
        <f t="shared" si="48"/>
        <v>46100</v>
      </c>
      <c r="M91" s="78">
        <f t="shared" si="49"/>
        <v>46107</v>
      </c>
      <c r="N91" s="78">
        <f t="shared" si="50"/>
        <v>46114</v>
      </c>
      <c r="O91" s="78">
        <f t="shared" si="51"/>
        <v>46121</v>
      </c>
      <c r="P91" s="78">
        <f t="shared" si="64"/>
        <v>45974</v>
      </c>
      <c r="Q91" s="78">
        <f t="shared" si="64"/>
        <v>45974</v>
      </c>
      <c r="R91" s="78"/>
      <c r="S91" s="78">
        <f>IF(VLOOKUP(A91,Dates,15,)&gt;0,VLOOKUP(A91,Dates,15,)+'Date Calcs'!S$2,IF(VLOOKUP(A91,Dates,13,)&gt;0,VLOOKUP(A91,Dates,13,)+'Date Calcs'!S$2,IF(VLOOKUP(A91,Dates,11,)&gt;0,VLOOKUP(A91,Dates,11,)+'Date Calcs'!S$2,IF(VLOOKUP(A91,Dates,9,)&gt;0,VLOOKUP(A91,Dates,9,)+'Date Calcs'!S$2,$I91+S$2))))+(V91*7)</f>
        <v>46116</v>
      </c>
      <c r="T91" s="78">
        <f t="shared" si="52"/>
        <v>46117</v>
      </c>
      <c r="U91" s="78">
        <f t="shared" si="53"/>
        <v>46121</v>
      </c>
      <c r="V91" s="105">
        <v>3</v>
      </c>
      <c r="W91" s="105">
        <v>0</v>
      </c>
      <c r="X91" s="78">
        <f t="shared" si="54"/>
        <v>46247</v>
      </c>
      <c r="Y91" s="78">
        <f t="shared" si="55"/>
        <v>46128</v>
      </c>
      <c r="Z91" s="78">
        <f t="shared" si="56"/>
        <v>46135</v>
      </c>
      <c r="AA91" s="78">
        <f t="shared" si="63"/>
        <v>46135</v>
      </c>
      <c r="AB91" s="78">
        <f t="shared" si="62"/>
        <v>46135</v>
      </c>
      <c r="AC91" s="78">
        <f t="shared" si="61"/>
        <v>46135</v>
      </c>
      <c r="AD91" s="78">
        <f t="shared" si="57"/>
        <v>46136</v>
      </c>
      <c r="AE91" s="78">
        <f t="shared" si="58"/>
        <v>46128</v>
      </c>
      <c r="AF91" s="78">
        <f t="shared" si="59"/>
        <v>46138</v>
      </c>
      <c r="AG91" s="78">
        <f t="shared" si="60"/>
        <v>46240</v>
      </c>
      <c r="AH91" s="78"/>
    </row>
    <row r="92" spans="1:34" x14ac:dyDescent="0.25">
      <c r="A92" s="103" t="s">
        <v>317</v>
      </c>
      <c r="B92" s="103" t="s">
        <v>275</v>
      </c>
      <c r="C92" s="104">
        <v>45960</v>
      </c>
      <c r="D92" s="103">
        <v>3</v>
      </c>
      <c r="E92" s="103">
        <v>4</v>
      </c>
      <c r="F92" s="103">
        <v>16</v>
      </c>
      <c r="G92" s="103">
        <v>18</v>
      </c>
      <c r="H92" s="78">
        <f t="shared" si="44"/>
        <v>45988</v>
      </c>
      <c r="I92" s="78">
        <f t="shared" si="45"/>
        <v>46001</v>
      </c>
      <c r="J92" s="78">
        <f t="shared" si="46"/>
        <v>46010</v>
      </c>
      <c r="K92" s="78">
        <f t="shared" si="47"/>
        <v>46017</v>
      </c>
      <c r="L92" s="78">
        <f t="shared" si="48"/>
        <v>46041</v>
      </c>
      <c r="M92" s="78">
        <f t="shared" si="49"/>
        <v>46048</v>
      </c>
      <c r="N92" s="78">
        <f t="shared" si="50"/>
        <v>46052</v>
      </c>
      <c r="O92" s="78">
        <f t="shared" si="51"/>
        <v>46059</v>
      </c>
      <c r="P92" s="78">
        <f t="shared" si="64"/>
        <v>45974</v>
      </c>
      <c r="Q92" s="78">
        <f t="shared" si="64"/>
        <v>45974</v>
      </c>
      <c r="R92" s="78"/>
      <c r="S92" s="78">
        <f>IF(VLOOKUP(A92,Dates,15,)&gt;0,VLOOKUP(A92,Dates,15,)+'Date Calcs'!S$2,IF(VLOOKUP(A92,Dates,13,)&gt;0,VLOOKUP(A92,Dates,13,)+'Date Calcs'!S$2,IF(VLOOKUP(A92,Dates,11,)&gt;0,VLOOKUP(A92,Dates,11,)+'Date Calcs'!S$2,IF(VLOOKUP(A92,Dates,9,)&gt;0,VLOOKUP(A92,Dates,9,)+'Date Calcs'!S$2,$I92+S$2))))+(V92*7)</f>
        <v>46074</v>
      </c>
      <c r="T92" s="78">
        <f t="shared" si="52"/>
        <v>46075</v>
      </c>
      <c r="U92" s="78">
        <f t="shared" si="53"/>
        <v>46079</v>
      </c>
      <c r="V92" s="105">
        <v>0</v>
      </c>
      <c r="W92" s="105">
        <v>0</v>
      </c>
      <c r="X92" s="78">
        <f t="shared" si="54"/>
        <v>46205</v>
      </c>
      <c r="Y92" s="78">
        <f t="shared" si="55"/>
        <v>46086</v>
      </c>
      <c r="Z92" s="78">
        <f t="shared" si="56"/>
        <v>46093</v>
      </c>
      <c r="AA92" s="78">
        <f t="shared" si="63"/>
        <v>46093</v>
      </c>
      <c r="AB92" s="78">
        <f t="shared" si="62"/>
        <v>46093</v>
      </c>
      <c r="AC92" s="78">
        <f t="shared" si="61"/>
        <v>46093</v>
      </c>
      <c r="AD92" s="78">
        <f t="shared" si="57"/>
        <v>46094</v>
      </c>
      <c r="AE92" s="78">
        <f t="shared" si="58"/>
        <v>46086</v>
      </c>
      <c r="AF92" s="78">
        <f t="shared" si="59"/>
        <v>46096</v>
      </c>
      <c r="AG92" s="78">
        <f t="shared" si="60"/>
        <v>46198</v>
      </c>
      <c r="AH92" s="78"/>
    </row>
    <row r="93" spans="1:34" x14ac:dyDescent="0.25">
      <c r="A93" s="103" t="s">
        <v>318</v>
      </c>
      <c r="B93" s="103" t="s">
        <v>275</v>
      </c>
      <c r="C93" s="104">
        <v>45960</v>
      </c>
      <c r="D93" s="103">
        <v>3</v>
      </c>
      <c r="E93" s="103">
        <v>4</v>
      </c>
      <c r="F93" s="103">
        <v>16</v>
      </c>
      <c r="G93" s="103">
        <v>18</v>
      </c>
      <c r="H93" s="78">
        <f t="shared" si="44"/>
        <v>45988</v>
      </c>
      <c r="I93" s="78">
        <f t="shared" si="45"/>
        <v>46001</v>
      </c>
      <c r="J93" s="78">
        <f t="shared" si="46"/>
        <v>46010</v>
      </c>
      <c r="K93" s="78">
        <f t="shared" si="47"/>
        <v>46020</v>
      </c>
      <c r="L93" s="78">
        <f t="shared" si="48"/>
        <v>46041</v>
      </c>
      <c r="M93" s="78">
        <f t="shared" si="49"/>
        <v>46048</v>
      </c>
      <c r="N93" s="78">
        <f t="shared" si="50"/>
        <v>46052</v>
      </c>
      <c r="O93" s="78">
        <f t="shared" si="51"/>
        <v>46059</v>
      </c>
      <c r="P93" s="78">
        <f t="shared" si="64"/>
        <v>45974</v>
      </c>
      <c r="Q93" s="78">
        <f t="shared" si="64"/>
        <v>45974</v>
      </c>
      <c r="R93" s="78"/>
      <c r="S93" s="78">
        <f>IF(VLOOKUP(A93,Dates,15,)&gt;0,VLOOKUP(A93,Dates,15,)+'Date Calcs'!S$2,IF(VLOOKUP(A93,Dates,13,)&gt;0,VLOOKUP(A93,Dates,13,)+'Date Calcs'!S$2,IF(VLOOKUP(A93,Dates,11,)&gt;0,VLOOKUP(A93,Dates,11,)+'Date Calcs'!S$2,IF(VLOOKUP(A93,Dates,9,)&gt;0,VLOOKUP(A93,Dates,9,)+'Date Calcs'!S$2,$I93+S$2))))+(V93*7)</f>
        <v>46047</v>
      </c>
      <c r="T93" s="78">
        <f t="shared" si="52"/>
        <v>46048</v>
      </c>
      <c r="U93" s="78">
        <f t="shared" si="53"/>
        <v>46052</v>
      </c>
      <c r="V93" s="105">
        <v>0</v>
      </c>
      <c r="W93" s="105">
        <v>0</v>
      </c>
      <c r="X93" s="78">
        <f t="shared" si="54"/>
        <v>46178</v>
      </c>
      <c r="Y93" s="78">
        <f t="shared" si="55"/>
        <v>46059</v>
      </c>
      <c r="Z93" s="78">
        <f t="shared" si="56"/>
        <v>46066</v>
      </c>
      <c r="AA93" s="78">
        <f t="shared" si="63"/>
        <v>46066</v>
      </c>
      <c r="AB93" s="78">
        <f t="shared" si="62"/>
        <v>46066</v>
      </c>
      <c r="AC93" s="78">
        <f t="shared" si="61"/>
        <v>46066</v>
      </c>
      <c r="AD93" s="78">
        <f t="shared" si="57"/>
        <v>46067</v>
      </c>
      <c r="AE93" s="78">
        <f t="shared" si="58"/>
        <v>46059</v>
      </c>
      <c r="AF93" s="78">
        <f t="shared" si="59"/>
        <v>46069</v>
      </c>
      <c r="AG93" s="78">
        <f t="shared" si="60"/>
        <v>46171</v>
      </c>
      <c r="AH93" s="78"/>
    </row>
    <row r="94" spans="1:34" x14ac:dyDescent="0.25">
      <c r="A94" s="103" t="s">
        <v>319</v>
      </c>
      <c r="B94" s="103" t="s">
        <v>275</v>
      </c>
      <c r="C94" s="104">
        <v>45960</v>
      </c>
      <c r="D94" s="103">
        <v>3</v>
      </c>
      <c r="E94" s="103">
        <v>4</v>
      </c>
      <c r="F94" s="103">
        <v>16</v>
      </c>
      <c r="G94" s="103">
        <v>18</v>
      </c>
      <c r="H94" s="78">
        <f t="shared" si="44"/>
        <v>45988</v>
      </c>
      <c r="I94" s="78">
        <f t="shared" si="45"/>
        <v>46001</v>
      </c>
      <c r="J94" s="78">
        <f t="shared" si="46"/>
        <v>46010</v>
      </c>
      <c r="K94" s="78">
        <f t="shared" si="47"/>
        <v>46017</v>
      </c>
      <c r="L94" s="78">
        <f t="shared" si="48"/>
        <v>46041</v>
      </c>
      <c r="M94" s="78">
        <f t="shared" si="49"/>
        <v>46050</v>
      </c>
      <c r="N94" s="78">
        <f t="shared" si="50"/>
        <v>46052</v>
      </c>
      <c r="O94" s="78">
        <f t="shared" si="51"/>
        <v>46059</v>
      </c>
      <c r="P94" s="78">
        <f t="shared" si="64"/>
        <v>45974</v>
      </c>
      <c r="Q94" s="78">
        <f t="shared" si="64"/>
        <v>45974</v>
      </c>
      <c r="R94" s="78"/>
      <c r="S94" s="78">
        <f>IF(VLOOKUP(A94,Dates,15,)&gt;0,VLOOKUP(A94,Dates,15,)+'Date Calcs'!S$2,IF(VLOOKUP(A94,Dates,13,)&gt;0,VLOOKUP(A94,Dates,13,)+'Date Calcs'!S$2,IF(VLOOKUP(A94,Dates,11,)&gt;0,VLOOKUP(A94,Dates,11,)+'Date Calcs'!S$2,IF(VLOOKUP(A94,Dates,9,)&gt;0,VLOOKUP(A94,Dates,9,)+'Date Calcs'!S$2,$I94+S$2))))+(V94*7)</f>
        <v>46047</v>
      </c>
      <c r="T94" s="78">
        <f t="shared" si="52"/>
        <v>46048</v>
      </c>
      <c r="U94" s="78">
        <f t="shared" si="53"/>
        <v>46052</v>
      </c>
      <c r="V94" s="105">
        <v>0</v>
      </c>
      <c r="W94" s="105">
        <v>0</v>
      </c>
      <c r="X94" s="78">
        <f t="shared" si="54"/>
        <v>46178</v>
      </c>
      <c r="Y94" s="78">
        <f t="shared" si="55"/>
        <v>46059</v>
      </c>
      <c r="Z94" s="78">
        <f t="shared" si="56"/>
        <v>46066</v>
      </c>
      <c r="AA94" s="78">
        <f t="shared" si="63"/>
        <v>46066</v>
      </c>
      <c r="AB94" s="78">
        <f t="shared" si="62"/>
        <v>46066</v>
      </c>
      <c r="AC94" s="78">
        <f t="shared" si="61"/>
        <v>46066</v>
      </c>
      <c r="AD94" s="78">
        <f t="shared" si="57"/>
        <v>46067</v>
      </c>
      <c r="AE94" s="78">
        <f t="shared" si="58"/>
        <v>46059</v>
      </c>
      <c r="AF94" s="78">
        <f t="shared" si="59"/>
        <v>46069</v>
      </c>
      <c r="AG94" s="78">
        <f t="shared" si="60"/>
        <v>46171</v>
      </c>
      <c r="AH94" s="78"/>
    </row>
    <row r="95" spans="1:34" x14ac:dyDescent="0.25">
      <c r="A95" s="103" t="s">
        <v>320</v>
      </c>
      <c r="B95" s="103" t="s">
        <v>275</v>
      </c>
      <c r="C95" s="104">
        <v>45960</v>
      </c>
      <c r="D95" s="103">
        <v>3</v>
      </c>
      <c r="E95" s="103">
        <v>4</v>
      </c>
      <c r="F95" s="103">
        <v>16</v>
      </c>
      <c r="G95" s="103">
        <v>18</v>
      </c>
      <c r="H95" s="78">
        <f t="shared" si="44"/>
        <v>45988</v>
      </c>
      <c r="I95" s="78">
        <f t="shared" si="45"/>
        <v>46001</v>
      </c>
      <c r="J95" s="78">
        <f t="shared" si="46"/>
        <v>46010</v>
      </c>
      <c r="K95" s="78">
        <f t="shared" si="47"/>
        <v>46017</v>
      </c>
      <c r="L95" s="78">
        <f t="shared" si="48"/>
        <v>46041</v>
      </c>
      <c r="M95" s="78">
        <f t="shared" si="49"/>
        <v>46050</v>
      </c>
      <c r="N95" s="78">
        <f t="shared" si="50"/>
        <v>46052</v>
      </c>
      <c r="O95" s="78">
        <f t="shared" si="51"/>
        <v>46059</v>
      </c>
      <c r="P95" s="78">
        <f t="shared" si="64"/>
        <v>45974</v>
      </c>
      <c r="Q95" s="78">
        <f t="shared" si="64"/>
        <v>45974</v>
      </c>
      <c r="R95" s="78"/>
      <c r="S95" s="78">
        <f>IF(VLOOKUP(A95,Dates,15,)&gt;0,VLOOKUP(A95,Dates,15,)+'Date Calcs'!S$2,IF(VLOOKUP(A95,Dates,13,)&gt;0,VLOOKUP(A95,Dates,13,)+'Date Calcs'!S$2,IF(VLOOKUP(A95,Dates,11,)&gt;0,VLOOKUP(A95,Dates,11,)+'Date Calcs'!S$2,IF(VLOOKUP(A95,Dates,9,)&gt;0,VLOOKUP(A95,Dates,9,)+'Date Calcs'!S$2,$I95+S$2))))+(V95*7)</f>
        <v>46047</v>
      </c>
      <c r="T95" s="78">
        <f t="shared" si="52"/>
        <v>46048</v>
      </c>
      <c r="U95" s="78">
        <f t="shared" si="53"/>
        <v>46052</v>
      </c>
      <c r="V95" s="105">
        <v>0</v>
      </c>
      <c r="W95" s="105">
        <v>0</v>
      </c>
      <c r="X95" s="78">
        <f t="shared" si="54"/>
        <v>46178</v>
      </c>
      <c r="Y95" s="78">
        <f t="shared" si="55"/>
        <v>46059</v>
      </c>
      <c r="Z95" s="78">
        <f t="shared" si="56"/>
        <v>46066</v>
      </c>
      <c r="AA95" s="78">
        <f t="shared" si="63"/>
        <v>46066</v>
      </c>
      <c r="AB95" s="78">
        <f t="shared" si="62"/>
        <v>46066</v>
      </c>
      <c r="AC95" s="78">
        <f t="shared" si="61"/>
        <v>46066</v>
      </c>
      <c r="AD95" s="78">
        <f t="shared" si="57"/>
        <v>46067</v>
      </c>
      <c r="AE95" s="78">
        <f t="shared" si="58"/>
        <v>46059</v>
      </c>
      <c r="AF95" s="78">
        <f t="shared" si="59"/>
        <v>46069</v>
      </c>
      <c r="AG95" s="78">
        <f t="shared" si="60"/>
        <v>46171</v>
      </c>
      <c r="AH95" s="78"/>
    </row>
    <row r="96" spans="1:34" x14ac:dyDescent="0.25">
      <c r="A96" s="103" t="s">
        <v>321</v>
      </c>
      <c r="B96" s="103" t="s">
        <v>275</v>
      </c>
      <c r="C96" s="104">
        <v>45975</v>
      </c>
      <c r="D96" s="103">
        <v>3</v>
      </c>
      <c r="E96" s="103">
        <v>4</v>
      </c>
      <c r="F96" s="103">
        <v>16</v>
      </c>
      <c r="G96" s="103">
        <v>18</v>
      </c>
      <c r="H96" s="78">
        <f t="shared" si="44"/>
        <v>46003</v>
      </c>
      <c r="I96" s="78">
        <f t="shared" si="45"/>
        <v>46017</v>
      </c>
      <c r="J96" s="78">
        <f t="shared" si="46"/>
        <v>46041</v>
      </c>
      <c r="K96" s="78">
        <f t="shared" si="47"/>
        <v>46048</v>
      </c>
      <c r="L96" s="78">
        <f t="shared" si="48"/>
        <v>46062</v>
      </c>
      <c r="M96" s="78">
        <f t="shared" si="49"/>
        <v>46065</v>
      </c>
      <c r="N96" s="78">
        <f t="shared" si="50"/>
        <v>46107</v>
      </c>
      <c r="O96" s="78">
        <f t="shared" si="51"/>
        <v>46114</v>
      </c>
      <c r="P96" s="78">
        <f t="shared" si="64"/>
        <v>45989</v>
      </c>
      <c r="Q96" s="78">
        <f t="shared" si="64"/>
        <v>45989</v>
      </c>
      <c r="R96" s="78"/>
      <c r="S96" s="78">
        <f>IF(VLOOKUP(A96,Dates,15,)&gt;0,VLOOKUP(A96,Dates,15,)+'Date Calcs'!S$2,IF(VLOOKUP(A96,Dates,13,)&gt;0,VLOOKUP(A96,Dates,13,)+'Date Calcs'!S$2,IF(VLOOKUP(A96,Dates,11,)&gt;0,VLOOKUP(A96,Dates,11,)+'Date Calcs'!S$2,IF(VLOOKUP(A96,Dates,9,)&gt;0,VLOOKUP(A96,Dates,9,)+'Date Calcs'!S$2,$I96+S$2))))+(V96*7)</f>
        <v>46102</v>
      </c>
      <c r="T96" s="78">
        <f t="shared" si="52"/>
        <v>46103</v>
      </c>
      <c r="U96" s="78">
        <f t="shared" si="53"/>
        <v>46107</v>
      </c>
      <c r="V96" s="105">
        <v>0</v>
      </c>
      <c r="W96" s="105">
        <v>0</v>
      </c>
      <c r="X96" s="78">
        <f t="shared" si="54"/>
        <v>46233</v>
      </c>
      <c r="Y96" s="78">
        <f t="shared" si="55"/>
        <v>46114</v>
      </c>
      <c r="Z96" s="78">
        <f t="shared" si="56"/>
        <v>46121</v>
      </c>
      <c r="AA96" s="78">
        <f t="shared" si="63"/>
        <v>46121</v>
      </c>
      <c r="AB96" s="78">
        <f t="shared" si="62"/>
        <v>46121</v>
      </c>
      <c r="AC96" s="78">
        <f t="shared" si="61"/>
        <v>46121</v>
      </c>
      <c r="AD96" s="78">
        <f t="shared" si="57"/>
        <v>46122</v>
      </c>
      <c r="AE96" s="78">
        <f t="shared" si="58"/>
        <v>46114</v>
      </c>
      <c r="AF96" s="78">
        <f t="shared" si="59"/>
        <v>46124</v>
      </c>
      <c r="AG96" s="78">
        <f t="shared" si="60"/>
        <v>46226</v>
      </c>
      <c r="AH96" s="78"/>
    </row>
    <row r="97" spans="1:34" x14ac:dyDescent="0.25">
      <c r="A97" s="103" t="s">
        <v>322</v>
      </c>
      <c r="B97" s="103" t="s">
        <v>275</v>
      </c>
      <c r="C97" s="104">
        <v>45960</v>
      </c>
      <c r="D97" s="103">
        <v>3</v>
      </c>
      <c r="E97" s="103">
        <v>4</v>
      </c>
      <c r="F97" s="103">
        <v>16</v>
      </c>
      <c r="G97" s="103">
        <v>18</v>
      </c>
      <c r="H97" s="78">
        <f t="shared" si="44"/>
        <v>45988</v>
      </c>
      <c r="I97" s="78">
        <f t="shared" si="45"/>
        <v>46001</v>
      </c>
      <c r="J97" s="78">
        <f t="shared" si="46"/>
        <v>46041</v>
      </c>
      <c r="K97" s="78">
        <f t="shared" si="47"/>
        <v>46050</v>
      </c>
      <c r="L97" s="78">
        <f t="shared" si="48"/>
        <v>46052</v>
      </c>
      <c r="M97" s="78">
        <f t="shared" si="49"/>
        <v>46059</v>
      </c>
      <c r="N97" s="78">
        <f t="shared" si="50"/>
        <v>46079</v>
      </c>
      <c r="O97" s="78">
        <f t="shared" si="51"/>
        <v>46086</v>
      </c>
      <c r="P97" s="78">
        <f t="shared" si="64"/>
        <v>45974</v>
      </c>
      <c r="Q97" s="78">
        <f t="shared" si="64"/>
        <v>45974</v>
      </c>
      <c r="R97" s="78"/>
      <c r="S97" s="78">
        <f>IF(VLOOKUP(A97,Dates,15,)&gt;0,VLOOKUP(A97,Dates,15,)+'Date Calcs'!S$2,IF(VLOOKUP(A97,Dates,13,)&gt;0,VLOOKUP(A97,Dates,13,)+'Date Calcs'!S$2,IF(VLOOKUP(A97,Dates,11,)&gt;0,VLOOKUP(A97,Dates,11,)+'Date Calcs'!S$2,IF(VLOOKUP(A97,Dates,9,)&gt;0,VLOOKUP(A97,Dates,9,)+'Date Calcs'!S$2,$I97+S$2))))+(V97*7)</f>
        <v>46074</v>
      </c>
      <c r="T97" s="78">
        <f t="shared" si="52"/>
        <v>46075</v>
      </c>
      <c r="U97" s="78">
        <f t="shared" si="53"/>
        <v>46079</v>
      </c>
      <c r="V97" s="105">
        <v>0</v>
      </c>
      <c r="W97" s="105">
        <v>0</v>
      </c>
      <c r="X97" s="78">
        <f t="shared" si="54"/>
        <v>46205</v>
      </c>
      <c r="Y97" s="78">
        <f t="shared" si="55"/>
        <v>46086</v>
      </c>
      <c r="Z97" s="78">
        <f t="shared" si="56"/>
        <v>46093</v>
      </c>
      <c r="AA97" s="78">
        <f t="shared" si="63"/>
        <v>46093</v>
      </c>
      <c r="AB97" s="78">
        <f t="shared" si="62"/>
        <v>46093</v>
      </c>
      <c r="AC97" s="78">
        <f t="shared" si="61"/>
        <v>46093</v>
      </c>
      <c r="AD97" s="78">
        <f t="shared" si="57"/>
        <v>46094</v>
      </c>
      <c r="AE97" s="78">
        <f t="shared" si="58"/>
        <v>46086</v>
      </c>
      <c r="AF97" s="78">
        <f t="shared" si="59"/>
        <v>46096</v>
      </c>
      <c r="AG97" s="78">
        <f t="shared" si="60"/>
        <v>46198</v>
      </c>
      <c r="AH97" s="78"/>
    </row>
    <row r="98" spans="1:34" x14ac:dyDescent="0.25">
      <c r="A98" s="103" t="s">
        <v>323</v>
      </c>
      <c r="B98" s="103" t="s">
        <v>324</v>
      </c>
      <c r="C98" s="104">
        <v>45965</v>
      </c>
      <c r="D98" s="103">
        <v>3</v>
      </c>
      <c r="E98" s="103">
        <v>4</v>
      </c>
      <c r="F98" s="103">
        <v>16</v>
      </c>
      <c r="G98" s="103">
        <v>18</v>
      </c>
      <c r="H98" s="78">
        <f t="shared" si="44"/>
        <v>45993</v>
      </c>
      <c r="I98" s="78">
        <f t="shared" si="45"/>
        <v>46024</v>
      </c>
      <c r="J98" s="78">
        <f t="shared" si="46"/>
        <v>46031</v>
      </c>
      <c r="K98" s="78">
        <f t="shared" si="47"/>
        <v>46038</v>
      </c>
      <c r="L98" s="78">
        <f t="shared" si="48"/>
        <v>46072</v>
      </c>
      <c r="M98" s="78">
        <f t="shared" si="49"/>
        <v>46107</v>
      </c>
      <c r="N98" s="78">
        <f t="shared" si="50"/>
        <v>46111</v>
      </c>
      <c r="O98" s="78">
        <f t="shared" si="51"/>
        <v>46120</v>
      </c>
      <c r="P98" s="78">
        <f t="shared" si="64"/>
        <v>45979</v>
      </c>
      <c r="Q98" s="78">
        <f t="shared" si="64"/>
        <v>45979</v>
      </c>
      <c r="R98" s="78"/>
      <c r="S98" s="78">
        <f>IF(VLOOKUP(A98,Dates,15,)&gt;0,VLOOKUP(A98,Dates,15,)+'Date Calcs'!S$2,IF(VLOOKUP(A98,Dates,13,)&gt;0,VLOOKUP(A98,Dates,13,)+'Date Calcs'!S$2,IF(VLOOKUP(A98,Dates,11,)&gt;0,VLOOKUP(A98,Dates,11,)+'Date Calcs'!S$2,IF(VLOOKUP(A98,Dates,9,)&gt;0,VLOOKUP(A98,Dates,9,)+'Date Calcs'!S$2,$I98+S$2))))+(V98*7)</f>
        <v>46106</v>
      </c>
      <c r="T98" s="78">
        <f t="shared" si="52"/>
        <v>46107</v>
      </c>
      <c r="U98" s="78">
        <f t="shared" si="53"/>
        <v>46111</v>
      </c>
      <c r="V98" s="105">
        <v>0</v>
      </c>
      <c r="W98" s="105">
        <v>0</v>
      </c>
      <c r="X98" s="78">
        <f t="shared" si="54"/>
        <v>46237</v>
      </c>
      <c r="Y98" s="78">
        <f t="shared" si="55"/>
        <v>46118</v>
      </c>
      <c r="Z98" s="78">
        <f t="shared" si="56"/>
        <v>46125</v>
      </c>
      <c r="AA98" s="78">
        <f t="shared" si="63"/>
        <v>46125</v>
      </c>
      <c r="AB98" s="78">
        <f t="shared" si="62"/>
        <v>46125</v>
      </c>
      <c r="AC98" s="78">
        <f t="shared" si="61"/>
        <v>46125</v>
      </c>
      <c r="AD98" s="78">
        <f t="shared" si="57"/>
        <v>46126</v>
      </c>
      <c r="AE98" s="78">
        <f t="shared" si="58"/>
        <v>46118</v>
      </c>
      <c r="AF98" s="78">
        <f t="shared" si="59"/>
        <v>46128</v>
      </c>
      <c r="AG98" s="78">
        <f t="shared" si="60"/>
        <v>46230</v>
      </c>
      <c r="AH98" s="78"/>
    </row>
    <row r="99" spans="1:34" x14ac:dyDescent="0.25">
      <c r="A99" s="103" t="s">
        <v>325</v>
      </c>
      <c r="B99" s="103" t="s">
        <v>326</v>
      </c>
      <c r="C99" s="104">
        <v>45968</v>
      </c>
      <c r="D99" s="103">
        <v>3</v>
      </c>
      <c r="E99" s="103">
        <v>9</v>
      </c>
      <c r="F99" s="103">
        <v>18</v>
      </c>
      <c r="G99" s="103">
        <v>20</v>
      </c>
      <c r="H99" s="78">
        <f t="shared" si="44"/>
        <v>46031</v>
      </c>
      <c r="I99" s="78">
        <f t="shared" si="45"/>
        <v>46050</v>
      </c>
      <c r="J99" s="78">
        <f t="shared" si="46"/>
        <v>46050</v>
      </c>
      <c r="K99" s="78">
        <f t="shared" si="47"/>
        <v>46057</v>
      </c>
      <c r="L99" s="78">
        <f t="shared" si="48"/>
        <v>46062</v>
      </c>
      <c r="M99" s="78">
        <f t="shared" si="49"/>
        <v>46070</v>
      </c>
      <c r="N99" s="78">
        <f t="shared" si="50"/>
        <v>46077</v>
      </c>
      <c r="O99" s="78">
        <f t="shared" si="51"/>
        <v>46084</v>
      </c>
      <c r="P99" s="78">
        <f t="shared" si="64"/>
        <v>45982</v>
      </c>
      <c r="Q99" s="78">
        <f t="shared" si="64"/>
        <v>45982</v>
      </c>
      <c r="R99" s="78"/>
      <c r="S99" s="78">
        <f>IF(VLOOKUP(A99,Dates,15,)&gt;0,VLOOKUP(A99,Dates,15,)+'Date Calcs'!S$2,IF(VLOOKUP(A99,Dates,13,)&gt;0,VLOOKUP(A99,Dates,13,)+'Date Calcs'!S$2,IF(VLOOKUP(A99,Dates,11,)&gt;0,VLOOKUP(A99,Dates,11,)+'Date Calcs'!S$2,IF(VLOOKUP(A99,Dates,9,)&gt;0,VLOOKUP(A99,Dates,9,)+'Date Calcs'!S$2,$I99+S$2))))+(V99*7)</f>
        <v>46057</v>
      </c>
      <c r="T99" s="78">
        <f t="shared" si="52"/>
        <v>46058</v>
      </c>
      <c r="U99" s="78">
        <f t="shared" si="53"/>
        <v>46062</v>
      </c>
      <c r="V99" s="105">
        <v>0</v>
      </c>
      <c r="W99" s="105">
        <v>0</v>
      </c>
      <c r="X99" s="78">
        <f t="shared" si="54"/>
        <v>46202</v>
      </c>
      <c r="Y99" s="78">
        <f t="shared" si="55"/>
        <v>46069</v>
      </c>
      <c r="Z99" s="78">
        <f t="shared" si="56"/>
        <v>46076</v>
      </c>
      <c r="AA99" s="78">
        <f t="shared" si="63"/>
        <v>46076</v>
      </c>
      <c r="AB99" s="78">
        <f t="shared" si="62"/>
        <v>46076</v>
      </c>
      <c r="AC99" s="78">
        <f t="shared" si="61"/>
        <v>46076</v>
      </c>
      <c r="AD99" s="78">
        <f t="shared" si="57"/>
        <v>46077</v>
      </c>
      <c r="AE99" s="78">
        <f t="shared" si="58"/>
        <v>46069</v>
      </c>
      <c r="AF99" s="78">
        <f t="shared" si="59"/>
        <v>46079</v>
      </c>
      <c r="AG99" s="78">
        <f t="shared" si="60"/>
        <v>46195</v>
      </c>
      <c r="AH99" s="78"/>
    </row>
    <row r="100" spans="1:34" x14ac:dyDescent="0.25">
      <c r="A100" s="103" t="s">
        <v>327</v>
      </c>
      <c r="B100" s="103" t="s">
        <v>326</v>
      </c>
      <c r="C100" s="104">
        <v>45968</v>
      </c>
      <c r="D100" s="103">
        <v>3</v>
      </c>
      <c r="E100" s="103">
        <v>9</v>
      </c>
      <c r="F100" s="103">
        <v>18</v>
      </c>
      <c r="G100" s="103">
        <v>20</v>
      </c>
      <c r="H100" s="78">
        <f t="shared" si="44"/>
        <v>46031</v>
      </c>
      <c r="I100" s="78">
        <f t="shared" si="45"/>
        <v>46050</v>
      </c>
      <c r="J100" s="78">
        <f t="shared" si="46"/>
        <v>46050</v>
      </c>
      <c r="K100" s="78">
        <f t="shared" si="47"/>
        <v>46062</v>
      </c>
      <c r="L100" s="78">
        <f t="shared" si="48"/>
        <v>46069</v>
      </c>
      <c r="M100" s="78">
        <f t="shared" si="49"/>
        <v>46076</v>
      </c>
      <c r="N100" s="78">
        <f t="shared" si="50"/>
        <v>46083</v>
      </c>
      <c r="O100" s="78">
        <f t="shared" si="51"/>
        <v>46090</v>
      </c>
      <c r="P100" s="78">
        <f t="shared" si="64"/>
        <v>45982</v>
      </c>
      <c r="Q100" s="78">
        <f t="shared" si="64"/>
        <v>45982</v>
      </c>
      <c r="R100" s="78"/>
      <c r="S100" s="78">
        <f>IF(VLOOKUP(A100,Dates,15,)&gt;0,VLOOKUP(A100,Dates,15,)+'Date Calcs'!S$2,IF(VLOOKUP(A100,Dates,13,)&gt;0,VLOOKUP(A100,Dates,13,)+'Date Calcs'!S$2,IF(VLOOKUP(A100,Dates,11,)&gt;0,VLOOKUP(A100,Dates,11,)+'Date Calcs'!S$2,IF(VLOOKUP(A100,Dates,9,)&gt;0,VLOOKUP(A100,Dates,9,)+'Date Calcs'!S$2,$I100+S$2))))+(V100*7)</f>
        <v>46064</v>
      </c>
      <c r="T100" s="78">
        <f t="shared" si="52"/>
        <v>46065</v>
      </c>
      <c r="U100" s="78">
        <f t="shared" si="53"/>
        <v>46069</v>
      </c>
      <c r="V100" s="105">
        <v>0</v>
      </c>
      <c r="W100" s="105">
        <v>0</v>
      </c>
      <c r="X100" s="78">
        <f t="shared" si="54"/>
        <v>46209</v>
      </c>
      <c r="Y100" s="78">
        <f t="shared" si="55"/>
        <v>46076</v>
      </c>
      <c r="Z100" s="78">
        <f t="shared" si="56"/>
        <v>46083</v>
      </c>
      <c r="AA100" s="78">
        <f t="shared" si="63"/>
        <v>46083</v>
      </c>
      <c r="AB100" s="78">
        <f t="shared" si="62"/>
        <v>46083</v>
      </c>
      <c r="AC100" s="78">
        <f t="shared" si="61"/>
        <v>46083</v>
      </c>
      <c r="AD100" s="78">
        <f t="shared" si="57"/>
        <v>46084</v>
      </c>
      <c r="AE100" s="78">
        <f t="shared" si="58"/>
        <v>46076</v>
      </c>
      <c r="AF100" s="78">
        <f t="shared" si="59"/>
        <v>46086</v>
      </c>
      <c r="AG100" s="78">
        <f t="shared" si="60"/>
        <v>46202</v>
      </c>
      <c r="AH100" s="78"/>
    </row>
    <row r="101" spans="1:34" x14ac:dyDescent="0.25">
      <c r="A101" s="103" t="s">
        <v>328</v>
      </c>
      <c r="B101" s="103" t="s">
        <v>329</v>
      </c>
      <c r="C101" s="104">
        <v>45975</v>
      </c>
      <c r="D101" s="103">
        <v>1</v>
      </c>
      <c r="E101" s="103">
        <v>2</v>
      </c>
      <c r="F101" s="103"/>
      <c r="G101" s="103"/>
      <c r="H101" s="78">
        <f t="shared" ref="H101:H122" si="65">C101+E101*7</f>
        <v>45989</v>
      </c>
      <c r="I101" s="78">
        <f t="shared" ref="I101:I122" si="66">IF(VLOOKUP($A101,Dates,8,)=0,H101+I$2,VLOOKUP($A101,Dates,8,)+I$2)</f>
        <v>45999</v>
      </c>
      <c r="J101" s="78">
        <f t="shared" ref="J101:J122" si="67">IF(VLOOKUP(A101,Dates,9,)=0,I101+J$2,VLOOKUP(A101,Dates,9,)+J$2)</f>
        <v>46001</v>
      </c>
      <c r="K101" s="78">
        <f t="shared" ref="K101:K122" si="68">IF(VLOOKUP($A101,Dates,10,)=0,J101+K$2,VLOOKUP($A101,Dates,10,)+K$2)</f>
        <v>46001</v>
      </c>
      <c r="L101" s="78">
        <f t="shared" ref="L101:L122" si="69">IF(VLOOKUP($A101,Dates,11,)=0,K101+L$2,VLOOKUP($A101,Dates,11,)+L$2)</f>
        <v>46008</v>
      </c>
      <c r="M101" s="78">
        <f t="shared" ref="M101:M122" si="70">IF(VLOOKUP($A101,Dates,12,)=0,L101+M$2,VLOOKUP($A101,Dates,12,)+M$2)</f>
        <v>46015</v>
      </c>
      <c r="N101" s="78">
        <f t="shared" ref="N101:N122" si="71">IF(VLOOKUP($A101,Dates,13,)=0,M101+N$2,VLOOKUP($A101,Dates,13,)+N$2)</f>
        <v>46022</v>
      </c>
      <c r="O101" s="78">
        <f t="shared" ref="O101:O122" si="72">IF(VLOOKUP($A101,Dates,14,)=0,N101+O$2,VLOOKUP($A101,Dates,14,)+O$2)</f>
        <v>46029</v>
      </c>
      <c r="P101" s="78">
        <f t="shared" si="64"/>
        <v>45989</v>
      </c>
      <c r="Q101" s="78">
        <f t="shared" si="64"/>
        <v>45989</v>
      </c>
      <c r="R101" s="78"/>
      <c r="S101" s="78">
        <f>IF(VLOOKUP(A101,Dates,15,)&gt;0,VLOOKUP(A101,Dates,15,)+'Date Calcs'!S$2,IF(VLOOKUP(A101,Dates,13,)&gt;0,VLOOKUP(A101,Dates,13,)+'Date Calcs'!S$2,IF(VLOOKUP(A101,Dates,11,)&gt;0,VLOOKUP(A101,Dates,11,)+'Date Calcs'!S$2,IF(VLOOKUP(A101,Dates,9,)&gt;0,VLOOKUP(A101,Dates,9,)+'Date Calcs'!S$2,$I101+S$2))))+(V101*7)</f>
        <v>45996</v>
      </c>
      <c r="T101" s="78">
        <f t="shared" ref="T101:T130" si="73">$S101+T$2</f>
        <v>45997</v>
      </c>
      <c r="U101" s="78">
        <f t="shared" ref="U101:U106" si="74">S101+U$2-S$2</f>
        <v>46001</v>
      </c>
      <c r="V101" s="105">
        <v>0</v>
      </c>
      <c r="W101" s="105">
        <v>0</v>
      </c>
      <c r="X101" s="78">
        <f t="shared" ref="X101:X122" si="75">(G101*7)+(W101*7)+U101</f>
        <v>46001</v>
      </c>
      <c r="Y101" s="78">
        <f t="shared" ref="Y101:Y122" si="76">S101+Y$2-S$2</f>
        <v>46008</v>
      </c>
      <c r="Z101" s="78">
        <f t="shared" ref="Z101:Z122" si="77">S101+Z$2-S$2</f>
        <v>46015</v>
      </c>
      <c r="AA101" s="78">
        <f t="shared" si="63"/>
        <v>46015</v>
      </c>
      <c r="AB101" s="78">
        <f t="shared" si="62"/>
        <v>46015</v>
      </c>
      <c r="AC101" s="78">
        <f t="shared" si="61"/>
        <v>46015</v>
      </c>
      <c r="AD101" s="78">
        <f t="shared" ref="AD101:AD122" si="78">AB101+$AD$2</f>
        <v>46016</v>
      </c>
      <c r="AE101" s="78">
        <f t="shared" ref="AE101:AE122" si="79">U101+$AE$2</f>
        <v>46008</v>
      </c>
      <c r="AF101" s="78">
        <f t="shared" ref="AF101:AF122" si="80">IF(P101&gt;AD101,P101+$AD$2,AD101+$AF$2)</f>
        <v>46018</v>
      </c>
      <c r="AG101" s="78">
        <f t="shared" ref="AG101:AG122" si="81">S101-S$2+G101*7</f>
        <v>45994</v>
      </c>
      <c r="AH101" s="78"/>
    </row>
    <row r="102" spans="1:34" x14ac:dyDescent="0.25">
      <c r="A102" s="103" t="s">
        <v>330</v>
      </c>
      <c r="B102" s="103" t="s">
        <v>217</v>
      </c>
      <c r="C102" s="104">
        <v>45982</v>
      </c>
      <c r="D102" s="103">
        <v>0</v>
      </c>
      <c r="E102" s="103">
        <v>0</v>
      </c>
      <c r="F102" s="103">
        <v>22</v>
      </c>
      <c r="G102" s="103">
        <v>26</v>
      </c>
      <c r="H102" s="78">
        <f t="shared" si="65"/>
        <v>45982</v>
      </c>
      <c r="I102" s="78">
        <f t="shared" si="66"/>
        <v>46036</v>
      </c>
      <c r="J102" s="78">
        <f t="shared" si="67"/>
        <v>46029</v>
      </c>
      <c r="K102" s="78">
        <f t="shared" si="68"/>
        <v>46029</v>
      </c>
      <c r="L102" s="78">
        <f t="shared" si="69"/>
        <v>46029</v>
      </c>
      <c r="M102" s="78">
        <f t="shared" si="70"/>
        <v>46029</v>
      </c>
      <c r="N102" s="78">
        <f t="shared" si="71"/>
        <v>46029</v>
      </c>
      <c r="O102" s="78">
        <f t="shared" si="72"/>
        <v>46029</v>
      </c>
      <c r="P102" s="78">
        <f t="shared" si="64"/>
        <v>45996</v>
      </c>
      <c r="Q102" s="78">
        <f t="shared" si="64"/>
        <v>45996</v>
      </c>
      <c r="R102" s="78"/>
      <c r="S102" s="78">
        <f>IF(VLOOKUP(A102,Dates,15,)&gt;0,VLOOKUP(A102,Dates,15,)+'Date Calcs'!S$2,IF(VLOOKUP(A102,Dates,13,)&gt;0,VLOOKUP(A102,Dates,13,)+'Date Calcs'!S$2,IF(VLOOKUP(A102,Dates,11,)&gt;0,VLOOKUP(A102,Dates,11,)+'Date Calcs'!S$2,IF(VLOOKUP(A102,Dates,9,)&gt;0,VLOOKUP(A102,Dates,9,)+'Date Calcs'!S$2,$I102+S$2))))+(V102*7)</f>
        <v>46024</v>
      </c>
      <c r="T102" s="78">
        <f t="shared" si="73"/>
        <v>46025</v>
      </c>
      <c r="U102" s="78">
        <f t="shared" si="74"/>
        <v>46029</v>
      </c>
      <c r="V102" s="105">
        <v>0</v>
      </c>
      <c r="W102" s="105">
        <v>0</v>
      </c>
      <c r="X102" s="78">
        <f t="shared" si="75"/>
        <v>46211</v>
      </c>
      <c r="Y102" s="78">
        <f t="shared" si="76"/>
        <v>46036</v>
      </c>
      <c r="Z102" s="78">
        <f t="shared" si="77"/>
        <v>46043</v>
      </c>
      <c r="AA102" s="78">
        <f t="shared" si="63"/>
        <v>46043</v>
      </c>
      <c r="AB102" s="78">
        <f t="shared" si="62"/>
        <v>46043</v>
      </c>
      <c r="AC102" s="78">
        <f t="shared" ref="AC102:AC122" si="82">U102+$AC$2</f>
        <v>46043</v>
      </c>
      <c r="AD102" s="78">
        <f t="shared" si="78"/>
        <v>46044</v>
      </c>
      <c r="AE102" s="78">
        <f t="shared" si="79"/>
        <v>46036</v>
      </c>
      <c r="AF102" s="78">
        <f t="shared" si="80"/>
        <v>46046</v>
      </c>
      <c r="AG102" s="78">
        <f t="shared" si="81"/>
        <v>46204</v>
      </c>
      <c r="AH102" s="78"/>
    </row>
    <row r="103" spans="1:34" x14ac:dyDescent="0.25">
      <c r="A103" s="103" t="s">
        <v>331</v>
      </c>
      <c r="B103" s="103" t="s">
        <v>204</v>
      </c>
      <c r="C103" s="104">
        <v>45995</v>
      </c>
      <c r="D103" s="103">
        <v>3</v>
      </c>
      <c r="E103" s="103">
        <v>4</v>
      </c>
      <c r="F103" s="103">
        <v>16</v>
      </c>
      <c r="G103" s="103">
        <v>18</v>
      </c>
      <c r="H103" s="78">
        <f t="shared" si="65"/>
        <v>46023</v>
      </c>
      <c r="I103" s="78">
        <f t="shared" si="66"/>
        <v>46044</v>
      </c>
      <c r="J103" s="78">
        <f t="shared" si="67"/>
        <v>46077</v>
      </c>
      <c r="K103" s="78">
        <f t="shared" si="68"/>
        <v>46105</v>
      </c>
      <c r="L103" s="78">
        <f t="shared" si="69"/>
        <v>46112</v>
      </c>
      <c r="M103" s="78">
        <f t="shared" si="70"/>
        <v>46119</v>
      </c>
      <c r="N103" s="78">
        <f t="shared" si="71"/>
        <v>46126</v>
      </c>
      <c r="O103" s="78">
        <f t="shared" si="72"/>
        <v>46133</v>
      </c>
      <c r="P103" s="78">
        <f t="shared" si="64"/>
        <v>46009</v>
      </c>
      <c r="Q103" s="78">
        <f t="shared" si="64"/>
        <v>46009</v>
      </c>
      <c r="R103" s="78"/>
      <c r="S103" s="78">
        <f>IF(VLOOKUP(A103,Dates,15,)&gt;0,VLOOKUP(A103,Dates,15,)+'Date Calcs'!S$2,IF(VLOOKUP(A103,Dates,13,)&gt;0,VLOOKUP(A103,Dates,13,)+'Date Calcs'!S$2,IF(VLOOKUP(A103,Dates,11,)&gt;0,VLOOKUP(A103,Dates,11,)+'Date Calcs'!S$2,IF(VLOOKUP(A103,Dates,9,)&gt;0,VLOOKUP(A103,Dates,9,)+'Date Calcs'!S$2,$I103+S$2))))+(V103*7)</f>
        <v>46093</v>
      </c>
      <c r="T103" s="78">
        <f t="shared" si="73"/>
        <v>46094</v>
      </c>
      <c r="U103" s="78">
        <f t="shared" si="74"/>
        <v>46098</v>
      </c>
      <c r="V103" s="105">
        <v>3</v>
      </c>
      <c r="W103" s="105">
        <v>0</v>
      </c>
      <c r="X103" s="78">
        <f t="shared" si="75"/>
        <v>46224</v>
      </c>
      <c r="Y103" s="78">
        <f t="shared" si="76"/>
        <v>46105</v>
      </c>
      <c r="Z103" s="78">
        <f t="shared" si="77"/>
        <v>46112</v>
      </c>
      <c r="AA103" s="78">
        <f t="shared" si="63"/>
        <v>46112</v>
      </c>
      <c r="AB103" s="78">
        <f t="shared" si="62"/>
        <v>46112</v>
      </c>
      <c r="AC103" s="78">
        <f t="shared" si="82"/>
        <v>46112</v>
      </c>
      <c r="AD103" s="78">
        <f t="shared" si="78"/>
        <v>46113</v>
      </c>
      <c r="AE103" s="78">
        <f t="shared" si="79"/>
        <v>46105</v>
      </c>
      <c r="AF103" s="78">
        <f t="shared" si="80"/>
        <v>46115</v>
      </c>
      <c r="AG103" s="78">
        <f t="shared" si="81"/>
        <v>46217</v>
      </c>
      <c r="AH103" s="78"/>
    </row>
    <row r="104" spans="1:34" x14ac:dyDescent="0.25">
      <c r="A104" s="103" t="s">
        <v>332</v>
      </c>
      <c r="B104" s="103" t="s">
        <v>204</v>
      </c>
      <c r="C104" s="104">
        <v>45995</v>
      </c>
      <c r="D104" s="103">
        <v>3</v>
      </c>
      <c r="E104" s="103">
        <v>4</v>
      </c>
      <c r="F104" s="103">
        <v>16</v>
      </c>
      <c r="G104" s="103">
        <v>18</v>
      </c>
      <c r="H104" s="78">
        <f t="shared" si="65"/>
        <v>46023</v>
      </c>
      <c r="I104" s="78">
        <f t="shared" si="66"/>
        <v>46044</v>
      </c>
      <c r="J104" s="78">
        <f t="shared" si="67"/>
        <v>46077</v>
      </c>
      <c r="K104" s="78">
        <f t="shared" si="68"/>
        <v>46105</v>
      </c>
      <c r="L104" s="78">
        <f t="shared" si="69"/>
        <v>46112</v>
      </c>
      <c r="M104" s="78">
        <f t="shared" si="70"/>
        <v>46119</v>
      </c>
      <c r="N104" s="78">
        <f t="shared" si="71"/>
        <v>46126</v>
      </c>
      <c r="O104" s="78">
        <f t="shared" si="72"/>
        <v>46133</v>
      </c>
      <c r="P104" s="78">
        <f t="shared" si="64"/>
        <v>46009</v>
      </c>
      <c r="Q104" s="78">
        <f t="shared" si="64"/>
        <v>46009</v>
      </c>
      <c r="R104" s="78"/>
      <c r="S104" s="78">
        <f>IF(VLOOKUP(A104,Dates,15,)&gt;0,VLOOKUP(A104,Dates,15,)+'Date Calcs'!S$2,IF(VLOOKUP(A104,Dates,13,)&gt;0,VLOOKUP(A104,Dates,13,)+'Date Calcs'!S$2,IF(VLOOKUP(A104,Dates,11,)&gt;0,VLOOKUP(A104,Dates,11,)+'Date Calcs'!S$2,IF(VLOOKUP(A104,Dates,9,)&gt;0,VLOOKUP(A104,Dates,9,)+'Date Calcs'!S$2,$I104+S$2))))+(V104*7)</f>
        <v>46093</v>
      </c>
      <c r="T104" s="78">
        <f t="shared" si="73"/>
        <v>46094</v>
      </c>
      <c r="U104" s="78">
        <f t="shared" si="74"/>
        <v>46098</v>
      </c>
      <c r="V104" s="105">
        <v>3</v>
      </c>
      <c r="W104" s="105">
        <v>0</v>
      </c>
      <c r="X104" s="78">
        <f t="shared" si="75"/>
        <v>46224</v>
      </c>
      <c r="Y104" s="78">
        <f t="shared" si="76"/>
        <v>46105</v>
      </c>
      <c r="Z104" s="78">
        <f t="shared" si="77"/>
        <v>46112</v>
      </c>
      <c r="AA104" s="78">
        <f t="shared" si="63"/>
        <v>46112</v>
      </c>
      <c r="AB104" s="78">
        <f t="shared" si="62"/>
        <v>46112</v>
      </c>
      <c r="AC104" s="78">
        <f t="shared" si="82"/>
        <v>46112</v>
      </c>
      <c r="AD104" s="78">
        <f t="shared" si="78"/>
        <v>46113</v>
      </c>
      <c r="AE104" s="78">
        <f t="shared" si="79"/>
        <v>46105</v>
      </c>
      <c r="AF104" s="78">
        <f t="shared" si="80"/>
        <v>46115</v>
      </c>
      <c r="AG104" s="78">
        <f t="shared" si="81"/>
        <v>46217</v>
      </c>
      <c r="AH104" s="78"/>
    </row>
    <row r="105" spans="1:34" x14ac:dyDescent="0.25">
      <c r="A105" s="103" t="s">
        <v>333</v>
      </c>
      <c r="B105" s="103" t="s">
        <v>204</v>
      </c>
      <c r="C105" s="104">
        <v>45995</v>
      </c>
      <c r="D105" s="103">
        <v>3</v>
      </c>
      <c r="E105" s="103">
        <v>4</v>
      </c>
      <c r="F105" s="103">
        <v>16</v>
      </c>
      <c r="G105" s="103">
        <v>18</v>
      </c>
      <c r="H105" s="78">
        <f t="shared" si="65"/>
        <v>46023</v>
      </c>
      <c r="I105" s="78">
        <f t="shared" si="66"/>
        <v>46044</v>
      </c>
      <c r="J105" s="78">
        <f t="shared" si="67"/>
        <v>46104</v>
      </c>
      <c r="K105" s="78">
        <f t="shared" si="68"/>
        <v>46113</v>
      </c>
      <c r="L105" s="78">
        <f t="shared" si="69"/>
        <v>46120</v>
      </c>
      <c r="M105" s="78">
        <f t="shared" si="70"/>
        <v>46127</v>
      </c>
      <c r="N105" s="78">
        <f t="shared" si="71"/>
        <v>46134</v>
      </c>
      <c r="O105" s="78">
        <f t="shared" si="72"/>
        <v>46141</v>
      </c>
      <c r="P105" s="78">
        <f t="shared" ref="P105:Q128" si="83">$C105+P$2</f>
        <v>46009</v>
      </c>
      <c r="Q105" s="78">
        <f t="shared" si="83"/>
        <v>46009</v>
      </c>
      <c r="R105" s="78"/>
      <c r="S105" s="78">
        <f>IF(VLOOKUP(A105,Dates,15,)&gt;0,VLOOKUP(A105,Dates,15,)+'Date Calcs'!S$2,IF(VLOOKUP(A105,Dates,13,)&gt;0,VLOOKUP(A105,Dates,13,)+'Date Calcs'!S$2,IF(VLOOKUP(A105,Dates,11,)&gt;0,VLOOKUP(A105,Dates,11,)+'Date Calcs'!S$2,IF(VLOOKUP(A105,Dates,9,)&gt;0,VLOOKUP(A105,Dates,9,)+'Date Calcs'!S$2,$I105+S$2))))+(V105*7)</f>
        <v>46099</v>
      </c>
      <c r="T105" s="78">
        <f t="shared" si="73"/>
        <v>46100</v>
      </c>
      <c r="U105" s="78">
        <f t="shared" si="74"/>
        <v>46104</v>
      </c>
      <c r="V105" s="105">
        <v>0</v>
      </c>
      <c r="W105" s="105">
        <v>0</v>
      </c>
      <c r="X105" s="78">
        <f t="shared" si="75"/>
        <v>46230</v>
      </c>
      <c r="Y105" s="78">
        <f t="shared" si="76"/>
        <v>46111</v>
      </c>
      <c r="Z105" s="78">
        <f t="shared" si="77"/>
        <v>46118</v>
      </c>
      <c r="AA105" s="78">
        <f t="shared" si="63"/>
        <v>46118</v>
      </c>
      <c r="AB105" s="78">
        <f t="shared" si="62"/>
        <v>46118</v>
      </c>
      <c r="AC105" s="78">
        <f t="shared" si="82"/>
        <v>46118</v>
      </c>
      <c r="AD105" s="78">
        <f t="shared" si="78"/>
        <v>46119</v>
      </c>
      <c r="AE105" s="78">
        <f t="shared" si="79"/>
        <v>46111</v>
      </c>
      <c r="AF105" s="78">
        <f t="shared" si="80"/>
        <v>46121</v>
      </c>
      <c r="AG105" s="78">
        <f t="shared" si="81"/>
        <v>46223</v>
      </c>
      <c r="AH105" s="78"/>
    </row>
    <row r="106" spans="1:34" x14ac:dyDescent="0.25">
      <c r="A106" s="103" t="s">
        <v>334</v>
      </c>
      <c r="B106" s="103" t="s">
        <v>329</v>
      </c>
      <c r="C106" s="104">
        <v>46006</v>
      </c>
      <c r="D106" s="103">
        <v>0</v>
      </c>
      <c r="E106" s="103">
        <v>0</v>
      </c>
      <c r="F106" s="103">
        <v>16</v>
      </c>
      <c r="G106" s="103">
        <v>32</v>
      </c>
      <c r="H106" s="78">
        <f t="shared" si="65"/>
        <v>46006</v>
      </c>
      <c r="I106" s="78">
        <f t="shared" si="66"/>
        <v>46036</v>
      </c>
      <c r="J106" s="78">
        <f t="shared" si="67"/>
        <v>46029</v>
      </c>
      <c r="K106" s="78">
        <f t="shared" si="68"/>
        <v>46029</v>
      </c>
      <c r="L106" s="78">
        <f t="shared" si="69"/>
        <v>46029</v>
      </c>
      <c r="M106" s="78">
        <f t="shared" si="70"/>
        <v>46029</v>
      </c>
      <c r="N106" s="78">
        <f t="shared" si="71"/>
        <v>46029</v>
      </c>
      <c r="O106" s="78">
        <f t="shared" si="72"/>
        <v>46029</v>
      </c>
      <c r="P106" s="78">
        <f t="shared" si="83"/>
        <v>46020</v>
      </c>
      <c r="Q106" s="78">
        <f t="shared" si="83"/>
        <v>46020</v>
      </c>
      <c r="R106" s="78"/>
      <c r="S106" s="78">
        <f>IF(VLOOKUP(A106,Dates,15,)&gt;0,VLOOKUP(A106,Dates,15,)+'Date Calcs'!S$2,IF(VLOOKUP(A106,Dates,13,)&gt;0,VLOOKUP(A106,Dates,13,)+'Date Calcs'!S$2,IF(VLOOKUP(A106,Dates,11,)&gt;0,VLOOKUP(A106,Dates,11,)+'Date Calcs'!S$2,IF(VLOOKUP(A106,Dates,9,)&gt;0,VLOOKUP(A106,Dates,9,)+'Date Calcs'!S$2,$I106+S$2))))+(V106*7)</f>
        <v>46024</v>
      </c>
      <c r="T106" s="78">
        <f t="shared" si="73"/>
        <v>46025</v>
      </c>
      <c r="U106" s="78">
        <f t="shared" si="74"/>
        <v>46029</v>
      </c>
      <c r="V106" s="105">
        <v>0</v>
      </c>
      <c r="W106" s="105">
        <v>0</v>
      </c>
      <c r="X106" s="78">
        <f t="shared" si="75"/>
        <v>46253</v>
      </c>
      <c r="Y106" s="78">
        <f t="shared" si="76"/>
        <v>46036</v>
      </c>
      <c r="Z106" s="78">
        <f t="shared" si="77"/>
        <v>46043</v>
      </c>
      <c r="AA106" s="78">
        <f t="shared" si="63"/>
        <v>46043</v>
      </c>
      <c r="AB106" s="78">
        <f t="shared" si="62"/>
        <v>46043</v>
      </c>
      <c r="AC106" s="78">
        <f t="shared" si="82"/>
        <v>46043</v>
      </c>
      <c r="AD106" s="78">
        <f t="shared" si="78"/>
        <v>46044</v>
      </c>
      <c r="AE106" s="78">
        <f t="shared" si="79"/>
        <v>46036</v>
      </c>
      <c r="AF106" s="78">
        <f t="shared" si="80"/>
        <v>46046</v>
      </c>
      <c r="AG106" s="78">
        <f t="shared" si="81"/>
        <v>46246</v>
      </c>
      <c r="AH106" s="78"/>
    </row>
    <row r="107" spans="1:34" x14ac:dyDescent="0.25">
      <c r="A107" s="103" t="s">
        <v>335</v>
      </c>
      <c r="B107" s="103" t="s">
        <v>281</v>
      </c>
      <c r="C107" s="104">
        <v>46020</v>
      </c>
      <c r="D107" s="103">
        <v>3</v>
      </c>
      <c r="E107" s="103">
        <v>4</v>
      </c>
      <c r="F107" s="103">
        <v>16</v>
      </c>
      <c r="G107" s="103">
        <v>18</v>
      </c>
      <c r="H107" s="78">
        <f t="shared" si="65"/>
        <v>46048</v>
      </c>
      <c r="I107" s="78">
        <f t="shared" si="66"/>
        <v>46064</v>
      </c>
      <c r="J107" s="78">
        <f t="shared" si="67"/>
        <v>46062</v>
      </c>
      <c r="K107" s="78">
        <f t="shared" si="68"/>
        <v>46076</v>
      </c>
      <c r="L107" s="78">
        <f t="shared" si="69"/>
        <v>46081</v>
      </c>
      <c r="M107" s="78">
        <f t="shared" si="70"/>
        <v>46086</v>
      </c>
      <c r="N107" s="78">
        <f t="shared" si="71"/>
        <v>46093</v>
      </c>
      <c r="O107" s="78">
        <f t="shared" si="72"/>
        <v>46100</v>
      </c>
      <c r="P107" s="78">
        <f t="shared" si="83"/>
        <v>46034</v>
      </c>
      <c r="Q107" s="78">
        <f t="shared" si="83"/>
        <v>46034</v>
      </c>
      <c r="R107" s="78"/>
      <c r="S107" s="78">
        <f>IF(VLOOKUP(A107,Dates,15,)&gt;0,VLOOKUP(A107,Dates,15,)+'Date Calcs'!S$2,IF(VLOOKUP(A107,Dates,13,)&gt;0,VLOOKUP(A107,Dates,13,)+'Date Calcs'!S$2,IF(VLOOKUP(A107,Dates,11,)&gt;0,VLOOKUP(A107,Dates,11,)+'Date Calcs'!S$2,IF(VLOOKUP(A107,Dates,9,)&gt;0,VLOOKUP(A107,Dates,9,)+'Date Calcs'!S$2,$I107+S$2))))+(V107*7)</f>
        <v>46076</v>
      </c>
      <c r="T107" s="78">
        <f t="shared" si="73"/>
        <v>46077</v>
      </c>
      <c r="U107" s="78">
        <v>46074</v>
      </c>
      <c r="V107" s="105">
        <v>0</v>
      </c>
      <c r="W107" s="105">
        <v>0</v>
      </c>
      <c r="X107" s="78">
        <f t="shared" si="75"/>
        <v>46200</v>
      </c>
      <c r="Y107" s="78">
        <f t="shared" si="76"/>
        <v>46088</v>
      </c>
      <c r="Z107" s="78">
        <f t="shared" si="77"/>
        <v>46095</v>
      </c>
      <c r="AA107" s="78">
        <f t="shared" si="63"/>
        <v>46095</v>
      </c>
      <c r="AB107" s="78">
        <f t="shared" si="62"/>
        <v>46095</v>
      </c>
      <c r="AC107" s="78">
        <f t="shared" si="82"/>
        <v>46088</v>
      </c>
      <c r="AD107" s="78">
        <f t="shared" si="78"/>
        <v>46096</v>
      </c>
      <c r="AE107" s="78">
        <f t="shared" si="79"/>
        <v>46081</v>
      </c>
      <c r="AF107" s="78">
        <f t="shared" si="80"/>
        <v>46098</v>
      </c>
      <c r="AG107" s="78">
        <f t="shared" si="81"/>
        <v>46200</v>
      </c>
      <c r="AH107" s="78"/>
    </row>
    <row r="108" spans="1:34" x14ac:dyDescent="0.25">
      <c r="A108" s="103" t="s">
        <v>336</v>
      </c>
      <c r="B108" s="103" t="s">
        <v>337</v>
      </c>
      <c r="C108" s="104">
        <v>46021</v>
      </c>
      <c r="D108" s="103">
        <v>3</v>
      </c>
      <c r="E108" s="103">
        <v>4</v>
      </c>
      <c r="F108" s="103">
        <v>14</v>
      </c>
      <c r="G108" s="103">
        <v>16</v>
      </c>
      <c r="H108" s="78">
        <f t="shared" si="65"/>
        <v>46049</v>
      </c>
      <c r="I108" s="78">
        <f t="shared" si="66"/>
        <v>46065</v>
      </c>
      <c r="J108" s="78">
        <f t="shared" si="67"/>
        <v>46071</v>
      </c>
      <c r="K108" s="78">
        <f t="shared" si="68"/>
        <v>46087</v>
      </c>
      <c r="L108" s="78">
        <f t="shared" si="69"/>
        <v>46114</v>
      </c>
      <c r="M108" s="78">
        <f t="shared" si="70"/>
        <v>46120</v>
      </c>
      <c r="N108" s="78">
        <f t="shared" si="71"/>
        <v>46127</v>
      </c>
      <c r="O108" s="78">
        <f t="shared" si="72"/>
        <v>46134</v>
      </c>
      <c r="P108" s="78">
        <f t="shared" si="83"/>
        <v>46035</v>
      </c>
      <c r="Q108" s="78">
        <f t="shared" si="83"/>
        <v>46035</v>
      </c>
      <c r="R108" s="78"/>
      <c r="S108" s="78">
        <f>IF(VLOOKUP(A108,Dates,15,)&gt;0,VLOOKUP(A108,Dates,15,)+'Date Calcs'!S$2,IF(VLOOKUP(A108,Dates,13,)&gt;0,VLOOKUP(A108,Dates,13,)+'Date Calcs'!S$2,IF(VLOOKUP(A108,Dates,11,)&gt;0,VLOOKUP(A108,Dates,11,)+'Date Calcs'!S$2,IF(VLOOKUP(A108,Dates,9,)&gt;0,VLOOKUP(A108,Dates,9,)+'Date Calcs'!S$2,$I108+S$2))))+(V108*7)</f>
        <v>46109</v>
      </c>
      <c r="T108" s="78">
        <f t="shared" si="73"/>
        <v>46110</v>
      </c>
      <c r="U108" s="78">
        <f t="shared" ref="U108:U122" si="84">S108+U$2-S$2</f>
        <v>46114</v>
      </c>
      <c r="V108" s="105">
        <v>0</v>
      </c>
      <c r="W108" s="105">
        <v>0</v>
      </c>
      <c r="X108" s="78">
        <f t="shared" si="75"/>
        <v>46226</v>
      </c>
      <c r="Y108" s="78">
        <f t="shared" si="76"/>
        <v>46121</v>
      </c>
      <c r="Z108" s="78">
        <f t="shared" si="77"/>
        <v>46128</v>
      </c>
      <c r="AA108" s="78">
        <f t="shared" si="63"/>
        <v>46128</v>
      </c>
      <c r="AB108" s="78">
        <f t="shared" si="62"/>
        <v>46128</v>
      </c>
      <c r="AC108" s="78">
        <f t="shared" si="82"/>
        <v>46128</v>
      </c>
      <c r="AD108" s="78">
        <f t="shared" si="78"/>
        <v>46129</v>
      </c>
      <c r="AE108" s="78">
        <f t="shared" si="79"/>
        <v>46121</v>
      </c>
      <c r="AF108" s="78">
        <f t="shared" si="80"/>
        <v>46131</v>
      </c>
      <c r="AG108" s="78">
        <f t="shared" si="81"/>
        <v>46219</v>
      </c>
      <c r="AH108" s="78"/>
    </row>
    <row r="109" spans="1:34" x14ac:dyDescent="0.25">
      <c r="A109" s="103" t="s">
        <v>338</v>
      </c>
      <c r="B109" s="103" t="s">
        <v>337</v>
      </c>
      <c r="C109" s="104">
        <v>46021</v>
      </c>
      <c r="D109" s="103">
        <v>3</v>
      </c>
      <c r="E109" s="103">
        <v>4</v>
      </c>
      <c r="F109" s="103">
        <v>14</v>
      </c>
      <c r="G109" s="103">
        <v>16</v>
      </c>
      <c r="H109" s="78">
        <f t="shared" si="65"/>
        <v>46049</v>
      </c>
      <c r="I109" s="78">
        <f t="shared" si="66"/>
        <v>46066</v>
      </c>
      <c r="J109" s="78">
        <f t="shared" si="67"/>
        <v>46071</v>
      </c>
      <c r="K109" s="78">
        <f t="shared" si="68"/>
        <v>46087</v>
      </c>
      <c r="L109" s="78">
        <f t="shared" si="69"/>
        <v>46114</v>
      </c>
      <c r="M109" s="78">
        <f t="shared" si="70"/>
        <v>46120</v>
      </c>
      <c r="N109" s="78">
        <f t="shared" si="71"/>
        <v>46127</v>
      </c>
      <c r="O109" s="78">
        <f t="shared" si="72"/>
        <v>46134</v>
      </c>
      <c r="P109" s="78">
        <f t="shared" si="83"/>
        <v>46035</v>
      </c>
      <c r="Q109" s="78">
        <f t="shared" si="83"/>
        <v>46035</v>
      </c>
      <c r="R109" s="78"/>
      <c r="S109" s="78">
        <f>IF(VLOOKUP(A109,Dates,15,)&gt;0,VLOOKUP(A109,Dates,15,)+'Date Calcs'!S$2,IF(VLOOKUP(A109,Dates,13,)&gt;0,VLOOKUP(A109,Dates,13,)+'Date Calcs'!S$2,IF(VLOOKUP(A109,Dates,11,)&gt;0,VLOOKUP(A109,Dates,11,)+'Date Calcs'!S$2,IF(VLOOKUP(A109,Dates,9,)&gt;0,VLOOKUP(A109,Dates,9,)+'Date Calcs'!S$2,$I109+S$2))))+(V109*7)</f>
        <v>46109</v>
      </c>
      <c r="T109" s="78">
        <f t="shared" si="73"/>
        <v>46110</v>
      </c>
      <c r="U109" s="78">
        <f t="shared" si="84"/>
        <v>46114</v>
      </c>
      <c r="V109" s="105">
        <v>0</v>
      </c>
      <c r="W109" s="105">
        <v>0</v>
      </c>
      <c r="X109" s="78">
        <f t="shared" si="75"/>
        <v>46226</v>
      </c>
      <c r="Y109" s="78">
        <f t="shared" si="76"/>
        <v>46121</v>
      </c>
      <c r="Z109" s="78">
        <f t="shared" si="77"/>
        <v>46128</v>
      </c>
      <c r="AA109" s="78">
        <f t="shared" si="63"/>
        <v>46128</v>
      </c>
      <c r="AB109" s="78">
        <f t="shared" si="62"/>
        <v>46128</v>
      </c>
      <c r="AC109" s="78">
        <f t="shared" si="82"/>
        <v>46128</v>
      </c>
      <c r="AD109" s="78">
        <f t="shared" si="78"/>
        <v>46129</v>
      </c>
      <c r="AE109" s="78">
        <f t="shared" si="79"/>
        <v>46121</v>
      </c>
      <c r="AF109" s="78">
        <f t="shared" si="80"/>
        <v>46131</v>
      </c>
      <c r="AG109" s="78">
        <f t="shared" si="81"/>
        <v>46219</v>
      </c>
      <c r="AH109" s="78"/>
    </row>
    <row r="110" spans="1:34" x14ac:dyDescent="0.25">
      <c r="A110" s="103" t="s">
        <v>339</v>
      </c>
      <c r="B110" s="103" t="s">
        <v>340</v>
      </c>
      <c r="C110" s="104">
        <v>46031</v>
      </c>
      <c r="D110" s="103">
        <v>3</v>
      </c>
      <c r="E110" s="103">
        <v>4</v>
      </c>
      <c r="F110" s="103">
        <v>16</v>
      </c>
      <c r="G110" s="103">
        <v>18</v>
      </c>
      <c r="H110" s="78">
        <f t="shared" si="65"/>
        <v>46059</v>
      </c>
      <c r="I110" s="78">
        <f t="shared" si="66"/>
        <v>46073</v>
      </c>
      <c r="J110" s="78">
        <f t="shared" si="67"/>
        <v>46104</v>
      </c>
      <c r="K110" s="78">
        <f t="shared" si="68"/>
        <v>46111</v>
      </c>
      <c r="L110" s="78">
        <f t="shared" si="69"/>
        <v>46118</v>
      </c>
      <c r="M110" s="78">
        <f t="shared" si="70"/>
        <v>46125</v>
      </c>
      <c r="N110" s="78">
        <f t="shared" si="71"/>
        <v>46132</v>
      </c>
      <c r="O110" s="78">
        <f t="shared" si="72"/>
        <v>46139</v>
      </c>
      <c r="P110" s="78">
        <f t="shared" si="83"/>
        <v>46045</v>
      </c>
      <c r="Q110" s="78">
        <f t="shared" si="83"/>
        <v>46045</v>
      </c>
      <c r="R110" s="78"/>
      <c r="S110" s="78">
        <f>IF(VLOOKUP(A110,Dates,15,)&gt;0,VLOOKUP(A110,Dates,15,)+'Date Calcs'!S$2,IF(VLOOKUP(A110,Dates,13,)&gt;0,VLOOKUP(A110,Dates,13,)+'Date Calcs'!S$2,IF(VLOOKUP(A110,Dates,11,)&gt;0,VLOOKUP(A110,Dates,11,)+'Date Calcs'!S$2,IF(VLOOKUP(A110,Dates,9,)&gt;0,VLOOKUP(A110,Dates,9,)+'Date Calcs'!S$2,$I110+S$2))))+(V110*7)</f>
        <v>46113</v>
      </c>
      <c r="T110" s="78">
        <f t="shared" si="73"/>
        <v>46114</v>
      </c>
      <c r="U110" s="78">
        <f t="shared" si="84"/>
        <v>46118</v>
      </c>
      <c r="V110" s="105">
        <v>2</v>
      </c>
      <c r="W110" s="105">
        <v>0</v>
      </c>
      <c r="X110" s="78">
        <f t="shared" si="75"/>
        <v>46244</v>
      </c>
      <c r="Y110" s="78">
        <f t="shared" si="76"/>
        <v>46125</v>
      </c>
      <c r="Z110" s="78">
        <f t="shared" si="77"/>
        <v>46132</v>
      </c>
      <c r="AA110" s="78">
        <f t="shared" si="63"/>
        <v>46132</v>
      </c>
      <c r="AB110" s="78">
        <f t="shared" si="62"/>
        <v>46132</v>
      </c>
      <c r="AC110" s="78">
        <f t="shared" si="82"/>
        <v>46132</v>
      </c>
      <c r="AD110" s="78">
        <f t="shared" si="78"/>
        <v>46133</v>
      </c>
      <c r="AE110" s="78">
        <f t="shared" si="79"/>
        <v>46125</v>
      </c>
      <c r="AF110" s="78">
        <f t="shared" si="80"/>
        <v>46135</v>
      </c>
      <c r="AG110" s="78">
        <f t="shared" si="81"/>
        <v>46237</v>
      </c>
      <c r="AH110" s="78"/>
    </row>
    <row r="111" spans="1:34" x14ac:dyDescent="0.25">
      <c r="A111" s="103" t="s">
        <v>341</v>
      </c>
      <c r="B111" s="103" t="s">
        <v>340</v>
      </c>
      <c r="C111" s="104">
        <v>46031</v>
      </c>
      <c r="D111" s="103">
        <v>3</v>
      </c>
      <c r="E111" s="103">
        <v>4</v>
      </c>
      <c r="F111" s="103">
        <v>16</v>
      </c>
      <c r="G111" s="103">
        <v>18</v>
      </c>
      <c r="H111" s="78">
        <f t="shared" si="65"/>
        <v>46059</v>
      </c>
      <c r="I111" s="78">
        <f t="shared" si="66"/>
        <v>46073</v>
      </c>
      <c r="J111" s="78">
        <f t="shared" si="67"/>
        <v>46104</v>
      </c>
      <c r="K111" s="78">
        <f t="shared" si="68"/>
        <v>46111</v>
      </c>
      <c r="L111" s="78">
        <f t="shared" si="69"/>
        <v>46118</v>
      </c>
      <c r="M111" s="78">
        <f t="shared" si="70"/>
        <v>46125</v>
      </c>
      <c r="N111" s="78">
        <f t="shared" si="71"/>
        <v>46132</v>
      </c>
      <c r="O111" s="78">
        <f t="shared" si="72"/>
        <v>46139</v>
      </c>
      <c r="P111" s="78">
        <f t="shared" si="83"/>
        <v>46045</v>
      </c>
      <c r="Q111" s="78">
        <f t="shared" si="83"/>
        <v>46045</v>
      </c>
      <c r="R111" s="78"/>
      <c r="S111" s="78">
        <f>IF(VLOOKUP(A111,Dates,15,)&gt;0,VLOOKUP(A111,Dates,15,)+'Date Calcs'!S$2,IF(VLOOKUP(A111,Dates,13,)&gt;0,VLOOKUP(A111,Dates,13,)+'Date Calcs'!S$2,IF(VLOOKUP(A111,Dates,11,)&gt;0,VLOOKUP(A111,Dates,11,)+'Date Calcs'!S$2,IF(VLOOKUP(A111,Dates,9,)&gt;0,VLOOKUP(A111,Dates,9,)+'Date Calcs'!S$2,$I111+S$2))))+(V111*7)</f>
        <v>46113</v>
      </c>
      <c r="T111" s="78">
        <f t="shared" si="73"/>
        <v>46114</v>
      </c>
      <c r="U111" s="78">
        <f t="shared" si="84"/>
        <v>46118</v>
      </c>
      <c r="V111" s="105">
        <v>2</v>
      </c>
      <c r="W111" s="105">
        <v>0</v>
      </c>
      <c r="X111" s="78">
        <f t="shared" si="75"/>
        <v>46244</v>
      </c>
      <c r="Y111" s="78">
        <f t="shared" si="76"/>
        <v>46125</v>
      </c>
      <c r="Z111" s="78">
        <f t="shared" si="77"/>
        <v>46132</v>
      </c>
      <c r="AA111" s="78">
        <f t="shared" si="63"/>
        <v>46132</v>
      </c>
      <c r="AB111" s="78">
        <f t="shared" si="62"/>
        <v>46132</v>
      </c>
      <c r="AC111" s="78">
        <f t="shared" si="82"/>
        <v>46132</v>
      </c>
      <c r="AD111" s="78">
        <f t="shared" si="78"/>
        <v>46133</v>
      </c>
      <c r="AE111" s="78">
        <f t="shared" si="79"/>
        <v>46125</v>
      </c>
      <c r="AF111" s="78">
        <f t="shared" si="80"/>
        <v>46135</v>
      </c>
      <c r="AG111" s="78">
        <f t="shared" si="81"/>
        <v>46237</v>
      </c>
      <c r="AH111" s="78"/>
    </row>
    <row r="112" spans="1:34" x14ac:dyDescent="0.25">
      <c r="A112" s="103" t="s">
        <v>342</v>
      </c>
      <c r="B112" s="103" t="s">
        <v>340</v>
      </c>
      <c r="C112" s="104">
        <v>46031</v>
      </c>
      <c r="D112" s="103">
        <v>3</v>
      </c>
      <c r="E112" s="103">
        <v>4</v>
      </c>
      <c r="F112" s="103">
        <v>16</v>
      </c>
      <c r="G112" s="103">
        <v>18</v>
      </c>
      <c r="H112" s="78">
        <f t="shared" si="65"/>
        <v>46059</v>
      </c>
      <c r="I112" s="78">
        <f t="shared" si="66"/>
        <v>46073</v>
      </c>
      <c r="J112" s="78">
        <f t="shared" si="67"/>
        <v>46104</v>
      </c>
      <c r="K112" s="78">
        <f t="shared" si="68"/>
        <v>46111</v>
      </c>
      <c r="L112" s="78">
        <f t="shared" si="69"/>
        <v>46118</v>
      </c>
      <c r="M112" s="78">
        <f t="shared" si="70"/>
        <v>46125</v>
      </c>
      <c r="N112" s="78">
        <f t="shared" si="71"/>
        <v>46132</v>
      </c>
      <c r="O112" s="78">
        <f t="shared" si="72"/>
        <v>46139</v>
      </c>
      <c r="P112" s="78">
        <f t="shared" si="83"/>
        <v>46045</v>
      </c>
      <c r="Q112" s="78">
        <f t="shared" si="83"/>
        <v>46045</v>
      </c>
      <c r="R112" s="78"/>
      <c r="S112" s="78">
        <f>IF(VLOOKUP(A112,Dates,15,)&gt;0,VLOOKUP(A112,Dates,15,)+'Date Calcs'!S$2,IF(VLOOKUP(A112,Dates,13,)&gt;0,VLOOKUP(A112,Dates,13,)+'Date Calcs'!S$2,IF(VLOOKUP(A112,Dates,11,)&gt;0,VLOOKUP(A112,Dates,11,)+'Date Calcs'!S$2,IF(VLOOKUP(A112,Dates,9,)&gt;0,VLOOKUP(A112,Dates,9,)+'Date Calcs'!S$2,$I112+S$2))))+(V112*7)</f>
        <v>46113</v>
      </c>
      <c r="T112" s="78">
        <f t="shared" si="73"/>
        <v>46114</v>
      </c>
      <c r="U112" s="78">
        <f t="shared" si="84"/>
        <v>46118</v>
      </c>
      <c r="V112" s="105">
        <v>2</v>
      </c>
      <c r="W112" s="105">
        <v>0</v>
      </c>
      <c r="X112" s="78">
        <f t="shared" si="75"/>
        <v>46244</v>
      </c>
      <c r="Y112" s="78">
        <f t="shared" si="76"/>
        <v>46125</v>
      </c>
      <c r="Z112" s="78">
        <f t="shared" si="77"/>
        <v>46132</v>
      </c>
      <c r="AA112" s="78">
        <f t="shared" si="63"/>
        <v>46132</v>
      </c>
      <c r="AB112" s="78">
        <f t="shared" si="62"/>
        <v>46132</v>
      </c>
      <c r="AC112" s="78">
        <f t="shared" si="82"/>
        <v>46132</v>
      </c>
      <c r="AD112" s="78">
        <f t="shared" si="78"/>
        <v>46133</v>
      </c>
      <c r="AE112" s="78">
        <f t="shared" si="79"/>
        <v>46125</v>
      </c>
      <c r="AF112" s="78">
        <f t="shared" si="80"/>
        <v>46135</v>
      </c>
      <c r="AG112" s="78">
        <f t="shared" si="81"/>
        <v>46237</v>
      </c>
      <c r="AH112" s="78"/>
    </row>
    <row r="113" spans="1:34" x14ac:dyDescent="0.25">
      <c r="A113" s="103" t="s">
        <v>343</v>
      </c>
      <c r="B113" s="103" t="s">
        <v>296</v>
      </c>
      <c r="C113" s="104">
        <v>46034</v>
      </c>
      <c r="D113" s="103">
        <v>3</v>
      </c>
      <c r="E113" s="103">
        <v>4</v>
      </c>
      <c r="F113" s="103">
        <v>15</v>
      </c>
      <c r="G113" s="103">
        <v>17</v>
      </c>
      <c r="H113" s="78">
        <f t="shared" si="65"/>
        <v>46062</v>
      </c>
      <c r="I113" s="78">
        <f t="shared" si="66"/>
        <v>46072</v>
      </c>
      <c r="J113" s="78">
        <f t="shared" si="67"/>
        <v>46071</v>
      </c>
      <c r="K113" s="78">
        <f t="shared" si="68"/>
        <v>46092</v>
      </c>
      <c r="L113" s="78">
        <f t="shared" si="69"/>
        <v>46099</v>
      </c>
      <c r="M113" s="78">
        <f t="shared" si="70"/>
        <v>46106</v>
      </c>
      <c r="N113" s="78">
        <f t="shared" si="71"/>
        <v>46113</v>
      </c>
      <c r="O113" s="78">
        <f t="shared" si="72"/>
        <v>46120</v>
      </c>
      <c r="P113" s="78">
        <f t="shared" si="83"/>
        <v>46048</v>
      </c>
      <c r="Q113" s="78">
        <f t="shared" si="83"/>
        <v>46048</v>
      </c>
      <c r="R113" s="78"/>
      <c r="S113" s="78">
        <f>IF(VLOOKUP(A113,Dates,15,)&gt;0,VLOOKUP(A113,Dates,15,)+'Date Calcs'!S$2,IF(VLOOKUP(A113,Dates,13,)&gt;0,VLOOKUP(A113,Dates,13,)+'Date Calcs'!S$2,IF(VLOOKUP(A113,Dates,11,)&gt;0,VLOOKUP(A113,Dates,11,)+'Date Calcs'!S$2,IF(VLOOKUP(A113,Dates,9,)&gt;0,VLOOKUP(A113,Dates,9,)+'Date Calcs'!S$2,$I113+S$2))))+(V113*7)</f>
        <v>46066</v>
      </c>
      <c r="T113" s="78">
        <f t="shared" si="73"/>
        <v>46067</v>
      </c>
      <c r="U113" s="78">
        <f t="shared" si="84"/>
        <v>46071</v>
      </c>
      <c r="V113" s="105">
        <v>0</v>
      </c>
      <c r="W113" s="105">
        <v>0</v>
      </c>
      <c r="X113" s="78">
        <f t="shared" si="75"/>
        <v>46190</v>
      </c>
      <c r="Y113" s="78">
        <f t="shared" si="76"/>
        <v>46078</v>
      </c>
      <c r="Z113" s="78">
        <f t="shared" si="77"/>
        <v>46085</v>
      </c>
      <c r="AA113" s="78">
        <f t="shared" si="63"/>
        <v>46085</v>
      </c>
      <c r="AB113" s="78">
        <f t="shared" si="62"/>
        <v>46085</v>
      </c>
      <c r="AC113" s="78">
        <f t="shared" si="82"/>
        <v>46085</v>
      </c>
      <c r="AD113" s="78">
        <f t="shared" si="78"/>
        <v>46086</v>
      </c>
      <c r="AE113" s="78">
        <f t="shared" si="79"/>
        <v>46078</v>
      </c>
      <c r="AF113" s="78">
        <f t="shared" si="80"/>
        <v>46088</v>
      </c>
      <c r="AG113" s="78">
        <f t="shared" si="81"/>
        <v>46183</v>
      </c>
      <c r="AH113" s="78"/>
    </row>
    <row r="114" spans="1:34" x14ac:dyDescent="0.25">
      <c r="A114" s="103" t="s">
        <v>344</v>
      </c>
      <c r="B114" s="103" t="s">
        <v>340</v>
      </c>
      <c r="C114" s="104">
        <v>46034</v>
      </c>
      <c r="D114" s="103">
        <v>3</v>
      </c>
      <c r="E114" s="103">
        <v>4</v>
      </c>
      <c r="F114" s="103">
        <v>14</v>
      </c>
      <c r="G114" s="103">
        <v>16</v>
      </c>
      <c r="H114" s="78">
        <f t="shared" si="65"/>
        <v>46062</v>
      </c>
      <c r="I114" s="78">
        <f t="shared" si="66"/>
        <v>46078</v>
      </c>
      <c r="J114" s="78">
        <f t="shared" si="67"/>
        <v>46114</v>
      </c>
      <c r="K114" s="78">
        <f t="shared" si="68"/>
        <v>46121</v>
      </c>
      <c r="L114" s="78">
        <f t="shared" si="69"/>
        <v>46128</v>
      </c>
      <c r="M114" s="78">
        <f t="shared" si="70"/>
        <v>46135</v>
      </c>
      <c r="N114" s="78">
        <f t="shared" si="71"/>
        <v>46142</v>
      </c>
      <c r="O114" s="78">
        <f t="shared" si="72"/>
        <v>46149</v>
      </c>
      <c r="P114" s="78">
        <f t="shared" si="83"/>
        <v>46048</v>
      </c>
      <c r="Q114" s="78">
        <f t="shared" si="83"/>
        <v>46048</v>
      </c>
      <c r="R114" s="78"/>
      <c r="S114" s="78">
        <f>IF(VLOOKUP(A114,Dates,15,)&gt;0,VLOOKUP(A114,Dates,15,)+'Date Calcs'!S$2,IF(VLOOKUP(A114,Dates,13,)&gt;0,VLOOKUP(A114,Dates,13,)+'Date Calcs'!S$2,IF(VLOOKUP(A114,Dates,11,)&gt;0,VLOOKUP(A114,Dates,11,)+'Date Calcs'!S$2,IF(VLOOKUP(A114,Dates,9,)&gt;0,VLOOKUP(A114,Dates,9,)+'Date Calcs'!S$2,$I114+S$2))))+(V114*7)</f>
        <v>46109</v>
      </c>
      <c r="T114" s="78">
        <f t="shared" si="73"/>
        <v>46110</v>
      </c>
      <c r="U114" s="78">
        <f t="shared" si="84"/>
        <v>46114</v>
      </c>
      <c r="V114" s="105">
        <v>0</v>
      </c>
      <c r="W114" s="105">
        <v>0</v>
      </c>
      <c r="X114" s="78">
        <f t="shared" si="75"/>
        <v>46226</v>
      </c>
      <c r="Y114" s="78">
        <f t="shared" si="76"/>
        <v>46121</v>
      </c>
      <c r="Z114" s="78">
        <f t="shared" si="77"/>
        <v>46128</v>
      </c>
      <c r="AA114" s="78">
        <f t="shared" si="63"/>
        <v>46128</v>
      </c>
      <c r="AB114" s="78">
        <f t="shared" si="62"/>
        <v>46128</v>
      </c>
      <c r="AC114" s="78">
        <f t="shared" si="82"/>
        <v>46128</v>
      </c>
      <c r="AD114" s="78">
        <f t="shared" si="78"/>
        <v>46129</v>
      </c>
      <c r="AE114" s="78">
        <f t="shared" si="79"/>
        <v>46121</v>
      </c>
      <c r="AF114" s="78">
        <f t="shared" si="80"/>
        <v>46131</v>
      </c>
      <c r="AG114" s="78">
        <f t="shared" si="81"/>
        <v>46219</v>
      </c>
      <c r="AH114" s="78">
        <f>+U114+2</f>
        <v>46116</v>
      </c>
    </row>
    <row r="115" spans="1:34" x14ac:dyDescent="0.25">
      <c r="A115" s="103" t="s">
        <v>345</v>
      </c>
      <c r="B115" s="103" t="s">
        <v>340</v>
      </c>
      <c r="C115" s="104">
        <v>46064</v>
      </c>
      <c r="D115" s="103">
        <v>3</v>
      </c>
      <c r="E115" s="103">
        <v>4</v>
      </c>
      <c r="F115" s="103">
        <v>14</v>
      </c>
      <c r="G115" s="103">
        <v>16</v>
      </c>
      <c r="H115" s="78">
        <f t="shared" si="65"/>
        <v>46092</v>
      </c>
      <c r="I115" s="78">
        <f t="shared" si="66"/>
        <v>46106</v>
      </c>
      <c r="J115" s="78">
        <f t="shared" si="67"/>
        <v>46120</v>
      </c>
      <c r="K115" s="78">
        <f t="shared" si="68"/>
        <v>46127</v>
      </c>
      <c r="L115" s="78">
        <f t="shared" si="69"/>
        <v>46134</v>
      </c>
      <c r="M115" s="78">
        <f t="shared" si="70"/>
        <v>46141</v>
      </c>
      <c r="N115" s="78">
        <f t="shared" si="71"/>
        <v>46148</v>
      </c>
      <c r="O115" s="78">
        <f t="shared" si="72"/>
        <v>46155</v>
      </c>
      <c r="P115" s="78">
        <f t="shared" si="83"/>
        <v>46078</v>
      </c>
      <c r="Q115" s="78">
        <f t="shared" si="83"/>
        <v>46078</v>
      </c>
      <c r="R115" s="78"/>
      <c r="S115" s="78">
        <f>IF(VLOOKUP(A115,Dates,15,)&gt;0,VLOOKUP(A115,Dates,15,)+'Date Calcs'!S$2,IF(VLOOKUP(A115,Dates,13,)&gt;0,VLOOKUP(A115,Dates,13,)+'Date Calcs'!S$2,IF(VLOOKUP(A115,Dates,11,)&gt;0,VLOOKUP(A115,Dates,11,)+'Date Calcs'!S$2,IF(VLOOKUP(A115,Dates,9,)&gt;0,VLOOKUP(A115,Dates,9,)+'Date Calcs'!S$2,$I115+S$2))))+(V115*7)</f>
        <v>46115</v>
      </c>
      <c r="T115" s="78">
        <f t="shared" si="73"/>
        <v>46116</v>
      </c>
      <c r="U115" s="78">
        <f t="shared" si="84"/>
        <v>46120</v>
      </c>
      <c r="V115" s="105">
        <v>0</v>
      </c>
      <c r="W115" s="105">
        <v>0</v>
      </c>
      <c r="X115" s="78">
        <f t="shared" si="75"/>
        <v>46232</v>
      </c>
      <c r="Y115" s="78">
        <f t="shared" si="76"/>
        <v>46127</v>
      </c>
      <c r="Z115" s="78">
        <f t="shared" si="77"/>
        <v>46134</v>
      </c>
      <c r="AA115" s="78">
        <f t="shared" si="63"/>
        <v>46134</v>
      </c>
      <c r="AB115" s="78">
        <f t="shared" si="62"/>
        <v>46134</v>
      </c>
      <c r="AC115" s="78">
        <f t="shared" si="82"/>
        <v>46134</v>
      </c>
      <c r="AD115" s="78">
        <f t="shared" si="78"/>
        <v>46135</v>
      </c>
      <c r="AE115" s="78">
        <f t="shared" si="79"/>
        <v>46127</v>
      </c>
      <c r="AF115" s="78">
        <f t="shared" si="80"/>
        <v>46137</v>
      </c>
      <c r="AG115" s="78">
        <f t="shared" si="81"/>
        <v>46225</v>
      </c>
      <c r="AH115" s="78">
        <f>+U115+2</f>
        <v>46122</v>
      </c>
    </row>
    <row r="116" spans="1:34" x14ac:dyDescent="0.25">
      <c r="A116" s="103" t="s">
        <v>346</v>
      </c>
      <c r="B116" s="103" t="s">
        <v>340</v>
      </c>
      <c r="C116" s="104">
        <v>46064</v>
      </c>
      <c r="D116" s="103">
        <v>3</v>
      </c>
      <c r="E116" s="103">
        <v>4</v>
      </c>
      <c r="F116" s="103">
        <v>14</v>
      </c>
      <c r="G116" s="103">
        <v>16</v>
      </c>
      <c r="H116" s="78">
        <f t="shared" si="65"/>
        <v>46092</v>
      </c>
      <c r="I116" s="78">
        <f t="shared" si="66"/>
        <v>46104</v>
      </c>
      <c r="J116" s="78">
        <f t="shared" si="67"/>
        <v>46111</v>
      </c>
      <c r="K116" s="78">
        <f t="shared" si="68"/>
        <v>46118</v>
      </c>
      <c r="L116" s="78">
        <f t="shared" si="69"/>
        <v>46125</v>
      </c>
      <c r="M116" s="78">
        <f t="shared" si="70"/>
        <v>46132</v>
      </c>
      <c r="N116" s="78">
        <f t="shared" si="71"/>
        <v>46139</v>
      </c>
      <c r="O116" s="78">
        <f t="shared" si="72"/>
        <v>46146</v>
      </c>
      <c r="P116" s="78">
        <f t="shared" si="83"/>
        <v>46078</v>
      </c>
      <c r="Q116" s="78">
        <f t="shared" si="83"/>
        <v>46078</v>
      </c>
      <c r="R116" s="78"/>
      <c r="S116" s="78">
        <f>IF(VLOOKUP(A116,Dates,15,)&gt;0,VLOOKUP(A116,Dates,15,)+'Date Calcs'!S$2,IF(VLOOKUP(A116,Dates,13,)&gt;0,VLOOKUP(A116,Dates,13,)+'Date Calcs'!S$2,IF(VLOOKUP(A116,Dates,11,)&gt;0,VLOOKUP(A116,Dates,11,)+'Date Calcs'!S$2,IF(VLOOKUP(A116,Dates,9,)&gt;0,VLOOKUP(A116,Dates,9,)+'Date Calcs'!S$2,$I116+S$2))))+(V116*7)</f>
        <v>46106</v>
      </c>
      <c r="T116" s="78">
        <f t="shared" si="73"/>
        <v>46107</v>
      </c>
      <c r="U116" s="78">
        <f t="shared" si="84"/>
        <v>46111</v>
      </c>
      <c r="V116" s="105">
        <v>0</v>
      </c>
      <c r="W116" s="105">
        <v>0</v>
      </c>
      <c r="X116" s="78">
        <f t="shared" si="75"/>
        <v>46223</v>
      </c>
      <c r="Y116" s="78">
        <f t="shared" si="76"/>
        <v>46118</v>
      </c>
      <c r="Z116" s="78">
        <f t="shared" si="77"/>
        <v>46125</v>
      </c>
      <c r="AA116" s="78">
        <f t="shared" si="63"/>
        <v>46125</v>
      </c>
      <c r="AB116" s="78">
        <f t="shared" si="62"/>
        <v>46125</v>
      </c>
      <c r="AC116" s="78">
        <f t="shared" si="82"/>
        <v>46125</v>
      </c>
      <c r="AD116" s="78">
        <f t="shared" si="78"/>
        <v>46126</v>
      </c>
      <c r="AE116" s="78">
        <f t="shared" si="79"/>
        <v>46118</v>
      </c>
      <c r="AF116" s="78">
        <f t="shared" si="80"/>
        <v>46128</v>
      </c>
      <c r="AG116" s="78">
        <f t="shared" si="81"/>
        <v>46216</v>
      </c>
      <c r="AH116" s="78">
        <f>+U116+2</f>
        <v>46113</v>
      </c>
    </row>
    <row r="117" spans="1:34" x14ac:dyDescent="0.25">
      <c r="A117" s="103" t="s">
        <v>347</v>
      </c>
      <c r="B117" s="103" t="s">
        <v>340</v>
      </c>
      <c r="C117" s="104">
        <v>46034</v>
      </c>
      <c r="D117" s="103">
        <v>3</v>
      </c>
      <c r="E117" s="103">
        <v>4</v>
      </c>
      <c r="F117" s="103">
        <v>18</v>
      </c>
      <c r="G117" s="103">
        <v>20</v>
      </c>
      <c r="H117" s="78">
        <f t="shared" si="65"/>
        <v>46062</v>
      </c>
      <c r="I117" s="78">
        <f t="shared" si="66"/>
        <v>46078</v>
      </c>
      <c r="J117" s="78">
        <f t="shared" si="67"/>
        <v>46121</v>
      </c>
      <c r="K117" s="78">
        <f t="shared" si="68"/>
        <v>46128</v>
      </c>
      <c r="L117" s="78">
        <f t="shared" si="69"/>
        <v>46135</v>
      </c>
      <c r="M117" s="78">
        <f t="shared" si="70"/>
        <v>46142</v>
      </c>
      <c r="N117" s="78">
        <f t="shared" si="71"/>
        <v>46149</v>
      </c>
      <c r="O117" s="78">
        <f t="shared" si="72"/>
        <v>46156</v>
      </c>
      <c r="P117" s="78">
        <f t="shared" si="83"/>
        <v>46048</v>
      </c>
      <c r="Q117" s="78">
        <f t="shared" si="83"/>
        <v>46048</v>
      </c>
      <c r="R117" s="78"/>
      <c r="S117" s="78">
        <f>IF(VLOOKUP(A117,Dates,15,)&gt;0,VLOOKUP(A117,Dates,15,)+'Date Calcs'!S$2,IF(VLOOKUP(A117,Dates,13,)&gt;0,VLOOKUP(A117,Dates,13,)+'Date Calcs'!S$2,IF(VLOOKUP(A117,Dates,11,)&gt;0,VLOOKUP(A117,Dates,11,)+'Date Calcs'!S$2,IF(VLOOKUP(A117,Dates,9,)&gt;0,VLOOKUP(A117,Dates,9,)+'Date Calcs'!S$2,$I117+S$2))))+(V117*7)</f>
        <v>46116</v>
      </c>
      <c r="T117" s="78">
        <f t="shared" si="73"/>
        <v>46117</v>
      </c>
      <c r="U117" s="78">
        <f t="shared" si="84"/>
        <v>46121</v>
      </c>
      <c r="V117" s="105">
        <v>0</v>
      </c>
      <c r="W117" s="105">
        <v>0</v>
      </c>
      <c r="X117" s="78">
        <f t="shared" si="75"/>
        <v>46261</v>
      </c>
      <c r="Y117" s="78">
        <f t="shared" si="76"/>
        <v>46128</v>
      </c>
      <c r="Z117" s="78">
        <f t="shared" si="77"/>
        <v>46135</v>
      </c>
      <c r="AA117" s="78">
        <f t="shared" si="63"/>
        <v>46135</v>
      </c>
      <c r="AB117" s="78">
        <f t="shared" si="62"/>
        <v>46135</v>
      </c>
      <c r="AC117" s="78">
        <f t="shared" si="82"/>
        <v>46135</v>
      </c>
      <c r="AD117" s="78">
        <f t="shared" si="78"/>
        <v>46136</v>
      </c>
      <c r="AE117" s="78">
        <f t="shared" si="79"/>
        <v>46128</v>
      </c>
      <c r="AF117" s="78">
        <f t="shared" si="80"/>
        <v>46138</v>
      </c>
      <c r="AG117" s="78">
        <f t="shared" si="81"/>
        <v>46254</v>
      </c>
      <c r="AH117" s="78">
        <f>+U117+2</f>
        <v>46123</v>
      </c>
    </row>
    <row r="118" spans="1:34" x14ac:dyDescent="0.25">
      <c r="A118" s="103" t="s">
        <v>348</v>
      </c>
      <c r="B118" s="103" t="s">
        <v>340</v>
      </c>
      <c r="C118" s="104">
        <v>46034</v>
      </c>
      <c r="D118" s="103">
        <v>3</v>
      </c>
      <c r="E118" s="103">
        <v>4</v>
      </c>
      <c r="F118" s="103">
        <v>18</v>
      </c>
      <c r="G118" s="103">
        <v>20</v>
      </c>
      <c r="H118" s="78">
        <f t="shared" si="65"/>
        <v>46062</v>
      </c>
      <c r="I118" s="78">
        <f t="shared" si="66"/>
        <v>46078</v>
      </c>
      <c r="J118" s="78">
        <f t="shared" si="67"/>
        <v>46121</v>
      </c>
      <c r="K118" s="78">
        <f t="shared" si="68"/>
        <v>46128</v>
      </c>
      <c r="L118" s="78">
        <f t="shared" si="69"/>
        <v>46135</v>
      </c>
      <c r="M118" s="78">
        <f t="shared" si="70"/>
        <v>46142</v>
      </c>
      <c r="N118" s="78">
        <f t="shared" si="71"/>
        <v>46149</v>
      </c>
      <c r="O118" s="78">
        <f t="shared" si="72"/>
        <v>46156</v>
      </c>
      <c r="P118" s="78">
        <f t="shared" si="83"/>
        <v>46048</v>
      </c>
      <c r="Q118" s="78">
        <f t="shared" si="83"/>
        <v>46048</v>
      </c>
      <c r="R118" s="78"/>
      <c r="S118" s="78">
        <f>IF(VLOOKUP(A118,Dates,15,)&gt;0,VLOOKUP(A118,Dates,15,)+'Date Calcs'!S$2,IF(VLOOKUP(A118,Dates,13,)&gt;0,VLOOKUP(A118,Dates,13,)+'Date Calcs'!S$2,IF(VLOOKUP(A118,Dates,11,)&gt;0,VLOOKUP(A118,Dates,11,)+'Date Calcs'!S$2,IF(VLOOKUP(A118,Dates,9,)&gt;0,VLOOKUP(A118,Dates,9,)+'Date Calcs'!S$2,$I118+S$2))))+(V118*7)</f>
        <v>46116</v>
      </c>
      <c r="T118" s="78">
        <f t="shared" si="73"/>
        <v>46117</v>
      </c>
      <c r="U118" s="78">
        <f t="shared" si="84"/>
        <v>46121</v>
      </c>
      <c r="V118" s="105">
        <v>0</v>
      </c>
      <c r="W118" s="105">
        <v>0</v>
      </c>
      <c r="X118" s="78">
        <f t="shared" si="75"/>
        <v>46261</v>
      </c>
      <c r="Y118" s="78">
        <f t="shared" si="76"/>
        <v>46128</v>
      </c>
      <c r="Z118" s="78">
        <f t="shared" si="77"/>
        <v>46135</v>
      </c>
      <c r="AA118" s="78">
        <f t="shared" si="63"/>
        <v>46135</v>
      </c>
      <c r="AB118" s="78">
        <f t="shared" si="62"/>
        <v>46135</v>
      </c>
      <c r="AC118" s="78">
        <f t="shared" si="82"/>
        <v>46135</v>
      </c>
      <c r="AD118" s="78">
        <f t="shared" si="78"/>
        <v>46136</v>
      </c>
      <c r="AE118" s="78">
        <f t="shared" si="79"/>
        <v>46128</v>
      </c>
      <c r="AF118" s="78">
        <f t="shared" si="80"/>
        <v>46138</v>
      </c>
      <c r="AG118" s="78">
        <f t="shared" si="81"/>
        <v>46254</v>
      </c>
      <c r="AH118" s="78">
        <f>+U118+2</f>
        <v>46123</v>
      </c>
    </row>
    <row r="119" spans="1:34" x14ac:dyDescent="0.25">
      <c r="A119" s="103" t="s">
        <v>349</v>
      </c>
      <c r="B119" s="103" t="s">
        <v>296</v>
      </c>
      <c r="C119" s="104">
        <v>46059</v>
      </c>
      <c r="D119" s="103">
        <v>3</v>
      </c>
      <c r="E119" s="103">
        <v>4</v>
      </c>
      <c r="F119" s="103">
        <v>16</v>
      </c>
      <c r="G119" s="103">
        <v>18</v>
      </c>
      <c r="H119" s="78">
        <f t="shared" si="65"/>
        <v>46087</v>
      </c>
      <c r="I119" s="78">
        <f t="shared" si="66"/>
        <v>46101</v>
      </c>
      <c r="J119" s="78">
        <f t="shared" si="67"/>
        <v>46097</v>
      </c>
      <c r="K119" s="78">
        <f t="shared" si="68"/>
        <v>46100</v>
      </c>
      <c r="L119" s="78">
        <f t="shared" si="69"/>
        <v>46107</v>
      </c>
      <c r="M119" s="78">
        <f t="shared" si="70"/>
        <v>46114</v>
      </c>
      <c r="N119" s="78">
        <f t="shared" si="71"/>
        <v>46121</v>
      </c>
      <c r="O119" s="78">
        <f t="shared" si="72"/>
        <v>46128</v>
      </c>
      <c r="P119" s="78">
        <f t="shared" si="83"/>
        <v>46073</v>
      </c>
      <c r="Q119" s="78">
        <f t="shared" si="83"/>
        <v>46073</v>
      </c>
      <c r="R119" s="78"/>
      <c r="S119" s="78">
        <f>IF(VLOOKUP(A119,Dates,15,)&gt;0,VLOOKUP(A119,Dates,15,)+'Date Calcs'!S$2,IF(VLOOKUP(A119,Dates,13,)&gt;0,VLOOKUP(A119,Dates,13,)+'Date Calcs'!S$2,IF(VLOOKUP(A119,Dates,11,)&gt;0,VLOOKUP(A119,Dates,11,)+'Date Calcs'!S$2,IF(VLOOKUP(A119,Dates,9,)&gt;0,VLOOKUP(A119,Dates,9,)+'Date Calcs'!S$2,$I119+S$2))))+(V119*7)</f>
        <v>46092</v>
      </c>
      <c r="T119" s="78">
        <f t="shared" si="73"/>
        <v>46093</v>
      </c>
      <c r="U119" s="78">
        <f t="shared" si="84"/>
        <v>46097</v>
      </c>
      <c r="V119" s="105">
        <v>0</v>
      </c>
      <c r="W119" s="105">
        <v>0</v>
      </c>
      <c r="X119" s="78">
        <f t="shared" si="75"/>
        <v>46223</v>
      </c>
      <c r="Y119" s="78">
        <f t="shared" si="76"/>
        <v>46104</v>
      </c>
      <c r="Z119" s="78">
        <f t="shared" si="77"/>
        <v>46111</v>
      </c>
      <c r="AA119" s="78">
        <f t="shared" si="63"/>
        <v>46111</v>
      </c>
      <c r="AB119" s="78">
        <f t="shared" si="62"/>
        <v>46111</v>
      </c>
      <c r="AC119" s="78">
        <f t="shared" si="82"/>
        <v>46111</v>
      </c>
      <c r="AD119" s="78">
        <f t="shared" si="78"/>
        <v>46112</v>
      </c>
      <c r="AE119" s="78">
        <f t="shared" si="79"/>
        <v>46104</v>
      </c>
      <c r="AF119" s="78">
        <f t="shared" si="80"/>
        <v>46114</v>
      </c>
      <c r="AG119" s="78">
        <f t="shared" si="81"/>
        <v>46216</v>
      </c>
      <c r="AH119" s="78"/>
    </row>
    <row r="120" spans="1:34" x14ac:dyDescent="0.25">
      <c r="A120" s="103" t="s">
        <v>350</v>
      </c>
      <c r="B120" s="103" t="s">
        <v>296</v>
      </c>
      <c r="C120" s="104">
        <v>46059</v>
      </c>
      <c r="D120" s="103">
        <v>3</v>
      </c>
      <c r="E120" s="103">
        <v>4</v>
      </c>
      <c r="F120" s="103">
        <v>16</v>
      </c>
      <c r="G120" s="103">
        <v>18</v>
      </c>
      <c r="H120" s="78">
        <f t="shared" si="65"/>
        <v>46087</v>
      </c>
      <c r="I120" s="78">
        <f t="shared" si="66"/>
        <v>46101</v>
      </c>
      <c r="J120" s="78">
        <f t="shared" si="67"/>
        <v>46097</v>
      </c>
      <c r="K120" s="78">
        <f t="shared" si="68"/>
        <v>46100</v>
      </c>
      <c r="L120" s="78">
        <f t="shared" si="69"/>
        <v>46107</v>
      </c>
      <c r="M120" s="78">
        <f t="shared" si="70"/>
        <v>46114</v>
      </c>
      <c r="N120" s="78">
        <f t="shared" si="71"/>
        <v>46121</v>
      </c>
      <c r="O120" s="78">
        <f t="shared" si="72"/>
        <v>46128</v>
      </c>
      <c r="P120" s="78">
        <f t="shared" si="83"/>
        <v>46073</v>
      </c>
      <c r="Q120" s="78">
        <f t="shared" si="83"/>
        <v>46073</v>
      </c>
      <c r="R120" s="78"/>
      <c r="S120" s="78">
        <f>IF(VLOOKUP(A120,Dates,15,)&gt;0,VLOOKUP(A120,Dates,15,)+'Date Calcs'!S$2,IF(VLOOKUP(A120,Dates,13,)&gt;0,VLOOKUP(A120,Dates,13,)+'Date Calcs'!S$2,IF(VLOOKUP(A120,Dates,11,)&gt;0,VLOOKUP(A120,Dates,11,)+'Date Calcs'!S$2,IF(VLOOKUP(A120,Dates,9,)&gt;0,VLOOKUP(A120,Dates,9,)+'Date Calcs'!S$2,$I120+S$2))))+(V120*7)</f>
        <v>46092</v>
      </c>
      <c r="T120" s="78">
        <f t="shared" si="73"/>
        <v>46093</v>
      </c>
      <c r="U120" s="78">
        <f t="shared" si="84"/>
        <v>46097</v>
      </c>
      <c r="V120" s="105">
        <v>0</v>
      </c>
      <c r="W120" s="105">
        <v>0</v>
      </c>
      <c r="X120" s="78">
        <f t="shared" si="75"/>
        <v>46223</v>
      </c>
      <c r="Y120" s="78">
        <f t="shared" si="76"/>
        <v>46104</v>
      </c>
      <c r="Z120" s="78">
        <f t="shared" si="77"/>
        <v>46111</v>
      </c>
      <c r="AA120" s="78">
        <f t="shared" si="63"/>
        <v>46111</v>
      </c>
      <c r="AB120" s="78">
        <f t="shared" si="62"/>
        <v>46111</v>
      </c>
      <c r="AC120" s="78">
        <f t="shared" si="82"/>
        <v>46111</v>
      </c>
      <c r="AD120" s="78">
        <f t="shared" si="78"/>
        <v>46112</v>
      </c>
      <c r="AE120" s="78">
        <f t="shared" si="79"/>
        <v>46104</v>
      </c>
      <c r="AF120" s="78">
        <f t="shared" si="80"/>
        <v>46114</v>
      </c>
      <c r="AG120" s="78">
        <f t="shared" si="81"/>
        <v>46216</v>
      </c>
      <c r="AH120" s="78"/>
    </row>
    <row r="121" spans="1:34" x14ac:dyDescent="0.25">
      <c r="A121" s="103" t="s">
        <v>351</v>
      </c>
      <c r="B121" s="103" t="s">
        <v>217</v>
      </c>
      <c r="C121" s="104">
        <v>46063</v>
      </c>
      <c r="D121" s="103">
        <v>2</v>
      </c>
      <c r="E121" s="103">
        <v>3</v>
      </c>
      <c r="F121" s="103">
        <v>14</v>
      </c>
      <c r="G121" s="103">
        <v>16</v>
      </c>
      <c r="H121" s="78">
        <f t="shared" si="65"/>
        <v>46084</v>
      </c>
      <c r="I121" s="78">
        <f t="shared" si="66"/>
        <v>46101</v>
      </c>
      <c r="J121" s="78">
        <f t="shared" si="67"/>
        <v>46099</v>
      </c>
      <c r="K121" s="78">
        <f t="shared" si="68"/>
        <v>46114</v>
      </c>
      <c r="L121" s="78">
        <f t="shared" si="69"/>
        <v>46121</v>
      </c>
      <c r="M121" s="78">
        <f t="shared" si="70"/>
        <v>46128</v>
      </c>
      <c r="N121" s="78">
        <f t="shared" si="71"/>
        <v>46135</v>
      </c>
      <c r="O121" s="78">
        <f t="shared" si="72"/>
        <v>46142</v>
      </c>
      <c r="P121" s="78">
        <f t="shared" si="83"/>
        <v>46077</v>
      </c>
      <c r="Q121" s="78">
        <f t="shared" si="83"/>
        <v>46077</v>
      </c>
      <c r="R121" s="78"/>
      <c r="S121" s="78">
        <f>IF(VLOOKUP(A121,Dates,15,)&gt;0,VLOOKUP(A121,Dates,15,)+'Date Calcs'!S$2,IF(VLOOKUP(A121,Dates,13,)&gt;0,VLOOKUP(A121,Dates,13,)+'Date Calcs'!S$2,IF(VLOOKUP(A121,Dates,11,)&gt;0,VLOOKUP(A121,Dates,11,)+'Date Calcs'!S$2,IF(VLOOKUP(A121,Dates,9,)&gt;0,VLOOKUP(A121,Dates,9,)+'Date Calcs'!S$2,$I121+S$2))))+(V121*7)</f>
        <v>46094</v>
      </c>
      <c r="T121" s="78">
        <f t="shared" si="73"/>
        <v>46095</v>
      </c>
      <c r="U121" s="78">
        <f t="shared" si="84"/>
        <v>46099</v>
      </c>
      <c r="V121" s="105">
        <v>0</v>
      </c>
      <c r="W121" s="105">
        <v>0</v>
      </c>
      <c r="X121" s="78">
        <f t="shared" si="75"/>
        <v>46211</v>
      </c>
      <c r="Y121" s="78">
        <f t="shared" si="76"/>
        <v>46106</v>
      </c>
      <c r="Z121" s="78">
        <f t="shared" si="77"/>
        <v>46113</v>
      </c>
      <c r="AA121" s="78">
        <f t="shared" si="63"/>
        <v>46113</v>
      </c>
      <c r="AB121" s="78">
        <f t="shared" si="62"/>
        <v>46113</v>
      </c>
      <c r="AC121" s="78">
        <f t="shared" si="82"/>
        <v>46113</v>
      </c>
      <c r="AD121" s="78">
        <f t="shared" si="78"/>
        <v>46114</v>
      </c>
      <c r="AE121" s="78">
        <f t="shared" si="79"/>
        <v>46106</v>
      </c>
      <c r="AF121" s="78">
        <f t="shared" si="80"/>
        <v>46116</v>
      </c>
      <c r="AG121" s="78">
        <f t="shared" si="81"/>
        <v>46204</v>
      </c>
      <c r="AH121" s="78">
        <f>+U121+2</f>
        <v>46101</v>
      </c>
    </row>
    <row r="122" spans="1:34" x14ac:dyDescent="0.25">
      <c r="A122" s="103" t="s">
        <v>352</v>
      </c>
      <c r="B122" s="103" t="s">
        <v>324</v>
      </c>
      <c r="C122" s="104">
        <v>46078</v>
      </c>
      <c r="D122" s="103">
        <v>3</v>
      </c>
      <c r="E122" s="103">
        <v>4</v>
      </c>
      <c r="F122" s="103">
        <v>14</v>
      </c>
      <c r="G122" s="103">
        <v>16</v>
      </c>
      <c r="H122" s="78">
        <f t="shared" si="65"/>
        <v>46106</v>
      </c>
      <c r="I122" s="78">
        <f t="shared" si="66"/>
        <v>46121</v>
      </c>
      <c r="J122" s="78">
        <f t="shared" si="67"/>
        <v>46120</v>
      </c>
      <c r="K122" s="78">
        <f t="shared" si="68"/>
        <v>46127</v>
      </c>
      <c r="L122" s="78">
        <f t="shared" si="69"/>
        <v>46134</v>
      </c>
      <c r="M122" s="78">
        <f t="shared" si="70"/>
        <v>46141</v>
      </c>
      <c r="N122" s="78">
        <f t="shared" si="71"/>
        <v>46148</v>
      </c>
      <c r="O122" s="78">
        <f t="shared" si="72"/>
        <v>46155</v>
      </c>
      <c r="P122" s="78">
        <f t="shared" si="83"/>
        <v>46092</v>
      </c>
      <c r="Q122" s="78">
        <f t="shared" si="83"/>
        <v>46092</v>
      </c>
      <c r="R122" s="78"/>
      <c r="S122" s="78">
        <f>IF(VLOOKUP(A122,Dates,15,)&gt;0,VLOOKUP(A122,Dates,15,)+'Date Calcs'!S$2,IF(VLOOKUP(A122,Dates,13,)&gt;0,VLOOKUP(A122,Dates,13,)+'Date Calcs'!S$2,IF(VLOOKUP(A122,Dates,11,)&gt;0,VLOOKUP(A122,Dates,11,)+'Date Calcs'!S$2,IF(VLOOKUP(A122,Dates,9,)&gt;0,VLOOKUP(A122,Dates,9,)+'Date Calcs'!S$2,$I122+S$2))))+(V122*7)</f>
        <v>46122</v>
      </c>
      <c r="T122" s="78">
        <f t="shared" si="73"/>
        <v>46123</v>
      </c>
      <c r="U122" s="78">
        <f t="shared" si="84"/>
        <v>46127</v>
      </c>
      <c r="V122" s="105">
        <v>1</v>
      </c>
      <c r="W122" s="105">
        <v>0</v>
      </c>
      <c r="X122" s="78">
        <f t="shared" si="75"/>
        <v>46239</v>
      </c>
      <c r="Y122" s="78">
        <f t="shared" si="76"/>
        <v>46134</v>
      </c>
      <c r="Z122" s="78">
        <f t="shared" si="77"/>
        <v>46141</v>
      </c>
      <c r="AA122" s="78">
        <f t="shared" si="63"/>
        <v>46141</v>
      </c>
      <c r="AB122" s="78">
        <f t="shared" si="62"/>
        <v>46141</v>
      </c>
      <c r="AC122" s="78">
        <f t="shared" si="82"/>
        <v>46141</v>
      </c>
      <c r="AD122" s="78">
        <f t="shared" si="78"/>
        <v>46142</v>
      </c>
      <c r="AE122" s="78">
        <f t="shared" si="79"/>
        <v>46134</v>
      </c>
      <c r="AF122" s="78">
        <f t="shared" si="80"/>
        <v>46144</v>
      </c>
      <c r="AG122" s="78">
        <f t="shared" si="81"/>
        <v>46232</v>
      </c>
      <c r="AH122" s="78">
        <f>+U122+2</f>
        <v>46129</v>
      </c>
    </row>
    <row r="123" spans="1:34" x14ac:dyDescent="0.25">
      <c r="A123" s="103" t="s">
        <v>425</v>
      </c>
      <c r="B123" s="103" t="s">
        <v>426</v>
      </c>
      <c r="C123" s="104">
        <v>46092</v>
      </c>
      <c r="D123" s="103">
        <v>3</v>
      </c>
      <c r="E123" s="103">
        <v>4</v>
      </c>
      <c r="F123" s="103">
        <v>13</v>
      </c>
      <c r="G123" s="103">
        <v>15</v>
      </c>
      <c r="H123" s="78">
        <f t="shared" ref="H123:H127" si="85">C123+E123*7</f>
        <v>46120</v>
      </c>
      <c r="I123" s="78">
        <f t="shared" ref="I123:I126" si="86">IF(VLOOKUP($A123,Dates,8,)=0,H123+I$2,VLOOKUP($A123,Dates,8,)+I$2)</f>
        <v>46127</v>
      </c>
      <c r="J123" s="78">
        <f t="shared" ref="J123:J126" si="87">IF(VLOOKUP(A123,Dates,9,)=0,I123+J$2,VLOOKUP(A123,Dates,9,)+J$2)</f>
        <v>46121</v>
      </c>
      <c r="K123" s="78">
        <f t="shared" ref="K123:K126" si="88">IF(VLOOKUP($A123,Dates,10,)=0,J123+K$2,VLOOKUP($A123,Dates,10,)+K$2)</f>
        <v>46128</v>
      </c>
      <c r="L123" s="78">
        <f t="shared" ref="L123:L126" si="89">IF(VLOOKUP($A123,Dates,11,)=0,K123+L$2,VLOOKUP($A123,Dates,11,)+L$2)</f>
        <v>46135</v>
      </c>
      <c r="M123" s="78">
        <f t="shared" ref="M123:M126" si="90">IF(VLOOKUP($A123,Dates,12,)=0,L123+M$2,VLOOKUP($A123,Dates,12,)+M$2)</f>
        <v>46142</v>
      </c>
      <c r="N123" s="78">
        <f t="shared" ref="N123:N125" si="91">IF(VLOOKUP($A123,Dates,13,)=0,M123+N$2,VLOOKUP($A123,Dates,13,)+N$2)</f>
        <v>46149</v>
      </c>
      <c r="O123" s="78">
        <f t="shared" ref="O123:O126" si="92">IF(VLOOKUP($A123,Dates,14,)=0,N123+O$2,VLOOKUP($A123,Dates,14,)+O$2)</f>
        <v>46156</v>
      </c>
      <c r="P123" s="78">
        <f t="shared" si="83"/>
        <v>46106</v>
      </c>
      <c r="Q123" s="78">
        <f t="shared" si="83"/>
        <v>46106</v>
      </c>
      <c r="R123" s="78"/>
      <c r="S123" s="78">
        <f>IF(VLOOKUP(A123,Dates,15,)&gt;0,VLOOKUP(A123,Dates,15,)+'Date Calcs'!S$2,IF(VLOOKUP(A123,Dates,13,)&gt;0,VLOOKUP(A123,Dates,13,)+'Date Calcs'!S$2,IF(VLOOKUP(A123,Dates,11,)&gt;0,VLOOKUP(A123,Dates,11,)+'Date Calcs'!S$2,IF(VLOOKUP(A123,Dates,9,)&gt;0,VLOOKUP(A123,Dates,9,)+'Date Calcs'!S$2,$I123+S$2))))+(V123*7)</f>
        <v>46116</v>
      </c>
      <c r="T123" s="78">
        <f t="shared" si="73"/>
        <v>46117</v>
      </c>
      <c r="U123" s="78">
        <f t="shared" ref="U123:U126" si="93">S123+U$2-S$2</f>
        <v>46121</v>
      </c>
      <c r="V123" s="105">
        <v>0</v>
      </c>
      <c r="W123" s="105">
        <v>0</v>
      </c>
      <c r="X123" s="78">
        <f t="shared" ref="X123:X126" si="94">(G123*7)+(W123*7)+U123</f>
        <v>46226</v>
      </c>
      <c r="Y123" s="78">
        <f t="shared" ref="Y123:Y126" si="95">S123+Y$2-S$2</f>
        <v>46128</v>
      </c>
      <c r="Z123" s="78">
        <f t="shared" ref="Z123:Z126" si="96">S123+Z$2-S$2</f>
        <v>46135</v>
      </c>
      <c r="AA123" s="78">
        <f t="shared" ref="AA123:AA126" si="97">Z123</f>
        <v>46135</v>
      </c>
      <c r="AB123" s="78">
        <f t="shared" ref="AB123:AB126" si="98">AA123</f>
        <v>46135</v>
      </c>
      <c r="AC123" s="78">
        <f t="shared" ref="AC123:AC126" si="99">U123+$AC$2</f>
        <v>46135</v>
      </c>
      <c r="AD123" s="78">
        <f t="shared" ref="AD123:AD126" si="100">AB123+$AD$2</f>
        <v>46136</v>
      </c>
      <c r="AE123" s="78">
        <f t="shared" ref="AE123:AE126" si="101">U123+$AE$2</f>
        <v>46128</v>
      </c>
      <c r="AF123" s="78">
        <f t="shared" ref="AF123:AF126" si="102">IF(P123&gt;AD123,P123+$AD$2,AD123+$AF$2)</f>
        <v>46138</v>
      </c>
      <c r="AG123" s="78">
        <f t="shared" ref="AG123:AG127" si="103">S123-S$2+G123*7</f>
        <v>46219</v>
      </c>
      <c r="AH123" s="78">
        <f t="shared" ref="AH123" si="104">+U123+2</f>
        <v>46123</v>
      </c>
    </row>
    <row r="124" spans="1:34" x14ac:dyDescent="0.25">
      <c r="A124" s="103" t="s">
        <v>427</v>
      </c>
      <c r="B124" s="103" t="s">
        <v>217</v>
      </c>
      <c r="C124" s="104">
        <v>46097</v>
      </c>
      <c r="D124" s="103">
        <v>0</v>
      </c>
      <c r="E124" s="103">
        <v>1</v>
      </c>
      <c r="F124" s="103">
        <v>3</v>
      </c>
      <c r="G124" s="103">
        <v>3</v>
      </c>
      <c r="H124" s="78">
        <f t="shared" si="85"/>
        <v>46104</v>
      </c>
      <c r="I124" s="78">
        <f t="shared" si="86"/>
        <v>46118</v>
      </c>
      <c r="J124" s="78">
        <f t="shared" si="87"/>
        <v>46125</v>
      </c>
      <c r="K124" s="78">
        <f t="shared" si="88"/>
        <v>46132</v>
      </c>
      <c r="L124" s="78">
        <f t="shared" si="89"/>
        <v>46139</v>
      </c>
      <c r="M124" s="78">
        <f t="shared" si="90"/>
        <v>46146</v>
      </c>
      <c r="N124" s="78">
        <f t="shared" si="91"/>
        <v>46153</v>
      </c>
      <c r="O124" s="78">
        <f t="shared" si="92"/>
        <v>46160</v>
      </c>
      <c r="P124" s="78">
        <f t="shared" si="83"/>
        <v>46111</v>
      </c>
      <c r="Q124" s="78">
        <f t="shared" si="83"/>
        <v>46111</v>
      </c>
      <c r="R124" s="78"/>
      <c r="S124" s="78">
        <f>IF(VLOOKUP(A124,Dates,15,)&gt;0,VLOOKUP(A124,Dates,15,)+'Date Calcs'!S$2,IF(VLOOKUP(A124,Dates,13,)&gt;0,VLOOKUP(A124,Dates,13,)+'Date Calcs'!S$2,IF(VLOOKUP(A124,Dates,11,)&gt;0,VLOOKUP(A124,Dates,11,)+'Date Calcs'!S$2,IF(VLOOKUP(A124,Dates,9,)&gt;0,VLOOKUP(A124,Dates,9,)+'Date Calcs'!S$2,$I124+S$2))))+(V124*7)</f>
        <v>46120</v>
      </c>
      <c r="T124" s="78">
        <f t="shared" si="73"/>
        <v>46121</v>
      </c>
      <c r="U124" s="78">
        <f t="shared" si="93"/>
        <v>46125</v>
      </c>
      <c r="V124" s="105">
        <v>0</v>
      </c>
      <c r="W124" s="105">
        <v>0</v>
      </c>
      <c r="X124" s="78">
        <f t="shared" si="94"/>
        <v>46146</v>
      </c>
      <c r="Y124" s="78">
        <f t="shared" si="95"/>
        <v>46132</v>
      </c>
      <c r="Z124" s="78">
        <f t="shared" si="96"/>
        <v>46139</v>
      </c>
      <c r="AA124" s="78">
        <f t="shared" si="97"/>
        <v>46139</v>
      </c>
      <c r="AB124" s="78">
        <f t="shared" si="98"/>
        <v>46139</v>
      </c>
      <c r="AC124" s="78">
        <f t="shared" si="99"/>
        <v>46139</v>
      </c>
      <c r="AD124" s="78">
        <f t="shared" si="100"/>
        <v>46140</v>
      </c>
      <c r="AE124" s="78">
        <f t="shared" si="101"/>
        <v>46132</v>
      </c>
      <c r="AF124" s="78">
        <f t="shared" si="102"/>
        <v>46142</v>
      </c>
      <c r="AG124" s="78">
        <f t="shared" si="103"/>
        <v>46139</v>
      </c>
      <c r="AH124" s="78"/>
    </row>
    <row r="125" spans="1:34" x14ac:dyDescent="0.25">
      <c r="A125" s="103" t="s">
        <v>428</v>
      </c>
      <c r="B125" s="103" t="s">
        <v>270</v>
      </c>
      <c r="C125" s="104">
        <v>46097</v>
      </c>
      <c r="D125" s="103">
        <v>3</v>
      </c>
      <c r="E125" s="103">
        <v>4</v>
      </c>
      <c r="F125" s="103">
        <v>0</v>
      </c>
      <c r="G125" s="103">
        <v>0</v>
      </c>
      <c r="H125" s="78">
        <f t="shared" si="85"/>
        <v>46125</v>
      </c>
      <c r="I125" s="78">
        <f t="shared" si="86"/>
        <v>46139</v>
      </c>
      <c r="J125" s="78">
        <f t="shared" si="87"/>
        <v>46146</v>
      </c>
      <c r="K125" s="78">
        <f t="shared" si="88"/>
        <v>46153</v>
      </c>
      <c r="L125" s="78">
        <f t="shared" si="89"/>
        <v>46160</v>
      </c>
      <c r="M125" s="78">
        <f t="shared" si="90"/>
        <v>46167</v>
      </c>
      <c r="N125" s="78">
        <f t="shared" si="91"/>
        <v>46174</v>
      </c>
      <c r="O125" s="78">
        <f t="shared" si="92"/>
        <v>46181</v>
      </c>
      <c r="P125" s="78">
        <f t="shared" si="83"/>
        <v>46111</v>
      </c>
      <c r="Q125" s="78">
        <f t="shared" si="83"/>
        <v>46111</v>
      </c>
      <c r="R125" s="78"/>
      <c r="S125" s="78">
        <f>IF(VLOOKUP(A125,Dates,15,)&gt;0,VLOOKUP(A125,Dates,15,)+'Date Calcs'!S$2,IF(VLOOKUP(A125,Dates,13,)&gt;0,VLOOKUP(A125,Dates,13,)+'Date Calcs'!S$2,IF(VLOOKUP(A125,Dates,11,)&gt;0,VLOOKUP(A125,Dates,11,)+'Date Calcs'!S$2,IF(VLOOKUP(A125,Dates,9,)&gt;0,VLOOKUP(A125,Dates,9,)+'Date Calcs'!S$2,$I125+S$2))))+(V125*7)</f>
        <v>46141</v>
      </c>
      <c r="T125" s="78">
        <f t="shared" si="73"/>
        <v>46142</v>
      </c>
      <c r="U125" s="78">
        <f t="shared" si="93"/>
        <v>46146</v>
      </c>
      <c r="V125" s="105">
        <v>0</v>
      </c>
      <c r="W125" s="105">
        <v>0</v>
      </c>
      <c r="X125" s="78">
        <f t="shared" si="94"/>
        <v>46146</v>
      </c>
      <c r="Y125" s="78">
        <f t="shared" si="95"/>
        <v>46153</v>
      </c>
      <c r="Z125" s="78">
        <f t="shared" si="96"/>
        <v>46160</v>
      </c>
      <c r="AA125" s="78">
        <f t="shared" si="97"/>
        <v>46160</v>
      </c>
      <c r="AB125" s="78">
        <f t="shared" si="98"/>
        <v>46160</v>
      </c>
      <c r="AC125" s="78">
        <f t="shared" si="99"/>
        <v>46160</v>
      </c>
      <c r="AD125" s="78">
        <f t="shared" si="100"/>
        <v>46161</v>
      </c>
      <c r="AE125" s="78">
        <f t="shared" si="101"/>
        <v>46153</v>
      </c>
      <c r="AF125" s="78">
        <f t="shared" si="102"/>
        <v>46163</v>
      </c>
      <c r="AG125" s="78">
        <f t="shared" si="103"/>
        <v>46139</v>
      </c>
      <c r="AH125" s="78"/>
    </row>
    <row r="126" spans="1:34" x14ac:dyDescent="0.25">
      <c r="A126" s="103" t="s">
        <v>429</v>
      </c>
      <c r="B126" s="103" t="s">
        <v>270</v>
      </c>
      <c r="C126" s="104">
        <v>46097</v>
      </c>
      <c r="D126" s="103">
        <v>3</v>
      </c>
      <c r="E126" s="103">
        <v>4</v>
      </c>
      <c r="F126" s="103">
        <v>0</v>
      </c>
      <c r="G126" s="103">
        <v>0</v>
      </c>
      <c r="H126" s="78">
        <f t="shared" si="85"/>
        <v>46125</v>
      </c>
      <c r="I126" s="78">
        <f t="shared" si="86"/>
        <v>46139</v>
      </c>
      <c r="J126" s="78">
        <f t="shared" si="87"/>
        <v>46146</v>
      </c>
      <c r="K126" s="78">
        <f t="shared" si="88"/>
        <v>46153</v>
      </c>
      <c r="L126" s="78">
        <f t="shared" si="89"/>
        <v>46160</v>
      </c>
      <c r="M126" s="78">
        <f t="shared" si="90"/>
        <v>46167</v>
      </c>
      <c r="N126" s="78">
        <f>IF(VLOOKUP($A126,Dates,13,)=0,M126+N$2,VLOOKUP($A126,Dates,13,)+N$2)</f>
        <v>46174</v>
      </c>
      <c r="O126" s="78">
        <f t="shared" si="92"/>
        <v>46181</v>
      </c>
      <c r="P126" s="78">
        <f t="shared" si="83"/>
        <v>46111</v>
      </c>
      <c r="Q126" s="78">
        <f t="shared" si="83"/>
        <v>46111</v>
      </c>
      <c r="R126" s="78"/>
      <c r="S126" s="78">
        <f>IF(VLOOKUP(A126,Dates,15,)&gt;0,VLOOKUP(A126,Dates,15,)+'Date Calcs'!S$2,IF(VLOOKUP(A126,Dates,13,)&gt;0,VLOOKUP(A126,Dates,13,)+'Date Calcs'!S$2,IF(VLOOKUP(A126,Dates,11,)&gt;0,VLOOKUP(A126,Dates,11,)+'Date Calcs'!S$2,IF(VLOOKUP(A126,Dates,9,)&gt;0,VLOOKUP(A126,Dates,9,)+'Date Calcs'!S$2,$I126+S$2))))+(V126*7)</f>
        <v>46141</v>
      </c>
      <c r="T126" s="78">
        <f t="shared" si="73"/>
        <v>46142</v>
      </c>
      <c r="U126" s="78">
        <f t="shared" si="93"/>
        <v>46146</v>
      </c>
      <c r="V126" s="105">
        <v>0</v>
      </c>
      <c r="W126" s="105">
        <v>0</v>
      </c>
      <c r="X126" s="78">
        <f t="shared" si="94"/>
        <v>46146</v>
      </c>
      <c r="Y126" s="78">
        <f t="shared" si="95"/>
        <v>46153</v>
      </c>
      <c r="Z126" s="78">
        <f t="shared" si="96"/>
        <v>46160</v>
      </c>
      <c r="AA126" s="78">
        <f t="shared" si="97"/>
        <v>46160</v>
      </c>
      <c r="AB126" s="78">
        <f t="shared" si="98"/>
        <v>46160</v>
      </c>
      <c r="AC126" s="78">
        <f t="shared" si="99"/>
        <v>46160</v>
      </c>
      <c r="AD126" s="78">
        <f t="shared" si="100"/>
        <v>46161</v>
      </c>
      <c r="AE126" s="78">
        <f t="shared" si="101"/>
        <v>46153</v>
      </c>
      <c r="AF126" s="78">
        <f t="shared" si="102"/>
        <v>46163</v>
      </c>
      <c r="AG126" s="78">
        <f t="shared" si="103"/>
        <v>46139</v>
      </c>
      <c r="AH126" s="78"/>
    </row>
    <row r="127" spans="1:34" x14ac:dyDescent="0.25">
      <c r="A127" s="103" t="s">
        <v>436</v>
      </c>
      <c r="B127" s="103" t="s">
        <v>298</v>
      </c>
      <c r="C127" s="104">
        <v>46100</v>
      </c>
      <c r="D127" s="103">
        <v>2</v>
      </c>
      <c r="E127" s="103">
        <v>3</v>
      </c>
      <c r="F127" s="103">
        <v>15</v>
      </c>
      <c r="G127" s="103">
        <v>17</v>
      </c>
      <c r="H127" s="78">
        <f t="shared" si="85"/>
        <v>46121</v>
      </c>
      <c r="I127" s="78">
        <f t="shared" ref="I127" si="105">IF(VLOOKUP($A127,Dates,8,)=0,H127+I$2,VLOOKUP($A127,Dates,8,)+I$2)</f>
        <v>46119</v>
      </c>
      <c r="J127" s="78">
        <f t="shared" ref="J127" si="106">IF(VLOOKUP(A127,Dates,9,)=0,I127+J$2,VLOOKUP(A127,Dates,9,)+J$2)</f>
        <v>46120</v>
      </c>
      <c r="K127" s="78">
        <f t="shared" ref="K127" si="107">IF(VLOOKUP($A127,Dates,10,)=0,J127+K$2,VLOOKUP($A127,Dates,10,)+K$2)</f>
        <v>46127</v>
      </c>
      <c r="L127" s="78">
        <f t="shared" ref="L127" si="108">IF(VLOOKUP($A127,Dates,11,)=0,K127+L$2,VLOOKUP($A127,Dates,11,)+L$2)</f>
        <v>46134</v>
      </c>
      <c r="M127" s="78">
        <f t="shared" ref="M127" si="109">IF(VLOOKUP($A127,Dates,12,)=0,L127+M$2,VLOOKUP($A127,Dates,12,)+M$2)</f>
        <v>46141</v>
      </c>
      <c r="N127" s="78">
        <f>IF(VLOOKUP($A127,Dates,13,)=0,M127+N$2,VLOOKUP($A127,Dates,13,)+N$2)</f>
        <v>46148</v>
      </c>
      <c r="O127" s="78">
        <f t="shared" ref="O127" si="110">IF(VLOOKUP($A127,Dates,14,)=0,N127+O$2,VLOOKUP($A127,Dates,14,)+O$2)</f>
        <v>46155</v>
      </c>
      <c r="P127" s="78">
        <f t="shared" si="83"/>
        <v>46114</v>
      </c>
      <c r="Q127" s="78">
        <f t="shared" si="83"/>
        <v>46114</v>
      </c>
      <c r="R127" s="78"/>
      <c r="S127" s="78">
        <f>IF(VLOOKUP(A127,Dates,15,)&gt;0,VLOOKUP(A127,Dates,15,)+'Date Calcs'!S$2,IF(VLOOKUP(A127,Dates,13,)&gt;0,VLOOKUP(A127,Dates,13,)+'Date Calcs'!S$2,IF(VLOOKUP(A127,Dates,11,)&gt;0,VLOOKUP(A127,Dates,11,)+'Date Calcs'!S$2,IF(VLOOKUP(A127,Dates,9,)&gt;0,VLOOKUP(A127,Dates,9,)+'Date Calcs'!S$2,$I127+S$2))))+(V127*7)</f>
        <v>46115</v>
      </c>
      <c r="T127" s="78">
        <f t="shared" si="73"/>
        <v>46116</v>
      </c>
      <c r="U127" s="78">
        <f t="shared" ref="U127" si="111">S127+U$2-S$2</f>
        <v>46120</v>
      </c>
      <c r="V127" s="105">
        <v>0</v>
      </c>
      <c r="W127" s="105">
        <v>0</v>
      </c>
      <c r="X127" s="78">
        <f t="shared" ref="X127" si="112">(G127*7)+(W127*7)+U127</f>
        <v>46239</v>
      </c>
      <c r="Y127" s="78">
        <f t="shared" ref="Y127" si="113">S127+Y$2-S$2</f>
        <v>46127</v>
      </c>
      <c r="Z127" s="78">
        <f t="shared" ref="Z127" si="114">S127+Z$2-S$2</f>
        <v>46134</v>
      </c>
      <c r="AA127" s="78">
        <f t="shared" ref="AA127" si="115">Z127</f>
        <v>46134</v>
      </c>
      <c r="AB127" s="78">
        <f t="shared" ref="AB127" si="116">AA127</f>
        <v>46134</v>
      </c>
      <c r="AC127" s="78">
        <f t="shared" ref="AC127" si="117">U127+$AC$2</f>
        <v>46134</v>
      </c>
      <c r="AD127" s="78">
        <f t="shared" ref="AD127" si="118">AB127+$AD$2</f>
        <v>46135</v>
      </c>
      <c r="AE127" s="78">
        <f t="shared" ref="AE127" si="119">U127+$AE$2</f>
        <v>46127</v>
      </c>
      <c r="AF127" s="78">
        <f t="shared" ref="AF127" si="120">IF(P127&gt;AD127,P127+$AD$2,AD127+$AF$2)</f>
        <v>46137</v>
      </c>
      <c r="AG127" s="78">
        <f t="shared" si="103"/>
        <v>46232</v>
      </c>
      <c r="AH127" s="78">
        <v>46105</v>
      </c>
    </row>
    <row r="128" spans="1:34" x14ac:dyDescent="0.25">
      <c r="A128" s="103" t="s">
        <v>437</v>
      </c>
      <c r="B128" s="103" t="s">
        <v>440</v>
      </c>
      <c r="C128" s="104">
        <v>46104</v>
      </c>
      <c r="D128" s="103">
        <v>3</v>
      </c>
      <c r="E128" s="103">
        <v>4</v>
      </c>
      <c r="F128" s="103">
        <v>17</v>
      </c>
      <c r="G128" s="103">
        <v>19</v>
      </c>
      <c r="H128" s="78">
        <f t="shared" ref="H128:H130" si="121">C128+E128*7</f>
        <v>46132</v>
      </c>
      <c r="I128" s="78">
        <f t="shared" ref="I128:I130" si="122">IF(VLOOKUP($A128,Dates,8,)=0,H128+I$2,VLOOKUP($A128,Dates,8,)+I$2)</f>
        <v>46146</v>
      </c>
      <c r="J128" s="78">
        <f t="shared" ref="J128:J130" si="123">IF(VLOOKUP(A128,Dates,9,)=0,I128+J$2,VLOOKUP(A128,Dates,9,)+J$2)</f>
        <v>46153</v>
      </c>
      <c r="K128" s="78">
        <f t="shared" ref="K128:K130" si="124">IF(VLOOKUP($A128,Dates,10,)=0,J128+K$2,VLOOKUP($A128,Dates,10,)+K$2)</f>
        <v>46160</v>
      </c>
      <c r="L128" s="78">
        <f t="shared" ref="L128:L130" si="125">IF(VLOOKUP($A128,Dates,11,)=0,K128+L$2,VLOOKUP($A128,Dates,11,)+L$2)</f>
        <v>46167</v>
      </c>
      <c r="M128" s="78">
        <f t="shared" ref="M128:M130" si="126">IF(VLOOKUP($A128,Dates,12,)=0,L128+M$2,VLOOKUP($A128,Dates,12,)+M$2)</f>
        <v>46174</v>
      </c>
      <c r="N128" s="78">
        <f>IF(VLOOKUP($A128,Dates,13,)=0,M128+N$2,VLOOKUP($A128,Dates,13,)+N$2)</f>
        <v>46181</v>
      </c>
      <c r="O128" s="78">
        <f t="shared" ref="O128:O130" si="127">IF(VLOOKUP($A128,Dates,14,)=0,N128+O$2,VLOOKUP($A128,Dates,14,)+O$2)</f>
        <v>46188</v>
      </c>
      <c r="P128" s="78">
        <f t="shared" si="83"/>
        <v>46118</v>
      </c>
      <c r="Q128" s="78">
        <f t="shared" si="83"/>
        <v>46118</v>
      </c>
      <c r="R128" s="78"/>
      <c r="S128" s="78">
        <f>IF(VLOOKUP(A128,Dates,15,)&gt;0,VLOOKUP(A128,Dates,15,)+'Date Calcs'!S$2,IF(VLOOKUP(A128,Dates,13,)&gt;0,VLOOKUP(A128,Dates,13,)+'Date Calcs'!S$2,IF(VLOOKUP(A128,Dates,11,)&gt;0,VLOOKUP(A128,Dates,11,)+'Date Calcs'!S$2,IF(VLOOKUP(A128,Dates,9,)&gt;0,VLOOKUP(A128,Dates,9,)+'Date Calcs'!S$2,$I128+S$2))))+(V128*7)</f>
        <v>46148</v>
      </c>
      <c r="T128" s="78">
        <f t="shared" si="73"/>
        <v>46149</v>
      </c>
      <c r="U128" s="78">
        <f t="shared" ref="U128:U130" si="128">S128+U$2-S$2</f>
        <v>46153</v>
      </c>
      <c r="V128" s="105">
        <v>0</v>
      </c>
      <c r="W128" s="105">
        <v>0</v>
      </c>
      <c r="X128" s="78">
        <f t="shared" ref="X128:X130" si="129">(G128*7)+(W128*7)+U128</f>
        <v>46286</v>
      </c>
      <c r="Y128" s="78">
        <f t="shared" ref="Y128:Y130" si="130">S128+Y$2-S$2</f>
        <v>46160</v>
      </c>
      <c r="Z128" s="78">
        <f t="shared" ref="Z128:Z130" si="131">S128+Z$2-S$2</f>
        <v>46167</v>
      </c>
      <c r="AA128" s="78">
        <f t="shared" ref="AA128:AA130" si="132">Z128</f>
        <v>46167</v>
      </c>
      <c r="AB128" s="78">
        <f t="shared" ref="AB128:AB130" si="133">AA128</f>
        <v>46167</v>
      </c>
      <c r="AC128" s="78">
        <f t="shared" ref="AC128:AC130" si="134">U128+$AC$2</f>
        <v>46167</v>
      </c>
      <c r="AD128" s="78">
        <f t="shared" ref="AD128:AD130" si="135">AB128+$AD$2</f>
        <v>46168</v>
      </c>
      <c r="AE128" s="78">
        <f t="shared" ref="AE128:AE130" si="136">U128+$AE$2</f>
        <v>46160</v>
      </c>
      <c r="AF128" s="78">
        <f t="shared" ref="AF128:AF130" si="137">IF(P128&gt;AD128,P128+$AD$2,AD128+$AF$2)</f>
        <v>46170</v>
      </c>
      <c r="AG128" s="78">
        <f t="shared" ref="AG128:AG130" si="138">S128-S$2+G128*7</f>
        <v>46279</v>
      </c>
      <c r="AH128" s="78">
        <v>46105</v>
      </c>
    </row>
    <row r="129" spans="1:34" x14ac:dyDescent="0.25">
      <c r="A129" s="103" t="s">
        <v>438</v>
      </c>
      <c r="B129" s="103" t="s">
        <v>441</v>
      </c>
      <c r="C129" s="104">
        <v>46099</v>
      </c>
      <c r="D129" s="103">
        <v>2</v>
      </c>
      <c r="E129" s="103">
        <v>3</v>
      </c>
      <c r="F129" s="103">
        <v>16</v>
      </c>
      <c r="G129" s="103">
        <v>18</v>
      </c>
      <c r="H129" s="78">
        <f t="shared" si="121"/>
        <v>46120</v>
      </c>
      <c r="I129" s="78">
        <f t="shared" si="122"/>
        <v>46134</v>
      </c>
      <c r="J129" s="78">
        <f t="shared" si="123"/>
        <v>46141</v>
      </c>
      <c r="K129" s="78">
        <f t="shared" si="124"/>
        <v>46148</v>
      </c>
      <c r="L129" s="78">
        <f t="shared" si="125"/>
        <v>46155</v>
      </c>
      <c r="M129" s="78">
        <f t="shared" si="126"/>
        <v>46162</v>
      </c>
      <c r="N129" s="78">
        <f>IF(VLOOKUP($A129,Dates,13,)=0,M129+N$2,VLOOKUP($A129,Dates,13,)+N$2)</f>
        <v>46169</v>
      </c>
      <c r="O129" s="78">
        <f t="shared" si="127"/>
        <v>46176</v>
      </c>
      <c r="P129" s="78">
        <f t="shared" ref="P129:Q130" si="139">$C129+P$2</f>
        <v>46113</v>
      </c>
      <c r="Q129" s="78">
        <f t="shared" si="139"/>
        <v>46113</v>
      </c>
      <c r="R129" s="78"/>
      <c r="S129" s="78">
        <f>IF(VLOOKUP(A129,Dates,15,)&gt;0,VLOOKUP(A129,Dates,15,)+'Date Calcs'!S$2,IF(VLOOKUP(A129,Dates,13,)&gt;0,VLOOKUP(A129,Dates,13,)+'Date Calcs'!S$2,IF(VLOOKUP(A129,Dates,11,)&gt;0,VLOOKUP(A129,Dates,11,)+'Date Calcs'!S$2,IF(VLOOKUP(A129,Dates,9,)&gt;0,VLOOKUP(A129,Dates,9,)+'Date Calcs'!S$2,$I129+S$2))))+(V129*7)</f>
        <v>46136</v>
      </c>
      <c r="T129" s="78">
        <f t="shared" si="73"/>
        <v>46137</v>
      </c>
      <c r="U129" s="78">
        <f t="shared" si="128"/>
        <v>46141</v>
      </c>
      <c r="V129" s="105">
        <v>0</v>
      </c>
      <c r="W129" s="105">
        <v>0</v>
      </c>
      <c r="X129" s="78">
        <f t="shared" si="129"/>
        <v>46267</v>
      </c>
      <c r="Y129" s="78">
        <f t="shared" si="130"/>
        <v>46148</v>
      </c>
      <c r="Z129" s="78">
        <f t="shared" si="131"/>
        <v>46155</v>
      </c>
      <c r="AA129" s="78">
        <f t="shared" si="132"/>
        <v>46155</v>
      </c>
      <c r="AB129" s="78">
        <f t="shared" si="133"/>
        <v>46155</v>
      </c>
      <c r="AC129" s="78">
        <f t="shared" si="134"/>
        <v>46155</v>
      </c>
      <c r="AD129" s="78">
        <f t="shared" si="135"/>
        <v>46156</v>
      </c>
      <c r="AE129" s="78">
        <f t="shared" si="136"/>
        <v>46148</v>
      </c>
      <c r="AF129" s="78">
        <f t="shared" si="137"/>
        <v>46158</v>
      </c>
      <c r="AG129" s="78">
        <f t="shared" si="138"/>
        <v>46260</v>
      </c>
      <c r="AH129" s="78">
        <v>46105</v>
      </c>
    </row>
    <row r="130" spans="1:34" x14ac:dyDescent="0.25">
      <c r="A130" s="103" t="s">
        <v>439</v>
      </c>
      <c r="B130" s="103" t="s">
        <v>441</v>
      </c>
      <c r="C130" s="104">
        <v>46099</v>
      </c>
      <c r="D130" s="103">
        <v>2</v>
      </c>
      <c r="E130" s="103">
        <v>3</v>
      </c>
      <c r="F130" s="103">
        <v>12</v>
      </c>
      <c r="G130" s="103">
        <v>14</v>
      </c>
      <c r="H130" s="78">
        <f t="shared" si="121"/>
        <v>46120</v>
      </c>
      <c r="I130" s="78">
        <f t="shared" si="122"/>
        <v>46134</v>
      </c>
      <c r="J130" s="78">
        <f t="shared" si="123"/>
        <v>46141</v>
      </c>
      <c r="K130" s="78">
        <f t="shared" si="124"/>
        <v>46148</v>
      </c>
      <c r="L130" s="78">
        <f t="shared" si="125"/>
        <v>46155</v>
      </c>
      <c r="M130" s="78">
        <f t="shared" si="126"/>
        <v>46162</v>
      </c>
      <c r="N130" s="78">
        <f>IF(VLOOKUP($A130,Dates,13,)=0,M130+N$2,VLOOKUP($A130,Dates,13,)+N$2)</f>
        <v>46169</v>
      </c>
      <c r="O130" s="78">
        <f t="shared" si="127"/>
        <v>46176</v>
      </c>
      <c r="P130" s="78">
        <f t="shared" si="139"/>
        <v>46113</v>
      </c>
      <c r="Q130" s="78">
        <f t="shared" si="139"/>
        <v>46113</v>
      </c>
      <c r="R130" s="78"/>
      <c r="S130" s="78">
        <f>IF(VLOOKUP(A130,Dates,15,)&gt;0,VLOOKUP(A130,Dates,15,)+'Date Calcs'!S$2,IF(VLOOKUP(A130,Dates,13,)&gt;0,VLOOKUP(A130,Dates,13,)+'Date Calcs'!S$2,IF(VLOOKUP(A130,Dates,11,)&gt;0,VLOOKUP(A130,Dates,11,)+'Date Calcs'!S$2,IF(VLOOKUP(A130,Dates,9,)&gt;0,VLOOKUP(A130,Dates,9,)+'Date Calcs'!S$2,$I130+S$2))))+(V130*7)</f>
        <v>46136</v>
      </c>
      <c r="T130" s="78">
        <f t="shared" si="73"/>
        <v>46137</v>
      </c>
      <c r="U130" s="78">
        <f t="shared" si="128"/>
        <v>46141</v>
      </c>
      <c r="V130" s="105">
        <v>0</v>
      </c>
      <c r="W130" s="105">
        <v>0</v>
      </c>
      <c r="X130" s="78">
        <f t="shared" si="129"/>
        <v>46239</v>
      </c>
      <c r="Y130" s="78">
        <f t="shared" si="130"/>
        <v>46148</v>
      </c>
      <c r="Z130" s="78">
        <f t="shared" si="131"/>
        <v>46155</v>
      </c>
      <c r="AA130" s="78">
        <f t="shared" si="132"/>
        <v>46155</v>
      </c>
      <c r="AB130" s="78">
        <f t="shared" si="133"/>
        <v>46155</v>
      </c>
      <c r="AC130" s="78">
        <f t="shared" si="134"/>
        <v>46155</v>
      </c>
      <c r="AD130" s="78">
        <f t="shared" si="135"/>
        <v>46156</v>
      </c>
      <c r="AE130" s="78">
        <f t="shared" si="136"/>
        <v>46148</v>
      </c>
      <c r="AF130" s="78">
        <f t="shared" si="137"/>
        <v>46158</v>
      </c>
      <c r="AG130" s="78">
        <f t="shared" si="138"/>
        <v>46232</v>
      </c>
      <c r="AH130" s="78"/>
    </row>
    <row r="131" spans="1:34" x14ac:dyDescent="0.25">
      <c r="A131" s="103"/>
      <c r="B131" s="103"/>
      <c r="C131" s="104"/>
      <c r="D131" s="103"/>
      <c r="E131" s="103"/>
      <c r="F131" s="103"/>
      <c r="G131" s="103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105">
        <v>0</v>
      </c>
      <c r="W131" s="105">
        <v>0</v>
      </c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</row>
    <row r="132" spans="1:34" x14ac:dyDescent="0.25">
      <c r="A132" s="103"/>
      <c r="B132" s="103"/>
      <c r="C132" s="104"/>
      <c r="D132" s="103"/>
      <c r="E132" s="103"/>
      <c r="F132" s="103"/>
      <c r="G132" s="103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105">
        <v>0</v>
      </c>
      <c r="W132" s="105">
        <v>0</v>
      </c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</row>
    <row r="133" spans="1:34" x14ac:dyDescent="0.25">
      <c r="A133" s="103"/>
      <c r="B133" s="103"/>
      <c r="C133" s="104"/>
      <c r="D133" s="103"/>
      <c r="E133" s="103"/>
      <c r="F133" s="103"/>
      <c r="G133" s="103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105"/>
      <c r="W133" s="105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</row>
    <row r="134" spans="1:34" x14ac:dyDescent="0.25">
      <c r="A134" s="103"/>
      <c r="B134" s="103"/>
      <c r="C134" s="104"/>
      <c r="D134" s="103"/>
      <c r="E134" s="103"/>
      <c r="F134" s="103"/>
      <c r="G134" s="103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105"/>
      <c r="W134" s="105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</row>
    <row r="135" spans="1:34" x14ac:dyDescent="0.25">
      <c r="A135" s="103"/>
      <c r="B135" s="103"/>
      <c r="C135" s="104"/>
      <c r="D135" s="103"/>
      <c r="E135" s="103"/>
      <c r="F135" s="103"/>
      <c r="G135" s="103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105"/>
      <c r="W135" s="105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</row>
    <row r="136" spans="1:34" x14ac:dyDescent="0.25">
      <c r="A136" s="103"/>
      <c r="B136" s="103"/>
      <c r="C136" s="104"/>
      <c r="D136" s="103"/>
      <c r="E136" s="103"/>
      <c r="F136" s="103"/>
      <c r="G136" s="103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105"/>
      <c r="W136" s="105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</row>
    <row r="137" spans="1:34" x14ac:dyDescent="0.25">
      <c r="A137" s="103"/>
      <c r="B137" s="103"/>
      <c r="C137" s="104"/>
      <c r="D137" s="103"/>
      <c r="E137" s="103"/>
      <c r="F137" s="103"/>
      <c r="G137" s="103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105"/>
      <c r="W137" s="105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</row>
    <row r="138" spans="1:34" x14ac:dyDescent="0.25">
      <c r="A138" s="103"/>
      <c r="B138" s="103"/>
      <c r="C138" s="104"/>
      <c r="D138" s="103"/>
      <c r="E138" s="103"/>
      <c r="F138" s="103"/>
      <c r="G138" s="103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105"/>
      <c r="W138" s="105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</row>
    <row r="139" spans="1:34" x14ac:dyDescent="0.25">
      <c r="A139" s="103"/>
      <c r="B139" s="103"/>
      <c r="C139" s="104"/>
      <c r="D139" s="103"/>
      <c r="E139" s="103"/>
      <c r="F139" s="103"/>
      <c r="G139" s="103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105"/>
      <c r="W139" s="105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</row>
    <row r="140" spans="1:34" x14ac:dyDescent="0.25">
      <c r="A140" s="103"/>
      <c r="B140" s="103"/>
      <c r="C140" s="104"/>
      <c r="D140" s="103"/>
      <c r="E140" s="103"/>
      <c r="F140" s="103"/>
      <c r="G140" s="103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105"/>
      <c r="W140" s="105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</row>
    <row r="141" spans="1:34" x14ac:dyDescent="0.25">
      <c r="A141" s="103"/>
      <c r="B141" s="103"/>
      <c r="C141" s="104"/>
      <c r="D141" s="103"/>
      <c r="E141" s="103"/>
      <c r="F141" s="103"/>
      <c r="G141" s="103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105"/>
      <c r="W141" s="105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</row>
    <row r="142" spans="1:34" x14ac:dyDescent="0.25">
      <c r="A142" s="103"/>
      <c r="B142" s="103"/>
      <c r="C142" s="104"/>
      <c r="D142" s="103"/>
      <c r="E142" s="103"/>
      <c r="F142" s="103"/>
      <c r="G142" s="103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105"/>
      <c r="W142" s="105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</row>
    <row r="143" spans="1:34" x14ac:dyDescent="0.25">
      <c r="A143" s="103"/>
      <c r="B143" s="103"/>
      <c r="C143" s="104"/>
      <c r="D143" s="103"/>
      <c r="E143" s="103"/>
      <c r="F143" s="103"/>
      <c r="G143" s="103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105"/>
      <c r="W143" s="105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</row>
    <row r="144" spans="1:34" x14ac:dyDescent="0.25">
      <c r="A144" s="103"/>
      <c r="B144" s="103"/>
      <c r="C144" s="104"/>
      <c r="D144" s="103"/>
      <c r="E144" s="103"/>
      <c r="F144" s="103"/>
      <c r="G144" s="103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105"/>
      <c r="W144" s="105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</row>
    <row r="145" spans="1:34" x14ac:dyDescent="0.25">
      <c r="A145" s="103"/>
      <c r="B145" s="103"/>
      <c r="C145" s="104"/>
      <c r="D145" s="103"/>
      <c r="E145" s="103"/>
      <c r="F145" s="103"/>
      <c r="G145" s="103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105"/>
      <c r="W145" s="105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</row>
    <row r="146" spans="1:34" x14ac:dyDescent="0.25">
      <c r="A146" s="103"/>
      <c r="B146" s="103"/>
      <c r="C146" s="104"/>
      <c r="D146" s="103"/>
      <c r="E146" s="103"/>
      <c r="F146" s="103"/>
      <c r="G146" s="103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105"/>
      <c r="W146" s="105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</row>
    <row r="147" spans="1:34" x14ac:dyDescent="0.25">
      <c r="A147" s="103"/>
      <c r="B147" s="103"/>
      <c r="C147" s="104"/>
      <c r="D147" s="103"/>
      <c r="E147" s="103"/>
      <c r="F147" s="103"/>
      <c r="G147" s="103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105"/>
      <c r="W147" s="105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</row>
    <row r="148" spans="1:34" x14ac:dyDescent="0.25">
      <c r="A148" s="103"/>
      <c r="B148" s="103"/>
      <c r="C148" s="104"/>
      <c r="D148" s="103"/>
      <c r="E148" s="103"/>
      <c r="F148" s="103"/>
      <c r="G148" s="103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105"/>
      <c r="W148" s="105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</row>
    <row r="149" spans="1:34" x14ac:dyDescent="0.25">
      <c r="A149" s="103"/>
      <c r="B149" s="103"/>
      <c r="C149" s="104"/>
      <c r="D149" s="103"/>
      <c r="E149" s="103"/>
      <c r="F149" s="103"/>
      <c r="G149" s="103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105"/>
      <c r="W149" s="105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</row>
    <row r="150" spans="1:34" x14ac:dyDescent="0.25">
      <c r="A150" s="103"/>
      <c r="B150" s="103"/>
      <c r="C150" s="104"/>
      <c r="D150" s="103"/>
      <c r="E150" s="103"/>
      <c r="F150" s="103"/>
      <c r="G150" s="103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105"/>
      <c r="W150" s="105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</row>
    <row r="151" spans="1:34" x14ac:dyDescent="0.25">
      <c r="A151" s="103"/>
      <c r="B151" s="103"/>
      <c r="C151" s="104"/>
      <c r="D151" s="103"/>
      <c r="E151" s="103"/>
      <c r="F151" s="103"/>
      <c r="G151" s="103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105"/>
      <c r="W151" s="105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</row>
  </sheetData>
  <sheetProtection algorithmName="SHA-512" hashValue="0WY8CtXjAYc2vspPPbu+xP6gExer/wfigCvOjY6Jyjn04febfuakJM6BiuXg9Dt6j8kKDrThWAANDLhEs/UAxQ==" saltValue="Z6gXJgiwBXFO/RgRWkKmKw==" spinCount="100000" sheet="1" objects="1" scenarios="1" selectLockedCells="1"/>
  <mergeCells count="1">
    <mergeCell ref="D2:G2"/>
  </mergeCells>
  <phoneticPr fontId="27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261"/>
  <sheetViews>
    <sheetView zoomScaleNormal="100" workbookViewId="0">
      <pane xSplit="3" ySplit="4" topLeftCell="D14" activePane="bottomRight" state="frozen"/>
      <selection pane="topRight" activeCell="D1" sqref="D1"/>
      <selection pane="bottomLeft" activeCell="A84" sqref="A84"/>
      <selection pane="bottomRight" activeCell="D68" sqref="D68"/>
    </sheetView>
  </sheetViews>
  <sheetFormatPr defaultColWidth="8.7109375" defaultRowHeight="15" x14ac:dyDescent="0.25"/>
  <cols>
    <col min="1" max="1" width="12.28515625" customWidth="1"/>
    <col min="2" max="2" width="14.140625" customWidth="1"/>
    <col min="3" max="3" width="12" customWidth="1"/>
    <col min="4" max="4" width="10.85546875" style="23" customWidth="1"/>
    <col min="5" max="5" width="11.28515625" style="23" customWidth="1"/>
    <col min="6" max="6" width="12.7109375" style="23" customWidth="1"/>
    <col min="7" max="8" width="9.28515625" style="23" customWidth="1"/>
    <col min="9" max="9" width="12" customWidth="1"/>
    <col min="10" max="12" width="10.85546875" hidden="1" customWidth="1"/>
    <col min="13" max="13" width="10.28515625" hidden="1" customWidth="1"/>
    <col min="14" max="14" width="10.5703125" hidden="1" customWidth="1"/>
    <col min="15" max="15" width="10.28515625" customWidth="1"/>
    <col min="16" max="16" width="10.5703125" customWidth="1"/>
    <col min="17" max="18" width="10.42578125" customWidth="1"/>
    <col min="19" max="19" width="2.7109375" hidden="1" customWidth="1"/>
    <col min="20" max="21" width="10.42578125" hidden="1" customWidth="1"/>
    <col min="22" max="22" width="11" customWidth="1"/>
    <col min="23" max="23" width="10.85546875" customWidth="1"/>
    <col min="24" max="24" width="11.85546875" customWidth="1"/>
    <col min="25" max="25" width="10.85546875" customWidth="1"/>
    <col min="26" max="26" width="10.42578125" customWidth="1"/>
    <col min="27" max="27" width="10.28515625" customWidth="1"/>
    <col min="28" max="29" width="10.42578125" customWidth="1"/>
    <col min="30" max="30" width="10.140625" customWidth="1"/>
    <col min="31" max="32" width="10.7109375" customWidth="1"/>
  </cols>
  <sheetData>
    <row r="1" spans="1:32" x14ac:dyDescent="0.25">
      <c r="A1">
        <v>1</v>
      </c>
      <c r="B1">
        <v>2</v>
      </c>
      <c r="C1">
        <v>3</v>
      </c>
      <c r="D1" s="23">
        <v>4</v>
      </c>
      <c r="E1" s="23">
        <v>5</v>
      </c>
      <c r="F1" s="23">
        <v>6</v>
      </c>
      <c r="G1" s="23">
        <v>7</v>
      </c>
      <c r="H1" s="23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</row>
    <row r="2" spans="1:32" x14ac:dyDescent="0.25">
      <c r="C2" t="s">
        <v>171</v>
      </c>
      <c r="D2" s="169" t="s">
        <v>353</v>
      </c>
      <c r="E2" s="169"/>
      <c r="F2" s="169"/>
      <c r="G2" s="169"/>
      <c r="H2" s="169"/>
      <c r="I2" t="s">
        <v>178</v>
      </c>
      <c r="J2" s="96">
        <v>14</v>
      </c>
      <c r="K2" s="96">
        <v>7</v>
      </c>
      <c r="L2" s="96">
        <v>7</v>
      </c>
      <c r="M2" s="96">
        <v>7</v>
      </c>
      <c r="N2" s="96">
        <v>7</v>
      </c>
      <c r="O2" s="96">
        <v>7</v>
      </c>
      <c r="P2" s="96">
        <v>7</v>
      </c>
      <c r="Q2">
        <f>7*12</f>
        <v>84</v>
      </c>
      <c r="R2">
        <v>2</v>
      </c>
      <c r="T2">
        <v>5</v>
      </c>
      <c r="U2">
        <v>1</v>
      </c>
      <c r="V2">
        <v>7</v>
      </c>
      <c r="W2">
        <v>7</v>
      </c>
      <c r="X2">
        <v>7</v>
      </c>
      <c r="Y2">
        <v>14</v>
      </c>
      <c r="Z2">
        <v>5</v>
      </c>
      <c r="AA2">
        <v>7</v>
      </c>
      <c r="AB2">
        <v>7</v>
      </c>
      <c r="AC2">
        <v>7</v>
      </c>
      <c r="AD2">
        <v>2</v>
      </c>
    </row>
    <row r="3" spans="1:32" s="76" customFormat="1" ht="12" x14ac:dyDescent="0.2">
      <c r="D3" s="106"/>
      <c r="E3" s="106"/>
      <c r="F3" s="106"/>
      <c r="G3" s="106"/>
      <c r="H3" s="106"/>
      <c r="I3" s="76" t="s">
        <v>354</v>
      </c>
      <c r="J3" s="98"/>
      <c r="K3" s="98"/>
      <c r="L3" s="98"/>
      <c r="M3" s="98"/>
      <c r="N3" s="98"/>
      <c r="O3" s="98"/>
      <c r="P3" s="98"/>
    </row>
    <row r="4" spans="1:32" s="23" customFormat="1" ht="63" x14ac:dyDescent="0.25">
      <c r="A4" s="107" t="s">
        <v>51</v>
      </c>
      <c r="B4" s="107" t="s">
        <v>6</v>
      </c>
      <c r="C4" s="108" t="s">
        <v>355</v>
      </c>
      <c r="D4" s="109" t="s">
        <v>356</v>
      </c>
      <c r="E4" s="109" t="s">
        <v>357</v>
      </c>
      <c r="F4" s="109" t="s">
        <v>358</v>
      </c>
      <c r="G4" s="110" t="s">
        <v>359</v>
      </c>
      <c r="H4" s="109" t="s">
        <v>360</v>
      </c>
      <c r="I4" s="108" t="s">
        <v>57</v>
      </c>
      <c r="J4" s="111" t="s">
        <v>58</v>
      </c>
      <c r="K4" s="111" t="s">
        <v>59</v>
      </c>
      <c r="L4" s="111" t="s">
        <v>58</v>
      </c>
      <c r="M4" s="111" t="s">
        <v>59</v>
      </c>
      <c r="N4" s="111" t="s">
        <v>58</v>
      </c>
      <c r="O4" s="111" t="s">
        <v>361</v>
      </c>
      <c r="P4" s="111" t="s">
        <v>362</v>
      </c>
      <c r="Q4" s="108" t="s">
        <v>363</v>
      </c>
      <c r="R4" s="108" t="s">
        <v>364</v>
      </c>
      <c r="S4" s="112"/>
      <c r="T4" s="108" t="s">
        <v>25</v>
      </c>
      <c r="U4" s="108" t="s">
        <v>73</v>
      </c>
      <c r="V4" s="108" t="s">
        <v>26</v>
      </c>
      <c r="W4" s="108" t="s">
        <v>27</v>
      </c>
      <c r="X4" s="108" t="s">
        <v>28</v>
      </c>
      <c r="Y4" s="108" t="s">
        <v>365</v>
      </c>
      <c r="Z4" s="108" t="s">
        <v>30</v>
      </c>
      <c r="AA4" s="108" t="s">
        <v>31</v>
      </c>
      <c r="AB4" s="108" t="s">
        <v>32</v>
      </c>
      <c r="AC4" s="108" t="s">
        <v>33</v>
      </c>
      <c r="AD4" s="108" t="s">
        <v>199</v>
      </c>
      <c r="AE4" s="108" t="s">
        <v>355</v>
      </c>
      <c r="AF4" s="108" t="s">
        <v>366</v>
      </c>
    </row>
    <row r="5" spans="1:32" x14ac:dyDescent="0.25">
      <c r="A5" s="113" t="str">
        <f>'Date Calcs'!A5</f>
        <v>24-046</v>
      </c>
      <c r="B5" s="113" t="str">
        <f>'Date Calcs'!B5</f>
        <v>SYMS Engineering</v>
      </c>
      <c r="C5" s="114" t="str">
        <f>_xlfn.IFNA(_xlfn.IFNA(VLOOKUP(AF5,'[1]Schedule Not Certified'!$C:$F,3,0),VLOOKUP(AF5,[1]CERTIFIED!$C:$E,3,0)),"")</f>
        <v/>
      </c>
      <c r="D5" s="115">
        <v>4</v>
      </c>
      <c r="E5" s="115">
        <v>0.25</v>
      </c>
      <c r="F5" s="115">
        <v>0</v>
      </c>
      <c r="G5" s="115">
        <v>0.25</v>
      </c>
      <c r="H5" s="115">
        <v>0.5</v>
      </c>
      <c r="I5" s="114">
        <f t="shared" ref="I5:I68" si="0">IFERROR(J5-21,"")</f>
        <v>45445</v>
      </c>
      <c r="J5" s="116">
        <f t="shared" ref="J5:N14" si="1">K5-J$2</f>
        <v>45466</v>
      </c>
      <c r="K5" s="116">
        <f t="shared" si="1"/>
        <v>45480</v>
      </c>
      <c r="L5" s="116">
        <f t="shared" si="1"/>
        <v>45487</v>
      </c>
      <c r="M5" s="116">
        <f t="shared" si="1"/>
        <v>45494</v>
      </c>
      <c r="N5" s="116">
        <f t="shared" si="1"/>
        <v>45501</v>
      </c>
      <c r="O5" s="116">
        <f t="shared" ref="O5:O68" si="2">IFERROR(P5-$O$2,"")</f>
        <v>45508</v>
      </c>
      <c r="P5" s="116">
        <f t="shared" ref="P5:P68" si="3">IFERROR(R5-2,"")</f>
        <v>45515</v>
      </c>
      <c r="Q5" s="116">
        <f>IFERROR(VLOOKUP(A5,'Date Calcs'!A:C,3,0),"")</f>
        <v>45519</v>
      </c>
      <c r="R5" s="116">
        <f t="shared" ref="R5:R68" si="4">IFERROR(Q5-$R$2,"")</f>
        <v>45517</v>
      </c>
      <c r="S5" s="117"/>
      <c r="T5" s="116" t="e">
        <f t="shared" ref="T5:T68" si="5">V5-$T$2</f>
        <v>#VALUE!</v>
      </c>
      <c r="U5" s="116" t="e">
        <f t="shared" ref="U5:U68" si="6">AD5+(D5*7)</f>
        <v>#VALUE!</v>
      </c>
      <c r="V5" s="116" t="str">
        <f>IFERROR(IF(VLOOKUP(A5,'Actual Dates'!A:AE,21,0)&gt;"",VLOOKUP(A5,'Actual Dates'!A:AE,21,0),W5-$V$2),"")</f>
        <v/>
      </c>
      <c r="W5" s="116" t="str">
        <f t="shared" ref="W5:W68" si="7">IFERROR(X5-$W$2,"")</f>
        <v/>
      </c>
      <c r="X5" s="116" t="str">
        <f t="shared" ref="X5:X68" si="8">IFERROR(Y5-$X$2,"")</f>
        <v/>
      </c>
      <c r="Y5" s="116" t="str">
        <f t="shared" ref="Y5:Y68" si="9">IFERROR(IF(Z5+Y$2+5&gt;AD5,AD5-7,Z5+Y$2+5),"")</f>
        <v/>
      </c>
      <c r="Z5" s="116" t="str">
        <f t="shared" ref="Z5:Z68" si="10">IFERROR(AD5-$Z$2,"")</f>
        <v/>
      </c>
      <c r="AA5" s="116" t="str">
        <f t="shared" ref="AA5:AA68" si="11">IFERROR(AD5-$AA$2,"")</f>
        <v/>
      </c>
      <c r="AB5" s="116" t="str">
        <f t="shared" ref="AB5:AB68" si="12">IFERROR(AD5-$AB$2,"")</f>
        <v/>
      </c>
      <c r="AC5" s="116" t="str">
        <f t="shared" ref="AC5:AC68" si="13">IFERROR(AD5-$AC$2,"")</f>
        <v/>
      </c>
      <c r="AD5" s="116" t="str">
        <f t="shared" ref="AD5:AD68" si="14">IFERROR(AE5-(SUM(D5:H5)*7),"")</f>
        <v/>
      </c>
      <c r="AE5" s="116" t="str">
        <f t="shared" ref="AE5:AE68" si="15">C5</f>
        <v/>
      </c>
      <c r="AF5" s="116" t="str">
        <f t="shared" ref="AF5:AF68" si="16">CONCATENATE(RIGHT(A5,3),"-",LEFT(A5,2))</f>
        <v>046-24</v>
      </c>
    </row>
    <row r="6" spans="1:32" x14ac:dyDescent="0.25">
      <c r="A6" s="113" t="str">
        <f>'Date Calcs'!A6</f>
        <v>25-010</v>
      </c>
      <c r="B6" s="113" t="str">
        <f>'Date Calcs'!B6</f>
        <v>Kimberly Clark</v>
      </c>
      <c r="C6" s="114" t="str">
        <f>_xlfn.IFNA(_xlfn.IFNA(VLOOKUP(AF6,'[1]Schedule Not Certified'!$C:$F,3,0),VLOOKUP(AF6,[1]CERTIFIED!$C:$E,3,0)),"")</f>
        <v/>
      </c>
      <c r="D6" s="115">
        <v>4</v>
      </c>
      <c r="E6" s="115">
        <v>0.25</v>
      </c>
      <c r="F6" s="115">
        <v>0</v>
      </c>
      <c r="G6" s="115">
        <v>0.25</v>
      </c>
      <c r="H6" s="115">
        <v>0.5</v>
      </c>
      <c r="I6" s="114">
        <f t="shared" si="0"/>
        <v>45611</v>
      </c>
      <c r="J6" s="116">
        <f t="shared" si="1"/>
        <v>45632</v>
      </c>
      <c r="K6" s="116">
        <f t="shared" si="1"/>
        <v>45646</v>
      </c>
      <c r="L6" s="116">
        <f t="shared" si="1"/>
        <v>45653</v>
      </c>
      <c r="M6" s="116">
        <f t="shared" si="1"/>
        <v>45660</v>
      </c>
      <c r="N6" s="116">
        <f t="shared" si="1"/>
        <v>45667</v>
      </c>
      <c r="O6" s="116">
        <f t="shared" si="2"/>
        <v>45674</v>
      </c>
      <c r="P6" s="116">
        <f t="shared" si="3"/>
        <v>45681</v>
      </c>
      <c r="Q6" s="116">
        <f>IFERROR(VLOOKUP(A6,'Date Calcs'!A:C,3,0),"")</f>
        <v>45685</v>
      </c>
      <c r="R6" s="116">
        <f t="shared" si="4"/>
        <v>45683</v>
      </c>
      <c r="S6" s="117"/>
      <c r="T6" s="116" t="e">
        <f t="shared" si="5"/>
        <v>#VALUE!</v>
      </c>
      <c r="U6" s="116" t="e">
        <f t="shared" si="6"/>
        <v>#VALUE!</v>
      </c>
      <c r="V6" s="116" t="str">
        <f>IFERROR(IF(VLOOKUP(A6,'Actual Dates'!A:AE,21,0)&gt;"",VLOOKUP(A6,'Actual Dates'!A:AE,21,0),W6-$V$2),"")</f>
        <v/>
      </c>
      <c r="W6" s="116" t="str">
        <f t="shared" si="7"/>
        <v/>
      </c>
      <c r="X6" s="116" t="str">
        <f t="shared" si="8"/>
        <v/>
      </c>
      <c r="Y6" s="116" t="str">
        <f t="shared" si="9"/>
        <v/>
      </c>
      <c r="Z6" s="116" t="str">
        <f t="shared" si="10"/>
        <v/>
      </c>
      <c r="AA6" s="116" t="str">
        <f t="shared" si="11"/>
        <v/>
      </c>
      <c r="AB6" s="116" t="str">
        <f t="shared" si="12"/>
        <v/>
      </c>
      <c r="AC6" s="116" t="str">
        <f t="shared" si="13"/>
        <v/>
      </c>
      <c r="AD6" s="116" t="str">
        <f t="shared" si="14"/>
        <v/>
      </c>
      <c r="AE6" s="116" t="str">
        <f t="shared" si="15"/>
        <v/>
      </c>
      <c r="AF6" s="116" t="str">
        <f t="shared" si="16"/>
        <v>010-25</v>
      </c>
    </row>
    <row r="7" spans="1:32" x14ac:dyDescent="0.25">
      <c r="A7" s="113" t="str">
        <f>'Date Calcs'!A7</f>
        <v>25-011</v>
      </c>
      <c r="B7" s="113" t="str">
        <f>'Date Calcs'!B7</f>
        <v>Kimberly Clark</v>
      </c>
      <c r="C7" s="114" t="str">
        <f>_xlfn.IFNA(_xlfn.IFNA(VLOOKUP(AF7,'[1]Schedule Not Certified'!$C:$F,3,0),VLOOKUP(AF7,[1]CERTIFIED!$C:$E,3,0)),"")</f>
        <v/>
      </c>
      <c r="D7" s="115">
        <v>0</v>
      </c>
      <c r="E7" s="115">
        <v>0.25</v>
      </c>
      <c r="F7" s="115">
        <v>0</v>
      </c>
      <c r="G7" s="115">
        <v>0</v>
      </c>
      <c r="H7" s="115">
        <v>0</v>
      </c>
      <c r="I7" s="114">
        <f t="shared" si="0"/>
        <v>45611</v>
      </c>
      <c r="J7" s="116">
        <f t="shared" si="1"/>
        <v>45632</v>
      </c>
      <c r="K7" s="116">
        <f t="shared" si="1"/>
        <v>45646</v>
      </c>
      <c r="L7" s="116">
        <f t="shared" si="1"/>
        <v>45653</v>
      </c>
      <c r="M7" s="116">
        <f t="shared" si="1"/>
        <v>45660</v>
      </c>
      <c r="N7" s="116">
        <f t="shared" si="1"/>
        <v>45667</v>
      </c>
      <c r="O7" s="116">
        <f t="shared" si="2"/>
        <v>45674</v>
      </c>
      <c r="P7" s="116">
        <f t="shared" si="3"/>
        <v>45681</v>
      </c>
      <c r="Q7" s="116">
        <f>IFERROR(VLOOKUP(A7,'Date Calcs'!A:C,3,0),"")</f>
        <v>45685</v>
      </c>
      <c r="R7" s="116">
        <f t="shared" si="4"/>
        <v>45683</v>
      </c>
      <c r="S7" s="117"/>
      <c r="T7" s="116" t="e">
        <f t="shared" si="5"/>
        <v>#VALUE!</v>
      </c>
      <c r="U7" s="116" t="e">
        <f t="shared" si="6"/>
        <v>#VALUE!</v>
      </c>
      <c r="V7" s="116" t="str">
        <f>IFERROR(IF(VLOOKUP(A7,'Actual Dates'!A:AE,21,0)&gt;"",VLOOKUP(A7,'Actual Dates'!A:AE,21,0),W7-$V$2),"")</f>
        <v/>
      </c>
      <c r="W7" s="116" t="str">
        <f t="shared" si="7"/>
        <v/>
      </c>
      <c r="X7" s="116" t="str">
        <f t="shared" si="8"/>
        <v/>
      </c>
      <c r="Y7" s="116" t="str">
        <f t="shared" si="9"/>
        <v/>
      </c>
      <c r="Z7" s="116" t="str">
        <f t="shared" si="10"/>
        <v/>
      </c>
      <c r="AA7" s="116" t="str">
        <f t="shared" si="11"/>
        <v/>
      </c>
      <c r="AB7" s="116" t="str">
        <f t="shared" si="12"/>
        <v/>
      </c>
      <c r="AC7" s="116" t="str">
        <f t="shared" si="13"/>
        <v/>
      </c>
      <c r="AD7" s="116" t="str">
        <f t="shared" si="14"/>
        <v/>
      </c>
      <c r="AE7" s="116" t="str">
        <f t="shared" si="15"/>
        <v/>
      </c>
      <c r="AF7" s="116" t="str">
        <f t="shared" si="16"/>
        <v>011-25</v>
      </c>
    </row>
    <row r="8" spans="1:32" x14ac:dyDescent="0.25">
      <c r="A8" s="113" t="str">
        <f>'Date Calcs'!A8</f>
        <v>25-012</v>
      </c>
      <c r="B8" s="113" t="str">
        <f>'Date Calcs'!B8</f>
        <v>Kimberly Clark</v>
      </c>
      <c r="C8" s="114" t="str">
        <f>_xlfn.IFNA(_xlfn.IFNA(VLOOKUP(AF8,'[1]Schedule Not Certified'!$C:$F,3,0),VLOOKUP(AF8,[1]CERTIFIED!$C:$E,3,0)),"")</f>
        <v/>
      </c>
      <c r="D8" s="115">
        <v>4</v>
      </c>
      <c r="E8" s="115">
        <v>0.25</v>
      </c>
      <c r="F8" s="115">
        <v>0</v>
      </c>
      <c r="G8" s="115">
        <v>0.25</v>
      </c>
      <c r="H8" s="115">
        <v>0.5</v>
      </c>
      <c r="I8" s="114">
        <f t="shared" si="0"/>
        <v>45611</v>
      </c>
      <c r="J8" s="116">
        <f t="shared" si="1"/>
        <v>45632</v>
      </c>
      <c r="K8" s="116">
        <f t="shared" si="1"/>
        <v>45646</v>
      </c>
      <c r="L8" s="116">
        <f t="shared" si="1"/>
        <v>45653</v>
      </c>
      <c r="M8" s="116">
        <f t="shared" si="1"/>
        <v>45660</v>
      </c>
      <c r="N8" s="116">
        <f t="shared" si="1"/>
        <v>45667</v>
      </c>
      <c r="O8" s="116">
        <f t="shared" si="2"/>
        <v>45674</v>
      </c>
      <c r="P8" s="116">
        <f t="shared" si="3"/>
        <v>45681</v>
      </c>
      <c r="Q8" s="116">
        <f>IFERROR(VLOOKUP(A8,'Date Calcs'!A:C,3,0),"")</f>
        <v>45685</v>
      </c>
      <c r="R8" s="116">
        <f t="shared" si="4"/>
        <v>45683</v>
      </c>
      <c r="S8" s="117"/>
      <c r="T8" s="116" t="e">
        <f t="shared" si="5"/>
        <v>#VALUE!</v>
      </c>
      <c r="U8" s="116" t="e">
        <f t="shared" si="6"/>
        <v>#VALUE!</v>
      </c>
      <c r="V8" s="116" t="str">
        <f>IFERROR(IF(VLOOKUP(A8,'Actual Dates'!A:AE,21,0)&gt;"",VLOOKUP(A8,'Actual Dates'!A:AE,21,0),W8-$V$2),"")</f>
        <v/>
      </c>
      <c r="W8" s="116" t="str">
        <f t="shared" si="7"/>
        <v/>
      </c>
      <c r="X8" s="116" t="str">
        <f t="shared" si="8"/>
        <v/>
      </c>
      <c r="Y8" s="116" t="str">
        <f t="shared" si="9"/>
        <v/>
      </c>
      <c r="Z8" s="116" t="str">
        <f t="shared" si="10"/>
        <v/>
      </c>
      <c r="AA8" s="116" t="str">
        <f t="shared" si="11"/>
        <v/>
      </c>
      <c r="AB8" s="116" t="str">
        <f t="shared" si="12"/>
        <v/>
      </c>
      <c r="AC8" s="116" t="str">
        <f t="shared" si="13"/>
        <v/>
      </c>
      <c r="AD8" s="116" t="str">
        <f t="shared" si="14"/>
        <v/>
      </c>
      <c r="AE8" s="116" t="str">
        <f t="shared" si="15"/>
        <v/>
      </c>
      <c r="AF8" s="116" t="str">
        <f t="shared" si="16"/>
        <v>012-25</v>
      </c>
    </row>
    <row r="9" spans="1:32" x14ac:dyDescent="0.25">
      <c r="A9" s="113" t="str">
        <f>'Date Calcs'!A9</f>
        <v>25-013</v>
      </c>
      <c r="B9" s="113" t="str">
        <f>'Date Calcs'!B9</f>
        <v>Kimberly Clark</v>
      </c>
      <c r="C9" s="114" t="str">
        <f>_xlfn.IFNA(_xlfn.IFNA(VLOOKUP(AF9,'[1]Schedule Not Certified'!$C:$F,3,0),VLOOKUP(AF9,[1]CERTIFIED!$C:$E,3,0)),"")</f>
        <v/>
      </c>
      <c r="D9" s="115">
        <v>4</v>
      </c>
      <c r="E9" s="115">
        <v>0.25</v>
      </c>
      <c r="F9" s="115">
        <v>0</v>
      </c>
      <c r="G9" s="115">
        <v>0.25</v>
      </c>
      <c r="H9" s="115">
        <v>0.5</v>
      </c>
      <c r="I9" s="114">
        <f t="shared" si="0"/>
        <v>45611</v>
      </c>
      <c r="J9" s="116">
        <f t="shared" si="1"/>
        <v>45632</v>
      </c>
      <c r="K9" s="116">
        <f t="shared" si="1"/>
        <v>45646</v>
      </c>
      <c r="L9" s="116">
        <f t="shared" si="1"/>
        <v>45653</v>
      </c>
      <c r="M9" s="116">
        <f t="shared" si="1"/>
        <v>45660</v>
      </c>
      <c r="N9" s="116">
        <f t="shared" si="1"/>
        <v>45667</v>
      </c>
      <c r="O9" s="116">
        <f t="shared" si="2"/>
        <v>45674</v>
      </c>
      <c r="P9" s="116">
        <f t="shared" si="3"/>
        <v>45681</v>
      </c>
      <c r="Q9" s="116">
        <f>IFERROR(VLOOKUP(A9,'Date Calcs'!A:C,3,0),"")</f>
        <v>45685</v>
      </c>
      <c r="R9" s="116">
        <f t="shared" si="4"/>
        <v>45683</v>
      </c>
      <c r="S9" s="117"/>
      <c r="T9" s="116" t="e">
        <f t="shared" si="5"/>
        <v>#VALUE!</v>
      </c>
      <c r="U9" s="116" t="e">
        <f t="shared" si="6"/>
        <v>#VALUE!</v>
      </c>
      <c r="V9" s="116" t="str">
        <f>IFERROR(IF(VLOOKUP(A9,'Actual Dates'!A:AE,21,0)&gt;"",VLOOKUP(A9,'Actual Dates'!A:AE,21,0),W9-$V$2),"")</f>
        <v/>
      </c>
      <c r="W9" s="116" t="str">
        <f t="shared" si="7"/>
        <v/>
      </c>
      <c r="X9" s="116" t="str">
        <f t="shared" si="8"/>
        <v/>
      </c>
      <c r="Y9" s="116" t="str">
        <f t="shared" si="9"/>
        <v/>
      </c>
      <c r="Z9" s="116" t="str">
        <f t="shared" si="10"/>
        <v/>
      </c>
      <c r="AA9" s="116" t="str">
        <f t="shared" si="11"/>
        <v/>
      </c>
      <c r="AB9" s="116" t="str">
        <f t="shared" si="12"/>
        <v/>
      </c>
      <c r="AC9" s="116" t="str">
        <f t="shared" si="13"/>
        <v/>
      </c>
      <c r="AD9" s="116" t="str">
        <f t="shared" si="14"/>
        <v/>
      </c>
      <c r="AE9" s="116" t="str">
        <f t="shared" si="15"/>
        <v/>
      </c>
      <c r="AF9" s="116" t="str">
        <f t="shared" si="16"/>
        <v>013-25</v>
      </c>
    </row>
    <row r="10" spans="1:32" x14ac:dyDescent="0.25">
      <c r="A10" s="113" t="str">
        <f>'Date Calcs'!A10</f>
        <v>25-014</v>
      </c>
      <c r="B10" s="113" t="str">
        <f>'Date Calcs'!B10</f>
        <v>Kimberly Clark</v>
      </c>
      <c r="C10" s="114" t="str">
        <f>_xlfn.IFNA(_xlfn.IFNA(VLOOKUP(AF10,'[1]Schedule Not Certified'!$C:$F,3,0),VLOOKUP(AF10,[1]CERTIFIED!$C:$E,3,0)),"")</f>
        <v/>
      </c>
      <c r="D10" s="115">
        <v>0</v>
      </c>
      <c r="E10" s="115">
        <v>0</v>
      </c>
      <c r="F10" s="115">
        <v>0</v>
      </c>
      <c r="G10" s="115">
        <v>0</v>
      </c>
      <c r="H10" s="115">
        <v>0</v>
      </c>
      <c r="I10" s="114">
        <f t="shared" si="0"/>
        <v>45611</v>
      </c>
      <c r="J10" s="116">
        <f t="shared" si="1"/>
        <v>45632</v>
      </c>
      <c r="K10" s="116">
        <f t="shared" si="1"/>
        <v>45646</v>
      </c>
      <c r="L10" s="116">
        <f t="shared" si="1"/>
        <v>45653</v>
      </c>
      <c r="M10" s="116">
        <f t="shared" si="1"/>
        <v>45660</v>
      </c>
      <c r="N10" s="116">
        <f t="shared" si="1"/>
        <v>45667</v>
      </c>
      <c r="O10" s="116">
        <f t="shared" si="2"/>
        <v>45674</v>
      </c>
      <c r="P10" s="116">
        <f t="shared" si="3"/>
        <v>45681</v>
      </c>
      <c r="Q10" s="116">
        <f>IFERROR(VLOOKUP(A10,'Date Calcs'!A:C,3,0),"")</f>
        <v>45685</v>
      </c>
      <c r="R10" s="116">
        <f t="shared" si="4"/>
        <v>45683</v>
      </c>
      <c r="S10" s="117"/>
      <c r="T10" s="116" t="e">
        <f t="shared" si="5"/>
        <v>#VALUE!</v>
      </c>
      <c r="U10" s="116" t="e">
        <f t="shared" si="6"/>
        <v>#VALUE!</v>
      </c>
      <c r="V10" s="116" t="str">
        <f>IFERROR(IF(VLOOKUP(A10,'Actual Dates'!A:AE,21,0)&gt;"",VLOOKUP(A10,'Actual Dates'!A:AE,21,0),W10-$V$2),"")</f>
        <v/>
      </c>
      <c r="W10" s="116" t="str">
        <f t="shared" si="7"/>
        <v/>
      </c>
      <c r="X10" s="116" t="str">
        <f t="shared" si="8"/>
        <v/>
      </c>
      <c r="Y10" s="116" t="str">
        <f t="shared" si="9"/>
        <v/>
      </c>
      <c r="Z10" s="116" t="str">
        <f t="shared" si="10"/>
        <v/>
      </c>
      <c r="AA10" s="116" t="str">
        <f t="shared" si="11"/>
        <v/>
      </c>
      <c r="AB10" s="116" t="str">
        <f t="shared" si="12"/>
        <v/>
      </c>
      <c r="AC10" s="116" t="str">
        <f t="shared" si="13"/>
        <v/>
      </c>
      <c r="AD10" s="116" t="str">
        <f t="shared" si="14"/>
        <v/>
      </c>
      <c r="AE10" s="116" t="str">
        <f t="shared" si="15"/>
        <v/>
      </c>
      <c r="AF10" s="116" t="str">
        <f t="shared" si="16"/>
        <v>014-25</v>
      </c>
    </row>
    <row r="11" spans="1:32" x14ac:dyDescent="0.25">
      <c r="A11" s="113" t="str">
        <f>'Date Calcs'!A11</f>
        <v>25-015</v>
      </c>
      <c r="B11" s="113" t="str">
        <f>'Date Calcs'!B11</f>
        <v>Kimberly Clark</v>
      </c>
      <c r="C11" s="114" t="str">
        <f>_xlfn.IFNA(_xlfn.IFNA(VLOOKUP(AF11,'[1]Schedule Not Certified'!$C:$F,3,0),VLOOKUP(AF11,[1]CERTIFIED!$C:$E,3,0)),"")</f>
        <v/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4">
        <f t="shared" si="0"/>
        <v>45611</v>
      </c>
      <c r="J11" s="116">
        <f t="shared" si="1"/>
        <v>45632</v>
      </c>
      <c r="K11" s="116">
        <f t="shared" si="1"/>
        <v>45646</v>
      </c>
      <c r="L11" s="116">
        <f t="shared" si="1"/>
        <v>45653</v>
      </c>
      <c r="M11" s="116">
        <f t="shared" si="1"/>
        <v>45660</v>
      </c>
      <c r="N11" s="116">
        <f t="shared" si="1"/>
        <v>45667</v>
      </c>
      <c r="O11" s="116">
        <f t="shared" si="2"/>
        <v>45674</v>
      </c>
      <c r="P11" s="116">
        <f t="shared" si="3"/>
        <v>45681</v>
      </c>
      <c r="Q11" s="116">
        <f>IFERROR(VLOOKUP(A11,'Date Calcs'!A:C,3,0),"")</f>
        <v>45685</v>
      </c>
      <c r="R11" s="116">
        <f t="shared" si="4"/>
        <v>45683</v>
      </c>
      <c r="S11" s="117"/>
      <c r="T11" s="116" t="e">
        <f t="shared" si="5"/>
        <v>#VALUE!</v>
      </c>
      <c r="U11" s="116" t="e">
        <f t="shared" si="6"/>
        <v>#VALUE!</v>
      </c>
      <c r="V11" s="116" t="str">
        <f>IFERROR(IF(VLOOKUP(A11,'Actual Dates'!A:AE,21,0)&gt;"",VLOOKUP(A11,'Actual Dates'!A:AE,21,0),W11-$V$2),"")</f>
        <v/>
      </c>
      <c r="W11" s="116" t="str">
        <f t="shared" si="7"/>
        <v/>
      </c>
      <c r="X11" s="116" t="str">
        <f t="shared" si="8"/>
        <v/>
      </c>
      <c r="Y11" s="116" t="str">
        <f t="shared" si="9"/>
        <v/>
      </c>
      <c r="Z11" s="116" t="str">
        <f t="shared" si="10"/>
        <v/>
      </c>
      <c r="AA11" s="116" t="str">
        <f t="shared" si="11"/>
        <v/>
      </c>
      <c r="AB11" s="116" t="str">
        <f t="shared" si="12"/>
        <v/>
      </c>
      <c r="AC11" s="116" t="str">
        <f t="shared" si="13"/>
        <v/>
      </c>
      <c r="AD11" s="116" t="str">
        <f t="shared" si="14"/>
        <v/>
      </c>
      <c r="AE11" s="116" t="str">
        <f t="shared" si="15"/>
        <v/>
      </c>
      <c r="AF11" s="116" t="str">
        <f t="shared" si="16"/>
        <v>015-25</v>
      </c>
    </row>
    <row r="12" spans="1:32" x14ac:dyDescent="0.25">
      <c r="A12" s="113" t="str">
        <f>'Date Calcs'!A12</f>
        <v>25-016</v>
      </c>
      <c r="B12" s="113" t="str">
        <f>'Date Calcs'!B12</f>
        <v>Kimberly Clark</v>
      </c>
      <c r="C12" s="114" t="str">
        <f>_xlfn.IFNA(_xlfn.IFNA(VLOOKUP(AF12,'[1]Schedule Not Certified'!$C:$F,3,0),VLOOKUP(AF12,[1]CERTIFIED!$C:$E,3,0)),"")</f>
        <v/>
      </c>
      <c r="D12" s="115">
        <v>4</v>
      </c>
      <c r="E12" s="115">
        <v>0.25</v>
      </c>
      <c r="F12" s="115">
        <v>0</v>
      </c>
      <c r="G12" s="115">
        <v>0.25</v>
      </c>
      <c r="H12" s="115">
        <v>0.5</v>
      </c>
      <c r="I12" s="114">
        <f t="shared" si="0"/>
        <v>45611</v>
      </c>
      <c r="J12" s="116">
        <f t="shared" si="1"/>
        <v>45632</v>
      </c>
      <c r="K12" s="116">
        <f t="shared" si="1"/>
        <v>45646</v>
      </c>
      <c r="L12" s="116">
        <f t="shared" si="1"/>
        <v>45653</v>
      </c>
      <c r="M12" s="116">
        <f t="shared" si="1"/>
        <v>45660</v>
      </c>
      <c r="N12" s="116">
        <f t="shared" si="1"/>
        <v>45667</v>
      </c>
      <c r="O12" s="116">
        <f t="shared" si="2"/>
        <v>45674</v>
      </c>
      <c r="P12" s="116">
        <f t="shared" si="3"/>
        <v>45681</v>
      </c>
      <c r="Q12" s="116">
        <f>IFERROR(VLOOKUP(A12,'Date Calcs'!A:C,3,0),"")</f>
        <v>45685</v>
      </c>
      <c r="R12" s="116">
        <f t="shared" si="4"/>
        <v>45683</v>
      </c>
      <c r="S12" s="117"/>
      <c r="T12" s="116" t="e">
        <f t="shared" si="5"/>
        <v>#VALUE!</v>
      </c>
      <c r="U12" s="116" t="e">
        <f t="shared" si="6"/>
        <v>#VALUE!</v>
      </c>
      <c r="V12" s="116" t="str">
        <f>IFERROR(IF(VLOOKUP(A12,'Actual Dates'!A:AE,21,0)&gt;"",VLOOKUP(A12,'Actual Dates'!A:AE,21,0),W12-$V$2),"")</f>
        <v/>
      </c>
      <c r="W12" s="116" t="str">
        <f t="shared" si="7"/>
        <v/>
      </c>
      <c r="X12" s="116" t="str">
        <f t="shared" si="8"/>
        <v/>
      </c>
      <c r="Y12" s="116" t="str">
        <f t="shared" si="9"/>
        <v/>
      </c>
      <c r="Z12" s="116" t="str">
        <f t="shared" si="10"/>
        <v/>
      </c>
      <c r="AA12" s="116" t="str">
        <f t="shared" si="11"/>
        <v/>
      </c>
      <c r="AB12" s="116" t="str">
        <f t="shared" si="12"/>
        <v/>
      </c>
      <c r="AC12" s="116" t="str">
        <f t="shared" si="13"/>
        <v/>
      </c>
      <c r="AD12" s="116" t="str">
        <f t="shared" si="14"/>
        <v/>
      </c>
      <c r="AE12" s="116" t="str">
        <f t="shared" si="15"/>
        <v/>
      </c>
      <c r="AF12" s="116" t="str">
        <f t="shared" si="16"/>
        <v>016-25</v>
      </c>
    </row>
    <row r="13" spans="1:32" x14ac:dyDescent="0.25">
      <c r="A13" s="113" t="str">
        <f>'Date Calcs'!A13</f>
        <v>25-017</v>
      </c>
      <c r="B13" s="113" t="str">
        <f>'Date Calcs'!B13</f>
        <v>Kimberly Clark</v>
      </c>
      <c r="C13" s="114" t="str">
        <f>_xlfn.IFNA(_xlfn.IFNA(VLOOKUP(AF13,'[1]Schedule Not Certified'!$C:$F,3,0),VLOOKUP(AF13,[1]CERTIFIED!$C:$E,3,0)),"")</f>
        <v/>
      </c>
      <c r="D13" s="115">
        <v>0</v>
      </c>
      <c r="E13" s="115">
        <v>0</v>
      </c>
      <c r="F13" s="115">
        <v>0</v>
      </c>
      <c r="G13" s="115">
        <v>0</v>
      </c>
      <c r="H13" s="115">
        <v>0</v>
      </c>
      <c r="I13" s="114">
        <f t="shared" si="0"/>
        <v>45611</v>
      </c>
      <c r="J13" s="116">
        <f t="shared" si="1"/>
        <v>45632</v>
      </c>
      <c r="K13" s="116">
        <f t="shared" si="1"/>
        <v>45646</v>
      </c>
      <c r="L13" s="116">
        <f t="shared" si="1"/>
        <v>45653</v>
      </c>
      <c r="M13" s="116">
        <f t="shared" si="1"/>
        <v>45660</v>
      </c>
      <c r="N13" s="116">
        <f t="shared" si="1"/>
        <v>45667</v>
      </c>
      <c r="O13" s="116">
        <f t="shared" si="2"/>
        <v>45674</v>
      </c>
      <c r="P13" s="116">
        <f t="shared" si="3"/>
        <v>45681</v>
      </c>
      <c r="Q13" s="116">
        <f>IFERROR(VLOOKUP(A13,'Date Calcs'!A:C,3,0),"")</f>
        <v>45685</v>
      </c>
      <c r="R13" s="116">
        <f t="shared" si="4"/>
        <v>45683</v>
      </c>
      <c r="S13" s="117"/>
      <c r="T13" s="116" t="e">
        <f t="shared" si="5"/>
        <v>#VALUE!</v>
      </c>
      <c r="U13" s="116" t="e">
        <f t="shared" si="6"/>
        <v>#VALUE!</v>
      </c>
      <c r="V13" s="116" t="str">
        <f>IFERROR(IF(VLOOKUP(A13,'Actual Dates'!A:AE,21,0)&gt;"",VLOOKUP(A13,'Actual Dates'!A:AE,21,0),W13-$V$2),"")</f>
        <v/>
      </c>
      <c r="W13" s="116" t="str">
        <f t="shared" si="7"/>
        <v/>
      </c>
      <c r="X13" s="116" t="str">
        <f t="shared" si="8"/>
        <v/>
      </c>
      <c r="Y13" s="116" t="str">
        <f t="shared" si="9"/>
        <v/>
      </c>
      <c r="Z13" s="116" t="str">
        <f t="shared" si="10"/>
        <v/>
      </c>
      <c r="AA13" s="116" t="str">
        <f t="shared" si="11"/>
        <v/>
      </c>
      <c r="AB13" s="116" t="str">
        <f t="shared" si="12"/>
        <v/>
      </c>
      <c r="AC13" s="116" t="str">
        <f t="shared" si="13"/>
        <v/>
      </c>
      <c r="AD13" s="116" t="str">
        <f t="shared" si="14"/>
        <v/>
      </c>
      <c r="AE13" s="116" t="str">
        <f t="shared" si="15"/>
        <v/>
      </c>
      <c r="AF13" s="116" t="str">
        <f t="shared" si="16"/>
        <v>017-25</v>
      </c>
    </row>
    <row r="14" spans="1:32" x14ac:dyDescent="0.25">
      <c r="A14" s="113" t="str">
        <f>'Date Calcs'!A14</f>
        <v>25-018</v>
      </c>
      <c r="B14" s="113" t="str">
        <f>'Date Calcs'!B14</f>
        <v>Kimberly Clark</v>
      </c>
      <c r="C14" s="114" t="str">
        <f>_xlfn.IFNA(_xlfn.IFNA(VLOOKUP(AF14,'[1]Schedule Not Certified'!$C:$F,3,0),VLOOKUP(AF14,[1]CERTIFIED!$C:$E,3,0)),"")</f>
        <v/>
      </c>
      <c r="D14" s="115">
        <v>1</v>
      </c>
      <c r="E14" s="115">
        <v>0</v>
      </c>
      <c r="F14" s="115">
        <v>0</v>
      </c>
      <c r="G14" s="115">
        <v>0.25</v>
      </c>
      <c r="H14" s="115">
        <v>0.5</v>
      </c>
      <c r="I14" s="114">
        <f t="shared" si="0"/>
        <v>45611</v>
      </c>
      <c r="J14" s="116">
        <f t="shared" si="1"/>
        <v>45632</v>
      </c>
      <c r="K14" s="116">
        <f t="shared" si="1"/>
        <v>45646</v>
      </c>
      <c r="L14" s="116">
        <f t="shared" si="1"/>
        <v>45653</v>
      </c>
      <c r="M14" s="116">
        <f t="shared" si="1"/>
        <v>45660</v>
      </c>
      <c r="N14" s="116">
        <f t="shared" si="1"/>
        <v>45667</v>
      </c>
      <c r="O14" s="116">
        <f t="shared" si="2"/>
        <v>45674</v>
      </c>
      <c r="P14" s="116">
        <f t="shared" si="3"/>
        <v>45681</v>
      </c>
      <c r="Q14" s="116">
        <f>IFERROR(VLOOKUP(A14,'Date Calcs'!A:C,3,0),"")</f>
        <v>45685</v>
      </c>
      <c r="R14" s="116">
        <f t="shared" si="4"/>
        <v>45683</v>
      </c>
      <c r="S14" s="117"/>
      <c r="T14" s="116" t="e">
        <f t="shared" si="5"/>
        <v>#VALUE!</v>
      </c>
      <c r="U14" s="116" t="e">
        <f t="shared" si="6"/>
        <v>#VALUE!</v>
      </c>
      <c r="V14" s="116" t="str">
        <f>IFERROR(IF(VLOOKUP(A14,'Actual Dates'!A:AE,21,0)&gt;"",VLOOKUP(A14,'Actual Dates'!A:AE,21,0),W14-$V$2),"")</f>
        <v/>
      </c>
      <c r="W14" s="116" t="str">
        <f t="shared" si="7"/>
        <v/>
      </c>
      <c r="X14" s="116" t="str">
        <f t="shared" si="8"/>
        <v/>
      </c>
      <c r="Y14" s="116" t="str">
        <f t="shared" si="9"/>
        <v/>
      </c>
      <c r="Z14" s="116" t="str">
        <f t="shared" si="10"/>
        <v/>
      </c>
      <c r="AA14" s="116" t="str">
        <f t="shared" si="11"/>
        <v/>
      </c>
      <c r="AB14" s="116" t="str">
        <f t="shared" si="12"/>
        <v/>
      </c>
      <c r="AC14" s="116" t="str">
        <f t="shared" si="13"/>
        <v/>
      </c>
      <c r="AD14" s="116" t="str">
        <f t="shared" si="14"/>
        <v/>
      </c>
      <c r="AE14" s="116" t="str">
        <f t="shared" si="15"/>
        <v/>
      </c>
      <c r="AF14" s="116" t="str">
        <f t="shared" si="16"/>
        <v>018-25</v>
      </c>
    </row>
    <row r="15" spans="1:32" x14ac:dyDescent="0.25">
      <c r="A15" s="113" t="str">
        <f>'Date Calcs'!A15</f>
        <v>25-019</v>
      </c>
      <c r="B15" s="113" t="str">
        <f>'Date Calcs'!B15</f>
        <v>Kimberly Clark</v>
      </c>
      <c r="C15" s="114" t="str">
        <f>_xlfn.IFNA(_xlfn.IFNA(VLOOKUP(AF15,'[1]Schedule Not Certified'!$C:$F,3,0),VLOOKUP(AF15,[1]CERTIFIED!$C:$E,3,0)),"")</f>
        <v/>
      </c>
      <c r="D15" s="115">
        <v>4</v>
      </c>
      <c r="E15" s="115">
        <v>0.25</v>
      </c>
      <c r="F15" s="115">
        <v>0</v>
      </c>
      <c r="G15" s="115">
        <v>0.25</v>
      </c>
      <c r="H15" s="115">
        <v>0.5</v>
      </c>
      <c r="I15" s="114">
        <f t="shared" si="0"/>
        <v>45611</v>
      </c>
      <c r="J15" s="116">
        <f t="shared" ref="J15:N24" si="17">K15-J$2</f>
        <v>45632</v>
      </c>
      <c r="K15" s="116">
        <f t="shared" si="17"/>
        <v>45646</v>
      </c>
      <c r="L15" s="116">
        <f t="shared" si="17"/>
        <v>45653</v>
      </c>
      <c r="M15" s="116">
        <f t="shared" si="17"/>
        <v>45660</v>
      </c>
      <c r="N15" s="116">
        <f t="shared" si="17"/>
        <v>45667</v>
      </c>
      <c r="O15" s="116">
        <f t="shared" si="2"/>
        <v>45674</v>
      </c>
      <c r="P15" s="116">
        <f t="shared" si="3"/>
        <v>45681</v>
      </c>
      <c r="Q15" s="116">
        <f>IFERROR(VLOOKUP(A15,'Date Calcs'!A:C,3,0),"")</f>
        <v>45685</v>
      </c>
      <c r="R15" s="116">
        <f t="shared" si="4"/>
        <v>45683</v>
      </c>
      <c r="S15" s="117"/>
      <c r="T15" s="116" t="e">
        <f t="shared" si="5"/>
        <v>#VALUE!</v>
      </c>
      <c r="U15" s="116" t="e">
        <f t="shared" si="6"/>
        <v>#VALUE!</v>
      </c>
      <c r="V15" s="116" t="str">
        <f>IFERROR(IF(VLOOKUP(A15,'Actual Dates'!A:AE,21,0)&gt;"",VLOOKUP(A15,'Actual Dates'!A:AE,21,0),W15-$V$2),"")</f>
        <v/>
      </c>
      <c r="W15" s="116" t="str">
        <f t="shared" si="7"/>
        <v/>
      </c>
      <c r="X15" s="116" t="str">
        <f t="shared" si="8"/>
        <v/>
      </c>
      <c r="Y15" s="116" t="str">
        <f t="shared" si="9"/>
        <v/>
      </c>
      <c r="Z15" s="116" t="str">
        <f t="shared" si="10"/>
        <v/>
      </c>
      <c r="AA15" s="116" t="str">
        <f t="shared" si="11"/>
        <v/>
      </c>
      <c r="AB15" s="116" t="str">
        <f t="shared" si="12"/>
        <v/>
      </c>
      <c r="AC15" s="116" t="str">
        <f t="shared" si="13"/>
        <v/>
      </c>
      <c r="AD15" s="116" t="str">
        <f t="shared" si="14"/>
        <v/>
      </c>
      <c r="AE15" s="116" t="str">
        <f t="shared" si="15"/>
        <v/>
      </c>
      <c r="AF15" s="116" t="str">
        <f t="shared" si="16"/>
        <v>019-25</v>
      </c>
    </row>
    <row r="16" spans="1:32" x14ac:dyDescent="0.25">
      <c r="A16" s="113" t="str">
        <f>'Date Calcs'!A16</f>
        <v>25-020</v>
      </c>
      <c r="B16" s="113" t="str">
        <f>'Date Calcs'!B16</f>
        <v>Kimberly Clark</v>
      </c>
      <c r="C16" s="114" t="str">
        <f>_xlfn.IFNA(_xlfn.IFNA(VLOOKUP(AF16,'[1]Schedule Not Certified'!$C:$F,3,0),VLOOKUP(AF16,[1]CERTIFIED!$C:$E,3,0)),"")</f>
        <v/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4">
        <f t="shared" si="0"/>
        <v>45611</v>
      </c>
      <c r="J16" s="116">
        <f t="shared" si="17"/>
        <v>45632</v>
      </c>
      <c r="K16" s="116">
        <f t="shared" si="17"/>
        <v>45646</v>
      </c>
      <c r="L16" s="116">
        <f t="shared" si="17"/>
        <v>45653</v>
      </c>
      <c r="M16" s="116">
        <f t="shared" si="17"/>
        <v>45660</v>
      </c>
      <c r="N16" s="116">
        <f t="shared" si="17"/>
        <v>45667</v>
      </c>
      <c r="O16" s="116">
        <f t="shared" si="2"/>
        <v>45674</v>
      </c>
      <c r="P16" s="116">
        <f t="shared" si="3"/>
        <v>45681</v>
      </c>
      <c r="Q16" s="116">
        <f>IFERROR(VLOOKUP(A16,'Date Calcs'!A:C,3,0),"")</f>
        <v>45685</v>
      </c>
      <c r="R16" s="116">
        <f t="shared" si="4"/>
        <v>45683</v>
      </c>
      <c r="S16" s="117"/>
      <c r="T16" s="116" t="e">
        <f t="shared" si="5"/>
        <v>#VALUE!</v>
      </c>
      <c r="U16" s="116" t="e">
        <f t="shared" si="6"/>
        <v>#VALUE!</v>
      </c>
      <c r="V16" s="116" t="str">
        <f>IFERROR(IF(VLOOKUP(A16,'Actual Dates'!A:AE,21,0)&gt;"",VLOOKUP(A16,'Actual Dates'!A:AE,21,0),W16-$V$2),"")</f>
        <v/>
      </c>
      <c r="W16" s="116" t="str">
        <f t="shared" si="7"/>
        <v/>
      </c>
      <c r="X16" s="116" t="str">
        <f t="shared" si="8"/>
        <v/>
      </c>
      <c r="Y16" s="116" t="str">
        <f t="shared" si="9"/>
        <v/>
      </c>
      <c r="Z16" s="116" t="str">
        <f t="shared" si="10"/>
        <v/>
      </c>
      <c r="AA16" s="116" t="str">
        <f t="shared" si="11"/>
        <v/>
      </c>
      <c r="AB16" s="116" t="str">
        <f t="shared" si="12"/>
        <v/>
      </c>
      <c r="AC16" s="116" t="str">
        <f t="shared" si="13"/>
        <v/>
      </c>
      <c r="AD16" s="116" t="str">
        <f t="shared" si="14"/>
        <v/>
      </c>
      <c r="AE16" s="116" t="str">
        <f t="shared" si="15"/>
        <v/>
      </c>
      <c r="AF16" s="116" t="str">
        <f t="shared" si="16"/>
        <v>020-25</v>
      </c>
    </row>
    <row r="17" spans="1:32" x14ac:dyDescent="0.25">
      <c r="A17" s="113" t="str">
        <f>'Date Calcs'!A17</f>
        <v>25-021</v>
      </c>
      <c r="B17" s="113" t="str">
        <f>'Date Calcs'!B17</f>
        <v>Kimberly Clark</v>
      </c>
      <c r="C17" s="114" t="str">
        <f>_xlfn.IFNA(_xlfn.IFNA(VLOOKUP(AF17,'[1]Schedule Not Certified'!$C:$F,3,0),VLOOKUP(AF17,[1]CERTIFIED!$C:$E,3,0)),"")</f>
        <v/>
      </c>
      <c r="D17" s="115">
        <v>4</v>
      </c>
      <c r="E17" s="115">
        <v>0.25</v>
      </c>
      <c r="F17" s="115">
        <v>0</v>
      </c>
      <c r="G17" s="115">
        <v>0.25</v>
      </c>
      <c r="H17" s="115">
        <v>0.5</v>
      </c>
      <c r="I17" s="114">
        <f t="shared" si="0"/>
        <v>45611</v>
      </c>
      <c r="J17" s="116">
        <f t="shared" si="17"/>
        <v>45632</v>
      </c>
      <c r="K17" s="116">
        <f t="shared" si="17"/>
        <v>45646</v>
      </c>
      <c r="L17" s="116">
        <f t="shared" si="17"/>
        <v>45653</v>
      </c>
      <c r="M17" s="116">
        <f t="shared" si="17"/>
        <v>45660</v>
      </c>
      <c r="N17" s="116">
        <f t="shared" si="17"/>
        <v>45667</v>
      </c>
      <c r="O17" s="116">
        <f t="shared" si="2"/>
        <v>45674</v>
      </c>
      <c r="P17" s="116">
        <f t="shared" si="3"/>
        <v>45681</v>
      </c>
      <c r="Q17" s="116">
        <f>IFERROR(VLOOKUP(A17,'Date Calcs'!A:C,3,0),"")</f>
        <v>45685</v>
      </c>
      <c r="R17" s="116">
        <f t="shared" si="4"/>
        <v>45683</v>
      </c>
      <c r="S17" s="117"/>
      <c r="T17" s="116" t="e">
        <f t="shared" si="5"/>
        <v>#VALUE!</v>
      </c>
      <c r="U17" s="116" t="e">
        <f t="shared" si="6"/>
        <v>#VALUE!</v>
      </c>
      <c r="V17" s="116" t="str">
        <f>IFERROR(IF(VLOOKUP(A17,'Actual Dates'!A:AE,21,0)&gt;"",VLOOKUP(A17,'Actual Dates'!A:AE,21,0),W17-$V$2),"")</f>
        <v/>
      </c>
      <c r="W17" s="116" t="str">
        <f t="shared" si="7"/>
        <v/>
      </c>
      <c r="X17" s="116" t="str">
        <f t="shared" si="8"/>
        <v/>
      </c>
      <c r="Y17" s="116" t="str">
        <f t="shared" si="9"/>
        <v/>
      </c>
      <c r="Z17" s="116" t="str">
        <f t="shared" si="10"/>
        <v/>
      </c>
      <c r="AA17" s="116" t="str">
        <f t="shared" si="11"/>
        <v/>
      </c>
      <c r="AB17" s="116" t="str">
        <f t="shared" si="12"/>
        <v/>
      </c>
      <c r="AC17" s="116" t="str">
        <f t="shared" si="13"/>
        <v/>
      </c>
      <c r="AD17" s="116" t="str">
        <f t="shared" si="14"/>
        <v/>
      </c>
      <c r="AE17" s="116" t="str">
        <f t="shared" si="15"/>
        <v/>
      </c>
      <c r="AF17" s="116" t="str">
        <f t="shared" si="16"/>
        <v>021-25</v>
      </c>
    </row>
    <row r="18" spans="1:32" x14ac:dyDescent="0.25">
      <c r="A18" s="113" t="str">
        <f>'Date Calcs'!A18</f>
        <v>25-023</v>
      </c>
      <c r="B18" s="113" t="str">
        <f>'Date Calcs'!B18</f>
        <v>Andritz</v>
      </c>
      <c r="C18" s="114" t="str">
        <f>_xlfn.IFNA(_xlfn.IFNA(VLOOKUP(AF18,'[1]Schedule Not Certified'!$C:$F,3,0),VLOOKUP(AF18,[1]CERTIFIED!$C:$E,3,0)),"")</f>
        <v/>
      </c>
      <c r="D18" s="115">
        <v>0</v>
      </c>
      <c r="E18" s="115">
        <v>0</v>
      </c>
      <c r="F18" s="115">
        <v>0</v>
      </c>
      <c r="G18" s="115">
        <v>0</v>
      </c>
      <c r="H18" s="115">
        <v>0</v>
      </c>
      <c r="I18" s="114">
        <f t="shared" si="0"/>
        <v>45613</v>
      </c>
      <c r="J18" s="116">
        <f t="shared" si="17"/>
        <v>45634</v>
      </c>
      <c r="K18" s="116">
        <f t="shared" si="17"/>
        <v>45648</v>
      </c>
      <c r="L18" s="116">
        <f t="shared" si="17"/>
        <v>45655</v>
      </c>
      <c r="M18" s="116">
        <f t="shared" si="17"/>
        <v>45662</v>
      </c>
      <c r="N18" s="116">
        <f t="shared" si="17"/>
        <v>45669</v>
      </c>
      <c r="O18" s="116">
        <f t="shared" si="2"/>
        <v>45676</v>
      </c>
      <c r="P18" s="116">
        <f t="shared" si="3"/>
        <v>45683</v>
      </c>
      <c r="Q18" s="116">
        <f>IFERROR(VLOOKUP(A18,'Date Calcs'!A:C,3,0),"")</f>
        <v>45687</v>
      </c>
      <c r="R18" s="116">
        <f t="shared" si="4"/>
        <v>45685</v>
      </c>
      <c r="S18" s="117"/>
      <c r="T18" s="116" t="e">
        <f t="shared" si="5"/>
        <v>#VALUE!</v>
      </c>
      <c r="U18" s="116" t="e">
        <f t="shared" si="6"/>
        <v>#VALUE!</v>
      </c>
      <c r="V18" s="116" t="str">
        <f>IFERROR(IF(VLOOKUP(A18,'Actual Dates'!A:AE,21,0)&gt;"",VLOOKUP(A18,'Actual Dates'!A:AE,21,0),W18-$V$2),"")</f>
        <v/>
      </c>
      <c r="W18" s="116" t="str">
        <f t="shared" si="7"/>
        <v/>
      </c>
      <c r="X18" s="116" t="str">
        <f t="shared" si="8"/>
        <v/>
      </c>
      <c r="Y18" s="116" t="str">
        <f t="shared" si="9"/>
        <v/>
      </c>
      <c r="Z18" s="116" t="str">
        <f t="shared" si="10"/>
        <v/>
      </c>
      <c r="AA18" s="116" t="str">
        <f t="shared" si="11"/>
        <v/>
      </c>
      <c r="AB18" s="116" t="str">
        <f t="shared" si="12"/>
        <v/>
      </c>
      <c r="AC18" s="116" t="str">
        <f t="shared" si="13"/>
        <v/>
      </c>
      <c r="AD18" s="116" t="str">
        <f t="shared" si="14"/>
        <v/>
      </c>
      <c r="AE18" s="116" t="str">
        <f t="shared" si="15"/>
        <v/>
      </c>
      <c r="AF18" s="116" t="str">
        <f t="shared" si="16"/>
        <v>023-25</v>
      </c>
    </row>
    <row r="19" spans="1:32" x14ac:dyDescent="0.25">
      <c r="A19" s="113" t="str">
        <f>'Date Calcs'!A19</f>
        <v>25-024</v>
      </c>
      <c r="B19" s="113" t="str">
        <f>'Date Calcs'!B19</f>
        <v>Andritz</v>
      </c>
      <c r="C19" s="114" t="str">
        <f>_xlfn.IFNA(_xlfn.IFNA(VLOOKUP(AF19,'[1]Schedule Not Certified'!$C:$F,3,0),VLOOKUP(AF19,[1]CERTIFIED!$C:$E,3,0)),"")</f>
        <v/>
      </c>
      <c r="D19" s="115">
        <v>0</v>
      </c>
      <c r="E19" s="115">
        <v>0</v>
      </c>
      <c r="F19" s="115">
        <v>0</v>
      </c>
      <c r="G19" s="115">
        <v>0</v>
      </c>
      <c r="H19" s="115">
        <v>0</v>
      </c>
      <c r="I19" s="114">
        <f t="shared" si="0"/>
        <v>45613</v>
      </c>
      <c r="J19" s="116">
        <f t="shared" si="17"/>
        <v>45634</v>
      </c>
      <c r="K19" s="116">
        <f t="shared" si="17"/>
        <v>45648</v>
      </c>
      <c r="L19" s="116">
        <f t="shared" si="17"/>
        <v>45655</v>
      </c>
      <c r="M19" s="116">
        <f t="shared" si="17"/>
        <v>45662</v>
      </c>
      <c r="N19" s="116">
        <f t="shared" si="17"/>
        <v>45669</v>
      </c>
      <c r="O19" s="116">
        <f t="shared" si="2"/>
        <v>45676</v>
      </c>
      <c r="P19" s="116">
        <f t="shared" si="3"/>
        <v>45683</v>
      </c>
      <c r="Q19" s="116">
        <f>IFERROR(VLOOKUP(A19,'Date Calcs'!A:C,3,0),"")</f>
        <v>45687</v>
      </c>
      <c r="R19" s="116">
        <f t="shared" si="4"/>
        <v>45685</v>
      </c>
      <c r="S19" s="117"/>
      <c r="T19" s="116" t="e">
        <f t="shared" si="5"/>
        <v>#VALUE!</v>
      </c>
      <c r="U19" s="116" t="e">
        <f t="shared" si="6"/>
        <v>#VALUE!</v>
      </c>
      <c r="V19" s="116" t="str">
        <f>IFERROR(IF(VLOOKUP(A19,'Actual Dates'!A:AE,21,0)&gt;"",VLOOKUP(A19,'Actual Dates'!A:AE,21,0),W19-$V$2),"")</f>
        <v/>
      </c>
      <c r="W19" s="116" t="str">
        <f t="shared" si="7"/>
        <v/>
      </c>
      <c r="X19" s="116" t="str">
        <f t="shared" si="8"/>
        <v/>
      </c>
      <c r="Y19" s="116" t="str">
        <f t="shared" si="9"/>
        <v/>
      </c>
      <c r="Z19" s="116" t="str">
        <f t="shared" si="10"/>
        <v/>
      </c>
      <c r="AA19" s="116" t="str">
        <f t="shared" si="11"/>
        <v/>
      </c>
      <c r="AB19" s="116" t="str">
        <f t="shared" si="12"/>
        <v/>
      </c>
      <c r="AC19" s="116" t="str">
        <f t="shared" si="13"/>
        <v/>
      </c>
      <c r="AD19" s="116" t="str">
        <f t="shared" si="14"/>
        <v/>
      </c>
      <c r="AE19" s="116" t="str">
        <f t="shared" si="15"/>
        <v/>
      </c>
      <c r="AF19" s="116" t="str">
        <f t="shared" si="16"/>
        <v>024-25</v>
      </c>
    </row>
    <row r="20" spans="1:32" x14ac:dyDescent="0.25">
      <c r="A20" s="113" t="str">
        <f>'Date Calcs'!A20</f>
        <v>25-025</v>
      </c>
      <c r="B20" s="113" t="str">
        <f>'Date Calcs'!B20</f>
        <v>Irving Tissue</v>
      </c>
      <c r="C20" s="114" t="str">
        <f>_xlfn.IFNA(_xlfn.IFNA(VLOOKUP(AF20,'[1]Schedule Not Certified'!$C:$F,3,0),VLOOKUP(AF20,[1]CERTIFIED!$C:$E,3,0)),"")</f>
        <v/>
      </c>
      <c r="D20" s="115">
        <v>0</v>
      </c>
      <c r="E20" s="115">
        <v>0</v>
      </c>
      <c r="F20" s="115">
        <v>0</v>
      </c>
      <c r="G20" s="115">
        <v>0</v>
      </c>
      <c r="H20" s="115">
        <v>0</v>
      </c>
      <c r="I20" s="114">
        <f t="shared" si="0"/>
        <v>45619</v>
      </c>
      <c r="J20" s="116">
        <f t="shared" si="17"/>
        <v>45640</v>
      </c>
      <c r="K20" s="116">
        <f t="shared" si="17"/>
        <v>45654</v>
      </c>
      <c r="L20" s="116">
        <f t="shared" si="17"/>
        <v>45661</v>
      </c>
      <c r="M20" s="116">
        <f t="shared" si="17"/>
        <v>45668</v>
      </c>
      <c r="N20" s="116">
        <f t="shared" si="17"/>
        <v>45675</v>
      </c>
      <c r="O20" s="116">
        <f t="shared" si="2"/>
        <v>45682</v>
      </c>
      <c r="P20" s="116">
        <f t="shared" si="3"/>
        <v>45689</v>
      </c>
      <c r="Q20" s="116">
        <f>IFERROR(VLOOKUP(A20,'Date Calcs'!A:C,3,0),"")</f>
        <v>45693</v>
      </c>
      <c r="R20" s="116">
        <f t="shared" si="4"/>
        <v>45691</v>
      </c>
      <c r="S20" s="117"/>
      <c r="T20" s="116" t="e">
        <f t="shared" si="5"/>
        <v>#VALUE!</v>
      </c>
      <c r="U20" s="116" t="e">
        <f t="shared" si="6"/>
        <v>#VALUE!</v>
      </c>
      <c r="V20" s="116" t="str">
        <f>IFERROR(IF(VLOOKUP(A20,'Actual Dates'!A:AE,21,0)&gt;"",VLOOKUP(A20,'Actual Dates'!A:AE,21,0),W20-$V$2),"")</f>
        <v/>
      </c>
      <c r="W20" s="116" t="str">
        <f t="shared" si="7"/>
        <v/>
      </c>
      <c r="X20" s="116" t="str">
        <f t="shared" si="8"/>
        <v/>
      </c>
      <c r="Y20" s="116" t="str">
        <f t="shared" si="9"/>
        <v/>
      </c>
      <c r="Z20" s="116" t="str">
        <f t="shared" si="10"/>
        <v/>
      </c>
      <c r="AA20" s="116" t="str">
        <f t="shared" si="11"/>
        <v/>
      </c>
      <c r="AB20" s="116" t="str">
        <f t="shared" si="12"/>
        <v/>
      </c>
      <c r="AC20" s="116" t="str">
        <f t="shared" si="13"/>
        <v/>
      </c>
      <c r="AD20" s="116" t="str">
        <f t="shared" si="14"/>
        <v/>
      </c>
      <c r="AE20" s="116" t="str">
        <f t="shared" si="15"/>
        <v/>
      </c>
      <c r="AF20" s="116" t="str">
        <f t="shared" si="16"/>
        <v>025-25</v>
      </c>
    </row>
    <row r="21" spans="1:32" x14ac:dyDescent="0.25">
      <c r="A21" s="113" t="str">
        <f>'Date Calcs'!A21</f>
        <v>25-026</v>
      </c>
      <c r="B21" s="113" t="str">
        <f>'Date Calcs'!B21</f>
        <v>Irving Tissue</v>
      </c>
      <c r="C21" s="114" t="str">
        <f>_xlfn.IFNA(_xlfn.IFNA(VLOOKUP(AF21,'[1]Schedule Not Certified'!$C:$F,3,0),VLOOKUP(AF21,[1]CERTIFIED!$C:$E,3,0)),"")</f>
        <v/>
      </c>
      <c r="D21" s="115">
        <v>0</v>
      </c>
      <c r="E21" s="115">
        <v>0</v>
      </c>
      <c r="F21" s="115">
        <v>0</v>
      </c>
      <c r="G21" s="115">
        <v>0</v>
      </c>
      <c r="H21" s="115">
        <v>0</v>
      </c>
      <c r="I21" s="114">
        <f t="shared" si="0"/>
        <v>45619</v>
      </c>
      <c r="J21" s="116">
        <f t="shared" si="17"/>
        <v>45640</v>
      </c>
      <c r="K21" s="116">
        <f t="shared" si="17"/>
        <v>45654</v>
      </c>
      <c r="L21" s="116">
        <f t="shared" si="17"/>
        <v>45661</v>
      </c>
      <c r="M21" s="116">
        <f t="shared" si="17"/>
        <v>45668</v>
      </c>
      <c r="N21" s="116">
        <f t="shared" si="17"/>
        <v>45675</v>
      </c>
      <c r="O21" s="116">
        <f t="shared" si="2"/>
        <v>45682</v>
      </c>
      <c r="P21" s="116">
        <f t="shared" si="3"/>
        <v>45689</v>
      </c>
      <c r="Q21" s="116">
        <f>IFERROR(VLOOKUP(A21,'Date Calcs'!A:C,3,0),"")</f>
        <v>45693</v>
      </c>
      <c r="R21" s="116">
        <f t="shared" si="4"/>
        <v>45691</v>
      </c>
      <c r="S21" s="117"/>
      <c r="T21" s="116" t="e">
        <f t="shared" si="5"/>
        <v>#VALUE!</v>
      </c>
      <c r="U21" s="116" t="e">
        <f t="shared" si="6"/>
        <v>#VALUE!</v>
      </c>
      <c r="V21" s="116" t="str">
        <f>IFERROR(IF(VLOOKUP(A21,'Actual Dates'!A:AE,21,0)&gt;"",VLOOKUP(A21,'Actual Dates'!A:AE,21,0),W21-$V$2),"")</f>
        <v/>
      </c>
      <c r="W21" s="116" t="str">
        <f t="shared" si="7"/>
        <v/>
      </c>
      <c r="X21" s="116" t="str">
        <f t="shared" si="8"/>
        <v/>
      </c>
      <c r="Y21" s="116" t="str">
        <f t="shared" si="9"/>
        <v/>
      </c>
      <c r="Z21" s="116" t="str">
        <f t="shared" si="10"/>
        <v/>
      </c>
      <c r="AA21" s="116" t="str">
        <f t="shared" si="11"/>
        <v/>
      </c>
      <c r="AB21" s="116" t="str">
        <f t="shared" si="12"/>
        <v/>
      </c>
      <c r="AC21" s="116" t="str">
        <f t="shared" si="13"/>
        <v/>
      </c>
      <c r="AD21" s="116" t="str">
        <f t="shared" si="14"/>
        <v/>
      </c>
      <c r="AE21" s="116" t="str">
        <f t="shared" si="15"/>
        <v/>
      </c>
      <c r="AF21" s="116" t="str">
        <f t="shared" si="16"/>
        <v>026-25</v>
      </c>
    </row>
    <row r="22" spans="1:32" x14ac:dyDescent="0.25">
      <c r="A22" s="113" t="str">
        <f>'Date Calcs'!A22</f>
        <v>25-027</v>
      </c>
      <c r="B22" s="113" t="str">
        <f>'Date Calcs'!B22</f>
        <v>Irving Tissue</v>
      </c>
      <c r="C22" s="114" t="str">
        <f>_xlfn.IFNA(_xlfn.IFNA(VLOOKUP(AF22,'[1]Schedule Not Certified'!$C:$F,3,0),VLOOKUP(AF22,[1]CERTIFIED!$C:$E,3,0)),"")</f>
        <v/>
      </c>
      <c r="D22" s="115">
        <v>0</v>
      </c>
      <c r="E22" s="115">
        <v>0</v>
      </c>
      <c r="F22" s="115">
        <v>0</v>
      </c>
      <c r="G22" s="115">
        <v>0</v>
      </c>
      <c r="H22" s="115">
        <v>0</v>
      </c>
      <c r="I22" s="114">
        <f t="shared" si="0"/>
        <v>45619</v>
      </c>
      <c r="J22" s="116">
        <f t="shared" si="17"/>
        <v>45640</v>
      </c>
      <c r="K22" s="116">
        <f t="shared" si="17"/>
        <v>45654</v>
      </c>
      <c r="L22" s="116">
        <f t="shared" si="17"/>
        <v>45661</v>
      </c>
      <c r="M22" s="116">
        <f t="shared" si="17"/>
        <v>45668</v>
      </c>
      <c r="N22" s="116">
        <f t="shared" si="17"/>
        <v>45675</v>
      </c>
      <c r="O22" s="116">
        <f t="shared" si="2"/>
        <v>45682</v>
      </c>
      <c r="P22" s="116">
        <f t="shared" si="3"/>
        <v>45689</v>
      </c>
      <c r="Q22" s="116">
        <f>IFERROR(VLOOKUP(A22,'Date Calcs'!A:C,3,0),"")</f>
        <v>45693</v>
      </c>
      <c r="R22" s="116">
        <f t="shared" si="4"/>
        <v>45691</v>
      </c>
      <c r="S22" s="117"/>
      <c r="T22" s="116" t="e">
        <f t="shared" si="5"/>
        <v>#VALUE!</v>
      </c>
      <c r="U22" s="116" t="e">
        <f t="shared" si="6"/>
        <v>#VALUE!</v>
      </c>
      <c r="V22" s="116" t="str">
        <f>IFERROR(IF(VLOOKUP(A22,'Actual Dates'!A:AE,21,0)&gt;"",VLOOKUP(A22,'Actual Dates'!A:AE,21,0),W22-$V$2),"")</f>
        <v/>
      </c>
      <c r="W22" s="116" t="str">
        <f t="shared" si="7"/>
        <v/>
      </c>
      <c r="X22" s="116" t="str">
        <f t="shared" si="8"/>
        <v/>
      </c>
      <c r="Y22" s="116" t="str">
        <f t="shared" si="9"/>
        <v/>
      </c>
      <c r="Z22" s="116" t="str">
        <f t="shared" si="10"/>
        <v/>
      </c>
      <c r="AA22" s="116" t="str">
        <f t="shared" si="11"/>
        <v/>
      </c>
      <c r="AB22" s="116" t="str">
        <f t="shared" si="12"/>
        <v/>
      </c>
      <c r="AC22" s="116" t="str">
        <f t="shared" si="13"/>
        <v/>
      </c>
      <c r="AD22" s="116" t="str">
        <f t="shared" si="14"/>
        <v/>
      </c>
      <c r="AE22" s="116" t="str">
        <f t="shared" si="15"/>
        <v/>
      </c>
      <c r="AF22" s="116" t="str">
        <f t="shared" si="16"/>
        <v>027-25</v>
      </c>
    </row>
    <row r="23" spans="1:32" x14ac:dyDescent="0.25">
      <c r="A23" s="113" t="str">
        <f>'Date Calcs'!A23</f>
        <v>25-028</v>
      </c>
      <c r="B23" s="113" t="str">
        <f>'Date Calcs'!B23</f>
        <v>Irving Tissue</v>
      </c>
      <c r="C23" s="114" t="str">
        <f>_xlfn.IFNA(_xlfn.IFNA(VLOOKUP(AF23,'[1]Schedule Not Certified'!$C:$F,3,0),VLOOKUP(AF23,[1]CERTIFIED!$C:$E,3,0)),"")</f>
        <v/>
      </c>
      <c r="D23" s="115">
        <v>0</v>
      </c>
      <c r="E23" s="115">
        <v>0</v>
      </c>
      <c r="F23" s="115">
        <v>0</v>
      </c>
      <c r="G23" s="115">
        <v>0</v>
      </c>
      <c r="H23" s="115">
        <v>0</v>
      </c>
      <c r="I23" s="114">
        <f t="shared" si="0"/>
        <v>45619</v>
      </c>
      <c r="J23" s="116">
        <f t="shared" si="17"/>
        <v>45640</v>
      </c>
      <c r="K23" s="116">
        <f t="shared" si="17"/>
        <v>45654</v>
      </c>
      <c r="L23" s="116">
        <f t="shared" si="17"/>
        <v>45661</v>
      </c>
      <c r="M23" s="116">
        <f t="shared" si="17"/>
        <v>45668</v>
      </c>
      <c r="N23" s="116">
        <f t="shared" si="17"/>
        <v>45675</v>
      </c>
      <c r="O23" s="116">
        <f t="shared" si="2"/>
        <v>45682</v>
      </c>
      <c r="P23" s="116">
        <f t="shared" si="3"/>
        <v>45689</v>
      </c>
      <c r="Q23" s="116">
        <f>IFERROR(VLOOKUP(A23,'Date Calcs'!A:C,3,0),"")</f>
        <v>45693</v>
      </c>
      <c r="R23" s="116">
        <f t="shared" si="4"/>
        <v>45691</v>
      </c>
      <c r="S23" s="117"/>
      <c r="T23" s="116" t="e">
        <f t="shared" si="5"/>
        <v>#VALUE!</v>
      </c>
      <c r="U23" s="116" t="e">
        <f t="shared" si="6"/>
        <v>#VALUE!</v>
      </c>
      <c r="V23" s="116" t="str">
        <f>IFERROR(IF(VLOOKUP(A23,'Actual Dates'!A:AE,21,0)&gt;"",VLOOKUP(A23,'Actual Dates'!A:AE,21,0),W23-$V$2),"")</f>
        <v/>
      </c>
      <c r="W23" s="116" t="str">
        <f t="shared" si="7"/>
        <v/>
      </c>
      <c r="X23" s="116" t="str">
        <f t="shared" si="8"/>
        <v/>
      </c>
      <c r="Y23" s="116" t="str">
        <f t="shared" si="9"/>
        <v/>
      </c>
      <c r="Z23" s="116" t="str">
        <f t="shared" si="10"/>
        <v/>
      </c>
      <c r="AA23" s="116" t="str">
        <f t="shared" si="11"/>
        <v/>
      </c>
      <c r="AB23" s="116" t="str">
        <f t="shared" si="12"/>
        <v/>
      </c>
      <c r="AC23" s="116" t="str">
        <f t="shared" si="13"/>
        <v/>
      </c>
      <c r="AD23" s="116" t="str">
        <f t="shared" si="14"/>
        <v/>
      </c>
      <c r="AE23" s="116" t="str">
        <f t="shared" si="15"/>
        <v/>
      </c>
      <c r="AF23" s="116" t="str">
        <f t="shared" si="16"/>
        <v>028-25</v>
      </c>
    </row>
    <row r="24" spans="1:32" x14ac:dyDescent="0.25">
      <c r="A24" s="113" t="str">
        <f>'Date Calcs'!A24</f>
        <v>25-029</v>
      </c>
      <c r="B24" s="113" t="str">
        <f>'Date Calcs'!B24</f>
        <v>Irving Tissue</v>
      </c>
      <c r="C24" s="114" t="str">
        <f>_xlfn.IFNA(_xlfn.IFNA(VLOOKUP(AF24,'[1]Schedule Not Certified'!$C:$F,3,0),VLOOKUP(AF24,[1]CERTIFIED!$C:$E,3,0)),"")</f>
        <v/>
      </c>
      <c r="D24" s="115">
        <v>0</v>
      </c>
      <c r="E24" s="115">
        <v>0</v>
      </c>
      <c r="F24" s="115">
        <v>0</v>
      </c>
      <c r="G24" s="115">
        <v>0</v>
      </c>
      <c r="H24" s="115">
        <v>0</v>
      </c>
      <c r="I24" s="114">
        <f t="shared" si="0"/>
        <v>45619</v>
      </c>
      <c r="J24" s="116">
        <f t="shared" si="17"/>
        <v>45640</v>
      </c>
      <c r="K24" s="116">
        <f t="shared" si="17"/>
        <v>45654</v>
      </c>
      <c r="L24" s="116">
        <f t="shared" si="17"/>
        <v>45661</v>
      </c>
      <c r="M24" s="116">
        <f t="shared" si="17"/>
        <v>45668</v>
      </c>
      <c r="N24" s="116">
        <f t="shared" si="17"/>
        <v>45675</v>
      </c>
      <c r="O24" s="116">
        <f t="shared" si="2"/>
        <v>45682</v>
      </c>
      <c r="P24" s="116">
        <f t="shared" si="3"/>
        <v>45689</v>
      </c>
      <c r="Q24" s="116">
        <f>IFERROR(VLOOKUP(A24,'Date Calcs'!A:C,3,0),"")</f>
        <v>45693</v>
      </c>
      <c r="R24" s="116">
        <f t="shared" si="4"/>
        <v>45691</v>
      </c>
      <c r="S24" s="117"/>
      <c r="T24" s="116" t="e">
        <f t="shared" si="5"/>
        <v>#VALUE!</v>
      </c>
      <c r="U24" s="116" t="e">
        <f t="shared" si="6"/>
        <v>#VALUE!</v>
      </c>
      <c r="V24" s="116" t="str">
        <f>IFERROR(IF(VLOOKUP(A24,'Actual Dates'!A:AE,21,0)&gt;"",VLOOKUP(A24,'Actual Dates'!A:AE,21,0),W24-$V$2),"")</f>
        <v/>
      </c>
      <c r="W24" s="116" t="str">
        <f t="shared" si="7"/>
        <v/>
      </c>
      <c r="X24" s="116" t="str">
        <f t="shared" si="8"/>
        <v/>
      </c>
      <c r="Y24" s="116" t="str">
        <f t="shared" si="9"/>
        <v/>
      </c>
      <c r="Z24" s="116" t="str">
        <f t="shared" si="10"/>
        <v/>
      </c>
      <c r="AA24" s="116" t="str">
        <f t="shared" si="11"/>
        <v/>
      </c>
      <c r="AB24" s="116" t="str">
        <f t="shared" si="12"/>
        <v/>
      </c>
      <c r="AC24" s="116" t="str">
        <f t="shared" si="13"/>
        <v/>
      </c>
      <c r="AD24" s="116" t="str">
        <f t="shared" si="14"/>
        <v/>
      </c>
      <c r="AE24" s="116" t="str">
        <f t="shared" si="15"/>
        <v/>
      </c>
      <c r="AF24" s="116" t="str">
        <f t="shared" si="16"/>
        <v>029-25</v>
      </c>
    </row>
    <row r="25" spans="1:32" x14ac:dyDescent="0.25">
      <c r="A25" s="113" t="str">
        <f>'Date Calcs'!A25</f>
        <v>25-030</v>
      </c>
      <c r="B25" s="113" t="str">
        <f>'Date Calcs'!B25</f>
        <v>Irving Tissue</v>
      </c>
      <c r="C25" s="114" t="str">
        <f>_xlfn.IFNA(_xlfn.IFNA(VLOOKUP(AF25,'[1]Schedule Not Certified'!$C:$F,3,0),VLOOKUP(AF25,[1]CERTIFIED!$C:$E,3,0)),"")</f>
        <v/>
      </c>
      <c r="D25" s="115">
        <v>0</v>
      </c>
      <c r="E25" s="115">
        <v>0</v>
      </c>
      <c r="F25" s="115">
        <v>0</v>
      </c>
      <c r="G25" s="115">
        <v>0</v>
      </c>
      <c r="H25" s="115">
        <v>0</v>
      </c>
      <c r="I25" s="114">
        <f t="shared" si="0"/>
        <v>45619</v>
      </c>
      <c r="J25" s="116">
        <f t="shared" ref="J25:N34" si="18">K25-J$2</f>
        <v>45640</v>
      </c>
      <c r="K25" s="116">
        <f t="shared" si="18"/>
        <v>45654</v>
      </c>
      <c r="L25" s="116">
        <f t="shared" si="18"/>
        <v>45661</v>
      </c>
      <c r="M25" s="116">
        <f t="shared" si="18"/>
        <v>45668</v>
      </c>
      <c r="N25" s="116">
        <f t="shared" si="18"/>
        <v>45675</v>
      </c>
      <c r="O25" s="116">
        <f t="shared" si="2"/>
        <v>45682</v>
      </c>
      <c r="P25" s="116">
        <f t="shared" si="3"/>
        <v>45689</v>
      </c>
      <c r="Q25" s="116">
        <f>IFERROR(VLOOKUP(A25,'Date Calcs'!A:C,3,0),"")</f>
        <v>45693</v>
      </c>
      <c r="R25" s="116">
        <f t="shared" si="4"/>
        <v>45691</v>
      </c>
      <c r="S25" s="117"/>
      <c r="T25" s="116" t="e">
        <f t="shared" si="5"/>
        <v>#VALUE!</v>
      </c>
      <c r="U25" s="116" t="e">
        <f t="shared" si="6"/>
        <v>#VALUE!</v>
      </c>
      <c r="V25" s="116" t="str">
        <f>IFERROR(IF(VLOOKUP(A25,'Actual Dates'!A:AE,21,0)&gt;"",VLOOKUP(A25,'Actual Dates'!A:AE,21,0),W25-$V$2),"")</f>
        <v/>
      </c>
      <c r="W25" s="116" t="str">
        <f t="shared" si="7"/>
        <v/>
      </c>
      <c r="X25" s="116" t="str">
        <f t="shared" si="8"/>
        <v/>
      </c>
      <c r="Y25" s="116" t="str">
        <f t="shared" si="9"/>
        <v/>
      </c>
      <c r="Z25" s="116" t="str">
        <f t="shared" si="10"/>
        <v/>
      </c>
      <c r="AA25" s="116" t="str">
        <f t="shared" si="11"/>
        <v/>
      </c>
      <c r="AB25" s="116" t="str">
        <f t="shared" si="12"/>
        <v/>
      </c>
      <c r="AC25" s="116" t="str">
        <f t="shared" si="13"/>
        <v/>
      </c>
      <c r="AD25" s="116" t="str">
        <f t="shared" si="14"/>
        <v/>
      </c>
      <c r="AE25" s="116" t="str">
        <f t="shared" si="15"/>
        <v/>
      </c>
      <c r="AF25" s="116" t="str">
        <f t="shared" si="16"/>
        <v>030-25</v>
      </c>
    </row>
    <row r="26" spans="1:32" x14ac:dyDescent="0.25">
      <c r="A26" s="113" t="str">
        <f>'Date Calcs'!A26</f>
        <v>25-031</v>
      </c>
      <c r="B26" s="113" t="str">
        <f>'Date Calcs'!B26</f>
        <v>Irving Tissue</v>
      </c>
      <c r="C26" s="114" t="str">
        <f>_xlfn.IFNA(_xlfn.IFNA(VLOOKUP(AF26,'[1]Schedule Not Certified'!$C:$F,3,0),VLOOKUP(AF26,[1]CERTIFIED!$C:$E,3,0)),"")</f>
        <v/>
      </c>
      <c r="D26" s="115">
        <v>0</v>
      </c>
      <c r="E26" s="115">
        <v>0</v>
      </c>
      <c r="F26" s="115">
        <v>0</v>
      </c>
      <c r="G26" s="115">
        <v>0</v>
      </c>
      <c r="H26" s="115">
        <v>0</v>
      </c>
      <c r="I26" s="114">
        <f t="shared" si="0"/>
        <v>45619</v>
      </c>
      <c r="J26" s="116">
        <f t="shared" si="18"/>
        <v>45640</v>
      </c>
      <c r="K26" s="116">
        <f t="shared" si="18"/>
        <v>45654</v>
      </c>
      <c r="L26" s="116">
        <f t="shared" si="18"/>
        <v>45661</v>
      </c>
      <c r="M26" s="116">
        <f t="shared" si="18"/>
        <v>45668</v>
      </c>
      <c r="N26" s="116">
        <f t="shared" si="18"/>
        <v>45675</v>
      </c>
      <c r="O26" s="116">
        <f t="shared" si="2"/>
        <v>45682</v>
      </c>
      <c r="P26" s="116">
        <f t="shared" si="3"/>
        <v>45689</v>
      </c>
      <c r="Q26" s="116">
        <f>IFERROR(VLOOKUP(A26,'Date Calcs'!A:C,3,0),"")</f>
        <v>45693</v>
      </c>
      <c r="R26" s="116">
        <f t="shared" si="4"/>
        <v>45691</v>
      </c>
      <c r="S26" s="117"/>
      <c r="T26" s="116" t="e">
        <f t="shared" si="5"/>
        <v>#VALUE!</v>
      </c>
      <c r="U26" s="116" t="e">
        <f t="shared" si="6"/>
        <v>#VALUE!</v>
      </c>
      <c r="V26" s="116" t="str">
        <f>IFERROR(IF(VLOOKUP(A26,'Actual Dates'!A:AE,21,0)&gt;"",VLOOKUP(A26,'Actual Dates'!A:AE,21,0),W26-$V$2),"")</f>
        <v/>
      </c>
      <c r="W26" s="116" t="str">
        <f t="shared" si="7"/>
        <v/>
      </c>
      <c r="X26" s="116" t="str">
        <f t="shared" si="8"/>
        <v/>
      </c>
      <c r="Y26" s="116" t="str">
        <f t="shared" si="9"/>
        <v/>
      </c>
      <c r="Z26" s="116" t="str">
        <f t="shared" si="10"/>
        <v/>
      </c>
      <c r="AA26" s="116" t="str">
        <f t="shared" si="11"/>
        <v/>
      </c>
      <c r="AB26" s="116" t="str">
        <f t="shared" si="12"/>
        <v/>
      </c>
      <c r="AC26" s="116" t="str">
        <f t="shared" si="13"/>
        <v/>
      </c>
      <c r="AD26" s="116" t="str">
        <f t="shared" si="14"/>
        <v/>
      </c>
      <c r="AE26" s="116" t="str">
        <f t="shared" si="15"/>
        <v/>
      </c>
      <c r="AF26" s="116" t="str">
        <f t="shared" si="16"/>
        <v>031-25</v>
      </c>
    </row>
    <row r="27" spans="1:32" x14ac:dyDescent="0.25">
      <c r="A27" s="113" t="str">
        <f>'Date Calcs'!A27</f>
        <v>25-032</v>
      </c>
      <c r="B27" s="113" t="str">
        <f>'Date Calcs'!B27</f>
        <v>Irving Tissue</v>
      </c>
      <c r="C27" s="114" t="str">
        <f>_xlfn.IFNA(_xlfn.IFNA(VLOOKUP(AF27,'[1]Schedule Not Certified'!$C:$F,3,0),VLOOKUP(AF27,[1]CERTIFIED!$C:$E,3,0)),"")</f>
        <v/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4">
        <f t="shared" si="0"/>
        <v>45619</v>
      </c>
      <c r="J27" s="116">
        <f t="shared" si="18"/>
        <v>45640</v>
      </c>
      <c r="K27" s="116">
        <f t="shared" si="18"/>
        <v>45654</v>
      </c>
      <c r="L27" s="116">
        <f t="shared" si="18"/>
        <v>45661</v>
      </c>
      <c r="M27" s="116">
        <f t="shared" si="18"/>
        <v>45668</v>
      </c>
      <c r="N27" s="116">
        <f t="shared" si="18"/>
        <v>45675</v>
      </c>
      <c r="O27" s="116">
        <f t="shared" si="2"/>
        <v>45682</v>
      </c>
      <c r="P27" s="116">
        <f t="shared" si="3"/>
        <v>45689</v>
      </c>
      <c r="Q27" s="116">
        <f>IFERROR(VLOOKUP(A27,'Date Calcs'!A:C,3,0),"")</f>
        <v>45693</v>
      </c>
      <c r="R27" s="116">
        <f t="shared" si="4"/>
        <v>45691</v>
      </c>
      <c r="S27" s="117"/>
      <c r="T27" s="116" t="e">
        <f t="shared" si="5"/>
        <v>#VALUE!</v>
      </c>
      <c r="U27" s="116" t="e">
        <f t="shared" si="6"/>
        <v>#VALUE!</v>
      </c>
      <c r="V27" s="116" t="str">
        <f>IFERROR(IF(VLOOKUP(A27,'Actual Dates'!A:AE,21,0)&gt;"",VLOOKUP(A27,'Actual Dates'!A:AE,21,0),W27-$V$2),"")</f>
        <v/>
      </c>
      <c r="W27" s="116" t="str">
        <f t="shared" si="7"/>
        <v/>
      </c>
      <c r="X27" s="116" t="str">
        <f t="shared" si="8"/>
        <v/>
      </c>
      <c r="Y27" s="116" t="str">
        <f t="shared" si="9"/>
        <v/>
      </c>
      <c r="Z27" s="116" t="str">
        <f t="shared" si="10"/>
        <v/>
      </c>
      <c r="AA27" s="116" t="str">
        <f t="shared" si="11"/>
        <v/>
      </c>
      <c r="AB27" s="116" t="str">
        <f t="shared" si="12"/>
        <v/>
      </c>
      <c r="AC27" s="116" t="str">
        <f t="shared" si="13"/>
        <v/>
      </c>
      <c r="AD27" s="116" t="str">
        <f t="shared" si="14"/>
        <v/>
      </c>
      <c r="AE27" s="116" t="str">
        <f t="shared" si="15"/>
        <v/>
      </c>
      <c r="AF27" s="116" t="str">
        <f t="shared" si="16"/>
        <v>032-25</v>
      </c>
    </row>
    <row r="28" spans="1:32" x14ac:dyDescent="0.25">
      <c r="A28" s="113" t="str">
        <f>'Date Calcs'!A28</f>
        <v>25-033</v>
      </c>
      <c r="B28" s="113" t="str">
        <f>'Date Calcs'!B28</f>
        <v>Irving Tissue</v>
      </c>
      <c r="C28" s="114" t="str">
        <f>_xlfn.IFNA(_xlfn.IFNA(VLOOKUP(AF28,'[1]Schedule Not Certified'!$C:$F,3,0),VLOOKUP(AF28,[1]CERTIFIED!$C:$E,3,0)),"")</f>
        <v/>
      </c>
      <c r="D28" s="115">
        <v>0</v>
      </c>
      <c r="E28" s="115">
        <v>0</v>
      </c>
      <c r="F28" s="115">
        <v>0</v>
      </c>
      <c r="G28" s="115">
        <v>0</v>
      </c>
      <c r="H28" s="115">
        <v>0</v>
      </c>
      <c r="I28" s="114">
        <f t="shared" si="0"/>
        <v>45619</v>
      </c>
      <c r="J28" s="116">
        <f t="shared" si="18"/>
        <v>45640</v>
      </c>
      <c r="K28" s="116">
        <f t="shared" si="18"/>
        <v>45654</v>
      </c>
      <c r="L28" s="116">
        <f t="shared" si="18"/>
        <v>45661</v>
      </c>
      <c r="M28" s="116">
        <f t="shared" si="18"/>
        <v>45668</v>
      </c>
      <c r="N28" s="116">
        <f t="shared" si="18"/>
        <v>45675</v>
      </c>
      <c r="O28" s="116">
        <f t="shared" si="2"/>
        <v>45682</v>
      </c>
      <c r="P28" s="116">
        <f t="shared" si="3"/>
        <v>45689</v>
      </c>
      <c r="Q28" s="116">
        <f>IFERROR(VLOOKUP(A28,'Date Calcs'!A:C,3,0),"")</f>
        <v>45693</v>
      </c>
      <c r="R28" s="116">
        <f t="shared" si="4"/>
        <v>45691</v>
      </c>
      <c r="S28" s="117"/>
      <c r="T28" s="116" t="e">
        <f t="shared" si="5"/>
        <v>#VALUE!</v>
      </c>
      <c r="U28" s="116" t="e">
        <f t="shared" si="6"/>
        <v>#VALUE!</v>
      </c>
      <c r="V28" s="116" t="str">
        <f>IFERROR(IF(VLOOKUP(A28,'Actual Dates'!A:AE,21,0)&gt;"",VLOOKUP(A28,'Actual Dates'!A:AE,21,0),W28-$V$2),"")</f>
        <v/>
      </c>
      <c r="W28" s="116" t="str">
        <f t="shared" si="7"/>
        <v/>
      </c>
      <c r="X28" s="116" t="str">
        <f t="shared" si="8"/>
        <v/>
      </c>
      <c r="Y28" s="116" t="str">
        <f t="shared" si="9"/>
        <v/>
      </c>
      <c r="Z28" s="116" t="str">
        <f t="shared" si="10"/>
        <v/>
      </c>
      <c r="AA28" s="116" t="str">
        <f t="shared" si="11"/>
        <v/>
      </c>
      <c r="AB28" s="116" t="str">
        <f t="shared" si="12"/>
        <v/>
      </c>
      <c r="AC28" s="116" t="str">
        <f t="shared" si="13"/>
        <v/>
      </c>
      <c r="AD28" s="116" t="str">
        <f t="shared" si="14"/>
        <v/>
      </c>
      <c r="AE28" s="116" t="str">
        <f t="shared" si="15"/>
        <v/>
      </c>
      <c r="AF28" s="116" t="str">
        <f t="shared" si="16"/>
        <v>033-25</v>
      </c>
    </row>
    <row r="29" spans="1:32" x14ac:dyDescent="0.25">
      <c r="A29" s="113" t="str">
        <f>'Date Calcs'!A29</f>
        <v>25-034</v>
      </c>
      <c r="B29" s="113" t="str">
        <f>'Date Calcs'!B29</f>
        <v>Irving Tissue</v>
      </c>
      <c r="C29" s="114" t="str">
        <f>_xlfn.IFNA(_xlfn.IFNA(VLOOKUP(AF29,'[1]Schedule Not Certified'!$C:$F,3,0),VLOOKUP(AF29,[1]CERTIFIED!$C:$E,3,0)),"")</f>
        <v/>
      </c>
      <c r="D29" s="115">
        <v>0</v>
      </c>
      <c r="E29" s="115">
        <v>0</v>
      </c>
      <c r="F29" s="115">
        <v>0</v>
      </c>
      <c r="G29" s="115">
        <v>0</v>
      </c>
      <c r="H29" s="115">
        <v>0</v>
      </c>
      <c r="I29" s="114">
        <f t="shared" si="0"/>
        <v>45619</v>
      </c>
      <c r="J29" s="116">
        <f t="shared" si="18"/>
        <v>45640</v>
      </c>
      <c r="K29" s="116">
        <f t="shared" si="18"/>
        <v>45654</v>
      </c>
      <c r="L29" s="116">
        <f t="shared" si="18"/>
        <v>45661</v>
      </c>
      <c r="M29" s="116">
        <f t="shared" si="18"/>
        <v>45668</v>
      </c>
      <c r="N29" s="116">
        <f t="shared" si="18"/>
        <v>45675</v>
      </c>
      <c r="O29" s="116">
        <f t="shared" si="2"/>
        <v>45682</v>
      </c>
      <c r="P29" s="116">
        <f t="shared" si="3"/>
        <v>45689</v>
      </c>
      <c r="Q29" s="116">
        <f>IFERROR(VLOOKUP(A29,'Date Calcs'!A:C,3,0),"")</f>
        <v>45693</v>
      </c>
      <c r="R29" s="116">
        <f t="shared" si="4"/>
        <v>45691</v>
      </c>
      <c r="S29" s="117"/>
      <c r="T29" s="116" t="e">
        <f t="shared" si="5"/>
        <v>#VALUE!</v>
      </c>
      <c r="U29" s="116" t="e">
        <f t="shared" si="6"/>
        <v>#VALUE!</v>
      </c>
      <c r="V29" s="116" t="str">
        <f>IFERROR(IF(VLOOKUP(A29,'Actual Dates'!A:AE,21,0)&gt;"",VLOOKUP(A29,'Actual Dates'!A:AE,21,0),W29-$V$2),"")</f>
        <v/>
      </c>
      <c r="W29" s="116" t="str">
        <f t="shared" si="7"/>
        <v/>
      </c>
      <c r="X29" s="116" t="str">
        <f t="shared" si="8"/>
        <v/>
      </c>
      <c r="Y29" s="116" t="str">
        <f t="shared" si="9"/>
        <v/>
      </c>
      <c r="Z29" s="116" t="str">
        <f t="shared" si="10"/>
        <v/>
      </c>
      <c r="AA29" s="116" t="str">
        <f t="shared" si="11"/>
        <v/>
      </c>
      <c r="AB29" s="116" t="str">
        <f t="shared" si="12"/>
        <v/>
      </c>
      <c r="AC29" s="116" t="str">
        <f t="shared" si="13"/>
        <v/>
      </c>
      <c r="AD29" s="116" t="str">
        <f t="shared" si="14"/>
        <v/>
      </c>
      <c r="AE29" s="116" t="str">
        <f t="shared" si="15"/>
        <v/>
      </c>
      <c r="AF29" s="116" t="str">
        <f t="shared" si="16"/>
        <v>034-25</v>
      </c>
    </row>
    <row r="30" spans="1:32" x14ac:dyDescent="0.25">
      <c r="A30" s="113" t="str">
        <f>'Date Calcs'!A30</f>
        <v>25-035</v>
      </c>
      <c r="B30" s="113" t="str">
        <f>'Date Calcs'!B30</f>
        <v>Irving Tissue</v>
      </c>
      <c r="C30" s="114" t="str">
        <f>_xlfn.IFNA(_xlfn.IFNA(VLOOKUP(AF30,'[1]Schedule Not Certified'!$C:$F,3,0),VLOOKUP(AF30,[1]CERTIFIED!$C:$E,3,0)),"")</f>
        <v/>
      </c>
      <c r="D30" s="115">
        <v>0</v>
      </c>
      <c r="E30" s="115">
        <v>0</v>
      </c>
      <c r="F30" s="115">
        <v>0</v>
      </c>
      <c r="G30" s="115">
        <v>0</v>
      </c>
      <c r="H30" s="115">
        <v>0</v>
      </c>
      <c r="I30" s="114">
        <f t="shared" si="0"/>
        <v>45619</v>
      </c>
      <c r="J30" s="116">
        <f t="shared" si="18"/>
        <v>45640</v>
      </c>
      <c r="K30" s="116">
        <f t="shared" si="18"/>
        <v>45654</v>
      </c>
      <c r="L30" s="116">
        <f t="shared" si="18"/>
        <v>45661</v>
      </c>
      <c r="M30" s="116">
        <f t="shared" si="18"/>
        <v>45668</v>
      </c>
      <c r="N30" s="116">
        <f t="shared" si="18"/>
        <v>45675</v>
      </c>
      <c r="O30" s="116">
        <f t="shared" si="2"/>
        <v>45682</v>
      </c>
      <c r="P30" s="116">
        <f t="shared" si="3"/>
        <v>45689</v>
      </c>
      <c r="Q30" s="116">
        <f>IFERROR(VLOOKUP(A30,'Date Calcs'!A:C,3,0),"")</f>
        <v>45693</v>
      </c>
      <c r="R30" s="116">
        <f t="shared" si="4"/>
        <v>45691</v>
      </c>
      <c r="S30" s="117"/>
      <c r="T30" s="116" t="e">
        <f t="shared" si="5"/>
        <v>#VALUE!</v>
      </c>
      <c r="U30" s="116" t="e">
        <f t="shared" si="6"/>
        <v>#VALUE!</v>
      </c>
      <c r="V30" s="116" t="str">
        <f>IFERROR(IF(VLOOKUP(A30,'Actual Dates'!A:AE,21,0)&gt;"",VLOOKUP(A30,'Actual Dates'!A:AE,21,0),W30-$V$2),"")</f>
        <v/>
      </c>
      <c r="W30" s="116" t="str">
        <f t="shared" si="7"/>
        <v/>
      </c>
      <c r="X30" s="116" t="str">
        <f t="shared" si="8"/>
        <v/>
      </c>
      <c r="Y30" s="116" t="str">
        <f t="shared" si="9"/>
        <v/>
      </c>
      <c r="Z30" s="116" t="str">
        <f t="shared" si="10"/>
        <v/>
      </c>
      <c r="AA30" s="116" t="str">
        <f t="shared" si="11"/>
        <v/>
      </c>
      <c r="AB30" s="116" t="str">
        <f t="shared" si="12"/>
        <v/>
      </c>
      <c r="AC30" s="116" t="str">
        <f t="shared" si="13"/>
        <v/>
      </c>
      <c r="AD30" s="116" t="str">
        <f t="shared" si="14"/>
        <v/>
      </c>
      <c r="AE30" s="116" t="str">
        <f t="shared" si="15"/>
        <v/>
      </c>
      <c r="AF30" s="116" t="str">
        <f t="shared" si="16"/>
        <v>035-25</v>
      </c>
    </row>
    <row r="31" spans="1:32" x14ac:dyDescent="0.25">
      <c r="A31" s="113" t="str">
        <f>'Date Calcs'!A31</f>
        <v>25-036</v>
      </c>
      <c r="B31" s="113" t="str">
        <f>'Date Calcs'!B31</f>
        <v>Irving Tissue</v>
      </c>
      <c r="C31" s="114" t="str">
        <f>_xlfn.IFNA(_xlfn.IFNA(VLOOKUP(AF31,'[1]Schedule Not Certified'!$C:$F,3,0),VLOOKUP(AF31,[1]CERTIFIED!$C:$E,3,0)),"")</f>
        <v/>
      </c>
      <c r="D31" s="115">
        <v>0</v>
      </c>
      <c r="E31" s="115">
        <v>0</v>
      </c>
      <c r="F31" s="115">
        <v>0</v>
      </c>
      <c r="G31" s="115">
        <v>0</v>
      </c>
      <c r="H31" s="115">
        <v>0</v>
      </c>
      <c r="I31" s="114">
        <f t="shared" si="0"/>
        <v>45619</v>
      </c>
      <c r="J31" s="116">
        <f t="shared" si="18"/>
        <v>45640</v>
      </c>
      <c r="K31" s="116">
        <f t="shared" si="18"/>
        <v>45654</v>
      </c>
      <c r="L31" s="116">
        <f t="shared" si="18"/>
        <v>45661</v>
      </c>
      <c r="M31" s="116">
        <f t="shared" si="18"/>
        <v>45668</v>
      </c>
      <c r="N31" s="116">
        <f t="shared" si="18"/>
        <v>45675</v>
      </c>
      <c r="O31" s="116">
        <f t="shared" si="2"/>
        <v>45682</v>
      </c>
      <c r="P31" s="116">
        <f t="shared" si="3"/>
        <v>45689</v>
      </c>
      <c r="Q31" s="116">
        <f>IFERROR(VLOOKUP(A31,'Date Calcs'!A:C,3,0),"")</f>
        <v>45693</v>
      </c>
      <c r="R31" s="116">
        <f t="shared" si="4"/>
        <v>45691</v>
      </c>
      <c r="S31" s="117"/>
      <c r="T31" s="116" t="e">
        <f t="shared" si="5"/>
        <v>#VALUE!</v>
      </c>
      <c r="U31" s="116" t="e">
        <f t="shared" si="6"/>
        <v>#VALUE!</v>
      </c>
      <c r="V31" s="116" t="str">
        <f>IFERROR(IF(VLOOKUP(A31,'Actual Dates'!A:AE,21,0)&gt;"",VLOOKUP(A31,'Actual Dates'!A:AE,21,0),W31-$V$2),"")</f>
        <v/>
      </c>
      <c r="W31" s="116" t="str">
        <f t="shared" si="7"/>
        <v/>
      </c>
      <c r="X31" s="116" t="str">
        <f t="shared" si="8"/>
        <v/>
      </c>
      <c r="Y31" s="116" t="str">
        <f t="shared" si="9"/>
        <v/>
      </c>
      <c r="Z31" s="116" t="str">
        <f t="shared" si="10"/>
        <v/>
      </c>
      <c r="AA31" s="116" t="str">
        <f t="shared" si="11"/>
        <v/>
      </c>
      <c r="AB31" s="116" t="str">
        <f t="shared" si="12"/>
        <v/>
      </c>
      <c r="AC31" s="116" t="str">
        <f t="shared" si="13"/>
        <v/>
      </c>
      <c r="AD31" s="116" t="str">
        <f t="shared" si="14"/>
        <v/>
      </c>
      <c r="AE31" s="116" t="str">
        <f t="shared" si="15"/>
        <v/>
      </c>
      <c r="AF31" s="116" t="str">
        <f t="shared" si="16"/>
        <v>036-25</v>
      </c>
    </row>
    <row r="32" spans="1:32" x14ac:dyDescent="0.25">
      <c r="A32" s="113" t="str">
        <f>'Date Calcs'!A32</f>
        <v>25-037</v>
      </c>
      <c r="B32" s="113" t="str">
        <f>'Date Calcs'!B32</f>
        <v>Irving Tissue</v>
      </c>
      <c r="C32" s="114" t="str">
        <f>_xlfn.IFNA(_xlfn.IFNA(VLOOKUP(AF32,'[1]Schedule Not Certified'!$C:$F,3,0),VLOOKUP(AF32,[1]CERTIFIED!$C:$E,3,0)),"")</f>
        <v/>
      </c>
      <c r="D32" s="115">
        <v>0</v>
      </c>
      <c r="E32" s="115">
        <v>0</v>
      </c>
      <c r="F32" s="115">
        <v>0</v>
      </c>
      <c r="G32" s="115">
        <v>0</v>
      </c>
      <c r="H32" s="115">
        <v>0</v>
      </c>
      <c r="I32" s="114">
        <f t="shared" si="0"/>
        <v>45619</v>
      </c>
      <c r="J32" s="116">
        <f t="shared" si="18"/>
        <v>45640</v>
      </c>
      <c r="K32" s="116">
        <f t="shared" si="18"/>
        <v>45654</v>
      </c>
      <c r="L32" s="116">
        <f t="shared" si="18"/>
        <v>45661</v>
      </c>
      <c r="M32" s="116">
        <f t="shared" si="18"/>
        <v>45668</v>
      </c>
      <c r="N32" s="116">
        <f t="shared" si="18"/>
        <v>45675</v>
      </c>
      <c r="O32" s="116">
        <f t="shared" si="2"/>
        <v>45682</v>
      </c>
      <c r="P32" s="116">
        <f t="shared" si="3"/>
        <v>45689</v>
      </c>
      <c r="Q32" s="116">
        <f>IFERROR(VLOOKUP(A32,'Date Calcs'!A:C,3,0),"")</f>
        <v>45693</v>
      </c>
      <c r="R32" s="116">
        <f t="shared" si="4"/>
        <v>45691</v>
      </c>
      <c r="S32" s="117"/>
      <c r="T32" s="116" t="e">
        <f t="shared" si="5"/>
        <v>#VALUE!</v>
      </c>
      <c r="U32" s="116" t="e">
        <f t="shared" si="6"/>
        <v>#VALUE!</v>
      </c>
      <c r="V32" s="116" t="str">
        <f>IFERROR(IF(VLOOKUP(A32,'Actual Dates'!A:AE,21,0)&gt;"",VLOOKUP(A32,'Actual Dates'!A:AE,21,0),W32-$V$2),"")</f>
        <v/>
      </c>
      <c r="W32" s="116" t="str">
        <f t="shared" si="7"/>
        <v/>
      </c>
      <c r="X32" s="116" t="str">
        <f t="shared" si="8"/>
        <v/>
      </c>
      <c r="Y32" s="116" t="str">
        <f t="shared" si="9"/>
        <v/>
      </c>
      <c r="Z32" s="116" t="str">
        <f t="shared" si="10"/>
        <v/>
      </c>
      <c r="AA32" s="116" t="str">
        <f t="shared" si="11"/>
        <v/>
      </c>
      <c r="AB32" s="116" t="str">
        <f t="shared" si="12"/>
        <v/>
      </c>
      <c r="AC32" s="116" t="str">
        <f t="shared" si="13"/>
        <v/>
      </c>
      <c r="AD32" s="116" t="str">
        <f t="shared" si="14"/>
        <v/>
      </c>
      <c r="AE32" s="116" t="str">
        <f t="shared" si="15"/>
        <v/>
      </c>
      <c r="AF32" s="116" t="str">
        <f t="shared" si="16"/>
        <v>037-25</v>
      </c>
    </row>
    <row r="33" spans="1:32" x14ac:dyDescent="0.25">
      <c r="A33" s="113" t="str">
        <f>'Date Calcs'!A33</f>
        <v>25-039</v>
      </c>
      <c r="B33" s="113" t="str">
        <f>'Date Calcs'!B33</f>
        <v>Zachry</v>
      </c>
      <c r="C33" s="114" t="str">
        <f>_xlfn.IFNA(_xlfn.IFNA(VLOOKUP(AF33,'[1]Schedule Not Certified'!$C:$F,3,0),VLOOKUP(AF33,[1]CERTIFIED!$C:$E,3,0)),"")</f>
        <v/>
      </c>
      <c r="D33" s="115">
        <v>0</v>
      </c>
      <c r="E33" s="115">
        <v>0</v>
      </c>
      <c r="F33" s="115">
        <v>0</v>
      </c>
      <c r="G33" s="115">
        <v>0</v>
      </c>
      <c r="H33" s="115">
        <v>0</v>
      </c>
      <c r="I33" s="114">
        <f t="shared" si="0"/>
        <v>45640</v>
      </c>
      <c r="J33" s="116">
        <f t="shared" si="18"/>
        <v>45661</v>
      </c>
      <c r="K33" s="116">
        <f t="shared" si="18"/>
        <v>45675</v>
      </c>
      <c r="L33" s="116">
        <f t="shared" si="18"/>
        <v>45682</v>
      </c>
      <c r="M33" s="116">
        <f t="shared" si="18"/>
        <v>45689</v>
      </c>
      <c r="N33" s="116">
        <f t="shared" si="18"/>
        <v>45696</v>
      </c>
      <c r="O33" s="116">
        <f t="shared" si="2"/>
        <v>45703</v>
      </c>
      <c r="P33" s="116">
        <f t="shared" si="3"/>
        <v>45710</v>
      </c>
      <c r="Q33" s="116">
        <f>IFERROR(VLOOKUP(A33,'Date Calcs'!A:C,3,0),"")</f>
        <v>45714</v>
      </c>
      <c r="R33" s="116">
        <f t="shared" si="4"/>
        <v>45712</v>
      </c>
      <c r="S33" s="117"/>
      <c r="T33" s="116" t="e">
        <f t="shared" si="5"/>
        <v>#VALUE!</v>
      </c>
      <c r="U33" s="116" t="e">
        <f t="shared" si="6"/>
        <v>#VALUE!</v>
      </c>
      <c r="V33" s="116" t="str">
        <f>IFERROR(IF(VLOOKUP(A33,'Actual Dates'!A:AE,21,0)&gt;"",VLOOKUP(A33,'Actual Dates'!A:AE,21,0),W33-$V$2),"")</f>
        <v/>
      </c>
      <c r="W33" s="116" t="str">
        <f t="shared" si="7"/>
        <v/>
      </c>
      <c r="X33" s="116" t="str">
        <f t="shared" si="8"/>
        <v/>
      </c>
      <c r="Y33" s="116" t="str">
        <f t="shared" si="9"/>
        <v/>
      </c>
      <c r="Z33" s="116" t="str">
        <f t="shared" si="10"/>
        <v/>
      </c>
      <c r="AA33" s="116" t="str">
        <f t="shared" si="11"/>
        <v/>
      </c>
      <c r="AB33" s="116" t="str">
        <f t="shared" si="12"/>
        <v/>
      </c>
      <c r="AC33" s="116" t="str">
        <f t="shared" si="13"/>
        <v/>
      </c>
      <c r="AD33" s="116" t="str">
        <f t="shared" si="14"/>
        <v/>
      </c>
      <c r="AE33" s="116" t="str">
        <f t="shared" si="15"/>
        <v/>
      </c>
      <c r="AF33" s="116" t="str">
        <f t="shared" si="16"/>
        <v>039-25</v>
      </c>
    </row>
    <row r="34" spans="1:32" x14ac:dyDescent="0.25">
      <c r="A34" s="113" t="str">
        <f>'Date Calcs'!A34</f>
        <v>25-040</v>
      </c>
      <c r="B34" s="113" t="str">
        <f>'Date Calcs'!B34</f>
        <v>NAK Kiln</v>
      </c>
      <c r="C34" s="114" t="str">
        <f>_xlfn.IFNA(_xlfn.IFNA(VLOOKUP(AF34,'[1]Schedule Not Certified'!$C:$F,3,0),VLOOKUP(AF34,[1]CERTIFIED!$C:$E,3,0)),"")</f>
        <v/>
      </c>
      <c r="D34" s="115">
        <v>3</v>
      </c>
      <c r="E34" s="115">
        <v>0.25</v>
      </c>
      <c r="F34" s="115">
        <v>0</v>
      </c>
      <c r="G34" s="115">
        <v>0.25</v>
      </c>
      <c r="H34" s="115">
        <v>0.5</v>
      </c>
      <c r="I34" s="114">
        <f t="shared" si="0"/>
        <v>45647</v>
      </c>
      <c r="J34" s="116">
        <f t="shared" si="18"/>
        <v>45668</v>
      </c>
      <c r="K34" s="116">
        <f t="shared" si="18"/>
        <v>45682</v>
      </c>
      <c r="L34" s="116">
        <f t="shared" si="18"/>
        <v>45689</v>
      </c>
      <c r="M34" s="116">
        <f t="shared" si="18"/>
        <v>45696</v>
      </c>
      <c r="N34" s="116">
        <f t="shared" si="18"/>
        <v>45703</v>
      </c>
      <c r="O34" s="116">
        <f t="shared" si="2"/>
        <v>45710</v>
      </c>
      <c r="P34" s="116">
        <f t="shared" si="3"/>
        <v>45717</v>
      </c>
      <c r="Q34" s="116">
        <f>IFERROR(VLOOKUP(A34,'Date Calcs'!A:C,3,0),"")</f>
        <v>45721</v>
      </c>
      <c r="R34" s="116">
        <f t="shared" si="4"/>
        <v>45719</v>
      </c>
      <c r="S34" s="117"/>
      <c r="T34" s="116" t="e">
        <f t="shared" si="5"/>
        <v>#VALUE!</v>
      </c>
      <c r="U34" s="116" t="e">
        <f t="shared" si="6"/>
        <v>#VALUE!</v>
      </c>
      <c r="V34" s="116" t="str">
        <f>IFERROR(IF(VLOOKUP(A34,'Actual Dates'!A:AE,21,0)&gt;"",VLOOKUP(A34,'Actual Dates'!A:AE,21,0),W34-$V$2),"")</f>
        <v/>
      </c>
      <c r="W34" s="116" t="str">
        <f t="shared" si="7"/>
        <v/>
      </c>
      <c r="X34" s="116" t="str">
        <f t="shared" si="8"/>
        <v/>
      </c>
      <c r="Y34" s="116" t="str">
        <f t="shared" si="9"/>
        <v/>
      </c>
      <c r="Z34" s="116" t="str">
        <f t="shared" si="10"/>
        <v/>
      </c>
      <c r="AA34" s="116" t="str">
        <f t="shared" si="11"/>
        <v/>
      </c>
      <c r="AB34" s="116" t="str">
        <f t="shared" si="12"/>
        <v/>
      </c>
      <c r="AC34" s="116" t="str">
        <f t="shared" si="13"/>
        <v/>
      </c>
      <c r="AD34" s="116" t="str">
        <f t="shared" si="14"/>
        <v/>
      </c>
      <c r="AE34" s="116" t="str">
        <f t="shared" si="15"/>
        <v/>
      </c>
      <c r="AF34" s="116" t="str">
        <f t="shared" si="16"/>
        <v>040-25</v>
      </c>
    </row>
    <row r="35" spans="1:32" x14ac:dyDescent="0.25">
      <c r="A35" s="113" t="str">
        <f>'Date Calcs'!A35</f>
        <v>25-042</v>
      </c>
      <c r="B35" s="113" t="str">
        <f>'Date Calcs'!B35</f>
        <v>Andritz</v>
      </c>
      <c r="C35" s="114" t="str">
        <f>_xlfn.IFNA(_xlfn.IFNA(VLOOKUP(AF35,'[1]Schedule Not Certified'!$C:$F,3,0),VLOOKUP(AF35,[1]CERTIFIED!$C:$E,3,0)),"")</f>
        <v/>
      </c>
      <c r="D35" s="115">
        <v>0</v>
      </c>
      <c r="E35" s="115">
        <v>0</v>
      </c>
      <c r="F35" s="115">
        <v>0</v>
      </c>
      <c r="G35" s="115">
        <v>0</v>
      </c>
      <c r="H35" s="115">
        <v>0</v>
      </c>
      <c r="I35" s="114">
        <f t="shared" si="0"/>
        <v>45661</v>
      </c>
      <c r="J35" s="116">
        <f t="shared" ref="J35:N44" si="19">K35-J$2</f>
        <v>45682</v>
      </c>
      <c r="K35" s="116">
        <f t="shared" si="19"/>
        <v>45696</v>
      </c>
      <c r="L35" s="116">
        <f t="shared" si="19"/>
        <v>45703</v>
      </c>
      <c r="M35" s="116">
        <f t="shared" si="19"/>
        <v>45710</v>
      </c>
      <c r="N35" s="116">
        <f t="shared" si="19"/>
        <v>45717</v>
      </c>
      <c r="O35" s="116">
        <f t="shared" si="2"/>
        <v>45724</v>
      </c>
      <c r="P35" s="116">
        <f t="shared" si="3"/>
        <v>45731</v>
      </c>
      <c r="Q35" s="116">
        <f>IFERROR(VLOOKUP(A35,'Date Calcs'!A:C,3,0),"")</f>
        <v>45735</v>
      </c>
      <c r="R35" s="116">
        <f t="shared" si="4"/>
        <v>45733</v>
      </c>
      <c r="S35" s="117"/>
      <c r="T35" s="116" t="e">
        <f t="shared" si="5"/>
        <v>#VALUE!</v>
      </c>
      <c r="U35" s="116" t="e">
        <f t="shared" si="6"/>
        <v>#VALUE!</v>
      </c>
      <c r="V35" s="116" t="str">
        <f>IFERROR(IF(VLOOKUP(A35,'Actual Dates'!A:AE,21,0)&gt;"",VLOOKUP(A35,'Actual Dates'!A:AE,21,0),W35-$V$2),"")</f>
        <v/>
      </c>
      <c r="W35" s="116" t="str">
        <f t="shared" si="7"/>
        <v/>
      </c>
      <c r="X35" s="116" t="str">
        <f t="shared" si="8"/>
        <v/>
      </c>
      <c r="Y35" s="116" t="str">
        <f t="shared" si="9"/>
        <v/>
      </c>
      <c r="Z35" s="116" t="str">
        <f t="shared" si="10"/>
        <v/>
      </c>
      <c r="AA35" s="116" t="str">
        <f t="shared" si="11"/>
        <v/>
      </c>
      <c r="AB35" s="116" t="str">
        <f t="shared" si="12"/>
        <v/>
      </c>
      <c r="AC35" s="116" t="str">
        <f t="shared" si="13"/>
        <v/>
      </c>
      <c r="AD35" s="116" t="str">
        <f t="shared" si="14"/>
        <v/>
      </c>
      <c r="AE35" s="116" t="str">
        <f t="shared" si="15"/>
        <v/>
      </c>
      <c r="AF35" s="116" t="str">
        <f t="shared" si="16"/>
        <v>042-25</v>
      </c>
    </row>
    <row r="36" spans="1:32" x14ac:dyDescent="0.25">
      <c r="A36" s="113" t="str">
        <f>'Date Calcs'!A36</f>
        <v>25-044</v>
      </c>
      <c r="B36" s="113" t="str">
        <f>'Date Calcs'!B36</f>
        <v>Noah Industrial</v>
      </c>
      <c r="C36" s="114" t="str">
        <f>_xlfn.IFNA(_xlfn.IFNA(VLOOKUP(AF36,'[1]Schedule Not Certified'!$C:$F,3,0),VLOOKUP(AF36,[1]CERTIFIED!$C:$E,3,0)),"")</f>
        <v/>
      </c>
      <c r="D36" s="115">
        <v>0</v>
      </c>
      <c r="E36" s="115">
        <v>0</v>
      </c>
      <c r="F36" s="115">
        <v>0</v>
      </c>
      <c r="G36" s="115">
        <v>0</v>
      </c>
      <c r="H36" s="115">
        <v>0</v>
      </c>
      <c r="I36" s="114">
        <f t="shared" si="0"/>
        <v>45674</v>
      </c>
      <c r="J36" s="116">
        <f t="shared" si="19"/>
        <v>45695</v>
      </c>
      <c r="K36" s="116">
        <f t="shared" si="19"/>
        <v>45709</v>
      </c>
      <c r="L36" s="116">
        <f t="shared" si="19"/>
        <v>45716</v>
      </c>
      <c r="M36" s="116">
        <f t="shared" si="19"/>
        <v>45723</v>
      </c>
      <c r="N36" s="116">
        <f t="shared" si="19"/>
        <v>45730</v>
      </c>
      <c r="O36" s="116">
        <f t="shared" si="2"/>
        <v>45737</v>
      </c>
      <c r="P36" s="116">
        <f t="shared" si="3"/>
        <v>45744</v>
      </c>
      <c r="Q36" s="116">
        <f>IFERROR(VLOOKUP(A36,'Date Calcs'!A:C,3,0),"")</f>
        <v>45748</v>
      </c>
      <c r="R36" s="116">
        <f t="shared" si="4"/>
        <v>45746</v>
      </c>
      <c r="S36" s="117"/>
      <c r="T36" s="116" t="e">
        <f t="shared" si="5"/>
        <v>#VALUE!</v>
      </c>
      <c r="U36" s="116" t="e">
        <f t="shared" si="6"/>
        <v>#VALUE!</v>
      </c>
      <c r="V36" s="116" t="str">
        <f>IFERROR(IF(VLOOKUP(A36,'Actual Dates'!A:AE,21,0)&gt;"",VLOOKUP(A36,'Actual Dates'!A:AE,21,0),W36-$V$2),"")</f>
        <v/>
      </c>
      <c r="W36" s="116" t="str">
        <f t="shared" si="7"/>
        <v/>
      </c>
      <c r="X36" s="116" t="str">
        <f t="shared" si="8"/>
        <v/>
      </c>
      <c r="Y36" s="116" t="str">
        <f t="shared" si="9"/>
        <v/>
      </c>
      <c r="Z36" s="116" t="str">
        <f t="shared" si="10"/>
        <v/>
      </c>
      <c r="AA36" s="116" t="str">
        <f t="shared" si="11"/>
        <v/>
      </c>
      <c r="AB36" s="116" t="str">
        <f t="shared" si="12"/>
        <v/>
      </c>
      <c r="AC36" s="116" t="str">
        <f t="shared" si="13"/>
        <v/>
      </c>
      <c r="AD36" s="116" t="str">
        <f t="shared" si="14"/>
        <v/>
      </c>
      <c r="AE36" s="116" t="str">
        <f t="shared" si="15"/>
        <v/>
      </c>
      <c r="AF36" s="116" t="str">
        <f t="shared" si="16"/>
        <v>044-25</v>
      </c>
    </row>
    <row r="37" spans="1:32" x14ac:dyDescent="0.25">
      <c r="A37" s="113" t="str">
        <f>'Date Calcs'!A37</f>
        <v>25-045</v>
      </c>
      <c r="B37" s="113" t="str">
        <f>'Date Calcs'!B37</f>
        <v>ProPipe</v>
      </c>
      <c r="C37" s="114" t="str">
        <f>_xlfn.IFNA(_xlfn.IFNA(VLOOKUP(AF37,'[1]Schedule Not Certified'!$C:$F,3,0),VLOOKUP(AF37,[1]CERTIFIED!$C:$E,3,0)),"")</f>
        <v/>
      </c>
      <c r="D37" s="115">
        <v>0</v>
      </c>
      <c r="E37" s="115">
        <v>0</v>
      </c>
      <c r="F37" s="115">
        <v>0</v>
      </c>
      <c r="G37" s="115">
        <v>0</v>
      </c>
      <c r="H37" s="115">
        <v>0</v>
      </c>
      <c r="I37" s="114">
        <f t="shared" si="0"/>
        <v>45678</v>
      </c>
      <c r="J37" s="116">
        <f t="shared" si="19"/>
        <v>45699</v>
      </c>
      <c r="K37" s="116">
        <f t="shared" si="19"/>
        <v>45713</v>
      </c>
      <c r="L37" s="116">
        <f t="shared" si="19"/>
        <v>45720</v>
      </c>
      <c r="M37" s="116">
        <f t="shared" si="19"/>
        <v>45727</v>
      </c>
      <c r="N37" s="116">
        <f t="shared" si="19"/>
        <v>45734</v>
      </c>
      <c r="O37" s="116">
        <f t="shared" si="2"/>
        <v>45741</v>
      </c>
      <c r="P37" s="116">
        <f t="shared" si="3"/>
        <v>45748</v>
      </c>
      <c r="Q37" s="116">
        <f>IFERROR(VLOOKUP(A37,'Date Calcs'!A:C,3,0),"")</f>
        <v>45752</v>
      </c>
      <c r="R37" s="116">
        <f t="shared" si="4"/>
        <v>45750</v>
      </c>
      <c r="S37" s="117"/>
      <c r="T37" s="116" t="e">
        <f t="shared" si="5"/>
        <v>#VALUE!</v>
      </c>
      <c r="U37" s="116" t="e">
        <f t="shared" si="6"/>
        <v>#VALUE!</v>
      </c>
      <c r="V37" s="116" t="str">
        <f>IFERROR(IF(VLOOKUP(A37,'Actual Dates'!A:AE,21,0)&gt;"",VLOOKUP(A37,'Actual Dates'!A:AE,21,0),W37-$V$2),"")</f>
        <v/>
      </c>
      <c r="W37" s="116" t="str">
        <f t="shared" si="7"/>
        <v/>
      </c>
      <c r="X37" s="116" t="str">
        <f t="shared" si="8"/>
        <v/>
      </c>
      <c r="Y37" s="116" t="str">
        <f t="shared" si="9"/>
        <v/>
      </c>
      <c r="Z37" s="116" t="str">
        <f t="shared" si="10"/>
        <v/>
      </c>
      <c r="AA37" s="116" t="str">
        <f t="shared" si="11"/>
        <v/>
      </c>
      <c r="AB37" s="116" t="str">
        <f t="shared" si="12"/>
        <v/>
      </c>
      <c r="AC37" s="116" t="str">
        <f t="shared" si="13"/>
        <v/>
      </c>
      <c r="AD37" s="116" t="str">
        <f t="shared" si="14"/>
        <v/>
      </c>
      <c r="AE37" s="116" t="str">
        <f t="shared" si="15"/>
        <v/>
      </c>
      <c r="AF37" s="116" t="str">
        <f t="shared" si="16"/>
        <v>045-25</v>
      </c>
    </row>
    <row r="38" spans="1:32" x14ac:dyDescent="0.25">
      <c r="A38" s="113" t="str">
        <f>'Date Calcs'!A38</f>
        <v>25-052</v>
      </c>
      <c r="B38" s="113" t="str">
        <f>'Date Calcs'!B38</f>
        <v>Kraton</v>
      </c>
      <c r="C38" s="114" t="str">
        <f>_xlfn.IFNA(_xlfn.IFNA(VLOOKUP(AF38,'[1]Schedule Not Certified'!$C:$F,3,0),VLOOKUP(AF38,[1]CERTIFIED!$C:$E,3,0)),"")</f>
        <v/>
      </c>
      <c r="D38" s="115">
        <v>0</v>
      </c>
      <c r="E38" s="115">
        <v>0</v>
      </c>
      <c r="F38" s="115">
        <v>0</v>
      </c>
      <c r="G38" s="115">
        <v>0</v>
      </c>
      <c r="H38" s="115">
        <v>0</v>
      </c>
      <c r="I38" s="114">
        <f t="shared" si="0"/>
        <v>45722</v>
      </c>
      <c r="J38" s="116">
        <f t="shared" si="19"/>
        <v>45743</v>
      </c>
      <c r="K38" s="116">
        <f t="shared" si="19"/>
        <v>45757</v>
      </c>
      <c r="L38" s="116">
        <f t="shared" si="19"/>
        <v>45764</v>
      </c>
      <c r="M38" s="116">
        <f t="shared" si="19"/>
        <v>45771</v>
      </c>
      <c r="N38" s="116">
        <f t="shared" si="19"/>
        <v>45778</v>
      </c>
      <c r="O38" s="116">
        <f t="shared" si="2"/>
        <v>45785</v>
      </c>
      <c r="P38" s="116">
        <f t="shared" si="3"/>
        <v>45792</v>
      </c>
      <c r="Q38" s="116">
        <f>IFERROR(VLOOKUP(A38,'Date Calcs'!A:C,3,0),"")</f>
        <v>45796</v>
      </c>
      <c r="R38" s="116">
        <f t="shared" si="4"/>
        <v>45794</v>
      </c>
      <c r="S38" s="117"/>
      <c r="T38" s="116" t="e">
        <f t="shared" si="5"/>
        <v>#VALUE!</v>
      </c>
      <c r="U38" s="116" t="e">
        <f t="shared" si="6"/>
        <v>#VALUE!</v>
      </c>
      <c r="V38" s="116" t="str">
        <f>IFERROR(IF(VLOOKUP(A38,'Actual Dates'!A:AE,21,0)&gt;"",VLOOKUP(A38,'Actual Dates'!A:AE,21,0),W38-$V$2),"")</f>
        <v/>
      </c>
      <c r="W38" s="116" t="str">
        <f t="shared" si="7"/>
        <v/>
      </c>
      <c r="X38" s="116" t="str">
        <f t="shared" si="8"/>
        <v/>
      </c>
      <c r="Y38" s="116" t="str">
        <f t="shared" si="9"/>
        <v/>
      </c>
      <c r="Z38" s="116" t="str">
        <f t="shared" si="10"/>
        <v/>
      </c>
      <c r="AA38" s="116" t="str">
        <f t="shared" si="11"/>
        <v/>
      </c>
      <c r="AB38" s="116" t="str">
        <f t="shared" si="12"/>
        <v/>
      </c>
      <c r="AC38" s="116" t="str">
        <f t="shared" si="13"/>
        <v/>
      </c>
      <c r="AD38" s="116" t="str">
        <f t="shared" si="14"/>
        <v/>
      </c>
      <c r="AE38" s="116" t="str">
        <f t="shared" si="15"/>
        <v/>
      </c>
      <c r="AF38" s="116" t="str">
        <f t="shared" si="16"/>
        <v>052-25</v>
      </c>
    </row>
    <row r="39" spans="1:32" x14ac:dyDescent="0.25">
      <c r="A39" s="113" t="str">
        <f>'Date Calcs'!A39</f>
        <v>25-053</v>
      </c>
      <c r="B39" s="113" t="str">
        <f>'Date Calcs'!B39</f>
        <v>Andritz</v>
      </c>
      <c r="C39" s="114" t="str">
        <f>_xlfn.IFNA(_xlfn.IFNA(VLOOKUP(AF39,'[1]Schedule Not Certified'!$C:$F,3,0),VLOOKUP(AF39,[1]CERTIFIED!$C:$E,3,0)),"")</f>
        <v/>
      </c>
      <c r="D39" s="115">
        <v>4</v>
      </c>
      <c r="E39" s="115">
        <v>0.25</v>
      </c>
      <c r="F39" s="115">
        <v>0</v>
      </c>
      <c r="G39" s="115">
        <v>0.25</v>
      </c>
      <c r="H39" s="115">
        <v>0.5</v>
      </c>
      <c r="I39" s="114">
        <f t="shared" si="0"/>
        <v>45736</v>
      </c>
      <c r="J39" s="116">
        <f t="shared" si="19"/>
        <v>45757</v>
      </c>
      <c r="K39" s="116">
        <f t="shared" si="19"/>
        <v>45771</v>
      </c>
      <c r="L39" s="116">
        <f t="shared" si="19"/>
        <v>45778</v>
      </c>
      <c r="M39" s="116">
        <f t="shared" si="19"/>
        <v>45785</v>
      </c>
      <c r="N39" s="116">
        <f t="shared" si="19"/>
        <v>45792</v>
      </c>
      <c r="O39" s="116">
        <f t="shared" si="2"/>
        <v>45799</v>
      </c>
      <c r="P39" s="116">
        <f t="shared" si="3"/>
        <v>45806</v>
      </c>
      <c r="Q39" s="116">
        <f>IFERROR(VLOOKUP(A39,'Date Calcs'!A:C,3,0),"")</f>
        <v>45810</v>
      </c>
      <c r="R39" s="116">
        <f t="shared" si="4"/>
        <v>45808</v>
      </c>
      <c r="S39" s="117"/>
      <c r="T39" s="116" t="e">
        <f t="shared" si="5"/>
        <v>#VALUE!</v>
      </c>
      <c r="U39" s="116" t="e">
        <f t="shared" si="6"/>
        <v>#VALUE!</v>
      </c>
      <c r="V39" s="116" t="str">
        <f>IFERROR(IF(VLOOKUP(A39,'Actual Dates'!A:AE,21,0)&gt;"",VLOOKUP(A39,'Actual Dates'!A:AE,21,0),W39-$V$2),"")</f>
        <v/>
      </c>
      <c r="W39" s="116" t="str">
        <f t="shared" si="7"/>
        <v/>
      </c>
      <c r="X39" s="116" t="str">
        <f t="shared" si="8"/>
        <v/>
      </c>
      <c r="Y39" s="116" t="str">
        <f t="shared" si="9"/>
        <v/>
      </c>
      <c r="Z39" s="116" t="str">
        <f t="shared" si="10"/>
        <v/>
      </c>
      <c r="AA39" s="116" t="str">
        <f t="shared" si="11"/>
        <v/>
      </c>
      <c r="AB39" s="116" t="str">
        <f t="shared" si="12"/>
        <v/>
      </c>
      <c r="AC39" s="116" t="str">
        <f t="shared" si="13"/>
        <v/>
      </c>
      <c r="AD39" s="116" t="str">
        <f t="shared" si="14"/>
        <v/>
      </c>
      <c r="AE39" s="116" t="str">
        <f t="shared" si="15"/>
        <v/>
      </c>
      <c r="AF39" s="116" t="str">
        <f t="shared" si="16"/>
        <v>053-25</v>
      </c>
    </row>
    <row r="40" spans="1:32" x14ac:dyDescent="0.25">
      <c r="A40" s="113" t="str">
        <f>'Date Calcs'!A40</f>
        <v>25-054</v>
      </c>
      <c r="B40" s="113" t="str">
        <f>'Date Calcs'!B40</f>
        <v>Chromascape</v>
      </c>
      <c r="C40" s="114" t="str">
        <f>_xlfn.IFNA(_xlfn.IFNA(VLOOKUP(AF40,'[1]Schedule Not Certified'!$C:$F,3,0),VLOOKUP(AF40,[1]CERTIFIED!$C:$E,3,0)),"")</f>
        <v/>
      </c>
      <c r="D40" s="115">
        <v>0</v>
      </c>
      <c r="E40" s="115">
        <v>0</v>
      </c>
      <c r="F40" s="115">
        <v>0</v>
      </c>
      <c r="G40" s="115">
        <v>0</v>
      </c>
      <c r="H40" s="115">
        <v>0</v>
      </c>
      <c r="I40" s="114">
        <f t="shared" si="0"/>
        <v>45737</v>
      </c>
      <c r="J40" s="116">
        <f t="shared" si="19"/>
        <v>45758</v>
      </c>
      <c r="K40" s="116">
        <f t="shared" si="19"/>
        <v>45772</v>
      </c>
      <c r="L40" s="116">
        <f t="shared" si="19"/>
        <v>45779</v>
      </c>
      <c r="M40" s="116">
        <f t="shared" si="19"/>
        <v>45786</v>
      </c>
      <c r="N40" s="116">
        <f t="shared" si="19"/>
        <v>45793</v>
      </c>
      <c r="O40" s="116">
        <f t="shared" si="2"/>
        <v>45800</v>
      </c>
      <c r="P40" s="116">
        <f t="shared" si="3"/>
        <v>45807</v>
      </c>
      <c r="Q40" s="116">
        <f>IFERROR(VLOOKUP(A40,'Date Calcs'!A:C,3,0),"")</f>
        <v>45811</v>
      </c>
      <c r="R40" s="116">
        <f t="shared" si="4"/>
        <v>45809</v>
      </c>
      <c r="S40" s="117"/>
      <c r="T40" s="116" t="e">
        <f t="shared" si="5"/>
        <v>#VALUE!</v>
      </c>
      <c r="U40" s="116" t="e">
        <f t="shared" si="6"/>
        <v>#VALUE!</v>
      </c>
      <c r="V40" s="116" t="str">
        <f>IFERROR(IF(VLOOKUP(A40,'Actual Dates'!A:AE,21,0)&gt;"",VLOOKUP(A40,'Actual Dates'!A:AE,21,0),W40-$V$2),"")</f>
        <v/>
      </c>
      <c r="W40" s="116" t="str">
        <f t="shared" si="7"/>
        <v/>
      </c>
      <c r="X40" s="116" t="str">
        <f t="shared" si="8"/>
        <v/>
      </c>
      <c r="Y40" s="116" t="str">
        <f t="shared" si="9"/>
        <v/>
      </c>
      <c r="Z40" s="116" t="str">
        <f t="shared" si="10"/>
        <v/>
      </c>
      <c r="AA40" s="116" t="str">
        <f t="shared" si="11"/>
        <v/>
      </c>
      <c r="AB40" s="116" t="str">
        <f t="shared" si="12"/>
        <v/>
      </c>
      <c r="AC40" s="116" t="str">
        <f t="shared" si="13"/>
        <v/>
      </c>
      <c r="AD40" s="116" t="str">
        <f t="shared" si="14"/>
        <v/>
      </c>
      <c r="AE40" s="116" t="str">
        <f t="shared" si="15"/>
        <v/>
      </c>
      <c r="AF40" s="116" t="str">
        <f t="shared" si="16"/>
        <v>054-25</v>
      </c>
    </row>
    <row r="41" spans="1:32" x14ac:dyDescent="0.25">
      <c r="A41" s="113" t="str">
        <f>'Date Calcs'!A41</f>
        <v>25-055</v>
      </c>
      <c r="B41" s="113" t="str">
        <f>'Date Calcs'!B41</f>
        <v>Airgas</v>
      </c>
      <c r="C41" s="114" t="str">
        <f>_xlfn.IFNA(_xlfn.IFNA(VLOOKUP(AF41,'[1]Schedule Not Certified'!$C:$F,3,0),VLOOKUP(AF41,[1]CERTIFIED!$C:$E,3,0)),"")</f>
        <v/>
      </c>
      <c r="D41" s="115">
        <v>4</v>
      </c>
      <c r="E41" s="115">
        <v>0.25</v>
      </c>
      <c r="F41" s="115">
        <v>0</v>
      </c>
      <c r="G41" s="115">
        <v>0.25</v>
      </c>
      <c r="H41" s="115">
        <v>0.5</v>
      </c>
      <c r="I41" s="114">
        <f t="shared" si="0"/>
        <v>45746</v>
      </c>
      <c r="J41" s="116">
        <f t="shared" si="19"/>
        <v>45767</v>
      </c>
      <c r="K41" s="116">
        <f t="shared" si="19"/>
        <v>45781</v>
      </c>
      <c r="L41" s="116">
        <f t="shared" si="19"/>
        <v>45788</v>
      </c>
      <c r="M41" s="116">
        <f t="shared" si="19"/>
        <v>45795</v>
      </c>
      <c r="N41" s="116">
        <f t="shared" si="19"/>
        <v>45802</v>
      </c>
      <c r="O41" s="116">
        <f t="shared" si="2"/>
        <v>45809</v>
      </c>
      <c r="P41" s="116">
        <f t="shared" si="3"/>
        <v>45816</v>
      </c>
      <c r="Q41" s="116">
        <f>IFERROR(VLOOKUP(A41,'Date Calcs'!A:C,3,0),"")</f>
        <v>45820</v>
      </c>
      <c r="R41" s="116">
        <f t="shared" si="4"/>
        <v>45818</v>
      </c>
      <c r="S41" s="117"/>
      <c r="T41" s="116" t="e">
        <f t="shared" si="5"/>
        <v>#VALUE!</v>
      </c>
      <c r="U41" s="116" t="e">
        <f t="shared" si="6"/>
        <v>#VALUE!</v>
      </c>
      <c r="V41" s="116" t="str">
        <f>IFERROR(IF(VLOOKUP(A41,'Actual Dates'!A:AE,21,0)&gt;"",VLOOKUP(A41,'Actual Dates'!A:AE,21,0),W41-$V$2),"")</f>
        <v/>
      </c>
      <c r="W41" s="116" t="str">
        <f t="shared" si="7"/>
        <v/>
      </c>
      <c r="X41" s="116" t="str">
        <f t="shared" si="8"/>
        <v/>
      </c>
      <c r="Y41" s="116" t="str">
        <f t="shared" si="9"/>
        <v/>
      </c>
      <c r="Z41" s="116" t="str">
        <f t="shared" si="10"/>
        <v/>
      </c>
      <c r="AA41" s="116" t="str">
        <f t="shared" si="11"/>
        <v/>
      </c>
      <c r="AB41" s="116" t="str">
        <f t="shared" si="12"/>
        <v/>
      </c>
      <c r="AC41" s="116" t="str">
        <f t="shared" si="13"/>
        <v/>
      </c>
      <c r="AD41" s="116" t="str">
        <f t="shared" si="14"/>
        <v/>
      </c>
      <c r="AE41" s="116" t="str">
        <f t="shared" si="15"/>
        <v/>
      </c>
      <c r="AF41" s="116" t="str">
        <f t="shared" si="16"/>
        <v>055-25</v>
      </c>
    </row>
    <row r="42" spans="1:32" x14ac:dyDescent="0.25">
      <c r="A42" s="113" t="str">
        <f>'Date Calcs'!A42</f>
        <v>25-056</v>
      </c>
      <c r="B42" s="113" t="str">
        <f>'Date Calcs'!B42</f>
        <v>Reco</v>
      </c>
      <c r="C42" s="114" t="str">
        <f>_xlfn.IFNA(_xlfn.IFNA(VLOOKUP(AF42,'[1]Schedule Not Certified'!$C:$F,3,0),VLOOKUP(AF42,[1]CERTIFIED!$C:$E,3,0)),"")</f>
        <v/>
      </c>
      <c r="D42" s="115">
        <v>0</v>
      </c>
      <c r="E42" s="115">
        <v>0</v>
      </c>
      <c r="F42" s="115">
        <v>0</v>
      </c>
      <c r="G42" s="115">
        <v>0</v>
      </c>
      <c r="H42" s="115">
        <v>0</v>
      </c>
      <c r="I42" s="114">
        <f t="shared" si="0"/>
        <v>45747</v>
      </c>
      <c r="J42" s="116">
        <f t="shared" si="19"/>
        <v>45768</v>
      </c>
      <c r="K42" s="116">
        <f t="shared" si="19"/>
        <v>45782</v>
      </c>
      <c r="L42" s="116">
        <f t="shared" si="19"/>
        <v>45789</v>
      </c>
      <c r="M42" s="116">
        <f t="shared" si="19"/>
        <v>45796</v>
      </c>
      <c r="N42" s="116">
        <f t="shared" si="19"/>
        <v>45803</v>
      </c>
      <c r="O42" s="116">
        <f t="shared" si="2"/>
        <v>45810</v>
      </c>
      <c r="P42" s="116">
        <f t="shared" si="3"/>
        <v>45817</v>
      </c>
      <c r="Q42" s="116">
        <f>IFERROR(VLOOKUP(A42,'Date Calcs'!A:C,3,0),"")</f>
        <v>45821</v>
      </c>
      <c r="R42" s="116">
        <f t="shared" si="4"/>
        <v>45819</v>
      </c>
      <c r="S42" s="117"/>
      <c r="T42" s="116" t="e">
        <f t="shared" si="5"/>
        <v>#VALUE!</v>
      </c>
      <c r="U42" s="116" t="e">
        <f t="shared" si="6"/>
        <v>#VALUE!</v>
      </c>
      <c r="V42" s="116" t="str">
        <f>IFERROR(IF(VLOOKUP(A42,'Actual Dates'!A:AE,21,0)&gt;"",VLOOKUP(A42,'Actual Dates'!A:AE,21,0),W42-$V$2),"")</f>
        <v/>
      </c>
      <c r="W42" s="116" t="str">
        <f t="shared" si="7"/>
        <v/>
      </c>
      <c r="X42" s="116" t="str">
        <f t="shared" si="8"/>
        <v/>
      </c>
      <c r="Y42" s="116" t="str">
        <f t="shared" si="9"/>
        <v/>
      </c>
      <c r="Z42" s="116" t="str">
        <f t="shared" si="10"/>
        <v/>
      </c>
      <c r="AA42" s="116" t="str">
        <f t="shared" si="11"/>
        <v/>
      </c>
      <c r="AB42" s="116" t="str">
        <f t="shared" si="12"/>
        <v/>
      </c>
      <c r="AC42" s="116" t="str">
        <f t="shared" si="13"/>
        <v/>
      </c>
      <c r="AD42" s="116" t="str">
        <f t="shared" si="14"/>
        <v/>
      </c>
      <c r="AE42" s="116" t="str">
        <f t="shared" si="15"/>
        <v/>
      </c>
      <c r="AF42" s="116" t="str">
        <f t="shared" si="16"/>
        <v>056-25</v>
      </c>
    </row>
    <row r="43" spans="1:32" x14ac:dyDescent="0.25">
      <c r="A43" s="113" t="str">
        <f>'Date Calcs'!A43</f>
        <v>25-057</v>
      </c>
      <c r="B43" s="113" t="str">
        <f>'Date Calcs'!B43</f>
        <v>Reco</v>
      </c>
      <c r="C43" s="114" t="str">
        <f>_xlfn.IFNA(_xlfn.IFNA(VLOOKUP(AF43,'[1]Schedule Not Certified'!$C:$F,3,0),VLOOKUP(AF43,[1]CERTIFIED!$C:$E,3,0)),"")</f>
        <v/>
      </c>
      <c r="D43" s="115">
        <v>0</v>
      </c>
      <c r="E43" s="115">
        <v>0</v>
      </c>
      <c r="F43" s="115">
        <v>0</v>
      </c>
      <c r="G43" s="115">
        <v>0</v>
      </c>
      <c r="H43" s="115">
        <v>0</v>
      </c>
      <c r="I43" s="114">
        <f t="shared" si="0"/>
        <v>45747</v>
      </c>
      <c r="J43" s="116">
        <f t="shared" si="19"/>
        <v>45768</v>
      </c>
      <c r="K43" s="116">
        <f t="shared" si="19"/>
        <v>45782</v>
      </c>
      <c r="L43" s="116">
        <f t="shared" si="19"/>
        <v>45789</v>
      </c>
      <c r="M43" s="116">
        <f t="shared" si="19"/>
        <v>45796</v>
      </c>
      <c r="N43" s="116">
        <f t="shared" si="19"/>
        <v>45803</v>
      </c>
      <c r="O43" s="116">
        <f t="shared" si="2"/>
        <v>45810</v>
      </c>
      <c r="P43" s="116">
        <f t="shared" si="3"/>
        <v>45817</v>
      </c>
      <c r="Q43" s="116">
        <f>IFERROR(VLOOKUP(A43,'Date Calcs'!A:C,3,0),"")</f>
        <v>45821</v>
      </c>
      <c r="R43" s="116">
        <f t="shared" si="4"/>
        <v>45819</v>
      </c>
      <c r="S43" s="117"/>
      <c r="T43" s="116" t="e">
        <f t="shared" si="5"/>
        <v>#VALUE!</v>
      </c>
      <c r="U43" s="116" t="e">
        <f t="shared" si="6"/>
        <v>#VALUE!</v>
      </c>
      <c r="V43" s="116" t="str">
        <f>IFERROR(IF(VLOOKUP(A43,'Actual Dates'!A:AE,21,0)&gt;"",VLOOKUP(A43,'Actual Dates'!A:AE,21,0),W43-$V$2),"")</f>
        <v/>
      </c>
      <c r="W43" s="116" t="str">
        <f t="shared" si="7"/>
        <v/>
      </c>
      <c r="X43" s="116" t="str">
        <f t="shared" si="8"/>
        <v/>
      </c>
      <c r="Y43" s="116" t="str">
        <f t="shared" si="9"/>
        <v/>
      </c>
      <c r="Z43" s="116" t="str">
        <f t="shared" si="10"/>
        <v/>
      </c>
      <c r="AA43" s="116" t="str">
        <f t="shared" si="11"/>
        <v/>
      </c>
      <c r="AB43" s="116" t="str">
        <f t="shared" si="12"/>
        <v/>
      </c>
      <c r="AC43" s="116" t="str">
        <f t="shared" si="13"/>
        <v/>
      </c>
      <c r="AD43" s="116" t="str">
        <f t="shared" si="14"/>
        <v/>
      </c>
      <c r="AE43" s="116" t="str">
        <f t="shared" si="15"/>
        <v/>
      </c>
      <c r="AF43" s="116" t="str">
        <f t="shared" si="16"/>
        <v>057-25</v>
      </c>
    </row>
    <row r="44" spans="1:32" x14ac:dyDescent="0.25">
      <c r="A44" s="113" t="str">
        <f>'Date Calcs'!A44</f>
        <v>25-058</v>
      </c>
      <c r="B44" s="113" t="str">
        <f>'Date Calcs'!B44</f>
        <v>Reco</v>
      </c>
      <c r="C44" s="114" t="str">
        <f>_xlfn.IFNA(_xlfn.IFNA(VLOOKUP(AF44,'[1]Schedule Not Certified'!$C:$F,3,0),VLOOKUP(AF44,[1]CERTIFIED!$C:$E,3,0)),"")</f>
        <v/>
      </c>
      <c r="D44" s="115">
        <v>0</v>
      </c>
      <c r="E44" s="115">
        <v>0</v>
      </c>
      <c r="F44" s="115">
        <v>0</v>
      </c>
      <c r="G44" s="115">
        <v>0</v>
      </c>
      <c r="H44" s="115">
        <v>0</v>
      </c>
      <c r="I44" s="114">
        <f t="shared" si="0"/>
        <v>45747</v>
      </c>
      <c r="J44" s="116">
        <f t="shared" si="19"/>
        <v>45768</v>
      </c>
      <c r="K44" s="116">
        <f t="shared" si="19"/>
        <v>45782</v>
      </c>
      <c r="L44" s="116">
        <f t="shared" si="19"/>
        <v>45789</v>
      </c>
      <c r="M44" s="116">
        <f t="shared" si="19"/>
        <v>45796</v>
      </c>
      <c r="N44" s="116">
        <f t="shared" si="19"/>
        <v>45803</v>
      </c>
      <c r="O44" s="116">
        <f t="shared" si="2"/>
        <v>45810</v>
      </c>
      <c r="P44" s="116">
        <f t="shared" si="3"/>
        <v>45817</v>
      </c>
      <c r="Q44" s="116">
        <f>IFERROR(VLOOKUP(A44,'Date Calcs'!A:C,3,0),"")</f>
        <v>45821</v>
      </c>
      <c r="R44" s="116">
        <f t="shared" si="4"/>
        <v>45819</v>
      </c>
      <c r="S44" s="117"/>
      <c r="T44" s="116" t="e">
        <f t="shared" si="5"/>
        <v>#VALUE!</v>
      </c>
      <c r="U44" s="116" t="e">
        <f t="shared" si="6"/>
        <v>#VALUE!</v>
      </c>
      <c r="V44" s="116" t="str">
        <f>IFERROR(IF(VLOOKUP(A44,'Actual Dates'!A:AE,21,0)&gt;"",VLOOKUP(A44,'Actual Dates'!A:AE,21,0),W44-$V$2),"")</f>
        <v/>
      </c>
      <c r="W44" s="116" t="str">
        <f t="shared" si="7"/>
        <v/>
      </c>
      <c r="X44" s="116" t="str">
        <f t="shared" si="8"/>
        <v/>
      </c>
      <c r="Y44" s="116" t="str">
        <f t="shared" si="9"/>
        <v/>
      </c>
      <c r="Z44" s="116" t="str">
        <f t="shared" si="10"/>
        <v/>
      </c>
      <c r="AA44" s="116" t="str">
        <f t="shared" si="11"/>
        <v/>
      </c>
      <c r="AB44" s="116" t="str">
        <f t="shared" si="12"/>
        <v/>
      </c>
      <c r="AC44" s="116" t="str">
        <f t="shared" si="13"/>
        <v/>
      </c>
      <c r="AD44" s="116" t="str">
        <f t="shared" si="14"/>
        <v/>
      </c>
      <c r="AE44" s="116" t="str">
        <f t="shared" si="15"/>
        <v/>
      </c>
      <c r="AF44" s="116" t="str">
        <f t="shared" si="16"/>
        <v>058-25</v>
      </c>
    </row>
    <row r="45" spans="1:32" x14ac:dyDescent="0.25">
      <c r="A45" s="113" t="str">
        <f>'Date Calcs'!A45</f>
        <v>25-059</v>
      </c>
      <c r="B45" s="113" t="str">
        <f>'Date Calcs'!B45</f>
        <v>Reco</v>
      </c>
      <c r="C45" s="114" t="str">
        <f>_xlfn.IFNA(_xlfn.IFNA(VLOOKUP(AF45,'[1]Schedule Not Certified'!$C:$F,3,0),VLOOKUP(AF45,[1]CERTIFIED!$C:$E,3,0)),"")</f>
        <v/>
      </c>
      <c r="D45" s="115">
        <v>0</v>
      </c>
      <c r="E45" s="115">
        <v>0</v>
      </c>
      <c r="F45" s="115">
        <v>0</v>
      </c>
      <c r="G45" s="115">
        <v>0</v>
      </c>
      <c r="H45" s="115">
        <v>0</v>
      </c>
      <c r="I45" s="114">
        <f t="shared" si="0"/>
        <v>45747</v>
      </c>
      <c r="J45" s="116">
        <f t="shared" ref="J45:N54" si="20">K45-J$2</f>
        <v>45768</v>
      </c>
      <c r="K45" s="116">
        <f t="shared" si="20"/>
        <v>45782</v>
      </c>
      <c r="L45" s="116">
        <f t="shared" si="20"/>
        <v>45789</v>
      </c>
      <c r="M45" s="116">
        <f t="shared" si="20"/>
        <v>45796</v>
      </c>
      <c r="N45" s="116">
        <f t="shared" si="20"/>
        <v>45803</v>
      </c>
      <c r="O45" s="116">
        <f t="shared" si="2"/>
        <v>45810</v>
      </c>
      <c r="P45" s="116">
        <f t="shared" si="3"/>
        <v>45817</v>
      </c>
      <c r="Q45" s="116">
        <f>IFERROR(VLOOKUP(A45,'Date Calcs'!A:C,3,0),"")</f>
        <v>45821</v>
      </c>
      <c r="R45" s="116">
        <f t="shared" si="4"/>
        <v>45819</v>
      </c>
      <c r="S45" s="117"/>
      <c r="T45" s="116" t="e">
        <f t="shared" si="5"/>
        <v>#VALUE!</v>
      </c>
      <c r="U45" s="116" t="e">
        <f t="shared" si="6"/>
        <v>#VALUE!</v>
      </c>
      <c r="V45" s="116" t="str">
        <f>IFERROR(IF(VLOOKUP(A45,'Actual Dates'!A:AE,21,0)&gt;"",VLOOKUP(A45,'Actual Dates'!A:AE,21,0),W45-$V$2),"")</f>
        <v/>
      </c>
      <c r="W45" s="116" t="str">
        <f t="shared" si="7"/>
        <v/>
      </c>
      <c r="X45" s="116" t="str">
        <f t="shared" si="8"/>
        <v/>
      </c>
      <c r="Y45" s="116" t="str">
        <f t="shared" si="9"/>
        <v/>
      </c>
      <c r="Z45" s="116" t="str">
        <f t="shared" si="10"/>
        <v/>
      </c>
      <c r="AA45" s="116" t="str">
        <f t="shared" si="11"/>
        <v/>
      </c>
      <c r="AB45" s="116" t="str">
        <f t="shared" si="12"/>
        <v/>
      </c>
      <c r="AC45" s="116" t="str">
        <f t="shared" si="13"/>
        <v/>
      </c>
      <c r="AD45" s="116" t="str">
        <f t="shared" si="14"/>
        <v/>
      </c>
      <c r="AE45" s="116" t="str">
        <f t="shared" si="15"/>
        <v/>
      </c>
      <c r="AF45" s="116" t="str">
        <f t="shared" si="16"/>
        <v>059-25</v>
      </c>
    </row>
    <row r="46" spans="1:32" x14ac:dyDescent="0.25">
      <c r="A46" s="113" t="str">
        <f>'Date Calcs'!A46</f>
        <v>25-060</v>
      </c>
      <c r="B46" s="113" t="str">
        <f>'Date Calcs'!B46</f>
        <v>Reco</v>
      </c>
      <c r="C46" s="114" t="str">
        <f>_xlfn.IFNA(_xlfn.IFNA(VLOOKUP(AF46,'[1]Schedule Not Certified'!$C:$F,3,0),VLOOKUP(AF46,[1]CERTIFIED!$C:$E,3,0)),"")</f>
        <v/>
      </c>
      <c r="D46" s="115">
        <v>0</v>
      </c>
      <c r="E46" s="115">
        <v>0</v>
      </c>
      <c r="F46" s="115">
        <v>0</v>
      </c>
      <c r="G46" s="115">
        <v>0</v>
      </c>
      <c r="H46" s="115">
        <v>0</v>
      </c>
      <c r="I46" s="114">
        <f t="shared" si="0"/>
        <v>45747</v>
      </c>
      <c r="J46" s="116">
        <f t="shared" si="20"/>
        <v>45768</v>
      </c>
      <c r="K46" s="116">
        <f t="shared" si="20"/>
        <v>45782</v>
      </c>
      <c r="L46" s="116">
        <f t="shared" si="20"/>
        <v>45789</v>
      </c>
      <c r="M46" s="116">
        <f t="shared" si="20"/>
        <v>45796</v>
      </c>
      <c r="N46" s="116">
        <f t="shared" si="20"/>
        <v>45803</v>
      </c>
      <c r="O46" s="116">
        <f t="shared" si="2"/>
        <v>45810</v>
      </c>
      <c r="P46" s="116">
        <f t="shared" si="3"/>
        <v>45817</v>
      </c>
      <c r="Q46" s="116">
        <f>IFERROR(VLOOKUP(A46,'Date Calcs'!A:C,3,0),"")</f>
        <v>45821</v>
      </c>
      <c r="R46" s="116">
        <f t="shared" si="4"/>
        <v>45819</v>
      </c>
      <c r="S46" s="117"/>
      <c r="T46" s="116" t="e">
        <f t="shared" si="5"/>
        <v>#VALUE!</v>
      </c>
      <c r="U46" s="116" t="e">
        <f t="shared" si="6"/>
        <v>#VALUE!</v>
      </c>
      <c r="V46" s="116" t="str">
        <f>IFERROR(IF(VLOOKUP(A46,'Actual Dates'!A:AE,21,0)&gt;"",VLOOKUP(A46,'Actual Dates'!A:AE,21,0),W46-$V$2),"")</f>
        <v/>
      </c>
      <c r="W46" s="116" t="str">
        <f t="shared" si="7"/>
        <v/>
      </c>
      <c r="X46" s="116" t="str">
        <f t="shared" si="8"/>
        <v/>
      </c>
      <c r="Y46" s="116" t="str">
        <f t="shared" si="9"/>
        <v/>
      </c>
      <c r="Z46" s="116" t="str">
        <f t="shared" si="10"/>
        <v/>
      </c>
      <c r="AA46" s="116" t="str">
        <f t="shared" si="11"/>
        <v/>
      </c>
      <c r="AB46" s="116" t="str">
        <f t="shared" si="12"/>
        <v/>
      </c>
      <c r="AC46" s="116" t="str">
        <f t="shared" si="13"/>
        <v/>
      </c>
      <c r="AD46" s="116" t="str">
        <f t="shared" si="14"/>
        <v/>
      </c>
      <c r="AE46" s="116" t="str">
        <f t="shared" si="15"/>
        <v/>
      </c>
      <c r="AF46" s="116" t="str">
        <f t="shared" si="16"/>
        <v>060-25</v>
      </c>
    </row>
    <row r="47" spans="1:32" x14ac:dyDescent="0.25">
      <c r="A47" s="113" t="str">
        <f>'Date Calcs'!A47</f>
        <v>25-061</v>
      </c>
      <c r="B47" s="113" t="str">
        <f>'Date Calcs'!B47</f>
        <v>Reco</v>
      </c>
      <c r="C47" s="114" t="str">
        <f>_xlfn.IFNA(_xlfn.IFNA(VLOOKUP(AF47,'[1]Schedule Not Certified'!$C:$F,3,0),VLOOKUP(AF47,[1]CERTIFIED!$C:$E,3,0)),"")</f>
        <v/>
      </c>
      <c r="D47" s="115">
        <v>0</v>
      </c>
      <c r="E47" s="115">
        <v>0</v>
      </c>
      <c r="F47" s="115">
        <v>0</v>
      </c>
      <c r="G47" s="115">
        <v>0</v>
      </c>
      <c r="H47" s="115">
        <v>0</v>
      </c>
      <c r="I47" s="114">
        <f t="shared" si="0"/>
        <v>45747</v>
      </c>
      <c r="J47" s="116">
        <f t="shared" si="20"/>
        <v>45768</v>
      </c>
      <c r="K47" s="116">
        <f t="shared" si="20"/>
        <v>45782</v>
      </c>
      <c r="L47" s="116">
        <f t="shared" si="20"/>
        <v>45789</v>
      </c>
      <c r="M47" s="116">
        <f t="shared" si="20"/>
        <v>45796</v>
      </c>
      <c r="N47" s="116">
        <f t="shared" si="20"/>
        <v>45803</v>
      </c>
      <c r="O47" s="116">
        <f t="shared" si="2"/>
        <v>45810</v>
      </c>
      <c r="P47" s="116">
        <f t="shared" si="3"/>
        <v>45817</v>
      </c>
      <c r="Q47" s="116">
        <f>IFERROR(VLOOKUP(A47,'Date Calcs'!A:C,3,0),"")</f>
        <v>45821</v>
      </c>
      <c r="R47" s="116">
        <f t="shared" si="4"/>
        <v>45819</v>
      </c>
      <c r="S47" s="117"/>
      <c r="T47" s="116" t="e">
        <f t="shared" si="5"/>
        <v>#VALUE!</v>
      </c>
      <c r="U47" s="116" t="e">
        <f t="shared" si="6"/>
        <v>#VALUE!</v>
      </c>
      <c r="V47" s="116" t="str">
        <f>IFERROR(IF(VLOOKUP(A47,'Actual Dates'!A:AE,21,0)&gt;"",VLOOKUP(A47,'Actual Dates'!A:AE,21,0),W47-$V$2),"")</f>
        <v/>
      </c>
      <c r="W47" s="116" t="str">
        <f t="shared" si="7"/>
        <v/>
      </c>
      <c r="X47" s="116" t="str">
        <f t="shared" si="8"/>
        <v/>
      </c>
      <c r="Y47" s="116" t="str">
        <f t="shared" si="9"/>
        <v/>
      </c>
      <c r="Z47" s="116" t="str">
        <f t="shared" si="10"/>
        <v/>
      </c>
      <c r="AA47" s="116" t="str">
        <f t="shared" si="11"/>
        <v/>
      </c>
      <c r="AB47" s="116" t="str">
        <f t="shared" si="12"/>
        <v/>
      </c>
      <c r="AC47" s="116" t="str">
        <f t="shared" si="13"/>
        <v/>
      </c>
      <c r="AD47" s="116" t="str">
        <f t="shared" si="14"/>
        <v/>
      </c>
      <c r="AE47" s="116" t="str">
        <f t="shared" si="15"/>
        <v/>
      </c>
      <c r="AF47" s="116" t="str">
        <f t="shared" si="16"/>
        <v>061-25</v>
      </c>
    </row>
    <row r="48" spans="1:32" x14ac:dyDescent="0.25">
      <c r="A48" s="113" t="str">
        <f>'Date Calcs'!A48</f>
        <v>25-062</v>
      </c>
      <c r="B48" s="113" t="str">
        <f>'Date Calcs'!B48</f>
        <v>Reco</v>
      </c>
      <c r="C48" s="114" t="str">
        <f>_xlfn.IFNA(_xlfn.IFNA(VLOOKUP(AF48,'[1]Schedule Not Certified'!$C:$F,3,0),VLOOKUP(AF48,[1]CERTIFIED!$C:$E,3,0)),"")</f>
        <v/>
      </c>
      <c r="D48" s="115">
        <v>0</v>
      </c>
      <c r="E48" s="115">
        <v>0</v>
      </c>
      <c r="F48" s="115">
        <v>0</v>
      </c>
      <c r="G48" s="115">
        <v>0</v>
      </c>
      <c r="H48" s="115">
        <v>0</v>
      </c>
      <c r="I48" s="114">
        <f t="shared" si="0"/>
        <v>45747</v>
      </c>
      <c r="J48" s="116">
        <f t="shared" si="20"/>
        <v>45768</v>
      </c>
      <c r="K48" s="116">
        <f t="shared" si="20"/>
        <v>45782</v>
      </c>
      <c r="L48" s="116">
        <f t="shared" si="20"/>
        <v>45789</v>
      </c>
      <c r="M48" s="116">
        <f t="shared" si="20"/>
        <v>45796</v>
      </c>
      <c r="N48" s="116">
        <f t="shared" si="20"/>
        <v>45803</v>
      </c>
      <c r="O48" s="116">
        <f t="shared" si="2"/>
        <v>45810</v>
      </c>
      <c r="P48" s="116">
        <f t="shared" si="3"/>
        <v>45817</v>
      </c>
      <c r="Q48" s="116">
        <f>IFERROR(VLOOKUP(A48,'Date Calcs'!A:C,3,0),"")</f>
        <v>45821</v>
      </c>
      <c r="R48" s="116">
        <f t="shared" si="4"/>
        <v>45819</v>
      </c>
      <c r="S48" s="117"/>
      <c r="T48" s="116" t="e">
        <f t="shared" si="5"/>
        <v>#VALUE!</v>
      </c>
      <c r="U48" s="116" t="e">
        <f t="shared" si="6"/>
        <v>#VALUE!</v>
      </c>
      <c r="V48" s="116" t="str">
        <f>IFERROR(IF(VLOOKUP(A48,'Actual Dates'!A:AE,21,0)&gt;"",VLOOKUP(A48,'Actual Dates'!A:AE,21,0),W48-$V$2),"")</f>
        <v/>
      </c>
      <c r="W48" s="116" t="str">
        <f t="shared" si="7"/>
        <v/>
      </c>
      <c r="X48" s="116" t="str">
        <f t="shared" si="8"/>
        <v/>
      </c>
      <c r="Y48" s="116" t="str">
        <f t="shared" si="9"/>
        <v/>
      </c>
      <c r="Z48" s="116" t="str">
        <f t="shared" si="10"/>
        <v/>
      </c>
      <c r="AA48" s="116" t="str">
        <f t="shared" si="11"/>
        <v/>
      </c>
      <c r="AB48" s="116" t="str">
        <f t="shared" si="12"/>
        <v/>
      </c>
      <c r="AC48" s="116" t="str">
        <f t="shared" si="13"/>
        <v/>
      </c>
      <c r="AD48" s="116" t="str">
        <f t="shared" si="14"/>
        <v/>
      </c>
      <c r="AE48" s="116" t="str">
        <f t="shared" si="15"/>
        <v/>
      </c>
      <c r="AF48" s="116" t="str">
        <f t="shared" si="16"/>
        <v>062-25</v>
      </c>
    </row>
    <row r="49" spans="1:32" x14ac:dyDescent="0.25">
      <c r="A49" s="113" t="str">
        <f>'Date Calcs'!A49</f>
        <v>25-063</v>
      </c>
      <c r="B49" s="113" t="str">
        <f>'Date Calcs'!B49</f>
        <v>Reco</v>
      </c>
      <c r="C49" s="114" t="str">
        <f>_xlfn.IFNA(_xlfn.IFNA(VLOOKUP(AF49,'[1]Schedule Not Certified'!$C:$F,3,0),VLOOKUP(AF49,[1]CERTIFIED!$C:$E,3,0)),"")</f>
        <v/>
      </c>
      <c r="D49" s="115">
        <v>0</v>
      </c>
      <c r="E49" s="115">
        <v>0</v>
      </c>
      <c r="F49" s="115">
        <v>0</v>
      </c>
      <c r="G49" s="115">
        <v>0</v>
      </c>
      <c r="H49" s="115">
        <v>0</v>
      </c>
      <c r="I49" s="114">
        <f t="shared" si="0"/>
        <v>45747</v>
      </c>
      <c r="J49" s="116">
        <f t="shared" si="20"/>
        <v>45768</v>
      </c>
      <c r="K49" s="116">
        <f t="shared" si="20"/>
        <v>45782</v>
      </c>
      <c r="L49" s="116">
        <f t="shared" si="20"/>
        <v>45789</v>
      </c>
      <c r="M49" s="116">
        <f t="shared" si="20"/>
        <v>45796</v>
      </c>
      <c r="N49" s="116">
        <f t="shared" si="20"/>
        <v>45803</v>
      </c>
      <c r="O49" s="116">
        <f t="shared" si="2"/>
        <v>45810</v>
      </c>
      <c r="P49" s="116">
        <f t="shared" si="3"/>
        <v>45817</v>
      </c>
      <c r="Q49" s="116">
        <f>IFERROR(VLOOKUP(A49,'Date Calcs'!A:C,3,0),"")</f>
        <v>45821</v>
      </c>
      <c r="R49" s="116">
        <f t="shared" si="4"/>
        <v>45819</v>
      </c>
      <c r="S49" s="117"/>
      <c r="T49" s="116" t="e">
        <f t="shared" si="5"/>
        <v>#VALUE!</v>
      </c>
      <c r="U49" s="116" t="e">
        <f t="shared" si="6"/>
        <v>#VALUE!</v>
      </c>
      <c r="V49" s="116" t="str">
        <f>IFERROR(IF(VLOOKUP(A49,'Actual Dates'!A:AE,21,0)&gt;"",VLOOKUP(A49,'Actual Dates'!A:AE,21,0),W49-$V$2),"")</f>
        <v/>
      </c>
      <c r="W49" s="116" t="str">
        <f t="shared" si="7"/>
        <v/>
      </c>
      <c r="X49" s="116" t="str">
        <f t="shared" si="8"/>
        <v/>
      </c>
      <c r="Y49" s="116" t="str">
        <f t="shared" si="9"/>
        <v/>
      </c>
      <c r="Z49" s="116" t="str">
        <f t="shared" si="10"/>
        <v/>
      </c>
      <c r="AA49" s="116" t="str">
        <f t="shared" si="11"/>
        <v/>
      </c>
      <c r="AB49" s="116" t="str">
        <f t="shared" si="12"/>
        <v/>
      </c>
      <c r="AC49" s="116" t="str">
        <f t="shared" si="13"/>
        <v/>
      </c>
      <c r="AD49" s="116" t="str">
        <f t="shared" si="14"/>
        <v/>
      </c>
      <c r="AE49" s="116" t="str">
        <f t="shared" si="15"/>
        <v/>
      </c>
      <c r="AF49" s="116" t="str">
        <f t="shared" si="16"/>
        <v>063-25</v>
      </c>
    </row>
    <row r="50" spans="1:32" x14ac:dyDescent="0.25">
      <c r="A50" s="113" t="str">
        <f>'Date Calcs'!A50</f>
        <v>25-064</v>
      </c>
      <c r="B50" s="113" t="str">
        <f>'Date Calcs'!B50</f>
        <v>Reco</v>
      </c>
      <c r="C50" s="114" t="str">
        <f>_xlfn.IFNA(_xlfn.IFNA(VLOOKUP(AF50,'[1]Schedule Not Certified'!$C:$F,3,0),VLOOKUP(AF50,[1]CERTIFIED!$C:$E,3,0)),"")</f>
        <v/>
      </c>
      <c r="D50" s="115">
        <v>4</v>
      </c>
      <c r="E50" s="115">
        <v>0.25</v>
      </c>
      <c r="F50" s="115">
        <v>1</v>
      </c>
      <c r="G50" s="115">
        <v>0</v>
      </c>
      <c r="H50" s="115">
        <v>0.5</v>
      </c>
      <c r="I50" s="114">
        <f t="shared" si="0"/>
        <v>45747</v>
      </c>
      <c r="J50" s="116">
        <f t="shared" si="20"/>
        <v>45768</v>
      </c>
      <c r="K50" s="116">
        <f t="shared" si="20"/>
        <v>45782</v>
      </c>
      <c r="L50" s="116">
        <f t="shared" si="20"/>
        <v>45789</v>
      </c>
      <c r="M50" s="116">
        <f t="shared" si="20"/>
        <v>45796</v>
      </c>
      <c r="N50" s="116">
        <f t="shared" si="20"/>
        <v>45803</v>
      </c>
      <c r="O50" s="116">
        <f t="shared" si="2"/>
        <v>45810</v>
      </c>
      <c r="P50" s="116">
        <f t="shared" si="3"/>
        <v>45817</v>
      </c>
      <c r="Q50" s="116">
        <f>IFERROR(VLOOKUP(A50,'Date Calcs'!A:C,3,0),"")</f>
        <v>45821</v>
      </c>
      <c r="R50" s="116">
        <f t="shared" si="4"/>
        <v>45819</v>
      </c>
      <c r="S50" s="117"/>
      <c r="T50" s="116" t="e">
        <f t="shared" si="5"/>
        <v>#VALUE!</v>
      </c>
      <c r="U50" s="116" t="e">
        <f t="shared" si="6"/>
        <v>#VALUE!</v>
      </c>
      <c r="V50" s="116" t="str">
        <f>IFERROR(IF(VLOOKUP(A50,'Actual Dates'!A:AE,21,0)&gt;"",VLOOKUP(A50,'Actual Dates'!A:AE,21,0),W50-$V$2),"")</f>
        <v/>
      </c>
      <c r="W50" s="116" t="str">
        <f t="shared" si="7"/>
        <v/>
      </c>
      <c r="X50" s="116" t="str">
        <f t="shared" si="8"/>
        <v/>
      </c>
      <c r="Y50" s="116" t="str">
        <f t="shared" si="9"/>
        <v/>
      </c>
      <c r="Z50" s="116" t="str">
        <f t="shared" si="10"/>
        <v/>
      </c>
      <c r="AA50" s="116" t="str">
        <f t="shared" si="11"/>
        <v/>
      </c>
      <c r="AB50" s="116" t="str">
        <f t="shared" si="12"/>
        <v/>
      </c>
      <c r="AC50" s="116" t="str">
        <f t="shared" si="13"/>
        <v/>
      </c>
      <c r="AD50" s="116" t="str">
        <f t="shared" si="14"/>
        <v/>
      </c>
      <c r="AE50" s="116" t="str">
        <f t="shared" si="15"/>
        <v/>
      </c>
      <c r="AF50" s="116" t="str">
        <f t="shared" si="16"/>
        <v>064-25</v>
      </c>
    </row>
    <row r="51" spans="1:32" x14ac:dyDescent="0.25">
      <c r="A51" s="113" t="str">
        <f>'Date Calcs'!A51</f>
        <v>25-065</v>
      </c>
      <c r="B51" s="113" t="str">
        <f>'Date Calcs'!B51</f>
        <v>Reco</v>
      </c>
      <c r="C51" s="114" t="str">
        <f>_xlfn.IFNA(_xlfn.IFNA(VLOOKUP(AF51,'[1]Schedule Not Certified'!$C:$F,3,0),VLOOKUP(AF51,[1]CERTIFIED!$C:$E,3,0)),"")</f>
        <v/>
      </c>
      <c r="D51" s="115">
        <v>4</v>
      </c>
      <c r="E51" s="115">
        <v>0.25</v>
      </c>
      <c r="F51" s="115">
        <v>1</v>
      </c>
      <c r="G51" s="115">
        <v>0</v>
      </c>
      <c r="H51" s="115">
        <v>0.5</v>
      </c>
      <c r="I51" s="114">
        <f t="shared" si="0"/>
        <v>45747</v>
      </c>
      <c r="J51" s="116">
        <f t="shared" si="20"/>
        <v>45768</v>
      </c>
      <c r="K51" s="116">
        <f t="shared" si="20"/>
        <v>45782</v>
      </c>
      <c r="L51" s="116">
        <f t="shared" si="20"/>
        <v>45789</v>
      </c>
      <c r="M51" s="116">
        <f t="shared" si="20"/>
        <v>45796</v>
      </c>
      <c r="N51" s="116">
        <f t="shared" si="20"/>
        <v>45803</v>
      </c>
      <c r="O51" s="116">
        <f t="shared" si="2"/>
        <v>45810</v>
      </c>
      <c r="P51" s="116">
        <f t="shared" si="3"/>
        <v>45817</v>
      </c>
      <c r="Q51" s="116">
        <f>IFERROR(VLOOKUP(A51,'Date Calcs'!A:C,3,0),"")</f>
        <v>45821</v>
      </c>
      <c r="R51" s="116">
        <f t="shared" si="4"/>
        <v>45819</v>
      </c>
      <c r="S51" s="117"/>
      <c r="T51" s="116" t="e">
        <f t="shared" si="5"/>
        <v>#VALUE!</v>
      </c>
      <c r="U51" s="116" t="e">
        <f t="shared" si="6"/>
        <v>#VALUE!</v>
      </c>
      <c r="V51" s="116" t="str">
        <f>IFERROR(IF(VLOOKUP(A51,'Actual Dates'!A:AE,21,0)&gt;"",VLOOKUP(A51,'Actual Dates'!A:AE,21,0),W51-$V$2),"")</f>
        <v/>
      </c>
      <c r="W51" s="116" t="str">
        <f t="shared" si="7"/>
        <v/>
      </c>
      <c r="X51" s="116" t="str">
        <f t="shared" si="8"/>
        <v/>
      </c>
      <c r="Y51" s="116" t="str">
        <f t="shared" si="9"/>
        <v/>
      </c>
      <c r="Z51" s="116" t="str">
        <f t="shared" si="10"/>
        <v/>
      </c>
      <c r="AA51" s="116" t="str">
        <f t="shared" si="11"/>
        <v/>
      </c>
      <c r="AB51" s="116" t="str">
        <f t="shared" si="12"/>
        <v/>
      </c>
      <c r="AC51" s="116" t="str">
        <f t="shared" si="13"/>
        <v/>
      </c>
      <c r="AD51" s="116" t="str">
        <f t="shared" si="14"/>
        <v/>
      </c>
      <c r="AE51" s="116" t="str">
        <f t="shared" si="15"/>
        <v/>
      </c>
      <c r="AF51" s="116" t="str">
        <f t="shared" si="16"/>
        <v>065-25</v>
      </c>
    </row>
    <row r="52" spans="1:32" x14ac:dyDescent="0.25">
      <c r="A52" s="113" t="str">
        <f>'Date Calcs'!A52</f>
        <v>25-066</v>
      </c>
      <c r="B52" s="113" t="str">
        <f>'Date Calcs'!B52</f>
        <v>Reco</v>
      </c>
      <c r="C52" s="114" t="str">
        <f>_xlfn.IFNA(_xlfn.IFNA(VLOOKUP(AF52,'[1]Schedule Not Certified'!$C:$F,3,0),VLOOKUP(AF52,[1]CERTIFIED!$C:$E,3,0)),"")</f>
        <v/>
      </c>
      <c r="D52" s="115">
        <v>4</v>
      </c>
      <c r="E52" s="115">
        <v>0.25</v>
      </c>
      <c r="F52" s="115">
        <v>1</v>
      </c>
      <c r="G52" s="115">
        <v>0</v>
      </c>
      <c r="H52" s="115">
        <v>0.5</v>
      </c>
      <c r="I52" s="114">
        <f t="shared" si="0"/>
        <v>45747</v>
      </c>
      <c r="J52" s="116">
        <f t="shared" si="20"/>
        <v>45768</v>
      </c>
      <c r="K52" s="116">
        <f t="shared" si="20"/>
        <v>45782</v>
      </c>
      <c r="L52" s="116">
        <f t="shared" si="20"/>
        <v>45789</v>
      </c>
      <c r="M52" s="116">
        <f t="shared" si="20"/>
        <v>45796</v>
      </c>
      <c r="N52" s="116">
        <f t="shared" si="20"/>
        <v>45803</v>
      </c>
      <c r="O52" s="116">
        <f t="shared" si="2"/>
        <v>45810</v>
      </c>
      <c r="P52" s="116">
        <f t="shared" si="3"/>
        <v>45817</v>
      </c>
      <c r="Q52" s="116">
        <f>IFERROR(VLOOKUP(A52,'Date Calcs'!A:C,3,0),"")</f>
        <v>45821</v>
      </c>
      <c r="R52" s="116">
        <f t="shared" si="4"/>
        <v>45819</v>
      </c>
      <c r="S52" s="117"/>
      <c r="T52" s="116" t="e">
        <f t="shared" si="5"/>
        <v>#VALUE!</v>
      </c>
      <c r="U52" s="116" t="e">
        <f t="shared" si="6"/>
        <v>#VALUE!</v>
      </c>
      <c r="V52" s="116" t="str">
        <f>IFERROR(IF(VLOOKUP(A52,'Actual Dates'!A:AE,21,0)&gt;"",VLOOKUP(A52,'Actual Dates'!A:AE,21,0),W52-$V$2),"")</f>
        <v/>
      </c>
      <c r="W52" s="116" t="str">
        <f t="shared" si="7"/>
        <v/>
      </c>
      <c r="X52" s="116" t="str">
        <f t="shared" si="8"/>
        <v/>
      </c>
      <c r="Y52" s="116" t="str">
        <f t="shared" si="9"/>
        <v/>
      </c>
      <c r="Z52" s="116" t="str">
        <f t="shared" si="10"/>
        <v/>
      </c>
      <c r="AA52" s="116" t="str">
        <f t="shared" si="11"/>
        <v/>
      </c>
      <c r="AB52" s="116" t="str">
        <f t="shared" si="12"/>
        <v/>
      </c>
      <c r="AC52" s="116" t="str">
        <f t="shared" si="13"/>
        <v/>
      </c>
      <c r="AD52" s="116" t="str">
        <f t="shared" si="14"/>
        <v/>
      </c>
      <c r="AE52" s="116" t="str">
        <f t="shared" si="15"/>
        <v/>
      </c>
      <c r="AF52" s="116" t="str">
        <f t="shared" si="16"/>
        <v>066-25</v>
      </c>
    </row>
    <row r="53" spans="1:32" x14ac:dyDescent="0.25">
      <c r="A53" s="113" t="str">
        <f>'Date Calcs'!A53</f>
        <v>25-067</v>
      </c>
      <c r="B53" s="113" t="str">
        <f>'Date Calcs'!B53</f>
        <v>Reco</v>
      </c>
      <c r="C53" s="114" t="str">
        <f>_xlfn.IFNA(_xlfn.IFNA(VLOOKUP(AF53,'[1]Schedule Not Certified'!$C:$F,3,0),VLOOKUP(AF53,[1]CERTIFIED!$C:$E,3,0)),"")</f>
        <v/>
      </c>
      <c r="D53" s="115">
        <v>4</v>
      </c>
      <c r="E53" s="115">
        <v>0.25</v>
      </c>
      <c r="F53" s="115">
        <v>1</v>
      </c>
      <c r="G53" s="115">
        <v>0</v>
      </c>
      <c r="H53" s="115">
        <v>0.5</v>
      </c>
      <c r="I53" s="114">
        <f t="shared" si="0"/>
        <v>45747</v>
      </c>
      <c r="J53" s="116">
        <f t="shared" si="20"/>
        <v>45768</v>
      </c>
      <c r="K53" s="116">
        <f t="shared" si="20"/>
        <v>45782</v>
      </c>
      <c r="L53" s="116">
        <f t="shared" si="20"/>
        <v>45789</v>
      </c>
      <c r="M53" s="116">
        <f t="shared" si="20"/>
        <v>45796</v>
      </c>
      <c r="N53" s="116">
        <f t="shared" si="20"/>
        <v>45803</v>
      </c>
      <c r="O53" s="116">
        <f t="shared" si="2"/>
        <v>45810</v>
      </c>
      <c r="P53" s="116">
        <f t="shared" si="3"/>
        <v>45817</v>
      </c>
      <c r="Q53" s="116">
        <f>IFERROR(VLOOKUP(A53,'Date Calcs'!A:C,3,0),"")</f>
        <v>45821</v>
      </c>
      <c r="R53" s="116">
        <f t="shared" si="4"/>
        <v>45819</v>
      </c>
      <c r="S53" s="117"/>
      <c r="T53" s="116" t="e">
        <f t="shared" si="5"/>
        <v>#VALUE!</v>
      </c>
      <c r="U53" s="116" t="e">
        <f t="shared" si="6"/>
        <v>#VALUE!</v>
      </c>
      <c r="V53" s="116" t="str">
        <f>IFERROR(IF(VLOOKUP(A53,'Actual Dates'!A:AE,21,0)&gt;"",VLOOKUP(A53,'Actual Dates'!A:AE,21,0),W53-$V$2),"")</f>
        <v/>
      </c>
      <c r="W53" s="116" t="str">
        <f t="shared" si="7"/>
        <v/>
      </c>
      <c r="X53" s="116" t="str">
        <f t="shared" si="8"/>
        <v/>
      </c>
      <c r="Y53" s="116" t="str">
        <f t="shared" si="9"/>
        <v/>
      </c>
      <c r="Z53" s="116" t="str">
        <f t="shared" si="10"/>
        <v/>
      </c>
      <c r="AA53" s="116" t="str">
        <f t="shared" si="11"/>
        <v/>
      </c>
      <c r="AB53" s="116" t="str">
        <f t="shared" si="12"/>
        <v/>
      </c>
      <c r="AC53" s="116" t="str">
        <f t="shared" si="13"/>
        <v/>
      </c>
      <c r="AD53" s="116" t="str">
        <f t="shared" si="14"/>
        <v/>
      </c>
      <c r="AE53" s="116" t="str">
        <f t="shared" si="15"/>
        <v/>
      </c>
      <c r="AF53" s="116" t="str">
        <f t="shared" si="16"/>
        <v>067-25</v>
      </c>
    </row>
    <row r="54" spans="1:32" x14ac:dyDescent="0.25">
      <c r="A54" s="113" t="str">
        <f>'Date Calcs'!A54</f>
        <v>25-068</v>
      </c>
      <c r="B54" s="113" t="str">
        <f>'Date Calcs'!B54</f>
        <v>Reco</v>
      </c>
      <c r="C54" s="114" t="str">
        <f>_xlfn.IFNA(_xlfn.IFNA(VLOOKUP(AF54,'[1]Schedule Not Certified'!$C:$F,3,0),VLOOKUP(AF54,[1]CERTIFIED!$C:$E,3,0)),"")</f>
        <v/>
      </c>
      <c r="D54" s="115">
        <v>5</v>
      </c>
      <c r="E54" s="115">
        <v>0.25</v>
      </c>
      <c r="F54" s="115">
        <v>1</v>
      </c>
      <c r="G54" s="115">
        <v>0</v>
      </c>
      <c r="H54" s="115">
        <v>0.5</v>
      </c>
      <c r="I54" s="114">
        <f t="shared" si="0"/>
        <v>45747</v>
      </c>
      <c r="J54" s="116">
        <f t="shared" si="20"/>
        <v>45768</v>
      </c>
      <c r="K54" s="116">
        <f t="shared" si="20"/>
        <v>45782</v>
      </c>
      <c r="L54" s="116">
        <f t="shared" si="20"/>
        <v>45789</v>
      </c>
      <c r="M54" s="116">
        <f t="shared" si="20"/>
        <v>45796</v>
      </c>
      <c r="N54" s="116">
        <f t="shared" si="20"/>
        <v>45803</v>
      </c>
      <c r="O54" s="116">
        <f t="shared" si="2"/>
        <v>45810</v>
      </c>
      <c r="P54" s="116">
        <f t="shared" si="3"/>
        <v>45817</v>
      </c>
      <c r="Q54" s="116">
        <f>IFERROR(VLOOKUP(A54,'Date Calcs'!A:C,3,0),"")</f>
        <v>45821</v>
      </c>
      <c r="R54" s="116">
        <f t="shared" si="4"/>
        <v>45819</v>
      </c>
      <c r="S54" s="117"/>
      <c r="T54" s="116" t="e">
        <f t="shared" si="5"/>
        <v>#VALUE!</v>
      </c>
      <c r="U54" s="116" t="e">
        <f t="shared" si="6"/>
        <v>#VALUE!</v>
      </c>
      <c r="V54" s="116" t="str">
        <f>IFERROR(IF(VLOOKUP(A54,'Actual Dates'!A:AE,21,0)&gt;"",VLOOKUP(A54,'Actual Dates'!A:AE,21,0),W54-$V$2),"")</f>
        <v/>
      </c>
      <c r="W54" s="116" t="str">
        <f t="shared" si="7"/>
        <v/>
      </c>
      <c r="X54" s="116" t="str">
        <f t="shared" si="8"/>
        <v/>
      </c>
      <c r="Y54" s="116" t="str">
        <f t="shared" si="9"/>
        <v/>
      </c>
      <c r="Z54" s="116" t="str">
        <f t="shared" si="10"/>
        <v/>
      </c>
      <c r="AA54" s="116" t="str">
        <f t="shared" si="11"/>
        <v/>
      </c>
      <c r="AB54" s="116" t="str">
        <f t="shared" si="12"/>
        <v/>
      </c>
      <c r="AC54" s="116" t="str">
        <f t="shared" si="13"/>
        <v/>
      </c>
      <c r="AD54" s="116" t="str">
        <f t="shared" si="14"/>
        <v/>
      </c>
      <c r="AE54" s="116" t="str">
        <f t="shared" si="15"/>
        <v/>
      </c>
      <c r="AF54" s="116" t="str">
        <f t="shared" si="16"/>
        <v>068-25</v>
      </c>
    </row>
    <row r="55" spans="1:32" x14ac:dyDescent="0.25">
      <c r="A55" s="113" t="str">
        <f>'Date Calcs'!A55</f>
        <v>25-069</v>
      </c>
      <c r="B55" s="113" t="str">
        <f>'Date Calcs'!B55</f>
        <v>Reco</v>
      </c>
      <c r="C55" s="114" t="str">
        <f>_xlfn.IFNA(_xlfn.IFNA(VLOOKUP(AF55,'[1]Schedule Not Certified'!$C:$F,3,0),VLOOKUP(AF55,[1]CERTIFIED!$C:$E,3,0)),"")</f>
        <v/>
      </c>
      <c r="D55" s="115">
        <v>5</v>
      </c>
      <c r="E55" s="115">
        <v>0.25</v>
      </c>
      <c r="F55" s="115">
        <v>1</v>
      </c>
      <c r="G55" s="115">
        <v>0</v>
      </c>
      <c r="H55" s="115">
        <v>0.5</v>
      </c>
      <c r="I55" s="114">
        <f t="shared" si="0"/>
        <v>45747</v>
      </c>
      <c r="J55" s="116">
        <f t="shared" ref="J55:N64" si="21">K55-J$2</f>
        <v>45768</v>
      </c>
      <c r="K55" s="116">
        <f t="shared" si="21"/>
        <v>45782</v>
      </c>
      <c r="L55" s="116">
        <f t="shared" si="21"/>
        <v>45789</v>
      </c>
      <c r="M55" s="116">
        <f t="shared" si="21"/>
        <v>45796</v>
      </c>
      <c r="N55" s="116">
        <f t="shared" si="21"/>
        <v>45803</v>
      </c>
      <c r="O55" s="116">
        <f t="shared" si="2"/>
        <v>45810</v>
      </c>
      <c r="P55" s="116">
        <f t="shared" si="3"/>
        <v>45817</v>
      </c>
      <c r="Q55" s="116">
        <f>IFERROR(VLOOKUP(A55,'Date Calcs'!A:C,3,0),"")</f>
        <v>45821</v>
      </c>
      <c r="R55" s="116">
        <f t="shared" si="4"/>
        <v>45819</v>
      </c>
      <c r="S55" s="117"/>
      <c r="T55" s="116" t="e">
        <f t="shared" si="5"/>
        <v>#VALUE!</v>
      </c>
      <c r="U55" s="116" t="e">
        <f t="shared" si="6"/>
        <v>#VALUE!</v>
      </c>
      <c r="V55" s="116" t="str">
        <f>IFERROR(IF(VLOOKUP(A55,'Actual Dates'!A:AE,21,0)&gt;"",VLOOKUP(A55,'Actual Dates'!A:AE,21,0),W55-$V$2),"")</f>
        <v/>
      </c>
      <c r="W55" s="116" t="str">
        <f t="shared" si="7"/>
        <v/>
      </c>
      <c r="X55" s="116" t="str">
        <f t="shared" si="8"/>
        <v/>
      </c>
      <c r="Y55" s="116" t="str">
        <f t="shared" si="9"/>
        <v/>
      </c>
      <c r="Z55" s="116" t="str">
        <f t="shared" si="10"/>
        <v/>
      </c>
      <c r="AA55" s="116" t="str">
        <f t="shared" si="11"/>
        <v/>
      </c>
      <c r="AB55" s="116" t="str">
        <f t="shared" si="12"/>
        <v/>
      </c>
      <c r="AC55" s="116" t="str">
        <f t="shared" si="13"/>
        <v/>
      </c>
      <c r="AD55" s="116" t="str">
        <f t="shared" si="14"/>
        <v/>
      </c>
      <c r="AE55" s="116" t="str">
        <f t="shared" si="15"/>
        <v/>
      </c>
      <c r="AF55" s="116" t="str">
        <f t="shared" si="16"/>
        <v>069-25</v>
      </c>
    </row>
    <row r="56" spans="1:32" x14ac:dyDescent="0.25">
      <c r="A56" s="113" t="str">
        <f>'Date Calcs'!A56</f>
        <v>25-070</v>
      </c>
      <c r="B56" s="113" t="str">
        <f>'Date Calcs'!B56</f>
        <v>Reco</v>
      </c>
      <c r="C56" s="114" t="str">
        <f>_xlfn.IFNA(_xlfn.IFNA(VLOOKUP(AF56,'[1]Schedule Not Certified'!$C:$F,3,0),VLOOKUP(AF56,[1]CERTIFIED!$C:$E,3,0)),"")</f>
        <v/>
      </c>
      <c r="D56" s="115">
        <v>6</v>
      </c>
      <c r="E56" s="115">
        <v>0.25</v>
      </c>
      <c r="F56" s="115">
        <v>1</v>
      </c>
      <c r="G56" s="115">
        <v>0</v>
      </c>
      <c r="H56" s="115">
        <v>0.5</v>
      </c>
      <c r="I56" s="114">
        <f t="shared" si="0"/>
        <v>45747</v>
      </c>
      <c r="J56" s="116">
        <f t="shared" si="21"/>
        <v>45768</v>
      </c>
      <c r="K56" s="116">
        <f t="shared" si="21"/>
        <v>45782</v>
      </c>
      <c r="L56" s="116">
        <f t="shared" si="21"/>
        <v>45789</v>
      </c>
      <c r="M56" s="116">
        <f t="shared" si="21"/>
        <v>45796</v>
      </c>
      <c r="N56" s="116">
        <f t="shared" si="21"/>
        <v>45803</v>
      </c>
      <c r="O56" s="116">
        <f t="shared" si="2"/>
        <v>45810</v>
      </c>
      <c r="P56" s="116">
        <f t="shared" si="3"/>
        <v>45817</v>
      </c>
      <c r="Q56" s="116">
        <f>IFERROR(VLOOKUP(A56,'Date Calcs'!A:C,3,0),"")</f>
        <v>45821</v>
      </c>
      <c r="R56" s="116">
        <f t="shared" si="4"/>
        <v>45819</v>
      </c>
      <c r="S56" s="117"/>
      <c r="T56" s="116" t="e">
        <f t="shared" si="5"/>
        <v>#VALUE!</v>
      </c>
      <c r="U56" s="116" t="e">
        <f t="shared" si="6"/>
        <v>#VALUE!</v>
      </c>
      <c r="V56" s="116" t="str">
        <f>IFERROR(IF(VLOOKUP(A56,'Actual Dates'!A:AE,21,0)&gt;"",VLOOKUP(A56,'Actual Dates'!A:AE,21,0),W56-$V$2),"")</f>
        <v/>
      </c>
      <c r="W56" s="116" t="str">
        <f t="shared" si="7"/>
        <v/>
      </c>
      <c r="X56" s="116" t="str">
        <f t="shared" si="8"/>
        <v/>
      </c>
      <c r="Y56" s="116" t="str">
        <f t="shared" si="9"/>
        <v/>
      </c>
      <c r="Z56" s="116" t="str">
        <f t="shared" si="10"/>
        <v/>
      </c>
      <c r="AA56" s="116" t="str">
        <f t="shared" si="11"/>
        <v/>
      </c>
      <c r="AB56" s="116" t="str">
        <f t="shared" si="12"/>
        <v/>
      </c>
      <c r="AC56" s="116" t="str">
        <f t="shared" si="13"/>
        <v/>
      </c>
      <c r="AD56" s="116" t="str">
        <f t="shared" si="14"/>
        <v/>
      </c>
      <c r="AE56" s="116" t="str">
        <f t="shared" si="15"/>
        <v/>
      </c>
      <c r="AF56" s="116" t="str">
        <f t="shared" si="16"/>
        <v>070-25</v>
      </c>
    </row>
    <row r="57" spans="1:32" x14ac:dyDescent="0.25">
      <c r="A57" s="113" t="str">
        <f>'Date Calcs'!A57</f>
        <v>25-071</v>
      </c>
      <c r="B57" s="113" t="str">
        <f>'Date Calcs'!B57</f>
        <v>Reco</v>
      </c>
      <c r="C57" s="114" t="str">
        <f>_xlfn.IFNA(_xlfn.IFNA(VLOOKUP(AF57,'[1]Schedule Not Certified'!$C:$F,3,0),VLOOKUP(AF57,[1]CERTIFIED!$C:$E,3,0)),"")</f>
        <v/>
      </c>
      <c r="D57" s="115">
        <v>6</v>
      </c>
      <c r="E57" s="115">
        <v>0.25</v>
      </c>
      <c r="F57" s="115">
        <v>1</v>
      </c>
      <c r="G57" s="115">
        <v>0</v>
      </c>
      <c r="H57" s="115">
        <v>0.5</v>
      </c>
      <c r="I57" s="114">
        <f t="shared" si="0"/>
        <v>45747</v>
      </c>
      <c r="J57" s="116">
        <f t="shared" si="21"/>
        <v>45768</v>
      </c>
      <c r="K57" s="116">
        <f t="shared" si="21"/>
        <v>45782</v>
      </c>
      <c r="L57" s="116">
        <f t="shared" si="21"/>
        <v>45789</v>
      </c>
      <c r="M57" s="116">
        <f t="shared" si="21"/>
        <v>45796</v>
      </c>
      <c r="N57" s="116">
        <f t="shared" si="21"/>
        <v>45803</v>
      </c>
      <c r="O57" s="116">
        <f t="shared" si="2"/>
        <v>45810</v>
      </c>
      <c r="P57" s="116">
        <f t="shared" si="3"/>
        <v>45817</v>
      </c>
      <c r="Q57" s="116">
        <f>IFERROR(VLOOKUP(A57,'Date Calcs'!A:C,3,0),"")</f>
        <v>45821</v>
      </c>
      <c r="R57" s="116">
        <f t="shared" si="4"/>
        <v>45819</v>
      </c>
      <c r="S57" s="117"/>
      <c r="T57" s="116" t="e">
        <f t="shared" si="5"/>
        <v>#VALUE!</v>
      </c>
      <c r="U57" s="116" t="e">
        <f t="shared" si="6"/>
        <v>#VALUE!</v>
      </c>
      <c r="V57" s="116" t="str">
        <f>IFERROR(IF(VLOOKUP(A57,'Actual Dates'!A:AE,21,0)&gt;"",VLOOKUP(A57,'Actual Dates'!A:AE,21,0),W57-$V$2),"")</f>
        <v/>
      </c>
      <c r="W57" s="116" t="str">
        <f t="shared" si="7"/>
        <v/>
      </c>
      <c r="X57" s="116" t="str">
        <f t="shared" si="8"/>
        <v/>
      </c>
      <c r="Y57" s="116" t="str">
        <f t="shared" si="9"/>
        <v/>
      </c>
      <c r="Z57" s="116" t="str">
        <f t="shared" si="10"/>
        <v/>
      </c>
      <c r="AA57" s="116" t="str">
        <f t="shared" si="11"/>
        <v/>
      </c>
      <c r="AB57" s="116" t="str">
        <f t="shared" si="12"/>
        <v/>
      </c>
      <c r="AC57" s="116" t="str">
        <f t="shared" si="13"/>
        <v/>
      </c>
      <c r="AD57" s="116" t="str">
        <f t="shared" si="14"/>
        <v/>
      </c>
      <c r="AE57" s="116" t="str">
        <f t="shared" si="15"/>
        <v/>
      </c>
      <c r="AF57" s="116" t="str">
        <f t="shared" si="16"/>
        <v>071-25</v>
      </c>
    </row>
    <row r="58" spans="1:32" x14ac:dyDescent="0.25">
      <c r="A58" s="113" t="str">
        <f>'Date Calcs'!A58</f>
        <v>25-072</v>
      </c>
      <c r="B58" s="113" t="str">
        <f>'Date Calcs'!B58</f>
        <v>Burke Industrial</v>
      </c>
      <c r="C58" s="114" t="str">
        <f>_xlfn.IFNA(_xlfn.IFNA(VLOOKUP(AF58,'[1]Schedule Not Certified'!$C:$F,3,0),VLOOKUP(AF58,[1]CERTIFIED!$C:$E,3,0)),"")</f>
        <v/>
      </c>
      <c r="D58" s="115">
        <v>0</v>
      </c>
      <c r="E58" s="115">
        <v>0</v>
      </c>
      <c r="F58" s="115">
        <v>0</v>
      </c>
      <c r="G58" s="115">
        <v>0</v>
      </c>
      <c r="H58" s="115">
        <v>0</v>
      </c>
      <c r="I58" s="114">
        <f t="shared" si="0"/>
        <v>45750</v>
      </c>
      <c r="J58" s="116">
        <f t="shared" si="21"/>
        <v>45771</v>
      </c>
      <c r="K58" s="116">
        <f t="shared" si="21"/>
        <v>45785</v>
      </c>
      <c r="L58" s="116">
        <f t="shared" si="21"/>
        <v>45792</v>
      </c>
      <c r="M58" s="116">
        <f t="shared" si="21"/>
        <v>45799</v>
      </c>
      <c r="N58" s="116">
        <f t="shared" si="21"/>
        <v>45806</v>
      </c>
      <c r="O58" s="116">
        <f t="shared" si="2"/>
        <v>45813</v>
      </c>
      <c r="P58" s="116">
        <f t="shared" si="3"/>
        <v>45820</v>
      </c>
      <c r="Q58" s="116">
        <f>IFERROR(VLOOKUP(A58,'Date Calcs'!A:C,3,0),"")</f>
        <v>45824</v>
      </c>
      <c r="R58" s="116">
        <f t="shared" si="4"/>
        <v>45822</v>
      </c>
      <c r="S58" s="117"/>
      <c r="T58" s="116" t="e">
        <f t="shared" si="5"/>
        <v>#VALUE!</v>
      </c>
      <c r="U58" s="116" t="e">
        <f t="shared" si="6"/>
        <v>#VALUE!</v>
      </c>
      <c r="V58" s="116" t="str">
        <f>IFERROR(IF(VLOOKUP(A58,'Actual Dates'!A:AE,21,0)&gt;"",VLOOKUP(A58,'Actual Dates'!A:AE,21,0),W58-$V$2),"")</f>
        <v/>
      </c>
      <c r="W58" s="116" t="str">
        <f t="shared" si="7"/>
        <v/>
      </c>
      <c r="X58" s="116" t="str">
        <f t="shared" si="8"/>
        <v/>
      </c>
      <c r="Y58" s="116" t="str">
        <f t="shared" si="9"/>
        <v/>
      </c>
      <c r="Z58" s="116" t="str">
        <f t="shared" si="10"/>
        <v/>
      </c>
      <c r="AA58" s="116" t="str">
        <f t="shared" si="11"/>
        <v/>
      </c>
      <c r="AB58" s="116" t="str">
        <f t="shared" si="12"/>
        <v/>
      </c>
      <c r="AC58" s="116" t="str">
        <f t="shared" si="13"/>
        <v/>
      </c>
      <c r="AD58" s="116" t="str">
        <f t="shared" si="14"/>
        <v/>
      </c>
      <c r="AE58" s="116" t="str">
        <f t="shared" si="15"/>
        <v/>
      </c>
      <c r="AF58" s="116" t="str">
        <f t="shared" si="16"/>
        <v>072-25</v>
      </c>
    </row>
    <row r="59" spans="1:32" x14ac:dyDescent="0.25">
      <c r="A59" s="113" t="str">
        <f>'Date Calcs'!A59</f>
        <v>25-073</v>
      </c>
      <c r="B59" s="113" t="str">
        <f>'Date Calcs'!B59</f>
        <v>Burke Industrial</v>
      </c>
      <c r="C59" s="114" t="str">
        <f>_xlfn.IFNA(_xlfn.IFNA(VLOOKUP(AF59,'[1]Schedule Not Certified'!$C:$F,3,0),VLOOKUP(AF59,[1]CERTIFIED!$C:$E,3,0)),"")</f>
        <v/>
      </c>
      <c r="D59" s="115">
        <v>0</v>
      </c>
      <c r="E59" s="115">
        <v>0</v>
      </c>
      <c r="F59" s="115">
        <v>0</v>
      </c>
      <c r="G59" s="115">
        <v>0</v>
      </c>
      <c r="H59" s="115">
        <v>0</v>
      </c>
      <c r="I59" s="114">
        <f t="shared" si="0"/>
        <v>45750</v>
      </c>
      <c r="J59" s="116">
        <f t="shared" si="21"/>
        <v>45771</v>
      </c>
      <c r="K59" s="116">
        <f t="shared" si="21"/>
        <v>45785</v>
      </c>
      <c r="L59" s="116">
        <f t="shared" si="21"/>
        <v>45792</v>
      </c>
      <c r="M59" s="116">
        <f t="shared" si="21"/>
        <v>45799</v>
      </c>
      <c r="N59" s="116">
        <f t="shared" si="21"/>
        <v>45806</v>
      </c>
      <c r="O59" s="116">
        <f t="shared" si="2"/>
        <v>45813</v>
      </c>
      <c r="P59" s="116">
        <f t="shared" si="3"/>
        <v>45820</v>
      </c>
      <c r="Q59" s="116">
        <f>IFERROR(VLOOKUP(A59,'Date Calcs'!A:C,3,0),"")</f>
        <v>45824</v>
      </c>
      <c r="R59" s="116">
        <f t="shared" si="4"/>
        <v>45822</v>
      </c>
      <c r="S59" s="117"/>
      <c r="T59" s="116" t="e">
        <f t="shared" si="5"/>
        <v>#VALUE!</v>
      </c>
      <c r="U59" s="116" t="e">
        <f t="shared" si="6"/>
        <v>#VALUE!</v>
      </c>
      <c r="V59" s="116" t="str">
        <f>IFERROR(IF(VLOOKUP(A59,'Actual Dates'!A:AE,21,0)&gt;"",VLOOKUP(A59,'Actual Dates'!A:AE,21,0),W59-$V$2),"")</f>
        <v/>
      </c>
      <c r="W59" s="116" t="str">
        <f t="shared" si="7"/>
        <v/>
      </c>
      <c r="X59" s="116" t="str">
        <f t="shared" si="8"/>
        <v/>
      </c>
      <c r="Y59" s="116" t="str">
        <f t="shared" si="9"/>
        <v/>
      </c>
      <c r="Z59" s="116" t="str">
        <f t="shared" si="10"/>
        <v/>
      </c>
      <c r="AA59" s="116" t="str">
        <f t="shared" si="11"/>
        <v/>
      </c>
      <c r="AB59" s="116" t="str">
        <f t="shared" si="12"/>
        <v/>
      </c>
      <c r="AC59" s="116" t="str">
        <f t="shared" si="13"/>
        <v/>
      </c>
      <c r="AD59" s="116" t="str">
        <f t="shared" si="14"/>
        <v/>
      </c>
      <c r="AE59" s="116" t="str">
        <f t="shared" si="15"/>
        <v/>
      </c>
      <c r="AF59" s="116" t="str">
        <f t="shared" si="16"/>
        <v>073-25</v>
      </c>
    </row>
    <row r="60" spans="1:32" x14ac:dyDescent="0.25">
      <c r="A60" s="113" t="str">
        <f>'Date Calcs'!A60</f>
        <v>25-074</v>
      </c>
      <c r="B60" s="113" t="str">
        <f>'Date Calcs'!B60</f>
        <v>Kemira</v>
      </c>
      <c r="C60" s="114" t="str">
        <f>_xlfn.IFNA(_xlfn.IFNA(VLOOKUP(AF60,'[1]Schedule Not Certified'!$C:$F,3,0),VLOOKUP(AF60,[1]CERTIFIED!$C:$E,3,0)),"")</f>
        <v/>
      </c>
      <c r="D60" s="115">
        <v>0</v>
      </c>
      <c r="E60" s="115">
        <v>0</v>
      </c>
      <c r="F60" s="115">
        <v>0</v>
      </c>
      <c r="G60" s="115">
        <v>0</v>
      </c>
      <c r="H60" s="115">
        <v>0</v>
      </c>
      <c r="I60" s="114">
        <f t="shared" si="0"/>
        <v>45750</v>
      </c>
      <c r="J60" s="116">
        <f t="shared" si="21"/>
        <v>45771</v>
      </c>
      <c r="K60" s="116">
        <f t="shared" si="21"/>
        <v>45785</v>
      </c>
      <c r="L60" s="116">
        <f t="shared" si="21"/>
        <v>45792</v>
      </c>
      <c r="M60" s="116">
        <f t="shared" si="21"/>
        <v>45799</v>
      </c>
      <c r="N60" s="116">
        <f t="shared" si="21"/>
        <v>45806</v>
      </c>
      <c r="O60" s="116">
        <f t="shared" si="2"/>
        <v>45813</v>
      </c>
      <c r="P60" s="116">
        <f t="shared" si="3"/>
        <v>45820</v>
      </c>
      <c r="Q60" s="116">
        <f>IFERROR(VLOOKUP(A60,'Date Calcs'!A:C,3,0),"")</f>
        <v>45824</v>
      </c>
      <c r="R60" s="116">
        <f t="shared" si="4"/>
        <v>45822</v>
      </c>
      <c r="S60" s="117"/>
      <c r="T60" s="116" t="e">
        <f t="shared" si="5"/>
        <v>#VALUE!</v>
      </c>
      <c r="U60" s="116" t="e">
        <f t="shared" si="6"/>
        <v>#VALUE!</v>
      </c>
      <c r="V60" s="116" t="str">
        <f>IFERROR(IF(VLOOKUP(A60,'Actual Dates'!A:AE,21,0)&gt;"",VLOOKUP(A60,'Actual Dates'!A:AE,21,0),W60-$V$2),"")</f>
        <v/>
      </c>
      <c r="W60" s="116" t="str">
        <f t="shared" si="7"/>
        <v/>
      </c>
      <c r="X60" s="116" t="str">
        <f t="shared" si="8"/>
        <v/>
      </c>
      <c r="Y60" s="116" t="str">
        <f t="shared" si="9"/>
        <v/>
      </c>
      <c r="Z60" s="116" t="str">
        <f t="shared" si="10"/>
        <v/>
      </c>
      <c r="AA60" s="116" t="str">
        <f t="shared" si="11"/>
        <v/>
      </c>
      <c r="AB60" s="116" t="str">
        <f t="shared" si="12"/>
        <v/>
      </c>
      <c r="AC60" s="116" t="str">
        <f t="shared" si="13"/>
        <v/>
      </c>
      <c r="AD60" s="116" t="str">
        <f t="shared" si="14"/>
        <v/>
      </c>
      <c r="AE60" s="116" t="str">
        <f t="shared" si="15"/>
        <v/>
      </c>
      <c r="AF60" s="116" t="str">
        <f t="shared" si="16"/>
        <v>074-25</v>
      </c>
    </row>
    <row r="61" spans="1:32" x14ac:dyDescent="0.25">
      <c r="A61" s="113" t="str">
        <f>'Date Calcs'!A61</f>
        <v>25-075</v>
      </c>
      <c r="B61" s="113" t="str">
        <f>'Date Calcs'!B61</f>
        <v>Kemira</v>
      </c>
      <c r="C61" s="114" t="str">
        <f>_xlfn.IFNA(_xlfn.IFNA(VLOOKUP(AF61,'[1]Schedule Not Certified'!$C:$F,3,0),VLOOKUP(AF61,[1]CERTIFIED!$C:$E,3,0)),"")</f>
        <v/>
      </c>
      <c r="D61" s="115">
        <v>0</v>
      </c>
      <c r="E61" s="115">
        <v>0</v>
      </c>
      <c r="F61" s="115">
        <v>0</v>
      </c>
      <c r="G61" s="115">
        <v>0</v>
      </c>
      <c r="H61" s="115">
        <v>0</v>
      </c>
      <c r="I61" s="114">
        <f t="shared" si="0"/>
        <v>45750</v>
      </c>
      <c r="J61" s="116">
        <f t="shared" si="21"/>
        <v>45771</v>
      </c>
      <c r="K61" s="116">
        <f t="shared" si="21"/>
        <v>45785</v>
      </c>
      <c r="L61" s="116">
        <f t="shared" si="21"/>
        <v>45792</v>
      </c>
      <c r="M61" s="116">
        <f t="shared" si="21"/>
        <v>45799</v>
      </c>
      <c r="N61" s="116">
        <f t="shared" si="21"/>
        <v>45806</v>
      </c>
      <c r="O61" s="116">
        <f t="shared" si="2"/>
        <v>45813</v>
      </c>
      <c r="P61" s="116">
        <f t="shared" si="3"/>
        <v>45820</v>
      </c>
      <c r="Q61" s="116">
        <f>IFERROR(VLOOKUP(A61,'Date Calcs'!A:C,3,0),"")</f>
        <v>45824</v>
      </c>
      <c r="R61" s="116">
        <f t="shared" si="4"/>
        <v>45822</v>
      </c>
      <c r="S61" s="117"/>
      <c r="T61" s="116" t="e">
        <f t="shared" si="5"/>
        <v>#VALUE!</v>
      </c>
      <c r="U61" s="116" t="e">
        <f t="shared" si="6"/>
        <v>#VALUE!</v>
      </c>
      <c r="V61" s="116" t="str">
        <f>IFERROR(IF(VLOOKUP(A61,'Actual Dates'!A:AE,21,0)&gt;"",VLOOKUP(A61,'Actual Dates'!A:AE,21,0),W61-$V$2),"")</f>
        <v/>
      </c>
      <c r="W61" s="116" t="str">
        <f t="shared" si="7"/>
        <v/>
      </c>
      <c r="X61" s="116" t="str">
        <f t="shared" si="8"/>
        <v/>
      </c>
      <c r="Y61" s="116" t="str">
        <f t="shared" si="9"/>
        <v/>
      </c>
      <c r="Z61" s="116" t="str">
        <f t="shared" si="10"/>
        <v/>
      </c>
      <c r="AA61" s="116" t="str">
        <f t="shared" si="11"/>
        <v/>
      </c>
      <c r="AB61" s="116" t="str">
        <f t="shared" si="12"/>
        <v/>
      </c>
      <c r="AC61" s="116" t="str">
        <f t="shared" si="13"/>
        <v/>
      </c>
      <c r="AD61" s="116" t="str">
        <f t="shared" si="14"/>
        <v/>
      </c>
      <c r="AE61" s="116" t="str">
        <f t="shared" si="15"/>
        <v/>
      </c>
      <c r="AF61" s="116" t="str">
        <f t="shared" si="16"/>
        <v>075-25</v>
      </c>
    </row>
    <row r="62" spans="1:32" x14ac:dyDescent="0.25">
      <c r="A62" s="113" t="str">
        <f>'Date Calcs'!A62</f>
        <v>25-076</v>
      </c>
      <c r="B62" s="113" t="str">
        <f>'Date Calcs'!B62</f>
        <v>Irving tissue</v>
      </c>
      <c r="C62" s="114" t="str">
        <f>_xlfn.IFNA(_xlfn.IFNA(VLOOKUP(AF62,'[1]Schedule Not Certified'!$C:$F,3,0),VLOOKUP(AF62,[1]CERTIFIED!$C:$E,3,0)),"")</f>
        <v/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4">
        <f t="shared" si="0"/>
        <v>45751</v>
      </c>
      <c r="J62" s="116">
        <f t="shared" si="21"/>
        <v>45772</v>
      </c>
      <c r="K62" s="116">
        <f t="shared" si="21"/>
        <v>45786</v>
      </c>
      <c r="L62" s="116">
        <f t="shared" si="21"/>
        <v>45793</v>
      </c>
      <c r="M62" s="116">
        <f t="shared" si="21"/>
        <v>45800</v>
      </c>
      <c r="N62" s="116">
        <f t="shared" si="21"/>
        <v>45807</v>
      </c>
      <c r="O62" s="116">
        <f t="shared" si="2"/>
        <v>45814</v>
      </c>
      <c r="P62" s="116">
        <f t="shared" si="3"/>
        <v>45821</v>
      </c>
      <c r="Q62" s="116">
        <f>IFERROR(VLOOKUP(A62,'Date Calcs'!A:C,3,0),"")</f>
        <v>45825</v>
      </c>
      <c r="R62" s="116">
        <f t="shared" si="4"/>
        <v>45823</v>
      </c>
      <c r="S62" s="117"/>
      <c r="T62" s="116" t="e">
        <f t="shared" si="5"/>
        <v>#VALUE!</v>
      </c>
      <c r="U62" s="116" t="e">
        <f t="shared" si="6"/>
        <v>#VALUE!</v>
      </c>
      <c r="V62" s="116" t="str">
        <f>IFERROR(IF(VLOOKUP(A62,'Actual Dates'!A:AE,21,0)&gt;"",VLOOKUP(A62,'Actual Dates'!A:AE,21,0),W62-$V$2),"")</f>
        <v/>
      </c>
      <c r="W62" s="116" t="str">
        <f t="shared" si="7"/>
        <v/>
      </c>
      <c r="X62" s="116" t="str">
        <f t="shared" si="8"/>
        <v/>
      </c>
      <c r="Y62" s="116" t="str">
        <f t="shared" si="9"/>
        <v/>
      </c>
      <c r="Z62" s="116" t="str">
        <f t="shared" si="10"/>
        <v/>
      </c>
      <c r="AA62" s="116" t="str">
        <f t="shared" si="11"/>
        <v/>
      </c>
      <c r="AB62" s="116" t="str">
        <f t="shared" si="12"/>
        <v/>
      </c>
      <c r="AC62" s="116" t="str">
        <f t="shared" si="13"/>
        <v/>
      </c>
      <c r="AD62" s="116" t="str">
        <f t="shared" si="14"/>
        <v/>
      </c>
      <c r="AE62" s="116" t="str">
        <f t="shared" si="15"/>
        <v/>
      </c>
      <c r="AF62" s="116" t="str">
        <f t="shared" si="16"/>
        <v>076-25</v>
      </c>
    </row>
    <row r="63" spans="1:32" x14ac:dyDescent="0.25">
      <c r="A63" s="113" t="str">
        <f>'Date Calcs'!A63</f>
        <v>25-077</v>
      </c>
      <c r="B63" s="113" t="str">
        <f>'Date Calcs'!B63</f>
        <v>Epic Systems</v>
      </c>
      <c r="C63" s="114" t="str">
        <f>_xlfn.IFNA(_xlfn.IFNA(VLOOKUP(AF63,'[1]Schedule Not Certified'!$C:$F,3,0),VLOOKUP(AF63,[1]CERTIFIED!$C:$E,3,0)),"")</f>
        <v/>
      </c>
      <c r="D63" s="115">
        <v>0</v>
      </c>
      <c r="E63" s="115">
        <v>0</v>
      </c>
      <c r="F63" s="115">
        <v>0</v>
      </c>
      <c r="G63" s="115">
        <v>0</v>
      </c>
      <c r="H63" s="115">
        <v>0</v>
      </c>
      <c r="I63" s="114">
        <f t="shared" si="0"/>
        <v>45759</v>
      </c>
      <c r="J63" s="116">
        <f t="shared" si="21"/>
        <v>45780</v>
      </c>
      <c r="K63" s="116">
        <f t="shared" si="21"/>
        <v>45794</v>
      </c>
      <c r="L63" s="116">
        <f t="shared" si="21"/>
        <v>45801</v>
      </c>
      <c r="M63" s="116">
        <f t="shared" si="21"/>
        <v>45808</v>
      </c>
      <c r="N63" s="116">
        <f t="shared" si="21"/>
        <v>45815</v>
      </c>
      <c r="O63" s="116">
        <f t="shared" si="2"/>
        <v>45822</v>
      </c>
      <c r="P63" s="116">
        <f t="shared" si="3"/>
        <v>45829</v>
      </c>
      <c r="Q63" s="116">
        <f>IFERROR(VLOOKUP(A63,'Date Calcs'!A:C,3,0),"")</f>
        <v>45833</v>
      </c>
      <c r="R63" s="116">
        <f t="shared" si="4"/>
        <v>45831</v>
      </c>
      <c r="S63" s="117"/>
      <c r="T63" s="116" t="e">
        <f t="shared" si="5"/>
        <v>#VALUE!</v>
      </c>
      <c r="U63" s="116" t="e">
        <f t="shared" si="6"/>
        <v>#VALUE!</v>
      </c>
      <c r="V63" s="116" t="str">
        <f>IFERROR(IF(VLOOKUP(A63,'Actual Dates'!A:AE,21,0)&gt;"",VLOOKUP(A63,'Actual Dates'!A:AE,21,0),W63-$V$2),"")</f>
        <v/>
      </c>
      <c r="W63" s="116" t="str">
        <f t="shared" si="7"/>
        <v/>
      </c>
      <c r="X63" s="116" t="str">
        <f t="shared" si="8"/>
        <v/>
      </c>
      <c r="Y63" s="116" t="str">
        <f t="shared" si="9"/>
        <v/>
      </c>
      <c r="Z63" s="116" t="str">
        <f t="shared" si="10"/>
        <v/>
      </c>
      <c r="AA63" s="116" t="str">
        <f t="shared" si="11"/>
        <v/>
      </c>
      <c r="AB63" s="116" t="str">
        <f t="shared" si="12"/>
        <v/>
      </c>
      <c r="AC63" s="116" t="str">
        <f t="shared" si="13"/>
        <v/>
      </c>
      <c r="AD63" s="116" t="str">
        <f t="shared" si="14"/>
        <v/>
      </c>
      <c r="AE63" s="116" t="str">
        <f t="shared" si="15"/>
        <v/>
      </c>
      <c r="AF63" s="116" t="str">
        <f t="shared" si="16"/>
        <v>077-25</v>
      </c>
    </row>
    <row r="64" spans="1:32" x14ac:dyDescent="0.25">
      <c r="A64" s="113" t="str">
        <f>'Date Calcs'!A64</f>
        <v>25-078</v>
      </c>
      <c r="B64" s="113" t="str">
        <f>'Date Calcs'!B64</f>
        <v>Epic Systems</v>
      </c>
      <c r="C64" s="114" t="str">
        <f>_xlfn.IFNA(_xlfn.IFNA(VLOOKUP(AF64,'[1]Schedule Not Certified'!$C:$F,3,0),VLOOKUP(AF64,[1]CERTIFIED!$C:$E,3,0)),"")</f>
        <v/>
      </c>
      <c r="D64" s="115">
        <v>0</v>
      </c>
      <c r="E64" s="115">
        <v>0</v>
      </c>
      <c r="F64" s="115">
        <v>0</v>
      </c>
      <c r="G64" s="115">
        <v>0</v>
      </c>
      <c r="H64" s="115">
        <v>0</v>
      </c>
      <c r="I64" s="114">
        <f t="shared" si="0"/>
        <v>45759</v>
      </c>
      <c r="J64" s="116">
        <f t="shared" si="21"/>
        <v>45780</v>
      </c>
      <c r="K64" s="116">
        <f t="shared" si="21"/>
        <v>45794</v>
      </c>
      <c r="L64" s="116">
        <f t="shared" si="21"/>
        <v>45801</v>
      </c>
      <c r="M64" s="116">
        <f t="shared" si="21"/>
        <v>45808</v>
      </c>
      <c r="N64" s="116">
        <f t="shared" si="21"/>
        <v>45815</v>
      </c>
      <c r="O64" s="116">
        <f t="shared" si="2"/>
        <v>45822</v>
      </c>
      <c r="P64" s="116">
        <f t="shared" si="3"/>
        <v>45829</v>
      </c>
      <c r="Q64" s="116">
        <f>IFERROR(VLOOKUP(A64,'Date Calcs'!A:C,3,0),"")</f>
        <v>45833</v>
      </c>
      <c r="R64" s="116">
        <f t="shared" si="4"/>
        <v>45831</v>
      </c>
      <c r="S64" s="117"/>
      <c r="T64" s="116" t="e">
        <f t="shared" si="5"/>
        <v>#VALUE!</v>
      </c>
      <c r="U64" s="116" t="e">
        <f t="shared" si="6"/>
        <v>#VALUE!</v>
      </c>
      <c r="V64" s="116" t="str">
        <f>IFERROR(IF(VLOOKUP(A64,'Actual Dates'!A:AE,21,0)&gt;"",VLOOKUP(A64,'Actual Dates'!A:AE,21,0),W64-$V$2),"")</f>
        <v/>
      </c>
      <c r="W64" s="116" t="str">
        <f t="shared" si="7"/>
        <v/>
      </c>
      <c r="X64" s="116" t="str">
        <f t="shared" si="8"/>
        <v/>
      </c>
      <c r="Y64" s="116" t="str">
        <f t="shared" si="9"/>
        <v/>
      </c>
      <c r="Z64" s="116" t="str">
        <f t="shared" si="10"/>
        <v/>
      </c>
      <c r="AA64" s="116" t="str">
        <f t="shared" si="11"/>
        <v/>
      </c>
      <c r="AB64" s="116" t="str">
        <f t="shared" si="12"/>
        <v/>
      </c>
      <c r="AC64" s="116" t="str">
        <f t="shared" si="13"/>
        <v/>
      </c>
      <c r="AD64" s="116" t="str">
        <f t="shared" si="14"/>
        <v/>
      </c>
      <c r="AE64" s="116" t="str">
        <f t="shared" si="15"/>
        <v/>
      </c>
      <c r="AF64" s="116" t="str">
        <f t="shared" si="16"/>
        <v>078-25</v>
      </c>
    </row>
    <row r="65" spans="1:32" x14ac:dyDescent="0.25">
      <c r="A65" s="113" t="str">
        <f>'Date Calcs'!A65</f>
        <v>25-079</v>
      </c>
      <c r="B65" s="113" t="str">
        <f>'Date Calcs'!B65</f>
        <v>Epic Systems</v>
      </c>
      <c r="C65" s="114" t="str">
        <f>_xlfn.IFNA(_xlfn.IFNA(VLOOKUP(AF65,'[1]Schedule Not Certified'!$C:$F,3,0),VLOOKUP(AF65,[1]CERTIFIED!$C:$E,3,0)),"")</f>
        <v/>
      </c>
      <c r="D65" s="115">
        <v>0</v>
      </c>
      <c r="E65" s="115">
        <v>0</v>
      </c>
      <c r="F65" s="115">
        <v>0</v>
      </c>
      <c r="G65" s="115">
        <v>0</v>
      </c>
      <c r="H65" s="115">
        <v>0</v>
      </c>
      <c r="I65" s="114">
        <f t="shared" si="0"/>
        <v>45759</v>
      </c>
      <c r="J65" s="116">
        <f t="shared" ref="J65:N74" si="22">K65-J$2</f>
        <v>45780</v>
      </c>
      <c r="K65" s="116">
        <f t="shared" si="22"/>
        <v>45794</v>
      </c>
      <c r="L65" s="116">
        <f t="shared" si="22"/>
        <v>45801</v>
      </c>
      <c r="M65" s="116">
        <f t="shared" si="22"/>
        <v>45808</v>
      </c>
      <c r="N65" s="116">
        <f t="shared" si="22"/>
        <v>45815</v>
      </c>
      <c r="O65" s="116">
        <f t="shared" si="2"/>
        <v>45822</v>
      </c>
      <c r="P65" s="116">
        <f t="shared" si="3"/>
        <v>45829</v>
      </c>
      <c r="Q65" s="116">
        <f>IFERROR(VLOOKUP(A65,'Date Calcs'!A:C,3,0),"")</f>
        <v>45833</v>
      </c>
      <c r="R65" s="116">
        <f t="shared" si="4"/>
        <v>45831</v>
      </c>
      <c r="S65" s="117"/>
      <c r="T65" s="116" t="e">
        <f t="shared" si="5"/>
        <v>#VALUE!</v>
      </c>
      <c r="U65" s="116" t="e">
        <f t="shared" si="6"/>
        <v>#VALUE!</v>
      </c>
      <c r="V65" s="116" t="str">
        <f>IFERROR(IF(VLOOKUP(A65,'Actual Dates'!A:AE,21,0)&gt;"",VLOOKUP(A65,'Actual Dates'!A:AE,21,0),W65-$V$2),"")</f>
        <v/>
      </c>
      <c r="W65" s="116" t="str">
        <f t="shared" si="7"/>
        <v/>
      </c>
      <c r="X65" s="116" t="str">
        <f t="shared" si="8"/>
        <v/>
      </c>
      <c r="Y65" s="116" t="str">
        <f t="shared" si="9"/>
        <v/>
      </c>
      <c r="Z65" s="116" t="str">
        <f t="shared" si="10"/>
        <v/>
      </c>
      <c r="AA65" s="116" t="str">
        <f t="shared" si="11"/>
        <v/>
      </c>
      <c r="AB65" s="116" t="str">
        <f t="shared" si="12"/>
        <v/>
      </c>
      <c r="AC65" s="116" t="str">
        <f t="shared" si="13"/>
        <v/>
      </c>
      <c r="AD65" s="116" t="str">
        <f t="shared" si="14"/>
        <v/>
      </c>
      <c r="AE65" s="116" t="str">
        <f t="shared" si="15"/>
        <v/>
      </c>
      <c r="AF65" s="116" t="str">
        <f t="shared" si="16"/>
        <v>079-25</v>
      </c>
    </row>
    <row r="66" spans="1:32" x14ac:dyDescent="0.25">
      <c r="A66" s="113" t="str">
        <f>'Date Calcs'!A66</f>
        <v>25-080</v>
      </c>
      <c r="B66" s="113" t="str">
        <f>'Date Calcs'!B66</f>
        <v>Domtar</v>
      </c>
      <c r="C66" s="114" t="str">
        <f>_xlfn.IFNA(_xlfn.IFNA(VLOOKUP(AF66,'[1]Schedule Not Certified'!$C:$F,3,0),VLOOKUP(AF66,[1]CERTIFIED!$C:$E,3,0)),"")</f>
        <v/>
      </c>
      <c r="D66" s="115">
        <v>0</v>
      </c>
      <c r="E66" s="115">
        <v>0</v>
      </c>
      <c r="F66" s="115">
        <v>0</v>
      </c>
      <c r="G66" s="115">
        <v>0</v>
      </c>
      <c r="H66" s="115">
        <v>0</v>
      </c>
      <c r="I66" s="114">
        <f t="shared" si="0"/>
        <v>45761</v>
      </c>
      <c r="J66" s="116">
        <f t="shared" si="22"/>
        <v>45782</v>
      </c>
      <c r="K66" s="116">
        <f t="shared" si="22"/>
        <v>45796</v>
      </c>
      <c r="L66" s="116">
        <f t="shared" si="22"/>
        <v>45803</v>
      </c>
      <c r="M66" s="116">
        <f t="shared" si="22"/>
        <v>45810</v>
      </c>
      <c r="N66" s="116">
        <f t="shared" si="22"/>
        <v>45817</v>
      </c>
      <c r="O66" s="116">
        <f t="shared" si="2"/>
        <v>45824</v>
      </c>
      <c r="P66" s="116">
        <f t="shared" si="3"/>
        <v>45831</v>
      </c>
      <c r="Q66" s="116">
        <f>IFERROR(VLOOKUP(A66,'Date Calcs'!A:C,3,0),"")</f>
        <v>45835</v>
      </c>
      <c r="R66" s="116">
        <f t="shared" si="4"/>
        <v>45833</v>
      </c>
      <c r="S66" s="117"/>
      <c r="T66" s="116" t="e">
        <f t="shared" si="5"/>
        <v>#VALUE!</v>
      </c>
      <c r="U66" s="116" t="e">
        <f t="shared" si="6"/>
        <v>#VALUE!</v>
      </c>
      <c r="V66" s="116" t="str">
        <f>IFERROR(IF(VLOOKUP(A66,'Actual Dates'!A:AE,21,0)&gt;"",VLOOKUP(A66,'Actual Dates'!A:AE,21,0),W66-$V$2),"")</f>
        <v/>
      </c>
      <c r="W66" s="116" t="str">
        <f t="shared" si="7"/>
        <v/>
      </c>
      <c r="X66" s="116" t="str">
        <f t="shared" si="8"/>
        <v/>
      </c>
      <c r="Y66" s="116" t="str">
        <f t="shared" si="9"/>
        <v/>
      </c>
      <c r="Z66" s="116" t="str">
        <f t="shared" si="10"/>
        <v/>
      </c>
      <c r="AA66" s="116" t="str">
        <f t="shared" si="11"/>
        <v/>
      </c>
      <c r="AB66" s="116" t="str">
        <f t="shared" si="12"/>
        <v/>
      </c>
      <c r="AC66" s="116" t="str">
        <f t="shared" si="13"/>
        <v/>
      </c>
      <c r="AD66" s="116" t="str">
        <f t="shared" si="14"/>
        <v/>
      </c>
      <c r="AE66" s="116" t="str">
        <f t="shared" si="15"/>
        <v/>
      </c>
      <c r="AF66" s="116" t="str">
        <f t="shared" si="16"/>
        <v>080-25</v>
      </c>
    </row>
    <row r="67" spans="1:32" x14ac:dyDescent="0.25">
      <c r="A67" s="113" t="str">
        <f>'Date Calcs'!A67</f>
        <v>25-083</v>
      </c>
      <c r="B67" s="113" t="str">
        <f>'Date Calcs'!B67</f>
        <v>Synthomer</v>
      </c>
      <c r="C67" s="114" t="str">
        <f>_xlfn.IFNA(_xlfn.IFNA(VLOOKUP(AF67,'[1]Schedule Not Certified'!$C:$F,3,0),VLOOKUP(AF67,[1]CERTIFIED!$C:$E,3,0)),"")</f>
        <v/>
      </c>
      <c r="D67" s="115">
        <v>4</v>
      </c>
      <c r="E67" s="115">
        <v>0.25</v>
      </c>
      <c r="F67" s="115">
        <v>0</v>
      </c>
      <c r="G67" s="115">
        <v>0.25</v>
      </c>
      <c r="H67" s="115">
        <v>0.5</v>
      </c>
      <c r="I67" s="114">
        <f t="shared" si="0"/>
        <v>45779</v>
      </c>
      <c r="J67" s="116">
        <f t="shared" si="22"/>
        <v>45800</v>
      </c>
      <c r="K67" s="116">
        <f t="shared" si="22"/>
        <v>45814</v>
      </c>
      <c r="L67" s="116">
        <f t="shared" si="22"/>
        <v>45821</v>
      </c>
      <c r="M67" s="116">
        <f t="shared" si="22"/>
        <v>45828</v>
      </c>
      <c r="N67" s="116">
        <f t="shared" si="22"/>
        <v>45835</v>
      </c>
      <c r="O67" s="116">
        <f t="shared" si="2"/>
        <v>45842</v>
      </c>
      <c r="P67" s="116">
        <f t="shared" si="3"/>
        <v>45849</v>
      </c>
      <c r="Q67" s="116">
        <f>IFERROR(VLOOKUP(A67,'Date Calcs'!A:C,3,0),"")</f>
        <v>45853</v>
      </c>
      <c r="R67" s="116">
        <f t="shared" si="4"/>
        <v>45851</v>
      </c>
      <c r="S67" s="117"/>
      <c r="T67" s="116" t="e">
        <f t="shared" si="5"/>
        <v>#VALUE!</v>
      </c>
      <c r="U67" s="116" t="e">
        <f t="shared" si="6"/>
        <v>#VALUE!</v>
      </c>
      <c r="V67" s="116" t="str">
        <f>IFERROR(IF(VLOOKUP(A67,'Actual Dates'!A:AE,21,0)&gt;"",VLOOKUP(A67,'Actual Dates'!A:AE,21,0),W67-$V$2),"")</f>
        <v/>
      </c>
      <c r="W67" s="116" t="str">
        <f t="shared" si="7"/>
        <v/>
      </c>
      <c r="X67" s="116" t="str">
        <f t="shared" si="8"/>
        <v/>
      </c>
      <c r="Y67" s="116" t="str">
        <f t="shared" si="9"/>
        <v/>
      </c>
      <c r="Z67" s="116" t="str">
        <f t="shared" si="10"/>
        <v/>
      </c>
      <c r="AA67" s="116" t="str">
        <f t="shared" si="11"/>
        <v/>
      </c>
      <c r="AB67" s="116" t="str">
        <f t="shared" si="12"/>
        <v/>
      </c>
      <c r="AC67" s="116" t="str">
        <f t="shared" si="13"/>
        <v/>
      </c>
      <c r="AD67" s="116" t="str">
        <f t="shared" si="14"/>
        <v/>
      </c>
      <c r="AE67" s="116" t="str">
        <f t="shared" si="15"/>
        <v/>
      </c>
      <c r="AF67" s="116" t="str">
        <f t="shared" si="16"/>
        <v>083-25</v>
      </c>
    </row>
    <row r="68" spans="1:32" x14ac:dyDescent="0.25">
      <c r="A68" s="113" t="str">
        <f>'Date Calcs'!A68</f>
        <v>25-084</v>
      </c>
      <c r="B68" s="113" t="str">
        <f>'Date Calcs'!B68</f>
        <v>Atlas Minerals</v>
      </c>
      <c r="C68" s="156">
        <v>46132</v>
      </c>
      <c r="D68" s="115">
        <v>2</v>
      </c>
      <c r="E68" s="115">
        <v>0.25</v>
      </c>
      <c r="F68" s="115">
        <v>1</v>
      </c>
      <c r="G68" s="115">
        <v>0</v>
      </c>
      <c r="H68" s="115">
        <v>0.5</v>
      </c>
      <c r="I68" s="114">
        <f t="shared" si="0"/>
        <v>45782</v>
      </c>
      <c r="J68" s="116">
        <f t="shared" si="22"/>
        <v>45803</v>
      </c>
      <c r="K68" s="116">
        <f t="shared" si="22"/>
        <v>45817</v>
      </c>
      <c r="L68" s="116">
        <f t="shared" si="22"/>
        <v>45824</v>
      </c>
      <c r="M68" s="116">
        <f t="shared" si="22"/>
        <v>45831</v>
      </c>
      <c r="N68" s="116">
        <f t="shared" si="22"/>
        <v>45838</v>
      </c>
      <c r="O68" s="116">
        <f t="shared" si="2"/>
        <v>45845</v>
      </c>
      <c r="P68" s="116">
        <f t="shared" si="3"/>
        <v>45852</v>
      </c>
      <c r="Q68" s="116">
        <f>IFERROR(VLOOKUP(A68,'Date Calcs'!A:C,3,0),"")</f>
        <v>45856</v>
      </c>
      <c r="R68" s="116">
        <f t="shared" si="4"/>
        <v>45854</v>
      </c>
      <c r="S68" s="117"/>
      <c r="T68" s="116">
        <f t="shared" si="5"/>
        <v>46072.75</v>
      </c>
      <c r="U68" s="116">
        <f t="shared" si="6"/>
        <v>46119.75</v>
      </c>
      <c r="V68" s="116">
        <f>IFERROR(IF(VLOOKUP(A68,'Actual Dates'!A:AE,21,0)&gt;"",VLOOKUP(A68,'Actual Dates'!A:AE,21,0),W68-$V$2),"")</f>
        <v>46077.75</v>
      </c>
      <c r="W68" s="116">
        <f t="shared" si="7"/>
        <v>46084.75</v>
      </c>
      <c r="X68" s="116">
        <f t="shared" si="8"/>
        <v>46091.75</v>
      </c>
      <c r="Y68" s="116">
        <f t="shared" si="9"/>
        <v>46098.75</v>
      </c>
      <c r="Z68" s="116">
        <f t="shared" si="10"/>
        <v>46100.75</v>
      </c>
      <c r="AA68" s="116">
        <f t="shared" si="11"/>
        <v>46098.75</v>
      </c>
      <c r="AB68" s="116">
        <f t="shared" si="12"/>
        <v>46098.75</v>
      </c>
      <c r="AC68" s="116">
        <f t="shared" si="13"/>
        <v>46098.75</v>
      </c>
      <c r="AD68" s="116">
        <f t="shared" si="14"/>
        <v>46105.75</v>
      </c>
      <c r="AE68" s="116">
        <f t="shared" si="15"/>
        <v>46132</v>
      </c>
      <c r="AF68" s="116" t="str">
        <f t="shared" si="16"/>
        <v>084-25</v>
      </c>
    </row>
    <row r="69" spans="1:32" x14ac:dyDescent="0.25">
      <c r="A69" s="113" t="str">
        <f>'Date Calcs'!A69</f>
        <v>25-085</v>
      </c>
      <c r="B69" s="113" t="str">
        <f>'Date Calcs'!B69</f>
        <v>Noah Industrial</v>
      </c>
      <c r="C69" s="114" t="str">
        <f>_xlfn.IFNA(_xlfn.IFNA(VLOOKUP(AF69,'[1]Schedule Not Certified'!$C:$F,3,0),VLOOKUP(AF69,[1]CERTIFIED!$C:$E,3,0)),"")</f>
        <v/>
      </c>
      <c r="D69" s="115">
        <v>0</v>
      </c>
      <c r="E69" s="115">
        <v>0</v>
      </c>
      <c r="F69" s="115">
        <v>0</v>
      </c>
      <c r="G69" s="115">
        <v>0</v>
      </c>
      <c r="H69" s="115">
        <v>0</v>
      </c>
      <c r="I69" s="114">
        <f t="shared" ref="I69:I132" si="23">IFERROR(J69-21,"")</f>
        <v>45786</v>
      </c>
      <c r="J69" s="116">
        <f t="shared" si="22"/>
        <v>45807</v>
      </c>
      <c r="K69" s="116">
        <f t="shared" si="22"/>
        <v>45821</v>
      </c>
      <c r="L69" s="116">
        <f t="shared" si="22"/>
        <v>45828</v>
      </c>
      <c r="M69" s="116">
        <f t="shared" si="22"/>
        <v>45835</v>
      </c>
      <c r="N69" s="116">
        <f t="shared" si="22"/>
        <v>45842</v>
      </c>
      <c r="O69" s="116">
        <f t="shared" ref="O69:O132" si="24">IFERROR(P69-$O$2,"")</f>
        <v>45849</v>
      </c>
      <c r="P69" s="116">
        <f t="shared" ref="P69:P132" si="25">IFERROR(R69-2,"")</f>
        <v>45856</v>
      </c>
      <c r="Q69" s="116">
        <f>IFERROR(VLOOKUP(A69,'Date Calcs'!A:C,3,0),"")</f>
        <v>45860</v>
      </c>
      <c r="R69" s="116">
        <f t="shared" ref="R69:R132" si="26">IFERROR(Q69-$R$2,"")</f>
        <v>45858</v>
      </c>
      <c r="S69" s="117"/>
      <c r="T69" s="116" t="e">
        <f t="shared" ref="T69:T132" si="27">V69-$T$2</f>
        <v>#VALUE!</v>
      </c>
      <c r="U69" s="116" t="e">
        <f t="shared" ref="U69:U132" si="28">AD69+(D69*7)</f>
        <v>#VALUE!</v>
      </c>
      <c r="V69" s="116" t="str">
        <f>IFERROR(IF(VLOOKUP(A69,'Actual Dates'!A:AE,21,0)&gt;"",VLOOKUP(A69,'Actual Dates'!A:AE,21,0),W69-$V$2),"")</f>
        <v/>
      </c>
      <c r="W69" s="116" t="str">
        <f t="shared" ref="W69:W132" si="29">IFERROR(X69-$W$2,"")</f>
        <v/>
      </c>
      <c r="X69" s="116" t="str">
        <f t="shared" ref="X69:X132" si="30">IFERROR(Y69-$X$2,"")</f>
        <v/>
      </c>
      <c r="Y69" s="116" t="str">
        <f t="shared" ref="Y69:Y132" si="31">IFERROR(IF(Z69+Y$2+5&gt;AD69,AD69-7,Z69+Y$2+5),"")</f>
        <v/>
      </c>
      <c r="Z69" s="116" t="str">
        <f t="shared" ref="Z69:Z132" si="32">IFERROR(AD69-$Z$2,"")</f>
        <v/>
      </c>
      <c r="AA69" s="116" t="str">
        <f t="shared" ref="AA69:AA132" si="33">IFERROR(AD69-$AA$2,"")</f>
        <v/>
      </c>
      <c r="AB69" s="116" t="str">
        <f t="shared" ref="AB69:AB132" si="34">IFERROR(AD69-$AB$2,"")</f>
        <v/>
      </c>
      <c r="AC69" s="116" t="str">
        <f t="shared" ref="AC69:AC132" si="35">IFERROR(AD69-$AC$2,"")</f>
        <v/>
      </c>
      <c r="AD69" s="116" t="str">
        <f t="shared" ref="AD69:AD132" si="36">IFERROR(AE69-(SUM(D69:H69)*7),"")</f>
        <v/>
      </c>
      <c r="AE69" s="116" t="str">
        <f t="shared" ref="AE69:AE132" si="37">C69</f>
        <v/>
      </c>
      <c r="AF69" s="116" t="str">
        <f t="shared" ref="AF69:AF132" si="38">CONCATENATE(RIGHT(A69,3),"-",LEFT(A69,2))</f>
        <v>085-25</v>
      </c>
    </row>
    <row r="70" spans="1:32" x14ac:dyDescent="0.25">
      <c r="A70" s="113" t="str">
        <f>'Date Calcs'!A70</f>
        <v>25-086</v>
      </c>
      <c r="B70" s="113" t="str">
        <f>'Date Calcs'!B70</f>
        <v>Tellus</v>
      </c>
      <c r="C70" s="114" t="str">
        <f>_xlfn.IFNA(_xlfn.IFNA(VLOOKUP(AF70,'[1]Schedule Not Certified'!$C:$F,3,0),VLOOKUP(AF70,[1]CERTIFIED!$C:$E,3,0)),"")</f>
        <v/>
      </c>
      <c r="D70" s="115">
        <v>0</v>
      </c>
      <c r="E70" s="115">
        <v>0</v>
      </c>
      <c r="F70" s="115">
        <v>0</v>
      </c>
      <c r="G70" s="115">
        <v>0</v>
      </c>
      <c r="H70" s="115">
        <v>0</v>
      </c>
      <c r="I70" s="114">
        <f t="shared" si="23"/>
        <v>45794</v>
      </c>
      <c r="J70" s="116">
        <f t="shared" si="22"/>
        <v>45815</v>
      </c>
      <c r="K70" s="116">
        <f t="shared" si="22"/>
        <v>45829</v>
      </c>
      <c r="L70" s="116">
        <f t="shared" si="22"/>
        <v>45836</v>
      </c>
      <c r="M70" s="116">
        <f t="shared" si="22"/>
        <v>45843</v>
      </c>
      <c r="N70" s="116">
        <f t="shared" si="22"/>
        <v>45850</v>
      </c>
      <c r="O70" s="116">
        <f t="shared" si="24"/>
        <v>45857</v>
      </c>
      <c r="P70" s="116">
        <f t="shared" si="25"/>
        <v>45864</v>
      </c>
      <c r="Q70" s="116">
        <f>IFERROR(VLOOKUP(A70,'Date Calcs'!A:C,3,0),"")</f>
        <v>45868</v>
      </c>
      <c r="R70" s="116">
        <f t="shared" si="26"/>
        <v>45866</v>
      </c>
      <c r="S70" s="117"/>
      <c r="T70" s="116" t="e">
        <f t="shared" si="27"/>
        <v>#VALUE!</v>
      </c>
      <c r="U70" s="116" t="e">
        <f t="shared" si="28"/>
        <v>#VALUE!</v>
      </c>
      <c r="V70" s="116" t="str">
        <f>IFERROR(IF(VLOOKUP(A70,'Actual Dates'!A:AE,21,0)&gt;"",VLOOKUP(A70,'Actual Dates'!A:AE,21,0),W70-$V$2),"")</f>
        <v/>
      </c>
      <c r="W70" s="116" t="str">
        <f t="shared" si="29"/>
        <v/>
      </c>
      <c r="X70" s="116" t="str">
        <f t="shared" si="30"/>
        <v/>
      </c>
      <c r="Y70" s="116" t="str">
        <f t="shared" si="31"/>
        <v/>
      </c>
      <c r="Z70" s="116" t="str">
        <f t="shared" si="32"/>
        <v/>
      </c>
      <c r="AA70" s="116" t="str">
        <f t="shared" si="33"/>
        <v/>
      </c>
      <c r="AB70" s="116" t="str">
        <f t="shared" si="34"/>
        <v/>
      </c>
      <c r="AC70" s="116" t="str">
        <f t="shared" si="35"/>
        <v/>
      </c>
      <c r="AD70" s="116" t="str">
        <f t="shared" si="36"/>
        <v/>
      </c>
      <c r="AE70" s="116" t="str">
        <f t="shared" si="37"/>
        <v/>
      </c>
      <c r="AF70" s="116" t="str">
        <f t="shared" si="38"/>
        <v>086-25</v>
      </c>
    </row>
    <row r="71" spans="1:32" x14ac:dyDescent="0.25">
      <c r="A71" s="113" t="str">
        <f>'Date Calcs'!A71</f>
        <v>25-087</v>
      </c>
      <c r="B71" s="113" t="str">
        <f>'Date Calcs'!B71</f>
        <v>Solvay</v>
      </c>
      <c r="C71" s="114" t="str">
        <f>_xlfn.IFNA(_xlfn.IFNA(VLOOKUP(AF71,'[1]Schedule Not Certified'!$C:$F,3,0),VLOOKUP(AF71,[1]CERTIFIED!$C:$E,3,0)),"")</f>
        <v/>
      </c>
      <c r="D71" s="115">
        <v>0</v>
      </c>
      <c r="E71" s="115">
        <v>0</v>
      </c>
      <c r="F71" s="115">
        <v>0</v>
      </c>
      <c r="G71" s="115">
        <v>0</v>
      </c>
      <c r="H71" s="115">
        <v>0</v>
      </c>
      <c r="I71" s="114">
        <f t="shared" si="23"/>
        <v>45802</v>
      </c>
      <c r="J71" s="116">
        <f t="shared" si="22"/>
        <v>45823</v>
      </c>
      <c r="K71" s="116">
        <f t="shared" si="22"/>
        <v>45837</v>
      </c>
      <c r="L71" s="116">
        <f t="shared" si="22"/>
        <v>45844</v>
      </c>
      <c r="M71" s="116">
        <f t="shared" si="22"/>
        <v>45851</v>
      </c>
      <c r="N71" s="116">
        <f t="shared" si="22"/>
        <v>45858</v>
      </c>
      <c r="O71" s="116">
        <f t="shared" si="24"/>
        <v>45865</v>
      </c>
      <c r="P71" s="116">
        <f t="shared" si="25"/>
        <v>45872</v>
      </c>
      <c r="Q71" s="116">
        <f>IFERROR(VLOOKUP(A71,'Date Calcs'!A:C,3,0),"")</f>
        <v>45876</v>
      </c>
      <c r="R71" s="116">
        <f t="shared" si="26"/>
        <v>45874</v>
      </c>
      <c r="S71" s="117"/>
      <c r="T71" s="116" t="e">
        <f t="shared" si="27"/>
        <v>#VALUE!</v>
      </c>
      <c r="U71" s="116" t="e">
        <f t="shared" si="28"/>
        <v>#VALUE!</v>
      </c>
      <c r="V71" s="116" t="str">
        <f>IFERROR(IF(VLOOKUP(A71,'Actual Dates'!A:AE,21,0)&gt;"",VLOOKUP(A71,'Actual Dates'!A:AE,21,0),W71-$V$2),"")</f>
        <v/>
      </c>
      <c r="W71" s="116" t="str">
        <f t="shared" si="29"/>
        <v/>
      </c>
      <c r="X71" s="116" t="str">
        <f t="shared" si="30"/>
        <v/>
      </c>
      <c r="Y71" s="116" t="str">
        <f t="shared" si="31"/>
        <v/>
      </c>
      <c r="Z71" s="116" t="str">
        <f t="shared" si="32"/>
        <v/>
      </c>
      <c r="AA71" s="116" t="str">
        <f t="shared" si="33"/>
        <v/>
      </c>
      <c r="AB71" s="116" t="str">
        <f t="shared" si="34"/>
        <v/>
      </c>
      <c r="AC71" s="116" t="str">
        <f t="shared" si="35"/>
        <v/>
      </c>
      <c r="AD71" s="116" t="str">
        <f t="shared" si="36"/>
        <v/>
      </c>
      <c r="AE71" s="116" t="str">
        <f t="shared" si="37"/>
        <v/>
      </c>
      <c r="AF71" s="116" t="str">
        <f t="shared" si="38"/>
        <v>087-25</v>
      </c>
    </row>
    <row r="72" spans="1:32" x14ac:dyDescent="0.25">
      <c r="A72" s="113" t="str">
        <f>'Date Calcs'!A72</f>
        <v>25-088</v>
      </c>
      <c r="B72" s="113" t="str">
        <f>'Date Calcs'!B72</f>
        <v>CIL Isotopes</v>
      </c>
      <c r="C72" s="114" t="str">
        <f>_xlfn.IFNA(_xlfn.IFNA(VLOOKUP(AF72,'[1]Schedule Not Certified'!$C:$F,3,0),VLOOKUP(AF72,[1]CERTIFIED!$C:$E,3,0)),"")</f>
        <v/>
      </c>
      <c r="D72" s="115">
        <v>0</v>
      </c>
      <c r="E72" s="115">
        <v>0</v>
      </c>
      <c r="F72" s="115">
        <v>0</v>
      </c>
      <c r="G72" s="115">
        <v>0</v>
      </c>
      <c r="H72" s="115">
        <v>0</v>
      </c>
      <c r="I72" s="114">
        <f t="shared" si="23"/>
        <v>45808</v>
      </c>
      <c r="J72" s="116">
        <f t="shared" si="22"/>
        <v>45829</v>
      </c>
      <c r="K72" s="116">
        <f t="shared" si="22"/>
        <v>45843</v>
      </c>
      <c r="L72" s="116">
        <f t="shared" si="22"/>
        <v>45850</v>
      </c>
      <c r="M72" s="116">
        <f t="shared" si="22"/>
        <v>45857</v>
      </c>
      <c r="N72" s="116">
        <f t="shared" si="22"/>
        <v>45864</v>
      </c>
      <c r="O72" s="116">
        <f t="shared" si="24"/>
        <v>45871</v>
      </c>
      <c r="P72" s="116">
        <f t="shared" si="25"/>
        <v>45878</v>
      </c>
      <c r="Q72" s="116">
        <f>IFERROR(VLOOKUP(A72,'Date Calcs'!A:C,3,0),"")</f>
        <v>45882</v>
      </c>
      <c r="R72" s="116">
        <f t="shared" si="26"/>
        <v>45880</v>
      </c>
      <c r="S72" s="117"/>
      <c r="T72" s="116" t="e">
        <f t="shared" si="27"/>
        <v>#VALUE!</v>
      </c>
      <c r="U72" s="116" t="e">
        <f t="shared" si="28"/>
        <v>#VALUE!</v>
      </c>
      <c r="V72" s="116" t="str">
        <f>IFERROR(IF(VLOOKUP(A72,'Actual Dates'!A:AE,21,0)&gt;"",VLOOKUP(A72,'Actual Dates'!A:AE,21,0),W72-$V$2),"")</f>
        <v/>
      </c>
      <c r="W72" s="116" t="str">
        <f t="shared" si="29"/>
        <v/>
      </c>
      <c r="X72" s="116" t="str">
        <f t="shared" si="30"/>
        <v/>
      </c>
      <c r="Y72" s="116" t="str">
        <f t="shared" si="31"/>
        <v/>
      </c>
      <c r="Z72" s="116" t="str">
        <f t="shared" si="32"/>
        <v/>
      </c>
      <c r="AA72" s="116" t="str">
        <f t="shared" si="33"/>
        <v/>
      </c>
      <c r="AB72" s="116" t="str">
        <f t="shared" si="34"/>
        <v/>
      </c>
      <c r="AC72" s="116" t="str">
        <f t="shared" si="35"/>
        <v/>
      </c>
      <c r="AD72" s="116" t="str">
        <f t="shared" si="36"/>
        <v/>
      </c>
      <c r="AE72" s="116" t="str">
        <f t="shared" si="37"/>
        <v/>
      </c>
      <c r="AF72" s="116" t="str">
        <f t="shared" si="38"/>
        <v>088-25</v>
      </c>
    </row>
    <row r="73" spans="1:32" x14ac:dyDescent="0.25">
      <c r="A73" s="113" t="str">
        <f>'Date Calcs'!A73</f>
        <v>25-089</v>
      </c>
      <c r="B73" s="113" t="str">
        <f>'Date Calcs'!B73</f>
        <v>Valmet</v>
      </c>
      <c r="C73" s="114" t="str">
        <f>_xlfn.IFNA(_xlfn.IFNA(VLOOKUP(AF73,'[1]Schedule Not Certified'!$C:$F,3,0),VLOOKUP(AF73,[1]CERTIFIED!$C:$E,3,0)),"")</f>
        <v/>
      </c>
      <c r="D73" s="115">
        <v>4</v>
      </c>
      <c r="E73" s="115">
        <v>0</v>
      </c>
      <c r="F73" s="115">
        <v>0</v>
      </c>
      <c r="G73" s="115">
        <v>0.25</v>
      </c>
      <c r="H73" s="115">
        <v>0.5</v>
      </c>
      <c r="I73" s="114">
        <f t="shared" si="23"/>
        <v>45817</v>
      </c>
      <c r="J73" s="116">
        <f t="shared" si="22"/>
        <v>45838</v>
      </c>
      <c r="K73" s="116">
        <f t="shared" si="22"/>
        <v>45852</v>
      </c>
      <c r="L73" s="116">
        <f t="shared" si="22"/>
        <v>45859</v>
      </c>
      <c r="M73" s="116">
        <f t="shared" si="22"/>
        <v>45866</v>
      </c>
      <c r="N73" s="116">
        <f t="shared" si="22"/>
        <v>45873</v>
      </c>
      <c r="O73" s="116">
        <f t="shared" si="24"/>
        <v>45880</v>
      </c>
      <c r="P73" s="116">
        <f t="shared" si="25"/>
        <v>45887</v>
      </c>
      <c r="Q73" s="116">
        <f>IFERROR(VLOOKUP(A73,'Date Calcs'!A:C,3,0),"")</f>
        <v>45891</v>
      </c>
      <c r="R73" s="116">
        <f t="shared" si="26"/>
        <v>45889</v>
      </c>
      <c r="S73" s="117"/>
      <c r="T73" s="116" t="e">
        <f t="shared" si="27"/>
        <v>#VALUE!</v>
      </c>
      <c r="U73" s="116" t="e">
        <f t="shared" si="28"/>
        <v>#VALUE!</v>
      </c>
      <c r="V73" s="116" t="str">
        <f>IFERROR(IF(VLOOKUP(A73,'Actual Dates'!A:AE,21,0)&gt;"",VLOOKUP(A73,'Actual Dates'!A:AE,21,0),W73-$V$2),"")</f>
        <v/>
      </c>
      <c r="W73" s="116" t="str">
        <f t="shared" si="29"/>
        <v/>
      </c>
      <c r="X73" s="116" t="str">
        <f t="shared" si="30"/>
        <v/>
      </c>
      <c r="Y73" s="116" t="str">
        <f t="shared" si="31"/>
        <v/>
      </c>
      <c r="Z73" s="116" t="str">
        <f t="shared" si="32"/>
        <v/>
      </c>
      <c r="AA73" s="116" t="str">
        <f t="shared" si="33"/>
        <v/>
      </c>
      <c r="AB73" s="116" t="str">
        <f t="shared" si="34"/>
        <v/>
      </c>
      <c r="AC73" s="116" t="str">
        <f t="shared" si="35"/>
        <v/>
      </c>
      <c r="AD73" s="116" t="str">
        <f t="shared" si="36"/>
        <v/>
      </c>
      <c r="AE73" s="116" t="str">
        <f t="shared" si="37"/>
        <v/>
      </c>
      <c r="AF73" s="116" t="str">
        <f t="shared" si="38"/>
        <v>089-25</v>
      </c>
    </row>
    <row r="74" spans="1:32" x14ac:dyDescent="0.25">
      <c r="A74" s="113" t="str">
        <f>'Date Calcs'!A74</f>
        <v>25-090</v>
      </c>
      <c r="B74" s="113" t="str">
        <f>'Date Calcs'!B74</f>
        <v>GAF</v>
      </c>
      <c r="C74" s="114" t="str">
        <f>_xlfn.IFNA(_xlfn.IFNA(VLOOKUP(AF74,'[1]Schedule Not Certified'!$C:$F,3,0),VLOOKUP(AF74,[1]CERTIFIED!$C:$E,3,0)),"")</f>
        <v/>
      </c>
      <c r="D74" s="115">
        <v>0</v>
      </c>
      <c r="E74" s="115">
        <v>0</v>
      </c>
      <c r="F74" s="115">
        <v>0</v>
      </c>
      <c r="G74" s="115">
        <v>0</v>
      </c>
      <c r="H74" s="115">
        <v>0</v>
      </c>
      <c r="I74" s="114">
        <f t="shared" si="23"/>
        <v>45813</v>
      </c>
      <c r="J74" s="116">
        <f t="shared" si="22"/>
        <v>45834</v>
      </c>
      <c r="K74" s="116">
        <f t="shared" si="22"/>
        <v>45848</v>
      </c>
      <c r="L74" s="116">
        <f t="shared" si="22"/>
        <v>45855</v>
      </c>
      <c r="M74" s="116">
        <f t="shared" si="22"/>
        <v>45862</v>
      </c>
      <c r="N74" s="116">
        <f t="shared" si="22"/>
        <v>45869</v>
      </c>
      <c r="O74" s="116">
        <f t="shared" si="24"/>
        <v>45876</v>
      </c>
      <c r="P74" s="116">
        <f t="shared" si="25"/>
        <v>45883</v>
      </c>
      <c r="Q74" s="116">
        <f>IFERROR(VLOOKUP(A74,'Date Calcs'!A:C,3,0),"")</f>
        <v>45887</v>
      </c>
      <c r="R74" s="116">
        <f t="shared" si="26"/>
        <v>45885</v>
      </c>
      <c r="S74" s="117"/>
      <c r="T74" s="116" t="e">
        <f t="shared" si="27"/>
        <v>#VALUE!</v>
      </c>
      <c r="U74" s="116" t="e">
        <f t="shared" si="28"/>
        <v>#VALUE!</v>
      </c>
      <c r="V74" s="116" t="str">
        <f>IFERROR(IF(VLOOKUP(A74,'Actual Dates'!A:AE,21,0)&gt;"",VLOOKUP(A74,'Actual Dates'!A:AE,21,0),W74-$V$2),"")</f>
        <v/>
      </c>
      <c r="W74" s="116" t="str">
        <f t="shared" si="29"/>
        <v/>
      </c>
      <c r="X74" s="116" t="str">
        <f t="shared" si="30"/>
        <v/>
      </c>
      <c r="Y74" s="116" t="str">
        <f t="shared" si="31"/>
        <v/>
      </c>
      <c r="Z74" s="116" t="str">
        <f t="shared" si="32"/>
        <v/>
      </c>
      <c r="AA74" s="116" t="str">
        <f t="shared" si="33"/>
        <v/>
      </c>
      <c r="AB74" s="116" t="str">
        <f t="shared" si="34"/>
        <v/>
      </c>
      <c r="AC74" s="116" t="str">
        <f t="shared" si="35"/>
        <v/>
      </c>
      <c r="AD74" s="116" t="str">
        <f t="shared" si="36"/>
        <v/>
      </c>
      <c r="AE74" s="116" t="str">
        <f t="shared" si="37"/>
        <v/>
      </c>
      <c r="AF74" s="116" t="str">
        <f t="shared" si="38"/>
        <v>090-25</v>
      </c>
    </row>
    <row r="75" spans="1:32" x14ac:dyDescent="0.25">
      <c r="A75" s="113" t="str">
        <f>'Date Calcs'!A75</f>
        <v>25-091</v>
      </c>
      <c r="B75" s="113" t="str">
        <f>'Date Calcs'!B75</f>
        <v>US Sugar</v>
      </c>
      <c r="C75" s="114" t="str">
        <f>_xlfn.IFNA(_xlfn.IFNA(VLOOKUP(AF75,'[1]Schedule Not Certified'!$C:$F,3,0),VLOOKUP(AF75,[1]CERTIFIED!$C:$E,3,0)),"")</f>
        <v/>
      </c>
      <c r="D75" s="115">
        <v>0</v>
      </c>
      <c r="E75" s="115">
        <v>0</v>
      </c>
      <c r="F75" s="115">
        <v>0</v>
      </c>
      <c r="G75" s="115">
        <v>0</v>
      </c>
      <c r="H75" s="115">
        <v>0</v>
      </c>
      <c r="I75" s="114">
        <f t="shared" si="23"/>
        <v>45830</v>
      </c>
      <c r="J75" s="116">
        <f t="shared" ref="J75:N84" si="39">K75-J$2</f>
        <v>45851</v>
      </c>
      <c r="K75" s="116">
        <f t="shared" si="39"/>
        <v>45865</v>
      </c>
      <c r="L75" s="116">
        <f t="shared" si="39"/>
        <v>45872</v>
      </c>
      <c r="M75" s="116">
        <f t="shared" si="39"/>
        <v>45879</v>
      </c>
      <c r="N75" s="116">
        <f t="shared" si="39"/>
        <v>45886</v>
      </c>
      <c r="O75" s="116">
        <f t="shared" si="24"/>
        <v>45893</v>
      </c>
      <c r="P75" s="116">
        <f t="shared" si="25"/>
        <v>45900</v>
      </c>
      <c r="Q75" s="116">
        <f>IFERROR(VLOOKUP(A75,'Date Calcs'!A:C,3,0),"")</f>
        <v>45904</v>
      </c>
      <c r="R75" s="116">
        <f t="shared" si="26"/>
        <v>45902</v>
      </c>
      <c r="S75" s="117"/>
      <c r="T75" s="116" t="e">
        <f t="shared" si="27"/>
        <v>#VALUE!</v>
      </c>
      <c r="U75" s="116" t="e">
        <f t="shared" si="28"/>
        <v>#VALUE!</v>
      </c>
      <c r="V75" s="116" t="str">
        <f>IFERROR(IF(VLOOKUP(A75,'Actual Dates'!A:AE,21,0)&gt;"",VLOOKUP(A75,'Actual Dates'!A:AE,21,0),W75-$V$2),"")</f>
        <v/>
      </c>
      <c r="W75" s="116" t="str">
        <f t="shared" si="29"/>
        <v/>
      </c>
      <c r="X75" s="116" t="str">
        <f t="shared" si="30"/>
        <v/>
      </c>
      <c r="Y75" s="116" t="str">
        <f t="shared" si="31"/>
        <v/>
      </c>
      <c r="Z75" s="116" t="str">
        <f t="shared" si="32"/>
        <v/>
      </c>
      <c r="AA75" s="116" t="str">
        <f t="shared" si="33"/>
        <v/>
      </c>
      <c r="AB75" s="116" t="str">
        <f t="shared" si="34"/>
        <v/>
      </c>
      <c r="AC75" s="116" t="str">
        <f t="shared" si="35"/>
        <v/>
      </c>
      <c r="AD75" s="116" t="str">
        <f t="shared" si="36"/>
        <v/>
      </c>
      <c r="AE75" s="116" t="str">
        <f t="shared" si="37"/>
        <v/>
      </c>
      <c r="AF75" s="116" t="str">
        <f t="shared" si="38"/>
        <v>091-25</v>
      </c>
    </row>
    <row r="76" spans="1:32" x14ac:dyDescent="0.25">
      <c r="A76" s="113" t="str">
        <f>'Date Calcs'!A76</f>
        <v>25-092</v>
      </c>
      <c r="B76" s="113" t="str">
        <f>'Date Calcs'!B76</f>
        <v>Symrise</v>
      </c>
      <c r="C76" s="114" t="str">
        <f>_xlfn.IFNA(_xlfn.IFNA(VLOOKUP(AF76,'[1]Schedule Not Certified'!$C:$F,3,0),VLOOKUP(AF76,[1]CERTIFIED!$C:$E,3,0)),"")</f>
        <v/>
      </c>
      <c r="D76" s="115">
        <v>3</v>
      </c>
      <c r="E76" s="115">
        <v>0.25</v>
      </c>
      <c r="F76" s="115">
        <v>0</v>
      </c>
      <c r="G76" s="115">
        <v>0</v>
      </c>
      <c r="H76" s="115">
        <v>0.5</v>
      </c>
      <c r="I76" s="114">
        <f t="shared" si="23"/>
        <v>45836</v>
      </c>
      <c r="J76" s="116">
        <f t="shared" si="39"/>
        <v>45857</v>
      </c>
      <c r="K76" s="116">
        <f t="shared" si="39"/>
        <v>45871</v>
      </c>
      <c r="L76" s="116">
        <f t="shared" si="39"/>
        <v>45878</v>
      </c>
      <c r="M76" s="116">
        <f t="shared" si="39"/>
        <v>45885</v>
      </c>
      <c r="N76" s="116">
        <f t="shared" si="39"/>
        <v>45892</v>
      </c>
      <c r="O76" s="116">
        <f t="shared" si="24"/>
        <v>45899</v>
      </c>
      <c r="P76" s="116">
        <f t="shared" si="25"/>
        <v>45906</v>
      </c>
      <c r="Q76" s="116">
        <f>IFERROR(VLOOKUP(A76,'Date Calcs'!A:C,3,0),"")</f>
        <v>45910</v>
      </c>
      <c r="R76" s="116">
        <f t="shared" si="26"/>
        <v>45908</v>
      </c>
      <c r="S76" s="117"/>
      <c r="T76" s="116" t="e">
        <f t="shared" si="27"/>
        <v>#VALUE!</v>
      </c>
      <c r="U76" s="116" t="e">
        <f t="shared" si="28"/>
        <v>#VALUE!</v>
      </c>
      <c r="V76" s="116" t="str">
        <f>IFERROR(IF(VLOOKUP(A76,'Actual Dates'!A:AE,21,0)&gt;"",VLOOKUP(A76,'Actual Dates'!A:AE,21,0),W76-$V$2),"")</f>
        <v/>
      </c>
      <c r="W76" s="116" t="str">
        <f t="shared" si="29"/>
        <v/>
      </c>
      <c r="X76" s="116" t="str">
        <f t="shared" si="30"/>
        <v/>
      </c>
      <c r="Y76" s="116" t="str">
        <f t="shared" si="31"/>
        <v/>
      </c>
      <c r="Z76" s="116" t="str">
        <f t="shared" si="32"/>
        <v/>
      </c>
      <c r="AA76" s="116" t="str">
        <f t="shared" si="33"/>
        <v/>
      </c>
      <c r="AB76" s="116" t="str">
        <f t="shared" si="34"/>
        <v/>
      </c>
      <c r="AC76" s="116" t="str">
        <f t="shared" si="35"/>
        <v/>
      </c>
      <c r="AD76" s="116" t="str">
        <f t="shared" si="36"/>
        <v/>
      </c>
      <c r="AE76" s="116" t="str">
        <f t="shared" si="37"/>
        <v/>
      </c>
      <c r="AF76" s="116" t="str">
        <f t="shared" si="38"/>
        <v>092-25</v>
      </c>
    </row>
    <row r="77" spans="1:32" x14ac:dyDescent="0.25">
      <c r="A77" s="113" t="str">
        <f>'Date Calcs'!A77</f>
        <v>25-093</v>
      </c>
      <c r="B77" s="113" t="str">
        <f>'Date Calcs'!B77</f>
        <v>Symrise</v>
      </c>
      <c r="C77" s="114" t="str">
        <f>_xlfn.IFNA(_xlfn.IFNA(VLOOKUP(AF77,'[1]Schedule Not Certified'!$C:$F,3,0),VLOOKUP(AF77,[1]CERTIFIED!$C:$E,3,0)),"")</f>
        <v/>
      </c>
      <c r="D77" s="115">
        <v>3</v>
      </c>
      <c r="E77" s="115">
        <v>0.25</v>
      </c>
      <c r="F77" s="115">
        <v>0</v>
      </c>
      <c r="G77" s="115">
        <v>0</v>
      </c>
      <c r="H77" s="115">
        <v>0.5</v>
      </c>
      <c r="I77" s="114">
        <f t="shared" si="23"/>
        <v>45836</v>
      </c>
      <c r="J77" s="116">
        <f t="shared" si="39"/>
        <v>45857</v>
      </c>
      <c r="K77" s="116">
        <f t="shared" si="39"/>
        <v>45871</v>
      </c>
      <c r="L77" s="116">
        <f t="shared" si="39"/>
        <v>45878</v>
      </c>
      <c r="M77" s="116">
        <f t="shared" si="39"/>
        <v>45885</v>
      </c>
      <c r="N77" s="116">
        <f t="shared" si="39"/>
        <v>45892</v>
      </c>
      <c r="O77" s="116">
        <f t="shared" si="24"/>
        <v>45899</v>
      </c>
      <c r="P77" s="116">
        <f t="shared" si="25"/>
        <v>45906</v>
      </c>
      <c r="Q77" s="116">
        <f>IFERROR(VLOOKUP(A77,'Date Calcs'!A:C,3,0),"")</f>
        <v>45910</v>
      </c>
      <c r="R77" s="116">
        <f t="shared" si="26"/>
        <v>45908</v>
      </c>
      <c r="S77" s="117"/>
      <c r="T77" s="116" t="e">
        <f t="shared" si="27"/>
        <v>#VALUE!</v>
      </c>
      <c r="U77" s="116" t="e">
        <f t="shared" si="28"/>
        <v>#VALUE!</v>
      </c>
      <c r="V77" s="116" t="str">
        <f>IFERROR(IF(VLOOKUP(A77,'Actual Dates'!A:AE,21,0)&gt;"",VLOOKUP(A77,'Actual Dates'!A:AE,21,0),W77-$V$2),"")</f>
        <v/>
      </c>
      <c r="W77" s="116" t="str">
        <f t="shared" si="29"/>
        <v/>
      </c>
      <c r="X77" s="116" t="str">
        <f t="shared" si="30"/>
        <v/>
      </c>
      <c r="Y77" s="116" t="str">
        <f t="shared" si="31"/>
        <v/>
      </c>
      <c r="Z77" s="116" t="str">
        <f t="shared" si="32"/>
        <v/>
      </c>
      <c r="AA77" s="116" t="str">
        <f t="shared" si="33"/>
        <v/>
      </c>
      <c r="AB77" s="116" t="str">
        <f t="shared" si="34"/>
        <v/>
      </c>
      <c r="AC77" s="116" t="str">
        <f t="shared" si="35"/>
        <v/>
      </c>
      <c r="AD77" s="116" t="str">
        <f t="shared" si="36"/>
        <v/>
      </c>
      <c r="AE77" s="116" t="str">
        <f t="shared" si="37"/>
        <v/>
      </c>
      <c r="AF77" s="116" t="str">
        <f t="shared" si="38"/>
        <v>093-25</v>
      </c>
    </row>
    <row r="78" spans="1:32" x14ac:dyDescent="0.25">
      <c r="A78" s="113" t="str">
        <f>'Date Calcs'!A78</f>
        <v>25-094</v>
      </c>
      <c r="B78" s="113" t="str">
        <f>'Date Calcs'!B78</f>
        <v>Kimberly Clark</v>
      </c>
      <c r="C78" s="114" t="str">
        <f>_xlfn.IFNA(_xlfn.IFNA(VLOOKUP(AF78,'[1]Schedule Not Certified'!$C:$F,3,0),VLOOKUP(AF78,[1]CERTIFIED!$C:$E,3,0)),"")</f>
        <v/>
      </c>
      <c r="D78" s="115">
        <v>0</v>
      </c>
      <c r="E78" s="115">
        <v>0</v>
      </c>
      <c r="F78" s="115">
        <v>0</v>
      </c>
      <c r="G78" s="115">
        <v>0</v>
      </c>
      <c r="H78" s="115">
        <v>0</v>
      </c>
      <c r="I78" s="114">
        <f t="shared" si="23"/>
        <v>45841</v>
      </c>
      <c r="J78" s="116">
        <f t="shared" si="39"/>
        <v>45862</v>
      </c>
      <c r="K78" s="116">
        <f t="shared" si="39"/>
        <v>45876</v>
      </c>
      <c r="L78" s="116">
        <f t="shared" si="39"/>
        <v>45883</v>
      </c>
      <c r="M78" s="116">
        <f t="shared" si="39"/>
        <v>45890</v>
      </c>
      <c r="N78" s="116">
        <f t="shared" si="39"/>
        <v>45897</v>
      </c>
      <c r="O78" s="116">
        <f t="shared" si="24"/>
        <v>45904</v>
      </c>
      <c r="P78" s="116">
        <f t="shared" si="25"/>
        <v>45911</v>
      </c>
      <c r="Q78" s="116">
        <f>IFERROR(VLOOKUP(A78,'Date Calcs'!A:C,3,0),"")</f>
        <v>45915</v>
      </c>
      <c r="R78" s="116">
        <f t="shared" si="26"/>
        <v>45913</v>
      </c>
      <c r="S78" s="117"/>
      <c r="T78" s="116" t="e">
        <f t="shared" si="27"/>
        <v>#VALUE!</v>
      </c>
      <c r="U78" s="116" t="e">
        <f t="shared" si="28"/>
        <v>#VALUE!</v>
      </c>
      <c r="V78" s="116" t="str">
        <f>IFERROR(IF(VLOOKUP(A78,'Actual Dates'!A:AE,21,0)&gt;"",VLOOKUP(A78,'Actual Dates'!A:AE,21,0),W78-$V$2),"")</f>
        <v/>
      </c>
      <c r="W78" s="116" t="str">
        <f t="shared" si="29"/>
        <v/>
      </c>
      <c r="X78" s="116" t="str">
        <f t="shared" si="30"/>
        <v/>
      </c>
      <c r="Y78" s="116" t="str">
        <f t="shared" si="31"/>
        <v/>
      </c>
      <c r="Z78" s="116" t="str">
        <f t="shared" si="32"/>
        <v/>
      </c>
      <c r="AA78" s="116" t="str">
        <f t="shared" si="33"/>
        <v/>
      </c>
      <c r="AB78" s="116" t="str">
        <f t="shared" si="34"/>
        <v/>
      </c>
      <c r="AC78" s="116" t="str">
        <f t="shared" si="35"/>
        <v/>
      </c>
      <c r="AD78" s="116" t="str">
        <f t="shared" si="36"/>
        <v/>
      </c>
      <c r="AE78" s="116" t="str">
        <f t="shared" si="37"/>
        <v/>
      </c>
      <c r="AF78" s="116" t="str">
        <f t="shared" si="38"/>
        <v>094-25</v>
      </c>
    </row>
    <row r="79" spans="1:32" x14ac:dyDescent="0.25">
      <c r="A79" s="113" t="str">
        <f>'Date Calcs'!A79</f>
        <v>25-095</v>
      </c>
      <c r="B79" s="113" t="str">
        <f>'Date Calcs'!B79</f>
        <v>Andritz</v>
      </c>
      <c r="C79" s="114" t="str">
        <f>_xlfn.IFNA(_xlfn.IFNA(VLOOKUP(AF79,'[1]Schedule Not Certified'!$C:$F,3,0),VLOOKUP(AF79,[1]CERTIFIED!$C:$E,3,0)),"")</f>
        <v/>
      </c>
      <c r="D79" s="115">
        <v>0</v>
      </c>
      <c r="E79" s="115">
        <v>0</v>
      </c>
      <c r="F79" s="115">
        <v>0</v>
      </c>
      <c r="G79" s="115">
        <v>0</v>
      </c>
      <c r="H79" s="115">
        <v>0</v>
      </c>
      <c r="I79" s="114">
        <f t="shared" si="23"/>
        <v>45845</v>
      </c>
      <c r="J79" s="116">
        <f t="shared" si="39"/>
        <v>45866</v>
      </c>
      <c r="K79" s="116">
        <f t="shared" si="39"/>
        <v>45880</v>
      </c>
      <c r="L79" s="116">
        <f t="shared" si="39"/>
        <v>45887</v>
      </c>
      <c r="M79" s="116">
        <f t="shared" si="39"/>
        <v>45894</v>
      </c>
      <c r="N79" s="116">
        <f t="shared" si="39"/>
        <v>45901</v>
      </c>
      <c r="O79" s="116">
        <f t="shared" si="24"/>
        <v>45908</v>
      </c>
      <c r="P79" s="116">
        <f t="shared" si="25"/>
        <v>45915</v>
      </c>
      <c r="Q79" s="116">
        <f>IFERROR(VLOOKUP(A79,'Date Calcs'!A:C,3,0),"")</f>
        <v>45919</v>
      </c>
      <c r="R79" s="116">
        <f t="shared" si="26"/>
        <v>45917</v>
      </c>
      <c r="S79" s="117"/>
      <c r="T79" s="116" t="e">
        <f t="shared" si="27"/>
        <v>#VALUE!</v>
      </c>
      <c r="U79" s="116" t="e">
        <f t="shared" si="28"/>
        <v>#VALUE!</v>
      </c>
      <c r="V79" s="116" t="str">
        <f>IFERROR(IF(VLOOKUP(A79,'Actual Dates'!A:AE,21,0)&gt;"",VLOOKUP(A79,'Actual Dates'!A:AE,21,0),W79-$V$2),"")</f>
        <v/>
      </c>
      <c r="W79" s="116" t="str">
        <f t="shared" si="29"/>
        <v/>
      </c>
      <c r="X79" s="116" t="str">
        <f t="shared" si="30"/>
        <v/>
      </c>
      <c r="Y79" s="116" t="str">
        <f t="shared" si="31"/>
        <v/>
      </c>
      <c r="Z79" s="116" t="str">
        <f t="shared" si="32"/>
        <v/>
      </c>
      <c r="AA79" s="116" t="str">
        <f t="shared" si="33"/>
        <v/>
      </c>
      <c r="AB79" s="116" t="str">
        <f t="shared" si="34"/>
        <v/>
      </c>
      <c r="AC79" s="116" t="str">
        <f t="shared" si="35"/>
        <v/>
      </c>
      <c r="AD79" s="116" t="str">
        <f t="shared" si="36"/>
        <v/>
      </c>
      <c r="AE79" s="116" t="str">
        <f t="shared" si="37"/>
        <v/>
      </c>
      <c r="AF79" s="116" t="str">
        <f t="shared" si="38"/>
        <v>095-25</v>
      </c>
    </row>
    <row r="80" spans="1:32" x14ac:dyDescent="0.25">
      <c r="A80" s="113" t="str">
        <f>'Date Calcs'!A80</f>
        <v>25-096</v>
      </c>
      <c r="B80" s="113" t="str">
        <f>'Date Calcs'!B80</f>
        <v>Milliken</v>
      </c>
      <c r="C80" s="114" t="str">
        <f>_xlfn.IFNA(_xlfn.IFNA(VLOOKUP(AF80,'[1]Schedule Not Certified'!$C:$F,3,0),VLOOKUP(AF80,[1]CERTIFIED!$C:$E,3,0)),"")</f>
        <v/>
      </c>
      <c r="D80" s="115">
        <v>0</v>
      </c>
      <c r="E80" s="115">
        <v>0</v>
      </c>
      <c r="F80" s="115">
        <v>0</v>
      </c>
      <c r="G80" s="115">
        <v>0</v>
      </c>
      <c r="H80" s="115">
        <v>0</v>
      </c>
      <c r="I80" s="114">
        <f t="shared" si="23"/>
        <v>45848</v>
      </c>
      <c r="J80" s="116">
        <f t="shared" si="39"/>
        <v>45869</v>
      </c>
      <c r="K80" s="116">
        <f t="shared" si="39"/>
        <v>45883</v>
      </c>
      <c r="L80" s="116">
        <f t="shared" si="39"/>
        <v>45890</v>
      </c>
      <c r="M80" s="116">
        <f t="shared" si="39"/>
        <v>45897</v>
      </c>
      <c r="N80" s="116">
        <f t="shared" si="39"/>
        <v>45904</v>
      </c>
      <c r="O80" s="116">
        <f t="shared" si="24"/>
        <v>45911</v>
      </c>
      <c r="P80" s="116">
        <f t="shared" si="25"/>
        <v>45918</v>
      </c>
      <c r="Q80" s="116">
        <f>IFERROR(VLOOKUP(A80,'Date Calcs'!A:C,3,0),"")</f>
        <v>45922</v>
      </c>
      <c r="R80" s="116">
        <f t="shared" si="26"/>
        <v>45920</v>
      </c>
      <c r="S80" s="117"/>
      <c r="T80" s="116" t="e">
        <f t="shared" si="27"/>
        <v>#VALUE!</v>
      </c>
      <c r="U80" s="116" t="e">
        <f t="shared" si="28"/>
        <v>#VALUE!</v>
      </c>
      <c r="V80" s="116" t="str">
        <f>IFERROR(IF(VLOOKUP(A80,'Actual Dates'!A:AE,21,0)&gt;"",VLOOKUP(A80,'Actual Dates'!A:AE,21,0),W80-$V$2),"")</f>
        <v/>
      </c>
      <c r="W80" s="116" t="str">
        <f t="shared" si="29"/>
        <v/>
      </c>
      <c r="X80" s="116" t="str">
        <f t="shared" si="30"/>
        <v/>
      </c>
      <c r="Y80" s="116" t="str">
        <f t="shared" si="31"/>
        <v/>
      </c>
      <c r="Z80" s="116" t="str">
        <f t="shared" si="32"/>
        <v/>
      </c>
      <c r="AA80" s="116" t="str">
        <f t="shared" si="33"/>
        <v/>
      </c>
      <c r="AB80" s="116" t="str">
        <f t="shared" si="34"/>
        <v/>
      </c>
      <c r="AC80" s="116" t="str">
        <f t="shared" si="35"/>
        <v/>
      </c>
      <c r="AD80" s="116" t="str">
        <f t="shared" si="36"/>
        <v/>
      </c>
      <c r="AE80" s="116" t="str">
        <f t="shared" si="37"/>
        <v/>
      </c>
      <c r="AF80" s="116" t="str">
        <f t="shared" si="38"/>
        <v>096-25</v>
      </c>
    </row>
    <row r="81" spans="1:32" x14ac:dyDescent="0.25">
      <c r="A81" s="113" t="str">
        <f>'Date Calcs'!A81</f>
        <v>25-097</v>
      </c>
      <c r="B81" s="113" t="str">
        <f>'Date Calcs'!B81</f>
        <v>Milliken</v>
      </c>
      <c r="C81" s="114" t="str">
        <f>_xlfn.IFNA(_xlfn.IFNA(VLOOKUP(AF81,'[1]Schedule Not Certified'!$C:$F,3,0),VLOOKUP(AF81,[1]CERTIFIED!$C:$E,3,0)),"")</f>
        <v/>
      </c>
      <c r="D81" s="115">
        <v>0</v>
      </c>
      <c r="E81" s="115">
        <v>0</v>
      </c>
      <c r="F81" s="115">
        <v>0</v>
      </c>
      <c r="G81" s="115">
        <v>0</v>
      </c>
      <c r="H81" s="115">
        <v>0</v>
      </c>
      <c r="I81" s="114">
        <f t="shared" si="23"/>
        <v>45848</v>
      </c>
      <c r="J81" s="116">
        <f t="shared" si="39"/>
        <v>45869</v>
      </c>
      <c r="K81" s="116">
        <f t="shared" si="39"/>
        <v>45883</v>
      </c>
      <c r="L81" s="116">
        <f t="shared" si="39"/>
        <v>45890</v>
      </c>
      <c r="M81" s="116">
        <f t="shared" si="39"/>
        <v>45897</v>
      </c>
      <c r="N81" s="116">
        <f t="shared" si="39"/>
        <v>45904</v>
      </c>
      <c r="O81" s="116">
        <f t="shared" si="24"/>
        <v>45911</v>
      </c>
      <c r="P81" s="116">
        <f t="shared" si="25"/>
        <v>45918</v>
      </c>
      <c r="Q81" s="116">
        <f>IFERROR(VLOOKUP(A81,'Date Calcs'!A:C,3,0),"")</f>
        <v>45922</v>
      </c>
      <c r="R81" s="116">
        <f t="shared" si="26"/>
        <v>45920</v>
      </c>
      <c r="S81" s="117"/>
      <c r="T81" s="116" t="e">
        <f t="shared" si="27"/>
        <v>#VALUE!</v>
      </c>
      <c r="U81" s="116" t="e">
        <f t="shared" si="28"/>
        <v>#VALUE!</v>
      </c>
      <c r="V81" s="116" t="str">
        <f>IFERROR(IF(VLOOKUP(A81,'Actual Dates'!A:AE,21,0)&gt;"",VLOOKUP(A81,'Actual Dates'!A:AE,21,0),W81-$V$2),"")</f>
        <v/>
      </c>
      <c r="W81" s="116" t="str">
        <f t="shared" si="29"/>
        <v/>
      </c>
      <c r="X81" s="116" t="str">
        <f t="shared" si="30"/>
        <v/>
      </c>
      <c r="Y81" s="116" t="str">
        <f t="shared" si="31"/>
        <v/>
      </c>
      <c r="Z81" s="116" t="str">
        <f t="shared" si="32"/>
        <v/>
      </c>
      <c r="AA81" s="116" t="str">
        <f t="shared" si="33"/>
        <v/>
      </c>
      <c r="AB81" s="116" t="str">
        <f t="shared" si="34"/>
        <v/>
      </c>
      <c r="AC81" s="116" t="str">
        <f t="shared" si="35"/>
        <v/>
      </c>
      <c r="AD81" s="116" t="str">
        <f t="shared" si="36"/>
        <v/>
      </c>
      <c r="AE81" s="116" t="str">
        <f t="shared" si="37"/>
        <v/>
      </c>
      <c r="AF81" s="116" t="str">
        <f t="shared" si="38"/>
        <v>097-25</v>
      </c>
    </row>
    <row r="82" spans="1:32" x14ac:dyDescent="0.25">
      <c r="A82" s="113" t="str">
        <f>'Date Calcs'!A82</f>
        <v>25-098</v>
      </c>
      <c r="B82" s="113" t="str">
        <f>'Date Calcs'!B82</f>
        <v>Coastal Technologies</v>
      </c>
      <c r="C82" s="114" t="str">
        <f>_xlfn.IFNA(_xlfn.IFNA(VLOOKUP(AF82,'[1]Schedule Not Certified'!$C:$F,3,0),VLOOKUP(AF82,[1]CERTIFIED!$C:$E,3,0)),"")</f>
        <v/>
      </c>
      <c r="D82" s="115">
        <v>3</v>
      </c>
      <c r="E82" s="115">
        <v>0.25</v>
      </c>
      <c r="F82" s="115">
        <v>0</v>
      </c>
      <c r="G82" s="115">
        <v>0.25</v>
      </c>
      <c r="H82" s="115">
        <v>0.5</v>
      </c>
      <c r="I82" s="114">
        <f t="shared" si="23"/>
        <v>45850</v>
      </c>
      <c r="J82" s="116">
        <f t="shared" si="39"/>
        <v>45871</v>
      </c>
      <c r="K82" s="116">
        <f t="shared" si="39"/>
        <v>45885</v>
      </c>
      <c r="L82" s="116">
        <f t="shared" si="39"/>
        <v>45892</v>
      </c>
      <c r="M82" s="116">
        <f t="shared" si="39"/>
        <v>45899</v>
      </c>
      <c r="N82" s="116">
        <f t="shared" si="39"/>
        <v>45906</v>
      </c>
      <c r="O82" s="116">
        <f t="shared" si="24"/>
        <v>45913</v>
      </c>
      <c r="P82" s="116">
        <f t="shared" si="25"/>
        <v>45920</v>
      </c>
      <c r="Q82" s="116">
        <f>IFERROR(VLOOKUP(A82,'Date Calcs'!A:C,3,0),"")</f>
        <v>45924</v>
      </c>
      <c r="R82" s="116">
        <f t="shared" si="26"/>
        <v>45922</v>
      </c>
      <c r="S82" s="117"/>
      <c r="T82" s="116" t="e">
        <f t="shared" si="27"/>
        <v>#VALUE!</v>
      </c>
      <c r="U82" s="116" t="e">
        <f t="shared" si="28"/>
        <v>#VALUE!</v>
      </c>
      <c r="V82" s="116" t="str">
        <f>IFERROR(IF(VLOOKUP(A82,'Actual Dates'!A:AE,21,0)&gt;"",VLOOKUP(A82,'Actual Dates'!A:AE,21,0),W82-$V$2),"")</f>
        <v/>
      </c>
      <c r="W82" s="116" t="str">
        <f t="shared" si="29"/>
        <v/>
      </c>
      <c r="X82" s="116" t="str">
        <f t="shared" si="30"/>
        <v/>
      </c>
      <c r="Y82" s="116" t="str">
        <f t="shared" si="31"/>
        <v/>
      </c>
      <c r="Z82" s="116" t="str">
        <f t="shared" si="32"/>
        <v/>
      </c>
      <c r="AA82" s="116" t="str">
        <f t="shared" si="33"/>
        <v/>
      </c>
      <c r="AB82" s="116" t="str">
        <f t="shared" si="34"/>
        <v/>
      </c>
      <c r="AC82" s="116" t="str">
        <f t="shared" si="35"/>
        <v/>
      </c>
      <c r="AD82" s="116" t="str">
        <f t="shared" si="36"/>
        <v/>
      </c>
      <c r="AE82" s="116" t="str">
        <f t="shared" si="37"/>
        <v/>
      </c>
      <c r="AF82" s="116" t="str">
        <f t="shared" si="38"/>
        <v>098-25</v>
      </c>
    </row>
    <row r="83" spans="1:32" x14ac:dyDescent="0.25">
      <c r="A83" s="113" t="str">
        <f>'Date Calcs'!A83</f>
        <v>25-099</v>
      </c>
      <c r="B83" s="113" t="str">
        <f>'Date Calcs'!B83</f>
        <v>Burke Industrial</v>
      </c>
      <c r="C83" s="114" t="str">
        <f>_xlfn.IFNA(_xlfn.IFNA(VLOOKUP(AF83,'[1]Schedule Not Certified'!$C:$F,3,0),VLOOKUP(AF83,[1]CERTIFIED!$C:$E,3,0)),"")</f>
        <v/>
      </c>
      <c r="D83" s="115">
        <v>3</v>
      </c>
      <c r="E83" s="115">
        <v>0.25</v>
      </c>
      <c r="F83" s="115">
        <v>0</v>
      </c>
      <c r="G83" s="115">
        <v>0.25</v>
      </c>
      <c r="H83" s="115">
        <v>0.5</v>
      </c>
      <c r="I83" s="114">
        <f t="shared" si="23"/>
        <v>45858</v>
      </c>
      <c r="J83" s="116">
        <f t="shared" si="39"/>
        <v>45879</v>
      </c>
      <c r="K83" s="116">
        <f t="shared" si="39"/>
        <v>45893</v>
      </c>
      <c r="L83" s="116">
        <f t="shared" si="39"/>
        <v>45900</v>
      </c>
      <c r="M83" s="116">
        <f t="shared" si="39"/>
        <v>45907</v>
      </c>
      <c r="N83" s="116">
        <f t="shared" si="39"/>
        <v>45914</v>
      </c>
      <c r="O83" s="116">
        <f t="shared" si="24"/>
        <v>45921</v>
      </c>
      <c r="P83" s="116">
        <f t="shared" si="25"/>
        <v>45928</v>
      </c>
      <c r="Q83" s="116">
        <f>IFERROR(VLOOKUP(A83,'Date Calcs'!A:C,3,0),"")</f>
        <v>45932</v>
      </c>
      <c r="R83" s="116">
        <f t="shared" si="26"/>
        <v>45930</v>
      </c>
      <c r="S83" s="117"/>
      <c r="T83" s="116" t="e">
        <f t="shared" si="27"/>
        <v>#VALUE!</v>
      </c>
      <c r="U83" s="116" t="e">
        <f t="shared" si="28"/>
        <v>#VALUE!</v>
      </c>
      <c r="V83" s="116" t="str">
        <f>IFERROR(IF(VLOOKUP(A83,'Actual Dates'!A:AE,21,0)&gt;"",VLOOKUP(A83,'Actual Dates'!A:AE,21,0),W83-$V$2),"")</f>
        <v/>
      </c>
      <c r="W83" s="116" t="str">
        <f t="shared" si="29"/>
        <v/>
      </c>
      <c r="X83" s="116" t="str">
        <f t="shared" si="30"/>
        <v/>
      </c>
      <c r="Y83" s="116" t="str">
        <f t="shared" si="31"/>
        <v/>
      </c>
      <c r="Z83" s="116" t="str">
        <f t="shared" si="32"/>
        <v/>
      </c>
      <c r="AA83" s="116" t="str">
        <f t="shared" si="33"/>
        <v/>
      </c>
      <c r="AB83" s="116" t="str">
        <f t="shared" si="34"/>
        <v/>
      </c>
      <c r="AC83" s="116" t="str">
        <f t="shared" si="35"/>
        <v/>
      </c>
      <c r="AD83" s="116" t="str">
        <f t="shared" si="36"/>
        <v/>
      </c>
      <c r="AE83" s="116" t="str">
        <f t="shared" si="37"/>
        <v/>
      </c>
      <c r="AF83" s="116" t="str">
        <f t="shared" si="38"/>
        <v>099-25</v>
      </c>
    </row>
    <row r="84" spans="1:32" x14ac:dyDescent="0.25">
      <c r="A84" s="113" t="str">
        <f>'Date Calcs'!A84</f>
        <v>25-101</v>
      </c>
      <c r="B84" s="113" t="str">
        <f>'Date Calcs'!B84</f>
        <v>Harper Love</v>
      </c>
      <c r="C84" s="114" t="str">
        <f>_xlfn.IFNA(_xlfn.IFNA(VLOOKUP(AF84,'[1]Schedule Not Certified'!$C:$F,3,0),VLOOKUP(AF84,[1]CERTIFIED!$C:$E,3,0)),"")</f>
        <v/>
      </c>
      <c r="D84" s="115">
        <v>5</v>
      </c>
      <c r="E84" s="115">
        <v>0.25</v>
      </c>
      <c r="F84" s="115">
        <v>1</v>
      </c>
      <c r="G84" s="115">
        <v>0</v>
      </c>
      <c r="H84" s="115">
        <v>0.5</v>
      </c>
      <c r="I84" s="114">
        <f t="shared" si="23"/>
        <v>45880</v>
      </c>
      <c r="J84" s="116">
        <f t="shared" si="39"/>
        <v>45901</v>
      </c>
      <c r="K84" s="116">
        <f t="shared" si="39"/>
        <v>45915</v>
      </c>
      <c r="L84" s="116">
        <f t="shared" si="39"/>
        <v>45922</v>
      </c>
      <c r="M84" s="116">
        <f t="shared" si="39"/>
        <v>45929</v>
      </c>
      <c r="N84" s="116">
        <f t="shared" si="39"/>
        <v>45936</v>
      </c>
      <c r="O84" s="116">
        <f t="shared" si="24"/>
        <v>45943</v>
      </c>
      <c r="P84" s="116">
        <f t="shared" si="25"/>
        <v>45950</v>
      </c>
      <c r="Q84" s="116">
        <f>IFERROR(VLOOKUP(A84,'Date Calcs'!A:C,3,0),"")</f>
        <v>45954</v>
      </c>
      <c r="R84" s="116">
        <f t="shared" si="26"/>
        <v>45952</v>
      </c>
      <c r="S84" s="117"/>
      <c r="T84" s="116" t="e">
        <f t="shared" si="27"/>
        <v>#VALUE!</v>
      </c>
      <c r="U84" s="116" t="e">
        <f t="shared" si="28"/>
        <v>#VALUE!</v>
      </c>
      <c r="V84" s="116" t="str">
        <f>IFERROR(IF(VLOOKUP(A84,'Actual Dates'!A:AE,21,0)&gt;"",VLOOKUP(A84,'Actual Dates'!A:AE,21,0),W84-$V$2),"")</f>
        <v/>
      </c>
      <c r="W84" s="116" t="str">
        <f t="shared" si="29"/>
        <v/>
      </c>
      <c r="X84" s="116" t="str">
        <f t="shared" si="30"/>
        <v/>
      </c>
      <c r="Y84" s="116" t="str">
        <f t="shared" si="31"/>
        <v/>
      </c>
      <c r="Z84" s="116" t="str">
        <f t="shared" si="32"/>
        <v/>
      </c>
      <c r="AA84" s="116" t="str">
        <f t="shared" si="33"/>
        <v/>
      </c>
      <c r="AB84" s="116" t="str">
        <f t="shared" si="34"/>
        <v/>
      </c>
      <c r="AC84" s="116" t="str">
        <f t="shared" si="35"/>
        <v/>
      </c>
      <c r="AD84" s="116" t="str">
        <f t="shared" si="36"/>
        <v/>
      </c>
      <c r="AE84" s="116" t="str">
        <f t="shared" si="37"/>
        <v/>
      </c>
      <c r="AF84" s="116" t="str">
        <f t="shared" si="38"/>
        <v>101-25</v>
      </c>
    </row>
    <row r="85" spans="1:32" x14ac:dyDescent="0.25">
      <c r="A85" s="113" t="str">
        <f>'Date Calcs'!A85</f>
        <v>25-102</v>
      </c>
      <c r="B85" s="113" t="str">
        <f>'Date Calcs'!B85</f>
        <v>Epic Systems</v>
      </c>
      <c r="C85" s="114" t="str">
        <f>_xlfn.IFNA(_xlfn.IFNA(VLOOKUP(AF85,'[1]Schedule Not Certified'!$C:$F,3,0),VLOOKUP(AF85,[1]CERTIFIED!$C:$E,3,0)),"")</f>
        <v/>
      </c>
      <c r="D85" s="115">
        <v>4</v>
      </c>
      <c r="E85" s="115">
        <v>0.25</v>
      </c>
      <c r="F85" s="115">
        <v>0</v>
      </c>
      <c r="G85" s="115">
        <v>0.25</v>
      </c>
      <c r="H85" s="115">
        <v>0.5</v>
      </c>
      <c r="I85" s="114">
        <f t="shared" si="23"/>
        <v>45894</v>
      </c>
      <c r="J85" s="116">
        <f t="shared" ref="J85:N94" si="40">K85-J$2</f>
        <v>45915</v>
      </c>
      <c r="K85" s="116">
        <f t="shared" si="40"/>
        <v>45929</v>
      </c>
      <c r="L85" s="116">
        <f t="shared" si="40"/>
        <v>45936</v>
      </c>
      <c r="M85" s="116">
        <f t="shared" si="40"/>
        <v>45943</v>
      </c>
      <c r="N85" s="116">
        <f t="shared" si="40"/>
        <v>45950</v>
      </c>
      <c r="O85" s="116">
        <f t="shared" si="24"/>
        <v>45957</v>
      </c>
      <c r="P85" s="116">
        <f t="shared" si="25"/>
        <v>45964</v>
      </c>
      <c r="Q85" s="116">
        <f>IFERROR(VLOOKUP(A85,'Date Calcs'!A:C,3,0),"")</f>
        <v>45968</v>
      </c>
      <c r="R85" s="116">
        <f t="shared" si="26"/>
        <v>45966</v>
      </c>
      <c r="S85" s="117"/>
      <c r="T85" s="116" t="e">
        <f t="shared" si="27"/>
        <v>#VALUE!</v>
      </c>
      <c r="U85" s="116" t="e">
        <f t="shared" si="28"/>
        <v>#VALUE!</v>
      </c>
      <c r="V85" s="116" t="str">
        <f>IFERROR(IF(VLOOKUP(A85,'Actual Dates'!A:AE,21,0)&gt;"",VLOOKUP(A85,'Actual Dates'!A:AE,21,0),W85-$V$2),"")</f>
        <v/>
      </c>
      <c r="W85" s="116" t="str">
        <f t="shared" si="29"/>
        <v/>
      </c>
      <c r="X85" s="116" t="str">
        <f t="shared" si="30"/>
        <v/>
      </c>
      <c r="Y85" s="116" t="str">
        <f t="shared" si="31"/>
        <v/>
      </c>
      <c r="Z85" s="116" t="str">
        <f t="shared" si="32"/>
        <v/>
      </c>
      <c r="AA85" s="116" t="str">
        <f t="shared" si="33"/>
        <v/>
      </c>
      <c r="AB85" s="116" t="str">
        <f t="shared" si="34"/>
        <v/>
      </c>
      <c r="AC85" s="116" t="str">
        <f t="shared" si="35"/>
        <v/>
      </c>
      <c r="AD85" s="116" t="str">
        <f t="shared" si="36"/>
        <v/>
      </c>
      <c r="AE85" s="116" t="str">
        <f t="shared" si="37"/>
        <v/>
      </c>
      <c r="AF85" s="116" t="str">
        <f t="shared" si="38"/>
        <v>102-25</v>
      </c>
    </row>
    <row r="86" spans="1:32" x14ac:dyDescent="0.25">
      <c r="A86" s="113" t="str">
        <f>'Date Calcs'!A86</f>
        <v>25-103</v>
      </c>
      <c r="B86" s="113" t="str">
        <f>'Date Calcs'!B86</f>
        <v>Epic Systems</v>
      </c>
      <c r="C86" s="114" t="str">
        <f>_xlfn.IFNA(_xlfn.IFNA(VLOOKUP(AF86,'[1]Schedule Not Certified'!$C:$F,3,0),VLOOKUP(AF86,[1]CERTIFIED!$C:$E,3,0)),"")</f>
        <v/>
      </c>
      <c r="D86" s="115">
        <v>4</v>
      </c>
      <c r="E86" s="115">
        <v>0.25</v>
      </c>
      <c r="F86" s="115">
        <v>0</v>
      </c>
      <c r="G86" s="115">
        <v>0.25</v>
      </c>
      <c r="H86" s="115">
        <v>0.5</v>
      </c>
      <c r="I86" s="114">
        <f t="shared" si="23"/>
        <v>45894</v>
      </c>
      <c r="J86" s="116">
        <f t="shared" si="40"/>
        <v>45915</v>
      </c>
      <c r="K86" s="116">
        <f t="shared" si="40"/>
        <v>45929</v>
      </c>
      <c r="L86" s="116">
        <f t="shared" si="40"/>
        <v>45936</v>
      </c>
      <c r="M86" s="116">
        <f t="shared" si="40"/>
        <v>45943</v>
      </c>
      <c r="N86" s="116">
        <f t="shared" si="40"/>
        <v>45950</v>
      </c>
      <c r="O86" s="116">
        <f t="shared" si="24"/>
        <v>45957</v>
      </c>
      <c r="P86" s="116">
        <f t="shared" si="25"/>
        <v>45964</v>
      </c>
      <c r="Q86" s="116">
        <f>IFERROR(VLOOKUP(A86,'Date Calcs'!A:C,3,0),"")</f>
        <v>45968</v>
      </c>
      <c r="R86" s="116">
        <f t="shared" si="26"/>
        <v>45966</v>
      </c>
      <c r="S86" s="117"/>
      <c r="T86" s="116" t="e">
        <f t="shared" si="27"/>
        <v>#VALUE!</v>
      </c>
      <c r="U86" s="116" t="e">
        <f t="shared" si="28"/>
        <v>#VALUE!</v>
      </c>
      <c r="V86" s="116" t="str">
        <f>IFERROR(IF(VLOOKUP(A86,'Actual Dates'!A:AE,21,0)&gt;"",VLOOKUP(A86,'Actual Dates'!A:AE,21,0),W86-$V$2),"")</f>
        <v/>
      </c>
      <c r="W86" s="116" t="str">
        <f t="shared" si="29"/>
        <v/>
      </c>
      <c r="X86" s="116" t="str">
        <f t="shared" si="30"/>
        <v/>
      </c>
      <c r="Y86" s="116" t="str">
        <f t="shared" si="31"/>
        <v/>
      </c>
      <c r="Z86" s="116" t="str">
        <f t="shared" si="32"/>
        <v/>
      </c>
      <c r="AA86" s="116" t="str">
        <f t="shared" si="33"/>
        <v/>
      </c>
      <c r="AB86" s="116" t="str">
        <f t="shared" si="34"/>
        <v/>
      </c>
      <c r="AC86" s="116" t="str">
        <f t="shared" si="35"/>
        <v/>
      </c>
      <c r="AD86" s="116" t="str">
        <f t="shared" si="36"/>
        <v/>
      </c>
      <c r="AE86" s="116" t="str">
        <f t="shared" si="37"/>
        <v/>
      </c>
      <c r="AF86" s="116" t="str">
        <f t="shared" si="38"/>
        <v>103-25</v>
      </c>
    </row>
    <row r="87" spans="1:32" x14ac:dyDescent="0.25">
      <c r="A87" s="113" t="str">
        <f>'Date Calcs'!A87</f>
        <v>25-104</v>
      </c>
      <c r="B87" s="113" t="str">
        <f>'Date Calcs'!B87</f>
        <v>Epic Systems</v>
      </c>
      <c r="C87" s="114" t="str">
        <f>_xlfn.IFNA(_xlfn.IFNA(VLOOKUP(AF87,'[1]Schedule Not Certified'!$C:$F,3,0),VLOOKUP(AF87,[1]CERTIFIED!$C:$E,3,0)),"")</f>
        <v/>
      </c>
      <c r="D87" s="115">
        <v>4</v>
      </c>
      <c r="E87" s="115">
        <v>0.25</v>
      </c>
      <c r="F87" s="115">
        <v>0</v>
      </c>
      <c r="G87" s="115">
        <v>0.25</v>
      </c>
      <c r="H87" s="115">
        <v>0.5</v>
      </c>
      <c r="I87" s="114">
        <f t="shared" si="23"/>
        <v>45894</v>
      </c>
      <c r="J87" s="116">
        <f t="shared" si="40"/>
        <v>45915</v>
      </c>
      <c r="K87" s="116">
        <f t="shared" si="40"/>
        <v>45929</v>
      </c>
      <c r="L87" s="116">
        <f t="shared" si="40"/>
        <v>45936</v>
      </c>
      <c r="M87" s="116">
        <f t="shared" si="40"/>
        <v>45943</v>
      </c>
      <c r="N87" s="116">
        <f t="shared" si="40"/>
        <v>45950</v>
      </c>
      <c r="O87" s="116">
        <f t="shared" si="24"/>
        <v>45957</v>
      </c>
      <c r="P87" s="116">
        <f t="shared" si="25"/>
        <v>45964</v>
      </c>
      <c r="Q87" s="116">
        <f>IFERROR(VLOOKUP(A87,'Date Calcs'!A:C,3,0),"")</f>
        <v>45968</v>
      </c>
      <c r="R87" s="116">
        <f t="shared" si="26"/>
        <v>45966</v>
      </c>
      <c r="S87" s="117"/>
      <c r="T87" s="116" t="e">
        <f t="shared" si="27"/>
        <v>#VALUE!</v>
      </c>
      <c r="U87" s="116" t="e">
        <f t="shared" si="28"/>
        <v>#VALUE!</v>
      </c>
      <c r="V87" s="116" t="str">
        <f>IFERROR(IF(VLOOKUP(A87,'Actual Dates'!A:AE,21,0)&gt;"",VLOOKUP(A87,'Actual Dates'!A:AE,21,0),W87-$V$2),"")</f>
        <v/>
      </c>
      <c r="W87" s="116" t="str">
        <f t="shared" si="29"/>
        <v/>
      </c>
      <c r="X87" s="116" t="str">
        <f t="shared" si="30"/>
        <v/>
      </c>
      <c r="Y87" s="116" t="str">
        <f t="shared" si="31"/>
        <v/>
      </c>
      <c r="Z87" s="116" t="str">
        <f t="shared" si="32"/>
        <v/>
      </c>
      <c r="AA87" s="116" t="str">
        <f t="shared" si="33"/>
        <v/>
      </c>
      <c r="AB87" s="116" t="str">
        <f t="shared" si="34"/>
        <v/>
      </c>
      <c r="AC87" s="116" t="str">
        <f t="shared" si="35"/>
        <v/>
      </c>
      <c r="AD87" s="116" t="str">
        <f t="shared" si="36"/>
        <v/>
      </c>
      <c r="AE87" s="116" t="str">
        <f t="shared" si="37"/>
        <v/>
      </c>
      <c r="AF87" s="116" t="str">
        <f t="shared" si="38"/>
        <v>104-25</v>
      </c>
    </row>
    <row r="88" spans="1:32" x14ac:dyDescent="0.25">
      <c r="A88" s="113" t="str">
        <f>'Date Calcs'!A88</f>
        <v>25-105</v>
      </c>
      <c r="B88" s="113" t="str">
        <f>'Date Calcs'!B88</f>
        <v>Epic Systems</v>
      </c>
      <c r="C88" s="114" t="str">
        <f>_xlfn.IFNA(_xlfn.IFNA(VLOOKUP(AF88,'[1]Schedule Not Certified'!$C:$F,3,0),VLOOKUP(AF88,[1]CERTIFIED!$C:$E,3,0)),"")</f>
        <v/>
      </c>
      <c r="D88" s="115">
        <v>4</v>
      </c>
      <c r="E88" s="115">
        <v>0.25</v>
      </c>
      <c r="F88" s="115">
        <v>0</v>
      </c>
      <c r="G88" s="115">
        <v>0.25</v>
      </c>
      <c r="H88" s="115">
        <v>0.5</v>
      </c>
      <c r="I88" s="114">
        <f t="shared" si="23"/>
        <v>45894</v>
      </c>
      <c r="J88" s="116">
        <f t="shared" si="40"/>
        <v>45915</v>
      </c>
      <c r="K88" s="116">
        <f t="shared" si="40"/>
        <v>45929</v>
      </c>
      <c r="L88" s="116">
        <f t="shared" si="40"/>
        <v>45936</v>
      </c>
      <c r="M88" s="116">
        <f t="shared" si="40"/>
        <v>45943</v>
      </c>
      <c r="N88" s="116">
        <f t="shared" si="40"/>
        <v>45950</v>
      </c>
      <c r="O88" s="116">
        <f t="shared" si="24"/>
        <v>45957</v>
      </c>
      <c r="P88" s="116">
        <f t="shared" si="25"/>
        <v>45964</v>
      </c>
      <c r="Q88" s="116">
        <f>IFERROR(VLOOKUP(A88,'Date Calcs'!A:C,3,0),"")</f>
        <v>45968</v>
      </c>
      <c r="R88" s="116">
        <f t="shared" si="26"/>
        <v>45966</v>
      </c>
      <c r="S88" s="117"/>
      <c r="T88" s="116" t="e">
        <f t="shared" si="27"/>
        <v>#VALUE!</v>
      </c>
      <c r="U88" s="116" t="e">
        <f t="shared" si="28"/>
        <v>#VALUE!</v>
      </c>
      <c r="V88" s="116" t="str">
        <f>IFERROR(IF(VLOOKUP(A88,'Actual Dates'!A:AE,21,0)&gt;"",VLOOKUP(A88,'Actual Dates'!A:AE,21,0),W88-$V$2),"")</f>
        <v/>
      </c>
      <c r="W88" s="116" t="str">
        <f t="shared" si="29"/>
        <v/>
      </c>
      <c r="X88" s="116" t="str">
        <f t="shared" si="30"/>
        <v/>
      </c>
      <c r="Y88" s="116" t="str">
        <f t="shared" si="31"/>
        <v/>
      </c>
      <c r="Z88" s="116" t="str">
        <f t="shared" si="32"/>
        <v/>
      </c>
      <c r="AA88" s="116" t="str">
        <f t="shared" si="33"/>
        <v/>
      </c>
      <c r="AB88" s="116" t="str">
        <f t="shared" si="34"/>
        <v/>
      </c>
      <c r="AC88" s="116" t="str">
        <f t="shared" si="35"/>
        <v/>
      </c>
      <c r="AD88" s="116" t="str">
        <f t="shared" si="36"/>
        <v/>
      </c>
      <c r="AE88" s="116" t="str">
        <f t="shared" si="37"/>
        <v/>
      </c>
      <c r="AF88" s="116" t="str">
        <f t="shared" si="38"/>
        <v>105-25</v>
      </c>
    </row>
    <row r="89" spans="1:32" x14ac:dyDescent="0.25">
      <c r="A89" s="113" t="str">
        <f>'Date Calcs'!A89</f>
        <v>25-106</v>
      </c>
      <c r="B89" s="113" t="str">
        <f>'Date Calcs'!B89</f>
        <v>Epic Systems</v>
      </c>
      <c r="C89" s="114" t="str">
        <f>_xlfn.IFNA(_xlfn.IFNA(VLOOKUP(AF89,'[1]Schedule Not Certified'!$C:$F,3,0),VLOOKUP(AF89,[1]CERTIFIED!$C:$E,3,0)),"")</f>
        <v/>
      </c>
      <c r="D89" s="115">
        <v>4</v>
      </c>
      <c r="E89" s="115">
        <v>0.25</v>
      </c>
      <c r="F89" s="115">
        <v>0</v>
      </c>
      <c r="G89" s="115">
        <v>0.25</v>
      </c>
      <c r="H89" s="115">
        <v>0.5</v>
      </c>
      <c r="I89" s="114">
        <f t="shared" si="23"/>
        <v>45894</v>
      </c>
      <c r="J89" s="116">
        <f t="shared" si="40"/>
        <v>45915</v>
      </c>
      <c r="K89" s="116">
        <f t="shared" si="40"/>
        <v>45929</v>
      </c>
      <c r="L89" s="116">
        <f t="shared" si="40"/>
        <v>45936</v>
      </c>
      <c r="M89" s="116">
        <f t="shared" si="40"/>
        <v>45943</v>
      </c>
      <c r="N89" s="116">
        <f t="shared" si="40"/>
        <v>45950</v>
      </c>
      <c r="O89" s="116">
        <f t="shared" si="24"/>
        <v>45957</v>
      </c>
      <c r="P89" s="116">
        <f t="shared" si="25"/>
        <v>45964</v>
      </c>
      <c r="Q89" s="116">
        <f>IFERROR(VLOOKUP(A89,'Date Calcs'!A:C,3,0),"")</f>
        <v>45968</v>
      </c>
      <c r="R89" s="116">
        <f t="shared" si="26"/>
        <v>45966</v>
      </c>
      <c r="S89" s="117"/>
      <c r="T89" s="116" t="e">
        <f t="shared" si="27"/>
        <v>#VALUE!</v>
      </c>
      <c r="U89" s="116" t="e">
        <f t="shared" si="28"/>
        <v>#VALUE!</v>
      </c>
      <c r="V89" s="116" t="str">
        <f>IFERROR(IF(VLOOKUP(A89,'Actual Dates'!A:AE,21,0)&gt;"",VLOOKUP(A89,'Actual Dates'!A:AE,21,0),W89-$V$2),"")</f>
        <v/>
      </c>
      <c r="W89" s="116" t="str">
        <f t="shared" si="29"/>
        <v/>
      </c>
      <c r="X89" s="116" t="str">
        <f t="shared" si="30"/>
        <v/>
      </c>
      <c r="Y89" s="116" t="str">
        <f t="shared" si="31"/>
        <v/>
      </c>
      <c r="Z89" s="116" t="str">
        <f t="shared" si="32"/>
        <v/>
      </c>
      <c r="AA89" s="116" t="str">
        <f t="shared" si="33"/>
        <v/>
      </c>
      <c r="AB89" s="116" t="str">
        <f t="shared" si="34"/>
        <v/>
      </c>
      <c r="AC89" s="116" t="str">
        <f t="shared" si="35"/>
        <v/>
      </c>
      <c r="AD89" s="116" t="str">
        <f t="shared" si="36"/>
        <v/>
      </c>
      <c r="AE89" s="116" t="str">
        <f t="shared" si="37"/>
        <v/>
      </c>
      <c r="AF89" s="116" t="str">
        <f t="shared" si="38"/>
        <v>106-25</v>
      </c>
    </row>
    <row r="90" spans="1:32" x14ac:dyDescent="0.25">
      <c r="A90" s="113" t="str">
        <f>'Date Calcs'!A90</f>
        <v>25-107</v>
      </c>
      <c r="B90" s="113" t="str">
        <f>'Date Calcs'!B90</f>
        <v>Epic Systems</v>
      </c>
      <c r="C90" s="114" t="str">
        <f>_xlfn.IFNA(_xlfn.IFNA(VLOOKUP(AF90,'[1]Schedule Not Certified'!$C:$F,3,0),VLOOKUP(AF90,[1]CERTIFIED!$C:$E,3,0)),"")</f>
        <v/>
      </c>
      <c r="D90" s="115">
        <v>4</v>
      </c>
      <c r="E90" s="115">
        <v>0.25</v>
      </c>
      <c r="F90" s="115">
        <v>0</v>
      </c>
      <c r="G90" s="115">
        <v>0.25</v>
      </c>
      <c r="H90" s="115">
        <v>0.5</v>
      </c>
      <c r="I90" s="114">
        <f t="shared" si="23"/>
        <v>45981</v>
      </c>
      <c r="J90" s="116">
        <f t="shared" si="40"/>
        <v>46002</v>
      </c>
      <c r="K90" s="116">
        <f t="shared" si="40"/>
        <v>46016</v>
      </c>
      <c r="L90" s="116">
        <f t="shared" si="40"/>
        <v>46023</v>
      </c>
      <c r="M90" s="116">
        <f t="shared" si="40"/>
        <v>46030</v>
      </c>
      <c r="N90" s="116">
        <f t="shared" si="40"/>
        <v>46037</v>
      </c>
      <c r="O90" s="116">
        <f t="shared" si="24"/>
        <v>46044</v>
      </c>
      <c r="P90" s="116">
        <f t="shared" si="25"/>
        <v>46051</v>
      </c>
      <c r="Q90" s="116">
        <f>IFERROR(VLOOKUP(A90,'Date Calcs'!A:C,3,0),"")</f>
        <v>46055</v>
      </c>
      <c r="R90" s="116">
        <f t="shared" si="26"/>
        <v>46053</v>
      </c>
      <c r="S90" s="117"/>
      <c r="T90" s="116" t="e">
        <f t="shared" si="27"/>
        <v>#VALUE!</v>
      </c>
      <c r="U90" s="116" t="e">
        <f t="shared" si="28"/>
        <v>#VALUE!</v>
      </c>
      <c r="V90" s="116" t="str">
        <f>IFERROR(IF(VLOOKUP(A90,'Actual Dates'!A:AE,21,0)&gt;"",VLOOKUP(A90,'Actual Dates'!A:AE,21,0),W90-$V$2),"")</f>
        <v/>
      </c>
      <c r="W90" s="116" t="str">
        <f t="shared" si="29"/>
        <v/>
      </c>
      <c r="X90" s="116" t="str">
        <f t="shared" si="30"/>
        <v/>
      </c>
      <c r="Y90" s="116" t="str">
        <f t="shared" si="31"/>
        <v/>
      </c>
      <c r="Z90" s="116" t="str">
        <f t="shared" si="32"/>
        <v/>
      </c>
      <c r="AA90" s="116" t="str">
        <f t="shared" si="33"/>
        <v/>
      </c>
      <c r="AB90" s="116" t="str">
        <f t="shared" si="34"/>
        <v/>
      </c>
      <c r="AC90" s="116" t="str">
        <f t="shared" si="35"/>
        <v/>
      </c>
      <c r="AD90" s="116" t="str">
        <f t="shared" si="36"/>
        <v/>
      </c>
      <c r="AE90" s="116" t="str">
        <f t="shared" si="37"/>
        <v/>
      </c>
      <c r="AF90" s="116" t="str">
        <f t="shared" si="38"/>
        <v>107-25</v>
      </c>
    </row>
    <row r="91" spans="1:32" x14ac:dyDescent="0.25">
      <c r="A91" s="113" t="str">
        <f>'Date Calcs'!A91</f>
        <v>25-108</v>
      </c>
      <c r="B91" s="113" t="str">
        <f>'Date Calcs'!B91</f>
        <v>Epic Systems</v>
      </c>
      <c r="C91" s="114" t="str">
        <f>_xlfn.IFNA(_xlfn.IFNA(VLOOKUP(AF91,'[1]Schedule Not Certified'!$C:$F,3,0),VLOOKUP(AF91,[1]CERTIFIED!$C:$E,3,0)),"")</f>
        <v/>
      </c>
      <c r="D91" s="115">
        <v>4</v>
      </c>
      <c r="E91" s="115">
        <v>0.25</v>
      </c>
      <c r="F91" s="115">
        <v>0</v>
      </c>
      <c r="G91" s="115">
        <v>0.25</v>
      </c>
      <c r="H91" s="115">
        <v>0.5</v>
      </c>
      <c r="I91" s="114">
        <f t="shared" si="23"/>
        <v>45886</v>
      </c>
      <c r="J91" s="116">
        <f t="shared" si="40"/>
        <v>45907</v>
      </c>
      <c r="K91" s="116">
        <f t="shared" si="40"/>
        <v>45921</v>
      </c>
      <c r="L91" s="116">
        <f t="shared" si="40"/>
        <v>45928</v>
      </c>
      <c r="M91" s="116">
        <f t="shared" si="40"/>
        <v>45935</v>
      </c>
      <c r="N91" s="116">
        <f t="shared" si="40"/>
        <v>45942</v>
      </c>
      <c r="O91" s="116">
        <f t="shared" si="24"/>
        <v>45949</v>
      </c>
      <c r="P91" s="116">
        <f t="shared" si="25"/>
        <v>45956</v>
      </c>
      <c r="Q91" s="116">
        <f>IFERROR(VLOOKUP(A91,'Date Calcs'!A:C,3,0),"")</f>
        <v>45960</v>
      </c>
      <c r="R91" s="116">
        <f t="shared" si="26"/>
        <v>45958</v>
      </c>
      <c r="S91" s="117"/>
      <c r="T91" s="116" t="e">
        <f t="shared" si="27"/>
        <v>#VALUE!</v>
      </c>
      <c r="U91" s="116" t="e">
        <f t="shared" si="28"/>
        <v>#VALUE!</v>
      </c>
      <c r="V91" s="116" t="str">
        <f>IFERROR(IF(VLOOKUP(A91,'Actual Dates'!A:AE,21,0)&gt;"",VLOOKUP(A91,'Actual Dates'!A:AE,21,0),W91-$V$2),"")</f>
        <v/>
      </c>
      <c r="W91" s="116" t="str">
        <f t="shared" si="29"/>
        <v/>
      </c>
      <c r="X91" s="116" t="str">
        <f t="shared" si="30"/>
        <v/>
      </c>
      <c r="Y91" s="116" t="str">
        <f t="shared" si="31"/>
        <v/>
      </c>
      <c r="Z91" s="116" t="str">
        <f t="shared" si="32"/>
        <v/>
      </c>
      <c r="AA91" s="116" t="str">
        <f t="shared" si="33"/>
        <v/>
      </c>
      <c r="AB91" s="116" t="str">
        <f t="shared" si="34"/>
        <v/>
      </c>
      <c r="AC91" s="116" t="str">
        <f t="shared" si="35"/>
        <v/>
      </c>
      <c r="AD91" s="116" t="str">
        <f t="shared" si="36"/>
        <v/>
      </c>
      <c r="AE91" s="116" t="str">
        <f t="shared" si="37"/>
        <v/>
      </c>
      <c r="AF91" s="116" t="str">
        <f t="shared" si="38"/>
        <v>108-25</v>
      </c>
    </row>
    <row r="92" spans="1:32" x14ac:dyDescent="0.25">
      <c r="A92" s="113" t="str">
        <f>'Date Calcs'!A92</f>
        <v>25-109</v>
      </c>
      <c r="B92" s="113" t="str">
        <f>'Date Calcs'!B92</f>
        <v>Epic Systems</v>
      </c>
      <c r="C92" s="114" t="str">
        <f>_xlfn.IFNA(_xlfn.IFNA(VLOOKUP(AF92,'[1]Schedule Not Certified'!$C:$F,3,0),VLOOKUP(AF92,[1]CERTIFIED!$C:$E,3,0)),"")</f>
        <v/>
      </c>
      <c r="D92" s="115">
        <v>4</v>
      </c>
      <c r="E92" s="115">
        <v>0.25</v>
      </c>
      <c r="F92" s="115">
        <v>0</v>
      </c>
      <c r="G92" s="115">
        <v>0.25</v>
      </c>
      <c r="H92" s="115">
        <v>0.5</v>
      </c>
      <c r="I92" s="114">
        <f t="shared" si="23"/>
        <v>45886</v>
      </c>
      <c r="J92" s="116">
        <f t="shared" si="40"/>
        <v>45907</v>
      </c>
      <c r="K92" s="116">
        <f t="shared" si="40"/>
        <v>45921</v>
      </c>
      <c r="L92" s="116">
        <f t="shared" si="40"/>
        <v>45928</v>
      </c>
      <c r="M92" s="116">
        <f t="shared" si="40"/>
        <v>45935</v>
      </c>
      <c r="N92" s="116">
        <f t="shared" si="40"/>
        <v>45942</v>
      </c>
      <c r="O92" s="116">
        <f t="shared" si="24"/>
        <v>45949</v>
      </c>
      <c r="P92" s="116">
        <f t="shared" si="25"/>
        <v>45956</v>
      </c>
      <c r="Q92" s="116">
        <f>IFERROR(VLOOKUP(A92,'Date Calcs'!A:C,3,0),"")</f>
        <v>45960</v>
      </c>
      <c r="R92" s="116">
        <f t="shared" si="26"/>
        <v>45958</v>
      </c>
      <c r="S92" s="117"/>
      <c r="T92" s="116" t="e">
        <f t="shared" si="27"/>
        <v>#VALUE!</v>
      </c>
      <c r="U92" s="116" t="e">
        <f t="shared" si="28"/>
        <v>#VALUE!</v>
      </c>
      <c r="V92" s="116" t="str">
        <f>IFERROR(IF(VLOOKUP(A92,'Actual Dates'!A:AE,21,0)&gt;"",VLOOKUP(A92,'Actual Dates'!A:AE,21,0),W92-$V$2),"")</f>
        <v/>
      </c>
      <c r="W92" s="116" t="str">
        <f t="shared" si="29"/>
        <v/>
      </c>
      <c r="X92" s="116" t="str">
        <f t="shared" si="30"/>
        <v/>
      </c>
      <c r="Y92" s="116" t="str">
        <f t="shared" si="31"/>
        <v/>
      </c>
      <c r="Z92" s="116" t="str">
        <f t="shared" si="32"/>
        <v/>
      </c>
      <c r="AA92" s="116" t="str">
        <f t="shared" si="33"/>
        <v/>
      </c>
      <c r="AB92" s="116" t="str">
        <f t="shared" si="34"/>
        <v/>
      </c>
      <c r="AC92" s="116" t="str">
        <f t="shared" si="35"/>
        <v/>
      </c>
      <c r="AD92" s="116" t="str">
        <f t="shared" si="36"/>
        <v/>
      </c>
      <c r="AE92" s="116" t="str">
        <f t="shared" si="37"/>
        <v/>
      </c>
      <c r="AF92" s="116" t="str">
        <f t="shared" si="38"/>
        <v>109-25</v>
      </c>
    </row>
    <row r="93" spans="1:32" x14ac:dyDescent="0.25">
      <c r="A93" s="113" t="str">
        <f>'Date Calcs'!A93</f>
        <v>25-110</v>
      </c>
      <c r="B93" s="113" t="str">
        <f>'Date Calcs'!B93</f>
        <v>Epic Systems</v>
      </c>
      <c r="C93" s="114" t="str">
        <f>_xlfn.IFNA(_xlfn.IFNA(VLOOKUP(AF93,'[1]Schedule Not Certified'!$C:$F,3,0),VLOOKUP(AF93,[1]CERTIFIED!$C:$E,3,0)),"")</f>
        <v/>
      </c>
      <c r="D93" s="115">
        <v>4</v>
      </c>
      <c r="E93" s="115">
        <v>0.25</v>
      </c>
      <c r="F93" s="115">
        <v>0</v>
      </c>
      <c r="G93" s="115">
        <v>0.25</v>
      </c>
      <c r="H93" s="115">
        <v>0.5</v>
      </c>
      <c r="I93" s="114">
        <f t="shared" si="23"/>
        <v>45886</v>
      </c>
      <c r="J93" s="116">
        <f t="shared" si="40"/>
        <v>45907</v>
      </c>
      <c r="K93" s="116">
        <f t="shared" si="40"/>
        <v>45921</v>
      </c>
      <c r="L93" s="116">
        <f t="shared" si="40"/>
        <v>45928</v>
      </c>
      <c r="M93" s="116">
        <f t="shared" si="40"/>
        <v>45935</v>
      </c>
      <c r="N93" s="116">
        <f t="shared" si="40"/>
        <v>45942</v>
      </c>
      <c r="O93" s="116">
        <f t="shared" si="24"/>
        <v>45949</v>
      </c>
      <c r="P93" s="116">
        <f t="shared" si="25"/>
        <v>45956</v>
      </c>
      <c r="Q93" s="116">
        <f>IFERROR(VLOOKUP(A93,'Date Calcs'!A:C,3,0),"")</f>
        <v>45960</v>
      </c>
      <c r="R93" s="116">
        <f t="shared" si="26"/>
        <v>45958</v>
      </c>
      <c r="S93" s="117"/>
      <c r="T93" s="116" t="e">
        <f t="shared" si="27"/>
        <v>#VALUE!</v>
      </c>
      <c r="U93" s="116" t="e">
        <f t="shared" si="28"/>
        <v>#VALUE!</v>
      </c>
      <c r="V93" s="116" t="str">
        <f>IFERROR(IF(VLOOKUP(A93,'Actual Dates'!A:AE,21,0)&gt;"",VLOOKUP(A93,'Actual Dates'!A:AE,21,0),W93-$V$2),"")</f>
        <v/>
      </c>
      <c r="W93" s="116" t="str">
        <f t="shared" si="29"/>
        <v/>
      </c>
      <c r="X93" s="116" t="str">
        <f t="shared" si="30"/>
        <v/>
      </c>
      <c r="Y93" s="116" t="str">
        <f t="shared" si="31"/>
        <v/>
      </c>
      <c r="Z93" s="116" t="str">
        <f t="shared" si="32"/>
        <v/>
      </c>
      <c r="AA93" s="116" t="str">
        <f t="shared" si="33"/>
        <v/>
      </c>
      <c r="AB93" s="116" t="str">
        <f t="shared" si="34"/>
        <v/>
      </c>
      <c r="AC93" s="116" t="str">
        <f t="shared" si="35"/>
        <v/>
      </c>
      <c r="AD93" s="116" t="str">
        <f t="shared" si="36"/>
        <v/>
      </c>
      <c r="AE93" s="116" t="str">
        <f t="shared" si="37"/>
        <v/>
      </c>
      <c r="AF93" s="116" t="str">
        <f t="shared" si="38"/>
        <v>110-25</v>
      </c>
    </row>
    <row r="94" spans="1:32" x14ac:dyDescent="0.25">
      <c r="A94" s="113" t="str">
        <f>'Date Calcs'!A94</f>
        <v>25-111</v>
      </c>
      <c r="B94" s="113" t="str">
        <f>'Date Calcs'!B94</f>
        <v>Epic Systems</v>
      </c>
      <c r="C94" s="114" t="str">
        <f>_xlfn.IFNA(_xlfn.IFNA(VLOOKUP(AF94,'[1]Schedule Not Certified'!$C:$F,3,0),VLOOKUP(AF94,[1]CERTIFIED!$C:$E,3,0)),"")</f>
        <v/>
      </c>
      <c r="D94" s="115">
        <v>4</v>
      </c>
      <c r="E94" s="115">
        <v>0.25</v>
      </c>
      <c r="F94" s="115">
        <v>0</v>
      </c>
      <c r="G94" s="115">
        <v>0.25</v>
      </c>
      <c r="H94" s="115">
        <v>0.5</v>
      </c>
      <c r="I94" s="114">
        <f t="shared" si="23"/>
        <v>45886</v>
      </c>
      <c r="J94" s="116">
        <f t="shared" si="40"/>
        <v>45907</v>
      </c>
      <c r="K94" s="116">
        <f t="shared" si="40"/>
        <v>45921</v>
      </c>
      <c r="L94" s="116">
        <f t="shared" si="40"/>
        <v>45928</v>
      </c>
      <c r="M94" s="116">
        <f t="shared" si="40"/>
        <v>45935</v>
      </c>
      <c r="N94" s="116">
        <f t="shared" si="40"/>
        <v>45942</v>
      </c>
      <c r="O94" s="116">
        <f t="shared" si="24"/>
        <v>45949</v>
      </c>
      <c r="P94" s="116">
        <f t="shared" si="25"/>
        <v>45956</v>
      </c>
      <c r="Q94" s="116">
        <f>IFERROR(VLOOKUP(A94,'Date Calcs'!A:C,3,0),"")</f>
        <v>45960</v>
      </c>
      <c r="R94" s="116">
        <f t="shared" si="26"/>
        <v>45958</v>
      </c>
      <c r="S94" s="117"/>
      <c r="T94" s="116" t="e">
        <f t="shared" si="27"/>
        <v>#VALUE!</v>
      </c>
      <c r="U94" s="116" t="e">
        <f t="shared" si="28"/>
        <v>#VALUE!</v>
      </c>
      <c r="V94" s="116" t="str">
        <f>IFERROR(IF(VLOOKUP(A94,'Actual Dates'!A:AE,21,0)&gt;"",VLOOKUP(A94,'Actual Dates'!A:AE,21,0),W94-$V$2),"")</f>
        <v/>
      </c>
      <c r="W94" s="116" t="str">
        <f t="shared" si="29"/>
        <v/>
      </c>
      <c r="X94" s="116" t="str">
        <f t="shared" si="30"/>
        <v/>
      </c>
      <c r="Y94" s="116" t="str">
        <f t="shared" si="31"/>
        <v/>
      </c>
      <c r="Z94" s="116" t="str">
        <f t="shared" si="32"/>
        <v/>
      </c>
      <c r="AA94" s="116" t="str">
        <f t="shared" si="33"/>
        <v/>
      </c>
      <c r="AB94" s="116" t="str">
        <f t="shared" si="34"/>
        <v/>
      </c>
      <c r="AC94" s="116" t="str">
        <f t="shared" si="35"/>
        <v/>
      </c>
      <c r="AD94" s="116" t="str">
        <f t="shared" si="36"/>
        <v/>
      </c>
      <c r="AE94" s="116" t="str">
        <f t="shared" si="37"/>
        <v/>
      </c>
      <c r="AF94" s="116" t="str">
        <f t="shared" si="38"/>
        <v>111-25</v>
      </c>
    </row>
    <row r="95" spans="1:32" x14ac:dyDescent="0.25">
      <c r="A95" s="113" t="str">
        <f>'Date Calcs'!A95</f>
        <v>25-112</v>
      </c>
      <c r="B95" s="113" t="str">
        <f>'Date Calcs'!B95</f>
        <v>Epic Systems</v>
      </c>
      <c r="C95" s="114" t="str">
        <f>_xlfn.IFNA(_xlfn.IFNA(VLOOKUP(AF95,'[1]Schedule Not Certified'!$C:$F,3,0),VLOOKUP(AF95,[1]CERTIFIED!$C:$E,3,0)),"")</f>
        <v/>
      </c>
      <c r="D95" s="115">
        <v>4</v>
      </c>
      <c r="E95" s="115">
        <v>0.25</v>
      </c>
      <c r="F95" s="115">
        <v>0</v>
      </c>
      <c r="G95" s="115">
        <v>0.25</v>
      </c>
      <c r="H95" s="115">
        <v>0.5</v>
      </c>
      <c r="I95" s="114">
        <f t="shared" si="23"/>
        <v>45886</v>
      </c>
      <c r="J95" s="116">
        <f t="shared" ref="J95:N104" si="41">K95-J$2</f>
        <v>45907</v>
      </c>
      <c r="K95" s="116">
        <f t="shared" si="41"/>
        <v>45921</v>
      </c>
      <c r="L95" s="116">
        <f t="shared" si="41"/>
        <v>45928</v>
      </c>
      <c r="M95" s="116">
        <f t="shared" si="41"/>
        <v>45935</v>
      </c>
      <c r="N95" s="116">
        <f t="shared" si="41"/>
        <v>45942</v>
      </c>
      <c r="O95" s="116">
        <f t="shared" si="24"/>
        <v>45949</v>
      </c>
      <c r="P95" s="116">
        <f t="shared" si="25"/>
        <v>45956</v>
      </c>
      <c r="Q95" s="116">
        <f>IFERROR(VLOOKUP(A95,'Date Calcs'!A:C,3,0),"")</f>
        <v>45960</v>
      </c>
      <c r="R95" s="116">
        <f t="shared" si="26"/>
        <v>45958</v>
      </c>
      <c r="S95" s="117"/>
      <c r="T95" s="116" t="e">
        <f t="shared" si="27"/>
        <v>#VALUE!</v>
      </c>
      <c r="U95" s="116" t="e">
        <f t="shared" si="28"/>
        <v>#VALUE!</v>
      </c>
      <c r="V95" s="116" t="str">
        <f>IFERROR(IF(VLOOKUP(A95,'Actual Dates'!A:AE,21,0)&gt;"",VLOOKUP(A95,'Actual Dates'!A:AE,21,0),W95-$V$2),"")</f>
        <v/>
      </c>
      <c r="W95" s="116" t="str">
        <f t="shared" si="29"/>
        <v/>
      </c>
      <c r="X95" s="116" t="str">
        <f t="shared" si="30"/>
        <v/>
      </c>
      <c r="Y95" s="116" t="str">
        <f t="shared" si="31"/>
        <v/>
      </c>
      <c r="Z95" s="116" t="str">
        <f t="shared" si="32"/>
        <v/>
      </c>
      <c r="AA95" s="116" t="str">
        <f t="shared" si="33"/>
        <v/>
      </c>
      <c r="AB95" s="116" t="str">
        <f t="shared" si="34"/>
        <v/>
      </c>
      <c r="AC95" s="116" t="str">
        <f t="shared" si="35"/>
        <v/>
      </c>
      <c r="AD95" s="116" t="str">
        <f t="shared" si="36"/>
        <v/>
      </c>
      <c r="AE95" s="116" t="str">
        <f t="shared" si="37"/>
        <v/>
      </c>
      <c r="AF95" s="116" t="str">
        <f t="shared" si="38"/>
        <v>112-25</v>
      </c>
    </row>
    <row r="96" spans="1:32" x14ac:dyDescent="0.25">
      <c r="A96" s="113" t="str">
        <f>'Date Calcs'!A96</f>
        <v>25-113</v>
      </c>
      <c r="B96" s="113" t="str">
        <f>'Date Calcs'!B96</f>
        <v>Epic Systems</v>
      </c>
      <c r="C96" s="114" t="str">
        <f>_xlfn.IFNA(_xlfn.IFNA(VLOOKUP(AF96,'[1]Schedule Not Certified'!$C:$F,3,0),VLOOKUP(AF96,[1]CERTIFIED!$C:$E,3,0)),"")</f>
        <v/>
      </c>
      <c r="D96" s="115">
        <v>4</v>
      </c>
      <c r="E96" s="115">
        <v>0.25</v>
      </c>
      <c r="F96" s="115">
        <v>0</v>
      </c>
      <c r="G96" s="115">
        <v>0.25</v>
      </c>
      <c r="H96" s="115">
        <v>0.5</v>
      </c>
      <c r="I96" s="114">
        <f t="shared" si="23"/>
        <v>45901</v>
      </c>
      <c r="J96" s="116">
        <f t="shared" si="41"/>
        <v>45922</v>
      </c>
      <c r="K96" s="116">
        <f t="shared" si="41"/>
        <v>45936</v>
      </c>
      <c r="L96" s="116">
        <f t="shared" si="41"/>
        <v>45943</v>
      </c>
      <c r="M96" s="116">
        <f t="shared" si="41"/>
        <v>45950</v>
      </c>
      <c r="N96" s="116">
        <f t="shared" si="41"/>
        <v>45957</v>
      </c>
      <c r="O96" s="116">
        <f t="shared" si="24"/>
        <v>45964</v>
      </c>
      <c r="P96" s="116">
        <f t="shared" si="25"/>
        <v>45971</v>
      </c>
      <c r="Q96" s="116">
        <f>IFERROR(VLOOKUP(A96,'Date Calcs'!A:C,3,0),"")</f>
        <v>45975</v>
      </c>
      <c r="R96" s="116">
        <f t="shared" si="26"/>
        <v>45973</v>
      </c>
      <c r="S96" s="117"/>
      <c r="T96" s="116" t="e">
        <f t="shared" si="27"/>
        <v>#VALUE!</v>
      </c>
      <c r="U96" s="116" t="e">
        <f t="shared" si="28"/>
        <v>#VALUE!</v>
      </c>
      <c r="V96" s="116" t="str">
        <f>IFERROR(IF(VLOOKUP(A96,'Actual Dates'!A:AE,21,0)&gt;"",VLOOKUP(A96,'Actual Dates'!A:AE,21,0),W96-$V$2),"")</f>
        <v/>
      </c>
      <c r="W96" s="116" t="str">
        <f t="shared" si="29"/>
        <v/>
      </c>
      <c r="X96" s="116" t="str">
        <f t="shared" si="30"/>
        <v/>
      </c>
      <c r="Y96" s="116" t="str">
        <f t="shared" si="31"/>
        <v/>
      </c>
      <c r="Z96" s="116" t="str">
        <f t="shared" si="32"/>
        <v/>
      </c>
      <c r="AA96" s="116" t="str">
        <f t="shared" si="33"/>
        <v/>
      </c>
      <c r="AB96" s="116" t="str">
        <f t="shared" si="34"/>
        <v/>
      </c>
      <c r="AC96" s="116" t="str">
        <f t="shared" si="35"/>
        <v/>
      </c>
      <c r="AD96" s="116" t="str">
        <f t="shared" si="36"/>
        <v/>
      </c>
      <c r="AE96" s="116" t="str">
        <f t="shared" si="37"/>
        <v/>
      </c>
      <c r="AF96" s="116" t="str">
        <f t="shared" si="38"/>
        <v>113-25</v>
      </c>
    </row>
    <row r="97" spans="1:32" x14ac:dyDescent="0.25">
      <c r="A97" s="113" t="str">
        <f>'Date Calcs'!A97</f>
        <v>25-115</v>
      </c>
      <c r="B97" s="113" t="str">
        <f>'Date Calcs'!B97</f>
        <v>Epic Systems</v>
      </c>
      <c r="C97" s="114" t="str">
        <f>_xlfn.IFNA(_xlfn.IFNA(VLOOKUP(AF97,'[1]Schedule Not Certified'!$C:$F,3,0),VLOOKUP(AF97,[1]CERTIFIED!$C:$E,3,0)),"")</f>
        <v/>
      </c>
      <c r="D97" s="115">
        <v>4</v>
      </c>
      <c r="E97" s="115">
        <v>0.25</v>
      </c>
      <c r="F97" s="115">
        <v>0</v>
      </c>
      <c r="G97" s="115">
        <v>0.25</v>
      </c>
      <c r="H97" s="115">
        <v>0.5</v>
      </c>
      <c r="I97" s="114">
        <f t="shared" si="23"/>
        <v>45886</v>
      </c>
      <c r="J97" s="116">
        <f t="shared" si="41"/>
        <v>45907</v>
      </c>
      <c r="K97" s="116">
        <f t="shared" si="41"/>
        <v>45921</v>
      </c>
      <c r="L97" s="116">
        <f t="shared" si="41"/>
        <v>45928</v>
      </c>
      <c r="M97" s="116">
        <f t="shared" si="41"/>
        <v>45935</v>
      </c>
      <c r="N97" s="116">
        <f t="shared" si="41"/>
        <v>45942</v>
      </c>
      <c r="O97" s="116">
        <f t="shared" si="24"/>
        <v>45949</v>
      </c>
      <c r="P97" s="116">
        <f t="shared" si="25"/>
        <v>45956</v>
      </c>
      <c r="Q97" s="116">
        <f>IFERROR(VLOOKUP(A97,'Date Calcs'!A:C,3,0),"")</f>
        <v>45960</v>
      </c>
      <c r="R97" s="116">
        <f t="shared" si="26"/>
        <v>45958</v>
      </c>
      <c r="S97" s="117"/>
      <c r="T97" s="116" t="e">
        <f t="shared" si="27"/>
        <v>#VALUE!</v>
      </c>
      <c r="U97" s="116" t="e">
        <f t="shared" si="28"/>
        <v>#VALUE!</v>
      </c>
      <c r="V97" s="116" t="str">
        <f>IFERROR(IF(VLOOKUP(A97,'Actual Dates'!A:AE,21,0)&gt;"",VLOOKUP(A97,'Actual Dates'!A:AE,21,0),W97-$V$2),"")</f>
        <v/>
      </c>
      <c r="W97" s="116" t="str">
        <f t="shared" si="29"/>
        <v/>
      </c>
      <c r="X97" s="116" t="str">
        <f t="shared" si="30"/>
        <v/>
      </c>
      <c r="Y97" s="116" t="str">
        <f t="shared" si="31"/>
        <v/>
      </c>
      <c r="Z97" s="116" t="str">
        <f t="shared" si="32"/>
        <v/>
      </c>
      <c r="AA97" s="116" t="str">
        <f t="shared" si="33"/>
        <v/>
      </c>
      <c r="AB97" s="116" t="str">
        <f t="shared" si="34"/>
        <v/>
      </c>
      <c r="AC97" s="116" t="str">
        <f t="shared" si="35"/>
        <v/>
      </c>
      <c r="AD97" s="116" t="str">
        <f t="shared" si="36"/>
        <v/>
      </c>
      <c r="AE97" s="116" t="str">
        <f t="shared" si="37"/>
        <v/>
      </c>
      <c r="AF97" s="116" t="str">
        <f t="shared" si="38"/>
        <v>115-25</v>
      </c>
    </row>
    <row r="98" spans="1:32" x14ac:dyDescent="0.25">
      <c r="A98" s="113" t="str">
        <f>'Date Calcs'!A98</f>
        <v>25-116</v>
      </c>
      <c r="B98" s="113" t="str">
        <f>'Date Calcs'!B98</f>
        <v>Polynt</v>
      </c>
      <c r="C98" s="114" t="str">
        <f>_xlfn.IFNA(_xlfn.IFNA(VLOOKUP(AF98,'[1]Schedule Not Certified'!$C:$F,3,0),VLOOKUP(AF98,[1]CERTIFIED!$C:$E,3,0)),"")</f>
        <v/>
      </c>
      <c r="D98" s="115">
        <v>4</v>
      </c>
      <c r="E98" s="115">
        <v>0.25</v>
      </c>
      <c r="F98" s="115">
        <v>0</v>
      </c>
      <c r="G98" s="115">
        <v>0.25</v>
      </c>
      <c r="H98" s="115">
        <v>0.5</v>
      </c>
      <c r="I98" s="114">
        <f t="shared" si="23"/>
        <v>45891</v>
      </c>
      <c r="J98" s="116">
        <f t="shared" si="41"/>
        <v>45912</v>
      </c>
      <c r="K98" s="116">
        <f t="shared" si="41"/>
        <v>45926</v>
      </c>
      <c r="L98" s="116">
        <f t="shared" si="41"/>
        <v>45933</v>
      </c>
      <c r="M98" s="116">
        <f t="shared" si="41"/>
        <v>45940</v>
      </c>
      <c r="N98" s="116">
        <f t="shared" si="41"/>
        <v>45947</v>
      </c>
      <c r="O98" s="116">
        <f t="shared" si="24"/>
        <v>45954</v>
      </c>
      <c r="P98" s="116">
        <f t="shared" si="25"/>
        <v>45961</v>
      </c>
      <c r="Q98" s="116">
        <f>IFERROR(VLOOKUP(A98,'Date Calcs'!A:C,3,0),"")</f>
        <v>45965</v>
      </c>
      <c r="R98" s="116">
        <f t="shared" si="26"/>
        <v>45963</v>
      </c>
      <c r="S98" s="117"/>
      <c r="T98" s="116" t="e">
        <f t="shared" si="27"/>
        <v>#VALUE!</v>
      </c>
      <c r="U98" s="116" t="e">
        <f t="shared" si="28"/>
        <v>#VALUE!</v>
      </c>
      <c r="V98" s="116" t="str">
        <f>IFERROR(IF(VLOOKUP(A98,'Actual Dates'!A:AE,21,0)&gt;"",VLOOKUP(A98,'Actual Dates'!A:AE,21,0),W98-$V$2),"")</f>
        <v/>
      </c>
      <c r="W98" s="116" t="str">
        <f t="shared" si="29"/>
        <v/>
      </c>
      <c r="X98" s="116" t="str">
        <f t="shared" si="30"/>
        <v/>
      </c>
      <c r="Y98" s="116" t="str">
        <f t="shared" si="31"/>
        <v/>
      </c>
      <c r="Z98" s="116" t="str">
        <f t="shared" si="32"/>
        <v/>
      </c>
      <c r="AA98" s="116" t="str">
        <f t="shared" si="33"/>
        <v/>
      </c>
      <c r="AB98" s="116" t="str">
        <f t="shared" si="34"/>
        <v/>
      </c>
      <c r="AC98" s="116" t="str">
        <f t="shared" si="35"/>
        <v/>
      </c>
      <c r="AD98" s="116" t="str">
        <f t="shared" si="36"/>
        <v/>
      </c>
      <c r="AE98" s="116" t="str">
        <f t="shared" si="37"/>
        <v/>
      </c>
      <c r="AF98" s="116" t="str">
        <f t="shared" si="38"/>
        <v>116-25</v>
      </c>
    </row>
    <row r="99" spans="1:32" x14ac:dyDescent="0.25">
      <c r="A99" s="113" t="str">
        <f>'Date Calcs'!A99</f>
        <v>25-117</v>
      </c>
      <c r="B99" s="113" t="str">
        <f>'Date Calcs'!B99</f>
        <v>Merrick</v>
      </c>
      <c r="C99" s="114" t="str">
        <f>_xlfn.IFNA(_xlfn.IFNA(VLOOKUP(AF99,'[1]Schedule Not Certified'!$C:$F,3,0),VLOOKUP(AF99,[1]CERTIFIED!$C:$E,3,0)),"")</f>
        <v/>
      </c>
      <c r="D99" s="115">
        <v>4</v>
      </c>
      <c r="E99" s="115">
        <v>0.25</v>
      </c>
      <c r="F99" s="115">
        <v>0</v>
      </c>
      <c r="G99" s="115">
        <v>0.25</v>
      </c>
      <c r="H99" s="115">
        <v>0.5</v>
      </c>
      <c r="I99" s="114">
        <f t="shared" si="23"/>
        <v>45894</v>
      </c>
      <c r="J99" s="116">
        <f t="shared" si="41"/>
        <v>45915</v>
      </c>
      <c r="K99" s="116">
        <f t="shared" si="41"/>
        <v>45929</v>
      </c>
      <c r="L99" s="116">
        <f t="shared" si="41"/>
        <v>45936</v>
      </c>
      <c r="M99" s="116">
        <f t="shared" si="41"/>
        <v>45943</v>
      </c>
      <c r="N99" s="116">
        <f t="shared" si="41"/>
        <v>45950</v>
      </c>
      <c r="O99" s="116">
        <f t="shared" si="24"/>
        <v>45957</v>
      </c>
      <c r="P99" s="116">
        <f t="shared" si="25"/>
        <v>45964</v>
      </c>
      <c r="Q99" s="116">
        <f>IFERROR(VLOOKUP(A99,'Date Calcs'!A:C,3,0),"")</f>
        <v>45968</v>
      </c>
      <c r="R99" s="116">
        <f t="shared" si="26"/>
        <v>45966</v>
      </c>
      <c r="S99" s="117"/>
      <c r="T99" s="116" t="e">
        <f t="shared" si="27"/>
        <v>#VALUE!</v>
      </c>
      <c r="U99" s="116" t="e">
        <f t="shared" si="28"/>
        <v>#VALUE!</v>
      </c>
      <c r="V99" s="116" t="str">
        <f>IFERROR(IF(VLOOKUP(A99,'Actual Dates'!A:AE,21,0)&gt;"",VLOOKUP(A99,'Actual Dates'!A:AE,21,0),W99-$V$2),"")</f>
        <v/>
      </c>
      <c r="W99" s="116" t="str">
        <f t="shared" si="29"/>
        <v/>
      </c>
      <c r="X99" s="116" t="str">
        <f t="shared" si="30"/>
        <v/>
      </c>
      <c r="Y99" s="116" t="str">
        <f t="shared" si="31"/>
        <v/>
      </c>
      <c r="Z99" s="116" t="str">
        <f t="shared" si="32"/>
        <v/>
      </c>
      <c r="AA99" s="116" t="str">
        <f t="shared" si="33"/>
        <v/>
      </c>
      <c r="AB99" s="116" t="str">
        <f t="shared" si="34"/>
        <v/>
      </c>
      <c r="AC99" s="116" t="str">
        <f t="shared" si="35"/>
        <v/>
      </c>
      <c r="AD99" s="116" t="str">
        <f t="shared" si="36"/>
        <v/>
      </c>
      <c r="AE99" s="116" t="str">
        <f t="shared" si="37"/>
        <v/>
      </c>
      <c r="AF99" s="116" t="str">
        <f t="shared" si="38"/>
        <v>117-25</v>
      </c>
    </row>
    <row r="100" spans="1:32" x14ac:dyDescent="0.25">
      <c r="A100" s="113" t="str">
        <f>'Date Calcs'!A100</f>
        <v>25-118</v>
      </c>
      <c r="B100" s="113" t="str">
        <f>'Date Calcs'!B100</f>
        <v>Merrick</v>
      </c>
      <c r="C100" s="114" t="str">
        <f>_xlfn.IFNA(_xlfn.IFNA(VLOOKUP(AF100,'[1]Schedule Not Certified'!$C:$F,3,0),VLOOKUP(AF100,[1]CERTIFIED!$C:$E,3,0)),"")</f>
        <v/>
      </c>
      <c r="D100" s="115">
        <v>4</v>
      </c>
      <c r="E100" s="115">
        <v>0.25</v>
      </c>
      <c r="F100" s="115">
        <v>0</v>
      </c>
      <c r="G100" s="115">
        <v>0.25</v>
      </c>
      <c r="H100" s="115">
        <v>0.5</v>
      </c>
      <c r="I100" s="114">
        <f t="shared" si="23"/>
        <v>45894</v>
      </c>
      <c r="J100" s="116">
        <f t="shared" si="41"/>
        <v>45915</v>
      </c>
      <c r="K100" s="116">
        <f t="shared" si="41"/>
        <v>45929</v>
      </c>
      <c r="L100" s="116">
        <f t="shared" si="41"/>
        <v>45936</v>
      </c>
      <c r="M100" s="116">
        <f t="shared" si="41"/>
        <v>45943</v>
      </c>
      <c r="N100" s="116">
        <f t="shared" si="41"/>
        <v>45950</v>
      </c>
      <c r="O100" s="116">
        <f t="shared" si="24"/>
        <v>45957</v>
      </c>
      <c r="P100" s="116">
        <f t="shared" si="25"/>
        <v>45964</v>
      </c>
      <c r="Q100" s="116">
        <f>IFERROR(VLOOKUP(A100,'Date Calcs'!A:C,3,0),"")</f>
        <v>45968</v>
      </c>
      <c r="R100" s="116">
        <f t="shared" si="26"/>
        <v>45966</v>
      </c>
      <c r="S100" s="117"/>
      <c r="T100" s="116" t="e">
        <f t="shared" si="27"/>
        <v>#VALUE!</v>
      </c>
      <c r="U100" s="116" t="e">
        <f t="shared" si="28"/>
        <v>#VALUE!</v>
      </c>
      <c r="V100" s="116" t="str">
        <f>IFERROR(IF(VLOOKUP(A100,'Actual Dates'!A:AE,21,0)&gt;"",VLOOKUP(A100,'Actual Dates'!A:AE,21,0),W100-$V$2),"")</f>
        <v/>
      </c>
      <c r="W100" s="116" t="str">
        <f t="shared" si="29"/>
        <v/>
      </c>
      <c r="X100" s="116" t="str">
        <f t="shared" si="30"/>
        <v/>
      </c>
      <c r="Y100" s="116" t="str">
        <f t="shared" si="31"/>
        <v/>
      </c>
      <c r="Z100" s="116" t="str">
        <f t="shared" si="32"/>
        <v/>
      </c>
      <c r="AA100" s="116" t="str">
        <f t="shared" si="33"/>
        <v/>
      </c>
      <c r="AB100" s="116" t="str">
        <f t="shared" si="34"/>
        <v/>
      </c>
      <c r="AC100" s="116" t="str">
        <f t="shared" si="35"/>
        <v/>
      </c>
      <c r="AD100" s="116" t="str">
        <f t="shared" si="36"/>
        <v/>
      </c>
      <c r="AE100" s="116" t="str">
        <f t="shared" si="37"/>
        <v/>
      </c>
      <c r="AF100" s="116" t="str">
        <f t="shared" si="38"/>
        <v>118-25</v>
      </c>
    </row>
    <row r="101" spans="1:32" x14ac:dyDescent="0.25">
      <c r="A101" s="113" t="str">
        <f>'Date Calcs'!A101</f>
        <v>25-119</v>
      </c>
      <c r="B101" s="113" t="str">
        <f>'Date Calcs'!B101</f>
        <v>Vertiv</v>
      </c>
      <c r="C101" s="114" t="str">
        <f>_xlfn.IFNA(_xlfn.IFNA(VLOOKUP(AF101,'[1]Schedule Not Certified'!$C:$F,3,0),VLOOKUP(AF101,[1]CERTIFIED!$C:$E,3,0)),"")</f>
        <v/>
      </c>
      <c r="D101" s="115">
        <v>0</v>
      </c>
      <c r="E101" s="115">
        <v>0</v>
      </c>
      <c r="F101" s="115">
        <v>0</v>
      </c>
      <c r="G101" s="115">
        <v>0</v>
      </c>
      <c r="H101" s="115">
        <v>0</v>
      </c>
      <c r="I101" s="114">
        <f t="shared" si="23"/>
        <v>45901</v>
      </c>
      <c r="J101" s="116">
        <f t="shared" si="41"/>
        <v>45922</v>
      </c>
      <c r="K101" s="116">
        <f t="shared" si="41"/>
        <v>45936</v>
      </c>
      <c r="L101" s="116">
        <f t="shared" si="41"/>
        <v>45943</v>
      </c>
      <c r="M101" s="116">
        <f t="shared" si="41"/>
        <v>45950</v>
      </c>
      <c r="N101" s="116">
        <f t="shared" si="41"/>
        <v>45957</v>
      </c>
      <c r="O101" s="116">
        <f t="shared" si="24"/>
        <v>45964</v>
      </c>
      <c r="P101" s="116">
        <f t="shared" si="25"/>
        <v>45971</v>
      </c>
      <c r="Q101" s="116">
        <f>IFERROR(VLOOKUP(A101,'Date Calcs'!A:C,3,0),"")</f>
        <v>45975</v>
      </c>
      <c r="R101" s="116">
        <f t="shared" si="26"/>
        <v>45973</v>
      </c>
      <c r="S101" s="117"/>
      <c r="T101" s="116" t="e">
        <f t="shared" si="27"/>
        <v>#VALUE!</v>
      </c>
      <c r="U101" s="116" t="e">
        <f t="shared" si="28"/>
        <v>#VALUE!</v>
      </c>
      <c r="V101" s="116" t="str">
        <f>IFERROR(IF(VLOOKUP(A101,'Actual Dates'!A:AE,21,0)&gt;"",VLOOKUP(A101,'Actual Dates'!A:AE,21,0),W101-$V$2),"")</f>
        <v/>
      </c>
      <c r="W101" s="116" t="str">
        <f t="shared" si="29"/>
        <v/>
      </c>
      <c r="X101" s="116" t="str">
        <f t="shared" si="30"/>
        <v/>
      </c>
      <c r="Y101" s="116" t="str">
        <f t="shared" si="31"/>
        <v/>
      </c>
      <c r="Z101" s="116" t="str">
        <f t="shared" si="32"/>
        <v/>
      </c>
      <c r="AA101" s="116" t="str">
        <f t="shared" si="33"/>
        <v/>
      </c>
      <c r="AB101" s="116" t="str">
        <f t="shared" si="34"/>
        <v/>
      </c>
      <c r="AC101" s="116" t="str">
        <f t="shared" si="35"/>
        <v/>
      </c>
      <c r="AD101" s="116" t="str">
        <f t="shared" si="36"/>
        <v/>
      </c>
      <c r="AE101" s="116" t="str">
        <f t="shared" si="37"/>
        <v/>
      </c>
      <c r="AF101" s="116" t="str">
        <f t="shared" si="38"/>
        <v>119-25</v>
      </c>
    </row>
    <row r="102" spans="1:32" x14ac:dyDescent="0.25">
      <c r="A102" s="113" t="str">
        <f>'Date Calcs'!A102</f>
        <v>25-120</v>
      </c>
      <c r="B102" s="113" t="str">
        <f>'Date Calcs'!B102</f>
        <v>Andritz</v>
      </c>
      <c r="C102" s="114" t="str">
        <f>_xlfn.IFNA(_xlfn.IFNA(VLOOKUP(AF102,'[1]Schedule Not Certified'!$C:$F,3,0),VLOOKUP(AF102,[1]CERTIFIED!$C:$E,3,0)),"")</f>
        <v/>
      </c>
      <c r="D102" s="115">
        <v>5</v>
      </c>
      <c r="E102" s="115">
        <v>0.25</v>
      </c>
      <c r="F102" s="115">
        <v>0</v>
      </c>
      <c r="G102" s="115">
        <v>0.25</v>
      </c>
      <c r="H102" s="115">
        <v>0.5</v>
      </c>
      <c r="I102" s="114">
        <f t="shared" si="23"/>
        <v>45908</v>
      </c>
      <c r="J102" s="116">
        <f t="shared" si="41"/>
        <v>45929</v>
      </c>
      <c r="K102" s="116">
        <f t="shared" si="41"/>
        <v>45943</v>
      </c>
      <c r="L102" s="116">
        <f t="shared" si="41"/>
        <v>45950</v>
      </c>
      <c r="M102" s="116">
        <f t="shared" si="41"/>
        <v>45957</v>
      </c>
      <c r="N102" s="116">
        <f t="shared" si="41"/>
        <v>45964</v>
      </c>
      <c r="O102" s="116">
        <f t="shared" si="24"/>
        <v>45971</v>
      </c>
      <c r="P102" s="116">
        <f t="shared" si="25"/>
        <v>45978</v>
      </c>
      <c r="Q102" s="116">
        <f>IFERROR(VLOOKUP(A102,'Date Calcs'!A:C,3,0),"")</f>
        <v>45982</v>
      </c>
      <c r="R102" s="116">
        <f t="shared" si="26"/>
        <v>45980</v>
      </c>
      <c r="S102" s="117"/>
      <c r="T102" s="116" t="e">
        <f t="shared" si="27"/>
        <v>#VALUE!</v>
      </c>
      <c r="U102" s="116" t="e">
        <f t="shared" si="28"/>
        <v>#VALUE!</v>
      </c>
      <c r="V102" s="116" t="str">
        <f>IFERROR(IF(VLOOKUP(A102,'Actual Dates'!A:AE,21,0)&gt;"",VLOOKUP(A102,'Actual Dates'!A:AE,21,0),W102-$V$2),"")</f>
        <v/>
      </c>
      <c r="W102" s="116" t="str">
        <f t="shared" si="29"/>
        <v/>
      </c>
      <c r="X102" s="116" t="str">
        <f t="shared" si="30"/>
        <v/>
      </c>
      <c r="Y102" s="116" t="str">
        <f t="shared" si="31"/>
        <v/>
      </c>
      <c r="Z102" s="116" t="str">
        <f t="shared" si="32"/>
        <v/>
      </c>
      <c r="AA102" s="116" t="str">
        <f t="shared" si="33"/>
        <v/>
      </c>
      <c r="AB102" s="116" t="str">
        <f t="shared" si="34"/>
        <v/>
      </c>
      <c r="AC102" s="116" t="str">
        <f t="shared" si="35"/>
        <v/>
      </c>
      <c r="AD102" s="116" t="str">
        <f t="shared" si="36"/>
        <v/>
      </c>
      <c r="AE102" s="116" t="str">
        <f t="shared" si="37"/>
        <v/>
      </c>
      <c r="AF102" s="116" t="str">
        <f t="shared" si="38"/>
        <v>120-25</v>
      </c>
    </row>
    <row r="103" spans="1:32" x14ac:dyDescent="0.25">
      <c r="A103" s="113" t="str">
        <f>'Date Calcs'!A103</f>
        <v>25-121</v>
      </c>
      <c r="B103" s="113" t="str">
        <f>'Date Calcs'!B103</f>
        <v>Kimberly Clark</v>
      </c>
      <c r="C103" s="114" t="str">
        <f>_xlfn.IFNA(_xlfn.IFNA(VLOOKUP(AF103,'[1]Schedule Not Certified'!$C:$F,3,0),VLOOKUP(AF103,[1]CERTIFIED!$C:$E,3,0)),"")</f>
        <v/>
      </c>
      <c r="D103" s="115">
        <v>4</v>
      </c>
      <c r="E103" s="115">
        <v>0.25</v>
      </c>
      <c r="F103" s="115">
        <v>0</v>
      </c>
      <c r="G103" s="115">
        <v>0.25</v>
      </c>
      <c r="H103" s="115">
        <v>0.5</v>
      </c>
      <c r="I103" s="114">
        <f t="shared" si="23"/>
        <v>45921</v>
      </c>
      <c r="J103" s="116">
        <f t="shared" si="41"/>
        <v>45942</v>
      </c>
      <c r="K103" s="116">
        <f t="shared" si="41"/>
        <v>45956</v>
      </c>
      <c r="L103" s="116">
        <f t="shared" si="41"/>
        <v>45963</v>
      </c>
      <c r="M103" s="116">
        <f t="shared" si="41"/>
        <v>45970</v>
      </c>
      <c r="N103" s="116">
        <f t="shared" si="41"/>
        <v>45977</v>
      </c>
      <c r="O103" s="116">
        <f t="shared" si="24"/>
        <v>45984</v>
      </c>
      <c r="P103" s="116">
        <f t="shared" si="25"/>
        <v>45991</v>
      </c>
      <c r="Q103" s="116">
        <f>IFERROR(VLOOKUP(A103,'Date Calcs'!A:C,3,0),"")</f>
        <v>45995</v>
      </c>
      <c r="R103" s="116">
        <f t="shared" si="26"/>
        <v>45993</v>
      </c>
      <c r="S103" s="117"/>
      <c r="T103" s="116" t="e">
        <f t="shared" si="27"/>
        <v>#VALUE!</v>
      </c>
      <c r="U103" s="116" t="e">
        <f t="shared" si="28"/>
        <v>#VALUE!</v>
      </c>
      <c r="V103" s="116" t="str">
        <f>IFERROR(IF(VLOOKUP(A103,'Actual Dates'!A:AE,21,0)&gt;"",VLOOKUP(A103,'Actual Dates'!A:AE,21,0),W103-$V$2),"")</f>
        <v/>
      </c>
      <c r="W103" s="116" t="str">
        <f t="shared" si="29"/>
        <v/>
      </c>
      <c r="X103" s="116" t="str">
        <f t="shared" si="30"/>
        <v/>
      </c>
      <c r="Y103" s="116" t="str">
        <f t="shared" si="31"/>
        <v/>
      </c>
      <c r="Z103" s="116" t="str">
        <f t="shared" si="32"/>
        <v/>
      </c>
      <c r="AA103" s="116" t="str">
        <f t="shared" si="33"/>
        <v/>
      </c>
      <c r="AB103" s="116" t="str">
        <f t="shared" si="34"/>
        <v/>
      </c>
      <c r="AC103" s="116" t="str">
        <f t="shared" si="35"/>
        <v/>
      </c>
      <c r="AD103" s="116" t="str">
        <f t="shared" si="36"/>
        <v/>
      </c>
      <c r="AE103" s="116" t="str">
        <f t="shared" si="37"/>
        <v/>
      </c>
      <c r="AF103" s="116" t="str">
        <f t="shared" si="38"/>
        <v>121-25</v>
      </c>
    </row>
    <row r="104" spans="1:32" x14ac:dyDescent="0.25">
      <c r="A104" s="113" t="str">
        <f>'Date Calcs'!A104</f>
        <v>25-122</v>
      </c>
      <c r="B104" s="113" t="str">
        <f>'Date Calcs'!B104</f>
        <v>Kimberly Clark</v>
      </c>
      <c r="C104" s="114" t="str">
        <f>_xlfn.IFNA(_xlfn.IFNA(VLOOKUP(AF104,'[1]Schedule Not Certified'!$C:$F,3,0),VLOOKUP(AF104,[1]CERTIFIED!$C:$E,3,0)),"")</f>
        <v/>
      </c>
      <c r="D104" s="115">
        <v>4</v>
      </c>
      <c r="E104" s="115">
        <v>0.25</v>
      </c>
      <c r="F104" s="115">
        <v>0</v>
      </c>
      <c r="G104" s="115">
        <v>0.25</v>
      </c>
      <c r="H104" s="115">
        <v>0.5</v>
      </c>
      <c r="I104" s="114">
        <f t="shared" si="23"/>
        <v>45921</v>
      </c>
      <c r="J104" s="116">
        <f t="shared" si="41"/>
        <v>45942</v>
      </c>
      <c r="K104" s="116">
        <f t="shared" si="41"/>
        <v>45956</v>
      </c>
      <c r="L104" s="116">
        <f t="shared" si="41"/>
        <v>45963</v>
      </c>
      <c r="M104" s="116">
        <f t="shared" si="41"/>
        <v>45970</v>
      </c>
      <c r="N104" s="116">
        <f t="shared" si="41"/>
        <v>45977</v>
      </c>
      <c r="O104" s="116">
        <f t="shared" si="24"/>
        <v>45984</v>
      </c>
      <c r="P104" s="116">
        <f t="shared" si="25"/>
        <v>45991</v>
      </c>
      <c r="Q104" s="116">
        <f>IFERROR(VLOOKUP(A104,'Date Calcs'!A:C,3,0),"")</f>
        <v>45995</v>
      </c>
      <c r="R104" s="116">
        <f t="shared" si="26"/>
        <v>45993</v>
      </c>
      <c r="S104" s="117"/>
      <c r="T104" s="116" t="e">
        <f t="shared" si="27"/>
        <v>#VALUE!</v>
      </c>
      <c r="U104" s="116" t="e">
        <f t="shared" si="28"/>
        <v>#VALUE!</v>
      </c>
      <c r="V104" s="116" t="str">
        <f>IFERROR(IF(VLOOKUP(A104,'Actual Dates'!A:AE,21,0)&gt;"",VLOOKUP(A104,'Actual Dates'!A:AE,21,0),W104-$V$2),"")</f>
        <v/>
      </c>
      <c r="W104" s="116" t="str">
        <f t="shared" si="29"/>
        <v/>
      </c>
      <c r="X104" s="116" t="str">
        <f t="shared" si="30"/>
        <v/>
      </c>
      <c r="Y104" s="116" t="str">
        <f t="shared" si="31"/>
        <v/>
      </c>
      <c r="Z104" s="116" t="str">
        <f t="shared" si="32"/>
        <v/>
      </c>
      <c r="AA104" s="116" t="str">
        <f t="shared" si="33"/>
        <v/>
      </c>
      <c r="AB104" s="116" t="str">
        <f t="shared" si="34"/>
        <v/>
      </c>
      <c r="AC104" s="116" t="str">
        <f t="shared" si="35"/>
        <v/>
      </c>
      <c r="AD104" s="116" t="str">
        <f t="shared" si="36"/>
        <v/>
      </c>
      <c r="AE104" s="116" t="str">
        <f t="shared" si="37"/>
        <v/>
      </c>
      <c r="AF104" s="116" t="str">
        <f t="shared" si="38"/>
        <v>122-25</v>
      </c>
    </row>
    <row r="105" spans="1:32" x14ac:dyDescent="0.25">
      <c r="A105" s="113" t="str">
        <f>'Date Calcs'!A105</f>
        <v>25-123</v>
      </c>
      <c r="B105" s="113" t="str">
        <f>'Date Calcs'!B105</f>
        <v>Kimberly Clark</v>
      </c>
      <c r="C105" s="114" t="str">
        <f>_xlfn.IFNA(_xlfn.IFNA(VLOOKUP(AF105,'[1]Schedule Not Certified'!$C:$F,3,0),VLOOKUP(AF105,[1]CERTIFIED!$C:$E,3,0)),"")</f>
        <v/>
      </c>
      <c r="D105" s="115">
        <v>4</v>
      </c>
      <c r="E105" s="115">
        <v>0.25</v>
      </c>
      <c r="F105" s="115">
        <v>0</v>
      </c>
      <c r="G105" s="115">
        <v>0.25</v>
      </c>
      <c r="H105" s="115">
        <v>0.5</v>
      </c>
      <c r="I105" s="114">
        <f t="shared" si="23"/>
        <v>45921</v>
      </c>
      <c r="J105" s="116">
        <f t="shared" ref="J105:N114" si="42">K105-J$2</f>
        <v>45942</v>
      </c>
      <c r="K105" s="116">
        <f t="shared" si="42"/>
        <v>45956</v>
      </c>
      <c r="L105" s="116">
        <f t="shared" si="42"/>
        <v>45963</v>
      </c>
      <c r="M105" s="116">
        <f t="shared" si="42"/>
        <v>45970</v>
      </c>
      <c r="N105" s="116">
        <f t="shared" si="42"/>
        <v>45977</v>
      </c>
      <c r="O105" s="116">
        <f t="shared" si="24"/>
        <v>45984</v>
      </c>
      <c r="P105" s="116">
        <f t="shared" si="25"/>
        <v>45991</v>
      </c>
      <c r="Q105" s="116">
        <f>IFERROR(VLOOKUP(A105,'Date Calcs'!A:C,3,0),"")</f>
        <v>45995</v>
      </c>
      <c r="R105" s="116">
        <f t="shared" si="26"/>
        <v>45993</v>
      </c>
      <c r="S105" s="117"/>
      <c r="T105" s="116" t="e">
        <f t="shared" si="27"/>
        <v>#VALUE!</v>
      </c>
      <c r="U105" s="116" t="e">
        <f t="shared" si="28"/>
        <v>#VALUE!</v>
      </c>
      <c r="V105" s="116" t="str">
        <f>IFERROR(IF(VLOOKUP(A105,'Actual Dates'!A:AE,21,0)&gt;"",VLOOKUP(A105,'Actual Dates'!A:AE,21,0),W105-$V$2),"")</f>
        <v/>
      </c>
      <c r="W105" s="116" t="str">
        <f t="shared" si="29"/>
        <v/>
      </c>
      <c r="X105" s="116" t="str">
        <f t="shared" si="30"/>
        <v/>
      </c>
      <c r="Y105" s="116" t="str">
        <f t="shared" si="31"/>
        <v/>
      </c>
      <c r="Z105" s="116" t="str">
        <f t="shared" si="32"/>
        <v/>
      </c>
      <c r="AA105" s="116" t="str">
        <f t="shared" si="33"/>
        <v/>
      </c>
      <c r="AB105" s="116" t="str">
        <f t="shared" si="34"/>
        <v/>
      </c>
      <c r="AC105" s="116" t="str">
        <f t="shared" si="35"/>
        <v/>
      </c>
      <c r="AD105" s="116" t="str">
        <f t="shared" si="36"/>
        <v/>
      </c>
      <c r="AE105" s="116" t="str">
        <f t="shared" si="37"/>
        <v/>
      </c>
      <c r="AF105" s="116" t="str">
        <f t="shared" si="38"/>
        <v>123-25</v>
      </c>
    </row>
    <row r="106" spans="1:32" x14ac:dyDescent="0.25">
      <c r="A106" s="113" t="str">
        <f>'Date Calcs'!A106</f>
        <v>25-124</v>
      </c>
      <c r="B106" s="113" t="str">
        <f>'Date Calcs'!B106</f>
        <v>Vertiv</v>
      </c>
      <c r="C106" s="114" t="str">
        <f>_xlfn.IFNA(_xlfn.IFNA(VLOOKUP(AF106,'[1]Schedule Not Certified'!$C:$F,3,0),VLOOKUP(AF106,[1]CERTIFIED!$C:$E,3,0)),"")</f>
        <v/>
      </c>
      <c r="D106" s="115">
        <v>0</v>
      </c>
      <c r="E106" s="115">
        <v>0</v>
      </c>
      <c r="F106" s="115">
        <v>0</v>
      </c>
      <c r="G106" s="115">
        <v>0</v>
      </c>
      <c r="H106" s="115">
        <v>0</v>
      </c>
      <c r="I106" s="114">
        <f t="shared" si="23"/>
        <v>45932</v>
      </c>
      <c r="J106" s="116">
        <f t="shared" si="42"/>
        <v>45953</v>
      </c>
      <c r="K106" s="116">
        <f t="shared" si="42"/>
        <v>45967</v>
      </c>
      <c r="L106" s="116">
        <f t="shared" si="42"/>
        <v>45974</v>
      </c>
      <c r="M106" s="116">
        <f t="shared" si="42"/>
        <v>45981</v>
      </c>
      <c r="N106" s="116">
        <f t="shared" si="42"/>
        <v>45988</v>
      </c>
      <c r="O106" s="116">
        <f t="shared" si="24"/>
        <v>45995</v>
      </c>
      <c r="P106" s="116">
        <f t="shared" si="25"/>
        <v>46002</v>
      </c>
      <c r="Q106" s="116">
        <f>IFERROR(VLOOKUP(A106,'Date Calcs'!A:C,3,0),"")</f>
        <v>46006</v>
      </c>
      <c r="R106" s="116">
        <f t="shared" si="26"/>
        <v>46004</v>
      </c>
      <c r="S106" s="117"/>
      <c r="T106" s="116" t="e">
        <f t="shared" si="27"/>
        <v>#VALUE!</v>
      </c>
      <c r="U106" s="116" t="e">
        <f t="shared" si="28"/>
        <v>#VALUE!</v>
      </c>
      <c r="V106" s="116" t="str">
        <f>IFERROR(IF(VLOOKUP(A106,'Actual Dates'!A:AE,21,0)&gt;"",VLOOKUP(A106,'Actual Dates'!A:AE,21,0),W106-$V$2),"")</f>
        <v/>
      </c>
      <c r="W106" s="116" t="str">
        <f t="shared" si="29"/>
        <v/>
      </c>
      <c r="X106" s="116" t="str">
        <f t="shared" si="30"/>
        <v/>
      </c>
      <c r="Y106" s="116" t="str">
        <f t="shared" si="31"/>
        <v/>
      </c>
      <c r="Z106" s="116" t="str">
        <f t="shared" si="32"/>
        <v/>
      </c>
      <c r="AA106" s="116" t="str">
        <f t="shared" si="33"/>
        <v/>
      </c>
      <c r="AB106" s="116" t="str">
        <f t="shared" si="34"/>
        <v/>
      </c>
      <c r="AC106" s="116" t="str">
        <f t="shared" si="35"/>
        <v/>
      </c>
      <c r="AD106" s="116" t="str">
        <f t="shared" si="36"/>
        <v/>
      </c>
      <c r="AE106" s="116" t="str">
        <f t="shared" si="37"/>
        <v/>
      </c>
      <c r="AF106" s="116" t="str">
        <f t="shared" si="38"/>
        <v>124-25</v>
      </c>
    </row>
    <row r="107" spans="1:32" x14ac:dyDescent="0.25">
      <c r="A107" s="113" t="str">
        <f>'Date Calcs'!A107</f>
        <v>25-356</v>
      </c>
      <c r="B107" s="113" t="str">
        <f>'Date Calcs'!B107</f>
        <v>Synthomer</v>
      </c>
      <c r="C107" s="114" t="str">
        <f>_xlfn.IFNA(_xlfn.IFNA(VLOOKUP(AF107,'[1]Schedule Not Certified'!$C:$F,3,0),VLOOKUP(AF107,[1]CERTIFIED!$C:$E,3,0)),"")</f>
        <v/>
      </c>
      <c r="D107" s="115">
        <v>4</v>
      </c>
      <c r="E107" s="115">
        <v>0.25</v>
      </c>
      <c r="F107" s="115">
        <v>0</v>
      </c>
      <c r="G107" s="115">
        <v>0.25</v>
      </c>
      <c r="H107" s="115">
        <v>0.5</v>
      </c>
      <c r="I107" s="114">
        <f t="shared" si="23"/>
        <v>45946</v>
      </c>
      <c r="J107" s="116">
        <f t="shared" si="42"/>
        <v>45967</v>
      </c>
      <c r="K107" s="116">
        <f t="shared" si="42"/>
        <v>45981</v>
      </c>
      <c r="L107" s="116">
        <f t="shared" si="42"/>
        <v>45988</v>
      </c>
      <c r="M107" s="116">
        <f t="shared" si="42"/>
        <v>45995</v>
      </c>
      <c r="N107" s="116">
        <f t="shared" si="42"/>
        <v>46002</v>
      </c>
      <c r="O107" s="116">
        <f t="shared" si="24"/>
        <v>46009</v>
      </c>
      <c r="P107" s="116">
        <f t="shared" si="25"/>
        <v>46016</v>
      </c>
      <c r="Q107" s="116">
        <f>IFERROR(VLOOKUP(A107,'Date Calcs'!A:C,3,0),"")</f>
        <v>46020</v>
      </c>
      <c r="R107" s="116">
        <f t="shared" si="26"/>
        <v>46018</v>
      </c>
      <c r="S107" s="117"/>
      <c r="T107" s="116" t="e">
        <f t="shared" si="27"/>
        <v>#VALUE!</v>
      </c>
      <c r="U107" s="116" t="e">
        <f t="shared" si="28"/>
        <v>#VALUE!</v>
      </c>
      <c r="V107" s="116" t="str">
        <f>IFERROR(IF(VLOOKUP(A107,'Actual Dates'!A:AE,21,0)&gt;"",VLOOKUP(A107,'Actual Dates'!A:AE,21,0),W107-$V$2),"")</f>
        <v/>
      </c>
      <c r="W107" s="116" t="str">
        <f t="shared" si="29"/>
        <v/>
      </c>
      <c r="X107" s="116" t="str">
        <f t="shared" si="30"/>
        <v/>
      </c>
      <c r="Y107" s="116" t="str">
        <f t="shared" si="31"/>
        <v/>
      </c>
      <c r="Z107" s="116" t="str">
        <f t="shared" si="32"/>
        <v/>
      </c>
      <c r="AA107" s="116" t="str">
        <f t="shared" si="33"/>
        <v/>
      </c>
      <c r="AB107" s="116" t="str">
        <f t="shared" si="34"/>
        <v/>
      </c>
      <c r="AC107" s="116" t="str">
        <f t="shared" si="35"/>
        <v/>
      </c>
      <c r="AD107" s="116" t="str">
        <f t="shared" si="36"/>
        <v/>
      </c>
      <c r="AE107" s="116" t="str">
        <f t="shared" si="37"/>
        <v/>
      </c>
      <c r="AF107" s="116" t="str">
        <f t="shared" si="38"/>
        <v>356-25</v>
      </c>
    </row>
    <row r="108" spans="1:32" x14ac:dyDescent="0.25">
      <c r="A108" s="113" t="str">
        <f>'Date Calcs'!A108</f>
        <v>25-357</v>
      </c>
      <c r="B108" s="113" t="str">
        <f>'Date Calcs'!B108</f>
        <v>Sylvamo</v>
      </c>
      <c r="C108" s="114" t="str">
        <f>_xlfn.IFNA(_xlfn.IFNA(VLOOKUP(AF108,'[1]Schedule Not Certified'!$C:$F,3,0),VLOOKUP(AF108,[1]CERTIFIED!$C:$E,3,0)),"")</f>
        <v/>
      </c>
      <c r="D108" s="115">
        <v>4</v>
      </c>
      <c r="E108" s="115">
        <v>0.25</v>
      </c>
      <c r="F108" s="115">
        <v>0</v>
      </c>
      <c r="G108" s="115">
        <v>0.25</v>
      </c>
      <c r="H108" s="115">
        <v>0.5</v>
      </c>
      <c r="I108" s="114">
        <f t="shared" si="23"/>
        <v>45947</v>
      </c>
      <c r="J108" s="116">
        <f t="shared" si="42"/>
        <v>45968</v>
      </c>
      <c r="K108" s="116">
        <f t="shared" si="42"/>
        <v>45982</v>
      </c>
      <c r="L108" s="116">
        <f t="shared" si="42"/>
        <v>45989</v>
      </c>
      <c r="M108" s="116">
        <f t="shared" si="42"/>
        <v>45996</v>
      </c>
      <c r="N108" s="116">
        <f t="shared" si="42"/>
        <v>46003</v>
      </c>
      <c r="O108" s="116">
        <f t="shared" si="24"/>
        <v>46010</v>
      </c>
      <c r="P108" s="116">
        <f t="shared" si="25"/>
        <v>46017</v>
      </c>
      <c r="Q108" s="116">
        <f>IFERROR(VLOOKUP(A108,'Date Calcs'!A:C,3,0),"")</f>
        <v>46021</v>
      </c>
      <c r="R108" s="116">
        <f t="shared" si="26"/>
        <v>46019</v>
      </c>
      <c r="S108" s="117"/>
      <c r="T108" s="116" t="e">
        <f t="shared" si="27"/>
        <v>#VALUE!</v>
      </c>
      <c r="U108" s="116" t="e">
        <f t="shared" si="28"/>
        <v>#VALUE!</v>
      </c>
      <c r="V108" s="116" t="str">
        <f>IFERROR(IF(VLOOKUP(A108,'Actual Dates'!A:AE,21,0)&gt;"",VLOOKUP(A108,'Actual Dates'!A:AE,21,0),W108-$V$2),"")</f>
        <v/>
      </c>
      <c r="W108" s="116" t="str">
        <f t="shared" si="29"/>
        <v/>
      </c>
      <c r="X108" s="116" t="str">
        <f t="shared" si="30"/>
        <v/>
      </c>
      <c r="Y108" s="116" t="str">
        <f t="shared" si="31"/>
        <v/>
      </c>
      <c r="Z108" s="116" t="str">
        <f t="shared" si="32"/>
        <v/>
      </c>
      <c r="AA108" s="116" t="str">
        <f t="shared" si="33"/>
        <v/>
      </c>
      <c r="AB108" s="116" t="str">
        <f t="shared" si="34"/>
        <v/>
      </c>
      <c r="AC108" s="116" t="str">
        <f t="shared" si="35"/>
        <v/>
      </c>
      <c r="AD108" s="116" t="str">
        <f t="shared" si="36"/>
        <v/>
      </c>
      <c r="AE108" s="116" t="str">
        <f t="shared" si="37"/>
        <v/>
      </c>
      <c r="AF108" s="116" t="str">
        <f t="shared" si="38"/>
        <v>357-25</v>
      </c>
    </row>
    <row r="109" spans="1:32" x14ac:dyDescent="0.25">
      <c r="A109" s="113" t="str">
        <f>'Date Calcs'!A109</f>
        <v>25-358</v>
      </c>
      <c r="B109" s="113" t="str">
        <f>'Date Calcs'!B109</f>
        <v>Sylvamo</v>
      </c>
      <c r="C109" s="114" t="str">
        <f>_xlfn.IFNA(_xlfn.IFNA(VLOOKUP(AF109,'[1]Schedule Not Certified'!$C:$F,3,0),VLOOKUP(AF109,[1]CERTIFIED!$C:$E,3,0)),"")</f>
        <v/>
      </c>
      <c r="D109" s="115">
        <v>4</v>
      </c>
      <c r="E109" s="115">
        <v>0.25</v>
      </c>
      <c r="F109" s="115">
        <v>0</v>
      </c>
      <c r="G109" s="115">
        <v>0.25</v>
      </c>
      <c r="H109" s="115">
        <v>0.5</v>
      </c>
      <c r="I109" s="114">
        <f t="shared" si="23"/>
        <v>45947</v>
      </c>
      <c r="J109" s="116">
        <f t="shared" si="42"/>
        <v>45968</v>
      </c>
      <c r="K109" s="116">
        <f t="shared" si="42"/>
        <v>45982</v>
      </c>
      <c r="L109" s="116">
        <f t="shared" si="42"/>
        <v>45989</v>
      </c>
      <c r="M109" s="116">
        <f t="shared" si="42"/>
        <v>45996</v>
      </c>
      <c r="N109" s="116">
        <f t="shared" si="42"/>
        <v>46003</v>
      </c>
      <c r="O109" s="116">
        <f t="shared" si="24"/>
        <v>46010</v>
      </c>
      <c r="P109" s="116">
        <f t="shared" si="25"/>
        <v>46017</v>
      </c>
      <c r="Q109" s="116">
        <f>IFERROR(VLOOKUP(A109,'Date Calcs'!A:C,3,0),"")</f>
        <v>46021</v>
      </c>
      <c r="R109" s="116">
        <f t="shared" si="26"/>
        <v>46019</v>
      </c>
      <c r="S109" s="117"/>
      <c r="T109" s="116" t="e">
        <f t="shared" si="27"/>
        <v>#VALUE!</v>
      </c>
      <c r="U109" s="116" t="e">
        <f t="shared" si="28"/>
        <v>#VALUE!</v>
      </c>
      <c r="V109" s="116" t="str">
        <f>IFERROR(IF(VLOOKUP(A109,'Actual Dates'!A:AE,21,0)&gt;"",VLOOKUP(A109,'Actual Dates'!A:AE,21,0),W109-$V$2),"")</f>
        <v/>
      </c>
      <c r="W109" s="116" t="str">
        <f t="shared" si="29"/>
        <v/>
      </c>
      <c r="X109" s="116" t="str">
        <f t="shared" si="30"/>
        <v/>
      </c>
      <c r="Y109" s="116" t="str">
        <f t="shared" si="31"/>
        <v/>
      </c>
      <c r="Z109" s="116" t="str">
        <f t="shared" si="32"/>
        <v/>
      </c>
      <c r="AA109" s="116" t="str">
        <f t="shared" si="33"/>
        <v/>
      </c>
      <c r="AB109" s="116" t="str">
        <f t="shared" si="34"/>
        <v/>
      </c>
      <c r="AC109" s="116" t="str">
        <f t="shared" si="35"/>
        <v/>
      </c>
      <c r="AD109" s="116" t="str">
        <f t="shared" si="36"/>
        <v/>
      </c>
      <c r="AE109" s="116" t="str">
        <f t="shared" si="37"/>
        <v/>
      </c>
      <c r="AF109" s="116" t="str">
        <f t="shared" si="38"/>
        <v>358-25</v>
      </c>
    </row>
    <row r="110" spans="1:32" x14ac:dyDescent="0.25">
      <c r="A110" s="113" t="str">
        <f>'Date Calcs'!A110</f>
        <v>26-002</v>
      </c>
      <c r="B110" s="113" t="str">
        <f>'Date Calcs'!B110</f>
        <v>SNF</v>
      </c>
      <c r="C110" s="114" t="str">
        <f>_xlfn.IFNA(_xlfn.IFNA(VLOOKUP(AF110,'[1]Schedule Not Certified'!$C:$F,3,0),VLOOKUP(AF110,[1]CERTIFIED!$C:$E,3,0)),"")</f>
        <v/>
      </c>
      <c r="D110" s="115">
        <v>4</v>
      </c>
      <c r="E110" s="115">
        <v>0.25</v>
      </c>
      <c r="F110" s="115">
        <v>0</v>
      </c>
      <c r="G110" s="115">
        <v>0.25</v>
      </c>
      <c r="H110" s="115">
        <v>0.5</v>
      </c>
      <c r="I110" s="114">
        <f t="shared" si="23"/>
        <v>45957</v>
      </c>
      <c r="J110" s="116">
        <f t="shared" si="42"/>
        <v>45978</v>
      </c>
      <c r="K110" s="116">
        <f t="shared" si="42"/>
        <v>45992</v>
      </c>
      <c r="L110" s="116">
        <f t="shared" si="42"/>
        <v>45999</v>
      </c>
      <c r="M110" s="116">
        <f t="shared" si="42"/>
        <v>46006</v>
      </c>
      <c r="N110" s="116">
        <f t="shared" si="42"/>
        <v>46013</v>
      </c>
      <c r="O110" s="116">
        <f t="shared" si="24"/>
        <v>46020</v>
      </c>
      <c r="P110" s="116">
        <f t="shared" si="25"/>
        <v>46027</v>
      </c>
      <c r="Q110" s="116">
        <f>IFERROR(VLOOKUP(A110,'Date Calcs'!A:C,3,0),"")</f>
        <v>46031</v>
      </c>
      <c r="R110" s="116">
        <f t="shared" si="26"/>
        <v>46029</v>
      </c>
      <c r="S110" s="117"/>
      <c r="T110" s="116" t="e">
        <f t="shared" si="27"/>
        <v>#VALUE!</v>
      </c>
      <c r="U110" s="116" t="e">
        <f t="shared" si="28"/>
        <v>#VALUE!</v>
      </c>
      <c r="V110" s="116" t="str">
        <f>IFERROR(IF(VLOOKUP(A110,'Actual Dates'!A:AE,21,0)&gt;"",VLOOKUP(A110,'Actual Dates'!A:AE,21,0),W110-$V$2),"")</f>
        <v/>
      </c>
      <c r="W110" s="116" t="str">
        <f t="shared" si="29"/>
        <v/>
      </c>
      <c r="X110" s="116" t="str">
        <f t="shared" si="30"/>
        <v/>
      </c>
      <c r="Y110" s="116" t="str">
        <f t="shared" si="31"/>
        <v/>
      </c>
      <c r="Z110" s="116" t="str">
        <f t="shared" si="32"/>
        <v/>
      </c>
      <c r="AA110" s="116" t="str">
        <f t="shared" si="33"/>
        <v/>
      </c>
      <c r="AB110" s="116" t="str">
        <f t="shared" si="34"/>
        <v/>
      </c>
      <c r="AC110" s="116" t="str">
        <f t="shared" si="35"/>
        <v/>
      </c>
      <c r="AD110" s="116" t="str">
        <f t="shared" si="36"/>
        <v/>
      </c>
      <c r="AE110" s="116" t="str">
        <f t="shared" si="37"/>
        <v/>
      </c>
      <c r="AF110" s="116" t="str">
        <f t="shared" si="38"/>
        <v>002-26</v>
      </c>
    </row>
    <row r="111" spans="1:32" x14ac:dyDescent="0.25">
      <c r="A111" s="113" t="str">
        <f>'Date Calcs'!A111</f>
        <v>26-003</v>
      </c>
      <c r="B111" s="113" t="str">
        <f>'Date Calcs'!B111</f>
        <v>SNF</v>
      </c>
      <c r="C111" s="114" t="str">
        <f>_xlfn.IFNA(_xlfn.IFNA(VLOOKUP(AF111,'[1]Schedule Not Certified'!$C:$F,3,0),VLOOKUP(AF111,[1]CERTIFIED!$C:$E,3,0)),"")</f>
        <v/>
      </c>
      <c r="D111" s="115">
        <v>4</v>
      </c>
      <c r="E111" s="115">
        <v>0.25</v>
      </c>
      <c r="F111" s="115">
        <v>0</v>
      </c>
      <c r="G111" s="115">
        <v>0.25</v>
      </c>
      <c r="H111" s="115">
        <v>0.5</v>
      </c>
      <c r="I111" s="114">
        <f t="shared" si="23"/>
        <v>45957</v>
      </c>
      <c r="J111" s="116">
        <f t="shared" si="42"/>
        <v>45978</v>
      </c>
      <c r="K111" s="116">
        <f t="shared" si="42"/>
        <v>45992</v>
      </c>
      <c r="L111" s="116">
        <f t="shared" si="42"/>
        <v>45999</v>
      </c>
      <c r="M111" s="116">
        <f t="shared" si="42"/>
        <v>46006</v>
      </c>
      <c r="N111" s="116">
        <f t="shared" si="42"/>
        <v>46013</v>
      </c>
      <c r="O111" s="116">
        <f t="shared" si="24"/>
        <v>46020</v>
      </c>
      <c r="P111" s="116">
        <f t="shared" si="25"/>
        <v>46027</v>
      </c>
      <c r="Q111" s="116">
        <f>IFERROR(VLOOKUP(A111,'Date Calcs'!A:C,3,0),"")</f>
        <v>46031</v>
      </c>
      <c r="R111" s="116">
        <f t="shared" si="26"/>
        <v>46029</v>
      </c>
      <c r="S111" s="117"/>
      <c r="T111" s="116" t="e">
        <f t="shared" si="27"/>
        <v>#VALUE!</v>
      </c>
      <c r="U111" s="116" t="e">
        <f t="shared" si="28"/>
        <v>#VALUE!</v>
      </c>
      <c r="V111" s="116" t="str">
        <f>IFERROR(IF(VLOOKUP(A111,'Actual Dates'!A:AE,21,0)&gt;"",VLOOKUP(A111,'Actual Dates'!A:AE,21,0),W111-$V$2),"")</f>
        <v/>
      </c>
      <c r="W111" s="116" t="str">
        <f t="shared" si="29"/>
        <v/>
      </c>
      <c r="X111" s="116" t="str">
        <f t="shared" si="30"/>
        <v/>
      </c>
      <c r="Y111" s="116" t="str">
        <f t="shared" si="31"/>
        <v/>
      </c>
      <c r="Z111" s="116" t="str">
        <f t="shared" si="32"/>
        <v/>
      </c>
      <c r="AA111" s="116" t="str">
        <f t="shared" si="33"/>
        <v/>
      </c>
      <c r="AB111" s="116" t="str">
        <f t="shared" si="34"/>
        <v/>
      </c>
      <c r="AC111" s="116" t="str">
        <f t="shared" si="35"/>
        <v/>
      </c>
      <c r="AD111" s="116" t="str">
        <f t="shared" si="36"/>
        <v/>
      </c>
      <c r="AE111" s="116" t="str">
        <f t="shared" si="37"/>
        <v/>
      </c>
      <c r="AF111" s="116" t="str">
        <f t="shared" si="38"/>
        <v>003-26</v>
      </c>
    </row>
    <row r="112" spans="1:32" x14ac:dyDescent="0.25">
      <c r="A112" s="113" t="str">
        <f>'Date Calcs'!A112</f>
        <v>26-004</v>
      </c>
      <c r="B112" s="113" t="str">
        <f>'Date Calcs'!B112</f>
        <v>SNF</v>
      </c>
      <c r="C112" s="114" t="str">
        <f>_xlfn.IFNA(_xlfn.IFNA(VLOOKUP(AF112,'[1]Schedule Not Certified'!$C:$F,3,0),VLOOKUP(AF112,[1]CERTIFIED!$C:$E,3,0)),"")</f>
        <v/>
      </c>
      <c r="D112" s="115">
        <v>4</v>
      </c>
      <c r="E112" s="115">
        <v>0.25</v>
      </c>
      <c r="F112" s="115">
        <v>0</v>
      </c>
      <c r="G112" s="115">
        <v>0.25</v>
      </c>
      <c r="H112" s="115">
        <v>0.5</v>
      </c>
      <c r="I112" s="114">
        <f t="shared" si="23"/>
        <v>45957</v>
      </c>
      <c r="J112" s="116">
        <f t="shared" si="42"/>
        <v>45978</v>
      </c>
      <c r="K112" s="116">
        <f t="shared" si="42"/>
        <v>45992</v>
      </c>
      <c r="L112" s="116">
        <f t="shared" si="42"/>
        <v>45999</v>
      </c>
      <c r="M112" s="116">
        <f t="shared" si="42"/>
        <v>46006</v>
      </c>
      <c r="N112" s="116">
        <f t="shared" si="42"/>
        <v>46013</v>
      </c>
      <c r="O112" s="116">
        <f t="shared" si="24"/>
        <v>46020</v>
      </c>
      <c r="P112" s="116">
        <f t="shared" si="25"/>
        <v>46027</v>
      </c>
      <c r="Q112" s="116">
        <f>IFERROR(VLOOKUP(A112,'Date Calcs'!A:C,3,0),"")</f>
        <v>46031</v>
      </c>
      <c r="R112" s="116">
        <f t="shared" si="26"/>
        <v>46029</v>
      </c>
      <c r="S112" s="117"/>
      <c r="T112" s="116" t="e">
        <f t="shared" si="27"/>
        <v>#VALUE!</v>
      </c>
      <c r="U112" s="116" t="e">
        <f t="shared" si="28"/>
        <v>#VALUE!</v>
      </c>
      <c r="V112" s="116" t="str">
        <f>IFERROR(IF(VLOOKUP(A112,'Actual Dates'!A:AE,21,0)&gt;"",VLOOKUP(A112,'Actual Dates'!A:AE,21,0),W112-$V$2),"")</f>
        <v/>
      </c>
      <c r="W112" s="116" t="str">
        <f t="shared" si="29"/>
        <v/>
      </c>
      <c r="X112" s="116" t="str">
        <f t="shared" si="30"/>
        <v/>
      </c>
      <c r="Y112" s="116" t="str">
        <f t="shared" si="31"/>
        <v/>
      </c>
      <c r="Z112" s="116" t="str">
        <f t="shared" si="32"/>
        <v/>
      </c>
      <c r="AA112" s="116" t="str">
        <f t="shared" si="33"/>
        <v/>
      </c>
      <c r="AB112" s="116" t="str">
        <f t="shared" si="34"/>
        <v/>
      </c>
      <c r="AC112" s="116" t="str">
        <f t="shared" si="35"/>
        <v/>
      </c>
      <c r="AD112" s="116" t="str">
        <f t="shared" si="36"/>
        <v/>
      </c>
      <c r="AE112" s="116" t="str">
        <f t="shared" si="37"/>
        <v/>
      </c>
      <c r="AF112" s="116" t="str">
        <f t="shared" si="38"/>
        <v>004-26</v>
      </c>
    </row>
    <row r="113" spans="1:32" x14ac:dyDescent="0.25">
      <c r="A113" s="113" t="str">
        <f>'Date Calcs'!A113</f>
        <v>26-005</v>
      </c>
      <c r="B113" s="113" t="str">
        <f>'Date Calcs'!B113</f>
        <v>US Sugar</v>
      </c>
      <c r="C113" s="114" t="str">
        <f>_xlfn.IFNA(_xlfn.IFNA(VLOOKUP(AF113,'[1]Schedule Not Certified'!$C:$F,3,0),VLOOKUP(AF113,[1]CERTIFIED!$C:$E,3,0)),"")</f>
        <v/>
      </c>
      <c r="D113" s="115">
        <v>5</v>
      </c>
      <c r="E113" s="115">
        <v>0.25</v>
      </c>
      <c r="F113" s="115">
        <v>0</v>
      </c>
      <c r="G113" s="115">
        <v>0.25</v>
      </c>
      <c r="H113" s="115">
        <v>0.5</v>
      </c>
      <c r="I113" s="114">
        <f t="shared" si="23"/>
        <v>45960</v>
      </c>
      <c r="J113" s="116">
        <f t="shared" si="42"/>
        <v>45981</v>
      </c>
      <c r="K113" s="116">
        <f t="shared" si="42"/>
        <v>45995</v>
      </c>
      <c r="L113" s="116">
        <f t="shared" si="42"/>
        <v>46002</v>
      </c>
      <c r="M113" s="116">
        <f t="shared" si="42"/>
        <v>46009</v>
      </c>
      <c r="N113" s="116">
        <f t="shared" si="42"/>
        <v>46016</v>
      </c>
      <c r="O113" s="116">
        <f t="shared" si="24"/>
        <v>46023</v>
      </c>
      <c r="P113" s="116">
        <f t="shared" si="25"/>
        <v>46030</v>
      </c>
      <c r="Q113" s="116">
        <f>IFERROR(VLOOKUP(A113,'Date Calcs'!A:C,3,0),"")</f>
        <v>46034</v>
      </c>
      <c r="R113" s="116">
        <f t="shared" si="26"/>
        <v>46032</v>
      </c>
      <c r="S113" s="117"/>
      <c r="T113" s="116" t="e">
        <f t="shared" si="27"/>
        <v>#VALUE!</v>
      </c>
      <c r="U113" s="116" t="e">
        <f t="shared" si="28"/>
        <v>#VALUE!</v>
      </c>
      <c r="V113" s="116" t="str">
        <f>IFERROR(IF(VLOOKUP(A113,'Actual Dates'!A:AE,21,0)&gt;"",VLOOKUP(A113,'Actual Dates'!A:AE,21,0),W113-$V$2),"")</f>
        <v/>
      </c>
      <c r="W113" s="116" t="str">
        <f t="shared" si="29"/>
        <v/>
      </c>
      <c r="X113" s="116" t="str">
        <f t="shared" si="30"/>
        <v/>
      </c>
      <c r="Y113" s="116" t="str">
        <f t="shared" si="31"/>
        <v/>
      </c>
      <c r="Z113" s="116" t="str">
        <f t="shared" si="32"/>
        <v/>
      </c>
      <c r="AA113" s="116" t="str">
        <f t="shared" si="33"/>
        <v/>
      </c>
      <c r="AB113" s="116" t="str">
        <f t="shared" si="34"/>
        <v/>
      </c>
      <c r="AC113" s="116" t="str">
        <f t="shared" si="35"/>
        <v/>
      </c>
      <c r="AD113" s="116" t="str">
        <f t="shared" si="36"/>
        <v/>
      </c>
      <c r="AE113" s="116" t="str">
        <f t="shared" si="37"/>
        <v/>
      </c>
      <c r="AF113" s="116" t="str">
        <f t="shared" si="38"/>
        <v>005-26</v>
      </c>
    </row>
    <row r="114" spans="1:32" x14ac:dyDescent="0.25">
      <c r="A114" s="113" t="str">
        <f>'Date Calcs'!A114</f>
        <v>26-014</v>
      </c>
      <c r="B114" s="113" t="str">
        <f>'Date Calcs'!B114</f>
        <v>SNF</v>
      </c>
      <c r="C114" s="114" t="str">
        <f>_xlfn.IFNA(_xlfn.IFNA(VLOOKUP(AF114,'[1]Schedule Not Certified'!$C:$F,3,0),VLOOKUP(AF114,[1]CERTIFIED!$C:$E,3,0)),"")</f>
        <v/>
      </c>
      <c r="D114" s="115">
        <v>5</v>
      </c>
      <c r="E114" s="115">
        <v>0.25</v>
      </c>
      <c r="F114" s="115">
        <v>0</v>
      </c>
      <c r="G114" s="115">
        <v>0.25</v>
      </c>
      <c r="H114" s="115">
        <v>0.5</v>
      </c>
      <c r="I114" s="114">
        <f t="shared" si="23"/>
        <v>45960</v>
      </c>
      <c r="J114" s="116">
        <f t="shared" si="42"/>
        <v>45981</v>
      </c>
      <c r="K114" s="116">
        <f t="shared" si="42"/>
        <v>45995</v>
      </c>
      <c r="L114" s="116">
        <f t="shared" si="42"/>
        <v>46002</v>
      </c>
      <c r="M114" s="116">
        <f t="shared" si="42"/>
        <v>46009</v>
      </c>
      <c r="N114" s="116">
        <f t="shared" si="42"/>
        <v>46016</v>
      </c>
      <c r="O114" s="116">
        <f t="shared" si="24"/>
        <v>46023</v>
      </c>
      <c r="P114" s="116">
        <f t="shared" si="25"/>
        <v>46030</v>
      </c>
      <c r="Q114" s="116">
        <f>IFERROR(VLOOKUP(A114,'Date Calcs'!A:C,3,0),"")</f>
        <v>46034</v>
      </c>
      <c r="R114" s="116">
        <f t="shared" si="26"/>
        <v>46032</v>
      </c>
      <c r="S114" s="117"/>
      <c r="T114" s="116" t="e">
        <f t="shared" si="27"/>
        <v>#VALUE!</v>
      </c>
      <c r="U114" s="116" t="e">
        <f t="shared" si="28"/>
        <v>#VALUE!</v>
      </c>
      <c r="V114" s="116" t="str">
        <f>IFERROR(IF(VLOOKUP(A114,'Actual Dates'!A:AE,21,0)&gt;"",VLOOKUP(A114,'Actual Dates'!A:AE,21,0),W114-$V$2),"")</f>
        <v/>
      </c>
      <c r="W114" s="116" t="str">
        <f t="shared" si="29"/>
        <v/>
      </c>
      <c r="X114" s="116" t="str">
        <f t="shared" si="30"/>
        <v/>
      </c>
      <c r="Y114" s="116" t="str">
        <f t="shared" si="31"/>
        <v/>
      </c>
      <c r="Z114" s="116" t="str">
        <f t="shared" si="32"/>
        <v/>
      </c>
      <c r="AA114" s="116" t="str">
        <f t="shared" si="33"/>
        <v/>
      </c>
      <c r="AB114" s="116" t="str">
        <f t="shared" si="34"/>
        <v/>
      </c>
      <c r="AC114" s="116" t="str">
        <f t="shared" si="35"/>
        <v/>
      </c>
      <c r="AD114" s="116" t="str">
        <f t="shared" si="36"/>
        <v/>
      </c>
      <c r="AE114" s="116" t="str">
        <f t="shared" si="37"/>
        <v/>
      </c>
      <c r="AF114" s="116" t="str">
        <f t="shared" si="38"/>
        <v>014-26</v>
      </c>
    </row>
    <row r="115" spans="1:32" x14ac:dyDescent="0.25">
      <c r="A115" s="113" t="str">
        <f>'Date Calcs'!A115</f>
        <v>26-015</v>
      </c>
      <c r="B115" s="113" t="str">
        <f>'Date Calcs'!B115</f>
        <v>SNF</v>
      </c>
      <c r="C115" s="114" t="str">
        <f>_xlfn.IFNA(_xlfn.IFNA(VLOOKUP(AF115,'[1]Schedule Not Certified'!$C:$F,3,0),VLOOKUP(AF115,[1]CERTIFIED!$C:$E,3,0)),"")</f>
        <v/>
      </c>
      <c r="D115" s="115">
        <v>3</v>
      </c>
      <c r="E115" s="115">
        <v>0.25</v>
      </c>
      <c r="F115" s="115">
        <v>0</v>
      </c>
      <c r="G115" s="115">
        <v>0.25</v>
      </c>
      <c r="H115" s="115">
        <v>0.5</v>
      </c>
      <c r="I115" s="114">
        <f t="shared" si="23"/>
        <v>45990</v>
      </c>
      <c r="J115" s="116">
        <f t="shared" ref="J115:N123" si="43">K115-J$2</f>
        <v>46011</v>
      </c>
      <c r="K115" s="116">
        <f t="shared" si="43"/>
        <v>46025</v>
      </c>
      <c r="L115" s="116">
        <f t="shared" si="43"/>
        <v>46032</v>
      </c>
      <c r="M115" s="116">
        <f t="shared" si="43"/>
        <v>46039</v>
      </c>
      <c r="N115" s="116">
        <f t="shared" si="43"/>
        <v>46046</v>
      </c>
      <c r="O115" s="116">
        <f t="shared" si="24"/>
        <v>46053</v>
      </c>
      <c r="P115" s="116">
        <f t="shared" si="25"/>
        <v>46060</v>
      </c>
      <c r="Q115" s="116">
        <f>IFERROR(VLOOKUP(A115,'Date Calcs'!A:C,3,0),"")</f>
        <v>46064</v>
      </c>
      <c r="R115" s="116">
        <f t="shared" si="26"/>
        <v>46062</v>
      </c>
      <c r="S115" s="117"/>
      <c r="T115" s="116" t="e">
        <f t="shared" si="27"/>
        <v>#VALUE!</v>
      </c>
      <c r="U115" s="116" t="e">
        <f t="shared" si="28"/>
        <v>#VALUE!</v>
      </c>
      <c r="V115" s="116" t="str">
        <f>IFERROR(IF(VLOOKUP(A115,'Actual Dates'!A:AE,21,0)&gt;"",VLOOKUP(A115,'Actual Dates'!A:AE,21,0),W115-$V$2),"")</f>
        <v/>
      </c>
      <c r="W115" s="116" t="str">
        <f t="shared" si="29"/>
        <v/>
      </c>
      <c r="X115" s="116" t="str">
        <f t="shared" si="30"/>
        <v/>
      </c>
      <c r="Y115" s="116" t="str">
        <f t="shared" si="31"/>
        <v/>
      </c>
      <c r="Z115" s="116" t="str">
        <f t="shared" si="32"/>
        <v/>
      </c>
      <c r="AA115" s="116" t="str">
        <f t="shared" si="33"/>
        <v/>
      </c>
      <c r="AB115" s="116" t="str">
        <f t="shared" si="34"/>
        <v/>
      </c>
      <c r="AC115" s="116" t="str">
        <f t="shared" si="35"/>
        <v/>
      </c>
      <c r="AD115" s="116" t="str">
        <f t="shared" si="36"/>
        <v/>
      </c>
      <c r="AE115" s="116" t="str">
        <f t="shared" si="37"/>
        <v/>
      </c>
      <c r="AF115" s="116" t="str">
        <f t="shared" si="38"/>
        <v>015-26</v>
      </c>
    </row>
    <row r="116" spans="1:32" x14ac:dyDescent="0.25">
      <c r="A116" s="113" t="str">
        <f>'Date Calcs'!A116</f>
        <v>26-016</v>
      </c>
      <c r="B116" s="113" t="str">
        <f>'Date Calcs'!B116</f>
        <v>SNF</v>
      </c>
      <c r="C116" s="114" t="str">
        <f>_xlfn.IFNA(_xlfn.IFNA(VLOOKUP(AF116,'[1]Schedule Not Certified'!$C:$F,3,0),VLOOKUP(AF116,[1]CERTIFIED!$C:$E,3,0)),"")</f>
        <v/>
      </c>
      <c r="D116" s="115">
        <v>5</v>
      </c>
      <c r="E116" s="115">
        <v>0.25</v>
      </c>
      <c r="F116" s="115">
        <v>0</v>
      </c>
      <c r="G116" s="115">
        <v>0.25</v>
      </c>
      <c r="H116" s="115">
        <v>0.5</v>
      </c>
      <c r="I116" s="114">
        <f t="shared" si="23"/>
        <v>45990</v>
      </c>
      <c r="J116" s="116">
        <f t="shared" si="43"/>
        <v>46011</v>
      </c>
      <c r="K116" s="116">
        <f t="shared" si="43"/>
        <v>46025</v>
      </c>
      <c r="L116" s="116">
        <f t="shared" si="43"/>
        <v>46032</v>
      </c>
      <c r="M116" s="116">
        <f t="shared" si="43"/>
        <v>46039</v>
      </c>
      <c r="N116" s="116">
        <f t="shared" si="43"/>
        <v>46046</v>
      </c>
      <c r="O116" s="116">
        <f t="shared" si="24"/>
        <v>46053</v>
      </c>
      <c r="P116" s="116">
        <f t="shared" si="25"/>
        <v>46060</v>
      </c>
      <c r="Q116" s="116">
        <f>IFERROR(VLOOKUP(A116,'Date Calcs'!A:C,3,0),"")</f>
        <v>46064</v>
      </c>
      <c r="R116" s="116">
        <f t="shared" si="26"/>
        <v>46062</v>
      </c>
      <c r="S116" s="117"/>
      <c r="T116" s="116" t="e">
        <f t="shared" si="27"/>
        <v>#VALUE!</v>
      </c>
      <c r="U116" s="116" t="e">
        <f t="shared" si="28"/>
        <v>#VALUE!</v>
      </c>
      <c r="V116" s="116" t="str">
        <f>IFERROR(IF(VLOOKUP(A116,'Actual Dates'!A:AE,21,0)&gt;"",VLOOKUP(A116,'Actual Dates'!A:AE,21,0),W116-$V$2),"")</f>
        <v/>
      </c>
      <c r="W116" s="116" t="str">
        <f t="shared" si="29"/>
        <v/>
      </c>
      <c r="X116" s="116" t="str">
        <f t="shared" si="30"/>
        <v/>
      </c>
      <c r="Y116" s="116" t="str">
        <f t="shared" si="31"/>
        <v/>
      </c>
      <c r="Z116" s="116" t="str">
        <f t="shared" si="32"/>
        <v/>
      </c>
      <c r="AA116" s="116" t="str">
        <f t="shared" si="33"/>
        <v/>
      </c>
      <c r="AB116" s="116" t="str">
        <f t="shared" si="34"/>
        <v/>
      </c>
      <c r="AC116" s="116" t="str">
        <f t="shared" si="35"/>
        <v/>
      </c>
      <c r="AD116" s="116" t="str">
        <f t="shared" si="36"/>
        <v/>
      </c>
      <c r="AE116" s="116" t="str">
        <f t="shared" si="37"/>
        <v/>
      </c>
      <c r="AF116" s="116" t="str">
        <f t="shared" si="38"/>
        <v>016-26</v>
      </c>
    </row>
    <row r="117" spans="1:32" x14ac:dyDescent="0.25">
      <c r="A117" s="113" t="str">
        <f>'Date Calcs'!A117</f>
        <v>26-017</v>
      </c>
      <c r="B117" s="113" t="str">
        <f>'Date Calcs'!B117</f>
        <v>SNF</v>
      </c>
      <c r="C117" s="114" t="str">
        <f>_xlfn.IFNA(_xlfn.IFNA(VLOOKUP(AF117,'[1]Schedule Not Certified'!$C:$F,3,0),VLOOKUP(AF117,[1]CERTIFIED!$C:$E,3,0)),"")</f>
        <v/>
      </c>
      <c r="D117" s="115">
        <v>5</v>
      </c>
      <c r="E117" s="115">
        <v>0.25</v>
      </c>
      <c r="F117" s="115">
        <v>0</v>
      </c>
      <c r="G117" s="115">
        <v>0.25</v>
      </c>
      <c r="H117" s="115">
        <v>0.5</v>
      </c>
      <c r="I117" s="114">
        <f t="shared" si="23"/>
        <v>45960</v>
      </c>
      <c r="J117" s="116">
        <f t="shared" si="43"/>
        <v>45981</v>
      </c>
      <c r="K117" s="116">
        <f t="shared" si="43"/>
        <v>45995</v>
      </c>
      <c r="L117" s="116">
        <f t="shared" si="43"/>
        <v>46002</v>
      </c>
      <c r="M117" s="116">
        <f t="shared" si="43"/>
        <v>46009</v>
      </c>
      <c r="N117" s="116">
        <f t="shared" si="43"/>
        <v>46016</v>
      </c>
      <c r="O117" s="116">
        <f t="shared" si="24"/>
        <v>46023</v>
      </c>
      <c r="P117" s="116">
        <f t="shared" si="25"/>
        <v>46030</v>
      </c>
      <c r="Q117" s="116">
        <f>IFERROR(VLOOKUP(A117,'Date Calcs'!A:C,3,0),"")</f>
        <v>46034</v>
      </c>
      <c r="R117" s="116">
        <f t="shared" si="26"/>
        <v>46032</v>
      </c>
      <c r="S117" s="117"/>
      <c r="T117" s="116" t="e">
        <f t="shared" si="27"/>
        <v>#VALUE!</v>
      </c>
      <c r="U117" s="116" t="e">
        <f t="shared" si="28"/>
        <v>#VALUE!</v>
      </c>
      <c r="V117" s="116" t="str">
        <f>IFERROR(IF(VLOOKUP(A117,'Actual Dates'!A:AE,21,0)&gt;"",VLOOKUP(A117,'Actual Dates'!A:AE,21,0),W117-$V$2),"")</f>
        <v/>
      </c>
      <c r="W117" s="116" t="str">
        <f t="shared" si="29"/>
        <v/>
      </c>
      <c r="X117" s="116" t="str">
        <f t="shared" si="30"/>
        <v/>
      </c>
      <c r="Y117" s="116" t="str">
        <f t="shared" si="31"/>
        <v/>
      </c>
      <c r="Z117" s="116" t="str">
        <f t="shared" si="32"/>
        <v/>
      </c>
      <c r="AA117" s="116" t="str">
        <f t="shared" si="33"/>
        <v/>
      </c>
      <c r="AB117" s="116" t="str">
        <f t="shared" si="34"/>
        <v/>
      </c>
      <c r="AC117" s="116" t="str">
        <f t="shared" si="35"/>
        <v/>
      </c>
      <c r="AD117" s="116" t="str">
        <f t="shared" si="36"/>
        <v/>
      </c>
      <c r="AE117" s="116" t="str">
        <f t="shared" si="37"/>
        <v/>
      </c>
      <c r="AF117" s="116" t="str">
        <f t="shared" si="38"/>
        <v>017-26</v>
      </c>
    </row>
    <row r="118" spans="1:32" x14ac:dyDescent="0.25">
      <c r="A118" s="113" t="str">
        <f>'Date Calcs'!A118</f>
        <v>26-018</v>
      </c>
      <c r="B118" s="113" t="str">
        <f>'Date Calcs'!B118</f>
        <v>SNF</v>
      </c>
      <c r="C118" s="114" t="str">
        <f>_xlfn.IFNA(_xlfn.IFNA(VLOOKUP(AF118,'[1]Schedule Not Certified'!$C:$F,3,0),VLOOKUP(AF118,[1]CERTIFIED!$C:$E,3,0)),"")</f>
        <v/>
      </c>
      <c r="D118" s="115">
        <v>5</v>
      </c>
      <c r="E118" s="115">
        <v>0.25</v>
      </c>
      <c r="F118" s="115">
        <v>0</v>
      </c>
      <c r="G118" s="115">
        <v>0.25</v>
      </c>
      <c r="H118" s="115">
        <v>0.5</v>
      </c>
      <c r="I118" s="114">
        <f t="shared" si="23"/>
        <v>45960</v>
      </c>
      <c r="J118" s="116">
        <f t="shared" si="43"/>
        <v>45981</v>
      </c>
      <c r="K118" s="116">
        <f t="shared" si="43"/>
        <v>45995</v>
      </c>
      <c r="L118" s="116">
        <f t="shared" si="43"/>
        <v>46002</v>
      </c>
      <c r="M118" s="116">
        <f t="shared" si="43"/>
        <v>46009</v>
      </c>
      <c r="N118" s="116">
        <f t="shared" si="43"/>
        <v>46016</v>
      </c>
      <c r="O118" s="116">
        <f t="shared" si="24"/>
        <v>46023</v>
      </c>
      <c r="P118" s="116">
        <f t="shared" si="25"/>
        <v>46030</v>
      </c>
      <c r="Q118" s="116">
        <f>IFERROR(VLOOKUP(A118,'Date Calcs'!A:C,3,0),"")</f>
        <v>46034</v>
      </c>
      <c r="R118" s="116">
        <f t="shared" si="26"/>
        <v>46032</v>
      </c>
      <c r="S118" s="117"/>
      <c r="T118" s="116" t="e">
        <f t="shared" si="27"/>
        <v>#VALUE!</v>
      </c>
      <c r="U118" s="116" t="e">
        <f t="shared" si="28"/>
        <v>#VALUE!</v>
      </c>
      <c r="V118" s="116" t="str">
        <f>IFERROR(IF(VLOOKUP(A118,'Actual Dates'!A:AE,21,0)&gt;"",VLOOKUP(A118,'Actual Dates'!A:AE,21,0),W118-$V$2),"")</f>
        <v/>
      </c>
      <c r="W118" s="116" t="str">
        <f t="shared" si="29"/>
        <v/>
      </c>
      <c r="X118" s="116" t="str">
        <f t="shared" si="30"/>
        <v/>
      </c>
      <c r="Y118" s="116" t="str">
        <f t="shared" si="31"/>
        <v/>
      </c>
      <c r="Z118" s="116" t="str">
        <f t="shared" si="32"/>
        <v/>
      </c>
      <c r="AA118" s="116" t="str">
        <f t="shared" si="33"/>
        <v/>
      </c>
      <c r="AB118" s="116" t="str">
        <f t="shared" si="34"/>
        <v/>
      </c>
      <c r="AC118" s="116" t="str">
        <f t="shared" si="35"/>
        <v/>
      </c>
      <c r="AD118" s="116" t="str">
        <f t="shared" si="36"/>
        <v/>
      </c>
      <c r="AE118" s="116" t="str">
        <f t="shared" si="37"/>
        <v/>
      </c>
      <c r="AF118" s="116" t="str">
        <f t="shared" si="38"/>
        <v>018-26</v>
      </c>
    </row>
    <row r="119" spans="1:32" x14ac:dyDescent="0.25">
      <c r="A119" s="113" t="str">
        <f>'Date Calcs'!A119</f>
        <v>26-020</v>
      </c>
      <c r="B119" s="113" t="str">
        <f>'Date Calcs'!B119</f>
        <v>US Sugar</v>
      </c>
      <c r="C119" s="114" t="str">
        <f>_xlfn.IFNA(_xlfn.IFNA(VLOOKUP(AF119,'[1]Schedule Not Certified'!$C:$F,3,0),VLOOKUP(AF119,[1]CERTIFIED!$C:$E,3,0)),"")</f>
        <v/>
      </c>
      <c r="D119" s="115">
        <v>5</v>
      </c>
      <c r="E119" s="115">
        <v>0.25</v>
      </c>
      <c r="F119" s="115">
        <v>0</v>
      </c>
      <c r="G119" s="115">
        <v>0.25</v>
      </c>
      <c r="H119" s="115">
        <v>0.5</v>
      </c>
      <c r="I119" s="114">
        <f t="shared" si="23"/>
        <v>45985</v>
      </c>
      <c r="J119" s="116">
        <f t="shared" si="43"/>
        <v>46006</v>
      </c>
      <c r="K119" s="116">
        <f t="shared" si="43"/>
        <v>46020</v>
      </c>
      <c r="L119" s="116">
        <f t="shared" si="43"/>
        <v>46027</v>
      </c>
      <c r="M119" s="116">
        <f t="shared" si="43"/>
        <v>46034</v>
      </c>
      <c r="N119" s="116">
        <f t="shared" si="43"/>
        <v>46041</v>
      </c>
      <c r="O119" s="116">
        <f t="shared" si="24"/>
        <v>46048</v>
      </c>
      <c r="P119" s="116">
        <f t="shared" si="25"/>
        <v>46055</v>
      </c>
      <c r="Q119" s="116">
        <f>IFERROR(VLOOKUP(A119,'Date Calcs'!A:C,3,0),"")</f>
        <v>46059</v>
      </c>
      <c r="R119" s="116">
        <f t="shared" si="26"/>
        <v>46057</v>
      </c>
      <c r="S119" s="117"/>
      <c r="T119" s="116" t="e">
        <f t="shared" si="27"/>
        <v>#VALUE!</v>
      </c>
      <c r="U119" s="116" t="e">
        <f t="shared" si="28"/>
        <v>#VALUE!</v>
      </c>
      <c r="V119" s="116" t="str">
        <f>IFERROR(IF(VLOOKUP(A119,'Actual Dates'!A:AE,21,0)&gt;"",VLOOKUP(A119,'Actual Dates'!A:AE,21,0),W119-$V$2),"")</f>
        <v/>
      </c>
      <c r="W119" s="116" t="str">
        <f t="shared" si="29"/>
        <v/>
      </c>
      <c r="X119" s="116" t="str">
        <f t="shared" si="30"/>
        <v/>
      </c>
      <c r="Y119" s="116" t="str">
        <f t="shared" si="31"/>
        <v/>
      </c>
      <c r="Z119" s="116" t="str">
        <f t="shared" si="32"/>
        <v/>
      </c>
      <c r="AA119" s="116" t="str">
        <f t="shared" si="33"/>
        <v/>
      </c>
      <c r="AB119" s="116" t="str">
        <f t="shared" si="34"/>
        <v/>
      </c>
      <c r="AC119" s="116" t="str">
        <f t="shared" si="35"/>
        <v/>
      </c>
      <c r="AD119" s="116" t="str">
        <f t="shared" si="36"/>
        <v/>
      </c>
      <c r="AE119" s="116" t="str">
        <f t="shared" si="37"/>
        <v/>
      </c>
      <c r="AF119" s="116" t="str">
        <f t="shared" si="38"/>
        <v>020-26</v>
      </c>
    </row>
    <row r="120" spans="1:32" x14ac:dyDescent="0.25">
      <c r="A120" s="113" t="str">
        <f>'Date Calcs'!A120</f>
        <v>26-021</v>
      </c>
      <c r="B120" s="113" t="str">
        <f>'Date Calcs'!B120</f>
        <v>US Sugar</v>
      </c>
      <c r="C120" s="114" t="str">
        <f>_xlfn.IFNA(_xlfn.IFNA(VLOOKUP(AF120,'[1]Schedule Not Certified'!$C:$F,3,0),VLOOKUP(AF120,[1]CERTIFIED!$C:$E,3,0)),"")</f>
        <v/>
      </c>
      <c r="D120" s="115">
        <v>5</v>
      </c>
      <c r="E120" s="115">
        <v>0.25</v>
      </c>
      <c r="F120" s="115">
        <v>0</v>
      </c>
      <c r="G120" s="115">
        <v>0.25</v>
      </c>
      <c r="H120" s="115">
        <v>0.5</v>
      </c>
      <c r="I120" s="114">
        <f t="shared" si="23"/>
        <v>45985</v>
      </c>
      <c r="J120" s="116">
        <f t="shared" si="43"/>
        <v>46006</v>
      </c>
      <c r="K120" s="116">
        <f t="shared" si="43"/>
        <v>46020</v>
      </c>
      <c r="L120" s="116">
        <f t="shared" si="43"/>
        <v>46027</v>
      </c>
      <c r="M120" s="116">
        <f t="shared" si="43"/>
        <v>46034</v>
      </c>
      <c r="N120" s="116">
        <f t="shared" si="43"/>
        <v>46041</v>
      </c>
      <c r="O120" s="116">
        <f t="shared" si="24"/>
        <v>46048</v>
      </c>
      <c r="P120" s="116">
        <f t="shared" si="25"/>
        <v>46055</v>
      </c>
      <c r="Q120" s="116">
        <f>IFERROR(VLOOKUP(A120,'Date Calcs'!A:C,3,0),"")</f>
        <v>46059</v>
      </c>
      <c r="R120" s="116">
        <f t="shared" si="26"/>
        <v>46057</v>
      </c>
      <c r="S120" s="117"/>
      <c r="T120" s="116" t="e">
        <f t="shared" si="27"/>
        <v>#VALUE!</v>
      </c>
      <c r="U120" s="116" t="e">
        <f t="shared" si="28"/>
        <v>#VALUE!</v>
      </c>
      <c r="V120" s="116" t="str">
        <f>IFERROR(IF(VLOOKUP(A120,'Actual Dates'!A:AE,21,0)&gt;"",VLOOKUP(A120,'Actual Dates'!A:AE,21,0),W120-$V$2),"")</f>
        <v/>
      </c>
      <c r="W120" s="116" t="str">
        <f t="shared" si="29"/>
        <v/>
      </c>
      <c r="X120" s="116" t="str">
        <f t="shared" si="30"/>
        <v/>
      </c>
      <c r="Y120" s="116" t="str">
        <f t="shared" si="31"/>
        <v/>
      </c>
      <c r="Z120" s="116" t="str">
        <f t="shared" si="32"/>
        <v/>
      </c>
      <c r="AA120" s="116" t="str">
        <f t="shared" si="33"/>
        <v/>
      </c>
      <c r="AB120" s="116" t="str">
        <f t="shared" si="34"/>
        <v/>
      </c>
      <c r="AC120" s="116" t="str">
        <f t="shared" si="35"/>
        <v/>
      </c>
      <c r="AD120" s="116" t="str">
        <f t="shared" si="36"/>
        <v/>
      </c>
      <c r="AE120" s="116" t="str">
        <f t="shared" si="37"/>
        <v/>
      </c>
      <c r="AF120" s="116" t="str">
        <f t="shared" si="38"/>
        <v>021-26</v>
      </c>
    </row>
    <row r="121" spans="1:32" x14ac:dyDescent="0.25">
      <c r="A121" s="113" t="str">
        <f>'Date Calcs'!A121</f>
        <v>26-022</v>
      </c>
      <c r="B121" s="113" t="str">
        <f>'Date Calcs'!B121</f>
        <v>Andritz</v>
      </c>
      <c r="C121" s="114" t="str">
        <f>_xlfn.IFNA(_xlfn.IFNA(VLOOKUP(AF121,'[1]Schedule Not Certified'!$C:$F,3,0),VLOOKUP(AF121,[1]CERTIFIED!$C:$E,3,0)),"")</f>
        <v/>
      </c>
      <c r="D121" s="115">
        <v>4</v>
      </c>
      <c r="E121" s="115">
        <v>0.25</v>
      </c>
      <c r="F121" s="115">
        <v>0</v>
      </c>
      <c r="G121" s="115">
        <v>0.25</v>
      </c>
      <c r="H121" s="115">
        <v>0.5</v>
      </c>
      <c r="I121" s="114">
        <f t="shared" si="23"/>
        <v>45989</v>
      </c>
      <c r="J121" s="116">
        <f t="shared" si="43"/>
        <v>46010</v>
      </c>
      <c r="K121" s="116">
        <f t="shared" si="43"/>
        <v>46024</v>
      </c>
      <c r="L121" s="116">
        <f t="shared" si="43"/>
        <v>46031</v>
      </c>
      <c r="M121" s="116">
        <f t="shared" si="43"/>
        <v>46038</v>
      </c>
      <c r="N121" s="116">
        <f t="shared" si="43"/>
        <v>46045</v>
      </c>
      <c r="O121" s="116">
        <f t="shared" si="24"/>
        <v>46052</v>
      </c>
      <c r="P121" s="116">
        <f t="shared" si="25"/>
        <v>46059</v>
      </c>
      <c r="Q121" s="116">
        <f>IFERROR(VLOOKUP(A121,'Date Calcs'!A:C,3,0),"")</f>
        <v>46063</v>
      </c>
      <c r="R121" s="116">
        <f t="shared" si="26"/>
        <v>46061</v>
      </c>
      <c r="S121" s="117"/>
      <c r="T121" s="116" t="e">
        <f t="shared" si="27"/>
        <v>#VALUE!</v>
      </c>
      <c r="U121" s="116" t="e">
        <f t="shared" si="28"/>
        <v>#VALUE!</v>
      </c>
      <c r="V121" s="116" t="str">
        <f>IFERROR(IF(VLOOKUP(A121,'Actual Dates'!A:AE,21,0)&gt;"",VLOOKUP(A121,'Actual Dates'!A:AE,21,0),W121-$V$2),"")</f>
        <v/>
      </c>
      <c r="W121" s="116" t="str">
        <f t="shared" si="29"/>
        <v/>
      </c>
      <c r="X121" s="116" t="str">
        <f t="shared" si="30"/>
        <v/>
      </c>
      <c r="Y121" s="116" t="str">
        <f t="shared" si="31"/>
        <v/>
      </c>
      <c r="Z121" s="116" t="str">
        <f t="shared" si="32"/>
        <v/>
      </c>
      <c r="AA121" s="116" t="str">
        <f t="shared" si="33"/>
        <v/>
      </c>
      <c r="AB121" s="116" t="str">
        <f t="shared" si="34"/>
        <v/>
      </c>
      <c r="AC121" s="116" t="str">
        <f t="shared" si="35"/>
        <v/>
      </c>
      <c r="AD121" s="116" t="str">
        <f t="shared" si="36"/>
        <v/>
      </c>
      <c r="AE121" s="116" t="str">
        <f t="shared" si="37"/>
        <v/>
      </c>
      <c r="AF121" s="116" t="str">
        <f t="shared" si="38"/>
        <v>022-26</v>
      </c>
    </row>
    <row r="122" spans="1:32" x14ac:dyDescent="0.25">
      <c r="A122" s="113" t="str">
        <f>'Date Calcs'!A122</f>
        <v>26-024</v>
      </c>
      <c r="B122" s="113" t="str">
        <f>'Date Calcs'!B122</f>
        <v>Polynt</v>
      </c>
      <c r="C122" s="114" t="str">
        <f>_xlfn.IFNA(_xlfn.IFNA(VLOOKUP(AF122,'[1]Schedule Not Certified'!$C:$F,3,0),VLOOKUP(AF122,[1]CERTIFIED!$C:$E,3,0)),"")</f>
        <v/>
      </c>
      <c r="D122" s="115">
        <v>2</v>
      </c>
      <c r="E122" s="115">
        <v>0.25</v>
      </c>
      <c r="F122" s="115">
        <v>0</v>
      </c>
      <c r="G122" s="115">
        <v>0.25</v>
      </c>
      <c r="H122" s="115">
        <v>0.5</v>
      </c>
      <c r="I122" s="114">
        <f t="shared" si="23"/>
        <v>46004</v>
      </c>
      <c r="J122" s="116">
        <f t="shared" si="43"/>
        <v>46025</v>
      </c>
      <c r="K122" s="116">
        <f t="shared" si="43"/>
        <v>46039</v>
      </c>
      <c r="L122" s="116">
        <f t="shared" si="43"/>
        <v>46046</v>
      </c>
      <c r="M122" s="116">
        <f t="shared" si="43"/>
        <v>46053</v>
      </c>
      <c r="N122" s="116">
        <f t="shared" si="43"/>
        <v>46060</v>
      </c>
      <c r="O122" s="116">
        <f t="shared" si="24"/>
        <v>46067</v>
      </c>
      <c r="P122" s="116">
        <f t="shared" si="25"/>
        <v>46074</v>
      </c>
      <c r="Q122" s="116">
        <f>IFERROR(VLOOKUP(A122,'Date Calcs'!A:C,3,0),"")</f>
        <v>46078</v>
      </c>
      <c r="R122" s="116">
        <f t="shared" si="26"/>
        <v>46076</v>
      </c>
      <c r="S122" s="117"/>
      <c r="T122" s="116" t="e">
        <f t="shared" si="27"/>
        <v>#VALUE!</v>
      </c>
      <c r="U122" s="116" t="e">
        <f t="shared" si="28"/>
        <v>#VALUE!</v>
      </c>
      <c r="V122" s="116" t="str">
        <f>IFERROR(IF(VLOOKUP(A122,'Actual Dates'!A:AE,21,0)&gt;"",VLOOKUP(A122,'Actual Dates'!A:AE,21,0),W122-$V$2),"")</f>
        <v/>
      </c>
      <c r="W122" s="116" t="str">
        <f t="shared" si="29"/>
        <v/>
      </c>
      <c r="X122" s="116" t="str">
        <f t="shared" si="30"/>
        <v/>
      </c>
      <c r="Y122" s="116" t="str">
        <f t="shared" si="31"/>
        <v/>
      </c>
      <c r="Z122" s="116" t="str">
        <f t="shared" si="32"/>
        <v/>
      </c>
      <c r="AA122" s="116" t="str">
        <f t="shared" si="33"/>
        <v/>
      </c>
      <c r="AB122" s="116" t="str">
        <f t="shared" si="34"/>
        <v/>
      </c>
      <c r="AC122" s="116" t="str">
        <f t="shared" si="35"/>
        <v/>
      </c>
      <c r="AD122" s="116" t="str">
        <f t="shared" si="36"/>
        <v/>
      </c>
      <c r="AE122" s="116" t="str">
        <f t="shared" si="37"/>
        <v/>
      </c>
      <c r="AF122" s="116" t="str">
        <f t="shared" si="38"/>
        <v>024-26</v>
      </c>
    </row>
    <row r="123" spans="1:32" x14ac:dyDescent="0.25">
      <c r="A123" s="113" t="str">
        <f>'Date Calcs'!A123</f>
        <v>26-025</v>
      </c>
      <c r="B123" s="113" t="str">
        <f>'Date Calcs'!B123</f>
        <v>Blake &amp; Pendleton</v>
      </c>
      <c r="C123" s="114" t="str">
        <f>_xlfn.IFNA(_xlfn.IFNA(VLOOKUP(AF123,'[1]Schedule Not Certified'!$C:$F,3,0),VLOOKUP(AF123,[1]CERTIFIED!$C:$E,3,0)),"")</f>
        <v/>
      </c>
      <c r="D123" s="115">
        <v>5</v>
      </c>
      <c r="E123" s="115">
        <v>0.5</v>
      </c>
      <c r="F123" s="115">
        <v>0</v>
      </c>
      <c r="G123" s="115">
        <v>0.5</v>
      </c>
      <c r="H123" s="115">
        <v>0.5</v>
      </c>
      <c r="I123" s="114">
        <f t="shared" si="23"/>
        <v>46018</v>
      </c>
      <c r="J123" s="116">
        <f t="shared" si="43"/>
        <v>46039</v>
      </c>
      <c r="K123" s="116">
        <f t="shared" si="43"/>
        <v>46053</v>
      </c>
      <c r="L123" s="116">
        <f t="shared" si="43"/>
        <v>46060</v>
      </c>
      <c r="M123" s="116">
        <f t="shared" si="43"/>
        <v>46067</v>
      </c>
      <c r="N123" s="116">
        <f t="shared" si="43"/>
        <v>46074</v>
      </c>
      <c r="O123" s="116">
        <f t="shared" si="24"/>
        <v>46081</v>
      </c>
      <c r="P123" s="116">
        <f t="shared" si="25"/>
        <v>46088</v>
      </c>
      <c r="Q123" s="116">
        <f>IFERROR(VLOOKUP(A123,'Date Calcs'!A:C,3,0),"")</f>
        <v>46092</v>
      </c>
      <c r="R123" s="116">
        <f t="shared" si="26"/>
        <v>46090</v>
      </c>
      <c r="S123" s="117"/>
      <c r="T123" s="116" t="e">
        <f t="shared" si="27"/>
        <v>#VALUE!</v>
      </c>
      <c r="U123" s="116" t="e">
        <f t="shared" si="28"/>
        <v>#VALUE!</v>
      </c>
      <c r="V123" s="116" t="str">
        <f>IFERROR(IF(VLOOKUP(A123,'Actual Dates'!A:AE,21,0)&gt;"",VLOOKUP(A123,'Actual Dates'!A:AE,21,0),W123-$V$2),"")</f>
        <v/>
      </c>
      <c r="W123" s="116" t="str">
        <f t="shared" si="29"/>
        <v/>
      </c>
      <c r="X123" s="116" t="str">
        <f t="shared" si="30"/>
        <v/>
      </c>
      <c r="Y123" s="116" t="str">
        <f t="shared" si="31"/>
        <v/>
      </c>
      <c r="Z123" s="116" t="str">
        <f t="shared" si="32"/>
        <v/>
      </c>
      <c r="AA123" s="116" t="str">
        <f t="shared" si="33"/>
        <v/>
      </c>
      <c r="AB123" s="116" t="str">
        <f t="shared" si="34"/>
        <v/>
      </c>
      <c r="AC123" s="116" t="str">
        <f t="shared" si="35"/>
        <v/>
      </c>
      <c r="AD123" s="116" t="str">
        <f t="shared" si="36"/>
        <v/>
      </c>
      <c r="AE123" s="116" t="str">
        <f t="shared" si="37"/>
        <v/>
      </c>
      <c r="AF123" s="116" t="str">
        <f t="shared" si="38"/>
        <v>025-26</v>
      </c>
    </row>
    <row r="124" spans="1:32" x14ac:dyDescent="0.25">
      <c r="A124" s="113" t="str">
        <f>'Date Calcs'!A124</f>
        <v>26-026</v>
      </c>
      <c r="B124" s="113" t="str">
        <f>'Date Calcs'!B124</f>
        <v>Andritz</v>
      </c>
      <c r="C124" s="114" t="str">
        <f>_xlfn.IFNA(_xlfn.IFNA(VLOOKUP(AF124,'[1]Schedule Not Certified'!$C:$F,3,0),VLOOKUP(AF124,[1]CERTIFIED!$C:$E,3,0)),"")</f>
        <v/>
      </c>
      <c r="D124" s="115">
        <v>3</v>
      </c>
      <c r="E124" s="115">
        <v>0</v>
      </c>
      <c r="F124" s="115">
        <v>0</v>
      </c>
      <c r="G124" s="115">
        <v>0.25</v>
      </c>
      <c r="H124" s="115">
        <v>0.25</v>
      </c>
      <c r="I124" s="114">
        <f t="shared" ref="I124:I130" si="44">IFERROR(J124-21,"")</f>
        <v>46023</v>
      </c>
      <c r="J124" s="116">
        <f t="shared" ref="J124:J130" si="45">K124-J$2</f>
        <v>46044</v>
      </c>
      <c r="K124" s="116">
        <f t="shared" ref="K124:K130" si="46">L124-K$2</f>
        <v>46058</v>
      </c>
      <c r="L124" s="116">
        <f t="shared" ref="L124:L130" si="47">M124-L$2</f>
        <v>46065</v>
      </c>
      <c r="M124" s="116">
        <f t="shared" ref="M124:M130" si="48">N124-M$2</f>
        <v>46072</v>
      </c>
      <c r="N124" s="116">
        <f t="shared" ref="N124:N130" si="49">O124-N$2</f>
        <v>46079</v>
      </c>
      <c r="O124" s="116">
        <f t="shared" ref="O124:O130" si="50">IFERROR(P124-$O$2,"")</f>
        <v>46086</v>
      </c>
      <c r="P124" s="116">
        <f t="shared" ref="P124:P130" si="51">IFERROR(R124-2,"")</f>
        <v>46093</v>
      </c>
      <c r="Q124" s="116">
        <f>IFERROR(VLOOKUP(A124,'Date Calcs'!A:C,3,0),"")</f>
        <v>46097</v>
      </c>
      <c r="R124" s="116">
        <f t="shared" ref="R124:R130" si="52">IFERROR(Q124-$R$2,"")</f>
        <v>46095</v>
      </c>
      <c r="S124" s="117"/>
      <c r="T124" s="116" t="e">
        <f t="shared" ref="T124:T130" si="53">V124-$T$2</f>
        <v>#VALUE!</v>
      </c>
      <c r="U124" s="116" t="e">
        <f t="shared" ref="U124:U130" si="54">AD124+(D124*7)</f>
        <v>#VALUE!</v>
      </c>
      <c r="V124" s="116" t="str">
        <f>IFERROR(IF(VLOOKUP(A124,'Actual Dates'!A:AE,21,0)&gt;"",VLOOKUP(A124,'Actual Dates'!A:AE,21,0),W124-$V$2),"")</f>
        <v/>
      </c>
      <c r="W124" s="116" t="str">
        <f t="shared" ref="W124:W130" si="55">IFERROR(X124-$W$2,"")</f>
        <v/>
      </c>
      <c r="X124" s="116" t="str">
        <f t="shared" ref="X124:X130" si="56">IFERROR(Y124-$X$2,"")</f>
        <v/>
      </c>
      <c r="Y124" s="116" t="str">
        <f t="shared" ref="Y124:Y130" si="57">IFERROR(IF(Z124+Y$2+5&gt;AD124,AD124-7,Z124+Y$2+5),"")</f>
        <v/>
      </c>
      <c r="Z124" s="116" t="str">
        <f t="shared" ref="Z124:Z130" si="58">IFERROR(AD124-$Z$2,"")</f>
        <v/>
      </c>
      <c r="AA124" s="116" t="str">
        <f t="shared" ref="AA124:AA130" si="59">IFERROR(AD124-$AA$2,"")</f>
        <v/>
      </c>
      <c r="AB124" s="116" t="str">
        <f t="shared" ref="AB124:AB130" si="60">IFERROR(AD124-$AB$2,"")</f>
        <v/>
      </c>
      <c r="AC124" s="116" t="str">
        <f t="shared" ref="AC124:AC130" si="61">IFERROR(AD124-$AC$2,"")</f>
        <v/>
      </c>
      <c r="AD124" s="116" t="str">
        <f t="shared" ref="AD124:AD130" si="62">IFERROR(AE124-(SUM(D124:H124)*7),"")</f>
        <v/>
      </c>
      <c r="AE124" s="116" t="str">
        <f t="shared" ref="AE124:AE130" si="63">C124</f>
        <v/>
      </c>
      <c r="AF124" s="116" t="str">
        <f t="shared" ref="AF124:AF130" si="64">CONCATENATE(RIGHT(A124,3),"-",LEFT(A124,2))</f>
        <v>026-26</v>
      </c>
    </row>
    <row r="125" spans="1:32" x14ac:dyDescent="0.25">
      <c r="A125" s="113" t="str">
        <f>'Date Calcs'!A125</f>
        <v>26-027</v>
      </c>
      <c r="B125" s="113" t="str">
        <f>'Date Calcs'!B125</f>
        <v>Kemira</v>
      </c>
      <c r="C125" s="114" t="str">
        <f>_xlfn.IFNA(_xlfn.IFNA(VLOOKUP(AF125,'[1]Schedule Not Certified'!$C:$F,3,0),VLOOKUP(AF125,[1]CERTIFIED!$C:$E,3,0)),"")</f>
        <v/>
      </c>
      <c r="D125" s="115">
        <v>0</v>
      </c>
      <c r="E125" s="115">
        <v>0</v>
      </c>
      <c r="F125" s="115">
        <v>0</v>
      </c>
      <c r="G125" s="115">
        <v>0</v>
      </c>
      <c r="H125" s="115">
        <v>0</v>
      </c>
      <c r="I125" s="114">
        <f t="shared" si="44"/>
        <v>46023</v>
      </c>
      <c r="J125" s="116">
        <f t="shared" si="45"/>
        <v>46044</v>
      </c>
      <c r="K125" s="116">
        <f t="shared" si="46"/>
        <v>46058</v>
      </c>
      <c r="L125" s="116">
        <f t="shared" si="47"/>
        <v>46065</v>
      </c>
      <c r="M125" s="116">
        <f t="shared" si="48"/>
        <v>46072</v>
      </c>
      <c r="N125" s="116">
        <f t="shared" si="49"/>
        <v>46079</v>
      </c>
      <c r="O125" s="116">
        <f t="shared" si="50"/>
        <v>46086</v>
      </c>
      <c r="P125" s="116">
        <f t="shared" si="51"/>
        <v>46093</v>
      </c>
      <c r="Q125" s="116">
        <f>IFERROR(VLOOKUP(A125,'Date Calcs'!A:C,3,0),"")</f>
        <v>46097</v>
      </c>
      <c r="R125" s="116">
        <f t="shared" si="52"/>
        <v>46095</v>
      </c>
      <c r="S125" s="117"/>
      <c r="T125" s="116" t="e">
        <f t="shared" si="53"/>
        <v>#VALUE!</v>
      </c>
      <c r="U125" s="116" t="e">
        <f t="shared" si="54"/>
        <v>#VALUE!</v>
      </c>
      <c r="V125" s="116" t="str">
        <f>IFERROR(IF(VLOOKUP(A125,'Actual Dates'!A:AE,21,0)&gt;"",VLOOKUP(A125,'Actual Dates'!A:AE,21,0),W125-$V$2),"")</f>
        <v/>
      </c>
      <c r="W125" s="116" t="str">
        <f t="shared" si="55"/>
        <v/>
      </c>
      <c r="X125" s="116" t="str">
        <f t="shared" si="56"/>
        <v/>
      </c>
      <c r="Y125" s="116" t="str">
        <f t="shared" si="57"/>
        <v/>
      </c>
      <c r="Z125" s="116" t="str">
        <f t="shared" si="58"/>
        <v/>
      </c>
      <c r="AA125" s="116" t="str">
        <f t="shared" si="59"/>
        <v/>
      </c>
      <c r="AB125" s="116" t="str">
        <f t="shared" si="60"/>
        <v/>
      </c>
      <c r="AC125" s="116" t="str">
        <f t="shared" si="61"/>
        <v/>
      </c>
      <c r="AD125" s="116" t="str">
        <f t="shared" si="62"/>
        <v/>
      </c>
      <c r="AE125" s="116" t="str">
        <f t="shared" si="63"/>
        <v/>
      </c>
      <c r="AF125" s="116" t="str">
        <f t="shared" si="64"/>
        <v>027-26</v>
      </c>
    </row>
    <row r="126" spans="1:32" x14ac:dyDescent="0.25">
      <c r="A126" s="113" t="str">
        <f>'Date Calcs'!A126</f>
        <v>26-028</v>
      </c>
      <c r="B126" s="113" t="str">
        <f>'Date Calcs'!B126</f>
        <v>Kemira</v>
      </c>
      <c r="C126" s="114" t="str">
        <f>_xlfn.IFNA(_xlfn.IFNA(VLOOKUP(AF126,'[1]Schedule Not Certified'!$C:$F,3,0),VLOOKUP(AF126,[1]CERTIFIED!$C:$E,3,0)),"")</f>
        <v/>
      </c>
      <c r="D126" s="115">
        <v>0</v>
      </c>
      <c r="E126" s="115">
        <v>0</v>
      </c>
      <c r="F126" s="115">
        <v>0</v>
      </c>
      <c r="G126" s="115">
        <v>0</v>
      </c>
      <c r="H126" s="115">
        <v>0</v>
      </c>
      <c r="I126" s="114">
        <f t="shared" si="44"/>
        <v>46023</v>
      </c>
      <c r="J126" s="116">
        <f t="shared" si="45"/>
        <v>46044</v>
      </c>
      <c r="K126" s="116">
        <f t="shared" si="46"/>
        <v>46058</v>
      </c>
      <c r="L126" s="116">
        <f t="shared" si="47"/>
        <v>46065</v>
      </c>
      <c r="M126" s="116">
        <f t="shared" si="48"/>
        <v>46072</v>
      </c>
      <c r="N126" s="116">
        <f t="shared" si="49"/>
        <v>46079</v>
      </c>
      <c r="O126" s="116">
        <f t="shared" si="50"/>
        <v>46086</v>
      </c>
      <c r="P126" s="116">
        <f t="shared" si="51"/>
        <v>46093</v>
      </c>
      <c r="Q126" s="116">
        <f>IFERROR(VLOOKUP(A126,'Date Calcs'!A:C,3,0),"")</f>
        <v>46097</v>
      </c>
      <c r="R126" s="116">
        <f t="shared" si="52"/>
        <v>46095</v>
      </c>
      <c r="S126" s="117"/>
      <c r="T126" s="116" t="e">
        <f t="shared" si="53"/>
        <v>#VALUE!</v>
      </c>
      <c r="U126" s="116" t="e">
        <f t="shared" si="54"/>
        <v>#VALUE!</v>
      </c>
      <c r="V126" s="116" t="str">
        <f>IFERROR(IF(VLOOKUP(A126,'Actual Dates'!A:AE,21,0)&gt;"",VLOOKUP(A126,'Actual Dates'!A:AE,21,0),W126-$V$2),"")</f>
        <v/>
      </c>
      <c r="W126" s="116" t="str">
        <f t="shared" si="55"/>
        <v/>
      </c>
      <c r="X126" s="116" t="str">
        <f t="shared" si="56"/>
        <v/>
      </c>
      <c r="Y126" s="116" t="str">
        <f t="shared" si="57"/>
        <v/>
      </c>
      <c r="Z126" s="116" t="str">
        <f t="shared" si="58"/>
        <v/>
      </c>
      <c r="AA126" s="116" t="str">
        <f t="shared" si="59"/>
        <v/>
      </c>
      <c r="AB126" s="116" t="str">
        <f t="shared" si="60"/>
        <v/>
      </c>
      <c r="AC126" s="116" t="str">
        <f t="shared" si="61"/>
        <v/>
      </c>
      <c r="AD126" s="116" t="str">
        <f t="shared" si="62"/>
        <v/>
      </c>
      <c r="AE126" s="116" t="str">
        <f t="shared" si="63"/>
        <v/>
      </c>
      <c r="AF126" s="116" t="str">
        <f t="shared" si="64"/>
        <v>028-26</v>
      </c>
    </row>
    <row r="127" spans="1:32" x14ac:dyDescent="0.25">
      <c r="A127" s="113" t="str">
        <f>'Date Calcs'!A127</f>
        <v>26-030</v>
      </c>
      <c r="B127" s="113" t="str">
        <f>'Date Calcs'!B127</f>
        <v>Symrise</v>
      </c>
      <c r="C127" s="114">
        <v>46244</v>
      </c>
      <c r="D127" s="115">
        <v>5</v>
      </c>
      <c r="E127" s="115">
        <v>0.5</v>
      </c>
      <c r="F127" s="115">
        <v>0</v>
      </c>
      <c r="G127" s="115">
        <v>0.5</v>
      </c>
      <c r="H127" s="115">
        <v>1</v>
      </c>
      <c r="I127" s="114">
        <f t="shared" si="44"/>
        <v>46026</v>
      </c>
      <c r="J127" s="116">
        <f t="shared" si="45"/>
        <v>46047</v>
      </c>
      <c r="K127" s="116">
        <f t="shared" si="46"/>
        <v>46061</v>
      </c>
      <c r="L127" s="116">
        <f t="shared" si="47"/>
        <v>46068</v>
      </c>
      <c r="M127" s="116">
        <f t="shared" si="48"/>
        <v>46075</v>
      </c>
      <c r="N127" s="116">
        <f t="shared" si="49"/>
        <v>46082</v>
      </c>
      <c r="O127" s="116">
        <f t="shared" si="50"/>
        <v>46089</v>
      </c>
      <c r="P127" s="116">
        <f t="shared" si="51"/>
        <v>46096</v>
      </c>
      <c r="Q127" s="116">
        <f>IFERROR(VLOOKUP(A127,'Date Calcs'!A:C,3,0),"")</f>
        <v>46100</v>
      </c>
      <c r="R127" s="116">
        <f t="shared" si="52"/>
        <v>46098</v>
      </c>
      <c r="S127" s="117"/>
      <c r="T127" s="116">
        <f t="shared" si="53"/>
        <v>46162</v>
      </c>
      <c r="U127" s="116">
        <f t="shared" si="54"/>
        <v>46230</v>
      </c>
      <c r="V127" s="116">
        <f>IFERROR(IF(VLOOKUP(A127,'Actual Dates'!A:AE,21,0)&gt;"",VLOOKUP(A127,'Actual Dates'!A:AE,21,0),W127-$V$2),"")</f>
        <v>46167</v>
      </c>
      <c r="W127" s="116">
        <f t="shared" si="55"/>
        <v>46174</v>
      </c>
      <c r="X127" s="116">
        <f t="shared" si="56"/>
        <v>46181</v>
      </c>
      <c r="Y127" s="116">
        <f t="shared" si="57"/>
        <v>46188</v>
      </c>
      <c r="Z127" s="116">
        <f t="shared" si="58"/>
        <v>46190</v>
      </c>
      <c r="AA127" s="116">
        <f t="shared" si="59"/>
        <v>46188</v>
      </c>
      <c r="AB127" s="116">
        <f t="shared" si="60"/>
        <v>46188</v>
      </c>
      <c r="AC127" s="116">
        <f t="shared" si="61"/>
        <v>46188</v>
      </c>
      <c r="AD127" s="116">
        <f t="shared" si="62"/>
        <v>46195</v>
      </c>
      <c r="AE127" s="116">
        <f t="shared" si="63"/>
        <v>46244</v>
      </c>
      <c r="AF127" s="116" t="str">
        <f t="shared" si="64"/>
        <v>030-26</v>
      </c>
    </row>
    <row r="128" spans="1:32" x14ac:dyDescent="0.25">
      <c r="A128" s="113" t="str">
        <f>'Date Calcs'!A128</f>
        <v>26-031</v>
      </c>
      <c r="B128" s="113" t="str">
        <f>'Date Calcs'!B128</f>
        <v>Sysenqo</v>
      </c>
      <c r="C128" s="114">
        <v>46279</v>
      </c>
      <c r="D128" s="115">
        <v>5</v>
      </c>
      <c r="E128" s="115">
        <v>0.5</v>
      </c>
      <c r="F128" s="115">
        <v>0</v>
      </c>
      <c r="G128" s="115">
        <v>0.5</v>
      </c>
      <c r="H128" s="115">
        <v>1</v>
      </c>
      <c r="I128" s="114">
        <f t="shared" si="44"/>
        <v>46030</v>
      </c>
      <c r="J128" s="116">
        <f t="shared" si="45"/>
        <v>46051</v>
      </c>
      <c r="K128" s="116">
        <f t="shared" si="46"/>
        <v>46065</v>
      </c>
      <c r="L128" s="116">
        <f t="shared" si="47"/>
        <v>46072</v>
      </c>
      <c r="M128" s="116">
        <f t="shared" si="48"/>
        <v>46079</v>
      </c>
      <c r="N128" s="116">
        <f t="shared" si="49"/>
        <v>46086</v>
      </c>
      <c r="O128" s="116">
        <f t="shared" si="50"/>
        <v>46093</v>
      </c>
      <c r="P128" s="116">
        <f t="shared" si="51"/>
        <v>46100</v>
      </c>
      <c r="Q128" s="116">
        <f>IFERROR(VLOOKUP(A128,'Date Calcs'!A:C,3,0),"")</f>
        <v>46104</v>
      </c>
      <c r="R128" s="116">
        <f t="shared" si="52"/>
        <v>46102</v>
      </c>
      <c r="S128" s="117"/>
      <c r="T128" s="116">
        <f t="shared" si="53"/>
        <v>46197</v>
      </c>
      <c r="U128" s="116">
        <f t="shared" si="54"/>
        <v>46265</v>
      </c>
      <c r="V128" s="116">
        <f>IFERROR(IF(VLOOKUP(A128,'Actual Dates'!A:AE,21,0)&gt;"",VLOOKUP(A128,'Actual Dates'!A:AE,21,0),W128-$V$2),"")</f>
        <v>46202</v>
      </c>
      <c r="W128" s="116">
        <f t="shared" si="55"/>
        <v>46209</v>
      </c>
      <c r="X128" s="116">
        <f t="shared" si="56"/>
        <v>46216</v>
      </c>
      <c r="Y128" s="116">
        <f t="shared" si="57"/>
        <v>46223</v>
      </c>
      <c r="Z128" s="116">
        <f t="shared" si="58"/>
        <v>46225</v>
      </c>
      <c r="AA128" s="116">
        <f t="shared" si="59"/>
        <v>46223</v>
      </c>
      <c r="AB128" s="116">
        <f t="shared" si="60"/>
        <v>46223</v>
      </c>
      <c r="AC128" s="116">
        <f t="shared" si="61"/>
        <v>46223</v>
      </c>
      <c r="AD128" s="116">
        <f t="shared" si="62"/>
        <v>46230</v>
      </c>
      <c r="AE128" s="116">
        <f t="shared" si="63"/>
        <v>46279</v>
      </c>
      <c r="AF128" s="116" t="str">
        <f t="shared" si="64"/>
        <v>031-26</v>
      </c>
    </row>
    <row r="129" spans="1:32" x14ac:dyDescent="0.25">
      <c r="A129" s="113" t="str">
        <f>'Date Calcs'!A129</f>
        <v>26-032</v>
      </c>
      <c r="B129" s="113" t="str">
        <f>'Date Calcs'!B129</f>
        <v>Kimberly-Clark</v>
      </c>
      <c r="C129" s="114">
        <v>46265</v>
      </c>
      <c r="D129" s="115">
        <v>5</v>
      </c>
      <c r="E129" s="115">
        <v>1</v>
      </c>
      <c r="F129" s="115">
        <v>0</v>
      </c>
      <c r="G129" s="115">
        <v>0.5</v>
      </c>
      <c r="H129" s="115">
        <v>1</v>
      </c>
      <c r="I129" s="114">
        <f t="shared" si="44"/>
        <v>46025</v>
      </c>
      <c r="J129" s="116">
        <f t="shared" si="45"/>
        <v>46046</v>
      </c>
      <c r="K129" s="116">
        <f t="shared" si="46"/>
        <v>46060</v>
      </c>
      <c r="L129" s="116">
        <f t="shared" si="47"/>
        <v>46067</v>
      </c>
      <c r="M129" s="116">
        <f t="shared" si="48"/>
        <v>46074</v>
      </c>
      <c r="N129" s="116">
        <f t="shared" si="49"/>
        <v>46081</v>
      </c>
      <c r="O129" s="116">
        <f t="shared" si="50"/>
        <v>46088</v>
      </c>
      <c r="P129" s="116">
        <f t="shared" si="51"/>
        <v>46095</v>
      </c>
      <c r="Q129" s="116">
        <f>IFERROR(VLOOKUP(A129,'Date Calcs'!A:C,3,0),"")</f>
        <v>46099</v>
      </c>
      <c r="R129" s="116">
        <f t="shared" si="52"/>
        <v>46097</v>
      </c>
      <c r="S129" s="117"/>
      <c r="T129" s="116">
        <f t="shared" si="53"/>
        <v>46179.5</v>
      </c>
      <c r="U129" s="116">
        <f t="shared" si="54"/>
        <v>46247.5</v>
      </c>
      <c r="V129" s="116">
        <f>IFERROR(IF(VLOOKUP(A129,'Actual Dates'!A:AE,21,0)&gt;"",VLOOKUP(A129,'Actual Dates'!A:AE,21,0),W129-$V$2),"")</f>
        <v>46184.5</v>
      </c>
      <c r="W129" s="116">
        <f t="shared" si="55"/>
        <v>46191.5</v>
      </c>
      <c r="X129" s="116">
        <f t="shared" si="56"/>
        <v>46198.5</v>
      </c>
      <c r="Y129" s="116">
        <f t="shared" si="57"/>
        <v>46205.5</v>
      </c>
      <c r="Z129" s="116">
        <f t="shared" si="58"/>
        <v>46207.5</v>
      </c>
      <c r="AA129" s="116">
        <f t="shared" si="59"/>
        <v>46205.5</v>
      </c>
      <c r="AB129" s="116">
        <f t="shared" si="60"/>
        <v>46205.5</v>
      </c>
      <c r="AC129" s="116">
        <f t="shared" si="61"/>
        <v>46205.5</v>
      </c>
      <c r="AD129" s="116">
        <f t="shared" si="62"/>
        <v>46212.5</v>
      </c>
      <c r="AE129" s="116">
        <f t="shared" si="63"/>
        <v>46265</v>
      </c>
      <c r="AF129" s="116" t="str">
        <f t="shared" si="64"/>
        <v>032-26</v>
      </c>
    </row>
    <row r="130" spans="1:32" x14ac:dyDescent="0.25">
      <c r="A130" s="113" t="str">
        <f>'Date Calcs'!A130</f>
        <v>26-033</v>
      </c>
      <c r="B130" s="113" t="str">
        <f>'Date Calcs'!B130</f>
        <v>Kimberly-Clark</v>
      </c>
      <c r="C130" s="114">
        <v>46237</v>
      </c>
      <c r="D130" s="115">
        <v>4</v>
      </c>
      <c r="E130" s="115">
        <v>0.5</v>
      </c>
      <c r="F130" s="115">
        <v>1</v>
      </c>
      <c r="G130" s="115">
        <v>0.25</v>
      </c>
      <c r="H130" s="115">
        <v>0.25</v>
      </c>
      <c r="I130" s="114">
        <f t="shared" si="44"/>
        <v>46025</v>
      </c>
      <c r="J130" s="116">
        <f t="shared" si="45"/>
        <v>46046</v>
      </c>
      <c r="K130" s="116">
        <f t="shared" si="46"/>
        <v>46060</v>
      </c>
      <c r="L130" s="116">
        <f t="shared" si="47"/>
        <v>46067</v>
      </c>
      <c r="M130" s="116">
        <f t="shared" si="48"/>
        <v>46074</v>
      </c>
      <c r="N130" s="116">
        <f t="shared" si="49"/>
        <v>46081</v>
      </c>
      <c r="O130" s="116">
        <f t="shared" si="50"/>
        <v>46088</v>
      </c>
      <c r="P130" s="116">
        <f t="shared" si="51"/>
        <v>46095</v>
      </c>
      <c r="Q130" s="116">
        <f>IFERROR(VLOOKUP(A130,'Date Calcs'!A:C,3,0),"")</f>
        <v>46099</v>
      </c>
      <c r="R130" s="116">
        <f t="shared" si="52"/>
        <v>46097</v>
      </c>
      <c r="S130" s="117"/>
      <c r="T130" s="116">
        <f t="shared" si="53"/>
        <v>46162</v>
      </c>
      <c r="U130" s="116">
        <f t="shared" si="54"/>
        <v>46223</v>
      </c>
      <c r="V130" s="116">
        <f>IFERROR(IF(VLOOKUP(A130,'Actual Dates'!A:AE,21,0)&gt;"",VLOOKUP(A130,'Actual Dates'!A:AE,21,0),W130-$V$2),"")</f>
        <v>46167</v>
      </c>
      <c r="W130" s="116">
        <f t="shared" si="55"/>
        <v>46174</v>
      </c>
      <c r="X130" s="116">
        <f t="shared" si="56"/>
        <v>46181</v>
      </c>
      <c r="Y130" s="116">
        <f t="shared" si="57"/>
        <v>46188</v>
      </c>
      <c r="Z130" s="116">
        <f t="shared" si="58"/>
        <v>46190</v>
      </c>
      <c r="AA130" s="116">
        <f t="shared" si="59"/>
        <v>46188</v>
      </c>
      <c r="AB130" s="116">
        <f t="shared" si="60"/>
        <v>46188</v>
      </c>
      <c r="AC130" s="116">
        <f t="shared" si="61"/>
        <v>46188</v>
      </c>
      <c r="AD130" s="116">
        <f t="shared" si="62"/>
        <v>46195</v>
      </c>
      <c r="AE130" s="116">
        <f t="shared" si="63"/>
        <v>46237</v>
      </c>
      <c r="AF130" s="116" t="str">
        <f t="shared" si="64"/>
        <v>033-26</v>
      </c>
    </row>
    <row r="131" spans="1:32" x14ac:dyDescent="0.25">
      <c r="A131" s="113">
        <f>'Date Calcs'!A131</f>
        <v>0</v>
      </c>
      <c r="B131" s="113">
        <f>'Date Calcs'!B131</f>
        <v>0</v>
      </c>
      <c r="C131" s="114" t="str">
        <f>_xlfn.IFNA(_xlfn.IFNA(VLOOKUP(AF131,'[1]Schedule Not Certified'!$C:$F,3,0),VLOOKUP(AF131,[1]CERTIFIED!$C:$E,3,0)),"")</f>
        <v/>
      </c>
      <c r="D131" s="115">
        <v>0</v>
      </c>
      <c r="E131" s="115">
        <v>0</v>
      </c>
      <c r="F131" s="115">
        <v>0</v>
      </c>
      <c r="G131" s="115">
        <v>0</v>
      </c>
      <c r="H131" s="115">
        <v>0</v>
      </c>
      <c r="I131" s="114" t="str">
        <f t="shared" si="23"/>
        <v/>
      </c>
      <c r="J131" s="116" t="e">
        <f t="shared" ref="J131:N134" si="65">K131-J$2</f>
        <v>#VALUE!</v>
      </c>
      <c r="K131" s="116" t="e">
        <f t="shared" si="65"/>
        <v>#VALUE!</v>
      </c>
      <c r="L131" s="116" t="e">
        <f t="shared" si="65"/>
        <v>#VALUE!</v>
      </c>
      <c r="M131" s="116" t="e">
        <f t="shared" si="65"/>
        <v>#VALUE!</v>
      </c>
      <c r="N131" s="116" t="e">
        <f t="shared" si="65"/>
        <v>#VALUE!</v>
      </c>
      <c r="O131" s="116" t="str">
        <f t="shared" si="24"/>
        <v/>
      </c>
      <c r="P131" s="116" t="str">
        <f t="shared" si="25"/>
        <v/>
      </c>
      <c r="Q131" s="116" t="str">
        <f>IFERROR(VLOOKUP(A131,'Date Calcs'!A:C,3,0),"")</f>
        <v/>
      </c>
      <c r="R131" s="116" t="str">
        <f t="shared" si="26"/>
        <v/>
      </c>
      <c r="S131" s="117"/>
      <c r="T131" s="116" t="e">
        <f t="shared" si="27"/>
        <v>#VALUE!</v>
      </c>
      <c r="U131" s="116" t="e">
        <f t="shared" si="28"/>
        <v>#VALUE!</v>
      </c>
      <c r="V131" s="116" t="str">
        <f>IFERROR(IF(VLOOKUP(A131,'Actual Dates'!A:AE,21,0)&gt;"",VLOOKUP(A131,'Actual Dates'!A:AE,21,0),W131-$V$2),"")</f>
        <v/>
      </c>
      <c r="W131" s="116" t="str">
        <f t="shared" si="29"/>
        <v/>
      </c>
      <c r="X131" s="116" t="str">
        <f t="shared" si="30"/>
        <v/>
      </c>
      <c r="Y131" s="116" t="str">
        <f t="shared" si="31"/>
        <v/>
      </c>
      <c r="Z131" s="116" t="str">
        <f t="shared" si="32"/>
        <v/>
      </c>
      <c r="AA131" s="116" t="str">
        <f t="shared" si="33"/>
        <v/>
      </c>
      <c r="AB131" s="116" t="str">
        <f t="shared" si="34"/>
        <v/>
      </c>
      <c r="AC131" s="116" t="str">
        <f t="shared" si="35"/>
        <v/>
      </c>
      <c r="AD131" s="116" t="str">
        <f t="shared" si="36"/>
        <v/>
      </c>
      <c r="AE131" s="116" t="str">
        <f t="shared" si="37"/>
        <v/>
      </c>
      <c r="AF131" s="116" t="str">
        <f t="shared" si="38"/>
        <v>0-0</v>
      </c>
    </row>
    <row r="132" spans="1:32" x14ac:dyDescent="0.25">
      <c r="A132" s="113">
        <f>'Date Calcs'!A132</f>
        <v>0</v>
      </c>
      <c r="B132" s="113">
        <f>'Date Calcs'!B132</f>
        <v>0</v>
      </c>
      <c r="C132" s="114" t="str">
        <f>_xlfn.IFNA(_xlfn.IFNA(VLOOKUP(AF132,'[1]Schedule Not Certified'!$C:$F,3,0),VLOOKUP(AF132,[1]CERTIFIED!$C:$E,3,0)),"")</f>
        <v/>
      </c>
      <c r="D132" s="115">
        <v>0</v>
      </c>
      <c r="E132" s="115">
        <v>0</v>
      </c>
      <c r="F132" s="115">
        <v>0</v>
      </c>
      <c r="G132" s="115">
        <v>0</v>
      </c>
      <c r="H132" s="115">
        <v>0</v>
      </c>
      <c r="I132" s="114" t="str">
        <f t="shared" si="23"/>
        <v/>
      </c>
      <c r="J132" s="116" t="e">
        <f t="shared" si="65"/>
        <v>#VALUE!</v>
      </c>
      <c r="K132" s="116" t="e">
        <f t="shared" si="65"/>
        <v>#VALUE!</v>
      </c>
      <c r="L132" s="116" t="e">
        <f t="shared" si="65"/>
        <v>#VALUE!</v>
      </c>
      <c r="M132" s="116" t="e">
        <f t="shared" si="65"/>
        <v>#VALUE!</v>
      </c>
      <c r="N132" s="116" t="e">
        <f t="shared" si="65"/>
        <v>#VALUE!</v>
      </c>
      <c r="O132" s="116" t="str">
        <f t="shared" si="24"/>
        <v/>
      </c>
      <c r="P132" s="116" t="str">
        <f t="shared" si="25"/>
        <v/>
      </c>
      <c r="Q132" s="116" t="str">
        <f>IFERROR(VLOOKUP(A132,'Date Calcs'!A:C,3,0),"")</f>
        <v/>
      </c>
      <c r="R132" s="116" t="str">
        <f t="shared" si="26"/>
        <v/>
      </c>
      <c r="S132" s="117"/>
      <c r="T132" s="116" t="e">
        <f t="shared" si="27"/>
        <v>#VALUE!</v>
      </c>
      <c r="U132" s="116" t="e">
        <f t="shared" si="28"/>
        <v>#VALUE!</v>
      </c>
      <c r="V132" s="116" t="str">
        <f>IFERROR(IF(VLOOKUP(A132,'Actual Dates'!A:AE,21,0)&gt;"",VLOOKUP(A132,'Actual Dates'!A:AE,21,0),W132-$V$2),"")</f>
        <v/>
      </c>
      <c r="W132" s="116" t="str">
        <f t="shared" si="29"/>
        <v/>
      </c>
      <c r="X132" s="116" t="str">
        <f t="shared" si="30"/>
        <v/>
      </c>
      <c r="Y132" s="116" t="str">
        <f t="shared" si="31"/>
        <v/>
      </c>
      <c r="Z132" s="116" t="str">
        <f t="shared" si="32"/>
        <v/>
      </c>
      <c r="AA132" s="116" t="str">
        <f t="shared" si="33"/>
        <v/>
      </c>
      <c r="AB132" s="116" t="str">
        <f t="shared" si="34"/>
        <v/>
      </c>
      <c r="AC132" s="116" t="str">
        <f t="shared" si="35"/>
        <v/>
      </c>
      <c r="AD132" s="116" t="str">
        <f t="shared" si="36"/>
        <v/>
      </c>
      <c r="AE132" s="116" t="str">
        <f t="shared" si="37"/>
        <v/>
      </c>
      <c r="AF132" s="116" t="str">
        <f t="shared" si="38"/>
        <v>0-0</v>
      </c>
    </row>
    <row r="133" spans="1:32" x14ac:dyDescent="0.25">
      <c r="A133" s="113">
        <f>'Date Calcs'!A133</f>
        <v>0</v>
      </c>
      <c r="B133" s="113">
        <f>'Date Calcs'!B133</f>
        <v>0</v>
      </c>
      <c r="C133" s="114" t="str">
        <f>_xlfn.IFNA(_xlfn.IFNA(VLOOKUP(AF133,'[1]Schedule Not Certified'!$C:$F,3,0),VLOOKUP(AF133,[1]CERTIFIED!$C:$E,3,0)),"")</f>
        <v/>
      </c>
      <c r="D133" s="115">
        <v>0</v>
      </c>
      <c r="E133" s="115">
        <v>0</v>
      </c>
      <c r="F133" s="115">
        <v>0</v>
      </c>
      <c r="G133" s="115">
        <v>0</v>
      </c>
      <c r="H133" s="115">
        <v>0</v>
      </c>
      <c r="I133" s="114" t="str">
        <f t="shared" ref="I133:I196" si="66">IFERROR(J133-21,"")</f>
        <v/>
      </c>
      <c r="J133" s="116" t="e">
        <f t="shared" si="65"/>
        <v>#VALUE!</v>
      </c>
      <c r="K133" s="116" t="e">
        <f t="shared" si="65"/>
        <v>#VALUE!</v>
      </c>
      <c r="L133" s="116" t="e">
        <f t="shared" si="65"/>
        <v>#VALUE!</v>
      </c>
      <c r="M133" s="116" t="e">
        <f t="shared" si="65"/>
        <v>#VALUE!</v>
      </c>
      <c r="N133" s="116" t="e">
        <f t="shared" si="65"/>
        <v>#VALUE!</v>
      </c>
      <c r="O133" s="116" t="str">
        <f t="shared" ref="O133:O196" si="67">IFERROR(P133-$O$2,"")</f>
        <v/>
      </c>
      <c r="P133" s="116" t="str">
        <f t="shared" ref="P133:P196" si="68">IFERROR(R133-2,"")</f>
        <v/>
      </c>
      <c r="Q133" s="116" t="str">
        <f>IFERROR(VLOOKUP(A133,'Date Calcs'!A:C,3,0),"")</f>
        <v/>
      </c>
      <c r="R133" s="116" t="str">
        <f t="shared" ref="R133:R196" si="69">IFERROR(Q133-$R$2,"")</f>
        <v/>
      </c>
      <c r="S133" s="117"/>
      <c r="T133" s="116" t="e">
        <f t="shared" ref="T133:T196" si="70">V133-$T$2</f>
        <v>#VALUE!</v>
      </c>
      <c r="U133" s="116" t="e">
        <f t="shared" ref="U133:U196" si="71">AD133+(D133*7)</f>
        <v>#VALUE!</v>
      </c>
      <c r="V133" s="116" t="str">
        <f>IFERROR(IF(VLOOKUP(A133,'Actual Dates'!A:AE,21,0)&gt;"",VLOOKUP(A133,'Actual Dates'!A:AE,21,0),W133-$V$2),"")</f>
        <v/>
      </c>
      <c r="W133" s="116" t="str">
        <f t="shared" ref="W133:W196" si="72">IFERROR(X133-$W$2,"")</f>
        <v/>
      </c>
      <c r="X133" s="116" t="str">
        <f t="shared" ref="X133:X196" si="73">IFERROR(Y133-$X$2,"")</f>
        <v/>
      </c>
      <c r="Y133" s="116" t="str">
        <f t="shared" ref="Y133:Y196" si="74">IFERROR(IF(Z133+Y$2+5&gt;AD133,AD133-7,Z133+Y$2+5),"")</f>
        <v/>
      </c>
      <c r="Z133" s="116" t="str">
        <f t="shared" ref="Z133:Z196" si="75">IFERROR(AD133-$Z$2,"")</f>
        <v/>
      </c>
      <c r="AA133" s="116" t="str">
        <f t="shared" ref="AA133:AA196" si="76">IFERROR(AD133-$AA$2,"")</f>
        <v/>
      </c>
      <c r="AB133" s="116" t="str">
        <f t="shared" ref="AB133:AB196" si="77">IFERROR(AD133-$AB$2,"")</f>
        <v/>
      </c>
      <c r="AC133" s="116" t="str">
        <f t="shared" ref="AC133:AC196" si="78">IFERROR(AD133-$AC$2,"")</f>
        <v/>
      </c>
      <c r="AD133" s="116" t="str">
        <f t="shared" ref="AD133:AD196" si="79">IFERROR(AE133-(SUM(D133:H133)*7),"")</f>
        <v/>
      </c>
      <c r="AE133" s="116" t="str">
        <f t="shared" ref="AE133:AE196" si="80">C133</f>
        <v/>
      </c>
      <c r="AF133" s="116" t="str">
        <f t="shared" ref="AF133:AF196" si="81">CONCATENATE(RIGHT(A133,3),"-",LEFT(A133,2))</f>
        <v>0-0</v>
      </c>
    </row>
    <row r="134" spans="1:32" x14ac:dyDescent="0.25">
      <c r="A134" s="113">
        <f>'Date Calcs'!A134</f>
        <v>0</v>
      </c>
      <c r="B134" s="113">
        <f>'Date Calcs'!B134</f>
        <v>0</v>
      </c>
      <c r="C134" s="114" t="str">
        <f>_xlfn.IFNA(_xlfn.IFNA(VLOOKUP(AF134,'[1]Schedule Not Certified'!$C:$F,3,0),VLOOKUP(AF134,[1]CERTIFIED!$C:$E,3,0)),"")</f>
        <v/>
      </c>
      <c r="D134" s="115">
        <v>0</v>
      </c>
      <c r="E134" s="115">
        <v>0</v>
      </c>
      <c r="F134" s="115">
        <v>0</v>
      </c>
      <c r="G134" s="115">
        <v>0</v>
      </c>
      <c r="H134" s="115">
        <v>0</v>
      </c>
      <c r="I134" s="114" t="str">
        <f t="shared" si="66"/>
        <v/>
      </c>
      <c r="J134" s="116" t="e">
        <f t="shared" si="65"/>
        <v>#VALUE!</v>
      </c>
      <c r="K134" s="116" t="e">
        <f t="shared" si="65"/>
        <v>#VALUE!</v>
      </c>
      <c r="L134" s="116" t="e">
        <f t="shared" si="65"/>
        <v>#VALUE!</v>
      </c>
      <c r="M134" s="116" t="e">
        <f t="shared" si="65"/>
        <v>#VALUE!</v>
      </c>
      <c r="N134" s="116" t="e">
        <f t="shared" si="65"/>
        <v>#VALUE!</v>
      </c>
      <c r="O134" s="116" t="str">
        <f t="shared" si="67"/>
        <v/>
      </c>
      <c r="P134" s="116" t="str">
        <f t="shared" si="68"/>
        <v/>
      </c>
      <c r="Q134" s="116" t="str">
        <f>IFERROR(VLOOKUP(A134,'Date Calcs'!A:C,3,0),"")</f>
        <v/>
      </c>
      <c r="R134" s="116" t="str">
        <f t="shared" si="69"/>
        <v/>
      </c>
      <c r="S134" s="117"/>
      <c r="T134" s="116" t="e">
        <f t="shared" si="70"/>
        <v>#VALUE!</v>
      </c>
      <c r="U134" s="116" t="e">
        <f t="shared" si="71"/>
        <v>#VALUE!</v>
      </c>
      <c r="V134" s="116" t="str">
        <f>IFERROR(IF(VLOOKUP(A134,'Actual Dates'!A:AE,21,0)&gt;"",VLOOKUP(A134,'Actual Dates'!A:AE,21,0),W134-$V$2),"")</f>
        <v/>
      </c>
      <c r="W134" s="116" t="str">
        <f t="shared" si="72"/>
        <v/>
      </c>
      <c r="X134" s="116" t="str">
        <f t="shared" si="73"/>
        <v/>
      </c>
      <c r="Y134" s="116" t="str">
        <f t="shared" si="74"/>
        <v/>
      </c>
      <c r="Z134" s="116" t="str">
        <f t="shared" si="75"/>
        <v/>
      </c>
      <c r="AA134" s="116" t="str">
        <f t="shared" si="76"/>
        <v/>
      </c>
      <c r="AB134" s="116" t="str">
        <f t="shared" si="77"/>
        <v/>
      </c>
      <c r="AC134" s="116" t="str">
        <f t="shared" si="78"/>
        <v/>
      </c>
      <c r="AD134" s="116" t="str">
        <f t="shared" si="79"/>
        <v/>
      </c>
      <c r="AE134" s="116" t="str">
        <f t="shared" si="80"/>
        <v/>
      </c>
      <c r="AF134" s="116" t="str">
        <f t="shared" si="81"/>
        <v>0-0</v>
      </c>
    </row>
    <row r="135" spans="1:32" x14ac:dyDescent="0.25">
      <c r="A135" s="113">
        <f>'Date Calcs'!A135</f>
        <v>0</v>
      </c>
      <c r="B135" s="113">
        <f>'Date Calcs'!B135</f>
        <v>0</v>
      </c>
      <c r="C135" s="114" t="str">
        <f>_xlfn.IFNA(_xlfn.IFNA(VLOOKUP(AF135,'[1]Schedule Not Certified'!$C:$F,3,0),VLOOKUP(AF135,[1]CERTIFIED!$C:$E,3,0)),"")</f>
        <v/>
      </c>
      <c r="D135" s="115">
        <v>0</v>
      </c>
      <c r="E135" s="115">
        <v>0</v>
      </c>
      <c r="F135" s="115">
        <v>0</v>
      </c>
      <c r="G135" s="115">
        <v>0</v>
      </c>
      <c r="H135" s="115">
        <v>0</v>
      </c>
      <c r="I135" s="114" t="str">
        <f t="shared" si="66"/>
        <v/>
      </c>
      <c r="J135" s="116" t="e">
        <f t="shared" ref="J135:N144" si="82">K135-J$2</f>
        <v>#VALUE!</v>
      </c>
      <c r="K135" s="116" t="e">
        <f t="shared" si="82"/>
        <v>#VALUE!</v>
      </c>
      <c r="L135" s="116" t="e">
        <f t="shared" si="82"/>
        <v>#VALUE!</v>
      </c>
      <c r="M135" s="116" t="e">
        <f t="shared" si="82"/>
        <v>#VALUE!</v>
      </c>
      <c r="N135" s="116" t="e">
        <f t="shared" si="82"/>
        <v>#VALUE!</v>
      </c>
      <c r="O135" s="116" t="str">
        <f t="shared" si="67"/>
        <v/>
      </c>
      <c r="P135" s="116" t="str">
        <f t="shared" si="68"/>
        <v/>
      </c>
      <c r="Q135" s="116" t="str">
        <f>IFERROR(VLOOKUP(A135,'Date Calcs'!A:C,3,0),"")</f>
        <v/>
      </c>
      <c r="R135" s="116" t="str">
        <f t="shared" si="69"/>
        <v/>
      </c>
      <c r="S135" s="117"/>
      <c r="T135" s="116" t="e">
        <f t="shared" si="70"/>
        <v>#VALUE!</v>
      </c>
      <c r="U135" s="116" t="e">
        <f t="shared" si="71"/>
        <v>#VALUE!</v>
      </c>
      <c r="V135" s="116" t="str">
        <f>IFERROR(IF(VLOOKUP(A135,'Actual Dates'!A:AE,21,0)&gt;"",VLOOKUP(A135,'Actual Dates'!A:AE,21,0),W135-$V$2),"")</f>
        <v/>
      </c>
      <c r="W135" s="116" t="str">
        <f t="shared" si="72"/>
        <v/>
      </c>
      <c r="X135" s="116" t="str">
        <f t="shared" si="73"/>
        <v/>
      </c>
      <c r="Y135" s="116" t="str">
        <f t="shared" si="74"/>
        <v/>
      </c>
      <c r="Z135" s="116" t="str">
        <f t="shared" si="75"/>
        <v/>
      </c>
      <c r="AA135" s="116" t="str">
        <f t="shared" si="76"/>
        <v/>
      </c>
      <c r="AB135" s="116" t="str">
        <f t="shared" si="77"/>
        <v/>
      </c>
      <c r="AC135" s="116" t="str">
        <f t="shared" si="78"/>
        <v/>
      </c>
      <c r="AD135" s="116" t="str">
        <f t="shared" si="79"/>
        <v/>
      </c>
      <c r="AE135" s="116" t="str">
        <f t="shared" si="80"/>
        <v/>
      </c>
      <c r="AF135" s="116" t="str">
        <f t="shared" si="81"/>
        <v>0-0</v>
      </c>
    </row>
    <row r="136" spans="1:32" x14ac:dyDescent="0.25">
      <c r="A136" s="113">
        <f>'Date Calcs'!A136</f>
        <v>0</v>
      </c>
      <c r="B136" s="113">
        <f>'Date Calcs'!B136</f>
        <v>0</v>
      </c>
      <c r="C136" s="114" t="str">
        <f>_xlfn.IFNA(_xlfn.IFNA(VLOOKUP(AF136,'[1]Schedule Not Certified'!$C:$F,3,0),VLOOKUP(AF136,[1]CERTIFIED!$C:$E,3,0)),"")</f>
        <v/>
      </c>
      <c r="D136" s="115">
        <v>0</v>
      </c>
      <c r="E136" s="115">
        <v>0</v>
      </c>
      <c r="F136" s="115">
        <v>0</v>
      </c>
      <c r="G136" s="115">
        <v>0</v>
      </c>
      <c r="H136" s="115">
        <v>0</v>
      </c>
      <c r="I136" s="114" t="str">
        <f t="shared" si="66"/>
        <v/>
      </c>
      <c r="J136" s="116" t="e">
        <f t="shared" si="82"/>
        <v>#VALUE!</v>
      </c>
      <c r="K136" s="116" t="e">
        <f t="shared" si="82"/>
        <v>#VALUE!</v>
      </c>
      <c r="L136" s="116" t="e">
        <f t="shared" si="82"/>
        <v>#VALUE!</v>
      </c>
      <c r="M136" s="116" t="e">
        <f t="shared" si="82"/>
        <v>#VALUE!</v>
      </c>
      <c r="N136" s="116" t="e">
        <f t="shared" si="82"/>
        <v>#VALUE!</v>
      </c>
      <c r="O136" s="116" t="str">
        <f t="shared" si="67"/>
        <v/>
      </c>
      <c r="P136" s="116" t="str">
        <f t="shared" si="68"/>
        <v/>
      </c>
      <c r="Q136" s="116" t="str">
        <f>IFERROR(VLOOKUP(A136,'Date Calcs'!A:C,3,0),"")</f>
        <v/>
      </c>
      <c r="R136" s="116" t="str">
        <f t="shared" si="69"/>
        <v/>
      </c>
      <c r="S136" s="117"/>
      <c r="T136" s="116" t="e">
        <f t="shared" si="70"/>
        <v>#VALUE!</v>
      </c>
      <c r="U136" s="116" t="e">
        <f t="shared" si="71"/>
        <v>#VALUE!</v>
      </c>
      <c r="V136" s="116" t="str">
        <f>IFERROR(IF(VLOOKUP(A136,'Actual Dates'!A:AE,21,0)&gt;"",VLOOKUP(A136,'Actual Dates'!A:AE,21,0),W136-$V$2),"")</f>
        <v/>
      </c>
      <c r="W136" s="116" t="str">
        <f t="shared" si="72"/>
        <v/>
      </c>
      <c r="X136" s="116" t="str">
        <f t="shared" si="73"/>
        <v/>
      </c>
      <c r="Y136" s="116" t="str">
        <f t="shared" si="74"/>
        <v/>
      </c>
      <c r="Z136" s="116" t="str">
        <f t="shared" si="75"/>
        <v/>
      </c>
      <c r="AA136" s="116" t="str">
        <f t="shared" si="76"/>
        <v/>
      </c>
      <c r="AB136" s="116" t="str">
        <f t="shared" si="77"/>
        <v/>
      </c>
      <c r="AC136" s="116" t="str">
        <f t="shared" si="78"/>
        <v/>
      </c>
      <c r="AD136" s="116" t="str">
        <f t="shared" si="79"/>
        <v/>
      </c>
      <c r="AE136" s="116" t="str">
        <f t="shared" si="80"/>
        <v/>
      </c>
      <c r="AF136" s="116" t="str">
        <f t="shared" si="81"/>
        <v>0-0</v>
      </c>
    </row>
    <row r="137" spans="1:32" x14ac:dyDescent="0.25">
      <c r="A137" s="113">
        <f>'Date Calcs'!A137</f>
        <v>0</v>
      </c>
      <c r="B137" s="113">
        <f>'Date Calcs'!B137</f>
        <v>0</v>
      </c>
      <c r="C137" s="114" t="str">
        <f>_xlfn.IFNA(_xlfn.IFNA(VLOOKUP(AF137,'[1]Schedule Not Certified'!$C:$F,3,0),VLOOKUP(AF137,[1]CERTIFIED!$C:$E,3,0)),"")</f>
        <v/>
      </c>
      <c r="D137" s="115">
        <v>0</v>
      </c>
      <c r="E137" s="115">
        <v>0</v>
      </c>
      <c r="F137" s="115">
        <v>0</v>
      </c>
      <c r="G137" s="115">
        <v>0</v>
      </c>
      <c r="H137" s="115">
        <v>0</v>
      </c>
      <c r="I137" s="114" t="str">
        <f t="shared" si="66"/>
        <v/>
      </c>
      <c r="J137" s="116" t="e">
        <f t="shared" si="82"/>
        <v>#VALUE!</v>
      </c>
      <c r="K137" s="116" t="e">
        <f t="shared" si="82"/>
        <v>#VALUE!</v>
      </c>
      <c r="L137" s="116" t="e">
        <f t="shared" si="82"/>
        <v>#VALUE!</v>
      </c>
      <c r="M137" s="116" t="e">
        <f t="shared" si="82"/>
        <v>#VALUE!</v>
      </c>
      <c r="N137" s="116" t="e">
        <f t="shared" si="82"/>
        <v>#VALUE!</v>
      </c>
      <c r="O137" s="116" t="str">
        <f t="shared" si="67"/>
        <v/>
      </c>
      <c r="P137" s="116" t="str">
        <f t="shared" si="68"/>
        <v/>
      </c>
      <c r="Q137" s="116" t="str">
        <f>IFERROR(VLOOKUP(A137,'Date Calcs'!A:C,3,0),"")</f>
        <v/>
      </c>
      <c r="R137" s="116" t="str">
        <f t="shared" si="69"/>
        <v/>
      </c>
      <c r="S137" s="117"/>
      <c r="T137" s="116" t="e">
        <f t="shared" si="70"/>
        <v>#VALUE!</v>
      </c>
      <c r="U137" s="116" t="e">
        <f t="shared" si="71"/>
        <v>#VALUE!</v>
      </c>
      <c r="V137" s="116" t="str">
        <f>IFERROR(IF(VLOOKUP(A137,'Actual Dates'!A:AE,21,0)&gt;"",VLOOKUP(A137,'Actual Dates'!A:AE,21,0),W137-$V$2),"")</f>
        <v/>
      </c>
      <c r="W137" s="116" t="str">
        <f t="shared" si="72"/>
        <v/>
      </c>
      <c r="X137" s="116" t="str">
        <f t="shared" si="73"/>
        <v/>
      </c>
      <c r="Y137" s="116" t="str">
        <f t="shared" si="74"/>
        <v/>
      </c>
      <c r="Z137" s="116" t="str">
        <f t="shared" si="75"/>
        <v/>
      </c>
      <c r="AA137" s="116" t="str">
        <f t="shared" si="76"/>
        <v/>
      </c>
      <c r="AB137" s="116" t="str">
        <f t="shared" si="77"/>
        <v/>
      </c>
      <c r="AC137" s="116" t="str">
        <f t="shared" si="78"/>
        <v/>
      </c>
      <c r="AD137" s="116" t="str">
        <f t="shared" si="79"/>
        <v/>
      </c>
      <c r="AE137" s="116" t="str">
        <f t="shared" si="80"/>
        <v/>
      </c>
      <c r="AF137" s="116" t="str">
        <f t="shared" si="81"/>
        <v>0-0</v>
      </c>
    </row>
    <row r="138" spans="1:32" x14ac:dyDescent="0.25">
      <c r="A138" s="113">
        <f>'Date Calcs'!A138</f>
        <v>0</v>
      </c>
      <c r="B138" s="113">
        <f>'Date Calcs'!B138</f>
        <v>0</v>
      </c>
      <c r="C138" s="114" t="str">
        <f>_xlfn.IFNA(_xlfn.IFNA(VLOOKUP(AF138,'[1]Schedule Not Certified'!$C:$F,3,0),VLOOKUP(AF138,[1]CERTIFIED!$C:$E,3,0)),"")</f>
        <v/>
      </c>
      <c r="D138" s="115">
        <v>0</v>
      </c>
      <c r="E138" s="115">
        <v>0</v>
      </c>
      <c r="F138" s="115">
        <v>0</v>
      </c>
      <c r="G138" s="115">
        <v>0</v>
      </c>
      <c r="H138" s="115">
        <v>0</v>
      </c>
      <c r="I138" s="114" t="str">
        <f t="shared" si="66"/>
        <v/>
      </c>
      <c r="J138" s="116" t="e">
        <f t="shared" si="82"/>
        <v>#VALUE!</v>
      </c>
      <c r="K138" s="116" t="e">
        <f t="shared" si="82"/>
        <v>#VALUE!</v>
      </c>
      <c r="L138" s="116" t="e">
        <f t="shared" si="82"/>
        <v>#VALUE!</v>
      </c>
      <c r="M138" s="116" t="e">
        <f t="shared" si="82"/>
        <v>#VALUE!</v>
      </c>
      <c r="N138" s="116" t="e">
        <f t="shared" si="82"/>
        <v>#VALUE!</v>
      </c>
      <c r="O138" s="116" t="str">
        <f t="shared" si="67"/>
        <v/>
      </c>
      <c r="P138" s="116" t="str">
        <f t="shared" si="68"/>
        <v/>
      </c>
      <c r="Q138" s="116" t="str">
        <f>IFERROR(VLOOKUP(A138,'Date Calcs'!A:C,3,0),"")</f>
        <v/>
      </c>
      <c r="R138" s="116" t="str">
        <f t="shared" si="69"/>
        <v/>
      </c>
      <c r="S138" s="117"/>
      <c r="T138" s="116" t="e">
        <f t="shared" si="70"/>
        <v>#VALUE!</v>
      </c>
      <c r="U138" s="116" t="e">
        <f t="shared" si="71"/>
        <v>#VALUE!</v>
      </c>
      <c r="V138" s="116" t="str">
        <f>IFERROR(IF(VLOOKUP(A138,'Actual Dates'!A:AE,21,0)&gt;"",VLOOKUP(A138,'Actual Dates'!A:AE,21,0),W138-$V$2),"")</f>
        <v/>
      </c>
      <c r="W138" s="116" t="str">
        <f t="shared" si="72"/>
        <v/>
      </c>
      <c r="X138" s="116" t="str">
        <f t="shared" si="73"/>
        <v/>
      </c>
      <c r="Y138" s="116" t="str">
        <f t="shared" si="74"/>
        <v/>
      </c>
      <c r="Z138" s="116" t="str">
        <f t="shared" si="75"/>
        <v/>
      </c>
      <c r="AA138" s="116" t="str">
        <f t="shared" si="76"/>
        <v/>
      </c>
      <c r="AB138" s="116" t="str">
        <f t="shared" si="77"/>
        <v/>
      </c>
      <c r="AC138" s="116" t="str">
        <f t="shared" si="78"/>
        <v/>
      </c>
      <c r="AD138" s="116" t="str">
        <f t="shared" si="79"/>
        <v/>
      </c>
      <c r="AE138" s="116" t="str">
        <f t="shared" si="80"/>
        <v/>
      </c>
      <c r="AF138" s="116" t="str">
        <f t="shared" si="81"/>
        <v>0-0</v>
      </c>
    </row>
    <row r="139" spans="1:32" x14ac:dyDescent="0.25">
      <c r="A139" s="113">
        <f>'Date Calcs'!A139</f>
        <v>0</v>
      </c>
      <c r="B139" s="113">
        <f>'Date Calcs'!B139</f>
        <v>0</v>
      </c>
      <c r="C139" s="114" t="str">
        <f>_xlfn.IFNA(_xlfn.IFNA(VLOOKUP(AF139,'[1]Schedule Not Certified'!$C:$F,3,0),VLOOKUP(AF139,[1]CERTIFIED!$C:$E,3,0)),"")</f>
        <v/>
      </c>
      <c r="D139" s="115">
        <v>0</v>
      </c>
      <c r="E139" s="115">
        <v>0</v>
      </c>
      <c r="F139" s="115">
        <v>0</v>
      </c>
      <c r="G139" s="115">
        <v>0</v>
      </c>
      <c r="H139" s="115">
        <v>0</v>
      </c>
      <c r="I139" s="114" t="str">
        <f t="shared" si="66"/>
        <v/>
      </c>
      <c r="J139" s="116" t="e">
        <f t="shared" si="82"/>
        <v>#VALUE!</v>
      </c>
      <c r="K139" s="116" t="e">
        <f t="shared" si="82"/>
        <v>#VALUE!</v>
      </c>
      <c r="L139" s="116" t="e">
        <f t="shared" si="82"/>
        <v>#VALUE!</v>
      </c>
      <c r="M139" s="116" t="e">
        <f t="shared" si="82"/>
        <v>#VALUE!</v>
      </c>
      <c r="N139" s="116" t="e">
        <f t="shared" si="82"/>
        <v>#VALUE!</v>
      </c>
      <c r="O139" s="116" t="str">
        <f t="shared" si="67"/>
        <v/>
      </c>
      <c r="P139" s="116" t="str">
        <f t="shared" si="68"/>
        <v/>
      </c>
      <c r="Q139" s="116" t="str">
        <f>IFERROR(VLOOKUP(A139,'Date Calcs'!A:C,3,0),"")</f>
        <v/>
      </c>
      <c r="R139" s="116" t="str">
        <f t="shared" si="69"/>
        <v/>
      </c>
      <c r="S139" s="117"/>
      <c r="T139" s="116" t="e">
        <f t="shared" si="70"/>
        <v>#VALUE!</v>
      </c>
      <c r="U139" s="116" t="e">
        <f t="shared" si="71"/>
        <v>#VALUE!</v>
      </c>
      <c r="V139" s="116" t="str">
        <f>IFERROR(IF(VLOOKUP(A139,'Actual Dates'!A:AE,21,0)&gt;"",VLOOKUP(A139,'Actual Dates'!A:AE,21,0),W139-$V$2),"")</f>
        <v/>
      </c>
      <c r="W139" s="116" t="str">
        <f t="shared" si="72"/>
        <v/>
      </c>
      <c r="X139" s="116" t="str">
        <f t="shared" si="73"/>
        <v/>
      </c>
      <c r="Y139" s="116" t="str">
        <f t="shared" si="74"/>
        <v/>
      </c>
      <c r="Z139" s="116" t="str">
        <f t="shared" si="75"/>
        <v/>
      </c>
      <c r="AA139" s="116" t="str">
        <f t="shared" si="76"/>
        <v/>
      </c>
      <c r="AB139" s="116" t="str">
        <f t="shared" si="77"/>
        <v/>
      </c>
      <c r="AC139" s="116" t="str">
        <f t="shared" si="78"/>
        <v/>
      </c>
      <c r="AD139" s="116" t="str">
        <f t="shared" si="79"/>
        <v/>
      </c>
      <c r="AE139" s="116" t="str">
        <f t="shared" si="80"/>
        <v/>
      </c>
      <c r="AF139" s="116" t="str">
        <f t="shared" si="81"/>
        <v>0-0</v>
      </c>
    </row>
    <row r="140" spans="1:32" x14ac:dyDescent="0.25">
      <c r="A140" s="113">
        <f>'Date Calcs'!A140</f>
        <v>0</v>
      </c>
      <c r="B140" s="113">
        <f>'Date Calcs'!B140</f>
        <v>0</v>
      </c>
      <c r="C140" s="114" t="str">
        <f>_xlfn.IFNA(_xlfn.IFNA(VLOOKUP(AF140,'[1]Schedule Not Certified'!$C:$F,3,0),VLOOKUP(AF140,[1]CERTIFIED!$C:$E,3,0)),"")</f>
        <v/>
      </c>
      <c r="D140" s="115">
        <v>0</v>
      </c>
      <c r="E140" s="115">
        <v>0</v>
      </c>
      <c r="F140" s="115">
        <v>0</v>
      </c>
      <c r="G140" s="115">
        <v>0</v>
      </c>
      <c r="H140" s="115">
        <v>0</v>
      </c>
      <c r="I140" s="114" t="str">
        <f t="shared" si="66"/>
        <v/>
      </c>
      <c r="J140" s="116" t="e">
        <f t="shared" si="82"/>
        <v>#VALUE!</v>
      </c>
      <c r="K140" s="116" t="e">
        <f t="shared" si="82"/>
        <v>#VALUE!</v>
      </c>
      <c r="L140" s="116" t="e">
        <f t="shared" si="82"/>
        <v>#VALUE!</v>
      </c>
      <c r="M140" s="116" t="e">
        <f t="shared" si="82"/>
        <v>#VALUE!</v>
      </c>
      <c r="N140" s="116" t="e">
        <f t="shared" si="82"/>
        <v>#VALUE!</v>
      </c>
      <c r="O140" s="116" t="str">
        <f t="shared" si="67"/>
        <v/>
      </c>
      <c r="P140" s="116" t="str">
        <f t="shared" si="68"/>
        <v/>
      </c>
      <c r="Q140" s="116" t="str">
        <f>IFERROR(VLOOKUP(A140,'Date Calcs'!A:C,3,0),"")</f>
        <v/>
      </c>
      <c r="R140" s="116" t="str">
        <f t="shared" si="69"/>
        <v/>
      </c>
      <c r="S140" s="117"/>
      <c r="T140" s="116" t="e">
        <f t="shared" si="70"/>
        <v>#VALUE!</v>
      </c>
      <c r="U140" s="116" t="e">
        <f t="shared" si="71"/>
        <v>#VALUE!</v>
      </c>
      <c r="V140" s="116" t="str">
        <f>IFERROR(IF(VLOOKUP(A140,'Actual Dates'!A:AE,21,0)&gt;"",VLOOKUP(A140,'Actual Dates'!A:AE,21,0),W140-$V$2),"")</f>
        <v/>
      </c>
      <c r="W140" s="116" t="str">
        <f t="shared" si="72"/>
        <v/>
      </c>
      <c r="X140" s="116" t="str">
        <f t="shared" si="73"/>
        <v/>
      </c>
      <c r="Y140" s="116" t="str">
        <f t="shared" si="74"/>
        <v/>
      </c>
      <c r="Z140" s="116" t="str">
        <f t="shared" si="75"/>
        <v/>
      </c>
      <c r="AA140" s="116" t="str">
        <f t="shared" si="76"/>
        <v/>
      </c>
      <c r="AB140" s="116" t="str">
        <f t="shared" si="77"/>
        <v/>
      </c>
      <c r="AC140" s="116" t="str">
        <f t="shared" si="78"/>
        <v/>
      </c>
      <c r="AD140" s="116" t="str">
        <f t="shared" si="79"/>
        <v/>
      </c>
      <c r="AE140" s="116" t="str">
        <f t="shared" si="80"/>
        <v/>
      </c>
      <c r="AF140" s="116" t="str">
        <f t="shared" si="81"/>
        <v>0-0</v>
      </c>
    </row>
    <row r="141" spans="1:32" x14ac:dyDescent="0.25">
      <c r="A141" s="113">
        <f>'Date Calcs'!A141</f>
        <v>0</v>
      </c>
      <c r="B141" s="113">
        <f>'Date Calcs'!B141</f>
        <v>0</v>
      </c>
      <c r="C141" s="114" t="str">
        <f>_xlfn.IFNA(_xlfn.IFNA(VLOOKUP(AF141,'[1]Schedule Not Certified'!$C:$F,3,0),VLOOKUP(AF141,[1]CERTIFIED!$C:$E,3,0)),"")</f>
        <v/>
      </c>
      <c r="D141" s="115">
        <v>0</v>
      </c>
      <c r="E141" s="115">
        <v>0</v>
      </c>
      <c r="F141" s="115">
        <v>0</v>
      </c>
      <c r="G141" s="115">
        <v>0</v>
      </c>
      <c r="H141" s="115">
        <v>0</v>
      </c>
      <c r="I141" s="114" t="str">
        <f t="shared" si="66"/>
        <v/>
      </c>
      <c r="J141" s="116" t="e">
        <f t="shared" si="82"/>
        <v>#VALUE!</v>
      </c>
      <c r="K141" s="116" t="e">
        <f t="shared" si="82"/>
        <v>#VALUE!</v>
      </c>
      <c r="L141" s="116" t="e">
        <f t="shared" si="82"/>
        <v>#VALUE!</v>
      </c>
      <c r="M141" s="116" t="e">
        <f t="shared" si="82"/>
        <v>#VALUE!</v>
      </c>
      <c r="N141" s="116" t="e">
        <f t="shared" si="82"/>
        <v>#VALUE!</v>
      </c>
      <c r="O141" s="116" t="str">
        <f t="shared" si="67"/>
        <v/>
      </c>
      <c r="P141" s="116" t="str">
        <f t="shared" si="68"/>
        <v/>
      </c>
      <c r="Q141" s="116" t="str">
        <f>IFERROR(VLOOKUP(A141,'Date Calcs'!A:C,3,0),"")</f>
        <v/>
      </c>
      <c r="R141" s="116" t="str">
        <f t="shared" si="69"/>
        <v/>
      </c>
      <c r="S141" s="117"/>
      <c r="T141" s="116" t="e">
        <f t="shared" si="70"/>
        <v>#VALUE!</v>
      </c>
      <c r="U141" s="116" t="e">
        <f t="shared" si="71"/>
        <v>#VALUE!</v>
      </c>
      <c r="V141" s="116" t="str">
        <f>IFERROR(IF(VLOOKUP(A141,'Actual Dates'!A:AE,21,0)&gt;"",VLOOKUP(A141,'Actual Dates'!A:AE,21,0),W141-$V$2),"")</f>
        <v/>
      </c>
      <c r="W141" s="116" t="str">
        <f t="shared" si="72"/>
        <v/>
      </c>
      <c r="X141" s="116" t="str">
        <f t="shared" si="73"/>
        <v/>
      </c>
      <c r="Y141" s="116" t="str">
        <f t="shared" si="74"/>
        <v/>
      </c>
      <c r="Z141" s="116" t="str">
        <f t="shared" si="75"/>
        <v/>
      </c>
      <c r="AA141" s="116" t="str">
        <f t="shared" si="76"/>
        <v/>
      </c>
      <c r="AB141" s="116" t="str">
        <f t="shared" si="77"/>
        <v/>
      </c>
      <c r="AC141" s="116" t="str">
        <f t="shared" si="78"/>
        <v/>
      </c>
      <c r="AD141" s="116" t="str">
        <f t="shared" si="79"/>
        <v/>
      </c>
      <c r="AE141" s="116" t="str">
        <f t="shared" si="80"/>
        <v/>
      </c>
      <c r="AF141" s="116" t="str">
        <f t="shared" si="81"/>
        <v>0-0</v>
      </c>
    </row>
    <row r="142" spans="1:32" x14ac:dyDescent="0.25">
      <c r="A142" s="113">
        <f>'Date Calcs'!A142</f>
        <v>0</v>
      </c>
      <c r="B142" s="113">
        <f>'Date Calcs'!B142</f>
        <v>0</v>
      </c>
      <c r="C142" s="114" t="str">
        <f>_xlfn.IFNA(_xlfn.IFNA(VLOOKUP(AF142,'[1]Schedule Not Certified'!$C:$F,3,0),VLOOKUP(AF142,[1]CERTIFIED!$C:$E,3,0)),"")</f>
        <v/>
      </c>
      <c r="D142" s="115">
        <v>0</v>
      </c>
      <c r="E142" s="115">
        <v>0</v>
      </c>
      <c r="F142" s="115">
        <v>0</v>
      </c>
      <c r="G142" s="115">
        <v>0</v>
      </c>
      <c r="H142" s="115">
        <v>0</v>
      </c>
      <c r="I142" s="114" t="str">
        <f t="shared" si="66"/>
        <v/>
      </c>
      <c r="J142" s="116" t="e">
        <f t="shared" si="82"/>
        <v>#VALUE!</v>
      </c>
      <c r="K142" s="116" t="e">
        <f t="shared" si="82"/>
        <v>#VALUE!</v>
      </c>
      <c r="L142" s="116" t="e">
        <f t="shared" si="82"/>
        <v>#VALUE!</v>
      </c>
      <c r="M142" s="116" t="e">
        <f t="shared" si="82"/>
        <v>#VALUE!</v>
      </c>
      <c r="N142" s="116" t="e">
        <f t="shared" si="82"/>
        <v>#VALUE!</v>
      </c>
      <c r="O142" s="116" t="str">
        <f t="shared" si="67"/>
        <v/>
      </c>
      <c r="P142" s="116" t="str">
        <f t="shared" si="68"/>
        <v/>
      </c>
      <c r="Q142" s="116" t="str">
        <f>IFERROR(VLOOKUP(A142,'Date Calcs'!A:C,3,0),"")</f>
        <v/>
      </c>
      <c r="R142" s="116" t="str">
        <f t="shared" si="69"/>
        <v/>
      </c>
      <c r="S142" s="117"/>
      <c r="T142" s="116" t="e">
        <f t="shared" si="70"/>
        <v>#VALUE!</v>
      </c>
      <c r="U142" s="116" t="e">
        <f t="shared" si="71"/>
        <v>#VALUE!</v>
      </c>
      <c r="V142" s="116" t="str">
        <f>IFERROR(IF(VLOOKUP(A142,'Actual Dates'!A:AE,21,0)&gt;"",VLOOKUP(A142,'Actual Dates'!A:AE,21,0),W142-$V$2),"")</f>
        <v/>
      </c>
      <c r="W142" s="116" t="str">
        <f t="shared" si="72"/>
        <v/>
      </c>
      <c r="X142" s="116" t="str">
        <f t="shared" si="73"/>
        <v/>
      </c>
      <c r="Y142" s="116" t="str">
        <f t="shared" si="74"/>
        <v/>
      </c>
      <c r="Z142" s="116" t="str">
        <f t="shared" si="75"/>
        <v/>
      </c>
      <c r="AA142" s="116" t="str">
        <f t="shared" si="76"/>
        <v/>
      </c>
      <c r="AB142" s="116" t="str">
        <f t="shared" si="77"/>
        <v/>
      </c>
      <c r="AC142" s="116" t="str">
        <f t="shared" si="78"/>
        <v/>
      </c>
      <c r="AD142" s="116" t="str">
        <f t="shared" si="79"/>
        <v/>
      </c>
      <c r="AE142" s="116" t="str">
        <f t="shared" si="80"/>
        <v/>
      </c>
      <c r="AF142" s="116" t="str">
        <f t="shared" si="81"/>
        <v>0-0</v>
      </c>
    </row>
    <row r="143" spans="1:32" x14ac:dyDescent="0.25">
      <c r="A143" s="113">
        <f>'Date Calcs'!A143</f>
        <v>0</v>
      </c>
      <c r="B143" s="113">
        <f>'Date Calcs'!B143</f>
        <v>0</v>
      </c>
      <c r="C143" s="114" t="str">
        <f>_xlfn.IFNA(_xlfn.IFNA(VLOOKUP(AF143,'[1]Schedule Not Certified'!$C:$F,3,0),VLOOKUP(AF143,[1]CERTIFIED!$C:$E,3,0)),"")</f>
        <v/>
      </c>
      <c r="D143" s="115">
        <v>0</v>
      </c>
      <c r="E143" s="115">
        <v>0</v>
      </c>
      <c r="F143" s="115">
        <v>0</v>
      </c>
      <c r="G143" s="115">
        <v>0</v>
      </c>
      <c r="H143" s="115">
        <v>0</v>
      </c>
      <c r="I143" s="114" t="str">
        <f t="shared" si="66"/>
        <v/>
      </c>
      <c r="J143" s="116" t="e">
        <f t="shared" si="82"/>
        <v>#VALUE!</v>
      </c>
      <c r="K143" s="116" t="e">
        <f t="shared" si="82"/>
        <v>#VALUE!</v>
      </c>
      <c r="L143" s="116" t="e">
        <f t="shared" si="82"/>
        <v>#VALUE!</v>
      </c>
      <c r="M143" s="116" t="e">
        <f t="shared" si="82"/>
        <v>#VALUE!</v>
      </c>
      <c r="N143" s="116" t="e">
        <f t="shared" si="82"/>
        <v>#VALUE!</v>
      </c>
      <c r="O143" s="116" t="str">
        <f t="shared" si="67"/>
        <v/>
      </c>
      <c r="P143" s="116" t="str">
        <f t="shared" si="68"/>
        <v/>
      </c>
      <c r="Q143" s="116" t="str">
        <f>IFERROR(VLOOKUP(A143,'Date Calcs'!A:C,3,0),"")</f>
        <v/>
      </c>
      <c r="R143" s="116" t="str">
        <f t="shared" si="69"/>
        <v/>
      </c>
      <c r="S143" s="117"/>
      <c r="T143" s="116" t="e">
        <f t="shared" si="70"/>
        <v>#VALUE!</v>
      </c>
      <c r="U143" s="116" t="e">
        <f t="shared" si="71"/>
        <v>#VALUE!</v>
      </c>
      <c r="V143" s="116" t="str">
        <f>IFERROR(IF(VLOOKUP(A143,'Actual Dates'!A:AE,21,0)&gt;"",VLOOKUP(A143,'Actual Dates'!A:AE,21,0),W143-$V$2),"")</f>
        <v/>
      </c>
      <c r="W143" s="116" t="str">
        <f t="shared" si="72"/>
        <v/>
      </c>
      <c r="X143" s="116" t="str">
        <f t="shared" si="73"/>
        <v/>
      </c>
      <c r="Y143" s="116" t="str">
        <f t="shared" si="74"/>
        <v/>
      </c>
      <c r="Z143" s="116" t="str">
        <f t="shared" si="75"/>
        <v/>
      </c>
      <c r="AA143" s="116" t="str">
        <f t="shared" si="76"/>
        <v/>
      </c>
      <c r="AB143" s="116" t="str">
        <f t="shared" si="77"/>
        <v/>
      </c>
      <c r="AC143" s="116" t="str">
        <f t="shared" si="78"/>
        <v/>
      </c>
      <c r="AD143" s="116" t="str">
        <f t="shared" si="79"/>
        <v/>
      </c>
      <c r="AE143" s="116" t="str">
        <f t="shared" si="80"/>
        <v/>
      </c>
      <c r="AF143" s="116" t="str">
        <f t="shared" si="81"/>
        <v>0-0</v>
      </c>
    </row>
    <row r="144" spans="1:32" x14ac:dyDescent="0.25">
      <c r="A144" s="113">
        <f>'Date Calcs'!A144</f>
        <v>0</v>
      </c>
      <c r="B144" s="113">
        <f>'Date Calcs'!B144</f>
        <v>0</v>
      </c>
      <c r="C144" s="114" t="str">
        <f>_xlfn.IFNA(_xlfn.IFNA(VLOOKUP(AF144,'[1]Schedule Not Certified'!$C:$F,3,0),VLOOKUP(AF144,[1]CERTIFIED!$C:$E,3,0)),"")</f>
        <v/>
      </c>
      <c r="D144" s="115">
        <v>0</v>
      </c>
      <c r="E144" s="115">
        <v>0</v>
      </c>
      <c r="F144" s="115">
        <v>0</v>
      </c>
      <c r="G144" s="115">
        <v>0</v>
      </c>
      <c r="H144" s="115">
        <v>0</v>
      </c>
      <c r="I144" s="114" t="str">
        <f t="shared" si="66"/>
        <v/>
      </c>
      <c r="J144" s="116" t="e">
        <f t="shared" si="82"/>
        <v>#VALUE!</v>
      </c>
      <c r="K144" s="116" t="e">
        <f t="shared" si="82"/>
        <v>#VALUE!</v>
      </c>
      <c r="L144" s="116" t="e">
        <f t="shared" si="82"/>
        <v>#VALUE!</v>
      </c>
      <c r="M144" s="116" t="e">
        <f t="shared" si="82"/>
        <v>#VALUE!</v>
      </c>
      <c r="N144" s="116" t="e">
        <f t="shared" si="82"/>
        <v>#VALUE!</v>
      </c>
      <c r="O144" s="116" t="str">
        <f t="shared" si="67"/>
        <v/>
      </c>
      <c r="P144" s="116" t="str">
        <f t="shared" si="68"/>
        <v/>
      </c>
      <c r="Q144" s="116" t="str">
        <f>IFERROR(VLOOKUP(A144,'Date Calcs'!A:C,3,0),"")</f>
        <v/>
      </c>
      <c r="R144" s="116" t="str">
        <f t="shared" si="69"/>
        <v/>
      </c>
      <c r="S144" s="117"/>
      <c r="T144" s="116" t="e">
        <f t="shared" si="70"/>
        <v>#VALUE!</v>
      </c>
      <c r="U144" s="116" t="e">
        <f t="shared" si="71"/>
        <v>#VALUE!</v>
      </c>
      <c r="V144" s="116" t="str">
        <f>IFERROR(IF(VLOOKUP(A144,'Actual Dates'!A:AE,21,0)&gt;"",VLOOKUP(A144,'Actual Dates'!A:AE,21,0),W144-$V$2),"")</f>
        <v/>
      </c>
      <c r="W144" s="116" t="str">
        <f t="shared" si="72"/>
        <v/>
      </c>
      <c r="X144" s="116" t="str">
        <f t="shared" si="73"/>
        <v/>
      </c>
      <c r="Y144" s="116" t="str">
        <f t="shared" si="74"/>
        <v/>
      </c>
      <c r="Z144" s="116" t="str">
        <f t="shared" si="75"/>
        <v/>
      </c>
      <c r="AA144" s="116" t="str">
        <f t="shared" si="76"/>
        <v/>
      </c>
      <c r="AB144" s="116" t="str">
        <f t="shared" si="77"/>
        <v/>
      </c>
      <c r="AC144" s="116" t="str">
        <f t="shared" si="78"/>
        <v/>
      </c>
      <c r="AD144" s="116" t="str">
        <f t="shared" si="79"/>
        <v/>
      </c>
      <c r="AE144" s="116" t="str">
        <f t="shared" si="80"/>
        <v/>
      </c>
      <c r="AF144" s="116" t="str">
        <f t="shared" si="81"/>
        <v>0-0</v>
      </c>
    </row>
    <row r="145" spans="1:32" x14ac:dyDescent="0.25">
      <c r="A145" s="113">
        <f>'Date Calcs'!A145</f>
        <v>0</v>
      </c>
      <c r="B145" s="113">
        <f>'Date Calcs'!B145</f>
        <v>0</v>
      </c>
      <c r="C145" s="114" t="str">
        <f>_xlfn.IFNA(_xlfn.IFNA(VLOOKUP(AF145,'[1]Schedule Not Certified'!$C:$F,3,0),VLOOKUP(AF145,[1]CERTIFIED!$C:$E,3,0)),"")</f>
        <v/>
      </c>
      <c r="D145" s="115">
        <v>0</v>
      </c>
      <c r="E145" s="115">
        <v>0</v>
      </c>
      <c r="F145" s="115">
        <v>0</v>
      </c>
      <c r="G145" s="115">
        <v>0</v>
      </c>
      <c r="H145" s="115">
        <v>0</v>
      </c>
      <c r="I145" s="114" t="str">
        <f t="shared" si="66"/>
        <v/>
      </c>
      <c r="J145" s="116" t="e">
        <f t="shared" ref="J145:N154" si="83">K145-J$2</f>
        <v>#VALUE!</v>
      </c>
      <c r="K145" s="116" t="e">
        <f t="shared" si="83"/>
        <v>#VALUE!</v>
      </c>
      <c r="L145" s="116" t="e">
        <f t="shared" si="83"/>
        <v>#VALUE!</v>
      </c>
      <c r="M145" s="116" t="e">
        <f t="shared" si="83"/>
        <v>#VALUE!</v>
      </c>
      <c r="N145" s="116" t="e">
        <f t="shared" si="83"/>
        <v>#VALUE!</v>
      </c>
      <c r="O145" s="116" t="str">
        <f t="shared" si="67"/>
        <v/>
      </c>
      <c r="P145" s="116" t="str">
        <f t="shared" si="68"/>
        <v/>
      </c>
      <c r="Q145" s="116" t="str">
        <f>IFERROR(VLOOKUP(A145,'Date Calcs'!A:C,3,0),"")</f>
        <v/>
      </c>
      <c r="R145" s="116" t="str">
        <f t="shared" si="69"/>
        <v/>
      </c>
      <c r="S145" s="117"/>
      <c r="T145" s="116" t="e">
        <f t="shared" si="70"/>
        <v>#VALUE!</v>
      </c>
      <c r="U145" s="116" t="e">
        <f t="shared" si="71"/>
        <v>#VALUE!</v>
      </c>
      <c r="V145" s="116" t="str">
        <f>IFERROR(IF(VLOOKUP(A145,'Actual Dates'!A:AE,21,0)&gt;"",VLOOKUP(A145,'Actual Dates'!A:AE,21,0),W145-$V$2),"")</f>
        <v/>
      </c>
      <c r="W145" s="116" t="str">
        <f t="shared" si="72"/>
        <v/>
      </c>
      <c r="X145" s="116" t="str">
        <f t="shared" si="73"/>
        <v/>
      </c>
      <c r="Y145" s="116" t="str">
        <f t="shared" si="74"/>
        <v/>
      </c>
      <c r="Z145" s="116" t="str">
        <f t="shared" si="75"/>
        <v/>
      </c>
      <c r="AA145" s="116" t="str">
        <f t="shared" si="76"/>
        <v/>
      </c>
      <c r="AB145" s="116" t="str">
        <f t="shared" si="77"/>
        <v/>
      </c>
      <c r="AC145" s="116" t="str">
        <f t="shared" si="78"/>
        <v/>
      </c>
      <c r="AD145" s="116" t="str">
        <f t="shared" si="79"/>
        <v/>
      </c>
      <c r="AE145" s="116" t="str">
        <f t="shared" si="80"/>
        <v/>
      </c>
      <c r="AF145" s="116" t="str">
        <f t="shared" si="81"/>
        <v>0-0</v>
      </c>
    </row>
    <row r="146" spans="1:32" x14ac:dyDescent="0.25">
      <c r="A146" s="113">
        <f>'Date Calcs'!A146</f>
        <v>0</v>
      </c>
      <c r="B146" s="113">
        <f>'Date Calcs'!B146</f>
        <v>0</v>
      </c>
      <c r="C146" s="114" t="str">
        <f>_xlfn.IFNA(_xlfn.IFNA(VLOOKUP(AF146,'[1]Schedule Not Certified'!$C:$F,3,0),VLOOKUP(AF146,[1]CERTIFIED!$C:$E,3,0)),"")</f>
        <v/>
      </c>
      <c r="D146" s="115">
        <v>0</v>
      </c>
      <c r="E146" s="115">
        <v>0</v>
      </c>
      <c r="F146" s="115">
        <v>0</v>
      </c>
      <c r="G146" s="115">
        <v>0</v>
      </c>
      <c r="H146" s="115">
        <v>0</v>
      </c>
      <c r="I146" s="114" t="str">
        <f t="shared" si="66"/>
        <v/>
      </c>
      <c r="J146" s="116" t="e">
        <f t="shared" si="83"/>
        <v>#VALUE!</v>
      </c>
      <c r="K146" s="116" t="e">
        <f t="shared" si="83"/>
        <v>#VALUE!</v>
      </c>
      <c r="L146" s="116" t="e">
        <f t="shared" si="83"/>
        <v>#VALUE!</v>
      </c>
      <c r="M146" s="116" t="e">
        <f t="shared" si="83"/>
        <v>#VALUE!</v>
      </c>
      <c r="N146" s="116" t="e">
        <f t="shared" si="83"/>
        <v>#VALUE!</v>
      </c>
      <c r="O146" s="116" t="str">
        <f t="shared" si="67"/>
        <v/>
      </c>
      <c r="P146" s="116" t="str">
        <f t="shared" si="68"/>
        <v/>
      </c>
      <c r="Q146" s="116" t="str">
        <f>IFERROR(VLOOKUP(A146,'Date Calcs'!A:C,3,0),"")</f>
        <v/>
      </c>
      <c r="R146" s="116" t="str">
        <f t="shared" si="69"/>
        <v/>
      </c>
      <c r="S146" s="117"/>
      <c r="T146" s="116" t="e">
        <f t="shared" si="70"/>
        <v>#VALUE!</v>
      </c>
      <c r="U146" s="116" t="e">
        <f t="shared" si="71"/>
        <v>#VALUE!</v>
      </c>
      <c r="V146" s="116" t="str">
        <f>IFERROR(IF(VLOOKUP(A146,'Actual Dates'!A:AE,21,0)&gt;"",VLOOKUP(A146,'Actual Dates'!A:AE,21,0),W146-$V$2),"")</f>
        <v/>
      </c>
      <c r="W146" s="116" t="str">
        <f t="shared" si="72"/>
        <v/>
      </c>
      <c r="X146" s="116" t="str">
        <f t="shared" si="73"/>
        <v/>
      </c>
      <c r="Y146" s="116" t="str">
        <f t="shared" si="74"/>
        <v/>
      </c>
      <c r="Z146" s="116" t="str">
        <f t="shared" si="75"/>
        <v/>
      </c>
      <c r="AA146" s="116" t="str">
        <f t="shared" si="76"/>
        <v/>
      </c>
      <c r="AB146" s="116" t="str">
        <f t="shared" si="77"/>
        <v/>
      </c>
      <c r="AC146" s="116" t="str">
        <f t="shared" si="78"/>
        <v/>
      </c>
      <c r="AD146" s="116" t="str">
        <f t="shared" si="79"/>
        <v/>
      </c>
      <c r="AE146" s="116" t="str">
        <f t="shared" si="80"/>
        <v/>
      </c>
      <c r="AF146" s="116" t="str">
        <f t="shared" si="81"/>
        <v>0-0</v>
      </c>
    </row>
    <row r="147" spans="1:32" x14ac:dyDescent="0.25">
      <c r="A147" s="113">
        <f>'Date Calcs'!A147</f>
        <v>0</v>
      </c>
      <c r="B147" s="113">
        <f>'Date Calcs'!B147</f>
        <v>0</v>
      </c>
      <c r="C147" s="114" t="str">
        <f>_xlfn.IFNA(_xlfn.IFNA(VLOOKUP(AF147,'[1]Schedule Not Certified'!$C:$F,3,0),VLOOKUP(AF147,[1]CERTIFIED!$C:$E,3,0)),"")</f>
        <v/>
      </c>
      <c r="D147" s="115">
        <v>0</v>
      </c>
      <c r="E147" s="115">
        <v>0</v>
      </c>
      <c r="F147" s="115">
        <v>0</v>
      </c>
      <c r="G147" s="115">
        <v>0</v>
      </c>
      <c r="H147" s="115">
        <v>0</v>
      </c>
      <c r="I147" s="114" t="str">
        <f t="shared" si="66"/>
        <v/>
      </c>
      <c r="J147" s="116" t="e">
        <f t="shared" si="83"/>
        <v>#VALUE!</v>
      </c>
      <c r="K147" s="116" t="e">
        <f t="shared" si="83"/>
        <v>#VALUE!</v>
      </c>
      <c r="L147" s="116" t="e">
        <f t="shared" si="83"/>
        <v>#VALUE!</v>
      </c>
      <c r="M147" s="116" t="e">
        <f t="shared" si="83"/>
        <v>#VALUE!</v>
      </c>
      <c r="N147" s="116" t="e">
        <f t="shared" si="83"/>
        <v>#VALUE!</v>
      </c>
      <c r="O147" s="116" t="str">
        <f t="shared" si="67"/>
        <v/>
      </c>
      <c r="P147" s="116" t="str">
        <f t="shared" si="68"/>
        <v/>
      </c>
      <c r="Q147" s="116" t="str">
        <f>IFERROR(VLOOKUP(A147,'Date Calcs'!A:C,3,0),"")</f>
        <v/>
      </c>
      <c r="R147" s="116" t="str">
        <f t="shared" si="69"/>
        <v/>
      </c>
      <c r="S147" s="117"/>
      <c r="T147" s="116" t="e">
        <f t="shared" si="70"/>
        <v>#VALUE!</v>
      </c>
      <c r="U147" s="116" t="e">
        <f t="shared" si="71"/>
        <v>#VALUE!</v>
      </c>
      <c r="V147" s="116" t="str">
        <f>IFERROR(IF(VLOOKUP(A147,'Actual Dates'!A:AE,21,0)&gt;"",VLOOKUP(A147,'Actual Dates'!A:AE,21,0),W147-$V$2),"")</f>
        <v/>
      </c>
      <c r="W147" s="116" t="str">
        <f t="shared" si="72"/>
        <v/>
      </c>
      <c r="X147" s="116" t="str">
        <f t="shared" si="73"/>
        <v/>
      </c>
      <c r="Y147" s="116" t="str">
        <f t="shared" si="74"/>
        <v/>
      </c>
      <c r="Z147" s="116" t="str">
        <f t="shared" si="75"/>
        <v/>
      </c>
      <c r="AA147" s="116" t="str">
        <f t="shared" si="76"/>
        <v/>
      </c>
      <c r="AB147" s="116" t="str">
        <f t="shared" si="77"/>
        <v/>
      </c>
      <c r="AC147" s="116" t="str">
        <f t="shared" si="78"/>
        <v/>
      </c>
      <c r="AD147" s="116" t="str">
        <f t="shared" si="79"/>
        <v/>
      </c>
      <c r="AE147" s="116" t="str">
        <f t="shared" si="80"/>
        <v/>
      </c>
      <c r="AF147" s="116" t="str">
        <f t="shared" si="81"/>
        <v>0-0</v>
      </c>
    </row>
    <row r="148" spans="1:32" x14ac:dyDescent="0.25">
      <c r="A148" s="113">
        <f>'Date Calcs'!A148</f>
        <v>0</v>
      </c>
      <c r="B148" s="113">
        <f>'Date Calcs'!B148</f>
        <v>0</v>
      </c>
      <c r="C148" s="114" t="str">
        <f>_xlfn.IFNA(_xlfn.IFNA(VLOOKUP(AF148,'[1]Schedule Not Certified'!$C:$F,3,0),VLOOKUP(AF148,[1]CERTIFIED!$C:$E,3,0)),"")</f>
        <v/>
      </c>
      <c r="D148" s="115">
        <v>0</v>
      </c>
      <c r="E148" s="115">
        <v>0</v>
      </c>
      <c r="F148" s="115">
        <v>0</v>
      </c>
      <c r="G148" s="115">
        <v>0</v>
      </c>
      <c r="H148" s="115">
        <v>0</v>
      </c>
      <c r="I148" s="114" t="str">
        <f t="shared" si="66"/>
        <v/>
      </c>
      <c r="J148" s="116" t="e">
        <f t="shared" si="83"/>
        <v>#VALUE!</v>
      </c>
      <c r="K148" s="116" t="e">
        <f t="shared" si="83"/>
        <v>#VALUE!</v>
      </c>
      <c r="L148" s="116" t="e">
        <f t="shared" si="83"/>
        <v>#VALUE!</v>
      </c>
      <c r="M148" s="116" t="e">
        <f t="shared" si="83"/>
        <v>#VALUE!</v>
      </c>
      <c r="N148" s="116" t="e">
        <f t="shared" si="83"/>
        <v>#VALUE!</v>
      </c>
      <c r="O148" s="116" t="str">
        <f t="shared" si="67"/>
        <v/>
      </c>
      <c r="P148" s="116" t="str">
        <f t="shared" si="68"/>
        <v/>
      </c>
      <c r="Q148" s="116" t="str">
        <f>IFERROR(VLOOKUP(A148,'Date Calcs'!A:C,3,0),"")</f>
        <v/>
      </c>
      <c r="R148" s="116" t="str">
        <f t="shared" si="69"/>
        <v/>
      </c>
      <c r="S148" s="117"/>
      <c r="T148" s="116" t="e">
        <f t="shared" si="70"/>
        <v>#VALUE!</v>
      </c>
      <c r="U148" s="116" t="e">
        <f t="shared" si="71"/>
        <v>#VALUE!</v>
      </c>
      <c r="V148" s="116" t="str">
        <f>IFERROR(IF(VLOOKUP(A148,'Actual Dates'!A:AE,21,0)&gt;"",VLOOKUP(A148,'Actual Dates'!A:AE,21,0),W148-$V$2),"")</f>
        <v/>
      </c>
      <c r="W148" s="116" t="str">
        <f t="shared" si="72"/>
        <v/>
      </c>
      <c r="X148" s="116" t="str">
        <f t="shared" si="73"/>
        <v/>
      </c>
      <c r="Y148" s="116" t="str">
        <f t="shared" si="74"/>
        <v/>
      </c>
      <c r="Z148" s="116" t="str">
        <f t="shared" si="75"/>
        <v/>
      </c>
      <c r="AA148" s="116" t="str">
        <f t="shared" si="76"/>
        <v/>
      </c>
      <c r="AB148" s="116" t="str">
        <f t="shared" si="77"/>
        <v/>
      </c>
      <c r="AC148" s="116" t="str">
        <f t="shared" si="78"/>
        <v/>
      </c>
      <c r="AD148" s="116" t="str">
        <f t="shared" si="79"/>
        <v/>
      </c>
      <c r="AE148" s="116" t="str">
        <f t="shared" si="80"/>
        <v/>
      </c>
      <c r="AF148" s="116" t="str">
        <f t="shared" si="81"/>
        <v>0-0</v>
      </c>
    </row>
    <row r="149" spans="1:32" x14ac:dyDescent="0.25">
      <c r="A149" s="113">
        <f>'Date Calcs'!A149</f>
        <v>0</v>
      </c>
      <c r="B149" s="113">
        <f>'Date Calcs'!B149</f>
        <v>0</v>
      </c>
      <c r="C149" s="114" t="str">
        <f>_xlfn.IFNA(_xlfn.IFNA(VLOOKUP(AF149,'[1]Schedule Not Certified'!$C:$F,3,0),VLOOKUP(AF149,[1]CERTIFIED!$C:$E,3,0)),"")</f>
        <v/>
      </c>
      <c r="D149" s="115">
        <v>0</v>
      </c>
      <c r="E149" s="115">
        <v>0</v>
      </c>
      <c r="F149" s="115">
        <v>0</v>
      </c>
      <c r="G149" s="115">
        <v>0</v>
      </c>
      <c r="H149" s="115">
        <v>0</v>
      </c>
      <c r="I149" s="114" t="str">
        <f t="shared" si="66"/>
        <v/>
      </c>
      <c r="J149" s="116" t="e">
        <f t="shared" si="83"/>
        <v>#VALUE!</v>
      </c>
      <c r="K149" s="116" t="e">
        <f t="shared" si="83"/>
        <v>#VALUE!</v>
      </c>
      <c r="L149" s="116" t="e">
        <f t="shared" si="83"/>
        <v>#VALUE!</v>
      </c>
      <c r="M149" s="116" t="e">
        <f t="shared" si="83"/>
        <v>#VALUE!</v>
      </c>
      <c r="N149" s="116" t="e">
        <f t="shared" si="83"/>
        <v>#VALUE!</v>
      </c>
      <c r="O149" s="116" t="str">
        <f t="shared" si="67"/>
        <v/>
      </c>
      <c r="P149" s="116" t="str">
        <f t="shared" si="68"/>
        <v/>
      </c>
      <c r="Q149" s="116" t="str">
        <f>IFERROR(VLOOKUP(A149,'Date Calcs'!A:C,3,0),"")</f>
        <v/>
      </c>
      <c r="R149" s="116" t="str">
        <f t="shared" si="69"/>
        <v/>
      </c>
      <c r="S149" s="117"/>
      <c r="T149" s="116" t="e">
        <f t="shared" si="70"/>
        <v>#VALUE!</v>
      </c>
      <c r="U149" s="116" t="e">
        <f t="shared" si="71"/>
        <v>#VALUE!</v>
      </c>
      <c r="V149" s="116" t="str">
        <f>IFERROR(IF(VLOOKUP(A149,'Actual Dates'!A:AE,21,0)&gt;"",VLOOKUP(A149,'Actual Dates'!A:AE,21,0),W149-$V$2),"")</f>
        <v/>
      </c>
      <c r="W149" s="116" t="str">
        <f t="shared" si="72"/>
        <v/>
      </c>
      <c r="X149" s="116" t="str">
        <f t="shared" si="73"/>
        <v/>
      </c>
      <c r="Y149" s="116" t="str">
        <f t="shared" si="74"/>
        <v/>
      </c>
      <c r="Z149" s="116" t="str">
        <f t="shared" si="75"/>
        <v/>
      </c>
      <c r="AA149" s="116" t="str">
        <f t="shared" si="76"/>
        <v/>
      </c>
      <c r="AB149" s="116" t="str">
        <f t="shared" si="77"/>
        <v/>
      </c>
      <c r="AC149" s="116" t="str">
        <f t="shared" si="78"/>
        <v/>
      </c>
      <c r="AD149" s="116" t="str">
        <f t="shared" si="79"/>
        <v/>
      </c>
      <c r="AE149" s="116" t="str">
        <f t="shared" si="80"/>
        <v/>
      </c>
      <c r="AF149" s="116" t="str">
        <f t="shared" si="81"/>
        <v>0-0</v>
      </c>
    </row>
    <row r="150" spans="1:32" x14ac:dyDescent="0.25">
      <c r="A150" s="113">
        <f>'Date Calcs'!A150</f>
        <v>0</v>
      </c>
      <c r="B150" s="113">
        <f>'Date Calcs'!B150</f>
        <v>0</v>
      </c>
      <c r="C150" s="114" t="str">
        <f>_xlfn.IFNA(_xlfn.IFNA(VLOOKUP(AF150,'[1]Schedule Not Certified'!$C:$F,3,0),VLOOKUP(AF150,[1]CERTIFIED!$C:$E,3,0)),"")</f>
        <v/>
      </c>
      <c r="D150" s="115">
        <v>0</v>
      </c>
      <c r="E150" s="115">
        <v>0</v>
      </c>
      <c r="F150" s="115">
        <v>0</v>
      </c>
      <c r="G150" s="115">
        <v>0</v>
      </c>
      <c r="H150" s="115">
        <v>0</v>
      </c>
      <c r="I150" s="114" t="str">
        <f t="shared" si="66"/>
        <v/>
      </c>
      <c r="J150" s="116" t="e">
        <f t="shared" si="83"/>
        <v>#VALUE!</v>
      </c>
      <c r="K150" s="116" t="e">
        <f t="shared" si="83"/>
        <v>#VALUE!</v>
      </c>
      <c r="L150" s="116" t="e">
        <f t="shared" si="83"/>
        <v>#VALUE!</v>
      </c>
      <c r="M150" s="116" t="e">
        <f t="shared" si="83"/>
        <v>#VALUE!</v>
      </c>
      <c r="N150" s="116" t="e">
        <f t="shared" si="83"/>
        <v>#VALUE!</v>
      </c>
      <c r="O150" s="116" t="str">
        <f t="shared" si="67"/>
        <v/>
      </c>
      <c r="P150" s="116" t="str">
        <f t="shared" si="68"/>
        <v/>
      </c>
      <c r="Q150" s="116" t="str">
        <f>IFERROR(VLOOKUP(A150,'Date Calcs'!A:C,3,0),"")</f>
        <v/>
      </c>
      <c r="R150" s="116" t="str">
        <f t="shared" si="69"/>
        <v/>
      </c>
      <c r="S150" s="117"/>
      <c r="T150" s="116" t="e">
        <f t="shared" si="70"/>
        <v>#VALUE!</v>
      </c>
      <c r="U150" s="116" t="e">
        <f t="shared" si="71"/>
        <v>#VALUE!</v>
      </c>
      <c r="V150" s="116" t="str">
        <f>IFERROR(IF(VLOOKUP(A150,'Actual Dates'!A:AE,21,0)&gt;"",VLOOKUP(A150,'Actual Dates'!A:AE,21,0),W150-$V$2),"")</f>
        <v/>
      </c>
      <c r="W150" s="116" t="str">
        <f t="shared" si="72"/>
        <v/>
      </c>
      <c r="X150" s="116" t="str">
        <f t="shared" si="73"/>
        <v/>
      </c>
      <c r="Y150" s="116" t="str">
        <f t="shared" si="74"/>
        <v/>
      </c>
      <c r="Z150" s="116" t="str">
        <f t="shared" si="75"/>
        <v/>
      </c>
      <c r="AA150" s="116" t="str">
        <f t="shared" si="76"/>
        <v/>
      </c>
      <c r="AB150" s="116" t="str">
        <f t="shared" si="77"/>
        <v/>
      </c>
      <c r="AC150" s="116" t="str">
        <f t="shared" si="78"/>
        <v/>
      </c>
      <c r="AD150" s="116" t="str">
        <f t="shared" si="79"/>
        <v/>
      </c>
      <c r="AE150" s="116" t="str">
        <f t="shared" si="80"/>
        <v/>
      </c>
      <c r="AF150" s="116" t="str">
        <f t="shared" si="81"/>
        <v>0-0</v>
      </c>
    </row>
    <row r="151" spans="1:32" x14ac:dyDescent="0.25">
      <c r="A151" s="113">
        <f>'Date Calcs'!A151</f>
        <v>0</v>
      </c>
      <c r="B151" s="113">
        <f>'Date Calcs'!B151</f>
        <v>0</v>
      </c>
      <c r="C151" s="114" t="str">
        <f>_xlfn.IFNA(_xlfn.IFNA(VLOOKUP(AF151,'[1]Schedule Not Certified'!$C:$F,3,0),VLOOKUP(AF151,[1]CERTIFIED!$C:$E,3,0)),"")</f>
        <v/>
      </c>
      <c r="D151" s="115">
        <v>0</v>
      </c>
      <c r="E151" s="115">
        <v>0</v>
      </c>
      <c r="F151" s="115">
        <v>0</v>
      </c>
      <c r="G151" s="115">
        <v>0</v>
      </c>
      <c r="H151" s="115">
        <v>0</v>
      </c>
      <c r="I151" s="114" t="str">
        <f t="shared" si="66"/>
        <v/>
      </c>
      <c r="J151" s="116" t="e">
        <f t="shared" si="83"/>
        <v>#VALUE!</v>
      </c>
      <c r="K151" s="116" t="e">
        <f t="shared" si="83"/>
        <v>#VALUE!</v>
      </c>
      <c r="L151" s="116" t="e">
        <f t="shared" si="83"/>
        <v>#VALUE!</v>
      </c>
      <c r="M151" s="116" t="e">
        <f t="shared" si="83"/>
        <v>#VALUE!</v>
      </c>
      <c r="N151" s="116" t="e">
        <f t="shared" si="83"/>
        <v>#VALUE!</v>
      </c>
      <c r="O151" s="116" t="str">
        <f t="shared" si="67"/>
        <v/>
      </c>
      <c r="P151" s="116" t="str">
        <f t="shared" si="68"/>
        <v/>
      </c>
      <c r="Q151" s="116" t="str">
        <f>IFERROR(VLOOKUP(A151,'Date Calcs'!A:C,3,0),"")</f>
        <v/>
      </c>
      <c r="R151" s="116" t="str">
        <f t="shared" si="69"/>
        <v/>
      </c>
      <c r="S151" s="117"/>
      <c r="T151" s="116" t="e">
        <f t="shared" si="70"/>
        <v>#VALUE!</v>
      </c>
      <c r="U151" s="116" t="e">
        <f t="shared" si="71"/>
        <v>#VALUE!</v>
      </c>
      <c r="V151" s="116" t="str">
        <f>IFERROR(IF(VLOOKUP(A151,'Actual Dates'!A:AE,21,0)&gt;"",VLOOKUP(A151,'Actual Dates'!A:AE,21,0),W151-$V$2),"")</f>
        <v/>
      </c>
      <c r="W151" s="116" t="str">
        <f t="shared" si="72"/>
        <v/>
      </c>
      <c r="X151" s="116" t="str">
        <f t="shared" si="73"/>
        <v/>
      </c>
      <c r="Y151" s="116" t="str">
        <f t="shared" si="74"/>
        <v/>
      </c>
      <c r="Z151" s="116" t="str">
        <f t="shared" si="75"/>
        <v/>
      </c>
      <c r="AA151" s="116" t="str">
        <f t="shared" si="76"/>
        <v/>
      </c>
      <c r="AB151" s="116" t="str">
        <f t="shared" si="77"/>
        <v/>
      </c>
      <c r="AC151" s="116" t="str">
        <f t="shared" si="78"/>
        <v/>
      </c>
      <c r="AD151" s="116" t="str">
        <f t="shared" si="79"/>
        <v/>
      </c>
      <c r="AE151" s="116" t="str">
        <f t="shared" si="80"/>
        <v/>
      </c>
      <c r="AF151" s="116" t="str">
        <f t="shared" si="81"/>
        <v>0-0</v>
      </c>
    </row>
    <row r="152" spans="1:32" x14ac:dyDescent="0.25">
      <c r="A152" s="113">
        <f>'Date Calcs'!A152</f>
        <v>0</v>
      </c>
      <c r="B152" s="113">
        <f>'Date Calcs'!B152</f>
        <v>0</v>
      </c>
      <c r="C152" s="114" t="str">
        <f>_xlfn.IFNA(_xlfn.IFNA(VLOOKUP(AF152,'[1]Schedule Not Certified'!$C:$F,3,0),VLOOKUP(AF152,[1]CERTIFIED!$C:$E,3,0)),"")</f>
        <v/>
      </c>
      <c r="D152" s="115">
        <v>0</v>
      </c>
      <c r="E152" s="115">
        <v>0</v>
      </c>
      <c r="F152" s="115">
        <v>0</v>
      </c>
      <c r="G152" s="115">
        <v>0</v>
      </c>
      <c r="H152" s="115">
        <v>0</v>
      </c>
      <c r="I152" s="114" t="str">
        <f t="shared" si="66"/>
        <v/>
      </c>
      <c r="J152" s="116" t="e">
        <f t="shared" si="83"/>
        <v>#VALUE!</v>
      </c>
      <c r="K152" s="116" t="e">
        <f t="shared" si="83"/>
        <v>#VALUE!</v>
      </c>
      <c r="L152" s="116" t="e">
        <f t="shared" si="83"/>
        <v>#VALUE!</v>
      </c>
      <c r="M152" s="116" t="e">
        <f t="shared" si="83"/>
        <v>#VALUE!</v>
      </c>
      <c r="N152" s="116" t="e">
        <f t="shared" si="83"/>
        <v>#VALUE!</v>
      </c>
      <c r="O152" s="116" t="str">
        <f t="shared" si="67"/>
        <v/>
      </c>
      <c r="P152" s="116" t="str">
        <f t="shared" si="68"/>
        <v/>
      </c>
      <c r="Q152" s="116" t="str">
        <f>IFERROR(VLOOKUP(A152,'Date Calcs'!A:C,3,0),"")</f>
        <v/>
      </c>
      <c r="R152" s="116" t="str">
        <f t="shared" si="69"/>
        <v/>
      </c>
      <c r="S152" s="117"/>
      <c r="T152" s="116" t="e">
        <f t="shared" si="70"/>
        <v>#VALUE!</v>
      </c>
      <c r="U152" s="116" t="e">
        <f t="shared" si="71"/>
        <v>#VALUE!</v>
      </c>
      <c r="V152" s="116" t="str">
        <f>IFERROR(IF(VLOOKUP(A152,'Actual Dates'!A:AE,21,0)&gt;"",VLOOKUP(A152,'Actual Dates'!A:AE,21,0),W152-$V$2),"")</f>
        <v/>
      </c>
      <c r="W152" s="116" t="str">
        <f t="shared" si="72"/>
        <v/>
      </c>
      <c r="X152" s="116" t="str">
        <f t="shared" si="73"/>
        <v/>
      </c>
      <c r="Y152" s="116" t="str">
        <f t="shared" si="74"/>
        <v/>
      </c>
      <c r="Z152" s="116" t="str">
        <f t="shared" si="75"/>
        <v/>
      </c>
      <c r="AA152" s="116" t="str">
        <f t="shared" si="76"/>
        <v/>
      </c>
      <c r="AB152" s="116" t="str">
        <f t="shared" si="77"/>
        <v/>
      </c>
      <c r="AC152" s="116" t="str">
        <f t="shared" si="78"/>
        <v/>
      </c>
      <c r="AD152" s="116" t="str">
        <f t="shared" si="79"/>
        <v/>
      </c>
      <c r="AE152" s="116" t="str">
        <f t="shared" si="80"/>
        <v/>
      </c>
      <c r="AF152" s="116" t="str">
        <f t="shared" si="81"/>
        <v>0-0</v>
      </c>
    </row>
    <row r="153" spans="1:32" x14ac:dyDescent="0.25">
      <c r="A153" s="113">
        <f>'Date Calcs'!A153</f>
        <v>0</v>
      </c>
      <c r="B153" s="113">
        <f>'Date Calcs'!B153</f>
        <v>0</v>
      </c>
      <c r="C153" s="114" t="str">
        <f>_xlfn.IFNA(_xlfn.IFNA(VLOOKUP(AF153,'[1]Schedule Not Certified'!$C:$F,3,0),VLOOKUP(AF153,[1]CERTIFIED!$C:$E,3,0)),"")</f>
        <v/>
      </c>
      <c r="D153" s="115">
        <v>0</v>
      </c>
      <c r="E153" s="115">
        <v>0</v>
      </c>
      <c r="F153" s="115">
        <v>0</v>
      </c>
      <c r="G153" s="115">
        <v>0</v>
      </c>
      <c r="H153" s="115">
        <v>0</v>
      </c>
      <c r="I153" s="114" t="str">
        <f t="shared" si="66"/>
        <v/>
      </c>
      <c r="J153" s="116" t="e">
        <f t="shared" si="83"/>
        <v>#VALUE!</v>
      </c>
      <c r="K153" s="116" t="e">
        <f t="shared" si="83"/>
        <v>#VALUE!</v>
      </c>
      <c r="L153" s="116" t="e">
        <f t="shared" si="83"/>
        <v>#VALUE!</v>
      </c>
      <c r="M153" s="116" t="e">
        <f t="shared" si="83"/>
        <v>#VALUE!</v>
      </c>
      <c r="N153" s="116" t="e">
        <f t="shared" si="83"/>
        <v>#VALUE!</v>
      </c>
      <c r="O153" s="116" t="str">
        <f t="shared" si="67"/>
        <v/>
      </c>
      <c r="P153" s="116" t="str">
        <f t="shared" si="68"/>
        <v/>
      </c>
      <c r="Q153" s="116" t="str">
        <f>IFERROR(VLOOKUP(A153,'Date Calcs'!A:C,3,0),"")</f>
        <v/>
      </c>
      <c r="R153" s="116" t="str">
        <f t="shared" si="69"/>
        <v/>
      </c>
      <c r="S153" s="117"/>
      <c r="T153" s="116" t="e">
        <f t="shared" si="70"/>
        <v>#VALUE!</v>
      </c>
      <c r="U153" s="116" t="e">
        <f t="shared" si="71"/>
        <v>#VALUE!</v>
      </c>
      <c r="V153" s="116" t="str">
        <f>IFERROR(IF(VLOOKUP(A153,'Actual Dates'!A:AE,21,0)&gt;"",VLOOKUP(A153,'Actual Dates'!A:AE,21,0),W153-$V$2),"")</f>
        <v/>
      </c>
      <c r="W153" s="116" t="str">
        <f t="shared" si="72"/>
        <v/>
      </c>
      <c r="X153" s="116" t="str">
        <f t="shared" si="73"/>
        <v/>
      </c>
      <c r="Y153" s="116" t="str">
        <f t="shared" si="74"/>
        <v/>
      </c>
      <c r="Z153" s="116" t="str">
        <f t="shared" si="75"/>
        <v/>
      </c>
      <c r="AA153" s="116" t="str">
        <f t="shared" si="76"/>
        <v/>
      </c>
      <c r="AB153" s="116" t="str">
        <f t="shared" si="77"/>
        <v/>
      </c>
      <c r="AC153" s="116" t="str">
        <f t="shared" si="78"/>
        <v/>
      </c>
      <c r="AD153" s="116" t="str">
        <f t="shared" si="79"/>
        <v/>
      </c>
      <c r="AE153" s="116" t="str">
        <f t="shared" si="80"/>
        <v/>
      </c>
      <c r="AF153" s="116" t="str">
        <f t="shared" si="81"/>
        <v>0-0</v>
      </c>
    </row>
    <row r="154" spans="1:32" x14ac:dyDescent="0.25">
      <c r="A154" s="113">
        <f>'Date Calcs'!A154</f>
        <v>0</v>
      </c>
      <c r="B154" s="113">
        <f>'Date Calcs'!B154</f>
        <v>0</v>
      </c>
      <c r="C154" s="114" t="str">
        <f>_xlfn.IFNA(_xlfn.IFNA(VLOOKUP(AF154,'[1]Schedule Not Certified'!$C:$F,3,0),VLOOKUP(AF154,[1]CERTIFIED!$C:$E,3,0)),"")</f>
        <v/>
      </c>
      <c r="D154" s="115">
        <v>0</v>
      </c>
      <c r="E154" s="115">
        <v>0</v>
      </c>
      <c r="F154" s="115">
        <v>0</v>
      </c>
      <c r="G154" s="115">
        <v>0</v>
      </c>
      <c r="H154" s="115">
        <v>0</v>
      </c>
      <c r="I154" s="114" t="str">
        <f t="shared" si="66"/>
        <v/>
      </c>
      <c r="J154" s="116" t="e">
        <f t="shared" si="83"/>
        <v>#VALUE!</v>
      </c>
      <c r="K154" s="116" t="e">
        <f t="shared" si="83"/>
        <v>#VALUE!</v>
      </c>
      <c r="L154" s="116" t="e">
        <f t="shared" si="83"/>
        <v>#VALUE!</v>
      </c>
      <c r="M154" s="116" t="e">
        <f t="shared" si="83"/>
        <v>#VALUE!</v>
      </c>
      <c r="N154" s="116" t="e">
        <f t="shared" si="83"/>
        <v>#VALUE!</v>
      </c>
      <c r="O154" s="116" t="str">
        <f t="shared" si="67"/>
        <v/>
      </c>
      <c r="P154" s="116" t="str">
        <f t="shared" si="68"/>
        <v/>
      </c>
      <c r="Q154" s="116" t="str">
        <f>IFERROR(VLOOKUP(A154,'Date Calcs'!A:C,3,0),"")</f>
        <v/>
      </c>
      <c r="R154" s="116" t="str">
        <f t="shared" si="69"/>
        <v/>
      </c>
      <c r="S154" s="117"/>
      <c r="T154" s="116" t="e">
        <f t="shared" si="70"/>
        <v>#VALUE!</v>
      </c>
      <c r="U154" s="116" t="e">
        <f t="shared" si="71"/>
        <v>#VALUE!</v>
      </c>
      <c r="V154" s="116" t="str">
        <f>IFERROR(IF(VLOOKUP(A154,'Actual Dates'!A:AE,21,0)&gt;"",VLOOKUP(A154,'Actual Dates'!A:AE,21,0),W154-$V$2),"")</f>
        <v/>
      </c>
      <c r="W154" s="116" t="str">
        <f t="shared" si="72"/>
        <v/>
      </c>
      <c r="X154" s="116" t="str">
        <f t="shared" si="73"/>
        <v/>
      </c>
      <c r="Y154" s="116" t="str">
        <f t="shared" si="74"/>
        <v/>
      </c>
      <c r="Z154" s="116" t="str">
        <f t="shared" si="75"/>
        <v/>
      </c>
      <c r="AA154" s="116" t="str">
        <f t="shared" si="76"/>
        <v/>
      </c>
      <c r="AB154" s="116" t="str">
        <f t="shared" si="77"/>
        <v/>
      </c>
      <c r="AC154" s="116" t="str">
        <f t="shared" si="78"/>
        <v/>
      </c>
      <c r="AD154" s="116" t="str">
        <f t="shared" si="79"/>
        <v/>
      </c>
      <c r="AE154" s="116" t="str">
        <f t="shared" si="80"/>
        <v/>
      </c>
      <c r="AF154" s="116" t="str">
        <f t="shared" si="81"/>
        <v>0-0</v>
      </c>
    </row>
    <row r="155" spans="1:32" x14ac:dyDescent="0.25">
      <c r="A155" s="113">
        <f>'Date Calcs'!A155</f>
        <v>0</v>
      </c>
      <c r="B155" s="113">
        <f>'Date Calcs'!B155</f>
        <v>0</v>
      </c>
      <c r="C155" s="114" t="str">
        <f>_xlfn.IFNA(_xlfn.IFNA(VLOOKUP(AF155,'[1]Schedule Not Certified'!$C:$F,3,0),VLOOKUP(AF155,[1]CERTIFIED!$C:$E,3,0)),"")</f>
        <v/>
      </c>
      <c r="D155" s="115">
        <v>0</v>
      </c>
      <c r="E155" s="115">
        <v>0</v>
      </c>
      <c r="F155" s="115">
        <v>0</v>
      </c>
      <c r="G155" s="115">
        <v>0</v>
      </c>
      <c r="H155" s="115">
        <v>0</v>
      </c>
      <c r="I155" s="114" t="str">
        <f t="shared" si="66"/>
        <v/>
      </c>
      <c r="J155" s="116" t="e">
        <f t="shared" ref="J155:N164" si="84">K155-J$2</f>
        <v>#VALUE!</v>
      </c>
      <c r="K155" s="116" t="e">
        <f t="shared" si="84"/>
        <v>#VALUE!</v>
      </c>
      <c r="L155" s="116" t="e">
        <f t="shared" si="84"/>
        <v>#VALUE!</v>
      </c>
      <c r="M155" s="116" t="e">
        <f t="shared" si="84"/>
        <v>#VALUE!</v>
      </c>
      <c r="N155" s="116" t="e">
        <f t="shared" si="84"/>
        <v>#VALUE!</v>
      </c>
      <c r="O155" s="116" t="str">
        <f t="shared" si="67"/>
        <v/>
      </c>
      <c r="P155" s="116" t="str">
        <f t="shared" si="68"/>
        <v/>
      </c>
      <c r="Q155" s="116" t="str">
        <f>IFERROR(VLOOKUP(A155,'Date Calcs'!A:C,3,0),"")</f>
        <v/>
      </c>
      <c r="R155" s="116" t="str">
        <f t="shared" si="69"/>
        <v/>
      </c>
      <c r="S155" s="117"/>
      <c r="T155" s="116" t="e">
        <f t="shared" si="70"/>
        <v>#VALUE!</v>
      </c>
      <c r="U155" s="116" t="e">
        <f t="shared" si="71"/>
        <v>#VALUE!</v>
      </c>
      <c r="V155" s="116" t="str">
        <f>IFERROR(IF(VLOOKUP(A155,'Actual Dates'!A:AE,21,0)&gt;"",VLOOKUP(A155,'Actual Dates'!A:AE,21,0),W155-$V$2),"")</f>
        <v/>
      </c>
      <c r="W155" s="116" t="str">
        <f t="shared" si="72"/>
        <v/>
      </c>
      <c r="X155" s="116" t="str">
        <f t="shared" si="73"/>
        <v/>
      </c>
      <c r="Y155" s="116" t="str">
        <f t="shared" si="74"/>
        <v/>
      </c>
      <c r="Z155" s="116" t="str">
        <f t="shared" si="75"/>
        <v/>
      </c>
      <c r="AA155" s="116" t="str">
        <f t="shared" si="76"/>
        <v/>
      </c>
      <c r="AB155" s="116" t="str">
        <f t="shared" si="77"/>
        <v/>
      </c>
      <c r="AC155" s="116" t="str">
        <f t="shared" si="78"/>
        <v/>
      </c>
      <c r="AD155" s="116" t="str">
        <f t="shared" si="79"/>
        <v/>
      </c>
      <c r="AE155" s="116" t="str">
        <f t="shared" si="80"/>
        <v/>
      </c>
      <c r="AF155" s="116" t="str">
        <f t="shared" si="81"/>
        <v>0-0</v>
      </c>
    </row>
    <row r="156" spans="1:32" x14ac:dyDescent="0.25">
      <c r="A156" s="113">
        <f>'Date Calcs'!A156</f>
        <v>0</v>
      </c>
      <c r="B156" s="113">
        <f>'Date Calcs'!B156</f>
        <v>0</v>
      </c>
      <c r="C156" s="114" t="str">
        <f>_xlfn.IFNA(_xlfn.IFNA(VLOOKUP(AF156,'[1]Schedule Not Certified'!$C:$F,3,0),VLOOKUP(AF156,[1]CERTIFIED!$C:$E,3,0)),"")</f>
        <v/>
      </c>
      <c r="D156" s="115">
        <v>0</v>
      </c>
      <c r="E156" s="115">
        <v>0</v>
      </c>
      <c r="F156" s="115">
        <v>0</v>
      </c>
      <c r="G156" s="115">
        <v>0</v>
      </c>
      <c r="H156" s="115">
        <v>0</v>
      </c>
      <c r="I156" s="114" t="str">
        <f t="shared" si="66"/>
        <v/>
      </c>
      <c r="J156" s="116" t="e">
        <f t="shared" si="84"/>
        <v>#VALUE!</v>
      </c>
      <c r="K156" s="116" t="e">
        <f t="shared" si="84"/>
        <v>#VALUE!</v>
      </c>
      <c r="L156" s="116" t="e">
        <f t="shared" si="84"/>
        <v>#VALUE!</v>
      </c>
      <c r="M156" s="116" t="e">
        <f t="shared" si="84"/>
        <v>#VALUE!</v>
      </c>
      <c r="N156" s="116" t="e">
        <f t="shared" si="84"/>
        <v>#VALUE!</v>
      </c>
      <c r="O156" s="116" t="str">
        <f t="shared" si="67"/>
        <v/>
      </c>
      <c r="P156" s="116" t="str">
        <f t="shared" si="68"/>
        <v/>
      </c>
      <c r="Q156" s="116" t="str">
        <f>IFERROR(VLOOKUP(A156,'Date Calcs'!A:C,3,0),"")</f>
        <v/>
      </c>
      <c r="R156" s="116" t="str">
        <f t="shared" si="69"/>
        <v/>
      </c>
      <c r="S156" s="117"/>
      <c r="T156" s="116" t="e">
        <f t="shared" si="70"/>
        <v>#VALUE!</v>
      </c>
      <c r="U156" s="116" t="e">
        <f t="shared" si="71"/>
        <v>#VALUE!</v>
      </c>
      <c r="V156" s="116" t="str">
        <f>IFERROR(IF(VLOOKUP(A156,'Actual Dates'!A:AE,21,0)&gt;"",VLOOKUP(A156,'Actual Dates'!A:AE,21,0),W156-$V$2),"")</f>
        <v/>
      </c>
      <c r="W156" s="116" t="str">
        <f t="shared" si="72"/>
        <v/>
      </c>
      <c r="X156" s="116" t="str">
        <f t="shared" si="73"/>
        <v/>
      </c>
      <c r="Y156" s="116" t="str">
        <f t="shared" si="74"/>
        <v/>
      </c>
      <c r="Z156" s="116" t="str">
        <f t="shared" si="75"/>
        <v/>
      </c>
      <c r="AA156" s="116" t="str">
        <f t="shared" si="76"/>
        <v/>
      </c>
      <c r="AB156" s="116" t="str">
        <f t="shared" si="77"/>
        <v/>
      </c>
      <c r="AC156" s="116" t="str">
        <f t="shared" si="78"/>
        <v/>
      </c>
      <c r="AD156" s="116" t="str">
        <f t="shared" si="79"/>
        <v/>
      </c>
      <c r="AE156" s="116" t="str">
        <f t="shared" si="80"/>
        <v/>
      </c>
      <c r="AF156" s="116" t="str">
        <f t="shared" si="81"/>
        <v>0-0</v>
      </c>
    </row>
    <row r="157" spans="1:32" x14ac:dyDescent="0.25">
      <c r="A157" s="113">
        <f>'Date Calcs'!A157</f>
        <v>0</v>
      </c>
      <c r="B157" s="113">
        <f>'Date Calcs'!B157</f>
        <v>0</v>
      </c>
      <c r="C157" s="114" t="str">
        <f>_xlfn.IFNA(_xlfn.IFNA(VLOOKUP(AF157,'[1]Schedule Not Certified'!$C:$F,3,0),VLOOKUP(AF157,[1]CERTIFIED!$C:$E,3,0)),"")</f>
        <v/>
      </c>
      <c r="D157" s="115">
        <v>0</v>
      </c>
      <c r="E157" s="115">
        <v>0</v>
      </c>
      <c r="F157" s="115">
        <v>0</v>
      </c>
      <c r="G157" s="115">
        <v>0</v>
      </c>
      <c r="H157" s="115">
        <v>0</v>
      </c>
      <c r="I157" s="114" t="str">
        <f t="shared" si="66"/>
        <v/>
      </c>
      <c r="J157" s="116" t="e">
        <f t="shared" si="84"/>
        <v>#VALUE!</v>
      </c>
      <c r="K157" s="116" t="e">
        <f t="shared" si="84"/>
        <v>#VALUE!</v>
      </c>
      <c r="L157" s="116" t="e">
        <f t="shared" si="84"/>
        <v>#VALUE!</v>
      </c>
      <c r="M157" s="116" t="e">
        <f t="shared" si="84"/>
        <v>#VALUE!</v>
      </c>
      <c r="N157" s="116" t="e">
        <f t="shared" si="84"/>
        <v>#VALUE!</v>
      </c>
      <c r="O157" s="116" t="str">
        <f t="shared" si="67"/>
        <v/>
      </c>
      <c r="P157" s="116" t="str">
        <f t="shared" si="68"/>
        <v/>
      </c>
      <c r="Q157" s="116" t="str">
        <f>IFERROR(VLOOKUP(A157,'Date Calcs'!A:C,3,0),"")</f>
        <v/>
      </c>
      <c r="R157" s="116" t="str">
        <f t="shared" si="69"/>
        <v/>
      </c>
      <c r="S157" s="117"/>
      <c r="T157" s="116" t="e">
        <f t="shared" si="70"/>
        <v>#VALUE!</v>
      </c>
      <c r="U157" s="116" t="e">
        <f t="shared" si="71"/>
        <v>#VALUE!</v>
      </c>
      <c r="V157" s="116" t="str">
        <f>IFERROR(IF(VLOOKUP(A157,'Actual Dates'!A:AE,21,0)&gt;"",VLOOKUP(A157,'Actual Dates'!A:AE,21,0),W157-$V$2),"")</f>
        <v/>
      </c>
      <c r="W157" s="116" t="str">
        <f t="shared" si="72"/>
        <v/>
      </c>
      <c r="X157" s="116" t="str">
        <f t="shared" si="73"/>
        <v/>
      </c>
      <c r="Y157" s="116" t="str">
        <f t="shared" si="74"/>
        <v/>
      </c>
      <c r="Z157" s="116" t="str">
        <f t="shared" si="75"/>
        <v/>
      </c>
      <c r="AA157" s="116" t="str">
        <f t="shared" si="76"/>
        <v/>
      </c>
      <c r="AB157" s="116" t="str">
        <f t="shared" si="77"/>
        <v/>
      </c>
      <c r="AC157" s="116" t="str">
        <f t="shared" si="78"/>
        <v/>
      </c>
      <c r="AD157" s="116" t="str">
        <f t="shared" si="79"/>
        <v/>
      </c>
      <c r="AE157" s="116" t="str">
        <f t="shared" si="80"/>
        <v/>
      </c>
      <c r="AF157" s="116" t="str">
        <f t="shared" si="81"/>
        <v>0-0</v>
      </c>
    </row>
    <row r="158" spans="1:32" x14ac:dyDescent="0.25">
      <c r="A158" s="113">
        <f>'Date Calcs'!A158</f>
        <v>0</v>
      </c>
      <c r="B158" s="113">
        <f>'Date Calcs'!B158</f>
        <v>0</v>
      </c>
      <c r="C158" s="114" t="str">
        <f>_xlfn.IFNA(_xlfn.IFNA(VLOOKUP(AF158,'[1]Schedule Not Certified'!$C:$F,3,0),VLOOKUP(AF158,[1]CERTIFIED!$C:$E,3,0)),"")</f>
        <v/>
      </c>
      <c r="D158" s="115">
        <v>0</v>
      </c>
      <c r="E158" s="115">
        <v>0</v>
      </c>
      <c r="F158" s="115">
        <v>0</v>
      </c>
      <c r="G158" s="115">
        <v>0</v>
      </c>
      <c r="H158" s="115">
        <v>0</v>
      </c>
      <c r="I158" s="114" t="str">
        <f t="shared" si="66"/>
        <v/>
      </c>
      <c r="J158" s="116" t="e">
        <f t="shared" si="84"/>
        <v>#VALUE!</v>
      </c>
      <c r="K158" s="116" t="e">
        <f t="shared" si="84"/>
        <v>#VALUE!</v>
      </c>
      <c r="L158" s="116" t="e">
        <f t="shared" si="84"/>
        <v>#VALUE!</v>
      </c>
      <c r="M158" s="116" t="e">
        <f t="shared" si="84"/>
        <v>#VALUE!</v>
      </c>
      <c r="N158" s="116" t="e">
        <f t="shared" si="84"/>
        <v>#VALUE!</v>
      </c>
      <c r="O158" s="116" t="str">
        <f t="shared" si="67"/>
        <v/>
      </c>
      <c r="P158" s="116" t="str">
        <f t="shared" si="68"/>
        <v/>
      </c>
      <c r="Q158" s="116" t="str">
        <f>IFERROR(VLOOKUP(A158,'Date Calcs'!A:C,3,0),"")</f>
        <v/>
      </c>
      <c r="R158" s="116" t="str">
        <f t="shared" si="69"/>
        <v/>
      </c>
      <c r="S158" s="117"/>
      <c r="T158" s="116" t="e">
        <f t="shared" si="70"/>
        <v>#VALUE!</v>
      </c>
      <c r="U158" s="116" t="e">
        <f t="shared" si="71"/>
        <v>#VALUE!</v>
      </c>
      <c r="V158" s="116" t="str">
        <f>IFERROR(IF(VLOOKUP(A158,'Actual Dates'!A:AE,21,0)&gt;"",VLOOKUP(A158,'Actual Dates'!A:AE,21,0),W158-$V$2),"")</f>
        <v/>
      </c>
      <c r="W158" s="116" t="str">
        <f t="shared" si="72"/>
        <v/>
      </c>
      <c r="X158" s="116" t="str">
        <f t="shared" si="73"/>
        <v/>
      </c>
      <c r="Y158" s="116" t="str">
        <f t="shared" si="74"/>
        <v/>
      </c>
      <c r="Z158" s="116" t="str">
        <f t="shared" si="75"/>
        <v/>
      </c>
      <c r="AA158" s="116" t="str">
        <f t="shared" si="76"/>
        <v/>
      </c>
      <c r="AB158" s="116" t="str">
        <f t="shared" si="77"/>
        <v/>
      </c>
      <c r="AC158" s="116" t="str">
        <f t="shared" si="78"/>
        <v/>
      </c>
      <c r="AD158" s="116" t="str">
        <f t="shared" si="79"/>
        <v/>
      </c>
      <c r="AE158" s="116" t="str">
        <f t="shared" si="80"/>
        <v/>
      </c>
      <c r="AF158" s="116" t="str">
        <f t="shared" si="81"/>
        <v>0-0</v>
      </c>
    </row>
    <row r="159" spans="1:32" x14ac:dyDescent="0.25">
      <c r="A159" s="113">
        <f>'Date Calcs'!A159</f>
        <v>0</v>
      </c>
      <c r="B159" s="113">
        <f>'Date Calcs'!B159</f>
        <v>0</v>
      </c>
      <c r="C159" s="114" t="str">
        <f>_xlfn.IFNA(_xlfn.IFNA(VLOOKUP(AF159,'[1]Schedule Not Certified'!$C:$F,3,0),VLOOKUP(AF159,[1]CERTIFIED!$C:$E,3,0)),"")</f>
        <v/>
      </c>
      <c r="D159" s="115">
        <v>0</v>
      </c>
      <c r="E159" s="115">
        <v>0</v>
      </c>
      <c r="F159" s="115">
        <v>0</v>
      </c>
      <c r="G159" s="115">
        <v>0</v>
      </c>
      <c r="H159" s="115">
        <v>0</v>
      </c>
      <c r="I159" s="114" t="str">
        <f t="shared" si="66"/>
        <v/>
      </c>
      <c r="J159" s="116" t="e">
        <f t="shared" si="84"/>
        <v>#VALUE!</v>
      </c>
      <c r="K159" s="116" t="e">
        <f t="shared" si="84"/>
        <v>#VALUE!</v>
      </c>
      <c r="L159" s="116" t="e">
        <f t="shared" si="84"/>
        <v>#VALUE!</v>
      </c>
      <c r="M159" s="116" t="e">
        <f t="shared" si="84"/>
        <v>#VALUE!</v>
      </c>
      <c r="N159" s="116" t="e">
        <f t="shared" si="84"/>
        <v>#VALUE!</v>
      </c>
      <c r="O159" s="116" t="str">
        <f t="shared" si="67"/>
        <v/>
      </c>
      <c r="P159" s="116" t="str">
        <f t="shared" si="68"/>
        <v/>
      </c>
      <c r="Q159" s="116" t="str">
        <f>IFERROR(VLOOKUP(A159,'Date Calcs'!A:C,3,0),"")</f>
        <v/>
      </c>
      <c r="R159" s="116" t="str">
        <f t="shared" si="69"/>
        <v/>
      </c>
      <c r="S159" s="117"/>
      <c r="T159" s="116" t="e">
        <f t="shared" si="70"/>
        <v>#VALUE!</v>
      </c>
      <c r="U159" s="116" t="e">
        <f t="shared" si="71"/>
        <v>#VALUE!</v>
      </c>
      <c r="V159" s="116" t="str">
        <f>IFERROR(IF(VLOOKUP(A159,'Actual Dates'!A:AE,21,0)&gt;"",VLOOKUP(A159,'Actual Dates'!A:AE,21,0),W159-$V$2),"")</f>
        <v/>
      </c>
      <c r="W159" s="116" t="str">
        <f t="shared" si="72"/>
        <v/>
      </c>
      <c r="X159" s="116" t="str">
        <f t="shared" si="73"/>
        <v/>
      </c>
      <c r="Y159" s="116" t="str">
        <f t="shared" si="74"/>
        <v/>
      </c>
      <c r="Z159" s="116" t="str">
        <f t="shared" si="75"/>
        <v/>
      </c>
      <c r="AA159" s="116" t="str">
        <f t="shared" si="76"/>
        <v/>
      </c>
      <c r="AB159" s="116" t="str">
        <f t="shared" si="77"/>
        <v/>
      </c>
      <c r="AC159" s="116" t="str">
        <f t="shared" si="78"/>
        <v/>
      </c>
      <c r="AD159" s="116" t="str">
        <f t="shared" si="79"/>
        <v/>
      </c>
      <c r="AE159" s="116" t="str">
        <f t="shared" si="80"/>
        <v/>
      </c>
      <c r="AF159" s="116" t="str">
        <f t="shared" si="81"/>
        <v>0-0</v>
      </c>
    </row>
    <row r="160" spans="1:32" x14ac:dyDescent="0.25">
      <c r="A160" s="113">
        <f>'Date Calcs'!A160</f>
        <v>0</v>
      </c>
      <c r="B160" s="113">
        <f>'Date Calcs'!B160</f>
        <v>0</v>
      </c>
      <c r="C160" s="114" t="str">
        <f>_xlfn.IFNA(_xlfn.IFNA(VLOOKUP(AF160,'[1]Schedule Not Certified'!$C:$F,3,0),VLOOKUP(AF160,[1]CERTIFIED!$C:$E,3,0)),"")</f>
        <v/>
      </c>
      <c r="D160" s="115">
        <v>0</v>
      </c>
      <c r="E160" s="115">
        <v>0</v>
      </c>
      <c r="F160" s="115">
        <v>0</v>
      </c>
      <c r="G160" s="115">
        <v>0</v>
      </c>
      <c r="H160" s="115">
        <v>0</v>
      </c>
      <c r="I160" s="114" t="str">
        <f t="shared" si="66"/>
        <v/>
      </c>
      <c r="J160" s="116" t="e">
        <f t="shared" si="84"/>
        <v>#VALUE!</v>
      </c>
      <c r="K160" s="116" t="e">
        <f t="shared" si="84"/>
        <v>#VALUE!</v>
      </c>
      <c r="L160" s="116" t="e">
        <f t="shared" si="84"/>
        <v>#VALUE!</v>
      </c>
      <c r="M160" s="116" t="e">
        <f t="shared" si="84"/>
        <v>#VALUE!</v>
      </c>
      <c r="N160" s="116" t="e">
        <f t="shared" si="84"/>
        <v>#VALUE!</v>
      </c>
      <c r="O160" s="116" t="str">
        <f t="shared" si="67"/>
        <v/>
      </c>
      <c r="P160" s="116" t="str">
        <f t="shared" si="68"/>
        <v/>
      </c>
      <c r="Q160" s="116" t="str">
        <f>IFERROR(VLOOKUP(A160,'Date Calcs'!A:C,3,0),"")</f>
        <v/>
      </c>
      <c r="R160" s="116" t="str">
        <f t="shared" si="69"/>
        <v/>
      </c>
      <c r="S160" s="117"/>
      <c r="T160" s="116" t="e">
        <f t="shared" si="70"/>
        <v>#VALUE!</v>
      </c>
      <c r="U160" s="116" t="e">
        <f t="shared" si="71"/>
        <v>#VALUE!</v>
      </c>
      <c r="V160" s="116" t="str">
        <f>IFERROR(IF(VLOOKUP(A160,'Actual Dates'!A:AE,21,0)&gt;"",VLOOKUP(A160,'Actual Dates'!A:AE,21,0),W160-$V$2),"")</f>
        <v/>
      </c>
      <c r="W160" s="116" t="str">
        <f t="shared" si="72"/>
        <v/>
      </c>
      <c r="X160" s="116" t="str">
        <f t="shared" si="73"/>
        <v/>
      </c>
      <c r="Y160" s="116" t="str">
        <f t="shared" si="74"/>
        <v/>
      </c>
      <c r="Z160" s="116" t="str">
        <f t="shared" si="75"/>
        <v/>
      </c>
      <c r="AA160" s="116" t="str">
        <f t="shared" si="76"/>
        <v/>
      </c>
      <c r="AB160" s="116" t="str">
        <f t="shared" si="77"/>
        <v/>
      </c>
      <c r="AC160" s="116" t="str">
        <f t="shared" si="78"/>
        <v/>
      </c>
      <c r="AD160" s="116" t="str">
        <f t="shared" si="79"/>
        <v/>
      </c>
      <c r="AE160" s="116" t="str">
        <f t="shared" si="80"/>
        <v/>
      </c>
      <c r="AF160" s="116" t="str">
        <f t="shared" si="81"/>
        <v>0-0</v>
      </c>
    </row>
    <row r="161" spans="1:32" x14ac:dyDescent="0.25">
      <c r="A161" s="113">
        <f>'Date Calcs'!A161</f>
        <v>0</v>
      </c>
      <c r="B161" s="113">
        <f>'Date Calcs'!B161</f>
        <v>0</v>
      </c>
      <c r="C161" s="114" t="str">
        <f>_xlfn.IFNA(_xlfn.IFNA(VLOOKUP(AF161,'[1]Schedule Not Certified'!$C:$F,3,0),VLOOKUP(AF161,[1]CERTIFIED!$C:$E,3,0)),"")</f>
        <v/>
      </c>
      <c r="D161" s="115">
        <v>0</v>
      </c>
      <c r="E161" s="115">
        <v>0</v>
      </c>
      <c r="F161" s="115">
        <v>0</v>
      </c>
      <c r="G161" s="115">
        <v>0</v>
      </c>
      <c r="H161" s="115">
        <v>0</v>
      </c>
      <c r="I161" s="114" t="str">
        <f t="shared" si="66"/>
        <v/>
      </c>
      <c r="J161" s="116" t="e">
        <f t="shared" si="84"/>
        <v>#VALUE!</v>
      </c>
      <c r="K161" s="116" t="e">
        <f t="shared" si="84"/>
        <v>#VALUE!</v>
      </c>
      <c r="L161" s="116" t="e">
        <f t="shared" si="84"/>
        <v>#VALUE!</v>
      </c>
      <c r="M161" s="116" t="e">
        <f t="shared" si="84"/>
        <v>#VALUE!</v>
      </c>
      <c r="N161" s="116" t="e">
        <f t="shared" si="84"/>
        <v>#VALUE!</v>
      </c>
      <c r="O161" s="116" t="str">
        <f t="shared" si="67"/>
        <v/>
      </c>
      <c r="P161" s="116" t="str">
        <f t="shared" si="68"/>
        <v/>
      </c>
      <c r="Q161" s="116" t="str">
        <f>IFERROR(VLOOKUP(A161,'Date Calcs'!A:C,3,0),"")</f>
        <v/>
      </c>
      <c r="R161" s="116" t="str">
        <f t="shared" si="69"/>
        <v/>
      </c>
      <c r="S161" s="117"/>
      <c r="T161" s="116" t="e">
        <f t="shared" si="70"/>
        <v>#VALUE!</v>
      </c>
      <c r="U161" s="116" t="e">
        <f t="shared" si="71"/>
        <v>#VALUE!</v>
      </c>
      <c r="V161" s="116" t="str">
        <f>IFERROR(IF(VLOOKUP(A161,'Actual Dates'!A:AE,21,0)&gt;"",VLOOKUP(A161,'Actual Dates'!A:AE,21,0),W161-$V$2),"")</f>
        <v/>
      </c>
      <c r="W161" s="116" t="str">
        <f t="shared" si="72"/>
        <v/>
      </c>
      <c r="X161" s="116" t="str">
        <f t="shared" si="73"/>
        <v/>
      </c>
      <c r="Y161" s="116" t="str">
        <f t="shared" si="74"/>
        <v/>
      </c>
      <c r="Z161" s="116" t="str">
        <f t="shared" si="75"/>
        <v/>
      </c>
      <c r="AA161" s="116" t="str">
        <f t="shared" si="76"/>
        <v/>
      </c>
      <c r="AB161" s="116" t="str">
        <f t="shared" si="77"/>
        <v/>
      </c>
      <c r="AC161" s="116" t="str">
        <f t="shared" si="78"/>
        <v/>
      </c>
      <c r="AD161" s="116" t="str">
        <f t="shared" si="79"/>
        <v/>
      </c>
      <c r="AE161" s="116" t="str">
        <f t="shared" si="80"/>
        <v/>
      </c>
      <c r="AF161" s="116" t="str">
        <f t="shared" si="81"/>
        <v>0-0</v>
      </c>
    </row>
    <row r="162" spans="1:32" x14ac:dyDescent="0.25">
      <c r="A162" s="113">
        <f>'Date Calcs'!A162</f>
        <v>0</v>
      </c>
      <c r="B162" s="113">
        <f>'Date Calcs'!B162</f>
        <v>0</v>
      </c>
      <c r="C162" s="114" t="str">
        <f>_xlfn.IFNA(_xlfn.IFNA(VLOOKUP(AF162,'[1]Schedule Not Certified'!$C:$F,3,0),VLOOKUP(AF162,[1]CERTIFIED!$C:$E,3,0)),"")</f>
        <v/>
      </c>
      <c r="D162" s="115">
        <v>0</v>
      </c>
      <c r="E162" s="115">
        <v>0</v>
      </c>
      <c r="F162" s="115">
        <v>0</v>
      </c>
      <c r="G162" s="115">
        <v>0</v>
      </c>
      <c r="H162" s="115">
        <v>0</v>
      </c>
      <c r="I162" s="114" t="str">
        <f t="shared" si="66"/>
        <v/>
      </c>
      <c r="J162" s="116" t="e">
        <f t="shared" si="84"/>
        <v>#VALUE!</v>
      </c>
      <c r="K162" s="116" t="e">
        <f t="shared" si="84"/>
        <v>#VALUE!</v>
      </c>
      <c r="L162" s="116" t="e">
        <f t="shared" si="84"/>
        <v>#VALUE!</v>
      </c>
      <c r="M162" s="116" t="e">
        <f t="shared" si="84"/>
        <v>#VALUE!</v>
      </c>
      <c r="N162" s="116" t="e">
        <f t="shared" si="84"/>
        <v>#VALUE!</v>
      </c>
      <c r="O162" s="116" t="str">
        <f t="shared" si="67"/>
        <v/>
      </c>
      <c r="P162" s="116" t="str">
        <f t="shared" si="68"/>
        <v/>
      </c>
      <c r="Q162" s="116" t="str">
        <f>IFERROR(VLOOKUP(A162,'Date Calcs'!A:C,3,0),"")</f>
        <v/>
      </c>
      <c r="R162" s="116" t="str">
        <f t="shared" si="69"/>
        <v/>
      </c>
      <c r="S162" s="117"/>
      <c r="T162" s="116" t="e">
        <f t="shared" si="70"/>
        <v>#VALUE!</v>
      </c>
      <c r="U162" s="116" t="e">
        <f t="shared" si="71"/>
        <v>#VALUE!</v>
      </c>
      <c r="V162" s="116" t="str">
        <f>IFERROR(IF(VLOOKUP(A162,'Actual Dates'!A:AE,21,0)&gt;"",VLOOKUP(A162,'Actual Dates'!A:AE,21,0),W162-$V$2),"")</f>
        <v/>
      </c>
      <c r="W162" s="116" t="str">
        <f t="shared" si="72"/>
        <v/>
      </c>
      <c r="X162" s="116" t="str">
        <f t="shared" si="73"/>
        <v/>
      </c>
      <c r="Y162" s="116" t="str">
        <f t="shared" si="74"/>
        <v/>
      </c>
      <c r="Z162" s="116" t="str">
        <f t="shared" si="75"/>
        <v/>
      </c>
      <c r="AA162" s="116" t="str">
        <f t="shared" si="76"/>
        <v/>
      </c>
      <c r="AB162" s="116" t="str">
        <f t="shared" si="77"/>
        <v/>
      </c>
      <c r="AC162" s="116" t="str">
        <f t="shared" si="78"/>
        <v/>
      </c>
      <c r="AD162" s="116" t="str">
        <f t="shared" si="79"/>
        <v/>
      </c>
      <c r="AE162" s="116" t="str">
        <f t="shared" si="80"/>
        <v/>
      </c>
      <c r="AF162" s="116" t="str">
        <f t="shared" si="81"/>
        <v>0-0</v>
      </c>
    </row>
    <row r="163" spans="1:32" x14ac:dyDescent="0.25">
      <c r="A163" s="113">
        <f>'Date Calcs'!A163</f>
        <v>0</v>
      </c>
      <c r="B163" s="113">
        <f>'Date Calcs'!B163</f>
        <v>0</v>
      </c>
      <c r="C163" s="114" t="str">
        <f>_xlfn.IFNA(_xlfn.IFNA(VLOOKUP(AF163,'[1]Schedule Not Certified'!$C:$F,3,0),VLOOKUP(AF163,[1]CERTIFIED!$C:$E,3,0)),"")</f>
        <v/>
      </c>
      <c r="D163" s="115">
        <v>0</v>
      </c>
      <c r="E163" s="115">
        <v>0</v>
      </c>
      <c r="F163" s="115">
        <v>0</v>
      </c>
      <c r="G163" s="115">
        <v>0</v>
      </c>
      <c r="H163" s="115">
        <v>0</v>
      </c>
      <c r="I163" s="114" t="str">
        <f t="shared" si="66"/>
        <v/>
      </c>
      <c r="J163" s="116" t="e">
        <f t="shared" si="84"/>
        <v>#VALUE!</v>
      </c>
      <c r="K163" s="116" t="e">
        <f t="shared" si="84"/>
        <v>#VALUE!</v>
      </c>
      <c r="L163" s="116" t="e">
        <f t="shared" si="84"/>
        <v>#VALUE!</v>
      </c>
      <c r="M163" s="116" t="e">
        <f t="shared" si="84"/>
        <v>#VALUE!</v>
      </c>
      <c r="N163" s="116" t="e">
        <f t="shared" si="84"/>
        <v>#VALUE!</v>
      </c>
      <c r="O163" s="116" t="str">
        <f t="shared" si="67"/>
        <v/>
      </c>
      <c r="P163" s="116" t="str">
        <f t="shared" si="68"/>
        <v/>
      </c>
      <c r="Q163" s="116" t="str">
        <f>IFERROR(VLOOKUP(A163,'Date Calcs'!A:C,3,0),"")</f>
        <v/>
      </c>
      <c r="R163" s="116" t="str">
        <f t="shared" si="69"/>
        <v/>
      </c>
      <c r="S163" s="117"/>
      <c r="T163" s="116" t="e">
        <f t="shared" si="70"/>
        <v>#VALUE!</v>
      </c>
      <c r="U163" s="116" t="e">
        <f t="shared" si="71"/>
        <v>#VALUE!</v>
      </c>
      <c r="V163" s="116" t="str">
        <f>IFERROR(IF(VLOOKUP(A163,'Actual Dates'!A:AE,21,0)&gt;"",VLOOKUP(A163,'Actual Dates'!A:AE,21,0),W163-$V$2),"")</f>
        <v/>
      </c>
      <c r="W163" s="116" t="str">
        <f t="shared" si="72"/>
        <v/>
      </c>
      <c r="X163" s="116" t="str">
        <f t="shared" si="73"/>
        <v/>
      </c>
      <c r="Y163" s="116" t="str">
        <f t="shared" si="74"/>
        <v/>
      </c>
      <c r="Z163" s="116" t="str">
        <f t="shared" si="75"/>
        <v/>
      </c>
      <c r="AA163" s="116" t="str">
        <f t="shared" si="76"/>
        <v/>
      </c>
      <c r="AB163" s="116" t="str">
        <f t="shared" si="77"/>
        <v/>
      </c>
      <c r="AC163" s="116" t="str">
        <f t="shared" si="78"/>
        <v/>
      </c>
      <c r="AD163" s="116" t="str">
        <f t="shared" si="79"/>
        <v/>
      </c>
      <c r="AE163" s="116" t="str">
        <f t="shared" si="80"/>
        <v/>
      </c>
      <c r="AF163" s="116" t="str">
        <f t="shared" si="81"/>
        <v>0-0</v>
      </c>
    </row>
    <row r="164" spans="1:32" x14ac:dyDescent="0.25">
      <c r="A164" s="113">
        <f>'Date Calcs'!A164</f>
        <v>0</v>
      </c>
      <c r="B164" s="113">
        <f>'Date Calcs'!B164</f>
        <v>0</v>
      </c>
      <c r="C164" s="114" t="str">
        <f>_xlfn.IFNA(_xlfn.IFNA(VLOOKUP(AF164,'[1]Schedule Not Certified'!$C:$F,3,0),VLOOKUP(AF164,[1]CERTIFIED!$C:$E,3,0)),"")</f>
        <v/>
      </c>
      <c r="D164" s="115">
        <v>0</v>
      </c>
      <c r="E164" s="115">
        <v>0</v>
      </c>
      <c r="F164" s="115">
        <v>0</v>
      </c>
      <c r="G164" s="115">
        <v>0</v>
      </c>
      <c r="H164" s="115">
        <v>0</v>
      </c>
      <c r="I164" s="114" t="str">
        <f t="shared" si="66"/>
        <v/>
      </c>
      <c r="J164" s="116" t="e">
        <f t="shared" si="84"/>
        <v>#VALUE!</v>
      </c>
      <c r="K164" s="116" t="e">
        <f t="shared" si="84"/>
        <v>#VALUE!</v>
      </c>
      <c r="L164" s="116" t="e">
        <f t="shared" si="84"/>
        <v>#VALUE!</v>
      </c>
      <c r="M164" s="116" t="e">
        <f t="shared" si="84"/>
        <v>#VALUE!</v>
      </c>
      <c r="N164" s="116" t="e">
        <f t="shared" si="84"/>
        <v>#VALUE!</v>
      </c>
      <c r="O164" s="116" t="str">
        <f t="shared" si="67"/>
        <v/>
      </c>
      <c r="P164" s="116" t="str">
        <f t="shared" si="68"/>
        <v/>
      </c>
      <c r="Q164" s="116" t="str">
        <f>IFERROR(VLOOKUP(A164,'Date Calcs'!A:C,3,0),"")</f>
        <v/>
      </c>
      <c r="R164" s="116" t="str">
        <f t="shared" si="69"/>
        <v/>
      </c>
      <c r="S164" s="117"/>
      <c r="T164" s="116" t="e">
        <f t="shared" si="70"/>
        <v>#VALUE!</v>
      </c>
      <c r="U164" s="116" t="e">
        <f t="shared" si="71"/>
        <v>#VALUE!</v>
      </c>
      <c r="V164" s="116" t="str">
        <f>IFERROR(IF(VLOOKUP(A164,'Actual Dates'!A:AE,21,0)&gt;"",VLOOKUP(A164,'Actual Dates'!A:AE,21,0),W164-$V$2),"")</f>
        <v/>
      </c>
      <c r="W164" s="116" t="str">
        <f t="shared" si="72"/>
        <v/>
      </c>
      <c r="X164" s="116" t="str">
        <f t="shared" si="73"/>
        <v/>
      </c>
      <c r="Y164" s="116" t="str">
        <f t="shared" si="74"/>
        <v/>
      </c>
      <c r="Z164" s="116" t="str">
        <f t="shared" si="75"/>
        <v/>
      </c>
      <c r="AA164" s="116" t="str">
        <f t="shared" si="76"/>
        <v/>
      </c>
      <c r="AB164" s="116" t="str">
        <f t="shared" si="77"/>
        <v/>
      </c>
      <c r="AC164" s="116" t="str">
        <f t="shared" si="78"/>
        <v/>
      </c>
      <c r="AD164" s="116" t="str">
        <f t="shared" si="79"/>
        <v/>
      </c>
      <c r="AE164" s="116" t="str">
        <f t="shared" si="80"/>
        <v/>
      </c>
      <c r="AF164" s="116" t="str">
        <f t="shared" si="81"/>
        <v>0-0</v>
      </c>
    </row>
    <row r="165" spans="1:32" x14ac:dyDescent="0.25">
      <c r="A165" s="113">
        <f>'Date Calcs'!A165</f>
        <v>0</v>
      </c>
      <c r="B165" s="113">
        <f>'Date Calcs'!B165</f>
        <v>0</v>
      </c>
      <c r="C165" s="114" t="str">
        <f>_xlfn.IFNA(_xlfn.IFNA(VLOOKUP(AF165,'[1]Schedule Not Certified'!$C:$F,3,0),VLOOKUP(AF165,[1]CERTIFIED!$C:$E,3,0)),"")</f>
        <v/>
      </c>
      <c r="D165" s="115">
        <v>0</v>
      </c>
      <c r="E165" s="115">
        <v>0</v>
      </c>
      <c r="F165" s="115">
        <v>0</v>
      </c>
      <c r="G165" s="115">
        <v>0</v>
      </c>
      <c r="H165" s="115">
        <v>0</v>
      </c>
      <c r="I165" s="114" t="str">
        <f t="shared" si="66"/>
        <v/>
      </c>
      <c r="J165" s="116" t="e">
        <f t="shared" ref="J165:N174" si="85">K165-J$2</f>
        <v>#VALUE!</v>
      </c>
      <c r="K165" s="116" t="e">
        <f t="shared" si="85"/>
        <v>#VALUE!</v>
      </c>
      <c r="L165" s="116" t="e">
        <f t="shared" si="85"/>
        <v>#VALUE!</v>
      </c>
      <c r="M165" s="116" t="e">
        <f t="shared" si="85"/>
        <v>#VALUE!</v>
      </c>
      <c r="N165" s="116" t="e">
        <f t="shared" si="85"/>
        <v>#VALUE!</v>
      </c>
      <c r="O165" s="116" t="str">
        <f t="shared" si="67"/>
        <v/>
      </c>
      <c r="P165" s="116" t="str">
        <f t="shared" si="68"/>
        <v/>
      </c>
      <c r="Q165" s="116" t="str">
        <f>IFERROR(VLOOKUP(A165,'Date Calcs'!A:C,3,0),"")</f>
        <v/>
      </c>
      <c r="R165" s="116" t="str">
        <f t="shared" si="69"/>
        <v/>
      </c>
      <c r="S165" s="117"/>
      <c r="T165" s="116" t="e">
        <f t="shared" si="70"/>
        <v>#VALUE!</v>
      </c>
      <c r="U165" s="116" t="e">
        <f t="shared" si="71"/>
        <v>#VALUE!</v>
      </c>
      <c r="V165" s="116" t="str">
        <f>IFERROR(IF(VLOOKUP(A165,'Actual Dates'!A:AE,21,0)&gt;"",VLOOKUP(A165,'Actual Dates'!A:AE,21,0),W165-$V$2),"")</f>
        <v/>
      </c>
      <c r="W165" s="116" t="str">
        <f t="shared" si="72"/>
        <v/>
      </c>
      <c r="X165" s="116" t="str">
        <f t="shared" si="73"/>
        <v/>
      </c>
      <c r="Y165" s="116" t="str">
        <f t="shared" si="74"/>
        <v/>
      </c>
      <c r="Z165" s="116" t="str">
        <f t="shared" si="75"/>
        <v/>
      </c>
      <c r="AA165" s="116" t="str">
        <f t="shared" si="76"/>
        <v/>
      </c>
      <c r="AB165" s="116" t="str">
        <f t="shared" si="77"/>
        <v/>
      </c>
      <c r="AC165" s="116" t="str">
        <f t="shared" si="78"/>
        <v/>
      </c>
      <c r="AD165" s="116" t="str">
        <f t="shared" si="79"/>
        <v/>
      </c>
      <c r="AE165" s="116" t="str">
        <f t="shared" si="80"/>
        <v/>
      </c>
      <c r="AF165" s="116" t="str">
        <f t="shared" si="81"/>
        <v>0-0</v>
      </c>
    </row>
    <row r="166" spans="1:32" x14ac:dyDescent="0.25">
      <c r="A166" s="113">
        <f>'Date Calcs'!A166</f>
        <v>0</v>
      </c>
      <c r="B166" s="113">
        <f>'Date Calcs'!B166</f>
        <v>0</v>
      </c>
      <c r="C166" s="114" t="str">
        <f>_xlfn.IFNA(_xlfn.IFNA(VLOOKUP(AF166,'[1]Schedule Not Certified'!$C:$F,3,0),VLOOKUP(AF166,[1]CERTIFIED!$C:$E,3,0)),"")</f>
        <v/>
      </c>
      <c r="D166" s="115">
        <v>0</v>
      </c>
      <c r="E166" s="115">
        <v>0</v>
      </c>
      <c r="F166" s="115">
        <v>0</v>
      </c>
      <c r="G166" s="115">
        <v>0</v>
      </c>
      <c r="H166" s="115">
        <v>0</v>
      </c>
      <c r="I166" s="114" t="str">
        <f t="shared" si="66"/>
        <v/>
      </c>
      <c r="J166" s="116" t="e">
        <f t="shared" si="85"/>
        <v>#VALUE!</v>
      </c>
      <c r="K166" s="116" t="e">
        <f t="shared" si="85"/>
        <v>#VALUE!</v>
      </c>
      <c r="L166" s="116" t="e">
        <f t="shared" si="85"/>
        <v>#VALUE!</v>
      </c>
      <c r="M166" s="116" t="e">
        <f t="shared" si="85"/>
        <v>#VALUE!</v>
      </c>
      <c r="N166" s="116" t="e">
        <f t="shared" si="85"/>
        <v>#VALUE!</v>
      </c>
      <c r="O166" s="116" t="str">
        <f t="shared" si="67"/>
        <v/>
      </c>
      <c r="P166" s="116" t="str">
        <f t="shared" si="68"/>
        <v/>
      </c>
      <c r="Q166" s="116" t="str">
        <f>IFERROR(VLOOKUP(A166,'Date Calcs'!A:C,3,0),"")</f>
        <v/>
      </c>
      <c r="R166" s="116" t="str">
        <f t="shared" si="69"/>
        <v/>
      </c>
      <c r="S166" s="117"/>
      <c r="T166" s="116" t="e">
        <f t="shared" si="70"/>
        <v>#VALUE!</v>
      </c>
      <c r="U166" s="116" t="e">
        <f t="shared" si="71"/>
        <v>#VALUE!</v>
      </c>
      <c r="V166" s="116" t="str">
        <f>IFERROR(IF(VLOOKUP(A166,'Actual Dates'!A:AE,21,0)&gt;"",VLOOKUP(A166,'Actual Dates'!A:AE,21,0),W166-$V$2),"")</f>
        <v/>
      </c>
      <c r="W166" s="116" t="str">
        <f t="shared" si="72"/>
        <v/>
      </c>
      <c r="X166" s="116" t="str">
        <f t="shared" si="73"/>
        <v/>
      </c>
      <c r="Y166" s="116" t="str">
        <f t="shared" si="74"/>
        <v/>
      </c>
      <c r="Z166" s="116" t="str">
        <f t="shared" si="75"/>
        <v/>
      </c>
      <c r="AA166" s="116" t="str">
        <f t="shared" si="76"/>
        <v/>
      </c>
      <c r="AB166" s="116" t="str">
        <f t="shared" si="77"/>
        <v/>
      </c>
      <c r="AC166" s="116" t="str">
        <f t="shared" si="78"/>
        <v/>
      </c>
      <c r="AD166" s="116" t="str">
        <f t="shared" si="79"/>
        <v/>
      </c>
      <c r="AE166" s="116" t="str">
        <f t="shared" si="80"/>
        <v/>
      </c>
      <c r="AF166" s="116" t="str">
        <f t="shared" si="81"/>
        <v>0-0</v>
      </c>
    </row>
    <row r="167" spans="1:32" x14ac:dyDescent="0.25">
      <c r="A167" s="113">
        <f>'Date Calcs'!A167</f>
        <v>0</v>
      </c>
      <c r="B167" s="113">
        <f>'Date Calcs'!B167</f>
        <v>0</v>
      </c>
      <c r="C167" s="114" t="str">
        <f>_xlfn.IFNA(_xlfn.IFNA(VLOOKUP(AF167,'[1]Schedule Not Certified'!$C:$F,3,0),VLOOKUP(AF167,[1]CERTIFIED!$C:$E,3,0)),"")</f>
        <v/>
      </c>
      <c r="D167" s="115">
        <v>0</v>
      </c>
      <c r="E167" s="115">
        <v>0</v>
      </c>
      <c r="F167" s="115">
        <v>0</v>
      </c>
      <c r="G167" s="115">
        <v>0</v>
      </c>
      <c r="H167" s="115">
        <v>0</v>
      </c>
      <c r="I167" s="114" t="str">
        <f t="shared" si="66"/>
        <v/>
      </c>
      <c r="J167" s="116" t="e">
        <f t="shared" si="85"/>
        <v>#VALUE!</v>
      </c>
      <c r="K167" s="116" t="e">
        <f t="shared" si="85"/>
        <v>#VALUE!</v>
      </c>
      <c r="L167" s="116" t="e">
        <f t="shared" si="85"/>
        <v>#VALUE!</v>
      </c>
      <c r="M167" s="116" t="e">
        <f t="shared" si="85"/>
        <v>#VALUE!</v>
      </c>
      <c r="N167" s="116" t="e">
        <f t="shared" si="85"/>
        <v>#VALUE!</v>
      </c>
      <c r="O167" s="116" t="str">
        <f t="shared" si="67"/>
        <v/>
      </c>
      <c r="P167" s="116" t="str">
        <f t="shared" si="68"/>
        <v/>
      </c>
      <c r="Q167" s="116" t="str">
        <f>IFERROR(VLOOKUP(A167,'Date Calcs'!A:C,3,0),"")</f>
        <v/>
      </c>
      <c r="R167" s="116" t="str">
        <f t="shared" si="69"/>
        <v/>
      </c>
      <c r="S167" s="117"/>
      <c r="T167" s="116" t="e">
        <f t="shared" si="70"/>
        <v>#VALUE!</v>
      </c>
      <c r="U167" s="116" t="e">
        <f t="shared" si="71"/>
        <v>#VALUE!</v>
      </c>
      <c r="V167" s="116" t="str">
        <f>IFERROR(IF(VLOOKUP(A167,'Actual Dates'!A:AE,21,0)&gt;"",VLOOKUP(A167,'Actual Dates'!A:AE,21,0),W167-$V$2),"")</f>
        <v/>
      </c>
      <c r="W167" s="116" t="str">
        <f t="shared" si="72"/>
        <v/>
      </c>
      <c r="X167" s="116" t="str">
        <f t="shared" si="73"/>
        <v/>
      </c>
      <c r="Y167" s="116" t="str">
        <f t="shared" si="74"/>
        <v/>
      </c>
      <c r="Z167" s="116" t="str">
        <f t="shared" si="75"/>
        <v/>
      </c>
      <c r="AA167" s="116" t="str">
        <f t="shared" si="76"/>
        <v/>
      </c>
      <c r="AB167" s="116" t="str">
        <f t="shared" si="77"/>
        <v/>
      </c>
      <c r="AC167" s="116" t="str">
        <f t="shared" si="78"/>
        <v/>
      </c>
      <c r="AD167" s="116" t="str">
        <f t="shared" si="79"/>
        <v/>
      </c>
      <c r="AE167" s="116" t="str">
        <f t="shared" si="80"/>
        <v/>
      </c>
      <c r="AF167" s="116" t="str">
        <f t="shared" si="81"/>
        <v>0-0</v>
      </c>
    </row>
    <row r="168" spans="1:32" x14ac:dyDescent="0.25">
      <c r="A168" s="113">
        <f>'Date Calcs'!A168</f>
        <v>0</v>
      </c>
      <c r="B168" s="113">
        <f>'Date Calcs'!B168</f>
        <v>0</v>
      </c>
      <c r="C168" s="114" t="str">
        <f>_xlfn.IFNA(_xlfn.IFNA(VLOOKUP(AF168,'[1]Schedule Not Certified'!$C:$F,3,0),VLOOKUP(AF168,[1]CERTIFIED!$C:$E,3,0)),"")</f>
        <v/>
      </c>
      <c r="D168" s="115">
        <v>0</v>
      </c>
      <c r="E168" s="115">
        <v>0</v>
      </c>
      <c r="F168" s="115">
        <v>0</v>
      </c>
      <c r="G168" s="115">
        <v>0</v>
      </c>
      <c r="H168" s="115">
        <v>0</v>
      </c>
      <c r="I168" s="114" t="str">
        <f t="shared" si="66"/>
        <v/>
      </c>
      <c r="J168" s="116" t="e">
        <f t="shared" si="85"/>
        <v>#VALUE!</v>
      </c>
      <c r="K168" s="116" t="e">
        <f t="shared" si="85"/>
        <v>#VALUE!</v>
      </c>
      <c r="L168" s="116" t="e">
        <f t="shared" si="85"/>
        <v>#VALUE!</v>
      </c>
      <c r="M168" s="116" t="e">
        <f t="shared" si="85"/>
        <v>#VALUE!</v>
      </c>
      <c r="N168" s="116" t="e">
        <f t="shared" si="85"/>
        <v>#VALUE!</v>
      </c>
      <c r="O168" s="116" t="str">
        <f t="shared" si="67"/>
        <v/>
      </c>
      <c r="P168" s="116" t="str">
        <f t="shared" si="68"/>
        <v/>
      </c>
      <c r="Q168" s="116" t="str">
        <f>IFERROR(VLOOKUP(A168,'Date Calcs'!A:C,3,0),"")</f>
        <v/>
      </c>
      <c r="R168" s="116" t="str">
        <f t="shared" si="69"/>
        <v/>
      </c>
      <c r="S168" s="117"/>
      <c r="T168" s="116" t="e">
        <f t="shared" si="70"/>
        <v>#VALUE!</v>
      </c>
      <c r="U168" s="116" t="e">
        <f t="shared" si="71"/>
        <v>#VALUE!</v>
      </c>
      <c r="V168" s="116" t="str">
        <f>IFERROR(IF(VLOOKUP(A168,'Actual Dates'!A:AE,21,0)&gt;"",VLOOKUP(A168,'Actual Dates'!A:AE,21,0),W168-$V$2),"")</f>
        <v/>
      </c>
      <c r="W168" s="116" t="str">
        <f t="shared" si="72"/>
        <v/>
      </c>
      <c r="X168" s="116" t="str">
        <f t="shared" si="73"/>
        <v/>
      </c>
      <c r="Y168" s="116" t="str">
        <f t="shared" si="74"/>
        <v/>
      </c>
      <c r="Z168" s="116" t="str">
        <f t="shared" si="75"/>
        <v/>
      </c>
      <c r="AA168" s="116" t="str">
        <f t="shared" si="76"/>
        <v/>
      </c>
      <c r="AB168" s="116" t="str">
        <f t="shared" si="77"/>
        <v/>
      </c>
      <c r="AC168" s="116" t="str">
        <f t="shared" si="78"/>
        <v/>
      </c>
      <c r="AD168" s="116" t="str">
        <f t="shared" si="79"/>
        <v/>
      </c>
      <c r="AE168" s="116" t="str">
        <f t="shared" si="80"/>
        <v/>
      </c>
      <c r="AF168" s="116" t="str">
        <f t="shared" si="81"/>
        <v>0-0</v>
      </c>
    </row>
    <row r="169" spans="1:32" x14ac:dyDescent="0.25">
      <c r="A169" s="113">
        <f>'Date Calcs'!A169</f>
        <v>0</v>
      </c>
      <c r="B169" s="113">
        <f>'Date Calcs'!B169</f>
        <v>0</v>
      </c>
      <c r="C169" s="114" t="str">
        <f>_xlfn.IFNA(_xlfn.IFNA(VLOOKUP(AF169,'[1]Schedule Not Certified'!$C:$F,3,0),VLOOKUP(AF169,[1]CERTIFIED!$C:$E,3,0)),"")</f>
        <v/>
      </c>
      <c r="D169" s="115">
        <v>0</v>
      </c>
      <c r="E169" s="115">
        <v>0</v>
      </c>
      <c r="F169" s="115">
        <v>0</v>
      </c>
      <c r="G169" s="115">
        <v>0</v>
      </c>
      <c r="H169" s="115">
        <v>0</v>
      </c>
      <c r="I169" s="114" t="str">
        <f t="shared" si="66"/>
        <v/>
      </c>
      <c r="J169" s="116" t="e">
        <f t="shared" si="85"/>
        <v>#VALUE!</v>
      </c>
      <c r="K169" s="116" t="e">
        <f t="shared" si="85"/>
        <v>#VALUE!</v>
      </c>
      <c r="L169" s="116" t="e">
        <f t="shared" si="85"/>
        <v>#VALUE!</v>
      </c>
      <c r="M169" s="116" t="e">
        <f t="shared" si="85"/>
        <v>#VALUE!</v>
      </c>
      <c r="N169" s="116" t="e">
        <f t="shared" si="85"/>
        <v>#VALUE!</v>
      </c>
      <c r="O169" s="116" t="str">
        <f t="shared" si="67"/>
        <v/>
      </c>
      <c r="P169" s="116" t="str">
        <f t="shared" si="68"/>
        <v/>
      </c>
      <c r="Q169" s="116" t="str">
        <f>IFERROR(VLOOKUP(A169,'Date Calcs'!A:C,3,0),"")</f>
        <v/>
      </c>
      <c r="R169" s="116" t="str">
        <f t="shared" si="69"/>
        <v/>
      </c>
      <c r="S169" s="117"/>
      <c r="T169" s="116" t="e">
        <f t="shared" si="70"/>
        <v>#VALUE!</v>
      </c>
      <c r="U169" s="116" t="e">
        <f t="shared" si="71"/>
        <v>#VALUE!</v>
      </c>
      <c r="V169" s="116" t="str">
        <f>IFERROR(IF(VLOOKUP(A169,'Actual Dates'!A:AE,21,0)&gt;"",VLOOKUP(A169,'Actual Dates'!A:AE,21,0),W169-$V$2),"")</f>
        <v/>
      </c>
      <c r="W169" s="116" t="str">
        <f t="shared" si="72"/>
        <v/>
      </c>
      <c r="X169" s="116" t="str">
        <f t="shared" si="73"/>
        <v/>
      </c>
      <c r="Y169" s="116" t="str">
        <f t="shared" si="74"/>
        <v/>
      </c>
      <c r="Z169" s="116" t="str">
        <f t="shared" si="75"/>
        <v/>
      </c>
      <c r="AA169" s="116" t="str">
        <f t="shared" si="76"/>
        <v/>
      </c>
      <c r="AB169" s="116" t="str">
        <f t="shared" si="77"/>
        <v/>
      </c>
      <c r="AC169" s="116" t="str">
        <f t="shared" si="78"/>
        <v/>
      </c>
      <c r="AD169" s="116" t="str">
        <f t="shared" si="79"/>
        <v/>
      </c>
      <c r="AE169" s="116" t="str">
        <f t="shared" si="80"/>
        <v/>
      </c>
      <c r="AF169" s="116" t="str">
        <f t="shared" si="81"/>
        <v>0-0</v>
      </c>
    </row>
    <row r="170" spans="1:32" x14ac:dyDescent="0.25">
      <c r="A170" s="113">
        <f>'Date Calcs'!A170</f>
        <v>0</v>
      </c>
      <c r="B170" s="113">
        <f>'Date Calcs'!B170</f>
        <v>0</v>
      </c>
      <c r="C170" s="114" t="str">
        <f>_xlfn.IFNA(_xlfn.IFNA(VLOOKUP(AF170,'[1]Schedule Not Certified'!$C:$F,3,0),VLOOKUP(AF170,[1]CERTIFIED!$C:$E,3,0)),"")</f>
        <v/>
      </c>
      <c r="D170" s="115">
        <v>0</v>
      </c>
      <c r="E170" s="115">
        <v>0</v>
      </c>
      <c r="F170" s="115">
        <v>0</v>
      </c>
      <c r="G170" s="115">
        <v>0</v>
      </c>
      <c r="H170" s="115">
        <v>0</v>
      </c>
      <c r="I170" s="114" t="str">
        <f t="shared" si="66"/>
        <v/>
      </c>
      <c r="J170" s="116" t="e">
        <f t="shared" si="85"/>
        <v>#VALUE!</v>
      </c>
      <c r="K170" s="116" t="e">
        <f t="shared" si="85"/>
        <v>#VALUE!</v>
      </c>
      <c r="L170" s="116" t="e">
        <f t="shared" si="85"/>
        <v>#VALUE!</v>
      </c>
      <c r="M170" s="116" t="e">
        <f t="shared" si="85"/>
        <v>#VALUE!</v>
      </c>
      <c r="N170" s="116" t="e">
        <f t="shared" si="85"/>
        <v>#VALUE!</v>
      </c>
      <c r="O170" s="116" t="str">
        <f t="shared" si="67"/>
        <v/>
      </c>
      <c r="P170" s="116" t="str">
        <f t="shared" si="68"/>
        <v/>
      </c>
      <c r="Q170" s="116" t="str">
        <f>IFERROR(VLOOKUP(A170,'Date Calcs'!A:C,3,0),"")</f>
        <v/>
      </c>
      <c r="R170" s="116" t="str">
        <f t="shared" si="69"/>
        <v/>
      </c>
      <c r="S170" s="117"/>
      <c r="T170" s="116" t="e">
        <f t="shared" si="70"/>
        <v>#VALUE!</v>
      </c>
      <c r="U170" s="116" t="e">
        <f t="shared" si="71"/>
        <v>#VALUE!</v>
      </c>
      <c r="V170" s="116" t="str">
        <f>IFERROR(IF(VLOOKUP(A170,'Actual Dates'!A:AE,21,0)&gt;"",VLOOKUP(A170,'Actual Dates'!A:AE,21,0),W170-$V$2),"")</f>
        <v/>
      </c>
      <c r="W170" s="116" t="str">
        <f t="shared" si="72"/>
        <v/>
      </c>
      <c r="X170" s="116" t="str">
        <f t="shared" si="73"/>
        <v/>
      </c>
      <c r="Y170" s="116" t="str">
        <f t="shared" si="74"/>
        <v/>
      </c>
      <c r="Z170" s="116" t="str">
        <f t="shared" si="75"/>
        <v/>
      </c>
      <c r="AA170" s="116" t="str">
        <f t="shared" si="76"/>
        <v/>
      </c>
      <c r="AB170" s="116" t="str">
        <f t="shared" si="77"/>
        <v/>
      </c>
      <c r="AC170" s="116" t="str">
        <f t="shared" si="78"/>
        <v/>
      </c>
      <c r="AD170" s="116" t="str">
        <f t="shared" si="79"/>
        <v/>
      </c>
      <c r="AE170" s="116" t="str">
        <f t="shared" si="80"/>
        <v/>
      </c>
      <c r="AF170" s="116" t="str">
        <f t="shared" si="81"/>
        <v>0-0</v>
      </c>
    </row>
    <row r="171" spans="1:32" x14ac:dyDescent="0.25">
      <c r="A171" s="113">
        <f>'Date Calcs'!A171</f>
        <v>0</v>
      </c>
      <c r="B171" s="113">
        <f>'Date Calcs'!B171</f>
        <v>0</v>
      </c>
      <c r="C171" s="114" t="str">
        <f>_xlfn.IFNA(_xlfn.IFNA(VLOOKUP(AF171,'[1]Schedule Not Certified'!$C:$F,3,0),VLOOKUP(AF171,[1]CERTIFIED!$C:$E,3,0)),"")</f>
        <v/>
      </c>
      <c r="D171" s="115">
        <v>0</v>
      </c>
      <c r="E171" s="115">
        <v>0</v>
      </c>
      <c r="F171" s="115">
        <v>0</v>
      </c>
      <c r="G171" s="115">
        <v>0</v>
      </c>
      <c r="H171" s="115">
        <v>0</v>
      </c>
      <c r="I171" s="114" t="str">
        <f t="shared" si="66"/>
        <v/>
      </c>
      <c r="J171" s="116" t="e">
        <f t="shared" si="85"/>
        <v>#VALUE!</v>
      </c>
      <c r="K171" s="116" t="e">
        <f t="shared" si="85"/>
        <v>#VALUE!</v>
      </c>
      <c r="L171" s="116" t="e">
        <f t="shared" si="85"/>
        <v>#VALUE!</v>
      </c>
      <c r="M171" s="116" t="e">
        <f t="shared" si="85"/>
        <v>#VALUE!</v>
      </c>
      <c r="N171" s="116" t="e">
        <f t="shared" si="85"/>
        <v>#VALUE!</v>
      </c>
      <c r="O171" s="116" t="str">
        <f t="shared" si="67"/>
        <v/>
      </c>
      <c r="P171" s="116" t="str">
        <f t="shared" si="68"/>
        <v/>
      </c>
      <c r="Q171" s="116" t="str">
        <f>IFERROR(VLOOKUP(A171,'Date Calcs'!A:C,3,0),"")</f>
        <v/>
      </c>
      <c r="R171" s="116" t="str">
        <f t="shared" si="69"/>
        <v/>
      </c>
      <c r="S171" s="117"/>
      <c r="T171" s="116" t="e">
        <f t="shared" si="70"/>
        <v>#VALUE!</v>
      </c>
      <c r="U171" s="116" t="e">
        <f t="shared" si="71"/>
        <v>#VALUE!</v>
      </c>
      <c r="V171" s="116" t="str">
        <f>IFERROR(IF(VLOOKUP(A171,'Actual Dates'!A:AE,21,0)&gt;"",VLOOKUP(A171,'Actual Dates'!A:AE,21,0),W171-$V$2),"")</f>
        <v/>
      </c>
      <c r="W171" s="116" t="str">
        <f t="shared" si="72"/>
        <v/>
      </c>
      <c r="X171" s="116" t="str">
        <f t="shared" si="73"/>
        <v/>
      </c>
      <c r="Y171" s="116" t="str">
        <f t="shared" si="74"/>
        <v/>
      </c>
      <c r="Z171" s="116" t="str">
        <f t="shared" si="75"/>
        <v/>
      </c>
      <c r="AA171" s="116" t="str">
        <f t="shared" si="76"/>
        <v/>
      </c>
      <c r="AB171" s="116" t="str">
        <f t="shared" si="77"/>
        <v/>
      </c>
      <c r="AC171" s="116" t="str">
        <f t="shared" si="78"/>
        <v/>
      </c>
      <c r="AD171" s="116" t="str">
        <f t="shared" si="79"/>
        <v/>
      </c>
      <c r="AE171" s="116" t="str">
        <f t="shared" si="80"/>
        <v/>
      </c>
      <c r="AF171" s="116" t="str">
        <f t="shared" si="81"/>
        <v>0-0</v>
      </c>
    </row>
    <row r="172" spans="1:32" x14ac:dyDescent="0.25">
      <c r="A172" s="113">
        <f>'Date Calcs'!A172</f>
        <v>0</v>
      </c>
      <c r="B172" s="113">
        <f>'Date Calcs'!B172</f>
        <v>0</v>
      </c>
      <c r="C172" s="114" t="str">
        <f>_xlfn.IFNA(_xlfn.IFNA(VLOOKUP(AF172,'[1]Schedule Not Certified'!$C:$F,3,0),VLOOKUP(AF172,[1]CERTIFIED!$C:$E,3,0)),"")</f>
        <v/>
      </c>
      <c r="D172" s="115">
        <v>0</v>
      </c>
      <c r="E172" s="115">
        <v>0</v>
      </c>
      <c r="F172" s="115">
        <v>0</v>
      </c>
      <c r="G172" s="115">
        <v>0</v>
      </c>
      <c r="H172" s="115">
        <v>0</v>
      </c>
      <c r="I172" s="114" t="str">
        <f t="shared" si="66"/>
        <v/>
      </c>
      <c r="J172" s="116" t="e">
        <f t="shared" si="85"/>
        <v>#VALUE!</v>
      </c>
      <c r="K172" s="116" t="e">
        <f t="shared" si="85"/>
        <v>#VALUE!</v>
      </c>
      <c r="L172" s="116" t="e">
        <f t="shared" si="85"/>
        <v>#VALUE!</v>
      </c>
      <c r="M172" s="116" t="e">
        <f t="shared" si="85"/>
        <v>#VALUE!</v>
      </c>
      <c r="N172" s="116" t="e">
        <f t="shared" si="85"/>
        <v>#VALUE!</v>
      </c>
      <c r="O172" s="116" t="str">
        <f t="shared" si="67"/>
        <v/>
      </c>
      <c r="P172" s="116" t="str">
        <f t="shared" si="68"/>
        <v/>
      </c>
      <c r="Q172" s="116" t="str">
        <f>IFERROR(VLOOKUP(A172,'Date Calcs'!A:C,3,0),"")</f>
        <v/>
      </c>
      <c r="R172" s="116" t="str">
        <f t="shared" si="69"/>
        <v/>
      </c>
      <c r="S172" s="117"/>
      <c r="T172" s="116" t="e">
        <f t="shared" si="70"/>
        <v>#VALUE!</v>
      </c>
      <c r="U172" s="116" t="e">
        <f t="shared" si="71"/>
        <v>#VALUE!</v>
      </c>
      <c r="V172" s="116" t="str">
        <f>IFERROR(IF(VLOOKUP(A172,'Actual Dates'!A:AE,21,0)&gt;"",VLOOKUP(A172,'Actual Dates'!A:AE,21,0),W172-$V$2),"")</f>
        <v/>
      </c>
      <c r="W172" s="116" t="str">
        <f t="shared" si="72"/>
        <v/>
      </c>
      <c r="X172" s="116" t="str">
        <f t="shared" si="73"/>
        <v/>
      </c>
      <c r="Y172" s="116" t="str">
        <f t="shared" si="74"/>
        <v/>
      </c>
      <c r="Z172" s="116" t="str">
        <f t="shared" si="75"/>
        <v/>
      </c>
      <c r="AA172" s="116" t="str">
        <f t="shared" si="76"/>
        <v/>
      </c>
      <c r="AB172" s="116" t="str">
        <f t="shared" si="77"/>
        <v/>
      </c>
      <c r="AC172" s="116" t="str">
        <f t="shared" si="78"/>
        <v/>
      </c>
      <c r="AD172" s="116" t="str">
        <f t="shared" si="79"/>
        <v/>
      </c>
      <c r="AE172" s="116" t="str">
        <f t="shared" si="80"/>
        <v/>
      </c>
      <c r="AF172" s="116" t="str">
        <f t="shared" si="81"/>
        <v>0-0</v>
      </c>
    </row>
    <row r="173" spans="1:32" x14ac:dyDescent="0.25">
      <c r="A173" s="113">
        <f>'Date Calcs'!A173</f>
        <v>0</v>
      </c>
      <c r="B173" s="113">
        <f>'Date Calcs'!B173</f>
        <v>0</v>
      </c>
      <c r="C173" s="114" t="str">
        <f>_xlfn.IFNA(_xlfn.IFNA(VLOOKUP(AF173,'[1]Schedule Not Certified'!$C:$F,3,0),VLOOKUP(AF173,[1]CERTIFIED!$C:$E,3,0)),"")</f>
        <v/>
      </c>
      <c r="D173" s="115">
        <v>0</v>
      </c>
      <c r="E173" s="115">
        <v>0</v>
      </c>
      <c r="F173" s="115">
        <v>0</v>
      </c>
      <c r="G173" s="115">
        <v>0</v>
      </c>
      <c r="H173" s="115">
        <v>0</v>
      </c>
      <c r="I173" s="114" t="str">
        <f t="shared" si="66"/>
        <v/>
      </c>
      <c r="J173" s="116" t="e">
        <f t="shared" si="85"/>
        <v>#VALUE!</v>
      </c>
      <c r="K173" s="116" t="e">
        <f t="shared" si="85"/>
        <v>#VALUE!</v>
      </c>
      <c r="L173" s="116" t="e">
        <f t="shared" si="85"/>
        <v>#VALUE!</v>
      </c>
      <c r="M173" s="116" t="e">
        <f t="shared" si="85"/>
        <v>#VALUE!</v>
      </c>
      <c r="N173" s="116" t="e">
        <f t="shared" si="85"/>
        <v>#VALUE!</v>
      </c>
      <c r="O173" s="116" t="str">
        <f t="shared" si="67"/>
        <v/>
      </c>
      <c r="P173" s="116" t="str">
        <f t="shared" si="68"/>
        <v/>
      </c>
      <c r="Q173" s="116" t="str">
        <f>IFERROR(VLOOKUP(A173,'Date Calcs'!A:C,3,0),"")</f>
        <v/>
      </c>
      <c r="R173" s="116" t="str">
        <f t="shared" si="69"/>
        <v/>
      </c>
      <c r="S173" s="117"/>
      <c r="T173" s="116" t="e">
        <f t="shared" si="70"/>
        <v>#VALUE!</v>
      </c>
      <c r="U173" s="116" t="e">
        <f t="shared" si="71"/>
        <v>#VALUE!</v>
      </c>
      <c r="V173" s="116" t="str">
        <f>IFERROR(IF(VLOOKUP(A173,'Actual Dates'!A:AE,21,0)&gt;"",VLOOKUP(A173,'Actual Dates'!A:AE,21,0),W173-$V$2),"")</f>
        <v/>
      </c>
      <c r="W173" s="116" t="str">
        <f t="shared" si="72"/>
        <v/>
      </c>
      <c r="X173" s="116" t="str">
        <f t="shared" si="73"/>
        <v/>
      </c>
      <c r="Y173" s="116" t="str">
        <f t="shared" si="74"/>
        <v/>
      </c>
      <c r="Z173" s="116" t="str">
        <f t="shared" si="75"/>
        <v/>
      </c>
      <c r="AA173" s="116" t="str">
        <f t="shared" si="76"/>
        <v/>
      </c>
      <c r="AB173" s="116" t="str">
        <f t="shared" si="77"/>
        <v/>
      </c>
      <c r="AC173" s="116" t="str">
        <f t="shared" si="78"/>
        <v/>
      </c>
      <c r="AD173" s="116" t="str">
        <f t="shared" si="79"/>
        <v/>
      </c>
      <c r="AE173" s="116" t="str">
        <f t="shared" si="80"/>
        <v/>
      </c>
      <c r="AF173" s="116" t="str">
        <f t="shared" si="81"/>
        <v>0-0</v>
      </c>
    </row>
    <row r="174" spans="1:32" x14ac:dyDescent="0.25">
      <c r="A174" s="113">
        <f>'Date Calcs'!A174</f>
        <v>0</v>
      </c>
      <c r="B174" s="113">
        <f>'Date Calcs'!B174</f>
        <v>0</v>
      </c>
      <c r="C174" s="114" t="str">
        <f>_xlfn.IFNA(_xlfn.IFNA(VLOOKUP(AF174,'[1]Schedule Not Certified'!$C:$F,3,0),VLOOKUP(AF174,[1]CERTIFIED!$C:$E,3,0)),"")</f>
        <v/>
      </c>
      <c r="D174" s="115">
        <v>0</v>
      </c>
      <c r="E174" s="115">
        <v>0</v>
      </c>
      <c r="F174" s="115">
        <v>0</v>
      </c>
      <c r="G174" s="115">
        <v>0</v>
      </c>
      <c r="H174" s="115">
        <v>0</v>
      </c>
      <c r="I174" s="114" t="str">
        <f t="shared" si="66"/>
        <v/>
      </c>
      <c r="J174" s="116" t="e">
        <f t="shared" si="85"/>
        <v>#VALUE!</v>
      </c>
      <c r="K174" s="116" t="e">
        <f t="shared" si="85"/>
        <v>#VALUE!</v>
      </c>
      <c r="L174" s="116" t="e">
        <f t="shared" si="85"/>
        <v>#VALUE!</v>
      </c>
      <c r="M174" s="116" t="e">
        <f t="shared" si="85"/>
        <v>#VALUE!</v>
      </c>
      <c r="N174" s="116" t="e">
        <f t="shared" si="85"/>
        <v>#VALUE!</v>
      </c>
      <c r="O174" s="116" t="str">
        <f t="shared" si="67"/>
        <v/>
      </c>
      <c r="P174" s="116" t="str">
        <f t="shared" si="68"/>
        <v/>
      </c>
      <c r="Q174" s="116" t="str">
        <f>IFERROR(VLOOKUP(A174,'Date Calcs'!A:C,3,0),"")</f>
        <v/>
      </c>
      <c r="R174" s="116" t="str">
        <f t="shared" si="69"/>
        <v/>
      </c>
      <c r="S174" s="117"/>
      <c r="T174" s="116" t="e">
        <f t="shared" si="70"/>
        <v>#VALUE!</v>
      </c>
      <c r="U174" s="116" t="e">
        <f t="shared" si="71"/>
        <v>#VALUE!</v>
      </c>
      <c r="V174" s="116" t="str">
        <f>IFERROR(IF(VLOOKUP(A174,'Actual Dates'!A:AE,21,0)&gt;"",VLOOKUP(A174,'Actual Dates'!A:AE,21,0),W174-$V$2),"")</f>
        <v/>
      </c>
      <c r="W174" s="116" t="str">
        <f t="shared" si="72"/>
        <v/>
      </c>
      <c r="X174" s="116" t="str">
        <f t="shared" si="73"/>
        <v/>
      </c>
      <c r="Y174" s="116" t="str">
        <f t="shared" si="74"/>
        <v/>
      </c>
      <c r="Z174" s="116" t="str">
        <f t="shared" si="75"/>
        <v/>
      </c>
      <c r="AA174" s="116" t="str">
        <f t="shared" si="76"/>
        <v/>
      </c>
      <c r="AB174" s="116" t="str">
        <f t="shared" si="77"/>
        <v/>
      </c>
      <c r="AC174" s="116" t="str">
        <f t="shared" si="78"/>
        <v/>
      </c>
      <c r="AD174" s="116" t="str">
        <f t="shared" si="79"/>
        <v/>
      </c>
      <c r="AE174" s="116" t="str">
        <f t="shared" si="80"/>
        <v/>
      </c>
      <c r="AF174" s="116" t="str">
        <f t="shared" si="81"/>
        <v>0-0</v>
      </c>
    </row>
    <row r="175" spans="1:32" x14ac:dyDescent="0.25">
      <c r="A175" s="113">
        <f>'Date Calcs'!A175</f>
        <v>0</v>
      </c>
      <c r="B175" s="113">
        <f>'Date Calcs'!B175</f>
        <v>0</v>
      </c>
      <c r="C175" s="114" t="str">
        <f>_xlfn.IFNA(_xlfn.IFNA(VLOOKUP(AF175,'[1]Schedule Not Certified'!$C:$F,3,0),VLOOKUP(AF175,[1]CERTIFIED!$C:$E,3,0)),"")</f>
        <v/>
      </c>
      <c r="D175" s="115">
        <v>0</v>
      </c>
      <c r="E175" s="115">
        <v>0</v>
      </c>
      <c r="F175" s="115">
        <v>0</v>
      </c>
      <c r="G175" s="115">
        <v>0</v>
      </c>
      <c r="H175" s="115">
        <v>0</v>
      </c>
      <c r="I175" s="114" t="str">
        <f t="shared" si="66"/>
        <v/>
      </c>
      <c r="J175" s="116" t="e">
        <f t="shared" ref="J175:N184" si="86">K175-J$2</f>
        <v>#VALUE!</v>
      </c>
      <c r="K175" s="116" t="e">
        <f t="shared" si="86"/>
        <v>#VALUE!</v>
      </c>
      <c r="L175" s="116" t="e">
        <f t="shared" si="86"/>
        <v>#VALUE!</v>
      </c>
      <c r="M175" s="116" t="e">
        <f t="shared" si="86"/>
        <v>#VALUE!</v>
      </c>
      <c r="N175" s="116" t="e">
        <f t="shared" si="86"/>
        <v>#VALUE!</v>
      </c>
      <c r="O175" s="116" t="str">
        <f t="shared" si="67"/>
        <v/>
      </c>
      <c r="P175" s="116" t="str">
        <f t="shared" si="68"/>
        <v/>
      </c>
      <c r="Q175" s="116" t="str">
        <f>IFERROR(VLOOKUP(A175,'Date Calcs'!A:C,3,0),"")</f>
        <v/>
      </c>
      <c r="R175" s="116" t="str">
        <f t="shared" si="69"/>
        <v/>
      </c>
      <c r="S175" s="117"/>
      <c r="T175" s="116" t="e">
        <f t="shared" si="70"/>
        <v>#VALUE!</v>
      </c>
      <c r="U175" s="116" t="e">
        <f t="shared" si="71"/>
        <v>#VALUE!</v>
      </c>
      <c r="V175" s="116" t="str">
        <f>IFERROR(IF(VLOOKUP(A175,'Actual Dates'!A:AE,21,0)&gt;"",VLOOKUP(A175,'Actual Dates'!A:AE,21,0),W175-$V$2),"")</f>
        <v/>
      </c>
      <c r="W175" s="116" t="str">
        <f t="shared" si="72"/>
        <v/>
      </c>
      <c r="X175" s="116" t="str">
        <f t="shared" si="73"/>
        <v/>
      </c>
      <c r="Y175" s="116" t="str">
        <f t="shared" si="74"/>
        <v/>
      </c>
      <c r="Z175" s="116" t="str">
        <f t="shared" si="75"/>
        <v/>
      </c>
      <c r="AA175" s="116" t="str">
        <f t="shared" si="76"/>
        <v/>
      </c>
      <c r="AB175" s="116" t="str">
        <f t="shared" si="77"/>
        <v/>
      </c>
      <c r="AC175" s="116" t="str">
        <f t="shared" si="78"/>
        <v/>
      </c>
      <c r="AD175" s="116" t="str">
        <f t="shared" si="79"/>
        <v/>
      </c>
      <c r="AE175" s="116" t="str">
        <f t="shared" si="80"/>
        <v/>
      </c>
      <c r="AF175" s="116" t="str">
        <f t="shared" si="81"/>
        <v>0-0</v>
      </c>
    </row>
    <row r="176" spans="1:32" x14ac:dyDescent="0.25">
      <c r="A176" s="113">
        <f>'Date Calcs'!A176</f>
        <v>0</v>
      </c>
      <c r="B176" s="113">
        <f>'Date Calcs'!B176</f>
        <v>0</v>
      </c>
      <c r="C176" s="114" t="str">
        <f>_xlfn.IFNA(_xlfn.IFNA(VLOOKUP(AF176,'[1]Schedule Not Certified'!$C:$F,3,0),VLOOKUP(AF176,[1]CERTIFIED!$C:$E,3,0)),"")</f>
        <v/>
      </c>
      <c r="D176" s="115">
        <v>0</v>
      </c>
      <c r="E176" s="115">
        <v>0</v>
      </c>
      <c r="F176" s="115">
        <v>0</v>
      </c>
      <c r="G176" s="115">
        <v>0</v>
      </c>
      <c r="H176" s="115">
        <v>0</v>
      </c>
      <c r="I176" s="114" t="str">
        <f t="shared" si="66"/>
        <v/>
      </c>
      <c r="J176" s="116" t="e">
        <f t="shared" si="86"/>
        <v>#VALUE!</v>
      </c>
      <c r="K176" s="116" t="e">
        <f t="shared" si="86"/>
        <v>#VALUE!</v>
      </c>
      <c r="L176" s="116" t="e">
        <f t="shared" si="86"/>
        <v>#VALUE!</v>
      </c>
      <c r="M176" s="116" t="e">
        <f t="shared" si="86"/>
        <v>#VALUE!</v>
      </c>
      <c r="N176" s="116" t="e">
        <f t="shared" si="86"/>
        <v>#VALUE!</v>
      </c>
      <c r="O176" s="116" t="str">
        <f t="shared" si="67"/>
        <v/>
      </c>
      <c r="P176" s="116" t="str">
        <f t="shared" si="68"/>
        <v/>
      </c>
      <c r="Q176" s="116" t="str">
        <f>IFERROR(VLOOKUP(A176,'Date Calcs'!A:C,3,0),"")</f>
        <v/>
      </c>
      <c r="R176" s="116" t="str">
        <f t="shared" si="69"/>
        <v/>
      </c>
      <c r="S176" s="117"/>
      <c r="T176" s="116" t="e">
        <f t="shared" si="70"/>
        <v>#VALUE!</v>
      </c>
      <c r="U176" s="116" t="e">
        <f t="shared" si="71"/>
        <v>#VALUE!</v>
      </c>
      <c r="V176" s="116" t="str">
        <f>IFERROR(IF(VLOOKUP(A176,'Actual Dates'!A:AE,21,0)&gt;"",VLOOKUP(A176,'Actual Dates'!A:AE,21,0),W176-$V$2),"")</f>
        <v/>
      </c>
      <c r="W176" s="116" t="str">
        <f t="shared" si="72"/>
        <v/>
      </c>
      <c r="X176" s="116" t="str">
        <f t="shared" si="73"/>
        <v/>
      </c>
      <c r="Y176" s="116" t="str">
        <f t="shared" si="74"/>
        <v/>
      </c>
      <c r="Z176" s="116" t="str">
        <f t="shared" si="75"/>
        <v/>
      </c>
      <c r="AA176" s="116" t="str">
        <f t="shared" si="76"/>
        <v/>
      </c>
      <c r="AB176" s="116" t="str">
        <f t="shared" si="77"/>
        <v/>
      </c>
      <c r="AC176" s="116" t="str">
        <f t="shared" si="78"/>
        <v/>
      </c>
      <c r="AD176" s="116" t="str">
        <f t="shared" si="79"/>
        <v/>
      </c>
      <c r="AE176" s="116" t="str">
        <f t="shared" si="80"/>
        <v/>
      </c>
      <c r="AF176" s="116" t="str">
        <f t="shared" si="81"/>
        <v>0-0</v>
      </c>
    </row>
    <row r="177" spans="1:32" x14ac:dyDescent="0.25">
      <c r="A177" s="113">
        <f>'Date Calcs'!A177</f>
        <v>0</v>
      </c>
      <c r="B177" s="113">
        <f>'Date Calcs'!B177</f>
        <v>0</v>
      </c>
      <c r="C177" s="114" t="str">
        <f>_xlfn.IFNA(_xlfn.IFNA(VLOOKUP(AF177,'[1]Schedule Not Certified'!$C:$F,3,0),VLOOKUP(AF177,[1]CERTIFIED!$C:$E,3,0)),"")</f>
        <v/>
      </c>
      <c r="D177" s="115">
        <v>0</v>
      </c>
      <c r="E177" s="115">
        <v>0</v>
      </c>
      <c r="F177" s="115">
        <v>0</v>
      </c>
      <c r="G177" s="115">
        <v>0</v>
      </c>
      <c r="H177" s="115">
        <v>0</v>
      </c>
      <c r="I177" s="114" t="str">
        <f t="shared" si="66"/>
        <v/>
      </c>
      <c r="J177" s="116" t="e">
        <f t="shared" si="86"/>
        <v>#VALUE!</v>
      </c>
      <c r="K177" s="116" t="e">
        <f t="shared" si="86"/>
        <v>#VALUE!</v>
      </c>
      <c r="L177" s="116" t="e">
        <f t="shared" si="86"/>
        <v>#VALUE!</v>
      </c>
      <c r="M177" s="116" t="e">
        <f t="shared" si="86"/>
        <v>#VALUE!</v>
      </c>
      <c r="N177" s="116" t="e">
        <f t="shared" si="86"/>
        <v>#VALUE!</v>
      </c>
      <c r="O177" s="116" t="str">
        <f t="shared" si="67"/>
        <v/>
      </c>
      <c r="P177" s="116" t="str">
        <f t="shared" si="68"/>
        <v/>
      </c>
      <c r="Q177" s="116" t="str">
        <f>IFERROR(VLOOKUP(A177,'Date Calcs'!A:C,3,0),"")</f>
        <v/>
      </c>
      <c r="R177" s="116" t="str">
        <f t="shared" si="69"/>
        <v/>
      </c>
      <c r="S177" s="117"/>
      <c r="T177" s="116" t="e">
        <f t="shared" si="70"/>
        <v>#VALUE!</v>
      </c>
      <c r="U177" s="116" t="e">
        <f t="shared" si="71"/>
        <v>#VALUE!</v>
      </c>
      <c r="V177" s="116" t="str">
        <f>IFERROR(IF(VLOOKUP(A177,'Actual Dates'!A:AE,21,0)&gt;"",VLOOKUP(A177,'Actual Dates'!A:AE,21,0),W177-$V$2),"")</f>
        <v/>
      </c>
      <c r="W177" s="116" t="str">
        <f t="shared" si="72"/>
        <v/>
      </c>
      <c r="X177" s="116" t="str">
        <f t="shared" si="73"/>
        <v/>
      </c>
      <c r="Y177" s="116" t="str">
        <f t="shared" si="74"/>
        <v/>
      </c>
      <c r="Z177" s="116" t="str">
        <f t="shared" si="75"/>
        <v/>
      </c>
      <c r="AA177" s="116" t="str">
        <f t="shared" si="76"/>
        <v/>
      </c>
      <c r="AB177" s="116" t="str">
        <f t="shared" si="77"/>
        <v/>
      </c>
      <c r="AC177" s="116" t="str">
        <f t="shared" si="78"/>
        <v/>
      </c>
      <c r="AD177" s="116" t="str">
        <f t="shared" si="79"/>
        <v/>
      </c>
      <c r="AE177" s="116" t="str">
        <f t="shared" si="80"/>
        <v/>
      </c>
      <c r="AF177" s="116" t="str">
        <f t="shared" si="81"/>
        <v>0-0</v>
      </c>
    </row>
    <row r="178" spans="1:32" x14ac:dyDescent="0.25">
      <c r="A178" s="113">
        <f>'Date Calcs'!A178</f>
        <v>0</v>
      </c>
      <c r="B178" s="113">
        <f>'Date Calcs'!B178</f>
        <v>0</v>
      </c>
      <c r="C178" s="114" t="str">
        <f>_xlfn.IFNA(_xlfn.IFNA(VLOOKUP(AF178,'[1]Schedule Not Certified'!$C:$F,3,0),VLOOKUP(AF178,[1]CERTIFIED!$C:$E,3,0)),"")</f>
        <v/>
      </c>
      <c r="D178" s="115">
        <v>0</v>
      </c>
      <c r="E178" s="115">
        <v>0</v>
      </c>
      <c r="F178" s="115">
        <v>0</v>
      </c>
      <c r="G178" s="115">
        <v>0</v>
      </c>
      <c r="H178" s="115">
        <v>0</v>
      </c>
      <c r="I178" s="114" t="str">
        <f t="shared" si="66"/>
        <v/>
      </c>
      <c r="J178" s="116" t="e">
        <f t="shared" si="86"/>
        <v>#VALUE!</v>
      </c>
      <c r="K178" s="116" t="e">
        <f t="shared" si="86"/>
        <v>#VALUE!</v>
      </c>
      <c r="L178" s="116" t="e">
        <f t="shared" si="86"/>
        <v>#VALUE!</v>
      </c>
      <c r="M178" s="116" t="e">
        <f t="shared" si="86"/>
        <v>#VALUE!</v>
      </c>
      <c r="N178" s="116" t="e">
        <f t="shared" si="86"/>
        <v>#VALUE!</v>
      </c>
      <c r="O178" s="116" t="str">
        <f t="shared" si="67"/>
        <v/>
      </c>
      <c r="P178" s="116" t="str">
        <f t="shared" si="68"/>
        <v/>
      </c>
      <c r="Q178" s="116" t="str">
        <f>IFERROR(VLOOKUP(A178,'Date Calcs'!A:C,3,0),"")</f>
        <v/>
      </c>
      <c r="R178" s="116" t="str">
        <f t="shared" si="69"/>
        <v/>
      </c>
      <c r="S178" s="117"/>
      <c r="T178" s="116" t="e">
        <f t="shared" si="70"/>
        <v>#VALUE!</v>
      </c>
      <c r="U178" s="116" t="e">
        <f t="shared" si="71"/>
        <v>#VALUE!</v>
      </c>
      <c r="V178" s="116" t="str">
        <f>IFERROR(IF(VLOOKUP(A178,'Actual Dates'!A:AE,21,0)&gt;"",VLOOKUP(A178,'Actual Dates'!A:AE,21,0),W178-$V$2),"")</f>
        <v/>
      </c>
      <c r="W178" s="116" t="str">
        <f t="shared" si="72"/>
        <v/>
      </c>
      <c r="X178" s="116" t="str">
        <f t="shared" si="73"/>
        <v/>
      </c>
      <c r="Y178" s="116" t="str">
        <f t="shared" si="74"/>
        <v/>
      </c>
      <c r="Z178" s="116" t="str">
        <f t="shared" si="75"/>
        <v/>
      </c>
      <c r="AA178" s="116" t="str">
        <f t="shared" si="76"/>
        <v/>
      </c>
      <c r="AB178" s="116" t="str">
        <f t="shared" si="77"/>
        <v/>
      </c>
      <c r="AC178" s="116" t="str">
        <f t="shared" si="78"/>
        <v/>
      </c>
      <c r="AD178" s="116" t="str">
        <f t="shared" si="79"/>
        <v/>
      </c>
      <c r="AE178" s="116" t="str">
        <f t="shared" si="80"/>
        <v/>
      </c>
      <c r="AF178" s="116" t="str">
        <f t="shared" si="81"/>
        <v>0-0</v>
      </c>
    </row>
    <row r="179" spans="1:32" x14ac:dyDescent="0.25">
      <c r="A179" s="113">
        <f>'Date Calcs'!A179</f>
        <v>0</v>
      </c>
      <c r="B179" s="113">
        <f>'Date Calcs'!B179</f>
        <v>0</v>
      </c>
      <c r="C179" s="114" t="str">
        <f>_xlfn.IFNA(_xlfn.IFNA(VLOOKUP(AF179,'[1]Schedule Not Certified'!$C:$F,3,0),VLOOKUP(AF179,[1]CERTIFIED!$C:$E,3,0)),"")</f>
        <v/>
      </c>
      <c r="D179" s="115">
        <v>0</v>
      </c>
      <c r="E179" s="115">
        <v>0</v>
      </c>
      <c r="F179" s="115">
        <v>0</v>
      </c>
      <c r="G179" s="115">
        <v>0</v>
      </c>
      <c r="H179" s="115">
        <v>0</v>
      </c>
      <c r="I179" s="114" t="str">
        <f t="shared" si="66"/>
        <v/>
      </c>
      <c r="J179" s="116" t="e">
        <f t="shared" si="86"/>
        <v>#VALUE!</v>
      </c>
      <c r="K179" s="116" t="e">
        <f t="shared" si="86"/>
        <v>#VALUE!</v>
      </c>
      <c r="L179" s="116" t="e">
        <f t="shared" si="86"/>
        <v>#VALUE!</v>
      </c>
      <c r="M179" s="116" t="e">
        <f t="shared" si="86"/>
        <v>#VALUE!</v>
      </c>
      <c r="N179" s="116" t="e">
        <f t="shared" si="86"/>
        <v>#VALUE!</v>
      </c>
      <c r="O179" s="116" t="str">
        <f t="shared" si="67"/>
        <v/>
      </c>
      <c r="P179" s="116" t="str">
        <f t="shared" si="68"/>
        <v/>
      </c>
      <c r="Q179" s="116" t="str">
        <f>IFERROR(VLOOKUP(A179,'Date Calcs'!A:C,3,0),"")</f>
        <v/>
      </c>
      <c r="R179" s="116" t="str">
        <f t="shared" si="69"/>
        <v/>
      </c>
      <c r="S179" s="117"/>
      <c r="T179" s="116" t="e">
        <f t="shared" si="70"/>
        <v>#VALUE!</v>
      </c>
      <c r="U179" s="116" t="e">
        <f t="shared" si="71"/>
        <v>#VALUE!</v>
      </c>
      <c r="V179" s="116" t="str">
        <f>IFERROR(IF(VLOOKUP(A179,'Actual Dates'!A:AE,21,0)&gt;"",VLOOKUP(A179,'Actual Dates'!A:AE,21,0),W179-$V$2),"")</f>
        <v/>
      </c>
      <c r="W179" s="116" t="str">
        <f t="shared" si="72"/>
        <v/>
      </c>
      <c r="X179" s="116" t="str">
        <f t="shared" si="73"/>
        <v/>
      </c>
      <c r="Y179" s="116" t="str">
        <f t="shared" si="74"/>
        <v/>
      </c>
      <c r="Z179" s="116" t="str">
        <f t="shared" si="75"/>
        <v/>
      </c>
      <c r="AA179" s="116" t="str">
        <f t="shared" si="76"/>
        <v/>
      </c>
      <c r="AB179" s="116" t="str">
        <f t="shared" si="77"/>
        <v/>
      </c>
      <c r="AC179" s="116" t="str">
        <f t="shared" si="78"/>
        <v/>
      </c>
      <c r="AD179" s="116" t="str">
        <f t="shared" si="79"/>
        <v/>
      </c>
      <c r="AE179" s="116" t="str">
        <f t="shared" si="80"/>
        <v/>
      </c>
      <c r="AF179" s="116" t="str">
        <f t="shared" si="81"/>
        <v>0-0</v>
      </c>
    </row>
    <row r="180" spans="1:32" x14ac:dyDescent="0.25">
      <c r="A180" s="113">
        <f>'Date Calcs'!A180</f>
        <v>0</v>
      </c>
      <c r="B180" s="113">
        <f>'Date Calcs'!B180</f>
        <v>0</v>
      </c>
      <c r="C180" s="114" t="str">
        <f>_xlfn.IFNA(_xlfn.IFNA(VLOOKUP(AF180,'[1]Schedule Not Certified'!$C:$F,3,0),VLOOKUP(AF180,[1]CERTIFIED!$C:$E,3,0)),"")</f>
        <v/>
      </c>
      <c r="D180" s="115">
        <v>0</v>
      </c>
      <c r="E180" s="115">
        <v>0</v>
      </c>
      <c r="F180" s="115">
        <v>0</v>
      </c>
      <c r="G180" s="115">
        <v>0</v>
      </c>
      <c r="H180" s="115">
        <v>0</v>
      </c>
      <c r="I180" s="114" t="str">
        <f t="shared" si="66"/>
        <v/>
      </c>
      <c r="J180" s="116" t="e">
        <f t="shared" si="86"/>
        <v>#VALUE!</v>
      </c>
      <c r="K180" s="116" t="e">
        <f t="shared" si="86"/>
        <v>#VALUE!</v>
      </c>
      <c r="L180" s="116" t="e">
        <f t="shared" si="86"/>
        <v>#VALUE!</v>
      </c>
      <c r="M180" s="116" t="e">
        <f t="shared" si="86"/>
        <v>#VALUE!</v>
      </c>
      <c r="N180" s="116" t="e">
        <f t="shared" si="86"/>
        <v>#VALUE!</v>
      </c>
      <c r="O180" s="116" t="str">
        <f t="shared" si="67"/>
        <v/>
      </c>
      <c r="P180" s="116" t="str">
        <f t="shared" si="68"/>
        <v/>
      </c>
      <c r="Q180" s="116" t="str">
        <f>IFERROR(VLOOKUP(A180,'Date Calcs'!A:C,3,0),"")</f>
        <v/>
      </c>
      <c r="R180" s="116" t="str">
        <f t="shared" si="69"/>
        <v/>
      </c>
      <c r="S180" s="117"/>
      <c r="T180" s="116" t="e">
        <f t="shared" si="70"/>
        <v>#VALUE!</v>
      </c>
      <c r="U180" s="116" t="e">
        <f t="shared" si="71"/>
        <v>#VALUE!</v>
      </c>
      <c r="V180" s="116" t="str">
        <f>IFERROR(IF(VLOOKUP(A180,'Actual Dates'!A:AE,21,0)&gt;"",VLOOKUP(A180,'Actual Dates'!A:AE,21,0),W180-$V$2),"")</f>
        <v/>
      </c>
      <c r="W180" s="116" t="str">
        <f t="shared" si="72"/>
        <v/>
      </c>
      <c r="X180" s="116" t="str">
        <f t="shared" si="73"/>
        <v/>
      </c>
      <c r="Y180" s="116" t="str">
        <f t="shared" si="74"/>
        <v/>
      </c>
      <c r="Z180" s="116" t="str">
        <f t="shared" si="75"/>
        <v/>
      </c>
      <c r="AA180" s="116" t="str">
        <f t="shared" si="76"/>
        <v/>
      </c>
      <c r="AB180" s="116" t="str">
        <f t="shared" si="77"/>
        <v/>
      </c>
      <c r="AC180" s="116" t="str">
        <f t="shared" si="78"/>
        <v/>
      </c>
      <c r="AD180" s="116" t="str">
        <f t="shared" si="79"/>
        <v/>
      </c>
      <c r="AE180" s="116" t="str">
        <f t="shared" si="80"/>
        <v/>
      </c>
      <c r="AF180" s="116" t="str">
        <f t="shared" si="81"/>
        <v>0-0</v>
      </c>
    </row>
    <row r="181" spans="1:32" x14ac:dyDescent="0.25">
      <c r="A181" s="113">
        <f>'Date Calcs'!A181</f>
        <v>0</v>
      </c>
      <c r="B181" s="113">
        <f>'Date Calcs'!B181</f>
        <v>0</v>
      </c>
      <c r="C181" s="114" t="str">
        <f>_xlfn.IFNA(_xlfn.IFNA(VLOOKUP(AF181,'[1]Schedule Not Certified'!$C:$F,3,0),VLOOKUP(AF181,[1]CERTIFIED!$C:$E,3,0)),"")</f>
        <v/>
      </c>
      <c r="D181" s="115">
        <v>0</v>
      </c>
      <c r="E181" s="115">
        <v>0</v>
      </c>
      <c r="F181" s="115">
        <v>0</v>
      </c>
      <c r="G181" s="115">
        <v>0</v>
      </c>
      <c r="H181" s="115">
        <v>0</v>
      </c>
      <c r="I181" s="114" t="str">
        <f t="shared" si="66"/>
        <v/>
      </c>
      <c r="J181" s="116" t="e">
        <f t="shared" si="86"/>
        <v>#VALUE!</v>
      </c>
      <c r="K181" s="116" t="e">
        <f t="shared" si="86"/>
        <v>#VALUE!</v>
      </c>
      <c r="L181" s="116" t="e">
        <f t="shared" si="86"/>
        <v>#VALUE!</v>
      </c>
      <c r="M181" s="116" t="e">
        <f t="shared" si="86"/>
        <v>#VALUE!</v>
      </c>
      <c r="N181" s="116" t="e">
        <f t="shared" si="86"/>
        <v>#VALUE!</v>
      </c>
      <c r="O181" s="116" t="str">
        <f t="shared" si="67"/>
        <v/>
      </c>
      <c r="P181" s="116" t="str">
        <f t="shared" si="68"/>
        <v/>
      </c>
      <c r="Q181" s="116" t="str">
        <f>IFERROR(VLOOKUP(A181,'Date Calcs'!A:C,3,0),"")</f>
        <v/>
      </c>
      <c r="R181" s="116" t="str">
        <f t="shared" si="69"/>
        <v/>
      </c>
      <c r="S181" s="117"/>
      <c r="T181" s="116" t="e">
        <f t="shared" si="70"/>
        <v>#VALUE!</v>
      </c>
      <c r="U181" s="116" t="e">
        <f t="shared" si="71"/>
        <v>#VALUE!</v>
      </c>
      <c r="V181" s="116" t="str">
        <f>IFERROR(IF(VLOOKUP(A181,'Actual Dates'!A:AE,21,0)&gt;"",VLOOKUP(A181,'Actual Dates'!A:AE,21,0),W181-$V$2),"")</f>
        <v/>
      </c>
      <c r="W181" s="116" t="str">
        <f t="shared" si="72"/>
        <v/>
      </c>
      <c r="X181" s="116" t="str">
        <f t="shared" si="73"/>
        <v/>
      </c>
      <c r="Y181" s="116" t="str">
        <f t="shared" si="74"/>
        <v/>
      </c>
      <c r="Z181" s="116" t="str">
        <f t="shared" si="75"/>
        <v/>
      </c>
      <c r="AA181" s="116" t="str">
        <f t="shared" si="76"/>
        <v/>
      </c>
      <c r="AB181" s="116" t="str">
        <f t="shared" si="77"/>
        <v/>
      </c>
      <c r="AC181" s="116" t="str">
        <f t="shared" si="78"/>
        <v/>
      </c>
      <c r="AD181" s="116" t="str">
        <f t="shared" si="79"/>
        <v/>
      </c>
      <c r="AE181" s="116" t="str">
        <f t="shared" si="80"/>
        <v/>
      </c>
      <c r="AF181" s="116" t="str">
        <f t="shared" si="81"/>
        <v>0-0</v>
      </c>
    </row>
    <row r="182" spans="1:32" x14ac:dyDescent="0.25">
      <c r="A182" s="113">
        <f>'Date Calcs'!A182</f>
        <v>0</v>
      </c>
      <c r="B182" s="113">
        <f>'Date Calcs'!B182</f>
        <v>0</v>
      </c>
      <c r="C182" s="114" t="str">
        <f>_xlfn.IFNA(_xlfn.IFNA(VLOOKUP(AF182,'[1]Schedule Not Certified'!$C:$F,3,0),VLOOKUP(AF182,[1]CERTIFIED!$C:$E,3,0)),"")</f>
        <v/>
      </c>
      <c r="D182" s="115">
        <v>0</v>
      </c>
      <c r="E182" s="115">
        <v>0</v>
      </c>
      <c r="F182" s="115">
        <v>0</v>
      </c>
      <c r="G182" s="115">
        <v>0</v>
      </c>
      <c r="H182" s="115">
        <v>0</v>
      </c>
      <c r="I182" s="114" t="str">
        <f t="shared" si="66"/>
        <v/>
      </c>
      <c r="J182" s="116" t="e">
        <f t="shared" si="86"/>
        <v>#VALUE!</v>
      </c>
      <c r="K182" s="116" t="e">
        <f t="shared" si="86"/>
        <v>#VALUE!</v>
      </c>
      <c r="L182" s="116" t="e">
        <f t="shared" si="86"/>
        <v>#VALUE!</v>
      </c>
      <c r="M182" s="116" t="e">
        <f t="shared" si="86"/>
        <v>#VALUE!</v>
      </c>
      <c r="N182" s="116" t="e">
        <f t="shared" si="86"/>
        <v>#VALUE!</v>
      </c>
      <c r="O182" s="116" t="str">
        <f t="shared" si="67"/>
        <v/>
      </c>
      <c r="P182" s="116" t="str">
        <f t="shared" si="68"/>
        <v/>
      </c>
      <c r="Q182" s="116" t="str">
        <f>IFERROR(VLOOKUP(A182,'Date Calcs'!A:C,3,0),"")</f>
        <v/>
      </c>
      <c r="R182" s="116" t="str">
        <f t="shared" si="69"/>
        <v/>
      </c>
      <c r="S182" s="117"/>
      <c r="T182" s="116" t="e">
        <f t="shared" si="70"/>
        <v>#VALUE!</v>
      </c>
      <c r="U182" s="116" t="e">
        <f t="shared" si="71"/>
        <v>#VALUE!</v>
      </c>
      <c r="V182" s="116" t="str">
        <f>IFERROR(IF(VLOOKUP(A182,'Actual Dates'!A:AE,21,0)&gt;"",VLOOKUP(A182,'Actual Dates'!A:AE,21,0),W182-$V$2),"")</f>
        <v/>
      </c>
      <c r="W182" s="116" t="str">
        <f t="shared" si="72"/>
        <v/>
      </c>
      <c r="X182" s="116" t="str">
        <f t="shared" si="73"/>
        <v/>
      </c>
      <c r="Y182" s="116" t="str">
        <f t="shared" si="74"/>
        <v/>
      </c>
      <c r="Z182" s="116" t="str">
        <f t="shared" si="75"/>
        <v/>
      </c>
      <c r="AA182" s="116" t="str">
        <f t="shared" si="76"/>
        <v/>
      </c>
      <c r="AB182" s="116" t="str">
        <f t="shared" si="77"/>
        <v/>
      </c>
      <c r="AC182" s="116" t="str">
        <f t="shared" si="78"/>
        <v/>
      </c>
      <c r="AD182" s="116" t="str">
        <f t="shared" si="79"/>
        <v/>
      </c>
      <c r="AE182" s="116" t="str">
        <f t="shared" si="80"/>
        <v/>
      </c>
      <c r="AF182" s="116" t="str">
        <f t="shared" si="81"/>
        <v>0-0</v>
      </c>
    </row>
    <row r="183" spans="1:32" x14ac:dyDescent="0.25">
      <c r="A183" s="113">
        <f>'Date Calcs'!A183</f>
        <v>0</v>
      </c>
      <c r="B183" s="113">
        <f>'Date Calcs'!B183</f>
        <v>0</v>
      </c>
      <c r="C183" s="114" t="str">
        <f>_xlfn.IFNA(_xlfn.IFNA(VLOOKUP(AF183,'[1]Schedule Not Certified'!$C:$F,3,0),VLOOKUP(AF183,[1]CERTIFIED!$C:$E,3,0)),"")</f>
        <v/>
      </c>
      <c r="D183" s="115">
        <v>0</v>
      </c>
      <c r="E183" s="115">
        <v>0</v>
      </c>
      <c r="F183" s="115">
        <v>0</v>
      </c>
      <c r="G183" s="115">
        <v>0</v>
      </c>
      <c r="H183" s="115">
        <v>0</v>
      </c>
      <c r="I183" s="114" t="str">
        <f t="shared" si="66"/>
        <v/>
      </c>
      <c r="J183" s="116" t="e">
        <f t="shared" si="86"/>
        <v>#VALUE!</v>
      </c>
      <c r="K183" s="116" t="e">
        <f t="shared" si="86"/>
        <v>#VALUE!</v>
      </c>
      <c r="L183" s="116" t="e">
        <f t="shared" si="86"/>
        <v>#VALUE!</v>
      </c>
      <c r="M183" s="116" t="e">
        <f t="shared" si="86"/>
        <v>#VALUE!</v>
      </c>
      <c r="N183" s="116" t="e">
        <f t="shared" si="86"/>
        <v>#VALUE!</v>
      </c>
      <c r="O183" s="116" t="str">
        <f t="shared" si="67"/>
        <v/>
      </c>
      <c r="P183" s="116" t="str">
        <f t="shared" si="68"/>
        <v/>
      </c>
      <c r="Q183" s="116" t="str">
        <f>IFERROR(VLOOKUP(A183,'Date Calcs'!A:C,3,0),"")</f>
        <v/>
      </c>
      <c r="R183" s="116" t="str">
        <f t="shared" si="69"/>
        <v/>
      </c>
      <c r="S183" s="117"/>
      <c r="T183" s="116" t="e">
        <f t="shared" si="70"/>
        <v>#VALUE!</v>
      </c>
      <c r="U183" s="116" t="e">
        <f t="shared" si="71"/>
        <v>#VALUE!</v>
      </c>
      <c r="V183" s="116" t="str">
        <f>IFERROR(IF(VLOOKUP(A183,'Actual Dates'!A:AE,21,0)&gt;"",VLOOKUP(A183,'Actual Dates'!A:AE,21,0),W183-$V$2),"")</f>
        <v/>
      </c>
      <c r="W183" s="116" t="str">
        <f t="shared" si="72"/>
        <v/>
      </c>
      <c r="X183" s="116" t="str">
        <f t="shared" si="73"/>
        <v/>
      </c>
      <c r="Y183" s="116" t="str">
        <f t="shared" si="74"/>
        <v/>
      </c>
      <c r="Z183" s="116" t="str">
        <f t="shared" si="75"/>
        <v/>
      </c>
      <c r="AA183" s="116" t="str">
        <f t="shared" si="76"/>
        <v/>
      </c>
      <c r="AB183" s="116" t="str">
        <f t="shared" si="77"/>
        <v/>
      </c>
      <c r="AC183" s="116" t="str">
        <f t="shared" si="78"/>
        <v/>
      </c>
      <c r="AD183" s="116" t="str">
        <f t="shared" si="79"/>
        <v/>
      </c>
      <c r="AE183" s="116" t="str">
        <f t="shared" si="80"/>
        <v/>
      </c>
      <c r="AF183" s="116" t="str">
        <f t="shared" si="81"/>
        <v>0-0</v>
      </c>
    </row>
    <row r="184" spans="1:32" x14ac:dyDescent="0.25">
      <c r="A184" s="113">
        <f>'Date Calcs'!A184</f>
        <v>0</v>
      </c>
      <c r="B184" s="113">
        <f>'Date Calcs'!B184</f>
        <v>0</v>
      </c>
      <c r="C184" s="114" t="str">
        <f>_xlfn.IFNA(_xlfn.IFNA(VLOOKUP(AF184,'[1]Schedule Not Certified'!$C:$F,3,0),VLOOKUP(AF184,[1]CERTIFIED!$C:$E,3,0)),"")</f>
        <v/>
      </c>
      <c r="D184" s="115">
        <v>0</v>
      </c>
      <c r="E184" s="115">
        <v>0</v>
      </c>
      <c r="F184" s="115">
        <v>0</v>
      </c>
      <c r="G184" s="115">
        <v>0</v>
      </c>
      <c r="H184" s="115">
        <v>0</v>
      </c>
      <c r="I184" s="114" t="str">
        <f t="shared" si="66"/>
        <v/>
      </c>
      <c r="J184" s="116" t="e">
        <f t="shared" si="86"/>
        <v>#VALUE!</v>
      </c>
      <c r="K184" s="116" t="e">
        <f t="shared" si="86"/>
        <v>#VALUE!</v>
      </c>
      <c r="L184" s="116" t="e">
        <f t="shared" si="86"/>
        <v>#VALUE!</v>
      </c>
      <c r="M184" s="116" t="e">
        <f t="shared" si="86"/>
        <v>#VALUE!</v>
      </c>
      <c r="N184" s="116" t="e">
        <f t="shared" si="86"/>
        <v>#VALUE!</v>
      </c>
      <c r="O184" s="116" t="str">
        <f t="shared" si="67"/>
        <v/>
      </c>
      <c r="P184" s="116" t="str">
        <f t="shared" si="68"/>
        <v/>
      </c>
      <c r="Q184" s="116" t="str">
        <f>IFERROR(VLOOKUP(A184,'Date Calcs'!A:C,3,0),"")</f>
        <v/>
      </c>
      <c r="R184" s="116" t="str">
        <f t="shared" si="69"/>
        <v/>
      </c>
      <c r="S184" s="117"/>
      <c r="T184" s="116" t="e">
        <f t="shared" si="70"/>
        <v>#VALUE!</v>
      </c>
      <c r="U184" s="116" t="e">
        <f t="shared" si="71"/>
        <v>#VALUE!</v>
      </c>
      <c r="V184" s="116" t="str">
        <f>IFERROR(IF(VLOOKUP(A184,'Actual Dates'!A:AE,21,0)&gt;"",VLOOKUP(A184,'Actual Dates'!A:AE,21,0),W184-$V$2),"")</f>
        <v/>
      </c>
      <c r="W184" s="116" t="str">
        <f t="shared" si="72"/>
        <v/>
      </c>
      <c r="X184" s="116" t="str">
        <f t="shared" si="73"/>
        <v/>
      </c>
      <c r="Y184" s="116" t="str">
        <f t="shared" si="74"/>
        <v/>
      </c>
      <c r="Z184" s="116" t="str">
        <f t="shared" si="75"/>
        <v/>
      </c>
      <c r="AA184" s="116" t="str">
        <f t="shared" si="76"/>
        <v/>
      </c>
      <c r="AB184" s="116" t="str">
        <f t="shared" si="77"/>
        <v/>
      </c>
      <c r="AC184" s="116" t="str">
        <f t="shared" si="78"/>
        <v/>
      </c>
      <c r="AD184" s="116" t="str">
        <f t="shared" si="79"/>
        <v/>
      </c>
      <c r="AE184" s="116" t="str">
        <f t="shared" si="80"/>
        <v/>
      </c>
      <c r="AF184" s="116" t="str">
        <f t="shared" si="81"/>
        <v>0-0</v>
      </c>
    </row>
    <row r="185" spans="1:32" x14ac:dyDescent="0.25">
      <c r="A185" s="113">
        <f>'Date Calcs'!A185</f>
        <v>0</v>
      </c>
      <c r="B185" s="113">
        <f>'Date Calcs'!B185</f>
        <v>0</v>
      </c>
      <c r="C185" s="114" t="str">
        <f>_xlfn.IFNA(_xlfn.IFNA(VLOOKUP(AF185,'[1]Schedule Not Certified'!$C:$F,3,0),VLOOKUP(AF185,[1]CERTIFIED!$C:$E,3,0)),"")</f>
        <v/>
      </c>
      <c r="D185" s="115">
        <v>0</v>
      </c>
      <c r="E185" s="115">
        <v>0</v>
      </c>
      <c r="F185" s="115">
        <v>0</v>
      </c>
      <c r="G185" s="115">
        <v>0</v>
      </c>
      <c r="H185" s="115">
        <v>0</v>
      </c>
      <c r="I185" s="114" t="str">
        <f t="shared" si="66"/>
        <v/>
      </c>
      <c r="J185" s="116" t="e">
        <f t="shared" ref="J185:N194" si="87">K185-J$2</f>
        <v>#VALUE!</v>
      </c>
      <c r="K185" s="116" t="e">
        <f t="shared" si="87"/>
        <v>#VALUE!</v>
      </c>
      <c r="L185" s="116" t="e">
        <f t="shared" si="87"/>
        <v>#VALUE!</v>
      </c>
      <c r="M185" s="116" t="e">
        <f t="shared" si="87"/>
        <v>#VALUE!</v>
      </c>
      <c r="N185" s="116" t="e">
        <f t="shared" si="87"/>
        <v>#VALUE!</v>
      </c>
      <c r="O185" s="116" t="str">
        <f t="shared" si="67"/>
        <v/>
      </c>
      <c r="P185" s="116" t="str">
        <f t="shared" si="68"/>
        <v/>
      </c>
      <c r="Q185" s="116" t="str">
        <f>IFERROR(VLOOKUP(A185,'Date Calcs'!A:C,3,0),"")</f>
        <v/>
      </c>
      <c r="R185" s="116" t="str">
        <f t="shared" si="69"/>
        <v/>
      </c>
      <c r="S185" s="117"/>
      <c r="T185" s="116" t="e">
        <f t="shared" si="70"/>
        <v>#VALUE!</v>
      </c>
      <c r="U185" s="116" t="e">
        <f t="shared" si="71"/>
        <v>#VALUE!</v>
      </c>
      <c r="V185" s="116" t="str">
        <f>IFERROR(IF(VLOOKUP(A185,'Actual Dates'!A:AE,21,0)&gt;"",VLOOKUP(A185,'Actual Dates'!A:AE,21,0),W185-$V$2),"")</f>
        <v/>
      </c>
      <c r="W185" s="116" t="str">
        <f t="shared" si="72"/>
        <v/>
      </c>
      <c r="X185" s="116" t="str">
        <f t="shared" si="73"/>
        <v/>
      </c>
      <c r="Y185" s="116" t="str">
        <f t="shared" si="74"/>
        <v/>
      </c>
      <c r="Z185" s="116" t="str">
        <f t="shared" si="75"/>
        <v/>
      </c>
      <c r="AA185" s="116" t="str">
        <f t="shared" si="76"/>
        <v/>
      </c>
      <c r="AB185" s="116" t="str">
        <f t="shared" si="77"/>
        <v/>
      </c>
      <c r="AC185" s="116" t="str">
        <f t="shared" si="78"/>
        <v/>
      </c>
      <c r="AD185" s="116" t="str">
        <f t="shared" si="79"/>
        <v/>
      </c>
      <c r="AE185" s="116" t="str">
        <f t="shared" si="80"/>
        <v/>
      </c>
      <c r="AF185" s="116" t="str">
        <f t="shared" si="81"/>
        <v>0-0</v>
      </c>
    </row>
    <row r="186" spans="1:32" x14ac:dyDescent="0.25">
      <c r="A186" s="113">
        <f>'Date Calcs'!A186</f>
        <v>0</v>
      </c>
      <c r="B186" s="113">
        <f>'Date Calcs'!B186</f>
        <v>0</v>
      </c>
      <c r="C186" s="114" t="str">
        <f>_xlfn.IFNA(_xlfn.IFNA(VLOOKUP(AF186,'[1]Schedule Not Certified'!$C:$F,3,0),VLOOKUP(AF186,[1]CERTIFIED!$C:$E,3,0)),"")</f>
        <v/>
      </c>
      <c r="D186" s="115">
        <v>0</v>
      </c>
      <c r="E186" s="115">
        <v>0</v>
      </c>
      <c r="F186" s="115">
        <v>0</v>
      </c>
      <c r="G186" s="115">
        <v>0</v>
      </c>
      <c r="H186" s="115">
        <v>0</v>
      </c>
      <c r="I186" s="114" t="str">
        <f t="shared" si="66"/>
        <v/>
      </c>
      <c r="J186" s="116" t="e">
        <f t="shared" si="87"/>
        <v>#VALUE!</v>
      </c>
      <c r="K186" s="116" t="e">
        <f t="shared" si="87"/>
        <v>#VALUE!</v>
      </c>
      <c r="L186" s="116" t="e">
        <f t="shared" si="87"/>
        <v>#VALUE!</v>
      </c>
      <c r="M186" s="116" t="e">
        <f t="shared" si="87"/>
        <v>#VALUE!</v>
      </c>
      <c r="N186" s="116" t="e">
        <f t="shared" si="87"/>
        <v>#VALUE!</v>
      </c>
      <c r="O186" s="116" t="str">
        <f t="shared" si="67"/>
        <v/>
      </c>
      <c r="P186" s="116" t="str">
        <f t="shared" si="68"/>
        <v/>
      </c>
      <c r="Q186" s="116" t="str">
        <f>IFERROR(VLOOKUP(A186,'Date Calcs'!A:C,3,0),"")</f>
        <v/>
      </c>
      <c r="R186" s="116" t="str">
        <f t="shared" si="69"/>
        <v/>
      </c>
      <c r="S186" s="117"/>
      <c r="T186" s="116" t="e">
        <f t="shared" si="70"/>
        <v>#VALUE!</v>
      </c>
      <c r="U186" s="116" t="e">
        <f t="shared" si="71"/>
        <v>#VALUE!</v>
      </c>
      <c r="V186" s="116" t="str">
        <f>IFERROR(IF(VLOOKUP(A186,'Actual Dates'!A:AE,21,0)&gt;"",VLOOKUP(A186,'Actual Dates'!A:AE,21,0),W186-$V$2),"")</f>
        <v/>
      </c>
      <c r="W186" s="116" t="str">
        <f t="shared" si="72"/>
        <v/>
      </c>
      <c r="X186" s="116" t="str">
        <f t="shared" si="73"/>
        <v/>
      </c>
      <c r="Y186" s="116" t="str">
        <f t="shared" si="74"/>
        <v/>
      </c>
      <c r="Z186" s="116" t="str">
        <f t="shared" si="75"/>
        <v/>
      </c>
      <c r="AA186" s="116" t="str">
        <f t="shared" si="76"/>
        <v/>
      </c>
      <c r="AB186" s="116" t="str">
        <f t="shared" si="77"/>
        <v/>
      </c>
      <c r="AC186" s="116" t="str">
        <f t="shared" si="78"/>
        <v/>
      </c>
      <c r="AD186" s="116" t="str">
        <f t="shared" si="79"/>
        <v/>
      </c>
      <c r="AE186" s="116" t="str">
        <f t="shared" si="80"/>
        <v/>
      </c>
      <c r="AF186" s="116" t="str">
        <f t="shared" si="81"/>
        <v>0-0</v>
      </c>
    </row>
    <row r="187" spans="1:32" x14ac:dyDescent="0.25">
      <c r="A187" s="113">
        <f>'Date Calcs'!A187</f>
        <v>0</v>
      </c>
      <c r="B187" s="113">
        <f>'Date Calcs'!B187</f>
        <v>0</v>
      </c>
      <c r="C187" s="114" t="str">
        <f>_xlfn.IFNA(_xlfn.IFNA(VLOOKUP(AF187,'[1]Schedule Not Certified'!$C:$F,3,0),VLOOKUP(AF187,[1]CERTIFIED!$C:$E,3,0)),"")</f>
        <v/>
      </c>
      <c r="D187" s="115">
        <v>0</v>
      </c>
      <c r="E187" s="115">
        <v>0</v>
      </c>
      <c r="F187" s="115">
        <v>0</v>
      </c>
      <c r="G187" s="115">
        <v>0</v>
      </c>
      <c r="H187" s="115">
        <v>0</v>
      </c>
      <c r="I187" s="114" t="str">
        <f t="shared" si="66"/>
        <v/>
      </c>
      <c r="J187" s="116" t="e">
        <f t="shared" si="87"/>
        <v>#VALUE!</v>
      </c>
      <c r="K187" s="116" t="e">
        <f t="shared" si="87"/>
        <v>#VALUE!</v>
      </c>
      <c r="L187" s="116" t="e">
        <f t="shared" si="87"/>
        <v>#VALUE!</v>
      </c>
      <c r="M187" s="116" t="e">
        <f t="shared" si="87"/>
        <v>#VALUE!</v>
      </c>
      <c r="N187" s="116" t="e">
        <f t="shared" si="87"/>
        <v>#VALUE!</v>
      </c>
      <c r="O187" s="116" t="str">
        <f t="shared" si="67"/>
        <v/>
      </c>
      <c r="P187" s="116" t="str">
        <f t="shared" si="68"/>
        <v/>
      </c>
      <c r="Q187" s="116" t="str">
        <f>IFERROR(VLOOKUP(A187,'Date Calcs'!A:C,3,0),"")</f>
        <v/>
      </c>
      <c r="R187" s="116" t="str">
        <f t="shared" si="69"/>
        <v/>
      </c>
      <c r="S187" s="117"/>
      <c r="T187" s="116" t="e">
        <f t="shared" si="70"/>
        <v>#VALUE!</v>
      </c>
      <c r="U187" s="116" t="e">
        <f t="shared" si="71"/>
        <v>#VALUE!</v>
      </c>
      <c r="V187" s="116" t="str">
        <f>IFERROR(IF(VLOOKUP(A187,'Actual Dates'!A:AE,21,0)&gt;"",VLOOKUP(A187,'Actual Dates'!A:AE,21,0),W187-$V$2),"")</f>
        <v/>
      </c>
      <c r="W187" s="116" t="str">
        <f t="shared" si="72"/>
        <v/>
      </c>
      <c r="X187" s="116" t="str">
        <f t="shared" si="73"/>
        <v/>
      </c>
      <c r="Y187" s="116" t="str">
        <f t="shared" si="74"/>
        <v/>
      </c>
      <c r="Z187" s="116" t="str">
        <f t="shared" si="75"/>
        <v/>
      </c>
      <c r="AA187" s="116" t="str">
        <f t="shared" si="76"/>
        <v/>
      </c>
      <c r="AB187" s="116" t="str">
        <f t="shared" si="77"/>
        <v/>
      </c>
      <c r="AC187" s="116" t="str">
        <f t="shared" si="78"/>
        <v/>
      </c>
      <c r="AD187" s="116" t="str">
        <f t="shared" si="79"/>
        <v/>
      </c>
      <c r="AE187" s="116" t="str">
        <f t="shared" si="80"/>
        <v/>
      </c>
      <c r="AF187" s="116" t="str">
        <f t="shared" si="81"/>
        <v>0-0</v>
      </c>
    </row>
    <row r="188" spans="1:32" x14ac:dyDescent="0.25">
      <c r="A188" s="113">
        <f>'Date Calcs'!A188</f>
        <v>0</v>
      </c>
      <c r="B188" s="113">
        <f>'Date Calcs'!B188</f>
        <v>0</v>
      </c>
      <c r="C188" s="114" t="str">
        <f>_xlfn.IFNA(_xlfn.IFNA(VLOOKUP(AF188,'[1]Schedule Not Certified'!$C:$F,3,0),VLOOKUP(AF188,[1]CERTIFIED!$C:$E,3,0)),"")</f>
        <v/>
      </c>
      <c r="D188" s="115">
        <v>0</v>
      </c>
      <c r="E188" s="115">
        <v>0</v>
      </c>
      <c r="F188" s="115">
        <v>0</v>
      </c>
      <c r="G188" s="115">
        <v>0</v>
      </c>
      <c r="H188" s="115">
        <v>0</v>
      </c>
      <c r="I188" s="114" t="str">
        <f t="shared" si="66"/>
        <v/>
      </c>
      <c r="J188" s="116" t="e">
        <f t="shared" si="87"/>
        <v>#VALUE!</v>
      </c>
      <c r="K188" s="116" t="e">
        <f t="shared" si="87"/>
        <v>#VALUE!</v>
      </c>
      <c r="L188" s="116" t="e">
        <f t="shared" si="87"/>
        <v>#VALUE!</v>
      </c>
      <c r="M188" s="116" t="e">
        <f t="shared" si="87"/>
        <v>#VALUE!</v>
      </c>
      <c r="N188" s="116" t="e">
        <f t="shared" si="87"/>
        <v>#VALUE!</v>
      </c>
      <c r="O188" s="116" t="str">
        <f t="shared" si="67"/>
        <v/>
      </c>
      <c r="P188" s="116" t="str">
        <f t="shared" si="68"/>
        <v/>
      </c>
      <c r="Q188" s="116" t="str">
        <f>IFERROR(VLOOKUP(A188,'Date Calcs'!A:C,3,0),"")</f>
        <v/>
      </c>
      <c r="R188" s="116" t="str">
        <f t="shared" si="69"/>
        <v/>
      </c>
      <c r="S188" s="117"/>
      <c r="T188" s="116" t="e">
        <f t="shared" si="70"/>
        <v>#VALUE!</v>
      </c>
      <c r="U188" s="116" t="e">
        <f t="shared" si="71"/>
        <v>#VALUE!</v>
      </c>
      <c r="V188" s="116" t="str">
        <f>IFERROR(IF(VLOOKUP(A188,'Actual Dates'!A:AE,21,0)&gt;"",VLOOKUP(A188,'Actual Dates'!A:AE,21,0),W188-$V$2),"")</f>
        <v/>
      </c>
      <c r="W188" s="116" t="str">
        <f t="shared" si="72"/>
        <v/>
      </c>
      <c r="X188" s="116" t="str">
        <f t="shared" si="73"/>
        <v/>
      </c>
      <c r="Y188" s="116" t="str">
        <f t="shared" si="74"/>
        <v/>
      </c>
      <c r="Z188" s="116" t="str">
        <f t="shared" si="75"/>
        <v/>
      </c>
      <c r="AA188" s="116" t="str">
        <f t="shared" si="76"/>
        <v/>
      </c>
      <c r="AB188" s="116" t="str">
        <f t="shared" si="77"/>
        <v/>
      </c>
      <c r="AC188" s="116" t="str">
        <f t="shared" si="78"/>
        <v/>
      </c>
      <c r="AD188" s="116" t="str">
        <f t="shared" si="79"/>
        <v/>
      </c>
      <c r="AE188" s="116" t="str">
        <f t="shared" si="80"/>
        <v/>
      </c>
      <c r="AF188" s="116" t="str">
        <f t="shared" si="81"/>
        <v>0-0</v>
      </c>
    </row>
    <row r="189" spans="1:32" x14ac:dyDescent="0.25">
      <c r="A189" s="113">
        <f>'Date Calcs'!A189</f>
        <v>0</v>
      </c>
      <c r="B189" s="113">
        <f>'Date Calcs'!B189</f>
        <v>0</v>
      </c>
      <c r="C189" s="114" t="str">
        <f>_xlfn.IFNA(_xlfn.IFNA(VLOOKUP(AF189,'[1]Schedule Not Certified'!$C:$F,3,0),VLOOKUP(AF189,[1]CERTIFIED!$C:$E,3,0)),"")</f>
        <v/>
      </c>
      <c r="D189" s="115">
        <v>0</v>
      </c>
      <c r="E189" s="115">
        <v>0</v>
      </c>
      <c r="F189" s="115">
        <v>0</v>
      </c>
      <c r="G189" s="115">
        <v>0</v>
      </c>
      <c r="H189" s="115">
        <v>0</v>
      </c>
      <c r="I189" s="114" t="str">
        <f t="shared" si="66"/>
        <v/>
      </c>
      <c r="J189" s="116" t="e">
        <f t="shared" si="87"/>
        <v>#VALUE!</v>
      </c>
      <c r="K189" s="116" t="e">
        <f t="shared" si="87"/>
        <v>#VALUE!</v>
      </c>
      <c r="L189" s="116" t="e">
        <f t="shared" si="87"/>
        <v>#VALUE!</v>
      </c>
      <c r="M189" s="116" t="e">
        <f t="shared" si="87"/>
        <v>#VALUE!</v>
      </c>
      <c r="N189" s="116" t="e">
        <f t="shared" si="87"/>
        <v>#VALUE!</v>
      </c>
      <c r="O189" s="116" t="str">
        <f t="shared" si="67"/>
        <v/>
      </c>
      <c r="P189" s="116" t="str">
        <f t="shared" si="68"/>
        <v/>
      </c>
      <c r="Q189" s="116" t="str">
        <f>IFERROR(VLOOKUP(A189,'Date Calcs'!A:C,3,0),"")</f>
        <v/>
      </c>
      <c r="R189" s="116" t="str">
        <f t="shared" si="69"/>
        <v/>
      </c>
      <c r="S189" s="117"/>
      <c r="T189" s="116" t="e">
        <f t="shared" si="70"/>
        <v>#VALUE!</v>
      </c>
      <c r="U189" s="116" t="e">
        <f t="shared" si="71"/>
        <v>#VALUE!</v>
      </c>
      <c r="V189" s="116" t="str">
        <f>IFERROR(IF(VLOOKUP(A189,'Actual Dates'!A:AE,21,0)&gt;"",VLOOKUP(A189,'Actual Dates'!A:AE,21,0),W189-$V$2),"")</f>
        <v/>
      </c>
      <c r="W189" s="116" t="str">
        <f t="shared" si="72"/>
        <v/>
      </c>
      <c r="X189" s="116" t="str">
        <f t="shared" si="73"/>
        <v/>
      </c>
      <c r="Y189" s="116" t="str">
        <f t="shared" si="74"/>
        <v/>
      </c>
      <c r="Z189" s="116" t="str">
        <f t="shared" si="75"/>
        <v/>
      </c>
      <c r="AA189" s="116" t="str">
        <f t="shared" si="76"/>
        <v/>
      </c>
      <c r="AB189" s="116" t="str">
        <f t="shared" si="77"/>
        <v/>
      </c>
      <c r="AC189" s="116" t="str">
        <f t="shared" si="78"/>
        <v/>
      </c>
      <c r="AD189" s="116" t="str">
        <f t="shared" si="79"/>
        <v/>
      </c>
      <c r="AE189" s="116" t="str">
        <f t="shared" si="80"/>
        <v/>
      </c>
      <c r="AF189" s="116" t="str">
        <f t="shared" si="81"/>
        <v>0-0</v>
      </c>
    </row>
    <row r="190" spans="1:32" x14ac:dyDescent="0.25">
      <c r="A190" s="113">
        <f>'Date Calcs'!A190</f>
        <v>0</v>
      </c>
      <c r="B190" s="113">
        <f>'Date Calcs'!B190</f>
        <v>0</v>
      </c>
      <c r="C190" s="114" t="str">
        <f>_xlfn.IFNA(_xlfn.IFNA(VLOOKUP(AF190,'[1]Schedule Not Certified'!$C:$F,3,0),VLOOKUP(AF190,[1]CERTIFIED!$C:$E,3,0)),"")</f>
        <v/>
      </c>
      <c r="D190" s="115">
        <v>0</v>
      </c>
      <c r="E190" s="115">
        <v>0</v>
      </c>
      <c r="F190" s="115">
        <v>0</v>
      </c>
      <c r="G190" s="115">
        <v>0</v>
      </c>
      <c r="H190" s="115">
        <v>0</v>
      </c>
      <c r="I190" s="114" t="str">
        <f t="shared" si="66"/>
        <v/>
      </c>
      <c r="J190" s="116" t="e">
        <f t="shared" si="87"/>
        <v>#VALUE!</v>
      </c>
      <c r="K190" s="116" t="e">
        <f t="shared" si="87"/>
        <v>#VALUE!</v>
      </c>
      <c r="L190" s="116" t="e">
        <f t="shared" si="87"/>
        <v>#VALUE!</v>
      </c>
      <c r="M190" s="116" t="e">
        <f t="shared" si="87"/>
        <v>#VALUE!</v>
      </c>
      <c r="N190" s="116" t="e">
        <f t="shared" si="87"/>
        <v>#VALUE!</v>
      </c>
      <c r="O190" s="116" t="str">
        <f t="shared" si="67"/>
        <v/>
      </c>
      <c r="P190" s="116" t="str">
        <f t="shared" si="68"/>
        <v/>
      </c>
      <c r="Q190" s="116" t="str">
        <f>IFERROR(VLOOKUP(A190,'Date Calcs'!A:C,3,0),"")</f>
        <v/>
      </c>
      <c r="R190" s="116" t="str">
        <f t="shared" si="69"/>
        <v/>
      </c>
      <c r="S190" s="117"/>
      <c r="T190" s="116" t="e">
        <f t="shared" si="70"/>
        <v>#VALUE!</v>
      </c>
      <c r="U190" s="116" t="e">
        <f t="shared" si="71"/>
        <v>#VALUE!</v>
      </c>
      <c r="V190" s="116" t="str">
        <f>IFERROR(IF(VLOOKUP(A190,'Actual Dates'!A:AE,21,0)&gt;"",VLOOKUP(A190,'Actual Dates'!A:AE,21,0),W190-$V$2),"")</f>
        <v/>
      </c>
      <c r="W190" s="116" t="str">
        <f t="shared" si="72"/>
        <v/>
      </c>
      <c r="X190" s="116" t="str">
        <f t="shared" si="73"/>
        <v/>
      </c>
      <c r="Y190" s="116" t="str">
        <f t="shared" si="74"/>
        <v/>
      </c>
      <c r="Z190" s="116" t="str">
        <f t="shared" si="75"/>
        <v/>
      </c>
      <c r="AA190" s="116" t="str">
        <f t="shared" si="76"/>
        <v/>
      </c>
      <c r="AB190" s="116" t="str">
        <f t="shared" si="77"/>
        <v/>
      </c>
      <c r="AC190" s="116" t="str">
        <f t="shared" si="78"/>
        <v/>
      </c>
      <c r="AD190" s="116" t="str">
        <f t="shared" si="79"/>
        <v/>
      </c>
      <c r="AE190" s="116" t="str">
        <f t="shared" si="80"/>
        <v/>
      </c>
      <c r="AF190" s="116" t="str">
        <f t="shared" si="81"/>
        <v>0-0</v>
      </c>
    </row>
    <row r="191" spans="1:32" x14ac:dyDescent="0.25">
      <c r="A191" s="113">
        <f>'Date Calcs'!A191</f>
        <v>0</v>
      </c>
      <c r="B191" s="113">
        <f>'Date Calcs'!B191</f>
        <v>0</v>
      </c>
      <c r="C191" s="114" t="str">
        <f>_xlfn.IFNA(_xlfn.IFNA(VLOOKUP(AF191,'[1]Schedule Not Certified'!$C:$F,3,0),VLOOKUP(AF191,[1]CERTIFIED!$C:$E,3,0)),"")</f>
        <v/>
      </c>
      <c r="D191" s="115">
        <v>0</v>
      </c>
      <c r="E191" s="115">
        <v>0</v>
      </c>
      <c r="F191" s="115">
        <v>0</v>
      </c>
      <c r="G191" s="115">
        <v>0</v>
      </c>
      <c r="H191" s="115">
        <v>0</v>
      </c>
      <c r="I191" s="114" t="str">
        <f t="shared" si="66"/>
        <v/>
      </c>
      <c r="J191" s="116" t="e">
        <f t="shared" si="87"/>
        <v>#VALUE!</v>
      </c>
      <c r="K191" s="116" t="e">
        <f t="shared" si="87"/>
        <v>#VALUE!</v>
      </c>
      <c r="L191" s="116" t="e">
        <f t="shared" si="87"/>
        <v>#VALUE!</v>
      </c>
      <c r="M191" s="116" t="e">
        <f t="shared" si="87"/>
        <v>#VALUE!</v>
      </c>
      <c r="N191" s="116" t="e">
        <f t="shared" si="87"/>
        <v>#VALUE!</v>
      </c>
      <c r="O191" s="116" t="str">
        <f t="shared" si="67"/>
        <v/>
      </c>
      <c r="P191" s="116" t="str">
        <f t="shared" si="68"/>
        <v/>
      </c>
      <c r="Q191" s="116" t="str">
        <f>IFERROR(VLOOKUP(A191,'Date Calcs'!A:C,3,0),"")</f>
        <v/>
      </c>
      <c r="R191" s="116" t="str">
        <f t="shared" si="69"/>
        <v/>
      </c>
      <c r="S191" s="117"/>
      <c r="T191" s="116" t="e">
        <f t="shared" si="70"/>
        <v>#VALUE!</v>
      </c>
      <c r="U191" s="116" t="e">
        <f t="shared" si="71"/>
        <v>#VALUE!</v>
      </c>
      <c r="V191" s="116" t="str">
        <f>IFERROR(IF(VLOOKUP(A191,'Actual Dates'!A:AE,21,0)&gt;"",VLOOKUP(A191,'Actual Dates'!A:AE,21,0),W191-$V$2),"")</f>
        <v/>
      </c>
      <c r="W191" s="116" t="str">
        <f t="shared" si="72"/>
        <v/>
      </c>
      <c r="X191" s="116" t="str">
        <f t="shared" si="73"/>
        <v/>
      </c>
      <c r="Y191" s="116" t="str">
        <f t="shared" si="74"/>
        <v/>
      </c>
      <c r="Z191" s="116" t="str">
        <f t="shared" si="75"/>
        <v/>
      </c>
      <c r="AA191" s="116" t="str">
        <f t="shared" si="76"/>
        <v/>
      </c>
      <c r="AB191" s="116" t="str">
        <f t="shared" si="77"/>
        <v/>
      </c>
      <c r="AC191" s="116" t="str">
        <f t="shared" si="78"/>
        <v/>
      </c>
      <c r="AD191" s="116" t="str">
        <f t="shared" si="79"/>
        <v/>
      </c>
      <c r="AE191" s="116" t="str">
        <f t="shared" si="80"/>
        <v/>
      </c>
      <c r="AF191" s="116" t="str">
        <f t="shared" si="81"/>
        <v>0-0</v>
      </c>
    </row>
    <row r="192" spans="1:32" x14ac:dyDescent="0.25">
      <c r="A192" s="113">
        <f>'Date Calcs'!A192</f>
        <v>0</v>
      </c>
      <c r="B192" s="113">
        <f>'Date Calcs'!B192</f>
        <v>0</v>
      </c>
      <c r="C192" s="114" t="str">
        <f>_xlfn.IFNA(_xlfn.IFNA(VLOOKUP(AF192,'[1]Schedule Not Certified'!$C:$F,3,0),VLOOKUP(AF192,[1]CERTIFIED!$C:$E,3,0)),"")</f>
        <v/>
      </c>
      <c r="D192" s="115">
        <v>0</v>
      </c>
      <c r="E192" s="115">
        <v>0</v>
      </c>
      <c r="F192" s="115">
        <v>0</v>
      </c>
      <c r="G192" s="115">
        <v>0</v>
      </c>
      <c r="H192" s="115">
        <v>0</v>
      </c>
      <c r="I192" s="114" t="str">
        <f t="shared" si="66"/>
        <v/>
      </c>
      <c r="J192" s="116" t="e">
        <f t="shared" si="87"/>
        <v>#VALUE!</v>
      </c>
      <c r="K192" s="116" t="e">
        <f t="shared" si="87"/>
        <v>#VALUE!</v>
      </c>
      <c r="L192" s="116" t="e">
        <f t="shared" si="87"/>
        <v>#VALUE!</v>
      </c>
      <c r="M192" s="116" t="e">
        <f t="shared" si="87"/>
        <v>#VALUE!</v>
      </c>
      <c r="N192" s="116" t="e">
        <f t="shared" si="87"/>
        <v>#VALUE!</v>
      </c>
      <c r="O192" s="116" t="str">
        <f t="shared" si="67"/>
        <v/>
      </c>
      <c r="P192" s="116" t="str">
        <f t="shared" si="68"/>
        <v/>
      </c>
      <c r="Q192" s="116" t="str">
        <f>IFERROR(VLOOKUP(A192,'Date Calcs'!A:C,3,0),"")</f>
        <v/>
      </c>
      <c r="R192" s="116" t="str">
        <f t="shared" si="69"/>
        <v/>
      </c>
      <c r="S192" s="117"/>
      <c r="T192" s="116" t="e">
        <f t="shared" si="70"/>
        <v>#VALUE!</v>
      </c>
      <c r="U192" s="116" t="e">
        <f t="shared" si="71"/>
        <v>#VALUE!</v>
      </c>
      <c r="V192" s="116" t="str">
        <f>IFERROR(IF(VLOOKUP(A192,'Actual Dates'!A:AE,21,0)&gt;"",VLOOKUP(A192,'Actual Dates'!A:AE,21,0),W192-$V$2),"")</f>
        <v/>
      </c>
      <c r="W192" s="116" t="str">
        <f t="shared" si="72"/>
        <v/>
      </c>
      <c r="X192" s="116" t="str">
        <f t="shared" si="73"/>
        <v/>
      </c>
      <c r="Y192" s="116" t="str">
        <f t="shared" si="74"/>
        <v/>
      </c>
      <c r="Z192" s="116" t="str">
        <f t="shared" si="75"/>
        <v/>
      </c>
      <c r="AA192" s="116" t="str">
        <f t="shared" si="76"/>
        <v/>
      </c>
      <c r="AB192" s="116" t="str">
        <f t="shared" si="77"/>
        <v/>
      </c>
      <c r="AC192" s="116" t="str">
        <f t="shared" si="78"/>
        <v/>
      </c>
      <c r="AD192" s="116" t="str">
        <f t="shared" si="79"/>
        <v/>
      </c>
      <c r="AE192" s="116" t="str">
        <f t="shared" si="80"/>
        <v/>
      </c>
      <c r="AF192" s="116" t="str">
        <f t="shared" si="81"/>
        <v>0-0</v>
      </c>
    </row>
    <row r="193" spans="1:32" x14ac:dyDescent="0.25">
      <c r="A193" s="113">
        <f>'Date Calcs'!A193</f>
        <v>0</v>
      </c>
      <c r="B193" s="113">
        <f>'Date Calcs'!B193</f>
        <v>0</v>
      </c>
      <c r="C193" s="114" t="str">
        <f>_xlfn.IFNA(_xlfn.IFNA(VLOOKUP(AF193,'[1]Schedule Not Certified'!$C:$F,3,0),VLOOKUP(AF193,[1]CERTIFIED!$C:$E,3,0)),"")</f>
        <v/>
      </c>
      <c r="D193" s="115">
        <v>0</v>
      </c>
      <c r="E193" s="115">
        <v>0</v>
      </c>
      <c r="F193" s="115">
        <v>0</v>
      </c>
      <c r="G193" s="115">
        <v>0</v>
      </c>
      <c r="H193" s="115">
        <v>0</v>
      </c>
      <c r="I193" s="114" t="str">
        <f t="shared" si="66"/>
        <v/>
      </c>
      <c r="J193" s="116" t="e">
        <f t="shared" si="87"/>
        <v>#VALUE!</v>
      </c>
      <c r="K193" s="116" t="e">
        <f t="shared" si="87"/>
        <v>#VALUE!</v>
      </c>
      <c r="L193" s="116" t="e">
        <f t="shared" si="87"/>
        <v>#VALUE!</v>
      </c>
      <c r="M193" s="116" t="e">
        <f t="shared" si="87"/>
        <v>#VALUE!</v>
      </c>
      <c r="N193" s="116" t="e">
        <f t="shared" si="87"/>
        <v>#VALUE!</v>
      </c>
      <c r="O193" s="116" t="str">
        <f t="shared" si="67"/>
        <v/>
      </c>
      <c r="P193" s="116" t="str">
        <f t="shared" si="68"/>
        <v/>
      </c>
      <c r="Q193" s="116" t="str">
        <f>IFERROR(VLOOKUP(A193,'Date Calcs'!A:C,3,0),"")</f>
        <v/>
      </c>
      <c r="R193" s="116" t="str">
        <f t="shared" si="69"/>
        <v/>
      </c>
      <c r="S193" s="117"/>
      <c r="T193" s="116" t="e">
        <f t="shared" si="70"/>
        <v>#VALUE!</v>
      </c>
      <c r="U193" s="116" t="e">
        <f t="shared" si="71"/>
        <v>#VALUE!</v>
      </c>
      <c r="V193" s="116" t="str">
        <f>IFERROR(IF(VLOOKUP(A193,'Actual Dates'!A:AE,21,0)&gt;"",VLOOKUP(A193,'Actual Dates'!A:AE,21,0),W193-$V$2),"")</f>
        <v/>
      </c>
      <c r="W193" s="116" t="str">
        <f t="shared" si="72"/>
        <v/>
      </c>
      <c r="X193" s="116" t="str">
        <f t="shared" si="73"/>
        <v/>
      </c>
      <c r="Y193" s="116" t="str">
        <f t="shared" si="74"/>
        <v/>
      </c>
      <c r="Z193" s="116" t="str">
        <f t="shared" si="75"/>
        <v/>
      </c>
      <c r="AA193" s="116" t="str">
        <f t="shared" si="76"/>
        <v/>
      </c>
      <c r="AB193" s="116" t="str">
        <f t="shared" si="77"/>
        <v/>
      </c>
      <c r="AC193" s="116" t="str">
        <f t="shared" si="78"/>
        <v/>
      </c>
      <c r="AD193" s="116" t="str">
        <f t="shared" si="79"/>
        <v/>
      </c>
      <c r="AE193" s="116" t="str">
        <f t="shared" si="80"/>
        <v/>
      </c>
      <c r="AF193" s="116" t="str">
        <f t="shared" si="81"/>
        <v>0-0</v>
      </c>
    </row>
    <row r="194" spans="1:32" x14ac:dyDescent="0.25">
      <c r="A194" s="113">
        <f>'Date Calcs'!A194</f>
        <v>0</v>
      </c>
      <c r="B194" s="113">
        <f>'Date Calcs'!B194</f>
        <v>0</v>
      </c>
      <c r="C194" s="114" t="str">
        <f>_xlfn.IFNA(_xlfn.IFNA(VLOOKUP(AF194,'[1]Schedule Not Certified'!$C:$F,3,0),VLOOKUP(AF194,[1]CERTIFIED!$C:$E,3,0)),"")</f>
        <v/>
      </c>
      <c r="D194" s="115">
        <v>0</v>
      </c>
      <c r="E194" s="115">
        <v>0</v>
      </c>
      <c r="F194" s="115">
        <v>0</v>
      </c>
      <c r="G194" s="115">
        <v>0</v>
      </c>
      <c r="H194" s="115">
        <v>0</v>
      </c>
      <c r="I194" s="114" t="str">
        <f t="shared" si="66"/>
        <v/>
      </c>
      <c r="J194" s="116" t="e">
        <f t="shared" si="87"/>
        <v>#VALUE!</v>
      </c>
      <c r="K194" s="116" t="e">
        <f t="shared" si="87"/>
        <v>#VALUE!</v>
      </c>
      <c r="L194" s="116" t="e">
        <f t="shared" si="87"/>
        <v>#VALUE!</v>
      </c>
      <c r="M194" s="116" t="e">
        <f t="shared" si="87"/>
        <v>#VALUE!</v>
      </c>
      <c r="N194" s="116" t="e">
        <f t="shared" si="87"/>
        <v>#VALUE!</v>
      </c>
      <c r="O194" s="116" t="str">
        <f t="shared" si="67"/>
        <v/>
      </c>
      <c r="P194" s="116" t="str">
        <f t="shared" si="68"/>
        <v/>
      </c>
      <c r="Q194" s="116" t="str">
        <f>IFERROR(VLOOKUP(A194,'Date Calcs'!A:C,3,0),"")</f>
        <v/>
      </c>
      <c r="R194" s="116" t="str">
        <f t="shared" si="69"/>
        <v/>
      </c>
      <c r="S194" s="117"/>
      <c r="T194" s="116" t="e">
        <f t="shared" si="70"/>
        <v>#VALUE!</v>
      </c>
      <c r="U194" s="116" t="e">
        <f t="shared" si="71"/>
        <v>#VALUE!</v>
      </c>
      <c r="V194" s="116" t="str">
        <f>IFERROR(IF(VLOOKUP(A194,'Actual Dates'!A:AE,21,0)&gt;"",VLOOKUP(A194,'Actual Dates'!A:AE,21,0),W194-$V$2),"")</f>
        <v/>
      </c>
      <c r="W194" s="116" t="str">
        <f t="shared" si="72"/>
        <v/>
      </c>
      <c r="X194" s="116" t="str">
        <f t="shared" si="73"/>
        <v/>
      </c>
      <c r="Y194" s="116" t="str">
        <f t="shared" si="74"/>
        <v/>
      </c>
      <c r="Z194" s="116" t="str">
        <f t="shared" si="75"/>
        <v/>
      </c>
      <c r="AA194" s="116" t="str">
        <f t="shared" si="76"/>
        <v/>
      </c>
      <c r="AB194" s="116" t="str">
        <f t="shared" si="77"/>
        <v/>
      </c>
      <c r="AC194" s="116" t="str">
        <f t="shared" si="78"/>
        <v/>
      </c>
      <c r="AD194" s="116" t="str">
        <f t="shared" si="79"/>
        <v/>
      </c>
      <c r="AE194" s="116" t="str">
        <f t="shared" si="80"/>
        <v/>
      </c>
      <c r="AF194" s="116" t="str">
        <f t="shared" si="81"/>
        <v>0-0</v>
      </c>
    </row>
    <row r="195" spans="1:32" x14ac:dyDescent="0.25">
      <c r="A195" s="113">
        <f>'Date Calcs'!A195</f>
        <v>0</v>
      </c>
      <c r="B195" s="113">
        <f>'Date Calcs'!B195</f>
        <v>0</v>
      </c>
      <c r="C195" s="114" t="str">
        <f>_xlfn.IFNA(_xlfn.IFNA(VLOOKUP(AF195,'[1]Schedule Not Certified'!$C:$F,3,0),VLOOKUP(AF195,[1]CERTIFIED!$C:$E,3,0)),"")</f>
        <v/>
      </c>
      <c r="D195" s="115">
        <v>0</v>
      </c>
      <c r="E195" s="115">
        <v>0</v>
      </c>
      <c r="F195" s="115">
        <v>0</v>
      </c>
      <c r="G195" s="115">
        <v>0</v>
      </c>
      <c r="H195" s="115">
        <v>0</v>
      </c>
      <c r="I195" s="114" t="str">
        <f t="shared" si="66"/>
        <v/>
      </c>
      <c r="J195" s="116" t="e">
        <f t="shared" ref="J195:N204" si="88">K195-J$2</f>
        <v>#VALUE!</v>
      </c>
      <c r="K195" s="116" t="e">
        <f t="shared" si="88"/>
        <v>#VALUE!</v>
      </c>
      <c r="L195" s="116" t="e">
        <f t="shared" si="88"/>
        <v>#VALUE!</v>
      </c>
      <c r="M195" s="116" t="e">
        <f t="shared" si="88"/>
        <v>#VALUE!</v>
      </c>
      <c r="N195" s="116" t="e">
        <f t="shared" si="88"/>
        <v>#VALUE!</v>
      </c>
      <c r="O195" s="116" t="str">
        <f t="shared" si="67"/>
        <v/>
      </c>
      <c r="P195" s="116" t="str">
        <f t="shared" si="68"/>
        <v/>
      </c>
      <c r="Q195" s="116" t="str">
        <f>IFERROR(VLOOKUP(A195,'Date Calcs'!A:C,3,0),"")</f>
        <v/>
      </c>
      <c r="R195" s="116" t="str">
        <f t="shared" si="69"/>
        <v/>
      </c>
      <c r="S195" s="117"/>
      <c r="T195" s="116" t="e">
        <f t="shared" si="70"/>
        <v>#VALUE!</v>
      </c>
      <c r="U195" s="116" t="e">
        <f t="shared" si="71"/>
        <v>#VALUE!</v>
      </c>
      <c r="V195" s="116" t="str">
        <f>IFERROR(IF(VLOOKUP(A195,'Actual Dates'!A:AE,21,0)&gt;"",VLOOKUP(A195,'Actual Dates'!A:AE,21,0),W195-$V$2),"")</f>
        <v/>
      </c>
      <c r="W195" s="116" t="str">
        <f t="shared" si="72"/>
        <v/>
      </c>
      <c r="X195" s="116" t="str">
        <f t="shared" si="73"/>
        <v/>
      </c>
      <c r="Y195" s="116" t="str">
        <f t="shared" si="74"/>
        <v/>
      </c>
      <c r="Z195" s="116" t="str">
        <f t="shared" si="75"/>
        <v/>
      </c>
      <c r="AA195" s="116" t="str">
        <f t="shared" si="76"/>
        <v/>
      </c>
      <c r="AB195" s="116" t="str">
        <f t="shared" si="77"/>
        <v/>
      </c>
      <c r="AC195" s="116" t="str">
        <f t="shared" si="78"/>
        <v/>
      </c>
      <c r="AD195" s="116" t="str">
        <f t="shared" si="79"/>
        <v/>
      </c>
      <c r="AE195" s="116" t="str">
        <f t="shared" si="80"/>
        <v/>
      </c>
      <c r="AF195" s="116" t="str">
        <f t="shared" si="81"/>
        <v>0-0</v>
      </c>
    </row>
    <row r="196" spans="1:32" x14ac:dyDescent="0.25">
      <c r="A196" s="113">
        <f>'Date Calcs'!A196</f>
        <v>0</v>
      </c>
      <c r="B196" s="113">
        <f>'Date Calcs'!B196</f>
        <v>0</v>
      </c>
      <c r="C196" s="114" t="str">
        <f>_xlfn.IFNA(_xlfn.IFNA(VLOOKUP(AF196,'[1]Schedule Not Certified'!$C:$F,3,0),VLOOKUP(AF196,[1]CERTIFIED!$C:$E,3,0)),"")</f>
        <v/>
      </c>
      <c r="D196" s="115">
        <v>0</v>
      </c>
      <c r="E196" s="115">
        <v>0</v>
      </c>
      <c r="F196" s="115">
        <v>0</v>
      </c>
      <c r="G196" s="115">
        <v>0</v>
      </c>
      <c r="H196" s="115">
        <v>0</v>
      </c>
      <c r="I196" s="114" t="str">
        <f t="shared" si="66"/>
        <v/>
      </c>
      <c r="J196" s="116" t="e">
        <f t="shared" si="88"/>
        <v>#VALUE!</v>
      </c>
      <c r="K196" s="116" t="e">
        <f t="shared" si="88"/>
        <v>#VALUE!</v>
      </c>
      <c r="L196" s="116" t="e">
        <f t="shared" si="88"/>
        <v>#VALUE!</v>
      </c>
      <c r="M196" s="116" t="e">
        <f t="shared" si="88"/>
        <v>#VALUE!</v>
      </c>
      <c r="N196" s="116" t="e">
        <f t="shared" si="88"/>
        <v>#VALUE!</v>
      </c>
      <c r="O196" s="116" t="str">
        <f t="shared" si="67"/>
        <v/>
      </c>
      <c r="P196" s="116" t="str">
        <f t="shared" si="68"/>
        <v/>
      </c>
      <c r="Q196" s="116" t="str">
        <f>IFERROR(VLOOKUP(A196,'Date Calcs'!A:C,3,0),"")</f>
        <v/>
      </c>
      <c r="R196" s="116" t="str">
        <f t="shared" si="69"/>
        <v/>
      </c>
      <c r="S196" s="117"/>
      <c r="T196" s="116" t="e">
        <f t="shared" si="70"/>
        <v>#VALUE!</v>
      </c>
      <c r="U196" s="116" t="e">
        <f t="shared" si="71"/>
        <v>#VALUE!</v>
      </c>
      <c r="V196" s="116" t="str">
        <f>IFERROR(IF(VLOOKUP(A196,'Actual Dates'!A:AE,21,0)&gt;"",VLOOKUP(A196,'Actual Dates'!A:AE,21,0),W196-$V$2),"")</f>
        <v/>
      </c>
      <c r="W196" s="116" t="str">
        <f t="shared" si="72"/>
        <v/>
      </c>
      <c r="X196" s="116" t="str">
        <f t="shared" si="73"/>
        <v/>
      </c>
      <c r="Y196" s="116" t="str">
        <f t="shared" si="74"/>
        <v/>
      </c>
      <c r="Z196" s="116" t="str">
        <f t="shared" si="75"/>
        <v/>
      </c>
      <c r="AA196" s="116" t="str">
        <f t="shared" si="76"/>
        <v/>
      </c>
      <c r="AB196" s="116" t="str">
        <f t="shared" si="77"/>
        <v/>
      </c>
      <c r="AC196" s="116" t="str">
        <f t="shared" si="78"/>
        <v/>
      </c>
      <c r="AD196" s="116" t="str">
        <f t="shared" si="79"/>
        <v/>
      </c>
      <c r="AE196" s="116" t="str">
        <f t="shared" si="80"/>
        <v/>
      </c>
      <c r="AF196" s="116" t="str">
        <f t="shared" si="81"/>
        <v>0-0</v>
      </c>
    </row>
    <row r="197" spans="1:32" x14ac:dyDescent="0.25">
      <c r="A197" s="113">
        <f>'Date Calcs'!A197</f>
        <v>0</v>
      </c>
      <c r="B197" s="113">
        <f>'Date Calcs'!B197</f>
        <v>0</v>
      </c>
      <c r="C197" s="114" t="str">
        <f>_xlfn.IFNA(_xlfn.IFNA(VLOOKUP(AF197,'[1]Schedule Not Certified'!$C:$F,3,0),VLOOKUP(AF197,[1]CERTIFIED!$C:$E,3,0)),"")</f>
        <v/>
      </c>
      <c r="D197" s="115">
        <v>0</v>
      </c>
      <c r="E197" s="115">
        <v>0</v>
      </c>
      <c r="F197" s="115">
        <v>0</v>
      </c>
      <c r="G197" s="115">
        <v>0</v>
      </c>
      <c r="H197" s="115">
        <v>0</v>
      </c>
      <c r="I197" s="114" t="str">
        <f t="shared" ref="I197:I260" si="89">IFERROR(J197-21,"")</f>
        <v/>
      </c>
      <c r="J197" s="116" t="e">
        <f t="shared" si="88"/>
        <v>#VALUE!</v>
      </c>
      <c r="K197" s="116" t="e">
        <f t="shared" si="88"/>
        <v>#VALUE!</v>
      </c>
      <c r="L197" s="116" t="e">
        <f t="shared" si="88"/>
        <v>#VALUE!</v>
      </c>
      <c r="M197" s="116" t="e">
        <f t="shared" si="88"/>
        <v>#VALUE!</v>
      </c>
      <c r="N197" s="116" t="e">
        <f t="shared" si="88"/>
        <v>#VALUE!</v>
      </c>
      <c r="O197" s="116" t="str">
        <f t="shared" ref="O197:O260" si="90">IFERROR(P197-$O$2,"")</f>
        <v/>
      </c>
      <c r="P197" s="116" t="str">
        <f t="shared" ref="P197:P261" si="91">IFERROR(R197-2,"")</f>
        <v/>
      </c>
      <c r="Q197" s="116" t="str">
        <f>IFERROR(VLOOKUP(A197,'Date Calcs'!A:C,3,0),"")</f>
        <v/>
      </c>
      <c r="R197" s="116" t="str">
        <f t="shared" ref="R197:R260" si="92">IFERROR(Q197-$R$2,"")</f>
        <v/>
      </c>
      <c r="S197" s="117"/>
      <c r="T197" s="116" t="e">
        <f t="shared" ref="T197:T261" si="93">V197-$T$2</f>
        <v>#VALUE!</v>
      </c>
      <c r="U197" s="116" t="e">
        <f t="shared" ref="U197:U261" si="94">AD197+(D197*7)</f>
        <v>#VALUE!</v>
      </c>
      <c r="V197" s="116" t="str">
        <f>IFERROR(IF(VLOOKUP(A197,'Actual Dates'!A:AE,21,0)&gt;"",VLOOKUP(A197,'Actual Dates'!A:AE,21,0),W197-$V$2),"")</f>
        <v/>
      </c>
      <c r="W197" s="116" t="str">
        <f t="shared" ref="W197:W260" si="95">IFERROR(X197-$W$2,"")</f>
        <v/>
      </c>
      <c r="X197" s="116" t="str">
        <f t="shared" ref="X197:X260" si="96">IFERROR(Y197-$X$2,"")</f>
        <v/>
      </c>
      <c r="Y197" s="116" t="str">
        <f t="shared" ref="Y197:Y260" si="97">IFERROR(IF(Z197+Y$2+5&gt;AD197,AD197-7,Z197+Y$2+5),"")</f>
        <v/>
      </c>
      <c r="Z197" s="116" t="str">
        <f t="shared" ref="Z197:Z261" si="98">IFERROR(AD197-$Z$2,"")</f>
        <v/>
      </c>
      <c r="AA197" s="116" t="str">
        <f t="shared" ref="AA197:AA261" si="99">IFERROR(AD197-$AA$2,"")</f>
        <v/>
      </c>
      <c r="AB197" s="116" t="str">
        <f t="shared" ref="AB197:AB261" si="100">IFERROR(AD197-$AB$2,"")</f>
        <v/>
      </c>
      <c r="AC197" s="116" t="str">
        <f t="shared" ref="AC197:AC260" si="101">IFERROR(AD197-$AC$2,"")</f>
        <v/>
      </c>
      <c r="AD197" s="116" t="str">
        <f t="shared" ref="AD197:AD260" si="102">IFERROR(AE197-(SUM(D197:H197)*7),"")</f>
        <v/>
      </c>
      <c r="AE197" s="116" t="str">
        <f t="shared" ref="AE197:AE261" si="103">C197</f>
        <v/>
      </c>
      <c r="AF197" s="116" t="str">
        <f t="shared" ref="AF197:AF261" si="104">CONCATENATE(RIGHT(A197,3),"-",LEFT(A197,2))</f>
        <v>0-0</v>
      </c>
    </row>
    <row r="198" spans="1:32" x14ac:dyDescent="0.25">
      <c r="A198" s="113">
        <f>'Date Calcs'!A198</f>
        <v>0</v>
      </c>
      <c r="B198" s="113">
        <f>'Date Calcs'!B198</f>
        <v>0</v>
      </c>
      <c r="C198" s="114" t="str">
        <f>_xlfn.IFNA(_xlfn.IFNA(VLOOKUP(AF198,'[1]Schedule Not Certified'!$C:$F,3,0),VLOOKUP(AF198,[1]CERTIFIED!$C:$E,3,0)),"")</f>
        <v/>
      </c>
      <c r="D198" s="115">
        <v>0</v>
      </c>
      <c r="E198" s="115">
        <v>0</v>
      </c>
      <c r="F198" s="115">
        <v>0</v>
      </c>
      <c r="G198" s="115">
        <v>0</v>
      </c>
      <c r="H198" s="115">
        <v>0</v>
      </c>
      <c r="I198" s="114" t="str">
        <f t="shared" si="89"/>
        <v/>
      </c>
      <c r="J198" s="116" t="e">
        <f t="shared" si="88"/>
        <v>#VALUE!</v>
      </c>
      <c r="K198" s="116" t="e">
        <f t="shared" si="88"/>
        <v>#VALUE!</v>
      </c>
      <c r="L198" s="116" t="e">
        <f t="shared" si="88"/>
        <v>#VALUE!</v>
      </c>
      <c r="M198" s="116" t="e">
        <f t="shared" si="88"/>
        <v>#VALUE!</v>
      </c>
      <c r="N198" s="116" t="e">
        <f t="shared" si="88"/>
        <v>#VALUE!</v>
      </c>
      <c r="O198" s="116" t="str">
        <f t="shared" si="90"/>
        <v/>
      </c>
      <c r="P198" s="116" t="str">
        <f t="shared" si="91"/>
        <v/>
      </c>
      <c r="Q198" s="116" t="str">
        <f>IFERROR(VLOOKUP(A198,'Date Calcs'!A:C,3,0),"")</f>
        <v/>
      </c>
      <c r="R198" s="116" t="str">
        <f t="shared" si="92"/>
        <v/>
      </c>
      <c r="S198" s="117"/>
      <c r="T198" s="116" t="e">
        <f t="shared" si="93"/>
        <v>#VALUE!</v>
      </c>
      <c r="U198" s="116" t="e">
        <f t="shared" si="94"/>
        <v>#VALUE!</v>
      </c>
      <c r="V198" s="116" t="str">
        <f>IFERROR(IF(VLOOKUP(A198,'Actual Dates'!A:AE,21,0)&gt;"",VLOOKUP(A198,'Actual Dates'!A:AE,21,0),W198-$V$2),"")</f>
        <v/>
      </c>
      <c r="W198" s="116" t="str">
        <f t="shared" si="95"/>
        <v/>
      </c>
      <c r="X198" s="116" t="str">
        <f t="shared" si="96"/>
        <v/>
      </c>
      <c r="Y198" s="116" t="str">
        <f t="shared" si="97"/>
        <v/>
      </c>
      <c r="Z198" s="116" t="str">
        <f t="shared" si="98"/>
        <v/>
      </c>
      <c r="AA198" s="116" t="str">
        <f t="shared" si="99"/>
        <v/>
      </c>
      <c r="AB198" s="116" t="str">
        <f t="shared" si="100"/>
        <v/>
      </c>
      <c r="AC198" s="116" t="str">
        <f t="shared" si="101"/>
        <v/>
      </c>
      <c r="AD198" s="116" t="str">
        <f t="shared" si="102"/>
        <v/>
      </c>
      <c r="AE198" s="116" t="str">
        <f t="shared" si="103"/>
        <v/>
      </c>
      <c r="AF198" s="116" t="str">
        <f t="shared" si="104"/>
        <v>0-0</v>
      </c>
    </row>
    <row r="199" spans="1:32" x14ac:dyDescent="0.25">
      <c r="A199" s="113">
        <f>'Date Calcs'!A199</f>
        <v>0</v>
      </c>
      <c r="B199" s="113">
        <f>'Date Calcs'!B199</f>
        <v>0</v>
      </c>
      <c r="C199" s="114" t="str">
        <f>_xlfn.IFNA(_xlfn.IFNA(VLOOKUP(AF199,'[1]Schedule Not Certified'!$C:$F,3,0),VLOOKUP(AF199,[1]CERTIFIED!$C:$E,3,0)),"")</f>
        <v/>
      </c>
      <c r="D199" s="115">
        <v>0</v>
      </c>
      <c r="E199" s="115">
        <v>0</v>
      </c>
      <c r="F199" s="115">
        <v>0</v>
      </c>
      <c r="G199" s="115">
        <v>0</v>
      </c>
      <c r="H199" s="115">
        <v>0</v>
      </c>
      <c r="I199" s="114" t="str">
        <f t="shared" si="89"/>
        <v/>
      </c>
      <c r="J199" s="116" t="e">
        <f t="shared" si="88"/>
        <v>#VALUE!</v>
      </c>
      <c r="K199" s="116" t="e">
        <f t="shared" si="88"/>
        <v>#VALUE!</v>
      </c>
      <c r="L199" s="116" t="e">
        <f t="shared" si="88"/>
        <v>#VALUE!</v>
      </c>
      <c r="M199" s="116" t="e">
        <f t="shared" si="88"/>
        <v>#VALUE!</v>
      </c>
      <c r="N199" s="116" t="e">
        <f t="shared" si="88"/>
        <v>#VALUE!</v>
      </c>
      <c r="O199" s="116" t="str">
        <f t="shared" si="90"/>
        <v/>
      </c>
      <c r="P199" s="116" t="str">
        <f t="shared" si="91"/>
        <v/>
      </c>
      <c r="Q199" s="116" t="str">
        <f>IFERROR(VLOOKUP(A199,'Date Calcs'!A:C,3,0),"")</f>
        <v/>
      </c>
      <c r="R199" s="116" t="str">
        <f t="shared" si="92"/>
        <v/>
      </c>
      <c r="S199" s="117"/>
      <c r="T199" s="116" t="e">
        <f t="shared" si="93"/>
        <v>#VALUE!</v>
      </c>
      <c r="U199" s="116" t="e">
        <f t="shared" si="94"/>
        <v>#VALUE!</v>
      </c>
      <c r="V199" s="116" t="str">
        <f>IFERROR(IF(VLOOKUP(A199,'Actual Dates'!A:AE,21,0)&gt;"",VLOOKUP(A199,'Actual Dates'!A:AE,21,0),W199-$V$2),"")</f>
        <v/>
      </c>
      <c r="W199" s="116" t="str">
        <f t="shared" si="95"/>
        <v/>
      </c>
      <c r="X199" s="116" t="str">
        <f t="shared" si="96"/>
        <v/>
      </c>
      <c r="Y199" s="116" t="str">
        <f t="shared" si="97"/>
        <v/>
      </c>
      <c r="Z199" s="116" t="str">
        <f t="shared" si="98"/>
        <v/>
      </c>
      <c r="AA199" s="116" t="str">
        <f t="shared" si="99"/>
        <v/>
      </c>
      <c r="AB199" s="116" t="str">
        <f t="shared" si="100"/>
        <v/>
      </c>
      <c r="AC199" s="116" t="str">
        <f t="shared" si="101"/>
        <v/>
      </c>
      <c r="AD199" s="116" t="str">
        <f t="shared" si="102"/>
        <v/>
      </c>
      <c r="AE199" s="116" t="str">
        <f t="shared" si="103"/>
        <v/>
      </c>
      <c r="AF199" s="116" t="str">
        <f t="shared" si="104"/>
        <v>0-0</v>
      </c>
    </row>
    <row r="200" spans="1:32" x14ac:dyDescent="0.25">
      <c r="A200" s="113">
        <f>'Date Calcs'!A200</f>
        <v>0</v>
      </c>
      <c r="B200" s="113">
        <f>'Date Calcs'!B200</f>
        <v>0</v>
      </c>
      <c r="C200" s="114" t="str">
        <f>_xlfn.IFNA(_xlfn.IFNA(VLOOKUP(AF200,'[1]Schedule Not Certified'!$C:$F,3,0),VLOOKUP(AF200,[1]CERTIFIED!$C:$E,3,0)),"")</f>
        <v/>
      </c>
      <c r="D200" s="115">
        <v>0</v>
      </c>
      <c r="E200" s="115">
        <v>0</v>
      </c>
      <c r="F200" s="115">
        <v>0</v>
      </c>
      <c r="G200" s="115">
        <v>0</v>
      </c>
      <c r="H200" s="115">
        <v>0</v>
      </c>
      <c r="I200" s="114" t="str">
        <f t="shared" si="89"/>
        <v/>
      </c>
      <c r="J200" s="116" t="e">
        <f t="shared" si="88"/>
        <v>#VALUE!</v>
      </c>
      <c r="K200" s="116" t="e">
        <f t="shared" si="88"/>
        <v>#VALUE!</v>
      </c>
      <c r="L200" s="116" t="e">
        <f t="shared" si="88"/>
        <v>#VALUE!</v>
      </c>
      <c r="M200" s="116" t="e">
        <f t="shared" si="88"/>
        <v>#VALUE!</v>
      </c>
      <c r="N200" s="116" t="e">
        <f t="shared" si="88"/>
        <v>#VALUE!</v>
      </c>
      <c r="O200" s="116" t="str">
        <f t="shared" si="90"/>
        <v/>
      </c>
      <c r="P200" s="116" t="str">
        <f t="shared" si="91"/>
        <v/>
      </c>
      <c r="Q200" s="116" t="str">
        <f>IFERROR(VLOOKUP(A200,'Date Calcs'!A:C,3,0),"")</f>
        <v/>
      </c>
      <c r="R200" s="116" t="str">
        <f t="shared" si="92"/>
        <v/>
      </c>
      <c r="S200" s="117"/>
      <c r="T200" s="116" t="e">
        <f t="shared" si="93"/>
        <v>#VALUE!</v>
      </c>
      <c r="U200" s="116" t="e">
        <f t="shared" si="94"/>
        <v>#VALUE!</v>
      </c>
      <c r="V200" s="116" t="str">
        <f>IFERROR(IF(VLOOKUP(A200,'Actual Dates'!A:AE,21,0)&gt;"",VLOOKUP(A200,'Actual Dates'!A:AE,21,0),W200-$V$2),"")</f>
        <v/>
      </c>
      <c r="W200" s="116" t="str">
        <f t="shared" si="95"/>
        <v/>
      </c>
      <c r="X200" s="116" t="str">
        <f t="shared" si="96"/>
        <v/>
      </c>
      <c r="Y200" s="116" t="str">
        <f t="shared" si="97"/>
        <v/>
      </c>
      <c r="Z200" s="116" t="str">
        <f t="shared" si="98"/>
        <v/>
      </c>
      <c r="AA200" s="116" t="str">
        <f t="shared" si="99"/>
        <v/>
      </c>
      <c r="AB200" s="116" t="str">
        <f t="shared" si="100"/>
        <v/>
      </c>
      <c r="AC200" s="116" t="str">
        <f t="shared" si="101"/>
        <v/>
      </c>
      <c r="AD200" s="116" t="str">
        <f t="shared" si="102"/>
        <v/>
      </c>
      <c r="AE200" s="116" t="str">
        <f t="shared" si="103"/>
        <v/>
      </c>
      <c r="AF200" s="116" t="str">
        <f t="shared" si="104"/>
        <v>0-0</v>
      </c>
    </row>
    <row r="201" spans="1:32" x14ac:dyDescent="0.25">
      <c r="A201" s="113">
        <f>'Date Calcs'!A201</f>
        <v>0</v>
      </c>
      <c r="B201" s="113">
        <f>'Date Calcs'!B201</f>
        <v>0</v>
      </c>
      <c r="C201" s="114" t="str">
        <f>_xlfn.IFNA(_xlfn.IFNA(VLOOKUP(AF201,'[1]Schedule Not Certified'!$C:$F,3,0),VLOOKUP(AF201,[1]CERTIFIED!$C:$E,3,0)),"")</f>
        <v/>
      </c>
      <c r="D201" s="115">
        <v>0</v>
      </c>
      <c r="E201" s="115">
        <v>0</v>
      </c>
      <c r="F201" s="115">
        <v>0</v>
      </c>
      <c r="G201" s="115">
        <v>0</v>
      </c>
      <c r="H201" s="115">
        <v>0</v>
      </c>
      <c r="I201" s="114" t="str">
        <f t="shared" si="89"/>
        <v/>
      </c>
      <c r="J201" s="116" t="e">
        <f t="shared" si="88"/>
        <v>#VALUE!</v>
      </c>
      <c r="K201" s="116" t="e">
        <f t="shared" si="88"/>
        <v>#VALUE!</v>
      </c>
      <c r="L201" s="116" t="e">
        <f t="shared" si="88"/>
        <v>#VALUE!</v>
      </c>
      <c r="M201" s="116" t="e">
        <f t="shared" si="88"/>
        <v>#VALUE!</v>
      </c>
      <c r="N201" s="116" t="e">
        <f t="shared" si="88"/>
        <v>#VALUE!</v>
      </c>
      <c r="O201" s="116" t="str">
        <f t="shared" si="90"/>
        <v/>
      </c>
      <c r="P201" s="116" t="str">
        <f t="shared" si="91"/>
        <v/>
      </c>
      <c r="Q201" s="116" t="str">
        <f>IFERROR(VLOOKUP(A201,'Date Calcs'!A:C,3,0),"")</f>
        <v/>
      </c>
      <c r="R201" s="116" t="str">
        <f t="shared" si="92"/>
        <v/>
      </c>
      <c r="S201" s="117"/>
      <c r="T201" s="116" t="e">
        <f t="shared" si="93"/>
        <v>#VALUE!</v>
      </c>
      <c r="U201" s="116" t="e">
        <f t="shared" si="94"/>
        <v>#VALUE!</v>
      </c>
      <c r="V201" s="116" t="str">
        <f>IFERROR(IF(VLOOKUP(A201,'Actual Dates'!A:AE,21,0)&gt;"",VLOOKUP(A201,'Actual Dates'!A:AE,21,0),W201-$V$2),"")</f>
        <v/>
      </c>
      <c r="W201" s="116" t="str">
        <f t="shared" si="95"/>
        <v/>
      </c>
      <c r="X201" s="116" t="str">
        <f t="shared" si="96"/>
        <v/>
      </c>
      <c r="Y201" s="116" t="str">
        <f t="shared" si="97"/>
        <v/>
      </c>
      <c r="Z201" s="116" t="str">
        <f t="shared" si="98"/>
        <v/>
      </c>
      <c r="AA201" s="116" t="str">
        <f t="shared" si="99"/>
        <v/>
      </c>
      <c r="AB201" s="116" t="str">
        <f t="shared" si="100"/>
        <v/>
      </c>
      <c r="AC201" s="116" t="str">
        <f t="shared" si="101"/>
        <v/>
      </c>
      <c r="AD201" s="116" t="str">
        <f t="shared" si="102"/>
        <v/>
      </c>
      <c r="AE201" s="116" t="str">
        <f t="shared" si="103"/>
        <v/>
      </c>
      <c r="AF201" s="116" t="str">
        <f t="shared" si="104"/>
        <v>0-0</v>
      </c>
    </row>
    <row r="202" spans="1:32" x14ac:dyDescent="0.25">
      <c r="A202" s="113">
        <f>'Date Calcs'!A202</f>
        <v>0</v>
      </c>
      <c r="B202" s="113">
        <f>'Date Calcs'!B202</f>
        <v>0</v>
      </c>
      <c r="C202" s="114" t="str">
        <f>_xlfn.IFNA(_xlfn.IFNA(VLOOKUP(AF202,'[1]Schedule Not Certified'!$C:$F,3,0),VLOOKUP(AF202,[1]CERTIFIED!$C:$E,3,0)),"")</f>
        <v/>
      </c>
      <c r="D202" s="115">
        <v>0</v>
      </c>
      <c r="E202" s="115">
        <v>0</v>
      </c>
      <c r="F202" s="115">
        <v>0</v>
      </c>
      <c r="G202" s="115">
        <v>0</v>
      </c>
      <c r="H202" s="115">
        <v>0</v>
      </c>
      <c r="I202" s="114" t="str">
        <f t="shared" si="89"/>
        <v/>
      </c>
      <c r="J202" s="116" t="e">
        <f t="shared" si="88"/>
        <v>#VALUE!</v>
      </c>
      <c r="K202" s="116" t="e">
        <f t="shared" si="88"/>
        <v>#VALUE!</v>
      </c>
      <c r="L202" s="116" t="e">
        <f t="shared" si="88"/>
        <v>#VALUE!</v>
      </c>
      <c r="M202" s="116" t="e">
        <f t="shared" si="88"/>
        <v>#VALUE!</v>
      </c>
      <c r="N202" s="116" t="e">
        <f t="shared" si="88"/>
        <v>#VALUE!</v>
      </c>
      <c r="O202" s="116" t="str">
        <f t="shared" si="90"/>
        <v/>
      </c>
      <c r="P202" s="116" t="str">
        <f t="shared" si="91"/>
        <v/>
      </c>
      <c r="Q202" s="116" t="str">
        <f>IFERROR(VLOOKUP(A202,'Date Calcs'!A:C,3,0),"")</f>
        <v/>
      </c>
      <c r="R202" s="116" t="str">
        <f t="shared" si="92"/>
        <v/>
      </c>
      <c r="S202" s="117"/>
      <c r="T202" s="116" t="e">
        <f t="shared" si="93"/>
        <v>#VALUE!</v>
      </c>
      <c r="U202" s="116" t="e">
        <f t="shared" si="94"/>
        <v>#VALUE!</v>
      </c>
      <c r="V202" s="116" t="str">
        <f>IFERROR(IF(VLOOKUP(A202,'Actual Dates'!A:AE,21,0)&gt;"",VLOOKUP(A202,'Actual Dates'!A:AE,21,0),W202-$V$2),"")</f>
        <v/>
      </c>
      <c r="W202" s="116" t="str">
        <f t="shared" si="95"/>
        <v/>
      </c>
      <c r="X202" s="116" t="str">
        <f t="shared" si="96"/>
        <v/>
      </c>
      <c r="Y202" s="116" t="str">
        <f t="shared" si="97"/>
        <v/>
      </c>
      <c r="Z202" s="116" t="str">
        <f t="shared" si="98"/>
        <v/>
      </c>
      <c r="AA202" s="116" t="str">
        <f t="shared" si="99"/>
        <v/>
      </c>
      <c r="AB202" s="116" t="str">
        <f t="shared" si="100"/>
        <v/>
      </c>
      <c r="AC202" s="116" t="str">
        <f t="shared" si="101"/>
        <v/>
      </c>
      <c r="AD202" s="116" t="str">
        <f t="shared" si="102"/>
        <v/>
      </c>
      <c r="AE202" s="116" t="str">
        <f t="shared" si="103"/>
        <v/>
      </c>
      <c r="AF202" s="116" t="str">
        <f t="shared" si="104"/>
        <v>0-0</v>
      </c>
    </row>
    <row r="203" spans="1:32" x14ac:dyDescent="0.25">
      <c r="A203" s="113">
        <f>'Date Calcs'!A203</f>
        <v>0</v>
      </c>
      <c r="B203" s="113">
        <f>'Date Calcs'!B203</f>
        <v>0</v>
      </c>
      <c r="C203" s="114" t="str">
        <f>_xlfn.IFNA(_xlfn.IFNA(VLOOKUP(AF203,'[1]Schedule Not Certified'!$C:$F,3,0),VLOOKUP(AF203,[1]CERTIFIED!$C:$E,3,0)),"")</f>
        <v/>
      </c>
      <c r="D203" s="115">
        <v>0</v>
      </c>
      <c r="E203" s="115">
        <v>0</v>
      </c>
      <c r="F203" s="115">
        <v>0</v>
      </c>
      <c r="G203" s="115">
        <v>0</v>
      </c>
      <c r="H203" s="115">
        <v>0</v>
      </c>
      <c r="I203" s="114" t="str">
        <f t="shared" si="89"/>
        <v/>
      </c>
      <c r="J203" s="116" t="e">
        <f t="shared" si="88"/>
        <v>#VALUE!</v>
      </c>
      <c r="K203" s="116" t="e">
        <f t="shared" si="88"/>
        <v>#VALUE!</v>
      </c>
      <c r="L203" s="116" t="e">
        <f t="shared" si="88"/>
        <v>#VALUE!</v>
      </c>
      <c r="M203" s="116" t="e">
        <f t="shared" si="88"/>
        <v>#VALUE!</v>
      </c>
      <c r="N203" s="116" t="e">
        <f t="shared" si="88"/>
        <v>#VALUE!</v>
      </c>
      <c r="O203" s="116" t="str">
        <f t="shared" si="90"/>
        <v/>
      </c>
      <c r="P203" s="116" t="str">
        <f t="shared" si="91"/>
        <v/>
      </c>
      <c r="Q203" s="116" t="str">
        <f>IFERROR(VLOOKUP(A203,'Date Calcs'!A:C,3,0),"")</f>
        <v/>
      </c>
      <c r="R203" s="116" t="str">
        <f t="shared" si="92"/>
        <v/>
      </c>
      <c r="S203" s="117"/>
      <c r="T203" s="116" t="e">
        <f t="shared" si="93"/>
        <v>#VALUE!</v>
      </c>
      <c r="U203" s="116" t="e">
        <f t="shared" si="94"/>
        <v>#VALUE!</v>
      </c>
      <c r="V203" s="116" t="str">
        <f>IFERROR(IF(VLOOKUP(A203,'Actual Dates'!A:AE,21,0)&gt;"",VLOOKUP(A203,'Actual Dates'!A:AE,21,0),W203-$V$2),"")</f>
        <v/>
      </c>
      <c r="W203" s="116" t="str">
        <f t="shared" si="95"/>
        <v/>
      </c>
      <c r="X203" s="116" t="str">
        <f t="shared" si="96"/>
        <v/>
      </c>
      <c r="Y203" s="116" t="str">
        <f t="shared" si="97"/>
        <v/>
      </c>
      <c r="Z203" s="116" t="str">
        <f t="shared" si="98"/>
        <v/>
      </c>
      <c r="AA203" s="116" t="str">
        <f t="shared" si="99"/>
        <v/>
      </c>
      <c r="AB203" s="116" t="str">
        <f t="shared" si="100"/>
        <v/>
      </c>
      <c r="AC203" s="116" t="str">
        <f t="shared" si="101"/>
        <v/>
      </c>
      <c r="AD203" s="116" t="str">
        <f t="shared" si="102"/>
        <v/>
      </c>
      <c r="AE203" s="116" t="str">
        <f t="shared" si="103"/>
        <v/>
      </c>
      <c r="AF203" s="116" t="str">
        <f t="shared" si="104"/>
        <v>0-0</v>
      </c>
    </row>
    <row r="204" spans="1:32" x14ac:dyDescent="0.25">
      <c r="A204" s="113">
        <f>'Date Calcs'!A204</f>
        <v>0</v>
      </c>
      <c r="B204" s="113">
        <f>'Date Calcs'!B204</f>
        <v>0</v>
      </c>
      <c r="C204" s="114" t="str">
        <f>_xlfn.IFNA(_xlfn.IFNA(VLOOKUP(AF204,'[1]Schedule Not Certified'!$C:$F,3,0),VLOOKUP(AF204,[1]CERTIFIED!$C:$E,3,0)),"")</f>
        <v/>
      </c>
      <c r="D204" s="115">
        <v>0</v>
      </c>
      <c r="E204" s="115">
        <v>0</v>
      </c>
      <c r="F204" s="115">
        <v>0</v>
      </c>
      <c r="G204" s="115">
        <v>0</v>
      </c>
      <c r="H204" s="115">
        <v>0</v>
      </c>
      <c r="I204" s="114" t="str">
        <f t="shared" si="89"/>
        <v/>
      </c>
      <c r="J204" s="116" t="e">
        <f t="shared" si="88"/>
        <v>#VALUE!</v>
      </c>
      <c r="K204" s="116" t="e">
        <f t="shared" si="88"/>
        <v>#VALUE!</v>
      </c>
      <c r="L204" s="116" t="e">
        <f t="shared" si="88"/>
        <v>#VALUE!</v>
      </c>
      <c r="M204" s="116" t="e">
        <f t="shared" si="88"/>
        <v>#VALUE!</v>
      </c>
      <c r="N204" s="116" t="e">
        <f t="shared" si="88"/>
        <v>#VALUE!</v>
      </c>
      <c r="O204" s="116" t="str">
        <f t="shared" si="90"/>
        <v/>
      </c>
      <c r="P204" s="116" t="str">
        <f t="shared" si="91"/>
        <v/>
      </c>
      <c r="Q204" s="116" t="str">
        <f>IFERROR(VLOOKUP(A204,'Date Calcs'!A:C,3,0),"")</f>
        <v/>
      </c>
      <c r="R204" s="116" t="str">
        <f t="shared" si="92"/>
        <v/>
      </c>
      <c r="S204" s="117"/>
      <c r="T204" s="116" t="e">
        <f t="shared" si="93"/>
        <v>#VALUE!</v>
      </c>
      <c r="U204" s="116" t="e">
        <f t="shared" si="94"/>
        <v>#VALUE!</v>
      </c>
      <c r="V204" s="116" t="str">
        <f>IFERROR(IF(VLOOKUP(A204,'Actual Dates'!A:AE,21,0)&gt;"",VLOOKUP(A204,'Actual Dates'!A:AE,21,0),W204-$V$2),"")</f>
        <v/>
      </c>
      <c r="W204" s="116" t="str">
        <f t="shared" si="95"/>
        <v/>
      </c>
      <c r="X204" s="116" t="str">
        <f t="shared" si="96"/>
        <v/>
      </c>
      <c r="Y204" s="116" t="str">
        <f t="shared" si="97"/>
        <v/>
      </c>
      <c r="Z204" s="116" t="str">
        <f t="shared" si="98"/>
        <v/>
      </c>
      <c r="AA204" s="116" t="str">
        <f t="shared" si="99"/>
        <v/>
      </c>
      <c r="AB204" s="116" t="str">
        <f t="shared" si="100"/>
        <v/>
      </c>
      <c r="AC204" s="116" t="str">
        <f t="shared" si="101"/>
        <v/>
      </c>
      <c r="AD204" s="116" t="str">
        <f t="shared" si="102"/>
        <v/>
      </c>
      <c r="AE204" s="116" t="str">
        <f t="shared" si="103"/>
        <v/>
      </c>
      <c r="AF204" s="116" t="str">
        <f t="shared" si="104"/>
        <v>0-0</v>
      </c>
    </row>
    <row r="205" spans="1:32" x14ac:dyDescent="0.25">
      <c r="A205" s="113">
        <f>'Date Calcs'!A205</f>
        <v>0</v>
      </c>
      <c r="B205" s="113">
        <f>'Date Calcs'!B205</f>
        <v>0</v>
      </c>
      <c r="C205" s="114" t="str">
        <f>_xlfn.IFNA(_xlfn.IFNA(VLOOKUP(AF205,'[1]Schedule Not Certified'!$C:$F,3,0),VLOOKUP(AF205,[1]CERTIFIED!$C:$E,3,0)),"")</f>
        <v/>
      </c>
      <c r="D205" s="115">
        <v>0</v>
      </c>
      <c r="E205" s="115">
        <v>0</v>
      </c>
      <c r="F205" s="115">
        <v>0</v>
      </c>
      <c r="G205" s="115">
        <v>0</v>
      </c>
      <c r="H205" s="115">
        <v>0</v>
      </c>
      <c r="I205" s="114" t="str">
        <f t="shared" si="89"/>
        <v/>
      </c>
      <c r="J205" s="116" t="e">
        <f t="shared" ref="J205:N214" si="105">K205-J$2</f>
        <v>#VALUE!</v>
      </c>
      <c r="K205" s="116" t="e">
        <f t="shared" si="105"/>
        <v>#VALUE!</v>
      </c>
      <c r="L205" s="116" t="e">
        <f t="shared" si="105"/>
        <v>#VALUE!</v>
      </c>
      <c r="M205" s="116" t="e">
        <f t="shared" si="105"/>
        <v>#VALUE!</v>
      </c>
      <c r="N205" s="116" t="e">
        <f t="shared" si="105"/>
        <v>#VALUE!</v>
      </c>
      <c r="O205" s="116" t="str">
        <f t="shared" si="90"/>
        <v/>
      </c>
      <c r="P205" s="116" t="str">
        <f t="shared" si="91"/>
        <v/>
      </c>
      <c r="Q205" s="116" t="str">
        <f>IFERROR(VLOOKUP(A205,'Date Calcs'!A:C,3,0),"")</f>
        <v/>
      </c>
      <c r="R205" s="116" t="str">
        <f t="shared" si="92"/>
        <v/>
      </c>
      <c r="S205" s="117"/>
      <c r="T205" s="116" t="e">
        <f t="shared" si="93"/>
        <v>#VALUE!</v>
      </c>
      <c r="U205" s="116" t="e">
        <f t="shared" si="94"/>
        <v>#VALUE!</v>
      </c>
      <c r="V205" s="116" t="str">
        <f>IFERROR(IF(VLOOKUP(A205,'Actual Dates'!A:AE,21,0)&gt;"",VLOOKUP(A205,'Actual Dates'!A:AE,21,0),W205-$V$2),"")</f>
        <v/>
      </c>
      <c r="W205" s="116" t="str">
        <f t="shared" si="95"/>
        <v/>
      </c>
      <c r="X205" s="116" t="str">
        <f t="shared" si="96"/>
        <v/>
      </c>
      <c r="Y205" s="116" t="str">
        <f t="shared" si="97"/>
        <v/>
      </c>
      <c r="Z205" s="116" t="str">
        <f t="shared" si="98"/>
        <v/>
      </c>
      <c r="AA205" s="116" t="str">
        <f t="shared" si="99"/>
        <v/>
      </c>
      <c r="AB205" s="116" t="str">
        <f t="shared" si="100"/>
        <v/>
      </c>
      <c r="AC205" s="116" t="str">
        <f t="shared" si="101"/>
        <v/>
      </c>
      <c r="AD205" s="116" t="str">
        <f t="shared" si="102"/>
        <v/>
      </c>
      <c r="AE205" s="116" t="str">
        <f t="shared" si="103"/>
        <v/>
      </c>
      <c r="AF205" s="116" t="str">
        <f t="shared" si="104"/>
        <v>0-0</v>
      </c>
    </row>
    <row r="206" spans="1:32" x14ac:dyDescent="0.25">
      <c r="A206" s="113">
        <f>'Date Calcs'!A206</f>
        <v>0</v>
      </c>
      <c r="B206" s="113">
        <f>'Date Calcs'!B206</f>
        <v>0</v>
      </c>
      <c r="C206" s="114" t="str">
        <f>_xlfn.IFNA(_xlfn.IFNA(VLOOKUP(AF206,'[1]Schedule Not Certified'!$C:$F,3,0),VLOOKUP(AF206,[1]CERTIFIED!$C:$E,3,0)),"")</f>
        <v/>
      </c>
      <c r="D206" s="115">
        <v>0</v>
      </c>
      <c r="E206" s="115">
        <v>0</v>
      </c>
      <c r="F206" s="115">
        <v>0</v>
      </c>
      <c r="G206" s="115">
        <v>0</v>
      </c>
      <c r="H206" s="115">
        <v>0</v>
      </c>
      <c r="I206" s="114" t="str">
        <f t="shared" si="89"/>
        <v/>
      </c>
      <c r="J206" s="116" t="e">
        <f t="shared" si="105"/>
        <v>#VALUE!</v>
      </c>
      <c r="K206" s="116" t="e">
        <f t="shared" si="105"/>
        <v>#VALUE!</v>
      </c>
      <c r="L206" s="116" t="e">
        <f t="shared" si="105"/>
        <v>#VALUE!</v>
      </c>
      <c r="M206" s="116" t="e">
        <f t="shared" si="105"/>
        <v>#VALUE!</v>
      </c>
      <c r="N206" s="116" t="e">
        <f t="shared" si="105"/>
        <v>#VALUE!</v>
      </c>
      <c r="O206" s="116" t="str">
        <f t="shared" si="90"/>
        <v/>
      </c>
      <c r="P206" s="116" t="str">
        <f t="shared" si="91"/>
        <v/>
      </c>
      <c r="Q206" s="116" t="str">
        <f>IFERROR(VLOOKUP(A206,'Date Calcs'!A:C,3,0),"")</f>
        <v/>
      </c>
      <c r="R206" s="116" t="str">
        <f t="shared" si="92"/>
        <v/>
      </c>
      <c r="S206" s="117"/>
      <c r="T206" s="116" t="e">
        <f t="shared" si="93"/>
        <v>#VALUE!</v>
      </c>
      <c r="U206" s="116" t="e">
        <f t="shared" si="94"/>
        <v>#VALUE!</v>
      </c>
      <c r="V206" s="116" t="str">
        <f>IFERROR(IF(VLOOKUP(A206,'Actual Dates'!A:AE,21,0)&gt;"",VLOOKUP(A206,'Actual Dates'!A:AE,21,0),W206-$V$2),"")</f>
        <v/>
      </c>
      <c r="W206" s="116" t="str">
        <f t="shared" si="95"/>
        <v/>
      </c>
      <c r="X206" s="116" t="str">
        <f t="shared" si="96"/>
        <v/>
      </c>
      <c r="Y206" s="116" t="str">
        <f t="shared" si="97"/>
        <v/>
      </c>
      <c r="Z206" s="116" t="str">
        <f t="shared" si="98"/>
        <v/>
      </c>
      <c r="AA206" s="116" t="str">
        <f t="shared" si="99"/>
        <v/>
      </c>
      <c r="AB206" s="116" t="str">
        <f t="shared" si="100"/>
        <v/>
      </c>
      <c r="AC206" s="116" t="str">
        <f t="shared" si="101"/>
        <v/>
      </c>
      <c r="AD206" s="116" t="str">
        <f t="shared" si="102"/>
        <v/>
      </c>
      <c r="AE206" s="116" t="str">
        <f t="shared" si="103"/>
        <v/>
      </c>
      <c r="AF206" s="116" t="str">
        <f t="shared" si="104"/>
        <v>0-0</v>
      </c>
    </row>
    <row r="207" spans="1:32" x14ac:dyDescent="0.25">
      <c r="A207" s="113">
        <f>'Date Calcs'!A207</f>
        <v>0</v>
      </c>
      <c r="B207" s="113">
        <f>'Date Calcs'!B207</f>
        <v>0</v>
      </c>
      <c r="C207" s="114" t="str">
        <f>_xlfn.IFNA(_xlfn.IFNA(VLOOKUP(AF207,'[1]Schedule Not Certified'!$C:$F,3,0),VLOOKUP(AF207,[1]CERTIFIED!$C:$E,3,0)),"")</f>
        <v/>
      </c>
      <c r="D207" s="115">
        <v>0</v>
      </c>
      <c r="E207" s="115">
        <v>0</v>
      </c>
      <c r="F207" s="115">
        <v>0</v>
      </c>
      <c r="G207" s="115">
        <v>0</v>
      </c>
      <c r="H207" s="115">
        <v>0</v>
      </c>
      <c r="I207" s="114" t="str">
        <f t="shared" si="89"/>
        <v/>
      </c>
      <c r="J207" s="116" t="e">
        <f t="shared" si="105"/>
        <v>#VALUE!</v>
      </c>
      <c r="K207" s="116" t="e">
        <f t="shared" si="105"/>
        <v>#VALUE!</v>
      </c>
      <c r="L207" s="116" t="e">
        <f t="shared" si="105"/>
        <v>#VALUE!</v>
      </c>
      <c r="M207" s="116" t="e">
        <f t="shared" si="105"/>
        <v>#VALUE!</v>
      </c>
      <c r="N207" s="116" t="e">
        <f t="shared" si="105"/>
        <v>#VALUE!</v>
      </c>
      <c r="O207" s="116" t="str">
        <f t="shared" si="90"/>
        <v/>
      </c>
      <c r="P207" s="116" t="str">
        <f t="shared" si="91"/>
        <v/>
      </c>
      <c r="Q207" s="116" t="str">
        <f>IFERROR(VLOOKUP(A207,'Date Calcs'!A:C,3,0),"")</f>
        <v/>
      </c>
      <c r="R207" s="116" t="str">
        <f t="shared" si="92"/>
        <v/>
      </c>
      <c r="S207" s="117"/>
      <c r="T207" s="116" t="e">
        <f t="shared" si="93"/>
        <v>#VALUE!</v>
      </c>
      <c r="U207" s="116" t="e">
        <f t="shared" si="94"/>
        <v>#VALUE!</v>
      </c>
      <c r="V207" s="116" t="str">
        <f>IFERROR(IF(VLOOKUP(A207,'Actual Dates'!A:AE,21,0)&gt;"",VLOOKUP(A207,'Actual Dates'!A:AE,21,0),W207-$V$2),"")</f>
        <v/>
      </c>
      <c r="W207" s="116" t="str">
        <f t="shared" si="95"/>
        <v/>
      </c>
      <c r="X207" s="116" t="str">
        <f t="shared" si="96"/>
        <v/>
      </c>
      <c r="Y207" s="116" t="str">
        <f t="shared" si="97"/>
        <v/>
      </c>
      <c r="Z207" s="116" t="str">
        <f t="shared" si="98"/>
        <v/>
      </c>
      <c r="AA207" s="116" t="str">
        <f t="shared" si="99"/>
        <v/>
      </c>
      <c r="AB207" s="116" t="str">
        <f t="shared" si="100"/>
        <v/>
      </c>
      <c r="AC207" s="116" t="str">
        <f t="shared" si="101"/>
        <v/>
      </c>
      <c r="AD207" s="116" t="str">
        <f t="shared" si="102"/>
        <v/>
      </c>
      <c r="AE207" s="116" t="str">
        <f t="shared" si="103"/>
        <v/>
      </c>
      <c r="AF207" s="116" t="str">
        <f t="shared" si="104"/>
        <v>0-0</v>
      </c>
    </row>
    <row r="208" spans="1:32" x14ac:dyDescent="0.25">
      <c r="A208" s="113">
        <f>'Date Calcs'!A208</f>
        <v>0</v>
      </c>
      <c r="B208" s="113">
        <f>'Date Calcs'!B208</f>
        <v>0</v>
      </c>
      <c r="C208" s="114" t="str">
        <f>_xlfn.IFNA(_xlfn.IFNA(VLOOKUP(AF208,'[1]Schedule Not Certified'!$C:$F,3,0),VLOOKUP(AF208,[1]CERTIFIED!$C:$E,3,0)),"")</f>
        <v/>
      </c>
      <c r="D208" s="115">
        <v>0</v>
      </c>
      <c r="E208" s="115">
        <v>0</v>
      </c>
      <c r="F208" s="115">
        <v>0</v>
      </c>
      <c r="G208" s="115">
        <v>0</v>
      </c>
      <c r="H208" s="115">
        <v>0</v>
      </c>
      <c r="I208" s="114" t="str">
        <f t="shared" si="89"/>
        <v/>
      </c>
      <c r="J208" s="116" t="e">
        <f t="shared" si="105"/>
        <v>#VALUE!</v>
      </c>
      <c r="K208" s="116" t="e">
        <f t="shared" si="105"/>
        <v>#VALUE!</v>
      </c>
      <c r="L208" s="116" t="e">
        <f t="shared" si="105"/>
        <v>#VALUE!</v>
      </c>
      <c r="M208" s="116" t="e">
        <f t="shared" si="105"/>
        <v>#VALUE!</v>
      </c>
      <c r="N208" s="116" t="e">
        <f t="shared" si="105"/>
        <v>#VALUE!</v>
      </c>
      <c r="O208" s="116" t="str">
        <f t="shared" si="90"/>
        <v/>
      </c>
      <c r="P208" s="116" t="str">
        <f t="shared" si="91"/>
        <v/>
      </c>
      <c r="Q208" s="116" t="str">
        <f>IFERROR(VLOOKUP(A208,'Date Calcs'!A:C,3,0),"")</f>
        <v/>
      </c>
      <c r="R208" s="116" t="str">
        <f t="shared" si="92"/>
        <v/>
      </c>
      <c r="S208" s="117"/>
      <c r="T208" s="116" t="e">
        <f t="shared" si="93"/>
        <v>#VALUE!</v>
      </c>
      <c r="U208" s="116" t="e">
        <f t="shared" si="94"/>
        <v>#VALUE!</v>
      </c>
      <c r="V208" s="116" t="str">
        <f>IFERROR(IF(VLOOKUP(A208,'Actual Dates'!A:AE,21,0)&gt;"",VLOOKUP(A208,'Actual Dates'!A:AE,21,0),W208-$V$2),"")</f>
        <v/>
      </c>
      <c r="W208" s="116" t="str">
        <f t="shared" si="95"/>
        <v/>
      </c>
      <c r="X208" s="116" t="str">
        <f t="shared" si="96"/>
        <v/>
      </c>
      <c r="Y208" s="116" t="str">
        <f t="shared" si="97"/>
        <v/>
      </c>
      <c r="Z208" s="116" t="str">
        <f t="shared" si="98"/>
        <v/>
      </c>
      <c r="AA208" s="116" t="str">
        <f t="shared" si="99"/>
        <v/>
      </c>
      <c r="AB208" s="116" t="str">
        <f t="shared" si="100"/>
        <v/>
      </c>
      <c r="AC208" s="116" t="str">
        <f t="shared" si="101"/>
        <v/>
      </c>
      <c r="AD208" s="116" t="str">
        <f t="shared" si="102"/>
        <v/>
      </c>
      <c r="AE208" s="116" t="str">
        <f t="shared" si="103"/>
        <v/>
      </c>
      <c r="AF208" s="116" t="str">
        <f t="shared" si="104"/>
        <v>0-0</v>
      </c>
    </row>
    <row r="209" spans="1:32" x14ac:dyDescent="0.25">
      <c r="A209" s="113">
        <f>'Date Calcs'!A209</f>
        <v>0</v>
      </c>
      <c r="B209" s="113">
        <f>'Date Calcs'!B209</f>
        <v>0</v>
      </c>
      <c r="C209" s="114" t="str">
        <f>_xlfn.IFNA(_xlfn.IFNA(VLOOKUP(AF209,'[1]Schedule Not Certified'!$C:$F,3,0),VLOOKUP(AF209,[1]CERTIFIED!$C:$E,3,0)),"")</f>
        <v/>
      </c>
      <c r="D209" s="115">
        <v>0</v>
      </c>
      <c r="E209" s="115">
        <v>0</v>
      </c>
      <c r="F209" s="115">
        <v>0</v>
      </c>
      <c r="G209" s="115">
        <v>0</v>
      </c>
      <c r="H209" s="115">
        <v>0</v>
      </c>
      <c r="I209" s="114" t="str">
        <f t="shared" si="89"/>
        <v/>
      </c>
      <c r="J209" s="116" t="e">
        <f t="shared" si="105"/>
        <v>#VALUE!</v>
      </c>
      <c r="K209" s="116" t="e">
        <f t="shared" si="105"/>
        <v>#VALUE!</v>
      </c>
      <c r="L209" s="116" t="e">
        <f t="shared" si="105"/>
        <v>#VALUE!</v>
      </c>
      <c r="M209" s="116" t="e">
        <f t="shared" si="105"/>
        <v>#VALUE!</v>
      </c>
      <c r="N209" s="116" t="e">
        <f t="shared" si="105"/>
        <v>#VALUE!</v>
      </c>
      <c r="O209" s="116" t="str">
        <f t="shared" si="90"/>
        <v/>
      </c>
      <c r="P209" s="116" t="str">
        <f t="shared" si="91"/>
        <v/>
      </c>
      <c r="Q209" s="116" t="str">
        <f>IFERROR(VLOOKUP(A209,'Date Calcs'!A:C,3,0),"")</f>
        <v/>
      </c>
      <c r="R209" s="116" t="str">
        <f t="shared" si="92"/>
        <v/>
      </c>
      <c r="S209" s="117"/>
      <c r="T209" s="116" t="e">
        <f t="shared" si="93"/>
        <v>#VALUE!</v>
      </c>
      <c r="U209" s="116" t="e">
        <f t="shared" si="94"/>
        <v>#VALUE!</v>
      </c>
      <c r="V209" s="116" t="str">
        <f>IFERROR(IF(VLOOKUP(A209,'Actual Dates'!A:AE,21,0)&gt;"",VLOOKUP(A209,'Actual Dates'!A:AE,21,0),W209-$V$2),"")</f>
        <v/>
      </c>
      <c r="W209" s="116" t="str">
        <f t="shared" si="95"/>
        <v/>
      </c>
      <c r="X209" s="116" t="str">
        <f t="shared" si="96"/>
        <v/>
      </c>
      <c r="Y209" s="116" t="str">
        <f t="shared" si="97"/>
        <v/>
      </c>
      <c r="Z209" s="116" t="str">
        <f t="shared" si="98"/>
        <v/>
      </c>
      <c r="AA209" s="116" t="str">
        <f t="shared" si="99"/>
        <v/>
      </c>
      <c r="AB209" s="116" t="str">
        <f t="shared" si="100"/>
        <v/>
      </c>
      <c r="AC209" s="116" t="str">
        <f t="shared" si="101"/>
        <v/>
      </c>
      <c r="AD209" s="116" t="str">
        <f t="shared" si="102"/>
        <v/>
      </c>
      <c r="AE209" s="116" t="str">
        <f t="shared" si="103"/>
        <v/>
      </c>
      <c r="AF209" s="116" t="str">
        <f t="shared" si="104"/>
        <v>0-0</v>
      </c>
    </row>
    <row r="210" spans="1:32" x14ac:dyDescent="0.25">
      <c r="A210" s="113">
        <f>'Date Calcs'!A210</f>
        <v>0</v>
      </c>
      <c r="B210" s="113">
        <f>'Date Calcs'!B210</f>
        <v>0</v>
      </c>
      <c r="C210" s="114" t="str">
        <f>_xlfn.IFNA(_xlfn.IFNA(VLOOKUP(AF210,'[1]Schedule Not Certified'!$C:$F,3,0),VLOOKUP(AF210,[1]CERTIFIED!$C:$E,3,0)),"")</f>
        <v/>
      </c>
      <c r="D210" s="115">
        <v>0</v>
      </c>
      <c r="E210" s="115">
        <v>0</v>
      </c>
      <c r="F210" s="115">
        <v>0</v>
      </c>
      <c r="G210" s="115">
        <v>0</v>
      </c>
      <c r="H210" s="115">
        <v>0</v>
      </c>
      <c r="I210" s="114" t="str">
        <f t="shared" si="89"/>
        <v/>
      </c>
      <c r="J210" s="116" t="e">
        <f t="shared" si="105"/>
        <v>#VALUE!</v>
      </c>
      <c r="K210" s="116" t="e">
        <f t="shared" si="105"/>
        <v>#VALUE!</v>
      </c>
      <c r="L210" s="116" t="e">
        <f t="shared" si="105"/>
        <v>#VALUE!</v>
      </c>
      <c r="M210" s="116" t="e">
        <f t="shared" si="105"/>
        <v>#VALUE!</v>
      </c>
      <c r="N210" s="116" t="e">
        <f t="shared" si="105"/>
        <v>#VALUE!</v>
      </c>
      <c r="O210" s="116" t="str">
        <f t="shared" si="90"/>
        <v/>
      </c>
      <c r="P210" s="116" t="str">
        <f t="shared" si="91"/>
        <v/>
      </c>
      <c r="Q210" s="116" t="str">
        <f>IFERROR(VLOOKUP(A210,'Date Calcs'!A:C,3,0),"")</f>
        <v/>
      </c>
      <c r="R210" s="116" t="str">
        <f t="shared" si="92"/>
        <v/>
      </c>
      <c r="S210" s="117"/>
      <c r="T210" s="116" t="e">
        <f t="shared" si="93"/>
        <v>#VALUE!</v>
      </c>
      <c r="U210" s="116" t="e">
        <f t="shared" si="94"/>
        <v>#VALUE!</v>
      </c>
      <c r="V210" s="116" t="str">
        <f>IFERROR(IF(VLOOKUP(A210,'Actual Dates'!A:AE,21,0)&gt;"",VLOOKUP(A210,'Actual Dates'!A:AE,21,0),W210-$V$2),"")</f>
        <v/>
      </c>
      <c r="W210" s="116" t="str">
        <f t="shared" si="95"/>
        <v/>
      </c>
      <c r="X210" s="116" t="str">
        <f t="shared" si="96"/>
        <v/>
      </c>
      <c r="Y210" s="116" t="str">
        <f t="shared" si="97"/>
        <v/>
      </c>
      <c r="Z210" s="116" t="str">
        <f t="shared" si="98"/>
        <v/>
      </c>
      <c r="AA210" s="116" t="str">
        <f t="shared" si="99"/>
        <v/>
      </c>
      <c r="AB210" s="116" t="str">
        <f t="shared" si="100"/>
        <v/>
      </c>
      <c r="AC210" s="116" t="str">
        <f t="shared" si="101"/>
        <v/>
      </c>
      <c r="AD210" s="116" t="str">
        <f t="shared" si="102"/>
        <v/>
      </c>
      <c r="AE210" s="116" t="str">
        <f t="shared" si="103"/>
        <v/>
      </c>
      <c r="AF210" s="116" t="str">
        <f t="shared" si="104"/>
        <v>0-0</v>
      </c>
    </row>
    <row r="211" spans="1:32" x14ac:dyDescent="0.25">
      <c r="A211" s="113">
        <f>'Date Calcs'!A211</f>
        <v>0</v>
      </c>
      <c r="B211" s="113">
        <f>'Date Calcs'!B211</f>
        <v>0</v>
      </c>
      <c r="C211" s="114" t="str">
        <f>_xlfn.IFNA(_xlfn.IFNA(VLOOKUP(AF211,'[1]Schedule Not Certified'!$C:$F,3,0),VLOOKUP(AF211,[1]CERTIFIED!$C:$E,3,0)),"")</f>
        <v/>
      </c>
      <c r="D211" s="115">
        <v>0</v>
      </c>
      <c r="E211" s="115">
        <v>0</v>
      </c>
      <c r="F211" s="115">
        <v>0</v>
      </c>
      <c r="G211" s="115">
        <v>0</v>
      </c>
      <c r="H211" s="115">
        <v>0</v>
      </c>
      <c r="I211" s="114" t="str">
        <f t="shared" si="89"/>
        <v/>
      </c>
      <c r="J211" s="116" t="e">
        <f t="shared" si="105"/>
        <v>#VALUE!</v>
      </c>
      <c r="K211" s="116" t="e">
        <f t="shared" si="105"/>
        <v>#VALUE!</v>
      </c>
      <c r="L211" s="116" t="e">
        <f t="shared" si="105"/>
        <v>#VALUE!</v>
      </c>
      <c r="M211" s="116" t="e">
        <f t="shared" si="105"/>
        <v>#VALUE!</v>
      </c>
      <c r="N211" s="116" t="e">
        <f t="shared" si="105"/>
        <v>#VALUE!</v>
      </c>
      <c r="O211" s="116" t="str">
        <f t="shared" si="90"/>
        <v/>
      </c>
      <c r="P211" s="116" t="str">
        <f t="shared" si="91"/>
        <v/>
      </c>
      <c r="Q211" s="116" t="str">
        <f>IFERROR(VLOOKUP(A211,'Date Calcs'!A:C,3,0),"")</f>
        <v/>
      </c>
      <c r="R211" s="116" t="str">
        <f t="shared" si="92"/>
        <v/>
      </c>
      <c r="S211" s="117"/>
      <c r="T211" s="116" t="e">
        <f t="shared" si="93"/>
        <v>#VALUE!</v>
      </c>
      <c r="U211" s="116" t="e">
        <f t="shared" si="94"/>
        <v>#VALUE!</v>
      </c>
      <c r="V211" s="116" t="str">
        <f>IFERROR(IF(VLOOKUP(A211,'Actual Dates'!A:AE,21,0)&gt;"",VLOOKUP(A211,'Actual Dates'!A:AE,21,0),W211-$V$2),"")</f>
        <v/>
      </c>
      <c r="W211" s="116" t="str">
        <f t="shared" si="95"/>
        <v/>
      </c>
      <c r="X211" s="116" t="str">
        <f t="shared" si="96"/>
        <v/>
      </c>
      <c r="Y211" s="116" t="str">
        <f t="shared" si="97"/>
        <v/>
      </c>
      <c r="Z211" s="116" t="str">
        <f t="shared" si="98"/>
        <v/>
      </c>
      <c r="AA211" s="116" t="str">
        <f t="shared" si="99"/>
        <v/>
      </c>
      <c r="AB211" s="116" t="str">
        <f t="shared" si="100"/>
        <v/>
      </c>
      <c r="AC211" s="116" t="str">
        <f t="shared" si="101"/>
        <v/>
      </c>
      <c r="AD211" s="116" t="str">
        <f t="shared" si="102"/>
        <v/>
      </c>
      <c r="AE211" s="116" t="str">
        <f t="shared" si="103"/>
        <v/>
      </c>
      <c r="AF211" s="116" t="str">
        <f t="shared" si="104"/>
        <v>0-0</v>
      </c>
    </row>
    <row r="212" spans="1:32" x14ac:dyDescent="0.25">
      <c r="A212" s="113">
        <f>'Date Calcs'!A212</f>
        <v>0</v>
      </c>
      <c r="B212" s="113">
        <f>'Date Calcs'!B212</f>
        <v>0</v>
      </c>
      <c r="C212" s="114" t="str">
        <f>_xlfn.IFNA(_xlfn.IFNA(VLOOKUP(AF212,'[1]Schedule Not Certified'!$C:$F,3,0),VLOOKUP(AF212,[1]CERTIFIED!$C:$E,3,0)),"")</f>
        <v/>
      </c>
      <c r="D212" s="115">
        <v>0</v>
      </c>
      <c r="E212" s="115">
        <v>0</v>
      </c>
      <c r="F212" s="115">
        <v>0</v>
      </c>
      <c r="G212" s="115">
        <v>0</v>
      </c>
      <c r="H212" s="115">
        <v>0</v>
      </c>
      <c r="I212" s="114" t="str">
        <f t="shared" si="89"/>
        <v/>
      </c>
      <c r="J212" s="116" t="e">
        <f t="shared" si="105"/>
        <v>#VALUE!</v>
      </c>
      <c r="K212" s="116" t="e">
        <f t="shared" si="105"/>
        <v>#VALUE!</v>
      </c>
      <c r="L212" s="116" t="e">
        <f t="shared" si="105"/>
        <v>#VALUE!</v>
      </c>
      <c r="M212" s="116" t="e">
        <f t="shared" si="105"/>
        <v>#VALUE!</v>
      </c>
      <c r="N212" s="116" t="e">
        <f t="shared" si="105"/>
        <v>#VALUE!</v>
      </c>
      <c r="O212" s="116" t="str">
        <f t="shared" si="90"/>
        <v/>
      </c>
      <c r="P212" s="116" t="str">
        <f t="shared" si="91"/>
        <v/>
      </c>
      <c r="Q212" s="116" t="str">
        <f>IFERROR(VLOOKUP(A212,'Date Calcs'!A:C,3,0),"")</f>
        <v/>
      </c>
      <c r="R212" s="116" t="str">
        <f t="shared" si="92"/>
        <v/>
      </c>
      <c r="S212" s="117"/>
      <c r="T212" s="116" t="e">
        <f t="shared" si="93"/>
        <v>#VALUE!</v>
      </c>
      <c r="U212" s="116" t="e">
        <f t="shared" si="94"/>
        <v>#VALUE!</v>
      </c>
      <c r="V212" s="116" t="str">
        <f>IFERROR(IF(VLOOKUP(A212,'Actual Dates'!A:AE,21,0)&gt;"",VLOOKUP(A212,'Actual Dates'!A:AE,21,0),W212-$V$2),"")</f>
        <v/>
      </c>
      <c r="W212" s="116" t="str">
        <f t="shared" si="95"/>
        <v/>
      </c>
      <c r="X212" s="116" t="str">
        <f t="shared" si="96"/>
        <v/>
      </c>
      <c r="Y212" s="116" t="str">
        <f t="shared" si="97"/>
        <v/>
      </c>
      <c r="Z212" s="116" t="str">
        <f t="shared" si="98"/>
        <v/>
      </c>
      <c r="AA212" s="116" t="str">
        <f t="shared" si="99"/>
        <v/>
      </c>
      <c r="AB212" s="116" t="str">
        <f t="shared" si="100"/>
        <v/>
      </c>
      <c r="AC212" s="116" t="str">
        <f t="shared" si="101"/>
        <v/>
      </c>
      <c r="AD212" s="116" t="str">
        <f t="shared" si="102"/>
        <v/>
      </c>
      <c r="AE212" s="116" t="str">
        <f t="shared" si="103"/>
        <v/>
      </c>
      <c r="AF212" s="116" t="str">
        <f t="shared" si="104"/>
        <v>0-0</v>
      </c>
    </row>
    <row r="213" spans="1:32" x14ac:dyDescent="0.25">
      <c r="A213" s="113">
        <f>'Date Calcs'!A213</f>
        <v>0</v>
      </c>
      <c r="B213" s="113">
        <f>'Date Calcs'!B213</f>
        <v>0</v>
      </c>
      <c r="C213" s="114" t="str">
        <f>_xlfn.IFNA(_xlfn.IFNA(VLOOKUP(AF213,'[1]Schedule Not Certified'!$C:$F,3,0),VLOOKUP(AF213,[1]CERTIFIED!$C:$E,3,0)),"")</f>
        <v/>
      </c>
      <c r="D213" s="115">
        <v>0</v>
      </c>
      <c r="E213" s="115">
        <v>0</v>
      </c>
      <c r="F213" s="115">
        <v>0</v>
      </c>
      <c r="G213" s="115">
        <v>0</v>
      </c>
      <c r="H213" s="115">
        <v>0</v>
      </c>
      <c r="I213" s="114" t="str">
        <f t="shared" si="89"/>
        <v/>
      </c>
      <c r="J213" s="116" t="e">
        <f t="shared" si="105"/>
        <v>#VALUE!</v>
      </c>
      <c r="K213" s="116" t="e">
        <f t="shared" si="105"/>
        <v>#VALUE!</v>
      </c>
      <c r="L213" s="116" t="e">
        <f t="shared" si="105"/>
        <v>#VALUE!</v>
      </c>
      <c r="M213" s="116" t="e">
        <f t="shared" si="105"/>
        <v>#VALUE!</v>
      </c>
      <c r="N213" s="116" t="e">
        <f t="shared" si="105"/>
        <v>#VALUE!</v>
      </c>
      <c r="O213" s="116" t="str">
        <f t="shared" si="90"/>
        <v/>
      </c>
      <c r="P213" s="116" t="str">
        <f t="shared" si="91"/>
        <v/>
      </c>
      <c r="Q213" s="116" t="str">
        <f>IFERROR(VLOOKUP(A213,'Date Calcs'!A:C,3,0),"")</f>
        <v/>
      </c>
      <c r="R213" s="116" t="str">
        <f t="shared" si="92"/>
        <v/>
      </c>
      <c r="S213" s="117"/>
      <c r="T213" s="116" t="e">
        <f t="shared" si="93"/>
        <v>#VALUE!</v>
      </c>
      <c r="U213" s="116" t="e">
        <f t="shared" si="94"/>
        <v>#VALUE!</v>
      </c>
      <c r="V213" s="116" t="str">
        <f>IFERROR(IF(VLOOKUP(A213,'Actual Dates'!A:AE,21,0)&gt;"",VLOOKUP(A213,'Actual Dates'!A:AE,21,0),W213-$V$2),"")</f>
        <v/>
      </c>
      <c r="W213" s="116" t="str">
        <f t="shared" si="95"/>
        <v/>
      </c>
      <c r="X213" s="116" t="str">
        <f t="shared" si="96"/>
        <v/>
      </c>
      <c r="Y213" s="116" t="str">
        <f t="shared" si="97"/>
        <v/>
      </c>
      <c r="Z213" s="116" t="str">
        <f t="shared" si="98"/>
        <v/>
      </c>
      <c r="AA213" s="116" t="str">
        <f t="shared" si="99"/>
        <v/>
      </c>
      <c r="AB213" s="116" t="str">
        <f t="shared" si="100"/>
        <v/>
      </c>
      <c r="AC213" s="116" t="str">
        <f t="shared" si="101"/>
        <v/>
      </c>
      <c r="AD213" s="116" t="str">
        <f t="shared" si="102"/>
        <v/>
      </c>
      <c r="AE213" s="116" t="str">
        <f t="shared" si="103"/>
        <v/>
      </c>
      <c r="AF213" s="116" t="str">
        <f t="shared" si="104"/>
        <v>0-0</v>
      </c>
    </row>
    <row r="214" spans="1:32" x14ac:dyDescent="0.25">
      <c r="A214" s="113">
        <f>'Date Calcs'!A214</f>
        <v>0</v>
      </c>
      <c r="B214" s="113">
        <f>'Date Calcs'!B214</f>
        <v>0</v>
      </c>
      <c r="C214" s="114" t="str">
        <f>_xlfn.IFNA(_xlfn.IFNA(VLOOKUP(AF214,'[1]Schedule Not Certified'!$C:$F,3,0),VLOOKUP(AF214,[1]CERTIFIED!$C:$E,3,0)),"")</f>
        <v/>
      </c>
      <c r="D214" s="115">
        <v>0</v>
      </c>
      <c r="E214" s="115">
        <v>0</v>
      </c>
      <c r="F214" s="115">
        <v>0</v>
      </c>
      <c r="G214" s="115">
        <v>0</v>
      </c>
      <c r="H214" s="115">
        <v>0</v>
      </c>
      <c r="I214" s="114" t="str">
        <f t="shared" si="89"/>
        <v/>
      </c>
      <c r="J214" s="116" t="e">
        <f t="shared" si="105"/>
        <v>#VALUE!</v>
      </c>
      <c r="K214" s="116" t="e">
        <f t="shared" si="105"/>
        <v>#VALUE!</v>
      </c>
      <c r="L214" s="116" t="e">
        <f t="shared" si="105"/>
        <v>#VALUE!</v>
      </c>
      <c r="M214" s="116" t="e">
        <f t="shared" si="105"/>
        <v>#VALUE!</v>
      </c>
      <c r="N214" s="116" t="e">
        <f t="shared" si="105"/>
        <v>#VALUE!</v>
      </c>
      <c r="O214" s="116" t="str">
        <f t="shared" si="90"/>
        <v/>
      </c>
      <c r="P214" s="116" t="str">
        <f t="shared" si="91"/>
        <v/>
      </c>
      <c r="Q214" s="116" t="str">
        <f>IFERROR(VLOOKUP(A214,'Date Calcs'!A:C,3,0),"")</f>
        <v/>
      </c>
      <c r="R214" s="116" t="str">
        <f t="shared" si="92"/>
        <v/>
      </c>
      <c r="S214" s="117"/>
      <c r="T214" s="116" t="e">
        <f t="shared" si="93"/>
        <v>#VALUE!</v>
      </c>
      <c r="U214" s="116" t="e">
        <f t="shared" si="94"/>
        <v>#VALUE!</v>
      </c>
      <c r="V214" s="116" t="str">
        <f>IFERROR(IF(VLOOKUP(A214,'Actual Dates'!A:AE,21,0)&gt;"",VLOOKUP(A214,'Actual Dates'!A:AE,21,0),W214-$V$2),"")</f>
        <v/>
      </c>
      <c r="W214" s="116" t="str">
        <f t="shared" si="95"/>
        <v/>
      </c>
      <c r="X214" s="116" t="str">
        <f t="shared" si="96"/>
        <v/>
      </c>
      <c r="Y214" s="116" t="str">
        <f t="shared" si="97"/>
        <v/>
      </c>
      <c r="Z214" s="116" t="str">
        <f t="shared" si="98"/>
        <v/>
      </c>
      <c r="AA214" s="116" t="str">
        <f t="shared" si="99"/>
        <v/>
      </c>
      <c r="AB214" s="116" t="str">
        <f t="shared" si="100"/>
        <v/>
      </c>
      <c r="AC214" s="116" t="str">
        <f t="shared" si="101"/>
        <v/>
      </c>
      <c r="AD214" s="116" t="str">
        <f t="shared" si="102"/>
        <v/>
      </c>
      <c r="AE214" s="116" t="str">
        <f t="shared" si="103"/>
        <v/>
      </c>
      <c r="AF214" s="116" t="str">
        <f t="shared" si="104"/>
        <v>0-0</v>
      </c>
    </row>
    <row r="215" spans="1:32" x14ac:dyDescent="0.25">
      <c r="A215" s="113">
        <f>'Date Calcs'!A215</f>
        <v>0</v>
      </c>
      <c r="B215" s="113">
        <f>'Date Calcs'!B215</f>
        <v>0</v>
      </c>
      <c r="C215" s="114" t="str">
        <f>_xlfn.IFNA(_xlfn.IFNA(VLOOKUP(AF215,'[1]Schedule Not Certified'!$C:$F,3,0),VLOOKUP(AF215,[1]CERTIFIED!$C:$E,3,0)),"")</f>
        <v/>
      </c>
      <c r="D215" s="115">
        <v>0</v>
      </c>
      <c r="E215" s="115">
        <v>0</v>
      </c>
      <c r="F215" s="115">
        <v>0</v>
      </c>
      <c r="G215" s="115">
        <v>0</v>
      </c>
      <c r="H215" s="115">
        <v>0</v>
      </c>
      <c r="I215" s="114" t="str">
        <f t="shared" si="89"/>
        <v/>
      </c>
      <c r="J215" s="116" t="e">
        <f t="shared" ref="J215:N224" si="106">K215-J$2</f>
        <v>#VALUE!</v>
      </c>
      <c r="K215" s="116" t="e">
        <f t="shared" si="106"/>
        <v>#VALUE!</v>
      </c>
      <c r="L215" s="116" t="e">
        <f t="shared" si="106"/>
        <v>#VALUE!</v>
      </c>
      <c r="M215" s="116" t="e">
        <f t="shared" si="106"/>
        <v>#VALUE!</v>
      </c>
      <c r="N215" s="116" t="e">
        <f t="shared" si="106"/>
        <v>#VALUE!</v>
      </c>
      <c r="O215" s="116" t="str">
        <f t="shared" si="90"/>
        <v/>
      </c>
      <c r="P215" s="116" t="str">
        <f t="shared" si="91"/>
        <v/>
      </c>
      <c r="Q215" s="116" t="str">
        <f>IFERROR(VLOOKUP(A215,'Date Calcs'!A:C,3,0),"")</f>
        <v/>
      </c>
      <c r="R215" s="116" t="str">
        <f t="shared" si="92"/>
        <v/>
      </c>
      <c r="S215" s="117"/>
      <c r="T215" s="116" t="e">
        <f t="shared" si="93"/>
        <v>#VALUE!</v>
      </c>
      <c r="U215" s="116" t="e">
        <f t="shared" si="94"/>
        <v>#VALUE!</v>
      </c>
      <c r="V215" s="116" t="str">
        <f>IFERROR(IF(VLOOKUP(A215,'Actual Dates'!A:AE,21,0)&gt;"",VLOOKUP(A215,'Actual Dates'!A:AE,21,0),W215-$V$2),"")</f>
        <v/>
      </c>
      <c r="W215" s="116" t="str">
        <f t="shared" si="95"/>
        <v/>
      </c>
      <c r="X215" s="116" t="str">
        <f t="shared" si="96"/>
        <v/>
      </c>
      <c r="Y215" s="116" t="str">
        <f t="shared" si="97"/>
        <v/>
      </c>
      <c r="Z215" s="116" t="str">
        <f t="shared" si="98"/>
        <v/>
      </c>
      <c r="AA215" s="116" t="str">
        <f t="shared" si="99"/>
        <v/>
      </c>
      <c r="AB215" s="116" t="str">
        <f t="shared" si="100"/>
        <v/>
      </c>
      <c r="AC215" s="116" t="str">
        <f t="shared" si="101"/>
        <v/>
      </c>
      <c r="AD215" s="116" t="str">
        <f t="shared" si="102"/>
        <v/>
      </c>
      <c r="AE215" s="116" t="str">
        <f t="shared" si="103"/>
        <v/>
      </c>
      <c r="AF215" s="116" t="str">
        <f t="shared" si="104"/>
        <v>0-0</v>
      </c>
    </row>
    <row r="216" spans="1:32" x14ac:dyDescent="0.25">
      <c r="A216" s="113">
        <f>'Date Calcs'!A216</f>
        <v>0</v>
      </c>
      <c r="B216" s="113">
        <f>'Date Calcs'!B216</f>
        <v>0</v>
      </c>
      <c r="C216" s="114" t="str">
        <f>_xlfn.IFNA(_xlfn.IFNA(VLOOKUP(AF216,'[1]Schedule Not Certified'!$C:$F,3,0),VLOOKUP(AF216,[1]CERTIFIED!$C:$E,3,0)),"")</f>
        <v/>
      </c>
      <c r="D216" s="115">
        <v>0</v>
      </c>
      <c r="E216" s="115">
        <v>0</v>
      </c>
      <c r="F216" s="115">
        <v>0</v>
      </c>
      <c r="G216" s="115">
        <v>0</v>
      </c>
      <c r="H216" s="115">
        <v>0</v>
      </c>
      <c r="I216" s="114" t="str">
        <f t="shared" si="89"/>
        <v/>
      </c>
      <c r="J216" s="116" t="e">
        <f t="shared" si="106"/>
        <v>#VALUE!</v>
      </c>
      <c r="K216" s="116" t="e">
        <f t="shared" si="106"/>
        <v>#VALUE!</v>
      </c>
      <c r="L216" s="116" t="e">
        <f t="shared" si="106"/>
        <v>#VALUE!</v>
      </c>
      <c r="M216" s="116" t="e">
        <f t="shared" si="106"/>
        <v>#VALUE!</v>
      </c>
      <c r="N216" s="116" t="e">
        <f t="shared" si="106"/>
        <v>#VALUE!</v>
      </c>
      <c r="O216" s="116" t="str">
        <f t="shared" si="90"/>
        <v/>
      </c>
      <c r="P216" s="116" t="str">
        <f t="shared" si="91"/>
        <v/>
      </c>
      <c r="Q216" s="116" t="str">
        <f>IFERROR(VLOOKUP(A216,'Date Calcs'!A:C,3,0),"")</f>
        <v/>
      </c>
      <c r="R216" s="116" t="str">
        <f t="shared" si="92"/>
        <v/>
      </c>
      <c r="S216" s="117"/>
      <c r="T216" s="116" t="e">
        <f t="shared" si="93"/>
        <v>#VALUE!</v>
      </c>
      <c r="U216" s="116" t="e">
        <f t="shared" si="94"/>
        <v>#VALUE!</v>
      </c>
      <c r="V216" s="116" t="str">
        <f>IFERROR(IF(VLOOKUP(A216,'Actual Dates'!A:AE,21,0)&gt;"",VLOOKUP(A216,'Actual Dates'!A:AE,21,0),W216-$V$2),"")</f>
        <v/>
      </c>
      <c r="W216" s="116" t="str">
        <f t="shared" si="95"/>
        <v/>
      </c>
      <c r="X216" s="116" t="str">
        <f t="shared" si="96"/>
        <v/>
      </c>
      <c r="Y216" s="116" t="str">
        <f t="shared" si="97"/>
        <v/>
      </c>
      <c r="Z216" s="116" t="str">
        <f t="shared" si="98"/>
        <v/>
      </c>
      <c r="AA216" s="116" t="str">
        <f t="shared" si="99"/>
        <v/>
      </c>
      <c r="AB216" s="116" t="str">
        <f t="shared" si="100"/>
        <v/>
      </c>
      <c r="AC216" s="116" t="str">
        <f t="shared" si="101"/>
        <v/>
      </c>
      <c r="AD216" s="116" t="str">
        <f t="shared" si="102"/>
        <v/>
      </c>
      <c r="AE216" s="116" t="str">
        <f t="shared" si="103"/>
        <v/>
      </c>
      <c r="AF216" s="116" t="str">
        <f t="shared" si="104"/>
        <v>0-0</v>
      </c>
    </row>
    <row r="217" spans="1:32" x14ac:dyDescent="0.25">
      <c r="A217" s="113">
        <f>'Date Calcs'!A217</f>
        <v>0</v>
      </c>
      <c r="B217" s="113">
        <f>'Date Calcs'!B217</f>
        <v>0</v>
      </c>
      <c r="C217" s="114" t="str">
        <f>_xlfn.IFNA(_xlfn.IFNA(VLOOKUP(AF217,'[1]Schedule Not Certified'!$C:$F,3,0),VLOOKUP(AF217,[1]CERTIFIED!$C:$E,3,0)),"")</f>
        <v/>
      </c>
      <c r="D217" s="115">
        <v>0</v>
      </c>
      <c r="E217" s="115">
        <v>0</v>
      </c>
      <c r="F217" s="115">
        <v>0</v>
      </c>
      <c r="G217" s="115">
        <v>0</v>
      </c>
      <c r="H217" s="115">
        <v>0</v>
      </c>
      <c r="I217" s="114" t="str">
        <f t="shared" si="89"/>
        <v/>
      </c>
      <c r="J217" s="116" t="e">
        <f t="shared" si="106"/>
        <v>#VALUE!</v>
      </c>
      <c r="K217" s="116" t="e">
        <f t="shared" si="106"/>
        <v>#VALUE!</v>
      </c>
      <c r="L217" s="116" t="e">
        <f t="shared" si="106"/>
        <v>#VALUE!</v>
      </c>
      <c r="M217" s="116" t="e">
        <f t="shared" si="106"/>
        <v>#VALUE!</v>
      </c>
      <c r="N217" s="116" t="e">
        <f t="shared" si="106"/>
        <v>#VALUE!</v>
      </c>
      <c r="O217" s="116" t="str">
        <f t="shared" si="90"/>
        <v/>
      </c>
      <c r="P217" s="116" t="str">
        <f t="shared" si="91"/>
        <v/>
      </c>
      <c r="Q217" s="116" t="str">
        <f>IFERROR(VLOOKUP(A217,'Date Calcs'!A:C,3,0),"")</f>
        <v/>
      </c>
      <c r="R217" s="116" t="str">
        <f t="shared" si="92"/>
        <v/>
      </c>
      <c r="S217" s="117"/>
      <c r="T217" s="116" t="e">
        <f t="shared" si="93"/>
        <v>#VALUE!</v>
      </c>
      <c r="U217" s="116" t="e">
        <f t="shared" si="94"/>
        <v>#VALUE!</v>
      </c>
      <c r="V217" s="116" t="str">
        <f>IFERROR(IF(VLOOKUP(A217,'Actual Dates'!A:AE,21,0)&gt;"",VLOOKUP(A217,'Actual Dates'!A:AE,21,0),W217-$V$2),"")</f>
        <v/>
      </c>
      <c r="W217" s="116" t="str">
        <f t="shared" si="95"/>
        <v/>
      </c>
      <c r="X217" s="116" t="str">
        <f t="shared" si="96"/>
        <v/>
      </c>
      <c r="Y217" s="116" t="str">
        <f t="shared" si="97"/>
        <v/>
      </c>
      <c r="Z217" s="116" t="str">
        <f t="shared" si="98"/>
        <v/>
      </c>
      <c r="AA217" s="116" t="str">
        <f t="shared" si="99"/>
        <v/>
      </c>
      <c r="AB217" s="116" t="str">
        <f t="shared" si="100"/>
        <v/>
      </c>
      <c r="AC217" s="116" t="str">
        <f t="shared" si="101"/>
        <v/>
      </c>
      <c r="AD217" s="116" t="str">
        <f t="shared" si="102"/>
        <v/>
      </c>
      <c r="AE217" s="116" t="str">
        <f t="shared" si="103"/>
        <v/>
      </c>
      <c r="AF217" s="116" t="str">
        <f t="shared" si="104"/>
        <v>0-0</v>
      </c>
    </row>
    <row r="218" spans="1:32" x14ac:dyDescent="0.25">
      <c r="A218" s="113">
        <f>'Date Calcs'!A218</f>
        <v>0</v>
      </c>
      <c r="B218" s="113">
        <f>'Date Calcs'!B218</f>
        <v>0</v>
      </c>
      <c r="C218" s="114" t="str">
        <f>_xlfn.IFNA(_xlfn.IFNA(VLOOKUP(AF218,'[1]Schedule Not Certified'!$C:$F,3,0),VLOOKUP(AF218,[1]CERTIFIED!$C:$E,3,0)),"")</f>
        <v/>
      </c>
      <c r="D218" s="115">
        <v>0</v>
      </c>
      <c r="E218" s="115">
        <v>0</v>
      </c>
      <c r="F218" s="115">
        <v>0</v>
      </c>
      <c r="G218" s="115">
        <v>0</v>
      </c>
      <c r="H218" s="115">
        <v>0</v>
      </c>
      <c r="I218" s="114" t="str">
        <f t="shared" si="89"/>
        <v/>
      </c>
      <c r="J218" s="116" t="e">
        <f t="shared" si="106"/>
        <v>#VALUE!</v>
      </c>
      <c r="K218" s="116" t="e">
        <f t="shared" si="106"/>
        <v>#VALUE!</v>
      </c>
      <c r="L218" s="116" t="e">
        <f t="shared" si="106"/>
        <v>#VALUE!</v>
      </c>
      <c r="M218" s="116" t="e">
        <f t="shared" si="106"/>
        <v>#VALUE!</v>
      </c>
      <c r="N218" s="116" t="e">
        <f t="shared" si="106"/>
        <v>#VALUE!</v>
      </c>
      <c r="O218" s="116" t="str">
        <f t="shared" si="90"/>
        <v/>
      </c>
      <c r="P218" s="116" t="str">
        <f t="shared" si="91"/>
        <v/>
      </c>
      <c r="Q218" s="116" t="str">
        <f>IFERROR(VLOOKUP(A218,'Date Calcs'!A:C,3,0),"")</f>
        <v/>
      </c>
      <c r="R218" s="116" t="str">
        <f t="shared" si="92"/>
        <v/>
      </c>
      <c r="S218" s="117"/>
      <c r="T218" s="116" t="e">
        <f t="shared" si="93"/>
        <v>#VALUE!</v>
      </c>
      <c r="U218" s="116" t="e">
        <f t="shared" si="94"/>
        <v>#VALUE!</v>
      </c>
      <c r="V218" s="116" t="str">
        <f>IFERROR(IF(VLOOKUP(A218,'Actual Dates'!A:AE,21,0)&gt;"",VLOOKUP(A218,'Actual Dates'!A:AE,21,0),W218-$V$2),"")</f>
        <v/>
      </c>
      <c r="W218" s="116" t="str">
        <f t="shared" si="95"/>
        <v/>
      </c>
      <c r="X218" s="116" t="str">
        <f t="shared" si="96"/>
        <v/>
      </c>
      <c r="Y218" s="116" t="str">
        <f t="shared" si="97"/>
        <v/>
      </c>
      <c r="Z218" s="116" t="str">
        <f t="shared" si="98"/>
        <v/>
      </c>
      <c r="AA218" s="116" t="str">
        <f t="shared" si="99"/>
        <v/>
      </c>
      <c r="AB218" s="116" t="str">
        <f t="shared" si="100"/>
        <v/>
      </c>
      <c r="AC218" s="116" t="str">
        <f t="shared" si="101"/>
        <v/>
      </c>
      <c r="AD218" s="116" t="str">
        <f t="shared" si="102"/>
        <v/>
      </c>
      <c r="AE218" s="116" t="str">
        <f t="shared" si="103"/>
        <v/>
      </c>
      <c r="AF218" s="116" t="str">
        <f t="shared" si="104"/>
        <v>0-0</v>
      </c>
    </row>
    <row r="219" spans="1:32" x14ac:dyDescent="0.25">
      <c r="A219" s="113">
        <f>'Date Calcs'!A219</f>
        <v>0</v>
      </c>
      <c r="B219" s="113">
        <f>'Date Calcs'!B219</f>
        <v>0</v>
      </c>
      <c r="C219" s="114" t="str">
        <f>_xlfn.IFNA(_xlfn.IFNA(VLOOKUP(AF219,'[1]Schedule Not Certified'!$C:$F,3,0),VLOOKUP(AF219,[1]CERTIFIED!$C:$E,3,0)),"")</f>
        <v/>
      </c>
      <c r="D219" s="115">
        <v>0</v>
      </c>
      <c r="E219" s="115">
        <v>0</v>
      </c>
      <c r="F219" s="115">
        <v>0</v>
      </c>
      <c r="G219" s="115">
        <v>0</v>
      </c>
      <c r="H219" s="115">
        <v>0</v>
      </c>
      <c r="I219" s="114" t="str">
        <f t="shared" si="89"/>
        <v/>
      </c>
      <c r="J219" s="116" t="e">
        <f t="shared" si="106"/>
        <v>#VALUE!</v>
      </c>
      <c r="K219" s="116" t="e">
        <f t="shared" si="106"/>
        <v>#VALUE!</v>
      </c>
      <c r="L219" s="116" t="e">
        <f t="shared" si="106"/>
        <v>#VALUE!</v>
      </c>
      <c r="M219" s="116" t="e">
        <f t="shared" si="106"/>
        <v>#VALUE!</v>
      </c>
      <c r="N219" s="116" t="e">
        <f t="shared" si="106"/>
        <v>#VALUE!</v>
      </c>
      <c r="O219" s="116" t="str">
        <f t="shared" si="90"/>
        <v/>
      </c>
      <c r="P219" s="116" t="str">
        <f t="shared" si="91"/>
        <v/>
      </c>
      <c r="Q219" s="116" t="str">
        <f>IFERROR(VLOOKUP(A219,'Date Calcs'!A:C,3,0),"")</f>
        <v/>
      </c>
      <c r="R219" s="116" t="str">
        <f t="shared" si="92"/>
        <v/>
      </c>
      <c r="S219" s="117"/>
      <c r="T219" s="116" t="e">
        <f t="shared" si="93"/>
        <v>#VALUE!</v>
      </c>
      <c r="U219" s="116" t="e">
        <f t="shared" si="94"/>
        <v>#VALUE!</v>
      </c>
      <c r="V219" s="116" t="str">
        <f>IFERROR(IF(VLOOKUP(A219,'Actual Dates'!A:AE,21,0)&gt;"",VLOOKUP(A219,'Actual Dates'!A:AE,21,0),W219-$V$2),"")</f>
        <v/>
      </c>
      <c r="W219" s="116" t="str">
        <f t="shared" si="95"/>
        <v/>
      </c>
      <c r="X219" s="116" t="str">
        <f t="shared" si="96"/>
        <v/>
      </c>
      <c r="Y219" s="116" t="str">
        <f t="shared" si="97"/>
        <v/>
      </c>
      <c r="Z219" s="116" t="str">
        <f t="shared" si="98"/>
        <v/>
      </c>
      <c r="AA219" s="116" t="str">
        <f t="shared" si="99"/>
        <v/>
      </c>
      <c r="AB219" s="116" t="str">
        <f t="shared" si="100"/>
        <v/>
      </c>
      <c r="AC219" s="116" t="str">
        <f t="shared" si="101"/>
        <v/>
      </c>
      <c r="AD219" s="116" t="str">
        <f t="shared" si="102"/>
        <v/>
      </c>
      <c r="AE219" s="116" t="str">
        <f t="shared" si="103"/>
        <v/>
      </c>
      <c r="AF219" s="116" t="str">
        <f t="shared" si="104"/>
        <v>0-0</v>
      </c>
    </row>
    <row r="220" spans="1:32" x14ac:dyDescent="0.25">
      <c r="A220" s="113">
        <f>'Date Calcs'!A220</f>
        <v>0</v>
      </c>
      <c r="B220" s="113">
        <f>'Date Calcs'!B220</f>
        <v>0</v>
      </c>
      <c r="C220" s="114" t="str">
        <f>_xlfn.IFNA(_xlfn.IFNA(VLOOKUP(AF220,'[1]Schedule Not Certified'!$C:$F,3,0),VLOOKUP(AF220,[1]CERTIFIED!$C:$E,3,0)),"")</f>
        <v/>
      </c>
      <c r="D220" s="115">
        <v>0</v>
      </c>
      <c r="E220" s="115">
        <v>0</v>
      </c>
      <c r="F220" s="115">
        <v>0</v>
      </c>
      <c r="G220" s="115">
        <v>0</v>
      </c>
      <c r="H220" s="115">
        <v>0</v>
      </c>
      <c r="I220" s="114" t="str">
        <f t="shared" si="89"/>
        <v/>
      </c>
      <c r="J220" s="116" t="e">
        <f t="shared" si="106"/>
        <v>#VALUE!</v>
      </c>
      <c r="K220" s="116" t="e">
        <f t="shared" si="106"/>
        <v>#VALUE!</v>
      </c>
      <c r="L220" s="116" t="e">
        <f t="shared" si="106"/>
        <v>#VALUE!</v>
      </c>
      <c r="M220" s="116" t="e">
        <f t="shared" si="106"/>
        <v>#VALUE!</v>
      </c>
      <c r="N220" s="116" t="e">
        <f t="shared" si="106"/>
        <v>#VALUE!</v>
      </c>
      <c r="O220" s="116" t="str">
        <f t="shared" si="90"/>
        <v/>
      </c>
      <c r="P220" s="116" t="str">
        <f t="shared" si="91"/>
        <v/>
      </c>
      <c r="Q220" s="116" t="str">
        <f>IFERROR(VLOOKUP(A220,'Date Calcs'!A:C,3,0),"")</f>
        <v/>
      </c>
      <c r="R220" s="116" t="str">
        <f t="shared" si="92"/>
        <v/>
      </c>
      <c r="S220" s="117"/>
      <c r="T220" s="116" t="e">
        <f t="shared" si="93"/>
        <v>#VALUE!</v>
      </c>
      <c r="U220" s="116" t="e">
        <f t="shared" si="94"/>
        <v>#VALUE!</v>
      </c>
      <c r="V220" s="116" t="str">
        <f>IFERROR(IF(VLOOKUP(A220,'Actual Dates'!A:AE,21,0)&gt;"",VLOOKUP(A220,'Actual Dates'!A:AE,21,0),W220-$V$2),"")</f>
        <v/>
      </c>
      <c r="W220" s="116" t="str">
        <f t="shared" si="95"/>
        <v/>
      </c>
      <c r="X220" s="116" t="str">
        <f t="shared" si="96"/>
        <v/>
      </c>
      <c r="Y220" s="116" t="str">
        <f t="shared" si="97"/>
        <v/>
      </c>
      <c r="Z220" s="116" t="str">
        <f t="shared" si="98"/>
        <v/>
      </c>
      <c r="AA220" s="116" t="str">
        <f t="shared" si="99"/>
        <v/>
      </c>
      <c r="AB220" s="116" t="str">
        <f t="shared" si="100"/>
        <v/>
      </c>
      <c r="AC220" s="116" t="str">
        <f t="shared" si="101"/>
        <v/>
      </c>
      <c r="AD220" s="116" t="str">
        <f t="shared" si="102"/>
        <v/>
      </c>
      <c r="AE220" s="116" t="str">
        <f t="shared" si="103"/>
        <v/>
      </c>
      <c r="AF220" s="116" t="str">
        <f t="shared" si="104"/>
        <v>0-0</v>
      </c>
    </row>
    <row r="221" spans="1:32" x14ac:dyDescent="0.25">
      <c r="A221" s="113">
        <f>'Date Calcs'!A221</f>
        <v>0</v>
      </c>
      <c r="B221" s="113">
        <f>'Date Calcs'!B221</f>
        <v>0</v>
      </c>
      <c r="C221" s="114" t="str">
        <f>_xlfn.IFNA(_xlfn.IFNA(VLOOKUP(AF221,'[1]Schedule Not Certified'!$C:$F,3,0),VLOOKUP(AF221,[1]CERTIFIED!$C:$E,3,0)),"")</f>
        <v/>
      </c>
      <c r="D221" s="115">
        <v>0</v>
      </c>
      <c r="E221" s="115">
        <v>0</v>
      </c>
      <c r="F221" s="115">
        <v>0</v>
      </c>
      <c r="G221" s="115">
        <v>0</v>
      </c>
      <c r="H221" s="115">
        <v>0</v>
      </c>
      <c r="I221" s="114" t="str">
        <f t="shared" si="89"/>
        <v/>
      </c>
      <c r="J221" s="116" t="e">
        <f t="shared" si="106"/>
        <v>#VALUE!</v>
      </c>
      <c r="K221" s="116" t="e">
        <f t="shared" si="106"/>
        <v>#VALUE!</v>
      </c>
      <c r="L221" s="116" t="e">
        <f t="shared" si="106"/>
        <v>#VALUE!</v>
      </c>
      <c r="M221" s="116" t="e">
        <f t="shared" si="106"/>
        <v>#VALUE!</v>
      </c>
      <c r="N221" s="116" t="e">
        <f t="shared" si="106"/>
        <v>#VALUE!</v>
      </c>
      <c r="O221" s="116" t="str">
        <f t="shared" si="90"/>
        <v/>
      </c>
      <c r="P221" s="116" t="str">
        <f t="shared" si="91"/>
        <v/>
      </c>
      <c r="Q221" s="116" t="str">
        <f>IFERROR(VLOOKUP(A221,'Date Calcs'!A:C,3,0),"")</f>
        <v/>
      </c>
      <c r="R221" s="116" t="str">
        <f t="shared" si="92"/>
        <v/>
      </c>
      <c r="S221" s="117"/>
      <c r="T221" s="116" t="e">
        <f t="shared" si="93"/>
        <v>#VALUE!</v>
      </c>
      <c r="U221" s="116" t="e">
        <f t="shared" si="94"/>
        <v>#VALUE!</v>
      </c>
      <c r="V221" s="116" t="str">
        <f>IFERROR(IF(VLOOKUP(A221,'Actual Dates'!A:AE,21,0)&gt;"",VLOOKUP(A221,'Actual Dates'!A:AE,21,0),W221-$V$2),"")</f>
        <v/>
      </c>
      <c r="W221" s="116" t="str">
        <f t="shared" si="95"/>
        <v/>
      </c>
      <c r="X221" s="116" t="str">
        <f t="shared" si="96"/>
        <v/>
      </c>
      <c r="Y221" s="116" t="str">
        <f t="shared" si="97"/>
        <v/>
      </c>
      <c r="Z221" s="116" t="str">
        <f t="shared" si="98"/>
        <v/>
      </c>
      <c r="AA221" s="116" t="str">
        <f t="shared" si="99"/>
        <v/>
      </c>
      <c r="AB221" s="116" t="str">
        <f t="shared" si="100"/>
        <v/>
      </c>
      <c r="AC221" s="116" t="str">
        <f t="shared" si="101"/>
        <v/>
      </c>
      <c r="AD221" s="116" t="str">
        <f t="shared" si="102"/>
        <v/>
      </c>
      <c r="AE221" s="116" t="str">
        <f t="shared" si="103"/>
        <v/>
      </c>
      <c r="AF221" s="116" t="str">
        <f t="shared" si="104"/>
        <v>0-0</v>
      </c>
    </row>
    <row r="222" spans="1:32" x14ac:dyDescent="0.25">
      <c r="A222" s="113">
        <f>'Date Calcs'!A222</f>
        <v>0</v>
      </c>
      <c r="B222" s="113">
        <f>'Date Calcs'!B222</f>
        <v>0</v>
      </c>
      <c r="C222" s="114" t="str">
        <f>_xlfn.IFNA(_xlfn.IFNA(VLOOKUP(AF222,'[1]Schedule Not Certified'!$C:$F,3,0),VLOOKUP(AF222,[1]CERTIFIED!$C:$E,3,0)),"")</f>
        <v/>
      </c>
      <c r="D222" s="115">
        <v>0</v>
      </c>
      <c r="E222" s="115">
        <v>0</v>
      </c>
      <c r="F222" s="115">
        <v>0</v>
      </c>
      <c r="G222" s="115">
        <v>0</v>
      </c>
      <c r="H222" s="115">
        <v>0</v>
      </c>
      <c r="I222" s="114" t="str">
        <f t="shared" si="89"/>
        <v/>
      </c>
      <c r="J222" s="116" t="e">
        <f t="shared" si="106"/>
        <v>#VALUE!</v>
      </c>
      <c r="K222" s="116" t="e">
        <f t="shared" si="106"/>
        <v>#VALUE!</v>
      </c>
      <c r="L222" s="116" t="e">
        <f t="shared" si="106"/>
        <v>#VALUE!</v>
      </c>
      <c r="M222" s="116" t="e">
        <f t="shared" si="106"/>
        <v>#VALUE!</v>
      </c>
      <c r="N222" s="116" t="e">
        <f t="shared" si="106"/>
        <v>#VALUE!</v>
      </c>
      <c r="O222" s="116" t="str">
        <f t="shared" si="90"/>
        <v/>
      </c>
      <c r="P222" s="116" t="str">
        <f t="shared" si="91"/>
        <v/>
      </c>
      <c r="Q222" s="116" t="str">
        <f>IFERROR(VLOOKUP(A222,'Date Calcs'!A:C,3,0),"")</f>
        <v/>
      </c>
      <c r="R222" s="116" t="str">
        <f t="shared" si="92"/>
        <v/>
      </c>
      <c r="S222" s="117"/>
      <c r="T222" s="116" t="e">
        <f t="shared" si="93"/>
        <v>#VALUE!</v>
      </c>
      <c r="U222" s="116" t="e">
        <f t="shared" si="94"/>
        <v>#VALUE!</v>
      </c>
      <c r="V222" s="116" t="str">
        <f>IFERROR(IF(VLOOKUP(A222,'Actual Dates'!A:AE,21,0)&gt;"",VLOOKUP(A222,'Actual Dates'!A:AE,21,0),W222-$V$2),"")</f>
        <v/>
      </c>
      <c r="W222" s="116" t="str">
        <f t="shared" si="95"/>
        <v/>
      </c>
      <c r="X222" s="116" t="str">
        <f t="shared" si="96"/>
        <v/>
      </c>
      <c r="Y222" s="116" t="str">
        <f t="shared" si="97"/>
        <v/>
      </c>
      <c r="Z222" s="116" t="str">
        <f t="shared" si="98"/>
        <v/>
      </c>
      <c r="AA222" s="116" t="str">
        <f t="shared" si="99"/>
        <v/>
      </c>
      <c r="AB222" s="116" t="str">
        <f t="shared" si="100"/>
        <v/>
      </c>
      <c r="AC222" s="116" t="str">
        <f t="shared" si="101"/>
        <v/>
      </c>
      <c r="AD222" s="116" t="str">
        <f t="shared" si="102"/>
        <v/>
      </c>
      <c r="AE222" s="116" t="str">
        <f t="shared" si="103"/>
        <v/>
      </c>
      <c r="AF222" s="116" t="str">
        <f t="shared" si="104"/>
        <v>0-0</v>
      </c>
    </row>
    <row r="223" spans="1:32" x14ac:dyDescent="0.25">
      <c r="A223" s="113">
        <f>'Date Calcs'!A223</f>
        <v>0</v>
      </c>
      <c r="B223" s="113">
        <f>'Date Calcs'!B223</f>
        <v>0</v>
      </c>
      <c r="C223" s="114" t="str">
        <f>_xlfn.IFNA(_xlfn.IFNA(VLOOKUP(AF223,'[1]Schedule Not Certified'!$C:$F,3,0),VLOOKUP(AF223,[1]CERTIFIED!$C:$E,3,0)),"")</f>
        <v/>
      </c>
      <c r="D223" s="115">
        <v>0</v>
      </c>
      <c r="E223" s="115">
        <v>0</v>
      </c>
      <c r="F223" s="115">
        <v>0</v>
      </c>
      <c r="G223" s="115">
        <v>0</v>
      </c>
      <c r="H223" s="115">
        <v>0</v>
      </c>
      <c r="I223" s="114" t="str">
        <f t="shared" si="89"/>
        <v/>
      </c>
      <c r="J223" s="116" t="e">
        <f t="shared" si="106"/>
        <v>#VALUE!</v>
      </c>
      <c r="K223" s="116" t="e">
        <f t="shared" si="106"/>
        <v>#VALUE!</v>
      </c>
      <c r="L223" s="116" t="e">
        <f t="shared" si="106"/>
        <v>#VALUE!</v>
      </c>
      <c r="M223" s="116" t="e">
        <f t="shared" si="106"/>
        <v>#VALUE!</v>
      </c>
      <c r="N223" s="116" t="e">
        <f t="shared" si="106"/>
        <v>#VALUE!</v>
      </c>
      <c r="O223" s="116" t="str">
        <f t="shared" si="90"/>
        <v/>
      </c>
      <c r="P223" s="116" t="str">
        <f t="shared" si="91"/>
        <v/>
      </c>
      <c r="Q223" s="116" t="str">
        <f>IFERROR(VLOOKUP(A223,'Date Calcs'!A:C,3,0),"")</f>
        <v/>
      </c>
      <c r="R223" s="116" t="str">
        <f t="shared" si="92"/>
        <v/>
      </c>
      <c r="S223" s="117"/>
      <c r="T223" s="116" t="e">
        <f t="shared" si="93"/>
        <v>#VALUE!</v>
      </c>
      <c r="U223" s="116" t="e">
        <f t="shared" si="94"/>
        <v>#VALUE!</v>
      </c>
      <c r="V223" s="116" t="str">
        <f>IFERROR(IF(VLOOKUP(A223,'Actual Dates'!A:AE,21,0)&gt;"",VLOOKUP(A223,'Actual Dates'!A:AE,21,0),W223-$V$2),"")</f>
        <v/>
      </c>
      <c r="W223" s="116" t="str">
        <f t="shared" si="95"/>
        <v/>
      </c>
      <c r="X223" s="116" t="str">
        <f t="shared" si="96"/>
        <v/>
      </c>
      <c r="Y223" s="116" t="str">
        <f t="shared" si="97"/>
        <v/>
      </c>
      <c r="Z223" s="116" t="str">
        <f t="shared" si="98"/>
        <v/>
      </c>
      <c r="AA223" s="116" t="str">
        <f t="shared" si="99"/>
        <v/>
      </c>
      <c r="AB223" s="116" t="str">
        <f t="shared" si="100"/>
        <v/>
      </c>
      <c r="AC223" s="116" t="str">
        <f t="shared" si="101"/>
        <v/>
      </c>
      <c r="AD223" s="116" t="str">
        <f t="shared" si="102"/>
        <v/>
      </c>
      <c r="AE223" s="116" t="str">
        <f t="shared" si="103"/>
        <v/>
      </c>
      <c r="AF223" s="116" t="str">
        <f t="shared" si="104"/>
        <v>0-0</v>
      </c>
    </row>
    <row r="224" spans="1:32" x14ac:dyDescent="0.25">
      <c r="A224" s="113">
        <f>'Date Calcs'!A224</f>
        <v>0</v>
      </c>
      <c r="B224" s="113">
        <f>'Date Calcs'!B224</f>
        <v>0</v>
      </c>
      <c r="C224" s="114" t="str">
        <f>_xlfn.IFNA(_xlfn.IFNA(VLOOKUP(AF224,'[1]Schedule Not Certified'!$C:$F,3,0),VLOOKUP(AF224,[1]CERTIFIED!$C:$E,3,0)),"")</f>
        <v/>
      </c>
      <c r="D224" s="115">
        <v>0</v>
      </c>
      <c r="E224" s="115">
        <v>0</v>
      </c>
      <c r="F224" s="115">
        <v>0</v>
      </c>
      <c r="G224" s="115">
        <v>0</v>
      </c>
      <c r="H224" s="115">
        <v>0</v>
      </c>
      <c r="I224" s="114" t="str">
        <f t="shared" si="89"/>
        <v/>
      </c>
      <c r="J224" s="116" t="e">
        <f t="shared" si="106"/>
        <v>#VALUE!</v>
      </c>
      <c r="K224" s="116" t="e">
        <f t="shared" si="106"/>
        <v>#VALUE!</v>
      </c>
      <c r="L224" s="116" t="e">
        <f t="shared" si="106"/>
        <v>#VALUE!</v>
      </c>
      <c r="M224" s="116" t="e">
        <f t="shared" si="106"/>
        <v>#VALUE!</v>
      </c>
      <c r="N224" s="116" t="e">
        <f t="shared" si="106"/>
        <v>#VALUE!</v>
      </c>
      <c r="O224" s="116" t="str">
        <f t="shared" si="90"/>
        <v/>
      </c>
      <c r="P224" s="116" t="str">
        <f t="shared" si="91"/>
        <v/>
      </c>
      <c r="Q224" s="116" t="str">
        <f>IFERROR(VLOOKUP(A224,'Date Calcs'!A:C,3,0),"")</f>
        <v/>
      </c>
      <c r="R224" s="116" t="str">
        <f t="shared" si="92"/>
        <v/>
      </c>
      <c r="S224" s="117"/>
      <c r="T224" s="116" t="e">
        <f t="shared" si="93"/>
        <v>#VALUE!</v>
      </c>
      <c r="U224" s="116" t="e">
        <f t="shared" si="94"/>
        <v>#VALUE!</v>
      </c>
      <c r="V224" s="116" t="str">
        <f>IFERROR(IF(VLOOKUP(A224,'Actual Dates'!A:AE,21,0)&gt;"",VLOOKUP(A224,'Actual Dates'!A:AE,21,0),W224-$V$2),"")</f>
        <v/>
      </c>
      <c r="W224" s="116" t="str">
        <f t="shared" si="95"/>
        <v/>
      </c>
      <c r="X224" s="116" t="str">
        <f t="shared" si="96"/>
        <v/>
      </c>
      <c r="Y224" s="116" t="str">
        <f t="shared" si="97"/>
        <v/>
      </c>
      <c r="Z224" s="116" t="str">
        <f t="shared" si="98"/>
        <v/>
      </c>
      <c r="AA224" s="116" t="str">
        <f t="shared" si="99"/>
        <v/>
      </c>
      <c r="AB224" s="116" t="str">
        <f t="shared" si="100"/>
        <v/>
      </c>
      <c r="AC224" s="116" t="str">
        <f t="shared" si="101"/>
        <v/>
      </c>
      <c r="AD224" s="116" t="str">
        <f t="shared" si="102"/>
        <v/>
      </c>
      <c r="AE224" s="116" t="str">
        <f t="shared" si="103"/>
        <v/>
      </c>
      <c r="AF224" s="116" t="str">
        <f t="shared" si="104"/>
        <v>0-0</v>
      </c>
    </row>
    <row r="225" spans="1:32" x14ac:dyDescent="0.25">
      <c r="A225" s="113">
        <f>'Date Calcs'!A225</f>
        <v>0</v>
      </c>
      <c r="B225" s="113">
        <f>'Date Calcs'!B225</f>
        <v>0</v>
      </c>
      <c r="C225" s="114" t="str">
        <f>_xlfn.IFNA(_xlfn.IFNA(VLOOKUP(AF225,'[1]Schedule Not Certified'!$C:$F,3,0),VLOOKUP(AF225,[1]CERTIFIED!$C:$E,3,0)),"")</f>
        <v/>
      </c>
      <c r="D225" s="115">
        <v>0</v>
      </c>
      <c r="E225" s="115">
        <v>0</v>
      </c>
      <c r="F225" s="115">
        <v>0</v>
      </c>
      <c r="G225" s="115">
        <v>0</v>
      </c>
      <c r="H225" s="115">
        <v>0</v>
      </c>
      <c r="I225" s="114" t="str">
        <f t="shared" si="89"/>
        <v/>
      </c>
      <c r="J225" s="116" t="e">
        <f t="shared" ref="J225:N234" si="107">K225-J$2</f>
        <v>#VALUE!</v>
      </c>
      <c r="K225" s="116" t="e">
        <f t="shared" si="107"/>
        <v>#VALUE!</v>
      </c>
      <c r="L225" s="116" t="e">
        <f t="shared" si="107"/>
        <v>#VALUE!</v>
      </c>
      <c r="M225" s="116" t="e">
        <f t="shared" si="107"/>
        <v>#VALUE!</v>
      </c>
      <c r="N225" s="116" t="e">
        <f t="shared" si="107"/>
        <v>#VALUE!</v>
      </c>
      <c r="O225" s="116" t="str">
        <f t="shared" si="90"/>
        <v/>
      </c>
      <c r="P225" s="116" t="str">
        <f t="shared" si="91"/>
        <v/>
      </c>
      <c r="Q225" s="116" t="str">
        <f>IFERROR(VLOOKUP(A225,'Date Calcs'!A:C,3,0),"")</f>
        <v/>
      </c>
      <c r="R225" s="116" t="str">
        <f t="shared" si="92"/>
        <v/>
      </c>
      <c r="S225" s="117"/>
      <c r="T225" s="116" t="e">
        <f t="shared" si="93"/>
        <v>#VALUE!</v>
      </c>
      <c r="U225" s="116" t="e">
        <f t="shared" si="94"/>
        <v>#VALUE!</v>
      </c>
      <c r="V225" s="116" t="str">
        <f>IFERROR(IF(VLOOKUP(A225,'Actual Dates'!A:AE,21,0)&gt;"",VLOOKUP(A225,'Actual Dates'!A:AE,21,0),W225-$V$2),"")</f>
        <v/>
      </c>
      <c r="W225" s="116" t="str">
        <f t="shared" si="95"/>
        <v/>
      </c>
      <c r="X225" s="116" t="str">
        <f t="shared" si="96"/>
        <v/>
      </c>
      <c r="Y225" s="116" t="str">
        <f t="shared" si="97"/>
        <v/>
      </c>
      <c r="Z225" s="116" t="str">
        <f t="shared" si="98"/>
        <v/>
      </c>
      <c r="AA225" s="116" t="str">
        <f t="shared" si="99"/>
        <v/>
      </c>
      <c r="AB225" s="116" t="str">
        <f t="shared" si="100"/>
        <v/>
      </c>
      <c r="AC225" s="116" t="str">
        <f t="shared" si="101"/>
        <v/>
      </c>
      <c r="AD225" s="116" t="str">
        <f t="shared" si="102"/>
        <v/>
      </c>
      <c r="AE225" s="116" t="str">
        <f t="shared" si="103"/>
        <v/>
      </c>
      <c r="AF225" s="116" t="str">
        <f t="shared" si="104"/>
        <v>0-0</v>
      </c>
    </row>
    <row r="226" spans="1:32" x14ac:dyDescent="0.25">
      <c r="A226" s="113">
        <f>'Date Calcs'!A226</f>
        <v>0</v>
      </c>
      <c r="B226" s="113">
        <f>'Date Calcs'!B226</f>
        <v>0</v>
      </c>
      <c r="C226" s="114" t="str">
        <f>_xlfn.IFNA(_xlfn.IFNA(VLOOKUP(AF226,'[1]Schedule Not Certified'!$C:$F,3,0),VLOOKUP(AF226,[1]CERTIFIED!$C:$E,3,0)),"")</f>
        <v/>
      </c>
      <c r="D226" s="115">
        <v>0</v>
      </c>
      <c r="E226" s="115">
        <v>0</v>
      </c>
      <c r="F226" s="115">
        <v>0</v>
      </c>
      <c r="G226" s="115">
        <v>0</v>
      </c>
      <c r="H226" s="115">
        <v>0</v>
      </c>
      <c r="I226" s="114" t="str">
        <f t="shared" si="89"/>
        <v/>
      </c>
      <c r="J226" s="116" t="e">
        <f t="shared" si="107"/>
        <v>#VALUE!</v>
      </c>
      <c r="K226" s="116" t="e">
        <f t="shared" si="107"/>
        <v>#VALUE!</v>
      </c>
      <c r="L226" s="116" t="e">
        <f t="shared" si="107"/>
        <v>#VALUE!</v>
      </c>
      <c r="M226" s="116" t="e">
        <f t="shared" si="107"/>
        <v>#VALUE!</v>
      </c>
      <c r="N226" s="116" t="e">
        <f t="shared" si="107"/>
        <v>#VALUE!</v>
      </c>
      <c r="O226" s="116" t="str">
        <f t="shared" si="90"/>
        <v/>
      </c>
      <c r="P226" s="116" t="str">
        <f t="shared" si="91"/>
        <v/>
      </c>
      <c r="Q226" s="116" t="str">
        <f>IFERROR(VLOOKUP(A226,'Date Calcs'!A:C,3,0),"")</f>
        <v/>
      </c>
      <c r="R226" s="116" t="str">
        <f t="shared" si="92"/>
        <v/>
      </c>
      <c r="S226" s="117"/>
      <c r="T226" s="116" t="e">
        <f t="shared" si="93"/>
        <v>#VALUE!</v>
      </c>
      <c r="U226" s="116" t="e">
        <f t="shared" si="94"/>
        <v>#VALUE!</v>
      </c>
      <c r="V226" s="116" t="str">
        <f>IFERROR(IF(VLOOKUP(A226,'Actual Dates'!A:AE,21,0)&gt;"",VLOOKUP(A226,'Actual Dates'!A:AE,21,0),W226-$V$2),"")</f>
        <v/>
      </c>
      <c r="W226" s="116" t="str">
        <f t="shared" si="95"/>
        <v/>
      </c>
      <c r="X226" s="116" t="str">
        <f t="shared" si="96"/>
        <v/>
      </c>
      <c r="Y226" s="116" t="str">
        <f t="shared" si="97"/>
        <v/>
      </c>
      <c r="Z226" s="116" t="str">
        <f t="shared" si="98"/>
        <v/>
      </c>
      <c r="AA226" s="116" t="str">
        <f t="shared" si="99"/>
        <v/>
      </c>
      <c r="AB226" s="116" t="str">
        <f t="shared" si="100"/>
        <v/>
      </c>
      <c r="AC226" s="116" t="str">
        <f t="shared" si="101"/>
        <v/>
      </c>
      <c r="AD226" s="116" t="str">
        <f t="shared" si="102"/>
        <v/>
      </c>
      <c r="AE226" s="116" t="str">
        <f t="shared" si="103"/>
        <v/>
      </c>
      <c r="AF226" s="116" t="str">
        <f t="shared" si="104"/>
        <v>0-0</v>
      </c>
    </row>
    <row r="227" spans="1:32" x14ac:dyDescent="0.25">
      <c r="A227" s="113">
        <f>'Date Calcs'!A227</f>
        <v>0</v>
      </c>
      <c r="B227" s="113">
        <f>'Date Calcs'!B227</f>
        <v>0</v>
      </c>
      <c r="C227" s="114" t="str">
        <f>_xlfn.IFNA(_xlfn.IFNA(VLOOKUP(AF227,'[1]Schedule Not Certified'!$C:$F,3,0),VLOOKUP(AF227,[1]CERTIFIED!$C:$E,3,0)),"")</f>
        <v/>
      </c>
      <c r="D227" s="115">
        <v>0</v>
      </c>
      <c r="E227" s="115">
        <v>0</v>
      </c>
      <c r="F227" s="115">
        <v>0</v>
      </c>
      <c r="G227" s="115">
        <v>0</v>
      </c>
      <c r="H227" s="115">
        <v>0</v>
      </c>
      <c r="I227" s="114" t="str">
        <f t="shared" si="89"/>
        <v/>
      </c>
      <c r="J227" s="116" t="e">
        <f t="shared" si="107"/>
        <v>#VALUE!</v>
      </c>
      <c r="K227" s="116" t="e">
        <f t="shared" si="107"/>
        <v>#VALUE!</v>
      </c>
      <c r="L227" s="116" t="e">
        <f t="shared" si="107"/>
        <v>#VALUE!</v>
      </c>
      <c r="M227" s="116" t="e">
        <f t="shared" si="107"/>
        <v>#VALUE!</v>
      </c>
      <c r="N227" s="116" t="e">
        <f t="shared" si="107"/>
        <v>#VALUE!</v>
      </c>
      <c r="O227" s="116" t="str">
        <f t="shared" si="90"/>
        <v/>
      </c>
      <c r="P227" s="116" t="str">
        <f t="shared" si="91"/>
        <v/>
      </c>
      <c r="Q227" s="116" t="str">
        <f>IFERROR(VLOOKUP(A227,'Date Calcs'!A:C,3,0),"")</f>
        <v/>
      </c>
      <c r="R227" s="116" t="str">
        <f t="shared" si="92"/>
        <v/>
      </c>
      <c r="S227" s="117"/>
      <c r="T227" s="116" t="e">
        <f t="shared" si="93"/>
        <v>#VALUE!</v>
      </c>
      <c r="U227" s="116" t="e">
        <f t="shared" si="94"/>
        <v>#VALUE!</v>
      </c>
      <c r="V227" s="116" t="str">
        <f>IFERROR(IF(VLOOKUP(A227,'Actual Dates'!A:AE,21,0)&gt;"",VLOOKUP(A227,'Actual Dates'!A:AE,21,0),W227-$V$2),"")</f>
        <v/>
      </c>
      <c r="W227" s="116" t="str">
        <f t="shared" si="95"/>
        <v/>
      </c>
      <c r="X227" s="116" t="str">
        <f t="shared" si="96"/>
        <v/>
      </c>
      <c r="Y227" s="116" t="str">
        <f t="shared" si="97"/>
        <v/>
      </c>
      <c r="Z227" s="116" t="str">
        <f t="shared" si="98"/>
        <v/>
      </c>
      <c r="AA227" s="116" t="str">
        <f t="shared" si="99"/>
        <v/>
      </c>
      <c r="AB227" s="116" t="str">
        <f t="shared" si="100"/>
        <v/>
      </c>
      <c r="AC227" s="116" t="str">
        <f t="shared" si="101"/>
        <v/>
      </c>
      <c r="AD227" s="116" t="str">
        <f t="shared" si="102"/>
        <v/>
      </c>
      <c r="AE227" s="116" t="str">
        <f t="shared" si="103"/>
        <v/>
      </c>
      <c r="AF227" s="116" t="str">
        <f t="shared" si="104"/>
        <v>0-0</v>
      </c>
    </row>
    <row r="228" spans="1:32" x14ac:dyDescent="0.25">
      <c r="A228" s="113">
        <f>'Date Calcs'!A228</f>
        <v>0</v>
      </c>
      <c r="B228" s="113">
        <f>'Date Calcs'!B228</f>
        <v>0</v>
      </c>
      <c r="C228" s="114" t="str">
        <f>_xlfn.IFNA(_xlfn.IFNA(VLOOKUP(AF228,'[1]Schedule Not Certified'!$C:$F,3,0),VLOOKUP(AF228,[1]CERTIFIED!$C:$E,3,0)),"")</f>
        <v/>
      </c>
      <c r="D228" s="115">
        <v>0</v>
      </c>
      <c r="E228" s="115">
        <v>0</v>
      </c>
      <c r="F228" s="115">
        <v>0</v>
      </c>
      <c r="G228" s="115">
        <v>0</v>
      </c>
      <c r="H228" s="115">
        <v>0</v>
      </c>
      <c r="I228" s="114" t="str">
        <f t="shared" si="89"/>
        <v/>
      </c>
      <c r="J228" s="116" t="e">
        <f t="shared" si="107"/>
        <v>#VALUE!</v>
      </c>
      <c r="K228" s="116" t="e">
        <f t="shared" si="107"/>
        <v>#VALUE!</v>
      </c>
      <c r="L228" s="116" t="e">
        <f t="shared" si="107"/>
        <v>#VALUE!</v>
      </c>
      <c r="M228" s="116" t="e">
        <f t="shared" si="107"/>
        <v>#VALUE!</v>
      </c>
      <c r="N228" s="116" t="e">
        <f t="shared" si="107"/>
        <v>#VALUE!</v>
      </c>
      <c r="O228" s="116" t="str">
        <f t="shared" si="90"/>
        <v/>
      </c>
      <c r="P228" s="116" t="str">
        <f t="shared" si="91"/>
        <v/>
      </c>
      <c r="Q228" s="116" t="str">
        <f>IFERROR(VLOOKUP(A228,'Date Calcs'!A:C,3,0),"")</f>
        <v/>
      </c>
      <c r="R228" s="116" t="str">
        <f t="shared" si="92"/>
        <v/>
      </c>
      <c r="S228" s="117"/>
      <c r="T228" s="116" t="e">
        <f t="shared" si="93"/>
        <v>#VALUE!</v>
      </c>
      <c r="U228" s="116" t="e">
        <f t="shared" si="94"/>
        <v>#VALUE!</v>
      </c>
      <c r="V228" s="116" t="str">
        <f>IFERROR(IF(VLOOKUP(A228,'Actual Dates'!A:AE,21,0)&gt;"",VLOOKUP(A228,'Actual Dates'!A:AE,21,0),W228-$V$2),"")</f>
        <v/>
      </c>
      <c r="W228" s="116" t="str">
        <f t="shared" si="95"/>
        <v/>
      </c>
      <c r="X228" s="116" t="str">
        <f t="shared" si="96"/>
        <v/>
      </c>
      <c r="Y228" s="116" t="str">
        <f t="shared" si="97"/>
        <v/>
      </c>
      <c r="Z228" s="116" t="str">
        <f t="shared" si="98"/>
        <v/>
      </c>
      <c r="AA228" s="116" t="str">
        <f t="shared" si="99"/>
        <v/>
      </c>
      <c r="AB228" s="116" t="str">
        <f t="shared" si="100"/>
        <v/>
      </c>
      <c r="AC228" s="116" t="str">
        <f t="shared" si="101"/>
        <v/>
      </c>
      <c r="AD228" s="116" t="str">
        <f t="shared" si="102"/>
        <v/>
      </c>
      <c r="AE228" s="116" t="str">
        <f t="shared" si="103"/>
        <v/>
      </c>
      <c r="AF228" s="116" t="str">
        <f t="shared" si="104"/>
        <v>0-0</v>
      </c>
    </row>
    <row r="229" spans="1:32" x14ac:dyDescent="0.25">
      <c r="A229" s="113">
        <f>'Date Calcs'!A229</f>
        <v>0</v>
      </c>
      <c r="B229" s="113">
        <f>'Date Calcs'!B229</f>
        <v>0</v>
      </c>
      <c r="C229" s="114" t="str">
        <f>_xlfn.IFNA(_xlfn.IFNA(VLOOKUP(AF229,'[1]Schedule Not Certified'!$C:$F,3,0),VLOOKUP(AF229,[1]CERTIFIED!$C:$E,3,0)),"")</f>
        <v/>
      </c>
      <c r="D229" s="115">
        <v>0</v>
      </c>
      <c r="E229" s="115">
        <v>0</v>
      </c>
      <c r="F229" s="115">
        <v>0</v>
      </c>
      <c r="G229" s="115">
        <v>0</v>
      </c>
      <c r="H229" s="115">
        <v>0</v>
      </c>
      <c r="I229" s="114" t="str">
        <f t="shared" si="89"/>
        <v/>
      </c>
      <c r="J229" s="116" t="e">
        <f t="shared" si="107"/>
        <v>#VALUE!</v>
      </c>
      <c r="K229" s="116" t="e">
        <f t="shared" si="107"/>
        <v>#VALUE!</v>
      </c>
      <c r="L229" s="116" t="e">
        <f t="shared" si="107"/>
        <v>#VALUE!</v>
      </c>
      <c r="M229" s="116" t="e">
        <f t="shared" si="107"/>
        <v>#VALUE!</v>
      </c>
      <c r="N229" s="116" t="e">
        <f t="shared" si="107"/>
        <v>#VALUE!</v>
      </c>
      <c r="O229" s="116" t="str">
        <f t="shared" si="90"/>
        <v/>
      </c>
      <c r="P229" s="116" t="str">
        <f t="shared" si="91"/>
        <v/>
      </c>
      <c r="Q229" s="116" t="str">
        <f>IFERROR(VLOOKUP(A229,'Date Calcs'!A:C,3,0),"")</f>
        <v/>
      </c>
      <c r="R229" s="116" t="str">
        <f t="shared" si="92"/>
        <v/>
      </c>
      <c r="S229" s="117"/>
      <c r="T229" s="116" t="e">
        <f t="shared" si="93"/>
        <v>#VALUE!</v>
      </c>
      <c r="U229" s="116" t="e">
        <f t="shared" si="94"/>
        <v>#VALUE!</v>
      </c>
      <c r="V229" s="116" t="str">
        <f>IFERROR(IF(VLOOKUP(A229,'Actual Dates'!A:AE,21,0)&gt;"",VLOOKUP(A229,'Actual Dates'!A:AE,21,0),W229-$V$2),"")</f>
        <v/>
      </c>
      <c r="W229" s="116" t="str">
        <f t="shared" si="95"/>
        <v/>
      </c>
      <c r="X229" s="116" t="str">
        <f t="shared" si="96"/>
        <v/>
      </c>
      <c r="Y229" s="116" t="str">
        <f t="shared" si="97"/>
        <v/>
      </c>
      <c r="Z229" s="116" t="str">
        <f t="shared" si="98"/>
        <v/>
      </c>
      <c r="AA229" s="116" t="str">
        <f t="shared" si="99"/>
        <v/>
      </c>
      <c r="AB229" s="116" t="str">
        <f t="shared" si="100"/>
        <v/>
      </c>
      <c r="AC229" s="116" t="str">
        <f t="shared" si="101"/>
        <v/>
      </c>
      <c r="AD229" s="116" t="str">
        <f t="shared" si="102"/>
        <v/>
      </c>
      <c r="AE229" s="116" t="str">
        <f t="shared" si="103"/>
        <v/>
      </c>
      <c r="AF229" s="116" t="str">
        <f t="shared" si="104"/>
        <v>0-0</v>
      </c>
    </row>
    <row r="230" spans="1:32" x14ac:dyDescent="0.25">
      <c r="A230" s="113">
        <f>'Date Calcs'!A230</f>
        <v>0</v>
      </c>
      <c r="B230" s="113">
        <f>'Date Calcs'!B230</f>
        <v>0</v>
      </c>
      <c r="C230" s="114" t="str">
        <f>_xlfn.IFNA(_xlfn.IFNA(VLOOKUP(AF230,'[1]Schedule Not Certified'!$C:$F,3,0),VLOOKUP(AF230,[1]CERTIFIED!$C:$E,3,0)),"")</f>
        <v/>
      </c>
      <c r="D230" s="115">
        <v>0</v>
      </c>
      <c r="E230" s="115">
        <v>0</v>
      </c>
      <c r="F230" s="115">
        <v>0</v>
      </c>
      <c r="G230" s="115">
        <v>0</v>
      </c>
      <c r="H230" s="115">
        <v>0</v>
      </c>
      <c r="I230" s="114" t="str">
        <f t="shared" si="89"/>
        <v/>
      </c>
      <c r="J230" s="116" t="e">
        <f t="shared" si="107"/>
        <v>#VALUE!</v>
      </c>
      <c r="K230" s="116" t="e">
        <f t="shared" si="107"/>
        <v>#VALUE!</v>
      </c>
      <c r="L230" s="116" t="e">
        <f t="shared" si="107"/>
        <v>#VALUE!</v>
      </c>
      <c r="M230" s="116" t="e">
        <f t="shared" si="107"/>
        <v>#VALUE!</v>
      </c>
      <c r="N230" s="116" t="e">
        <f t="shared" si="107"/>
        <v>#VALUE!</v>
      </c>
      <c r="O230" s="116" t="str">
        <f t="shared" si="90"/>
        <v/>
      </c>
      <c r="P230" s="116" t="str">
        <f t="shared" si="91"/>
        <v/>
      </c>
      <c r="Q230" s="116" t="str">
        <f>IFERROR(VLOOKUP(A230,'Date Calcs'!A:C,3,0),"")</f>
        <v/>
      </c>
      <c r="R230" s="116" t="str">
        <f t="shared" si="92"/>
        <v/>
      </c>
      <c r="S230" s="117"/>
      <c r="T230" s="116" t="e">
        <f t="shared" si="93"/>
        <v>#VALUE!</v>
      </c>
      <c r="U230" s="116" t="e">
        <f t="shared" si="94"/>
        <v>#VALUE!</v>
      </c>
      <c r="V230" s="116" t="str">
        <f>IFERROR(IF(VLOOKUP(A230,'Actual Dates'!A:AE,21,0)&gt;"",VLOOKUP(A230,'Actual Dates'!A:AE,21,0),W230-$V$2),"")</f>
        <v/>
      </c>
      <c r="W230" s="116" t="str">
        <f t="shared" si="95"/>
        <v/>
      </c>
      <c r="X230" s="116" t="str">
        <f t="shared" si="96"/>
        <v/>
      </c>
      <c r="Y230" s="116" t="str">
        <f t="shared" si="97"/>
        <v/>
      </c>
      <c r="Z230" s="116" t="str">
        <f t="shared" si="98"/>
        <v/>
      </c>
      <c r="AA230" s="116" t="str">
        <f t="shared" si="99"/>
        <v/>
      </c>
      <c r="AB230" s="116" t="str">
        <f t="shared" si="100"/>
        <v/>
      </c>
      <c r="AC230" s="116" t="str">
        <f t="shared" si="101"/>
        <v/>
      </c>
      <c r="AD230" s="116" t="str">
        <f t="shared" si="102"/>
        <v/>
      </c>
      <c r="AE230" s="116" t="str">
        <f t="shared" si="103"/>
        <v/>
      </c>
      <c r="AF230" s="116" t="str">
        <f t="shared" si="104"/>
        <v>0-0</v>
      </c>
    </row>
    <row r="231" spans="1:32" x14ac:dyDescent="0.25">
      <c r="A231" s="113">
        <f>'Date Calcs'!A231</f>
        <v>0</v>
      </c>
      <c r="B231" s="113">
        <f>'Date Calcs'!B231</f>
        <v>0</v>
      </c>
      <c r="C231" s="114" t="str">
        <f>_xlfn.IFNA(_xlfn.IFNA(VLOOKUP(AF231,'[1]Schedule Not Certified'!$C:$F,3,0),VLOOKUP(AF231,[1]CERTIFIED!$C:$E,3,0)),"")</f>
        <v/>
      </c>
      <c r="D231" s="115">
        <v>0</v>
      </c>
      <c r="E231" s="115">
        <v>0</v>
      </c>
      <c r="F231" s="115">
        <v>0</v>
      </c>
      <c r="G231" s="115">
        <v>0</v>
      </c>
      <c r="H231" s="115">
        <v>0</v>
      </c>
      <c r="I231" s="114" t="str">
        <f t="shared" si="89"/>
        <v/>
      </c>
      <c r="J231" s="116" t="e">
        <f t="shared" si="107"/>
        <v>#VALUE!</v>
      </c>
      <c r="K231" s="116" t="e">
        <f t="shared" si="107"/>
        <v>#VALUE!</v>
      </c>
      <c r="L231" s="116" t="e">
        <f t="shared" si="107"/>
        <v>#VALUE!</v>
      </c>
      <c r="M231" s="116" t="e">
        <f t="shared" si="107"/>
        <v>#VALUE!</v>
      </c>
      <c r="N231" s="116" t="e">
        <f t="shared" si="107"/>
        <v>#VALUE!</v>
      </c>
      <c r="O231" s="116" t="str">
        <f t="shared" si="90"/>
        <v/>
      </c>
      <c r="P231" s="116" t="str">
        <f t="shared" si="91"/>
        <v/>
      </c>
      <c r="Q231" s="116" t="str">
        <f>IFERROR(VLOOKUP(A231,'Date Calcs'!A:C,3,0),"")</f>
        <v/>
      </c>
      <c r="R231" s="116" t="str">
        <f t="shared" si="92"/>
        <v/>
      </c>
      <c r="S231" s="117"/>
      <c r="T231" s="116" t="e">
        <f t="shared" si="93"/>
        <v>#VALUE!</v>
      </c>
      <c r="U231" s="116" t="e">
        <f t="shared" si="94"/>
        <v>#VALUE!</v>
      </c>
      <c r="V231" s="116" t="str">
        <f>IFERROR(IF(VLOOKUP(A231,'Actual Dates'!A:AE,21,0)&gt;"",VLOOKUP(A231,'Actual Dates'!A:AE,21,0),W231-$V$2),"")</f>
        <v/>
      </c>
      <c r="W231" s="116" t="str">
        <f t="shared" si="95"/>
        <v/>
      </c>
      <c r="X231" s="116" t="str">
        <f t="shared" si="96"/>
        <v/>
      </c>
      <c r="Y231" s="116" t="str">
        <f t="shared" si="97"/>
        <v/>
      </c>
      <c r="Z231" s="116" t="str">
        <f t="shared" si="98"/>
        <v/>
      </c>
      <c r="AA231" s="116" t="str">
        <f t="shared" si="99"/>
        <v/>
      </c>
      <c r="AB231" s="116" t="str">
        <f t="shared" si="100"/>
        <v/>
      </c>
      <c r="AC231" s="116" t="str">
        <f t="shared" si="101"/>
        <v/>
      </c>
      <c r="AD231" s="116" t="str">
        <f t="shared" si="102"/>
        <v/>
      </c>
      <c r="AE231" s="116" t="str">
        <f t="shared" si="103"/>
        <v/>
      </c>
      <c r="AF231" s="116" t="str">
        <f t="shared" si="104"/>
        <v>0-0</v>
      </c>
    </row>
    <row r="232" spans="1:32" x14ac:dyDescent="0.25">
      <c r="A232" s="113">
        <f>'Date Calcs'!A232</f>
        <v>0</v>
      </c>
      <c r="B232" s="113">
        <f>'Date Calcs'!B232</f>
        <v>0</v>
      </c>
      <c r="C232" s="114" t="str">
        <f>_xlfn.IFNA(_xlfn.IFNA(VLOOKUP(AF232,'[1]Schedule Not Certified'!$C:$F,3,0),VLOOKUP(AF232,[1]CERTIFIED!$C:$E,3,0)),"")</f>
        <v/>
      </c>
      <c r="D232" s="115">
        <v>0</v>
      </c>
      <c r="E232" s="115">
        <v>0</v>
      </c>
      <c r="F232" s="115">
        <v>0</v>
      </c>
      <c r="G232" s="115">
        <v>0</v>
      </c>
      <c r="H232" s="115">
        <v>0</v>
      </c>
      <c r="I232" s="114" t="str">
        <f t="shared" si="89"/>
        <v/>
      </c>
      <c r="J232" s="116" t="e">
        <f t="shared" si="107"/>
        <v>#VALUE!</v>
      </c>
      <c r="K232" s="116" t="e">
        <f t="shared" si="107"/>
        <v>#VALUE!</v>
      </c>
      <c r="L232" s="116" t="e">
        <f t="shared" si="107"/>
        <v>#VALUE!</v>
      </c>
      <c r="M232" s="116" t="e">
        <f t="shared" si="107"/>
        <v>#VALUE!</v>
      </c>
      <c r="N232" s="116" t="e">
        <f t="shared" si="107"/>
        <v>#VALUE!</v>
      </c>
      <c r="O232" s="116" t="str">
        <f t="shared" si="90"/>
        <v/>
      </c>
      <c r="P232" s="116" t="str">
        <f t="shared" si="91"/>
        <v/>
      </c>
      <c r="Q232" s="116" t="str">
        <f>IFERROR(VLOOKUP(A232,'Date Calcs'!A:C,3,0),"")</f>
        <v/>
      </c>
      <c r="R232" s="116" t="str">
        <f t="shared" si="92"/>
        <v/>
      </c>
      <c r="S232" s="117"/>
      <c r="T232" s="116" t="e">
        <f t="shared" si="93"/>
        <v>#VALUE!</v>
      </c>
      <c r="U232" s="116" t="e">
        <f t="shared" si="94"/>
        <v>#VALUE!</v>
      </c>
      <c r="V232" s="116" t="str">
        <f>IFERROR(IF(VLOOKUP(A232,'Actual Dates'!A:AE,21,0)&gt;"",VLOOKUP(A232,'Actual Dates'!A:AE,21,0),W232-$V$2),"")</f>
        <v/>
      </c>
      <c r="W232" s="116" t="str">
        <f t="shared" si="95"/>
        <v/>
      </c>
      <c r="X232" s="116" t="str">
        <f t="shared" si="96"/>
        <v/>
      </c>
      <c r="Y232" s="116" t="str">
        <f t="shared" si="97"/>
        <v/>
      </c>
      <c r="Z232" s="116" t="str">
        <f t="shared" si="98"/>
        <v/>
      </c>
      <c r="AA232" s="116" t="str">
        <f t="shared" si="99"/>
        <v/>
      </c>
      <c r="AB232" s="116" t="str">
        <f t="shared" si="100"/>
        <v/>
      </c>
      <c r="AC232" s="116" t="str">
        <f t="shared" si="101"/>
        <v/>
      </c>
      <c r="AD232" s="116" t="str">
        <f t="shared" si="102"/>
        <v/>
      </c>
      <c r="AE232" s="116" t="str">
        <f t="shared" si="103"/>
        <v/>
      </c>
      <c r="AF232" s="116" t="str">
        <f t="shared" si="104"/>
        <v>0-0</v>
      </c>
    </row>
    <row r="233" spans="1:32" x14ac:dyDescent="0.25">
      <c r="A233" s="113">
        <f>'Date Calcs'!A233</f>
        <v>0</v>
      </c>
      <c r="B233" s="113">
        <f>'Date Calcs'!B233</f>
        <v>0</v>
      </c>
      <c r="C233" s="114" t="str">
        <f>_xlfn.IFNA(_xlfn.IFNA(VLOOKUP(AF233,'[1]Schedule Not Certified'!$C:$F,3,0),VLOOKUP(AF233,[1]CERTIFIED!$C:$E,3,0)),"")</f>
        <v/>
      </c>
      <c r="D233" s="115">
        <v>0</v>
      </c>
      <c r="E233" s="115">
        <v>0</v>
      </c>
      <c r="F233" s="115">
        <v>0</v>
      </c>
      <c r="G233" s="115">
        <v>0</v>
      </c>
      <c r="H233" s="115">
        <v>0</v>
      </c>
      <c r="I233" s="114" t="str">
        <f t="shared" si="89"/>
        <v/>
      </c>
      <c r="J233" s="116" t="e">
        <f t="shared" si="107"/>
        <v>#VALUE!</v>
      </c>
      <c r="K233" s="116" t="e">
        <f t="shared" si="107"/>
        <v>#VALUE!</v>
      </c>
      <c r="L233" s="116" t="e">
        <f t="shared" si="107"/>
        <v>#VALUE!</v>
      </c>
      <c r="M233" s="116" t="e">
        <f t="shared" si="107"/>
        <v>#VALUE!</v>
      </c>
      <c r="N233" s="116" t="e">
        <f t="shared" si="107"/>
        <v>#VALUE!</v>
      </c>
      <c r="O233" s="116" t="str">
        <f t="shared" si="90"/>
        <v/>
      </c>
      <c r="P233" s="116" t="str">
        <f t="shared" si="91"/>
        <v/>
      </c>
      <c r="Q233" s="116" t="str">
        <f>IFERROR(VLOOKUP(A233,'Date Calcs'!A:C,3,0),"")</f>
        <v/>
      </c>
      <c r="R233" s="116" t="str">
        <f t="shared" si="92"/>
        <v/>
      </c>
      <c r="S233" s="117"/>
      <c r="T233" s="116" t="e">
        <f t="shared" si="93"/>
        <v>#VALUE!</v>
      </c>
      <c r="U233" s="116" t="e">
        <f t="shared" si="94"/>
        <v>#VALUE!</v>
      </c>
      <c r="V233" s="116" t="str">
        <f>IFERROR(IF(VLOOKUP(A233,'Actual Dates'!A:AE,21,0)&gt;"",VLOOKUP(A233,'Actual Dates'!A:AE,21,0),W233-$V$2),"")</f>
        <v/>
      </c>
      <c r="W233" s="116" t="str">
        <f t="shared" si="95"/>
        <v/>
      </c>
      <c r="X233" s="116" t="str">
        <f t="shared" si="96"/>
        <v/>
      </c>
      <c r="Y233" s="116" t="str">
        <f t="shared" si="97"/>
        <v/>
      </c>
      <c r="Z233" s="116" t="str">
        <f t="shared" si="98"/>
        <v/>
      </c>
      <c r="AA233" s="116" t="str">
        <f t="shared" si="99"/>
        <v/>
      </c>
      <c r="AB233" s="116" t="str">
        <f t="shared" si="100"/>
        <v/>
      </c>
      <c r="AC233" s="116" t="str">
        <f t="shared" si="101"/>
        <v/>
      </c>
      <c r="AD233" s="116" t="str">
        <f t="shared" si="102"/>
        <v/>
      </c>
      <c r="AE233" s="116" t="str">
        <f t="shared" si="103"/>
        <v/>
      </c>
      <c r="AF233" s="116" t="str">
        <f t="shared" si="104"/>
        <v>0-0</v>
      </c>
    </row>
    <row r="234" spans="1:32" x14ac:dyDescent="0.25">
      <c r="A234" s="113">
        <f>'Date Calcs'!A234</f>
        <v>0</v>
      </c>
      <c r="B234" s="113">
        <f>'Date Calcs'!B234</f>
        <v>0</v>
      </c>
      <c r="C234" s="114" t="str">
        <f>_xlfn.IFNA(_xlfn.IFNA(VLOOKUP(AF234,'[1]Schedule Not Certified'!$C:$F,3,0),VLOOKUP(AF234,[1]CERTIFIED!$C:$E,3,0)),"")</f>
        <v/>
      </c>
      <c r="D234" s="115">
        <v>0</v>
      </c>
      <c r="E234" s="115">
        <v>0</v>
      </c>
      <c r="F234" s="115">
        <v>0</v>
      </c>
      <c r="G234" s="115">
        <v>0</v>
      </c>
      <c r="H234" s="115">
        <v>0</v>
      </c>
      <c r="I234" s="114" t="str">
        <f t="shared" si="89"/>
        <v/>
      </c>
      <c r="J234" s="116" t="e">
        <f t="shared" si="107"/>
        <v>#VALUE!</v>
      </c>
      <c r="K234" s="116" t="e">
        <f t="shared" si="107"/>
        <v>#VALUE!</v>
      </c>
      <c r="L234" s="116" t="e">
        <f t="shared" si="107"/>
        <v>#VALUE!</v>
      </c>
      <c r="M234" s="116" t="e">
        <f t="shared" si="107"/>
        <v>#VALUE!</v>
      </c>
      <c r="N234" s="116" t="e">
        <f t="shared" si="107"/>
        <v>#VALUE!</v>
      </c>
      <c r="O234" s="116" t="str">
        <f t="shared" si="90"/>
        <v/>
      </c>
      <c r="P234" s="116" t="str">
        <f t="shared" si="91"/>
        <v/>
      </c>
      <c r="Q234" s="116" t="str">
        <f>IFERROR(VLOOKUP(A234,'Date Calcs'!A:C,3,0),"")</f>
        <v/>
      </c>
      <c r="R234" s="116" t="str">
        <f t="shared" si="92"/>
        <v/>
      </c>
      <c r="S234" s="117"/>
      <c r="T234" s="116" t="e">
        <f t="shared" si="93"/>
        <v>#VALUE!</v>
      </c>
      <c r="U234" s="116" t="e">
        <f t="shared" si="94"/>
        <v>#VALUE!</v>
      </c>
      <c r="V234" s="116" t="str">
        <f>IFERROR(IF(VLOOKUP(A234,'Actual Dates'!A:AE,21,0)&gt;"",VLOOKUP(A234,'Actual Dates'!A:AE,21,0),W234-$V$2),"")</f>
        <v/>
      </c>
      <c r="W234" s="116" t="str">
        <f t="shared" si="95"/>
        <v/>
      </c>
      <c r="X234" s="116" t="str">
        <f t="shared" si="96"/>
        <v/>
      </c>
      <c r="Y234" s="116" t="str">
        <f t="shared" si="97"/>
        <v/>
      </c>
      <c r="Z234" s="116" t="str">
        <f t="shared" si="98"/>
        <v/>
      </c>
      <c r="AA234" s="116" t="str">
        <f t="shared" si="99"/>
        <v/>
      </c>
      <c r="AB234" s="116" t="str">
        <f t="shared" si="100"/>
        <v/>
      </c>
      <c r="AC234" s="116" t="str">
        <f t="shared" si="101"/>
        <v/>
      </c>
      <c r="AD234" s="116" t="str">
        <f t="shared" si="102"/>
        <v/>
      </c>
      <c r="AE234" s="116" t="str">
        <f t="shared" si="103"/>
        <v/>
      </c>
      <c r="AF234" s="116" t="str">
        <f t="shared" si="104"/>
        <v>0-0</v>
      </c>
    </row>
    <row r="235" spans="1:32" x14ac:dyDescent="0.25">
      <c r="A235" s="113">
        <f>'Date Calcs'!A235</f>
        <v>0</v>
      </c>
      <c r="B235" s="113">
        <f>'Date Calcs'!B235</f>
        <v>0</v>
      </c>
      <c r="C235" s="114" t="str">
        <f>_xlfn.IFNA(_xlfn.IFNA(VLOOKUP(AF235,'[1]Schedule Not Certified'!$C:$F,3,0),VLOOKUP(AF235,[1]CERTIFIED!$C:$E,3,0)),"")</f>
        <v/>
      </c>
      <c r="D235" s="115">
        <v>0</v>
      </c>
      <c r="E235" s="115">
        <v>0</v>
      </c>
      <c r="F235" s="115">
        <v>0</v>
      </c>
      <c r="G235" s="115">
        <v>0</v>
      </c>
      <c r="H235" s="115">
        <v>0</v>
      </c>
      <c r="I235" s="114" t="str">
        <f t="shared" si="89"/>
        <v/>
      </c>
      <c r="J235" s="116" t="e">
        <f t="shared" ref="J235:N244" si="108">K235-J$2</f>
        <v>#VALUE!</v>
      </c>
      <c r="K235" s="116" t="e">
        <f t="shared" si="108"/>
        <v>#VALUE!</v>
      </c>
      <c r="L235" s="116" t="e">
        <f t="shared" si="108"/>
        <v>#VALUE!</v>
      </c>
      <c r="M235" s="116" t="e">
        <f t="shared" si="108"/>
        <v>#VALUE!</v>
      </c>
      <c r="N235" s="116" t="e">
        <f t="shared" si="108"/>
        <v>#VALUE!</v>
      </c>
      <c r="O235" s="116" t="str">
        <f t="shared" si="90"/>
        <v/>
      </c>
      <c r="P235" s="116" t="str">
        <f t="shared" si="91"/>
        <v/>
      </c>
      <c r="Q235" s="116" t="str">
        <f>IFERROR(VLOOKUP(A235,'Date Calcs'!A:C,3,0),"")</f>
        <v/>
      </c>
      <c r="R235" s="116" t="str">
        <f t="shared" si="92"/>
        <v/>
      </c>
      <c r="S235" s="117"/>
      <c r="T235" s="116" t="e">
        <f t="shared" si="93"/>
        <v>#VALUE!</v>
      </c>
      <c r="U235" s="116" t="e">
        <f t="shared" si="94"/>
        <v>#VALUE!</v>
      </c>
      <c r="V235" s="116" t="str">
        <f>IFERROR(IF(VLOOKUP(A235,'Actual Dates'!A:AE,21,0)&gt;"",VLOOKUP(A235,'Actual Dates'!A:AE,21,0),W235-$V$2),"")</f>
        <v/>
      </c>
      <c r="W235" s="116" t="str">
        <f t="shared" si="95"/>
        <v/>
      </c>
      <c r="X235" s="116" t="str">
        <f t="shared" si="96"/>
        <v/>
      </c>
      <c r="Y235" s="116" t="str">
        <f t="shared" si="97"/>
        <v/>
      </c>
      <c r="Z235" s="116" t="str">
        <f t="shared" si="98"/>
        <v/>
      </c>
      <c r="AA235" s="116" t="str">
        <f t="shared" si="99"/>
        <v/>
      </c>
      <c r="AB235" s="116" t="str">
        <f t="shared" si="100"/>
        <v/>
      </c>
      <c r="AC235" s="116" t="str">
        <f t="shared" si="101"/>
        <v/>
      </c>
      <c r="AD235" s="116" t="str">
        <f t="shared" si="102"/>
        <v/>
      </c>
      <c r="AE235" s="116" t="str">
        <f t="shared" si="103"/>
        <v/>
      </c>
      <c r="AF235" s="116" t="str">
        <f t="shared" si="104"/>
        <v>0-0</v>
      </c>
    </row>
    <row r="236" spans="1:32" x14ac:dyDescent="0.25">
      <c r="A236" s="113">
        <f>'Date Calcs'!A236</f>
        <v>0</v>
      </c>
      <c r="B236" s="113">
        <f>'Date Calcs'!B236</f>
        <v>0</v>
      </c>
      <c r="C236" s="114" t="str">
        <f>_xlfn.IFNA(_xlfn.IFNA(VLOOKUP(AF236,'[1]Schedule Not Certified'!$C:$F,3,0),VLOOKUP(AF236,[1]CERTIFIED!$C:$E,3,0)),"")</f>
        <v/>
      </c>
      <c r="D236" s="115">
        <v>0</v>
      </c>
      <c r="E236" s="115">
        <v>0</v>
      </c>
      <c r="F236" s="115">
        <v>0</v>
      </c>
      <c r="G236" s="115">
        <v>0</v>
      </c>
      <c r="H236" s="115">
        <v>0</v>
      </c>
      <c r="I236" s="114" t="str">
        <f t="shared" si="89"/>
        <v/>
      </c>
      <c r="J236" s="116" t="e">
        <f t="shared" si="108"/>
        <v>#VALUE!</v>
      </c>
      <c r="K236" s="116" t="e">
        <f t="shared" si="108"/>
        <v>#VALUE!</v>
      </c>
      <c r="L236" s="116" t="e">
        <f t="shared" si="108"/>
        <v>#VALUE!</v>
      </c>
      <c r="M236" s="116" t="e">
        <f t="shared" si="108"/>
        <v>#VALUE!</v>
      </c>
      <c r="N236" s="116" t="e">
        <f t="shared" si="108"/>
        <v>#VALUE!</v>
      </c>
      <c r="O236" s="116" t="str">
        <f t="shared" si="90"/>
        <v/>
      </c>
      <c r="P236" s="116" t="str">
        <f t="shared" si="91"/>
        <v/>
      </c>
      <c r="Q236" s="116" t="str">
        <f>IFERROR(VLOOKUP(A236,'Date Calcs'!A:C,3,0),"")</f>
        <v/>
      </c>
      <c r="R236" s="116" t="str">
        <f t="shared" si="92"/>
        <v/>
      </c>
      <c r="S236" s="117"/>
      <c r="T236" s="116" t="e">
        <f t="shared" si="93"/>
        <v>#VALUE!</v>
      </c>
      <c r="U236" s="116" t="e">
        <f t="shared" si="94"/>
        <v>#VALUE!</v>
      </c>
      <c r="V236" s="116" t="str">
        <f>IFERROR(IF(VLOOKUP(A236,'Actual Dates'!A:AE,21,0)&gt;"",VLOOKUP(A236,'Actual Dates'!A:AE,21,0),W236-$V$2),"")</f>
        <v/>
      </c>
      <c r="W236" s="116" t="str">
        <f t="shared" si="95"/>
        <v/>
      </c>
      <c r="X236" s="116" t="str">
        <f t="shared" si="96"/>
        <v/>
      </c>
      <c r="Y236" s="116" t="str">
        <f t="shared" si="97"/>
        <v/>
      </c>
      <c r="Z236" s="116" t="str">
        <f t="shared" si="98"/>
        <v/>
      </c>
      <c r="AA236" s="116" t="str">
        <f t="shared" si="99"/>
        <v/>
      </c>
      <c r="AB236" s="116" t="str">
        <f t="shared" si="100"/>
        <v/>
      </c>
      <c r="AC236" s="116" t="str">
        <f t="shared" si="101"/>
        <v/>
      </c>
      <c r="AD236" s="116" t="str">
        <f t="shared" si="102"/>
        <v/>
      </c>
      <c r="AE236" s="116" t="str">
        <f t="shared" si="103"/>
        <v/>
      </c>
      <c r="AF236" s="116" t="str">
        <f t="shared" si="104"/>
        <v>0-0</v>
      </c>
    </row>
    <row r="237" spans="1:32" x14ac:dyDescent="0.25">
      <c r="A237" s="113">
        <f>'Date Calcs'!A237</f>
        <v>0</v>
      </c>
      <c r="B237" s="113">
        <f>'Date Calcs'!B237</f>
        <v>0</v>
      </c>
      <c r="C237" s="114" t="str">
        <f>_xlfn.IFNA(_xlfn.IFNA(VLOOKUP(AF237,'[1]Schedule Not Certified'!$C:$F,3,0),VLOOKUP(AF237,[1]CERTIFIED!$C:$E,3,0)),"")</f>
        <v/>
      </c>
      <c r="D237" s="115">
        <v>0</v>
      </c>
      <c r="E237" s="115">
        <v>0</v>
      </c>
      <c r="F237" s="115">
        <v>0</v>
      </c>
      <c r="G237" s="115">
        <v>0</v>
      </c>
      <c r="H237" s="115">
        <v>0</v>
      </c>
      <c r="I237" s="114" t="str">
        <f t="shared" si="89"/>
        <v/>
      </c>
      <c r="J237" s="116" t="e">
        <f t="shared" si="108"/>
        <v>#VALUE!</v>
      </c>
      <c r="K237" s="116" t="e">
        <f t="shared" si="108"/>
        <v>#VALUE!</v>
      </c>
      <c r="L237" s="116" t="e">
        <f t="shared" si="108"/>
        <v>#VALUE!</v>
      </c>
      <c r="M237" s="116" t="e">
        <f t="shared" si="108"/>
        <v>#VALUE!</v>
      </c>
      <c r="N237" s="116" t="e">
        <f t="shared" si="108"/>
        <v>#VALUE!</v>
      </c>
      <c r="O237" s="116" t="str">
        <f t="shared" si="90"/>
        <v/>
      </c>
      <c r="P237" s="116" t="str">
        <f t="shared" si="91"/>
        <v/>
      </c>
      <c r="Q237" s="116" t="str">
        <f>IFERROR(VLOOKUP(A237,'Date Calcs'!A:C,3,0),"")</f>
        <v/>
      </c>
      <c r="R237" s="116" t="str">
        <f t="shared" si="92"/>
        <v/>
      </c>
      <c r="S237" s="117"/>
      <c r="T237" s="116" t="e">
        <f t="shared" si="93"/>
        <v>#VALUE!</v>
      </c>
      <c r="U237" s="116" t="e">
        <f t="shared" si="94"/>
        <v>#VALUE!</v>
      </c>
      <c r="V237" s="116" t="str">
        <f>IFERROR(IF(VLOOKUP(A237,'Actual Dates'!A:AE,21,0)&gt;"",VLOOKUP(A237,'Actual Dates'!A:AE,21,0),W237-$V$2),"")</f>
        <v/>
      </c>
      <c r="W237" s="116" t="str">
        <f t="shared" si="95"/>
        <v/>
      </c>
      <c r="X237" s="116" t="str">
        <f t="shared" si="96"/>
        <v/>
      </c>
      <c r="Y237" s="116" t="str">
        <f t="shared" si="97"/>
        <v/>
      </c>
      <c r="Z237" s="116" t="str">
        <f t="shared" si="98"/>
        <v/>
      </c>
      <c r="AA237" s="116" t="str">
        <f t="shared" si="99"/>
        <v/>
      </c>
      <c r="AB237" s="116" t="str">
        <f t="shared" si="100"/>
        <v/>
      </c>
      <c r="AC237" s="116" t="str">
        <f t="shared" si="101"/>
        <v/>
      </c>
      <c r="AD237" s="116" t="str">
        <f t="shared" si="102"/>
        <v/>
      </c>
      <c r="AE237" s="116" t="str">
        <f t="shared" si="103"/>
        <v/>
      </c>
      <c r="AF237" s="116" t="str">
        <f t="shared" si="104"/>
        <v>0-0</v>
      </c>
    </row>
    <row r="238" spans="1:32" x14ac:dyDescent="0.25">
      <c r="A238" s="113">
        <f>'Date Calcs'!A238</f>
        <v>0</v>
      </c>
      <c r="B238" s="113">
        <f>'Date Calcs'!B238</f>
        <v>0</v>
      </c>
      <c r="C238" s="114" t="str">
        <f>_xlfn.IFNA(_xlfn.IFNA(VLOOKUP(AF238,'[1]Schedule Not Certified'!$C:$F,3,0),VLOOKUP(AF238,[1]CERTIFIED!$C:$E,3,0)),"")</f>
        <v/>
      </c>
      <c r="D238" s="115">
        <v>0</v>
      </c>
      <c r="E238" s="115">
        <v>0</v>
      </c>
      <c r="F238" s="115">
        <v>0</v>
      </c>
      <c r="G238" s="115">
        <v>0</v>
      </c>
      <c r="H238" s="115">
        <v>0</v>
      </c>
      <c r="I238" s="114" t="str">
        <f t="shared" si="89"/>
        <v/>
      </c>
      <c r="J238" s="116" t="e">
        <f t="shared" si="108"/>
        <v>#VALUE!</v>
      </c>
      <c r="K238" s="116" t="e">
        <f t="shared" si="108"/>
        <v>#VALUE!</v>
      </c>
      <c r="L238" s="116" t="e">
        <f t="shared" si="108"/>
        <v>#VALUE!</v>
      </c>
      <c r="M238" s="116" t="e">
        <f t="shared" si="108"/>
        <v>#VALUE!</v>
      </c>
      <c r="N238" s="116" t="e">
        <f t="shared" si="108"/>
        <v>#VALUE!</v>
      </c>
      <c r="O238" s="116" t="str">
        <f t="shared" si="90"/>
        <v/>
      </c>
      <c r="P238" s="116" t="str">
        <f t="shared" si="91"/>
        <v/>
      </c>
      <c r="Q238" s="116" t="str">
        <f>IFERROR(VLOOKUP(A238,'Date Calcs'!A:C,3,0),"")</f>
        <v/>
      </c>
      <c r="R238" s="116" t="str">
        <f t="shared" si="92"/>
        <v/>
      </c>
      <c r="S238" s="117"/>
      <c r="T238" s="116" t="e">
        <f t="shared" si="93"/>
        <v>#VALUE!</v>
      </c>
      <c r="U238" s="116" t="e">
        <f t="shared" si="94"/>
        <v>#VALUE!</v>
      </c>
      <c r="V238" s="116" t="str">
        <f>IFERROR(IF(VLOOKUP(A238,'Actual Dates'!A:AE,21,0)&gt;"",VLOOKUP(A238,'Actual Dates'!A:AE,21,0),W238-$V$2),"")</f>
        <v/>
      </c>
      <c r="W238" s="116" t="str">
        <f t="shared" si="95"/>
        <v/>
      </c>
      <c r="X238" s="116" t="str">
        <f t="shared" si="96"/>
        <v/>
      </c>
      <c r="Y238" s="116" t="str">
        <f t="shared" si="97"/>
        <v/>
      </c>
      <c r="Z238" s="116" t="str">
        <f t="shared" si="98"/>
        <v/>
      </c>
      <c r="AA238" s="116" t="str">
        <f t="shared" si="99"/>
        <v/>
      </c>
      <c r="AB238" s="116" t="str">
        <f t="shared" si="100"/>
        <v/>
      </c>
      <c r="AC238" s="116" t="str">
        <f t="shared" si="101"/>
        <v/>
      </c>
      <c r="AD238" s="116" t="str">
        <f t="shared" si="102"/>
        <v/>
      </c>
      <c r="AE238" s="116" t="str">
        <f t="shared" si="103"/>
        <v/>
      </c>
      <c r="AF238" s="116" t="str">
        <f t="shared" si="104"/>
        <v>0-0</v>
      </c>
    </row>
    <row r="239" spans="1:32" x14ac:dyDescent="0.25">
      <c r="A239" s="113">
        <f>'Date Calcs'!A239</f>
        <v>0</v>
      </c>
      <c r="B239" s="113">
        <f>'Date Calcs'!B239</f>
        <v>0</v>
      </c>
      <c r="C239" s="114" t="str">
        <f>_xlfn.IFNA(_xlfn.IFNA(VLOOKUP(AF239,'[1]Schedule Not Certified'!$C:$F,3,0),VLOOKUP(AF239,[1]CERTIFIED!$C:$E,3,0)),"")</f>
        <v/>
      </c>
      <c r="D239" s="115">
        <v>0</v>
      </c>
      <c r="E239" s="115">
        <v>0</v>
      </c>
      <c r="F239" s="115">
        <v>0</v>
      </c>
      <c r="G239" s="115">
        <v>0</v>
      </c>
      <c r="H239" s="115">
        <v>0</v>
      </c>
      <c r="I239" s="114" t="str">
        <f t="shared" si="89"/>
        <v/>
      </c>
      <c r="J239" s="116" t="e">
        <f t="shared" si="108"/>
        <v>#VALUE!</v>
      </c>
      <c r="K239" s="116" t="e">
        <f t="shared" si="108"/>
        <v>#VALUE!</v>
      </c>
      <c r="L239" s="116" t="e">
        <f t="shared" si="108"/>
        <v>#VALUE!</v>
      </c>
      <c r="M239" s="116" t="e">
        <f t="shared" si="108"/>
        <v>#VALUE!</v>
      </c>
      <c r="N239" s="116" t="e">
        <f t="shared" si="108"/>
        <v>#VALUE!</v>
      </c>
      <c r="O239" s="116" t="str">
        <f t="shared" si="90"/>
        <v/>
      </c>
      <c r="P239" s="116" t="str">
        <f t="shared" si="91"/>
        <v/>
      </c>
      <c r="Q239" s="116" t="str">
        <f>IFERROR(VLOOKUP(A239,'Date Calcs'!A:C,3,0),"")</f>
        <v/>
      </c>
      <c r="R239" s="116" t="str">
        <f t="shared" si="92"/>
        <v/>
      </c>
      <c r="S239" s="117"/>
      <c r="T239" s="116" t="e">
        <f t="shared" si="93"/>
        <v>#VALUE!</v>
      </c>
      <c r="U239" s="116" t="e">
        <f t="shared" si="94"/>
        <v>#VALUE!</v>
      </c>
      <c r="V239" s="116" t="str">
        <f>IFERROR(IF(VLOOKUP(A239,'Actual Dates'!A:AE,21,0)&gt;"",VLOOKUP(A239,'Actual Dates'!A:AE,21,0),W239-$V$2),"")</f>
        <v/>
      </c>
      <c r="W239" s="116" t="str">
        <f t="shared" si="95"/>
        <v/>
      </c>
      <c r="X239" s="116" t="str">
        <f t="shared" si="96"/>
        <v/>
      </c>
      <c r="Y239" s="116" t="str">
        <f t="shared" si="97"/>
        <v/>
      </c>
      <c r="Z239" s="116" t="str">
        <f t="shared" si="98"/>
        <v/>
      </c>
      <c r="AA239" s="116" t="str">
        <f t="shared" si="99"/>
        <v/>
      </c>
      <c r="AB239" s="116" t="str">
        <f t="shared" si="100"/>
        <v/>
      </c>
      <c r="AC239" s="116" t="str">
        <f t="shared" si="101"/>
        <v/>
      </c>
      <c r="AD239" s="116" t="str">
        <f t="shared" si="102"/>
        <v/>
      </c>
      <c r="AE239" s="116" t="str">
        <f t="shared" si="103"/>
        <v/>
      </c>
      <c r="AF239" s="116" t="str">
        <f t="shared" si="104"/>
        <v>0-0</v>
      </c>
    </row>
    <row r="240" spans="1:32" x14ac:dyDescent="0.25">
      <c r="A240" s="113">
        <f>'Date Calcs'!A240</f>
        <v>0</v>
      </c>
      <c r="B240" s="113">
        <f>'Date Calcs'!B240</f>
        <v>0</v>
      </c>
      <c r="C240" s="114" t="str">
        <f>_xlfn.IFNA(_xlfn.IFNA(VLOOKUP(AF240,'[1]Schedule Not Certified'!$C:$F,3,0),VLOOKUP(AF240,[1]CERTIFIED!$C:$E,3,0)),"")</f>
        <v/>
      </c>
      <c r="D240" s="115">
        <v>0</v>
      </c>
      <c r="E240" s="115">
        <v>0</v>
      </c>
      <c r="F240" s="115">
        <v>0</v>
      </c>
      <c r="G240" s="115">
        <v>0</v>
      </c>
      <c r="H240" s="115">
        <v>0</v>
      </c>
      <c r="I240" s="114" t="str">
        <f t="shared" si="89"/>
        <v/>
      </c>
      <c r="J240" s="116" t="e">
        <f t="shared" si="108"/>
        <v>#VALUE!</v>
      </c>
      <c r="K240" s="116" t="e">
        <f t="shared" si="108"/>
        <v>#VALUE!</v>
      </c>
      <c r="L240" s="116" t="e">
        <f t="shared" si="108"/>
        <v>#VALUE!</v>
      </c>
      <c r="M240" s="116" t="e">
        <f t="shared" si="108"/>
        <v>#VALUE!</v>
      </c>
      <c r="N240" s="116" t="e">
        <f t="shared" si="108"/>
        <v>#VALUE!</v>
      </c>
      <c r="O240" s="116" t="str">
        <f t="shared" si="90"/>
        <v/>
      </c>
      <c r="P240" s="116" t="str">
        <f t="shared" si="91"/>
        <v/>
      </c>
      <c r="Q240" s="116" t="str">
        <f>IFERROR(VLOOKUP(A240,'Date Calcs'!A:C,3,0),"")</f>
        <v/>
      </c>
      <c r="R240" s="116" t="str">
        <f t="shared" si="92"/>
        <v/>
      </c>
      <c r="S240" s="117"/>
      <c r="T240" s="116" t="e">
        <f t="shared" si="93"/>
        <v>#VALUE!</v>
      </c>
      <c r="U240" s="116" t="e">
        <f t="shared" si="94"/>
        <v>#VALUE!</v>
      </c>
      <c r="V240" s="116" t="str">
        <f>IFERROR(IF(VLOOKUP(A240,'Actual Dates'!A:AE,21,0)&gt;"",VLOOKUP(A240,'Actual Dates'!A:AE,21,0),W240-$V$2),"")</f>
        <v/>
      </c>
      <c r="W240" s="116" t="str">
        <f t="shared" si="95"/>
        <v/>
      </c>
      <c r="X240" s="116" t="str">
        <f t="shared" si="96"/>
        <v/>
      </c>
      <c r="Y240" s="116" t="str">
        <f t="shared" si="97"/>
        <v/>
      </c>
      <c r="Z240" s="116" t="str">
        <f t="shared" si="98"/>
        <v/>
      </c>
      <c r="AA240" s="116" t="str">
        <f t="shared" si="99"/>
        <v/>
      </c>
      <c r="AB240" s="116" t="str">
        <f t="shared" si="100"/>
        <v/>
      </c>
      <c r="AC240" s="116" t="str">
        <f t="shared" si="101"/>
        <v/>
      </c>
      <c r="AD240" s="116" t="str">
        <f t="shared" si="102"/>
        <v/>
      </c>
      <c r="AE240" s="116" t="str">
        <f t="shared" si="103"/>
        <v/>
      </c>
      <c r="AF240" s="116" t="str">
        <f t="shared" si="104"/>
        <v>0-0</v>
      </c>
    </row>
    <row r="241" spans="1:32" x14ac:dyDescent="0.25">
      <c r="A241" s="113">
        <f>'Date Calcs'!A241</f>
        <v>0</v>
      </c>
      <c r="B241" s="113">
        <f>'Date Calcs'!B241</f>
        <v>0</v>
      </c>
      <c r="C241" s="114" t="str">
        <f>_xlfn.IFNA(_xlfn.IFNA(VLOOKUP(AF241,'[1]Schedule Not Certified'!$C:$F,3,0),VLOOKUP(AF241,[1]CERTIFIED!$C:$E,3,0)),"")</f>
        <v/>
      </c>
      <c r="D241" s="115">
        <v>0</v>
      </c>
      <c r="E241" s="115">
        <v>0</v>
      </c>
      <c r="F241" s="115">
        <v>0</v>
      </c>
      <c r="G241" s="115">
        <v>0</v>
      </c>
      <c r="H241" s="115">
        <v>0</v>
      </c>
      <c r="I241" s="114" t="str">
        <f t="shared" si="89"/>
        <v/>
      </c>
      <c r="J241" s="116" t="e">
        <f t="shared" si="108"/>
        <v>#VALUE!</v>
      </c>
      <c r="K241" s="116" t="e">
        <f t="shared" si="108"/>
        <v>#VALUE!</v>
      </c>
      <c r="L241" s="116" t="e">
        <f t="shared" si="108"/>
        <v>#VALUE!</v>
      </c>
      <c r="M241" s="116" t="e">
        <f t="shared" si="108"/>
        <v>#VALUE!</v>
      </c>
      <c r="N241" s="116" t="e">
        <f t="shared" si="108"/>
        <v>#VALUE!</v>
      </c>
      <c r="O241" s="116" t="str">
        <f t="shared" si="90"/>
        <v/>
      </c>
      <c r="P241" s="116" t="str">
        <f t="shared" si="91"/>
        <v/>
      </c>
      <c r="Q241" s="116" t="str">
        <f>IFERROR(VLOOKUP(A241,'Date Calcs'!A:C,3,0),"")</f>
        <v/>
      </c>
      <c r="R241" s="116" t="str">
        <f t="shared" si="92"/>
        <v/>
      </c>
      <c r="S241" s="117"/>
      <c r="T241" s="116" t="e">
        <f t="shared" si="93"/>
        <v>#VALUE!</v>
      </c>
      <c r="U241" s="116" t="e">
        <f t="shared" si="94"/>
        <v>#VALUE!</v>
      </c>
      <c r="V241" s="116" t="str">
        <f>IFERROR(IF(VLOOKUP(A241,'Actual Dates'!A:AE,21,0)&gt;"",VLOOKUP(A241,'Actual Dates'!A:AE,21,0),W241-$V$2),"")</f>
        <v/>
      </c>
      <c r="W241" s="116" t="str">
        <f t="shared" si="95"/>
        <v/>
      </c>
      <c r="X241" s="116" t="str">
        <f t="shared" si="96"/>
        <v/>
      </c>
      <c r="Y241" s="116" t="str">
        <f t="shared" si="97"/>
        <v/>
      </c>
      <c r="Z241" s="116" t="str">
        <f t="shared" si="98"/>
        <v/>
      </c>
      <c r="AA241" s="116" t="str">
        <f t="shared" si="99"/>
        <v/>
      </c>
      <c r="AB241" s="116" t="str">
        <f t="shared" si="100"/>
        <v/>
      </c>
      <c r="AC241" s="116" t="str">
        <f t="shared" si="101"/>
        <v/>
      </c>
      <c r="AD241" s="116" t="str">
        <f t="shared" si="102"/>
        <v/>
      </c>
      <c r="AE241" s="116" t="str">
        <f t="shared" si="103"/>
        <v/>
      </c>
      <c r="AF241" s="116" t="str">
        <f t="shared" si="104"/>
        <v>0-0</v>
      </c>
    </row>
    <row r="242" spans="1:32" x14ac:dyDescent="0.25">
      <c r="A242" s="113">
        <f>'Date Calcs'!A242</f>
        <v>0</v>
      </c>
      <c r="B242" s="113">
        <f>'Date Calcs'!B242</f>
        <v>0</v>
      </c>
      <c r="C242" s="114" t="str">
        <f>_xlfn.IFNA(_xlfn.IFNA(VLOOKUP(AF242,'[1]Schedule Not Certified'!$C:$F,3,0),VLOOKUP(AF242,[1]CERTIFIED!$C:$E,3,0)),"")</f>
        <v/>
      </c>
      <c r="D242" s="115">
        <v>0</v>
      </c>
      <c r="E242" s="115">
        <v>0</v>
      </c>
      <c r="F242" s="115">
        <v>0</v>
      </c>
      <c r="G242" s="115">
        <v>0</v>
      </c>
      <c r="H242" s="115">
        <v>0</v>
      </c>
      <c r="I242" s="114" t="str">
        <f t="shared" si="89"/>
        <v/>
      </c>
      <c r="J242" s="116" t="e">
        <f t="shared" si="108"/>
        <v>#VALUE!</v>
      </c>
      <c r="K242" s="116" t="e">
        <f t="shared" si="108"/>
        <v>#VALUE!</v>
      </c>
      <c r="L242" s="116" t="e">
        <f t="shared" si="108"/>
        <v>#VALUE!</v>
      </c>
      <c r="M242" s="116" t="e">
        <f t="shared" si="108"/>
        <v>#VALUE!</v>
      </c>
      <c r="N242" s="116" t="e">
        <f t="shared" si="108"/>
        <v>#VALUE!</v>
      </c>
      <c r="O242" s="116" t="str">
        <f t="shared" si="90"/>
        <v/>
      </c>
      <c r="P242" s="116" t="str">
        <f t="shared" si="91"/>
        <v/>
      </c>
      <c r="Q242" s="116" t="str">
        <f>IFERROR(VLOOKUP(A242,'Date Calcs'!A:C,3,0),"")</f>
        <v/>
      </c>
      <c r="R242" s="116" t="str">
        <f t="shared" si="92"/>
        <v/>
      </c>
      <c r="S242" s="117"/>
      <c r="T242" s="116" t="e">
        <f t="shared" si="93"/>
        <v>#VALUE!</v>
      </c>
      <c r="U242" s="116" t="e">
        <f t="shared" si="94"/>
        <v>#VALUE!</v>
      </c>
      <c r="V242" s="116" t="str">
        <f>IFERROR(IF(VLOOKUP(A242,'Actual Dates'!A:AE,21,0)&gt;"",VLOOKUP(A242,'Actual Dates'!A:AE,21,0),W242-$V$2),"")</f>
        <v/>
      </c>
      <c r="W242" s="116" t="str">
        <f t="shared" si="95"/>
        <v/>
      </c>
      <c r="X242" s="116" t="str">
        <f t="shared" si="96"/>
        <v/>
      </c>
      <c r="Y242" s="116" t="str">
        <f t="shared" si="97"/>
        <v/>
      </c>
      <c r="Z242" s="116" t="str">
        <f t="shared" si="98"/>
        <v/>
      </c>
      <c r="AA242" s="116" t="str">
        <f t="shared" si="99"/>
        <v/>
      </c>
      <c r="AB242" s="116" t="str">
        <f t="shared" si="100"/>
        <v/>
      </c>
      <c r="AC242" s="116" t="str">
        <f t="shared" si="101"/>
        <v/>
      </c>
      <c r="AD242" s="116" t="str">
        <f t="shared" si="102"/>
        <v/>
      </c>
      <c r="AE242" s="116" t="str">
        <f t="shared" si="103"/>
        <v/>
      </c>
      <c r="AF242" s="116" t="str">
        <f t="shared" si="104"/>
        <v>0-0</v>
      </c>
    </row>
    <row r="243" spans="1:32" x14ac:dyDescent="0.25">
      <c r="A243" s="113">
        <f>'Date Calcs'!A243</f>
        <v>0</v>
      </c>
      <c r="B243" s="113">
        <f>'Date Calcs'!B243</f>
        <v>0</v>
      </c>
      <c r="C243" s="114" t="str">
        <f>_xlfn.IFNA(_xlfn.IFNA(VLOOKUP(AF243,'[1]Schedule Not Certified'!$C:$F,3,0),VLOOKUP(AF243,[1]CERTIFIED!$C:$E,3,0)),"")</f>
        <v/>
      </c>
      <c r="D243" s="115">
        <v>0</v>
      </c>
      <c r="E243" s="115">
        <v>0</v>
      </c>
      <c r="F243" s="115">
        <v>0</v>
      </c>
      <c r="G243" s="115">
        <v>0</v>
      </c>
      <c r="H243" s="115">
        <v>0</v>
      </c>
      <c r="I243" s="114" t="str">
        <f t="shared" si="89"/>
        <v/>
      </c>
      <c r="J243" s="116" t="e">
        <f t="shared" si="108"/>
        <v>#VALUE!</v>
      </c>
      <c r="K243" s="116" t="e">
        <f t="shared" si="108"/>
        <v>#VALUE!</v>
      </c>
      <c r="L243" s="116" t="e">
        <f t="shared" si="108"/>
        <v>#VALUE!</v>
      </c>
      <c r="M243" s="116" t="e">
        <f t="shared" si="108"/>
        <v>#VALUE!</v>
      </c>
      <c r="N243" s="116" t="e">
        <f t="shared" si="108"/>
        <v>#VALUE!</v>
      </c>
      <c r="O243" s="116" t="str">
        <f t="shared" si="90"/>
        <v/>
      </c>
      <c r="P243" s="116" t="str">
        <f t="shared" si="91"/>
        <v/>
      </c>
      <c r="Q243" s="116" t="str">
        <f>IFERROR(VLOOKUP(A243,'Date Calcs'!A:C,3,0),"")</f>
        <v/>
      </c>
      <c r="R243" s="116" t="str">
        <f t="shared" si="92"/>
        <v/>
      </c>
      <c r="S243" s="117"/>
      <c r="T243" s="116" t="e">
        <f t="shared" si="93"/>
        <v>#VALUE!</v>
      </c>
      <c r="U243" s="116" t="e">
        <f t="shared" si="94"/>
        <v>#VALUE!</v>
      </c>
      <c r="V243" s="116" t="str">
        <f>IFERROR(IF(VLOOKUP(A243,'Actual Dates'!A:AE,21,0)&gt;"",VLOOKUP(A243,'Actual Dates'!A:AE,21,0),W243-$V$2),"")</f>
        <v/>
      </c>
      <c r="W243" s="116" t="str">
        <f t="shared" si="95"/>
        <v/>
      </c>
      <c r="X243" s="116" t="str">
        <f t="shared" si="96"/>
        <v/>
      </c>
      <c r="Y243" s="116" t="str">
        <f t="shared" si="97"/>
        <v/>
      </c>
      <c r="Z243" s="116" t="str">
        <f t="shared" si="98"/>
        <v/>
      </c>
      <c r="AA243" s="116" t="str">
        <f t="shared" si="99"/>
        <v/>
      </c>
      <c r="AB243" s="116" t="str">
        <f t="shared" si="100"/>
        <v/>
      </c>
      <c r="AC243" s="116" t="str">
        <f t="shared" si="101"/>
        <v/>
      </c>
      <c r="AD243" s="116" t="str">
        <f t="shared" si="102"/>
        <v/>
      </c>
      <c r="AE243" s="116" t="str">
        <f t="shared" si="103"/>
        <v/>
      </c>
      <c r="AF243" s="116" t="str">
        <f t="shared" si="104"/>
        <v>0-0</v>
      </c>
    </row>
    <row r="244" spans="1:32" x14ac:dyDescent="0.25">
      <c r="A244" s="113">
        <f>'Date Calcs'!A244</f>
        <v>0</v>
      </c>
      <c r="B244" s="113">
        <f>'Date Calcs'!B244</f>
        <v>0</v>
      </c>
      <c r="C244" s="114" t="str">
        <f>_xlfn.IFNA(_xlfn.IFNA(VLOOKUP(AF244,'[1]Schedule Not Certified'!$C:$F,3,0),VLOOKUP(AF244,[1]CERTIFIED!$C:$E,3,0)),"")</f>
        <v/>
      </c>
      <c r="D244" s="115">
        <v>0</v>
      </c>
      <c r="E244" s="115">
        <v>0</v>
      </c>
      <c r="F244" s="115">
        <v>0</v>
      </c>
      <c r="G244" s="115">
        <v>0</v>
      </c>
      <c r="H244" s="115">
        <v>0</v>
      </c>
      <c r="I244" s="114" t="str">
        <f t="shared" si="89"/>
        <v/>
      </c>
      <c r="J244" s="116" t="e">
        <f t="shared" si="108"/>
        <v>#VALUE!</v>
      </c>
      <c r="K244" s="116" t="e">
        <f t="shared" si="108"/>
        <v>#VALUE!</v>
      </c>
      <c r="L244" s="116" t="e">
        <f t="shared" si="108"/>
        <v>#VALUE!</v>
      </c>
      <c r="M244" s="116" t="e">
        <f t="shared" si="108"/>
        <v>#VALUE!</v>
      </c>
      <c r="N244" s="116" t="e">
        <f t="shared" si="108"/>
        <v>#VALUE!</v>
      </c>
      <c r="O244" s="116" t="str">
        <f t="shared" si="90"/>
        <v/>
      </c>
      <c r="P244" s="116" t="str">
        <f t="shared" si="91"/>
        <v/>
      </c>
      <c r="Q244" s="116" t="str">
        <f>IFERROR(VLOOKUP(A244,'Date Calcs'!A:C,3,0),"")</f>
        <v/>
      </c>
      <c r="R244" s="116" t="str">
        <f t="shared" si="92"/>
        <v/>
      </c>
      <c r="S244" s="117"/>
      <c r="T244" s="116" t="e">
        <f t="shared" si="93"/>
        <v>#VALUE!</v>
      </c>
      <c r="U244" s="116" t="e">
        <f t="shared" si="94"/>
        <v>#VALUE!</v>
      </c>
      <c r="V244" s="116" t="str">
        <f>IFERROR(IF(VLOOKUP(A244,'Actual Dates'!A:AE,21,0)&gt;"",VLOOKUP(A244,'Actual Dates'!A:AE,21,0),W244-$V$2),"")</f>
        <v/>
      </c>
      <c r="W244" s="116" t="str">
        <f t="shared" si="95"/>
        <v/>
      </c>
      <c r="X244" s="116" t="str">
        <f t="shared" si="96"/>
        <v/>
      </c>
      <c r="Y244" s="116" t="str">
        <f t="shared" si="97"/>
        <v/>
      </c>
      <c r="Z244" s="116" t="str">
        <f t="shared" si="98"/>
        <v/>
      </c>
      <c r="AA244" s="116" t="str">
        <f t="shared" si="99"/>
        <v/>
      </c>
      <c r="AB244" s="116" t="str">
        <f t="shared" si="100"/>
        <v/>
      </c>
      <c r="AC244" s="116" t="str">
        <f t="shared" si="101"/>
        <v/>
      </c>
      <c r="AD244" s="116" t="str">
        <f t="shared" si="102"/>
        <v/>
      </c>
      <c r="AE244" s="116" t="str">
        <f t="shared" si="103"/>
        <v/>
      </c>
      <c r="AF244" s="116" t="str">
        <f t="shared" si="104"/>
        <v>0-0</v>
      </c>
    </row>
    <row r="245" spans="1:32" x14ac:dyDescent="0.25">
      <c r="A245" s="113">
        <f>'Date Calcs'!A245</f>
        <v>0</v>
      </c>
      <c r="B245" s="113">
        <f>'Date Calcs'!B245</f>
        <v>0</v>
      </c>
      <c r="C245" s="114" t="str">
        <f>_xlfn.IFNA(_xlfn.IFNA(VLOOKUP(AF245,'[1]Schedule Not Certified'!$C:$F,3,0),VLOOKUP(AF245,[1]CERTIFIED!$C:$E,3,0)),"")</f>
        <v/>
      </c>
      <c r="D245" s="115">
        <v>0</v>
      </c>
      <c r="E245" s="115">
        <v>0</v>
      </c>
      <c r="F245" s="115">
        <v>0</v>
      </c>
      <c r="G245" s="115">
        <v>0</v>
      </c>
      <c r="H245" s="115">
        <v>0</v>
      </c>
      <c r="I245" s="114" t="str">
        <f t="shared" si="89"/>
        <v/>
      </c>
      <c r="J245" s="116" t="e">
        <f t="shared" ref="J245:N254" si="109">K245-J$2</f>
        <v>#VALUE!</v>
      </c>
      <c r="K245" s="116" t="e">
        <f t="shared" si="109"/>
        <v>#VALUE!</v>
      </c>
      <c r="L245" s="116" t="e">
        <f t="shared" si="109"/>
        <v>#VALUE!</v>
      </c>
      <c r="M245" s="116" t="e">
        <f t="shared" si="109"/>
        <v>#VALUE!</v>
      </c>
      <c r="N245" s="116" t="e">
        <f t="shared" si="109"/>
        <v>#VALUE!</v>
      </c>
      <c r="O245" s="116" t="str">
        <f t="shared" si="90"/>
        <v/>
      </c>
      <c r="P245" s="116" t="str">
        <f t="shared" si="91"/>
        <v/>
      </c>
      <c r="Q245" s="116" t="str">
        <f>IFERROR(VLOOKUP(A245,'Date Calcs'!A:C,3,0),"")</f>
        <v/>
      </c>
      <c r="R245" s="116" t="str">
        <f t="shared" si="92"/>
        <v/>
      </c>
      <c r="S245" s="117"/>
      <c r="T245" s="116" t="e">
        <f t="shared" si="93"/>
        <v>#VALUE!</v>
      </c>
      <c r="U245" s="116" t="e">
        <f t="shared" si="94"/>
        <v>#VALUE!</v>
      </c>
      <c r="V245" s="116" t="str">
        <f>IFERROR(IF(VLOOKUP(A245,'Actual Dates'!A:AE,21,0)&gt;"",VLOOKUP(A245,'Actual Dates'!A:AE,21,0),W245-$V$2),"")</f>
        <v/>
      </c>
      <c r="W245" s="116" t="str">
        <f t="shared" si="95"/>
        <v/>
      </c>
      <c r="X245" s="116" t="str">
        <f t="shared" si="96"/>
        <v/>
      </c>
      <c r="Y245" s="116" t="str">
        <f t="shared" si="97"/>
        <v/>
      </c>
      <c r="Z245" s="116" t="str">
        <f t="shared" si="98"/>
        <v/>
      </c>
      <c r="AA245" s="116" t="str">
        <f t="shared" si="99"/>
        <v/>
      </c>
      <c r="AB245" s="116" t="str">
        <f t="shared" si="100"/>
        <v/>
      </c>
      <c r="AC245" s="116" t="str">
        <f t="shared" si="101"/>
        <v/>
      </c>
      <c r="AD245" s="116" t="str">
        <f t="shared" si="102"/>
        <v/>
      </c>
      <c r="AE245" s="116" t="str">
        <f t="shared" si="103"/>
        <v/>
      </c>
      <c r="AF245" s="116" t="str">
        <f t="shared" si="104"/>
        <v>0-0</v>
      </c>
    </row>
    <row r="246" spans="1:32" x14ac:dyDescent="0.25">
      <c r="A246" s="113">
        <f>'Date Calcs'!A246</f>
        <v>0</v>
      </c>
      <c r="B246" s="113">
        <f>'Date Calcs'!B246</f>
        <v>0</v>
      </c>
      <c r="C246" s="114" t="str">
        <f>_xlfn.IFNA(_xlfn.IFNA(VLOOKUP(AF246,'[1]Schedule Not Certified'!$C:$F,3,0),VLOOKUP(AF246,[1]CERTIFIED!$C:$E,3,0)),"")</f>
        <v/>
      </c>
      <c r="D246" s="115">
        <v>0</v>
      </c>
      <c r="E246" s="115">
        <v>0</v>
      </c>
      <c r="F246" s="115">
        <v>0</v>
      </c>
      <c r="G246" s="115">
        <v>0</v>
      </c>
      <c r="H246" s="115">
        <v>0</v>
      </c>
      <c r="I246" s="114" t="str">
        <f t="shared" si="89"/>
        <v/>
      </c>
      <c r="J246" s="116" t="e">
        <f t="shared" si="109"/>
        <v>#VALUE!</v>
      </c>
      <c r="K246" s="116" t="e">
        <f t="shared" si="109"/>
        <v>#VALUE!</v>
      </c>
      <c r="L246" s="116" t="e">
        <f t="shared" si="109"/>
        <v>#VALUE!</v>
      </c>
      <c r="M246" s="116" t="e">
        <f t="shared" si="109"/>
        <v>#VALUE!</v>
      </c>
      <c r="N246" s="116" t="e">
        <f t="shared" si="109"/>
        <v>#VALUE!</v>
      </c>
      <c r="O246" s="116" t="str">
        <f t="shared" si="90"/>
        <v/>
      </c>
      <c r="P246" s="116" t="str">
        <f t="shared" si="91"/>
        <v/>
      </c>
      <c r="Q246" s="116" t="str">
        <f>IFERROR(VLOOKUP(A246,'Date Calcs'!A:C,3,0),"")</f>
        <v/>
      </c>
      <c r="R246" s="116" t="str">
        <f t="shared" si="92"/>
        <v/>
      </c>
      <c r="S246" s="117"/>
      <c r="T246" s="116" t="e">
        <f t="shared" si="93"/>
        <v>#VALUE!</v>
      </c>
      <c r="U246" s="116" t="e">
        <f t="shared" si="94"/>
        <v>#VALUE!</v>
      </c>
      <c r="V246" s="116" t="str">
        <f>IFERROR(IF(VLOOKUP(A246,'Actual Dates'!A:AE,21,0)&gt;"",VLOOKUP(A246,'Actual Dates'!A:AE,21,0),W246-$V$2),"")</f>
        <v/>
      </c>
      <c r="W246" s="116" t="str">
        <f t="shared" si="95"/>
        <v/>
      </c>
      <c r="X246" s="116" t="str">
        <f t="shared" si="96"/>
        <v/>
      </c>
      <c r="Y246" s="116" t="str">
        <f t="shared" si="97"/>
        <v/>
      </c>
      <c r="Z246" s="116" t="str">
        <f t="shared" si="98"/>
        <v/>
      </c>
      <c r="AA246" s="116" t="str">
        <f t="shared" si="99"/>
        <v/>
      </c>
      <c r="AB246" s="116" t="str">
        <f t="shared" si="100"/>
        <v/>
      </c>
      <c r="AC246" s="116" t="str">
        <f t="shared" si="101"/>
        <v/>
      </c>
      <c r="AD246" s="116" t="str">
        <f t="shared" si="102"/>
        <v/>
      </c>
      <c r="AE246" s="116" t="str">
        <f t="shared" si="103"/>
        <v/>
      </c>
      <c r="AF246" s="116" t="str">
        <f t="shared" si="104"/>
        <v>0-0</v>
      </c>
    </row>
    <row r="247" spans="1:32" x14ac:dyDescent="0.25">
      <c r="A247" s="113">
        <f>'Date Calcs'!A247</f>
        <v>0</v>
      </c>
      <c r="B247" s="113">
        <f>'Date Calcs'!B247</f>
        <v>0</v>
      </c>
      <c r="C247" s="114" t="str">
        <f>_xlfn.IFNA(_xlfn.IFNA(VLOOKUP(AF247,'[1]Schedule Not Certified'!$C:$F,3,0),VLOOKUP(AF247,[1]CERTIFIED!$C:$E,3,0)),"")</f>
        <v/>
      </c>
      <c r="D247" s="115">
        <v>0</v>
      </c>
      <c r="E247" s="115">
        <v>0</v>
      </c>
      <c r="F247" s="115">
        <v>0</v>
      </c>
      <c r="G247" s="115">
        <v>0</v>
      </c>
      <c r="H247" s="115">
        <v>0</v>
      </c>
      <c r="I247" s="114" t="str">
        <f t="shared" si="89"/>
        <v/>
      </c>
      <c r="J247" s="116" t="e">
        <f t="shared" si="109"/>
        <v>#VALUE!</v>
      </c>
      <c r="K247" s="116" t="e">
        <f t="shared" si="109"/>
        <v>#VALUE!</v>
      </c>
      <c r="L247" s="116" t="e">
        <f t="shared" si="109"/>
        <v>#VALUE!</v>
      </c>
      <c r="M247" s="116" t="e">
        <f t="shared" si="109"/>
        <v>#VALUE!</v>
      </c>
      <c r="N247" s="116" t="e">
        <f t="shared" si="109"/>
        <v>#VALUE!</v>
      </c>
      <c r="O247" s="116" t="str">
        <f t="shared" si="90"/>
        <v/>
      </c>
      <c r="P247" s="116" t="str">
        <f t="shared" si="91"/>
        <v/>
      </c>
      <c r="Q247" s="116" t="str">
        <f>IFERROR(VLOOKUP(A247,'Date Calcs'!A:C,3,0),"")</f>
        <v/>
      </c>
      <c r="R247" s="116" t="str">
        <f t="shared" si="92"/>
        <v/>
      </c>
      <c r="S247" s="117"/>
      <c r="T247" s="116" t="e">
        <f t="shared" si="93"/>
        <v>#VALUE!</v>
      </c>
      <c r="U247" s="116" t="e">
        <f t="shared" si="94"/>
        <v>#VALUE!</v>
      </c>
      <c r="V247" s="116" t="str">
        <f>IFERROR(IF(VLOOKUP(A247,'Actual Dates'!A:AE,21,0)&gt;"",VLOOKUP(A247,'Actual Dates'!A:AE,21,0),W247-$V$2),"")</f>
        <v/>
      </c>
      <c r="W247" s="116" t="str">
        <f t="shared" si="95"/>
        <v/>
      </c>
      <c r="X247" s="116" t="str">
        <f t="shared" si="96"/>
        <v/>
      </c>
      <c r="Y247" s="116" t="str">
        <f t="shared" si="97"/>
        <v/>
      </c>
      <c r="Z247" s="116" t="str">
        <f t="shared" si="98"/>
        <v/>
      </c>
      <c r="AA247" s="116" t="str">
        <f t="shared" si="99"/>
        <v/>
      </c>
      <c r="AB247" s="116" t="str">
        <f t="shared" si="100"/>
        <v/>
      </c>
      <c r="AC247" s="116" t="str">
        <f t="shared" si="101"/>
        <v/>
      </c>
      <c r="AD247" s="116" t="str">
        <f t="shared" si="102"/>
        <v/>
      </c>
      <c r="AE247" s="116" t="str">
        <f t="shared" si="103"/>
        <v/>
      </c>
      <c r="AF247" s="116" t="str">
        <f t="shared" si="104"/>
        <v>0-0</v>
      </c>
    </row>
    <row r="248" spans="1:32" x14ac:dyDescent="0.25">
      <c r="A248" s="113">
        <f>'Date Calcs'!A248</f>
        <v>0</v>
      </c>
      <c r="B248" s="113">
        <f>'Date Calcs'!B248</f>
        <v>0</v>
      </c>
      <c r="C248" s="114" t="str">
        <f>_xlfn.IFNA(_xlfn.IFNA(VLOOKUP(AF248,'[1]Schedule Not Certified'!$C:$F,3,0),VLOOKUP(AF248,[1]CERTIFIED!$C:$E,3,0)),"")</f>
        <v/>
      </c>
      <c r="D248" s="115">
        <v>0</v>
      </c>
      <c r="E248" s="115">
        <v>0</v>
      </c>
      <c r="F248" s="115">
        <v>0</v>
      </c>
      <c r="G248" s="115">
        <v>0</v>
      </c>
      <c r="H248" s="115">
        <v>0</v>
      </c>
      <c r="I248" s="114" t="str">
        <f t="shared" si="89"/>
        <v/>
      </c>
      <c r="J248" s="116" t="e">
        <f t="shared" si="109"/>
        <v>#VALUE!</v>
      </c>
      <c r="K248" s="116" t="e">
        <f t="shared" si="109"/>
        <v>#VALUE!</v>
      </c>
      <c r="L248" s="116" t="e">
        <f t="shared" si="109"/>
        <v>#VALUE!</v>
      </c>
      <c r="M248" s="116" t="e">
        <f t="shared" si="109"/>
        <v>#VALUE!</v>
      </c>
      <c r="N248" s="116" t="e">
        <f t="shared" si="109"/>
        <v>#VALUE!</v>
      </c>
      <c r="O248" s="116" t="str">
        <f t="shared" si="90"/>
        <v/>
      </c>
      <c r="P248" s="116" t="str">
        <f t="shared" si="91"/>
        <v/>
      </c>
      <c r="Q248" s="116" t="str">
        <f>IFERROR(VLOOKUP(A248,'Date Calcs'!A:C,3,0),"")</f>
        <v/>
      </c>
      <c r="R248" s="116" t="str">
        <f t="shared" si="92"/>
        <v/>
      </c>
      <c r="S248" s="117"/>
      <c r="T248" s="116" t="e">
        <f t="shared" si="93"/>
        <v>#VALUE!</v>
      </c>
      <c r="U248" s="116" t="e">
        <f t="shared" si="94"/>
        <v>#VALUE!</v>
      </c>
      <c r="V248" s="116" t="str">
        <f>IFERROR(IF(VLOOKUP(A248,'Actual Dates'!A:AE,21,0)&gt;"",VLOOKUP(A248,'Actual Dates'!A:AE,21,0),W248-$V$2),"")</f>
        <v/>
      </c>
      <c r="W248" s="116" t="str">
        <f t="shared" si="95"/>
        <v/>
      </c>
      <c r="X248" s="116" t="str">
        <f t="shared" si="96"/>
        <v/>
      </c>
      <c r="Y248" s="116" t="str">
        <f t="shared" si="97"/>
        <v/>
      </c>
      <c r="Z248" s="116" t="str">
        <f t="shared" si="98"/>
        <v/>
      </c>
      <c r="AA248" s="116" t="str">
        <f t="shared" si="99"/>
        <v/>
      </c>
      <c r="AB248" s="116" t="str">
        <f t="shared" si="100"/>
        <v/>
      </c>
      <c r="AC248" s="116" t="str">
        <f t="shared" si="101"/>
        <v/>
      </c>
      <c r="AD248" s="116" t="str">
        <f t="shared" si="102"/>
        <v/>
      </c>
      <c r="AE248" s="116" t="str">
        <f t="shared" si="103"/>
        <v/>
      </c>
      <c r="AF248" s="116" t="str">
        <f t="shared" si="104"/>
        <v>0-0</v>
      </c>
    </row>
    <row r="249" spans="1:32" x14ac:dyDescent="0.25">
      <c r="A249" s="113">
        <f>'Date Calcs'!A249</f>
        <v>0</v>
      </c>
      <c r="B249" s="113">
        <f>'Date Calcs'!B249</f>
        <v>0</v>
      </c>
      <c r="C249" s="114" t="str">
        <f>_xlfn.IFNA(_xlfn.IFNA(VLOOKUP(AF249,'[1]Schedule Not Certified'!$C:$F,3,0),VLOOKUP(AF249,[1]CERTIFIED!$C:$E,3,0)),"")</f>
        <v/>
      </c>
      <c r="D249" s="115">
        <v>0</v>
      </c>
      <c r="E249" s="115">
        <v>0</v>
      </c>
      <c r="F249" s="115">
        <v>0</v>
      </c>
      <c r="G249" s="115">
        <v>0</v>
      </c>
      <c r="H249" s="115">
        <v>0</v>
      </c>
      <c r="I249" s="114" t="str">
        <f t="shared" si="89"/>
        <v/>
      </c>
      <c r="J249" s="116" t="e">
        <f t="shared" si="109"/>
        <v>#VALUE!</v>
      </c>
      <c r="K249" s="116" t="e">
        <f t="shared" si="109"/>
        <v>#VALUE!</v>
      </c>
      <c r="L249" s="116" t="e">
        <f t="shared" si="109"/>
        <v>#VALUE!</v>
      </c>
      <c r="M249" s="116" t="e">
        <f t="shared" si="109"/>
        <v>#VALUE!</v>
      </c>
      <c r="N249" s="116" t="e">
        <f t="shared" si="109"/>
        <v>#VALUE!</v>
      </c>
      <c r="O249" s="116" t="str">
        <f t="shared" si="90"/>
        <v/>
      </c>
      <c r="P249" s="116" t="str">
        <f t="shared" si="91"/>
        <v/>
      </c>
      <c r="Q249" s="116" t="str">
        <f>IFERROR(VLOOKUP(A249,'Date Calcs'!A:C,3,0),"")</f>
        <v/>
      </c>
      <c r="R249" s="116" t="str">
        <f t="shared" si="92"/>
        <v/>
      </c>
      <c r="S249" s="117"/>
      <c r="T249" s="116" t="e">
        <f t="shared" si="93"/>
        <v>#VALUE!</v>
      </c>
      <c r="U249" s="116" t="e">
        <f t="shared" si="94"/>
        <v>#VALUE!</v>
      </c>
      <c r="V249" s="116" t="str">
        <f>IFERROR(IF(VLOOKUP(A249,'Actual Dates'!A:AE,21,0)&gt;"",VLOOKUP(A249,'Actual Dates'!A:AE,21,0),W249-$V$2),"")</f>
        <v/>
      </c>
      <c r="W249" s="116" t="str">
        <f t="shared" si="95"/>
        <v/>
      </c>
      <c r="X249" s="116" t="str">
        <f t="shared" si="96"/>
        <v/>
      </c>
      <c r="Y249" s="116" t="str">
        <f t="shared" si="97"/>
        <v/>
      </c>
      <c r="Z249" s="116" t="str">
        <f t="shared" si="98"/>
        <v/>
      </c>
      <c r="AA249" s="116" t="str">
        <f t="shared" si="99"/>
        <v/>
      </c>
      <c r="AB249" s="116" t="str">
        <f t="shared" si="100"/>
        <v/>
      </c>
      <c r="AC249" s="116" t="str">
        <f t="shared" si="101"/>
        <v/>
      </c>
      <c r="AD249" s="116" t="str">
        <f t="shared" si="102"/>
        <v/>
      </c>
      <c r="AE249" s="116" t="str">
        <f t="shared" si="103"/>
        <v/>
      </c>
      <c r="AF249" s="116" t="str">
        <f t="shared" si="104"/>
        <v>0-0</v>
      </c>
    </row>
    <row r="250" spans="1:32" x14ac:dyDescent="0.25">
      <c r="A250" s="113">
        <f>'Date Calcs'!A250</f>
        <v>0</v>
      </c>
      <c r="B250" s="113">
        <f>'Date Calcs'!B250</f>
        <v>0</v>
      </c>
      <c r="C250" s="114" t="str">
        <f>_xlfn.IFNA(_xlfn.IFNA(VLOOKUP(AF250,'[1]Schedule Not Certified'!$C:$F,3,0),VLOOKUP(AF250,[1]CERTIFIED!$C:$E,3,0)),"")</f>
        <v/>
      </c>
      <c r="D250" s="115">
        <v>0</v>
      </c>
      <c r="E250" s="115">
        <v>0</v>
      </c>
      <c r="F250" s="115">
        <v>0</v>
      </c>
      <c r="G250" s="115">
        <v>0</v>
      </c>
      <c r="H250" s="115">
        <v>0</v>
      </c>
      <c r="I250" s="114" t="str">
        <f t="shared" si="89"/>
        <v/>
      </c>
      <c r="J250" s="116" t="e">
        <f t="shared" si="109"/>
        <v>#VALUE!</v>
      </c>
      <c r="K250" s="116" t="e">
        <f t="shared" si="109"/>
        <v>#VALUE!</v>
      </c>
      <c r="L250" s="116" t="e">
        <f t="shared" si="109"/>
        <v>#VALUE!</v>
      </c>
      <c r="M250" s="116" t="e">
        <f t="shared" si="109"/>
        <v>#VALUE!</v>
      </c>
      <c r="N250" s="116" t="e">
        <f t="shared" si="109"/>
        <v>#VALUE!</v>
      </c>
      <c r="O250" s="116" t="str">
        <f t="shared" si="90"/>
        <v/>
      </c>
      <c r="P250" s="116" t="str">
        <f t="shared" si="91"/>
        <v/>
      </c>
      <c r="Q250" s="116" t="str">
        <f>IFERROR(VLOOKUP(A250,'Date Calcs'!A:C,3,0),"")</f>
        <v/>
      </c>
      <c r="R250" s="116" t="str">
        <f t="shared" si="92"/>
        <v/>
      </c>
      <c r="S250" s="117"/>
      <c r="T250" s="116" t="e">
        <f t="shared" si="93"/>
        <v>#VALUE!</v>
      </c>
      <c r="U250" s="116" t="e">
        <f t="shared" si="94"/>
        <v>#VALUE!</v>
      </c>
      <c r="V250" s="116" t="str">
        <f>IFERROR(IF(VLOOKUP(A250,'Actual Dates'!A:AE,21,0)&gt;"",VLOOKUP(A250,'Actual Dates'!A:AE,21,0),W250-$V$2),"")</f>
        <v/>
      </c>
      <c r="W250" s="116" t="str">
        <f t="shared" si="95"/>
        <v/>
      </c>
      <c r="X250" s="116" t="str">
        <f t="shared" si="96"/>
        <v/>
      </c>
      <c r="Y250" s="116" t="str">
        <f t="shared" si="97"/>
        <v/>
      </c>
      <c r="Z250" s="116" t="str">
        <f t="shared" si="98"/>
        <v/>
      </c>
      <c r="AA250" s="116" t="str">
        <f t="shared" si="99"/>
        <v/>
      </c>
      <c r="AB250" s="116" t="str">
        <f t="shared" si="100"/>
        <v/>
      </c>
      <c r="AC250" s="116" t="str">
        <f t="shared" si="101"/>
        <v/>
      </c>
      <c r="AD250" s="116" t="str">
        <f t="shared" si="102"/>
        <v/>
      </c>
      <c r="AE250" s="116" t="str">
        <f t="shared" si="103"/>
        <v/>
      </c>
      <c r="AF250" s="116" t="str">
        <f t="shared" si="104"/>
        <v>0-0</v>
      </c>
    </row>
    <row r="251" spans="1:32" x14ac:dyDescent="0.25">
      <c r="A251" s="113">
        <f>'Date Calcs'!A251</f>
        <v>0</v>
      </c>
      <c r="B251" s="113">
        <f>'Date Calcs'!B251</f>
        <v>0</v>
      </c>
      <c r="C251" s="114" t="str">
        <f>_xlfn.IFNA(_xlfn.IFNA(VLOOKUP(AF251,'[1]Schedule Not Certified'!$C:$F,3,0),VLOOKUP(AF251,[1]CERTIFIED!$C:$E,3,0)),"")</f>
        <v/>
      </c>
      <c r="D251" s="115">
        <v>0</v>
      </c>
      <c r="E251" s="115">
        <v>0</v>
      </c>
      <c r="F251" s="115">
        <v>0</v>
      </c>
      <c r="G251" s="115">
        <v>0</v>
      </c>
      <c r="H251" s="115">
        <v>0</v>
      </c>
      <c r="I251" s="114" t="str">
        <f t="shared" si="89"/>
        <v/>
      </c>
      <c r="J251" s="116" t="e">
        <f t="shared" si="109"/>
        <v>#VALUE!</v>
      </c>
      <c r="K251" s="116" t="e">
        <f t="shared" si="109"/>
        <v>#VALUE!</v>
      </c>
      <c r="L251" s="116" t="e">
        <f t="shared" si="109"/>
        <v>#VALUE!</v>
      </c>
      <c r="M251" s="116" t="e">
        <f t="shared" si="109"/>
        <v>#VALUE!</v>
      </c>
      <c r="N251" s="116" t="e">
        <f t="shared" si="109"/>
        <v>#VALUE!</v>
      </c>
      <c r="O251" s="116" t="str">
        <f t="shared" si="90"/>
        <v/>
      </c>
      <c r="P251" s="116" t="str">
        <f t="shared" si="91"/>
        <v/>
      </c>
      <c r="Q251" s="116" t="str">
        <f>IFERROR(VLOOKUP(A251,'Date Calcs'!A:C,3,0),"")</f>
        <v/>
      </c>
      <c r="R251" s="116" t="str">
        <f t="shared" si="92"/>
        <v/>
      </c>
      <c r="S251" s="117"/>
      <c r="T251" s="116" t="e">
        <f t="shared" si="93"/>
        <v>#VALUE!</v>
      </c>
      <c r="U251" s="116" t="e">
        <f t="shared" si="94"/>
        <v>#VALUE!</v>
      </c>
      <c r="V251" s="116" t="str">
        <f>IFERROR(IF(VLOOKUP(A251,'Actual Dates'!A:AE,21,0)&gt;"",VLOOKUP(A251,'Actual Dates'!A:AE,21,0),W251-$V$2),"")</f>
        <v/>
      </c>
      <c r="W251" s="116" t="str">
        <f t="shared" si="95"/>
        <v/>
      </c>
      <c r="X251" s="116" t="str">
        <f t="shared" si="96"/>
        <v/>
      </c>
      <c r="Y251" s="116" t="str">
        <f t="shared" si="97"/>
        <v/>
      </c>
      <c r="Z251" s="116" t="str">
        <f t="shared" si="98"/>
        <v/>
      </c>
      <c r="AA251" s="116" t="str">
        <f t="shared" si="99"/>
        <v/>
      </c>
      <c r="AB251" s="116" t="str">
        <f t="shared" si="100"/>
        <v/>
      </c>
      <c r="AC251" s="116" t="str">
        <f t="shared" si="101"/>
        <v/>
      </c>
      <c r="AD251" s="116" t="str">
        <f t="shared" si="102"/>
        <v/>
      </c>
      <c r="AE251" s="116" t="str">
        <f t="shared" si="103"/>
        <v/>
      </c>
      <c r="AF251" s="116" t="str">
        <f t="shared" si="104"/>
        <v>0-0</v>
      </c>
    </row>
    <row r="252" spans="1:32" x14ac:dyDescent="0.25">
      <c r="A252" s="113">
        <f>'Date Calcs'!A252</f>
        <v>0</v>
      </c>
      <c r="B252" s="113">
        <f>'Date Calcs'!B252</f>
        <v>0</v>
      </c>
      <c r="C252" s="114" t="str">
        <f>_xlfn.IFNA(_xlfn.IFNA(VLOOKUP(AF252,'[1]Schedule Not Certified'!$C:$F,3,0),VLOOKUP(AF252,[1]CERTIFIED!$C:$E,3,0)),"")</f>
        <v/>
      </c>
      <c r="D252" s="115">
        <v>0</v>
      </c>
      <c r="E252" s="115">
        <v>0</v>
      </c>
      <c r="F252" s="115">
        <v>0</v>
      </c>
      <c r="G252" s="115">
        <v>0</v>
      </c>
      <c r="H252" s="115">
        <v>0</v>
      </c>
      <c r="I252" s="114" t="str">
        <f t="shared" si="89"/>
        <v/>
      </c>
      <c r="J252" s="116" t="e">
        <f t="shared" si="109"/>
        <v>#VALUE!</v>
      </c>
      <c r="K252" s="116" t="e">
        <f t="shared" si="109"/>
        <v>#VALUE!</v>
      </c>
      <c r="L252" s="116" t="e">
        <f t="shared" si="109"/>
        <v>#VALUE!</v>
      </c>
      <c r="M252" s="116" t="e">
        <f t="shared" si="109"/>
        <v>#VALUE!</v>
      </c>
      <c r="N252" s="116" t="e">
        <f t="shared" si="109"/>
        <v>#VALUE!</v>
      </c>
      <c r="O252" s="116" t="str">
        <f t="shared" si="90"/>
        <v/>
      </c>
      <c r="P252" s="116" t="str">
        <f t="shared" si="91"/>
        <v/>
      </c>
      <c r="Q252" s="116" t="str">
        <f>IFERROR(VLOOKUP(A252,'Date Calcs'!A:C,3,0),"")</f>
        <v/>
      </c>
      <c r="R252" s="116" t="str">
        <f t="shared" si="92"/>
        <v/>
      </c>
      <c r="S252" s="117"/>
      <c r="T252" s="116" t="e">
        <f t="shared" si="93"/>
        <v>#VALUE!</v>
      </c>
      <c r="U252" s="116" t="e">
        <f t="shared" si="94"/>
        <v>#VALUE!</v>
      </c>
      <c r="V252" s="116" t="str">
        <f>IFERROR(IF(VLOOKUP(A252,'Actual Dates'!A:AE,21,0)&gt;"",VLOOKUP(A252,'Actual Dates'!A:AE,21,0),W252-$V$2),"")</f>
        <v/>
      </c>
      <c r="W252" s="116" t="str">
        <f t="shared" si="95"/>
        <v/>
      </c>
      <c r="X252" s="116" t="str">
        <f t="shared" si="96"/>
        <v/>
      </c>
      <c r="Y252" s="116" t="str">
        <f t="shared" si="97"/>
        <v/>
      </c>
      <c r="Z252" s="116" t="str">
        <f t="shared" si="98"/>
        <v/>
      </c>
      <c r="AA252" s="116" t="str">
        <f t="shared" si="99"/>
        <v/>
      </c>
      <c r="AB252" s="116" t="str">
        <f t="shared" si="100"/>
        <v/>
      </c>
      <c r="AC252" s="116" t="str">
        <f t="shared" si="101"/>
        <v/>
      </c>
      <c r="AD252" s="116" t="str">
        <f t="shared" si="102"/>
        <v/>
      </c>
      <c r="AE252" s="116" t="str">
        <f t="shared" si="103"/>
        <v/>
      </c>
      <c r="AF252" s="116" t="str">
        <f t="shared" si="104"/>
        <v>0-0</v>
      </c>
    </row>
    <row r="253" spans="1:32" x14ac:dyDescent="0.25">
      <c r="A253" s="113">
        <f>'Date Calcs'!A253</f>
        <v>0</v>
      </c>
      <c r="B253" s="113">
        <f>'Date Calcs'!B253</f>
        <v>0</v>
      </c>
      <c r="C253" s="114" t="str">
        <f>_xlfn.IFNA(_xlfn.IFNA(VLOOKUP(AF253,'[1]Schedule Not Certified'!$C:$F,3,0),VLOOKUP(AF253,[1]CERTIFIED!$C:$E,3,0)),"")</f>
        <v/>
      </c>
      <c r="D253" s="115">
        <v>0</v>
      </c>
      <c r="E253" s="115">
        <v>0</v>
      </c>
      <c r="F253" s="115">
        <v>0</v>
      </c>
      <c r="G253" s="115">
        <v>0</v>
      </c>
      <c r="H253" s="115">
        <v>0</v>
      </c>
      <c r="I253" s="114" t="str">
        <f t="shared" si="89"/>
        <v/>
      </c>
      <c r="J253" s="116" t="e">
        <f t="shared" si="109"/>
        <v>#VALUE!</v>
      </c>
      <c r="K253" s="116" t="e">
        <f t="shared" si="109"/>
        <v>#VALUE!</v>
      </c>
      <c r="L253" s="116" t="e">
        <f t="shared" si="109"/>
        <v>#VALUE!</v>
      </c>
      <c r="M253" s="116" t="e">
        <f t="shared" si="109"/>
        <v>#VALUE!</v>
      </c>
      <c r="N253" s="116" t="e">
        <f t="shared" si="109"/>
        <v>#VALUE!</v>
      </c>
      <c r="O253" s="116" t="str">
        <f t="shared" si="90"/>
        <v/>
      </c>
      <c r="P253" s="116" t="str">
        <f t="shared" si="91"/>
        <v/>
      </c>
      <c r="Q253" s="116" t="str">
        <f>IFERROR(VLOOKUP(A253,'Date Calcs'!A:C,3,0),"")</f>
        <v/>
      </c>
      <c r="R253" s="116" t="str">
        <f t="shared" si="92"/>
        <v/>
      </c>
      <c r="S253" s="117"/>
      <c r="T253" s="116" t="e">
        <f t="shared" si="93"/>
        <v>#VALUE!</v>
      </c>
      <c r="U253" s="116" t="e">
        <f t="shared" si="94"/>
        <v>#VALUE!</v>
      </c>
      <c r="V253" s="116" t="str">
        <f>IFERROR(IF(VLOOKUP(A253,'Actual Dates'!A:AE,21,0)&gt;"",VLOOKUP(A253,'Actual Dates'!A:AE,21,0),W253-$V$2),"")</f>
        <v/>
      </c>
      <c r="W253" s="116" t="str">
        <f t="shared" si="95"/>
        <v/>
      </c>
      <c r="X253" s="116" t="str">
        <f t="shared" si="96"/>
        <v/>
      </c>
      <c r="Y253" s="116" t="str">
        <f t="shared" si="97"/>
        <v/>
      </c>
      <c r="Z253" s="116" t="str">
        <f t="shared" si="98"/>
        <v/>
      </c>
      <c r="AA253" s="116" t="str">
        <f t="shared" si="99"/>
        <v/>
      </c>
      <c r="AB253" s="116" t="str">
        <f t="shared" si="100"/>
        <v/>
      </c>
      <c r="AC253" s="116" t="str">
        <f t="shared" si="101"/>
        <v/>
      </c>
      <c r="AD253" s="116" t="str">
        <f t="shared" si="102"/>
        <v/>
      </c>
      <c r="AE253" s="116" t="str">
        <f t="shared" si="103"/>
        <v/>
      </c>
      <c r="AF253" s="116" t="str">
        <f t="shared" si="104"/>
        <v>0-0</v>
      </c>
    </row>
    <row r="254" spans="1:32" x14ac:dyDescent="0.25">
      <c r="A254" s="113">
        <f>'Date Calcs'!A254</f>
        <v>0</v>
      </c>
      <c r="B254" s="113">
        <f>'Date Calcs'!B254</f>
        <v>0</v>
      </c>
      <c r="C254" s="114" t="str">
        <f>_xlfn.IFNA(_xlfn.IFNA(VLOOKUP(AF254,'[1]Schedule Not Certified'!$C:$F,3,0),VLOOKUP(AF254,[1]CERTIFIED!$C:$E,3,0)),"")</f>
        <v/>
      </c>
      <c r="D254" s="115">
        <v>0</v>
      </c>
      <c r="E254" s="115">
        <v>0</v>
      </c>
      <c r="F254" s="115">
        <v>0</v>
      </c>
      <c r="G254" s="115">
        <v>0</v>
      </c>
      <c r="H254" s="115">
        <v>0</v>
      </c>
      <c r="I254" s="114" t="str">
        <f t="shared" si="89"/>
        <v/>
      </c>
      <c r="J254" s="116" t="e">
        <f t="shared" si="109"/>
        <v>#VALUE!</v>
      </c>
      <c r="K254" s="116" t="e">
        <f t="shared" si="109"/>
        <v>#VALUE!</v>
      </c>
      <c r="L254" s="116" t="e">
        <f t="shared" si="109"/>
        <v>#VALUE!</v>
      </c>
      <c r="M254" s="116" t="e">
        <f t="shared" si="109"/>
        <v>#VALUE!</v>
      </c>
      <c r="N254" s="116" t="e">
        <f t="shared" si="109"/>
        <v>#VALUE!</v>
      </c>
      <c r="O254" s="116" t="str">
        <f t="shared" si="90"/>
        <v/>
      </c>
      <c r="P254" s="116" t="str">
        <f t="shared" si="91"/>
        <v/>
      </c>
      <c r="Q254" s="116" t="str">
        <f>IFERROR(VLOOKUP(A254,'Date Calcs'!A:C,3,0),"")</f>
        <v/>
      </c>
      <c r="R254" s="116" t="str">
        <f t="shared" si="92"/>
        <v/>
      </c>
      <c r="S254" s="117"/>
      <c r="T254" s="116" t="e">
        <f t="shared" si="93"/>
        <v>#VALUE!</v>
      </c>
      <c r="U254" s="116" t="e">
        <f t="shared" si="94"/>
        <v>#VALUE!</v>
      </c>
      <c r="V254" s="116" t="str">
        <f>IFERROR(IF(VLOOKUP(A254,'Actual Dates'!A:AE,21,0)&gt;"",VLOOKUP(A254,'Actual Dates'!A:AE,21,0),W254-$V$2),"")</f>
        <v/>
      </c>
      <c r="W254" s="116" t="str">
        <f t="shared" si="95"/>
        <v/>
      </c>
      <c r="X254" s="116" t="str">
        <f t="shared" si="96"/>
        <v/>
      </c>
      <c r="Y254" s="116" t="str">
        <f t="shared" si="97"/>
        <v/>
      </c>
      <c r="Z254" s="116" t="str">
        <f t="shared" si="98"/>
        <v/>
      </c>
      <c r="AA254" s="116" t="str">
        <f t="shared" si="99"/>
        <v/>
      </c>
      <c r="AB254" s="116" t="str">
        <f t="shared" si="100"/>
        <v/>
      </c>
      <c r="AC254" s="116" t="str">
        <f t="shared" si="101"/>
        <v/>
      </c>
      <c r="AD254" s="116" t="str">
        <f t="shared" si="102"/>
        <v/>
      </c>
      <c r="AE254" s="116" t="str">
        <f t="shared" si="103"/>
        <v/>
      </c>
      <c r="AF254" s="116" t="str">
        <f t="shared" si="104"/>
        <v>0-0</v>
      </c>
    </row>
    <row r="255" spans="1:32" x14ac:dyDescent="0.25">
      <c r="A255" s="113">
        <f>'Date Calcs'!A255</f>
        <v>0</v>
      </c>
      <c r="B255" s="113">
        <f>'Date Calcs'!B255</f>
        <v>0</v>
      </c>
      <c r="C255" s="114" t="str">
        <f>_xlfn.IFNA(_xlfn.IFNA(VLOOKUP(AF255,'[1]Schedule Not Certified'!$C:$F,3,0),VLOOKUP(AF255,[1]CERTIFIED!$C:$E,3,0)),"")</f>
        <v/>
      </c>
      <c r="D255" s="115">
        <v>0</v>
      </c>
      <c r="E255" s="115">
        <v>0</v>
      </c>
      <c r="F255" s="115">
        <v>0</v>
      </c>
      <c r="G255" s="115">
        <v>0</v>
      </c>
      <c r="H255" s="115">
        <v>0</v>
      </c>
      <c r="I255" s="114" t="str">
        <f t="shared" si="89"/>
        <v/>
      </c>
      <c r="J255" s="116" t="e">
        <f t="shared" ref="J255:N261" si="110">K255-J$2</f>
        <v>#VALUE!</v>
      </c>
      <c r="K255" s="116" t="e">
        <f t="shared" si="110"/>
        <v>#VALUE!</v>
      </c>
      <c r="L255" s="116" t="e">
        <f t="shared" si="110"/>
        <v>#VALUE!</v>
      </c>
      <c r="M255" s="116" t="e">
        <f t="shared" si="110"/>
        <v>#VALUE!</v>
      </c>
      <c r="N255" s="116" t="e">
        <f t="shared" si="110"/>
        <v>#VALUE!</v>
      </c>
      <c r="O255" s="116" t="str">
        <f t="shared" si="90"/>
        <v/>
      </c>
      <c r="P255" s="116" t="str">
        <f t="shared" si="91"/>
        <v/>
      </c>
      <c r="Q255" s="116" t="str">
        <f>IFERROR(VLOOKUP(A255,'Date Calcs'!A:C,3,0),"")</f>
        <v/>
      </c>
      <c r="R255" s="116" t="str">
        <f t="shared" si="92"/>
        <v/>
      </c>
      <c r="S255" s="117"/>
      <c r="T255" s="116" t="e">
        <f t="shared" si="93"/>
        <v>#VALUE!</v>
      </c>
      <c r="U255" s="116" t="e">
        <f t="shared" si="94"/>
        <v>#VALUE!</v>
      </c>
      <c r="V255" s="116" t="str">
        <f>IFERROR(IF(VLOOKUP(A255,'Actual Dates'!A:AE,21,0)&gt;"",VLOOKUP(A255,'Actual Dates'!A:AE,21,0),W255-$V$2),"")</f>
        <v/>
      </c>
      <c r="W255" s="116" t="str">
        <f t="shared" si="95"/>
        <v/>
      </c>
      <c r="X255" s="116" t="str">
        <f t="shared" si="96"/>
        <v/>
      </c>
      <c r="Y255" s="116" t="str">
        <f t="shared" si="97"/>
        <v/>
      </c>
      <c r="Z255" s="116" t="str">
        <f t="shared" si="98"/>
        <v/>
      </c>
      <c r="AA255" s="116" t="str">
        <f t="shared" si="99"/>
        <v/>
      </c>
      <c r="AB255" s="116" t="str">
        <f t="shared" si="100"/>
        <v/>
      </c>
      <c r="AC255" s="116" t="str">
        <f t="shared" si="101"/>
        <v/>
      </c>
      <c r="AD255" s="116" t="str">
        <f t="shared" si="102"/>
        <v/>
      </c>
      <c r="AE255" s="116" t="str">
        <f t="shared" si="103"/>
        <v/>
      </c>
      <c r="AF255" s="116" t="str">
        <f t="shared" si="104"/>
        <v>0-0</v>
      </c>
    </row>
    <row r="256" spans="1:32" x14ac:dyDescent="0.25">
      <c r="A256" s="113">
        <f>'Date Calcs'!A256</f>
        <v>0</v>
      </c>
      <c r="B256" s="113">
        <f>'Date Calcs'!B256</f>
        <v>0</v>
      </c>
      <c r="C256" s="114" t="str">
        <f>_xlfn.IFNA(_xlfn.IFNA(VLOOKUP(AF256,'[1]Schedule Not Certified'!$C:$F,3,0),VLOOKUP(AF256,[1]CERTIFIED!$C:$E,3,0)),"")</f>
        <v/>
      </c>
      <c r="D256" s="115">
        <v>0</v>
      </c>
      <c r="E256" s="115">
        <v>0</v>
      </c>
      <c r="F256" s="115">
        <v>0</v>
      </c>
      <c r="G256" s="115">
        <v>0</v>
      </c>
      <c r="H256" s="115">
        <v>0</v>
      </c>
      <c r="I256" s="114" t="str">
        <f t="shared" si="89"/>
        <v/>
      </c>
      <c r="J256" s="116" t="e">
        <f t="shared" si="110"/>
        <v>#VALUE!</v>
      </c>
      <c r="K256" s="116" t="e">
        <f t="shared" si="110"/>
        <v>#VALUE!</v>
      </c>
      <c r="L256" s="116" t="e">
        <f t="shared" si="110"/>
        <v>#VALUE!</v>
      </c>
      <c r="M256" s="116" t="e">
        <f t="shared" si="110"/>
        <v>#VALUE!</v>
      </c>
      <c r="N256" s="116" t="e">
        <f t="shared" si="110"/>
        <v>#VALUE!</v>
      </c>
      <c r="O256" s="116" t="str">
        <f t="shared" si="90"/>
        <v/>
      </c>
      <c r="P256" s="116" t="str">
        <f t="shared" si="91"/>
        <v/>
      </c>
      <c r="Q256" s="116" t="str">
        <f>IFERROR(VLOOKUP(A256,'Date Calcs'!A:C,3,0),"")</f>
        <v/>
      </c>
      <c r="R256" s="116" t="str">
        <f t="shared" si="92"/>
        <v/>
      </c>
      <c r="S256" s="117"/>
      <c r="T256" s="116" t="e">
        <f t="shared" si="93"/>
        <v>#VALUE!</v>
      </c>
      <c r="U256" s="116" t="e">
        <f t="shared" si="94"/>
        <v>#VALUE!</v>
      </c>
      <c r="V256" s="116" t="str">
        <f>IFERROR(IF(VLOOKUP(A256,'Actual Dates'!A:AE,21,0)&gt;"",VLOOKUP(A256,'Actual Dates'!A:AE,21,0),W256-$V$2),"")</f>
        <v/>
      </c>
      <c r="W256" s="116" t="str">
        <f t="shared" si="95"/>
        <v/>
      </c>
      <c r="X256" s="116" t="str">
        <f t="shared" si="96"/>
        <v/>
      </c>
      <c r="Y256" s="116" t="str">
        <f t="shared" si="97"/>
        <v/>
      </c>
      <c r="Z256" s="116" t="str">
        <f t="shared" si="98"/>
        <v/>
      </c>
      <c r="AA256" s="116" t="str">
        <f t="shared" si="99"/>
        <v/>
      </c>
      <c r="AB256" s="116" t="str">
        <f t="shared" si="100"/>
        <v/>
      </c>
      <c r="AC256" s="116" t="str">
        <f t="shared" si="101"/>
        <v/>
      </c>
      <c r="AD256" s="116" t="str">
        <f t="shared" si="102"/>
        <v/>
      </c>
      <c r="AE256" s="116" t="str">
        <f t="shared" si="103"/>
        <v/>
      </c>
      <c r="AF256" s="116" t="str">
        <f t="shared" si="104"/>
        <v>0-0</v>
      </c>
    </row>
    <row r="257" spans="1:32" x14ac:dyDescent="0.25">
      <c r="A257" s="113">
        <f>'Date Calcs'!A257</f>
        <v>0</v>
      </c>
      <c r="B257" s="113">
        <f>'Date Calcs'!B257</f>
        <v>0</v>
      </c>
      <c r="C257" s="114" t="str">
        <f>_xlfn.IFNA(_xlfn.IFNA(VLOOKUP(AF257,'[1]Schedule Not Certified'!$C:$F,3,0),VLOOKUP(AF257,[1]CERTIFIED!$C:$E,3,0)),"")</f>
        <v/>
      </c>
      <c r="D257" s="115">
        <v>0</v>
      </c>
      <c r="E257" s="115">
        <v>0</v>
      </c>
      <c r="F257" s="115">
        <v>0</v>
      </c>
      <c r="G257" s="115">
        <v>0</v>
      </c>
      <c r="H257" s="115">
        <v>0</v>
      </c>
      <c r="I257" s="114" t="str">
        <f t="shared" si="89"/>
        <v/>
      </c>
      <c r="J257" s="116" t="e">
        <f t="shared" si="110"/>
        <v>#VALUE!</v>
      </c>
      <c r="K257" s="116" t="e">
        <f t="shared" si="110"/>
        <v>#VALUE!</v>
      </c>
      <c r="L257" s="116" t="e">
        <f t="shared" si="110"/>
        <v>#VALUE!</v>
      </c>
      <c r="M257" s="116" t="e">
        <f t="shared" si="110"/>
        <v>#VALUE!</v>
      </c>
      <c r="N257" s="116" t="e">
        <f t="shared" si="110"/>
        <v>#VALUE!</v>
      </c>
      <c r="O257" s="116" t="str">
        <f t="shared" si="90"/>
        <v/>
      </c>
      <c r="P257" s="116" t="str">
        <f t="shared" si="91"/>
        <v/>
      </c>
      <c r="Q257" s="116" t="str">
        <f>IFERROR(VLOOKUP(A257,'Date Calcs'!A:C,3,0),"")</f>
        <v/>
      </c>
      <c r="R257" s="116" t="str">
        <f t="shared" si="92"/>
        <v/>
      </c>
      <c r="S257" s="117"/>
      <c r="T257" s="116" t="e">
        <f t="shared" si="93"/>
        <v>#VALUE!</v>
      </c>
      <c r="U257" s="116" t="e">
        <f t="shared" si="94"/>
        <v>#VALUE!</v>
      </c>
      <c r="V257" s="116" t="str">
        <f>IFERROR(IF(VLOOKUP(A257,'Actual Dates'!A:AE,21,0)&gt;"",VLOOKUP(A257,'Actual Dates'!A:AE,21,0),W257-$V$2),"")</f>
        <v/>
      </c>
      <c r="W257" s="116" t="str">
        <f t="shared" si="95"/>
        <v/>
      </c>
      <c r="X257" s="116" t="str">
        <f t="shared" si="96"/>
        <v/>
      </c>
      <c r="Y257" s="116" t="str">
        <f t="shared" si="97"/>
        <v/>
      </c>
      <c r="Z257" s="116" t="str">
        <f t="shared" si="98"/>
        <v/>
      </c>
      <c r="AA257" s="116" t="str">
        <f t="shared" si="99"/>
        <v/>
      </c>
      <c r="AB257" s="116" t="str">
        <f t="shared" si="100"/>
        <v/>
      </c>
      <c r="AC257" s="116" t="str">
        <f t="shared" si="101"/>
        <v/>
      </c>
      <c r="AD257" s="116" t="str">
        <f t="shared" si="102"/>
        <v/>
      </c>
      <c r="AE257" s="116" t="str">
        <f t="shared" si="103"/>
        <v/>
      </c>
      <c r="AF257" s="116" t="str">
        <f t="shared" si="104"/>
        <v>0-0</v>
      </c>
    </row>
    <row r="258" spans="1:32" x14ac:dyDescent="0.25">
      <c r="A258" s="113">
        <f>'Date Calcs'!A258</f>
        <v>0</v>
      </c>
      <c r="B258" s="113">
        <f>'Date Calcs'!B258</f>
        <v>0</v>
      </c>
      <c r="C258" s="114" t="str">
        <f>_xlfn.IFNA(_xlfn.IFNA(VLOOKUP(AF258,'[1]Schedule Not Certified'!$C:$F,3,0),VLOOKUP(AF258,[1]CERTIFIED!$C:$E,3,0)),"")</f>
        <v/>
      </c>
      <c r="D258" s="115">
        <v>0</v>
      </c>
      <c r="E258" s="115">
        <v>0</v>
      </c>
      <c r="F258" s="115">
        <v>0</v>
      </c>
      <c r="G258" s="115">
        <v>0</v>
      </c>
      <c r="H258" s="115">
        <v>0</v>
      </c>
      <c r="I258" s="114" t="str">
        <f t="shared" si="89"/>
        <v/>
      </c>
      <c r="J258" s="116" t="e">
        <f t="shared" si="110"/>
        <v>#VALUE!</v>
      </c>
      <c r="K258" s="116" t="e">
        <f t="shared" si="110"/>
        <v>#VALUE!</v>
      </c>
      <c r="L258" s="116" t="e">
        <f t="shared" si="110"/>
        <v>#VALUE!</v>
      </c>
      <c r="M258" s="116" t="e">
        <f t="shared" si="110"/>
        <v>#VALUE!</v>
      </c>
      <c r="N258" s="116" t="e">
        <f t="shared" si="110"/>
        <v>#VALUE!</v>
      </c>
      <c r="O258" s="116" t="str">
        <f t="shared" si="90"/>
        <v/>
      </c>
      <c r="P258" s="116" t="str">
        <f t="shared" si="91"/>
        <v/>
      </c>
      <c r="Q258" s="116" t="str">
        <f>IFERROR(VLOOKUP(A258,'Date Calcs'!A:C,3,0),"")</f>
        <v/>
      </c>
      <c r="R258" s="116" t="str">
        <f t="shared" si="92"/>
        <v/>
      </c>
      <c r="S258" s="117"/>
      <c r="T258" s="116" t="e">
        <f t="shared" si="93"/>
        <v>#VALUE!</v>
      </c>
      <c r="U258" s="116" t="e">
        <f t="shared" si="94"/>
        <v>#VALUE!</v>
      </c>
      <c r="V258" s="116" t="str">
        <f>IFERROR(IF(VLOOKUP(A258,'Actual Dates'!A:AE,21,0)&gt;"",VLOOKUP(A258,'Actual Dates'!A:AE,21,0),W258-$V$2),"")</f>
        <v/>
      </c>
      <c r="W258" s="116" t="str">
        <f t="shared" si="95"/>
        <v/>
      </c>
      <c r="X258" s="116" t="str">
        <f t="shared" si="96"/>
        <v/>
      </c>
      <c r="Y258" s="116" t="str">
        <f t="shared" si="97"/>
        <v/>
      </c>
      <c r="Z258" s="116" t="str">
        <f t="shared" si="98"/>
        <v/>
      </c>
      <c r="AA258" s="116" t="str">
        <f t="shared" si="99"/>
        <v/>
      </c>
      <c r="AB258" s="116" t="str">
        <f t="shared" si="100"/>
        <v/>
      </c>
      <c r="AC258" s="116" t="str">
        <f t="shared" si="101"/>
        <v/>
      </c>
      <c r="AD258" s="116" t="str">
        <f t="shared" si="102"/>
        <v/>
      </c>
      <c r="AE258" s="116" t="str">
        <f t="shared" si="103"/>
        <v/>
      </c>
      <c r="AF258" s="116" t="str">
        <f t="shared" si="104"/>
        <v>0-0</v>
      </c>
    </row>
    <row r="259" spans="1:32" x14ac:dyDescent="0.25">
      <c r="A259" s="113">
        <f>'Date Calcs'!A259</f>
        <v>0</v>
      </c>
      <c r="B259" s="113">
        <f>'Date Calcs'!B259</f>
        <v>0</v>
      </c>
      <c r="C259" s="114" t="str">
        <f>_xlfn.IFNA(_xlfn.IFNA(VLOOKUP(AF259,'[1]Schedule Not Certified'!$C:$F,3,0),VLOOKUP(AF259,[1]CERTIFIED!$C:$E,3,0)),"")</f>
        <v/>
      </c>
      <c r="D259" s="115">
        <v>0</v>
      </c>
      <c r="E259" s="115">
        <v>0</v>
      </c>
      <c r="F259" s="115">
        <v>0</v>
      </c>
      <c r="G259" s="115">
        <v>0</v>
      </c>
      <c r="H259" s="115">
        <v>0</v>
      </c>
      <c r="I259" s="114" t="str">
        <f t="shared" si="89"/>
        <v/>
      </c>
      <c r="J259" s="116" t="e">
        <f t="shared" si="110"/>
        <v>#VALUE!</v>
      </c>
      <c r="K259" s="116" t="e">
        <f t="shared" si="110"/>
        <v>#VALUE!</v>
      </c>
      <c r="L259" s="116" t="e">
        <f t="shared" si="110"/>
        <v>#VALUE!</v>
      </c>
      <c r="M259" s="116" t="e">
        <f t="shared" si="110"/>
        <v>#VALUE!</v>
      </c>
      <c r="N259" s="116" t="e">
        <f t="shared" si="110"/>
        <v>#VALUE!</v>
      </c>
      <c r="O259" s="116" t="str">
        <f t="shared" si="90"/>
        <v/>
      </c>
      <c r="P259" s="116" t="str">
        <f t="shared" si="91"/>
        <v/>
      </c>
      <c r="Q259" s="116" t="str">
        <f>IFERROR(VLOOKUP(A259,'Date Calcs'!A:C,3,0),"")</f>
        <v/>
      </c>
      <c r="R259" s="116" t="str">
        <f t="shared" si="92"/>
        <v/>
      </c>
      <c r="S259" s="117"/>
      <c r="T259" s="116" t="e">
        <f t="shared" si="93"/>
        <v>#VALUE!</v>
      </c>
      <c r="U259" s="116" t="e">
        <f t="shared" si="94"/>
        <v>#VALUE!</v>
      </c>
      <c r="V259" s="116" t="str">
        <f>IFERROR(IF(VLOOKUP(A259,'Actual Dates'!A:AE,21,0)&gt;"",VLOOKUP(A259,'Actual Dates'!A:AE,21,0),W259-$V$2),"")</f>
        <v/>
      </c>
      <c r="W259" s="116" t="str">
        <f t="shared" si="95"/>
        <v/>
      </c>
      <c r="X259" s="116" t="str">
        <f t="shared" si="96"/>
        <v/>
      </c>
      <c r="Y259" s="116" t="str">
        <f t="shared" si="97"/>
        <v/>
      </c>
      <c r="Z259" s="116" t="str">
        <f t="shared" si="98"/>
        <v/>
      </c>
      <c r="AA259" s="116" t="str">
        <f t="shared" si="99"/>
        <v/>
      </c>
      <c r="AB259" s="116" t="str">
        <f t="shared" si="100"/>
        <v/>
      </c>
      <c r="AC259" s="116" t="str">
        <f t="shared" si="101"/>
        <v/>
      </c>
      <c r="AD259" s="116" t="str">
        <f t="shared" si="102"/>
        <v/>
      </c>
      <c r="AE259" s="116" t="str">
        <f t="shared" si="103"/>
        <v/>
      </c>
      <c r="AF259" s="116" t="str">
        <f t="shared" si="104"/>
        <v>0-0</v>
      </c>
    </row>
    <row r="260" spans="1:32" x14ac:dyDescent="0.25">
      <c r="A260" s="113">
        <f>'Date Calcs'!A260</f>
        <v>0</v>
      </c>
      <c r="B260" s="113">
        <f>'Date Calcs'!B260</f>
        <v>0</v>
      </c>
      <c r="C260" s="114" t="str">
        <f>_xlfn.IFNA(_xlfn.IFNA(VLOOKUP(AF260,'[1]Schedule Not Certified'!$C:$F,3,0),VLOOKUP(AF260,[1]CERTIFIED!$C:$E,3,0)),"")</f>
        <v/>
      </c>
      <c r="D260" s="115">
        <v>0</v>
      </c>
      <c r="E260" s="115">
        <v>0</v>
      </c>
      <c r="F260" s="115">
        <v>0</v>
      </c>
      <c r="G260" s="115">
        <v>0</v>
      </c>
      <c r="H260" s="115">
        <v>0</v>
      </c>
      <c r="I260" s="114" t="str">
        <f t="shared" si="89"/>
        <v/>
      </c>
      <c r="J260" s="116" t="e">
        <f t="shared" si="110"/>
        <v>#VALUE!</v>
      </c>
      <c r="K260" s="116" t="e">
        <f t="shared" si="110"/>
        <v>#VALUE!</v>
      </c>
      <c r="L260" s="116" t="e">
        <f t="shared" si="110"/>
        <v>#VALUE!</v>
      </c>
      <c r="M260" s="116" t="e">
        <f t="shared" si="110"/>
        <v>#VALUE!</v>
      </c>
      <c r="N260" s="116" t="e">
        <f t="shared" si="110"/>
        <v>#VALUE!</v>
      </c>
      <c r="O260" s="116" t="str">
        <f t="shared" si="90"/>
        <v/>
      </c>
      <c r="P260" s="116" t="str">
        <f t="shared" si="91"/>
        <v/>
      </c>
      <c r="Q260" s="116" t="str">
        <f>IFERROR(VLOOKUP(A260,'Date Calcs'!A:C,3,0),"")</f>
        <v/>
      </c>
      <c r="R260" s="116" t="str">
        <f t="shared" si="92"/>
        <v/>
      </c>
      <c r="S260" s="117"/>
      <c r="T260" s="116" t="e">
        <f t="shared" si="93"/>
        <v>#VALUE!</v>
      </c>
      <c r="U260" s="116" t="e">
        <f t="shared" si="94"/>
        <v>#VALUE!</v>
      </c>
      <c r="V260" s="116" t="str">
        <f>IFERROR(IF(VLOOKUP(A260,'Actual Dates'!A:AE,21,0)&gt;"",VLOOKUP(A260,'Actual Dates'!A:AE,21,0),W260-$V$2),"")</f>
        <v/>
      </c>
      <c r="W260" s="116" t="str">
        <f t="shared" si="95"/>
        <v/>
      </c>
      <c r="X260" s="116" t="str">
        <f t="shared" si="96"/>
        <v/>
      </c>
      <c r="Y260" s="116" t="str">
        <f t="shared" si="97"/>
        <v/>
      </c>
      <c r="Z260" s="116" t="str">
        <f t="shared" si="98"/>
        <v/>
      </c>
      <c r="AA260" s="116" t="str">
        <f t="shared" si="99"/>
        <v/>
      </c>
      <c r="AB260" s="116" t="str">
        <f t="shared" si="100"/>
        <v/>
      </c>
      <c r="AC260" s="116" t="str">
        <f t="shared" si="101"/>
        <v/>
      </c>
      <c r="AD260" s="116" t="str">
        <f t="shared" si="102"/>
        <v/>
      </c>
      <c r="AE260" s="116" t="str">
        <f t="shared" si="103"/>
        <v/>
      </c>
      <c r="AF260" s="116" t="str">
        <f t="shared" si="104"/>
        <v>0-0</v>
      </c>
    </row>
    <row r="261" spans="1:32" x14ac:dyDescent="0.25">
      <c r="A261" s="113">
        <f>'Date Calcs'!A261</f>
        <v>0</v>
      </c>
      <c r="B261" s="113">
        <f>'Date Calcs'!B261</f>
        <v>0</v>
      </c>
      <c r="C261" s="114" t="str">
        <f>_xlfn.IFNA(_xlfn.IFNA(VLOOKUP(AF261,'[1]Schedule Not Certified'!$C:$F,3,0),VLOOKUP(AF261,[1]CERTIFIED!$C:$E,3,0)),"")</f>
        <v/>
      </c>
      <c r="D261" s="115">
        <v>0</v>
      </c>
      <c r="E261" s="115">
        <v>0</v>
      </c>
      <c r="F261" s="115">
        <v>0</v>
      </c>
      <c r="G261" s="115">
        <v>0</v>
      </c>
      <c r="H261" s="115">
        <v>0</v>
      </c>
      <c r="I261" s="114" t="str">
        <f t="shared" ref="I261" si="111">IFERROR(J261-21,"")</f>
        <v/>
      </c>
      <c r="J261" s="116" t="e">
        <f t="shared" si="110"/>
        <v>#VALUE!</v>
      </c>
      <c r="K261" s="116" t="e">
        <f t="shared" si="110"/>
        <v>#VALUE!</v>
      </c>
      <c r="L261" s="116" t="e">
        <f t="shared" si="110"/>
        <v>#VALUE!</v>
      </c>
      <c r="M261" s="116" t="e">
        <f t="shared" si="110"/>
        <v>#VALUE!</v>
      </c>
      <c r="N261" s="116" t="e">
        <f t="shared" si="110"/>
        <v>#VALUE!</v>
      </c>
      <c r="O261" s="116" t="str">
        <f t="shared" ref="O261" si="112">IFERROR(P261-$O$2,"")</f>
        <v/>
      </c>
      <c r="P261" s="116" t="str">
        <f t="shared" si="91"/>
        <v/>
      </c>
      <c r="Q261" s="116" t="str">
        <f>IFERROR(VLOOKUP(A261,'Date Calcs'!A:C,3,0),"")</f>
        <v/>
      </c>
      <c r="R261" s="116" t="str">
        <f t="shared" ref="R261" si="113">IFERROR(Q261-$R$2,"")</f>
        <v/>
      </c>
      <c r="S261" s="117"/>
      <c r="T261" s="116" t="e">
        <f t="shared" si="93"/>
        <v>#VALUE!</v>
      </c>
      <c r="U261" s="116" t="e">
        <f t="shared" si="94"/>
        <v>#VALUE!</v>
      </c>
      <c r="V261" s="116" t="str">
        <f>IFERROR(IF(VLOOKUP(A261,'Actual Dates'!A:AE,21,0)&gt;"",VLOOKUP(A261,'Actual Dates'!A:AE,21,0),W261-$V$2),"")</f>
        <v/>
      </c>
      <c r="W261" s="116" t="str">
        <f t="shared" ref="W261" si="114">IFERROR(X261-$W$2,"")</f>
        <v/>
      </c>
      <c r="X261" s="116" t="str">
        <f t="shared" ref="X261" si="115">IFERROR(Y261-$X$2,"")</f>
        <v/>
      </c>
      <c r="Y261" s="116" t="str">
        <f t="shared" ref="Y261" si="116">IFERROR(IF(Z261+Y$2+5&gt;AD261,AD261-7,Z261+Y$2+5),"")</f>
        <v/>
      </c>
      <c r="Z261" s="116" t="str">
        <f t="shared" si="98"/>
        <v/>
      </c>
      <c r="AA261" s="116" t="str">
        <f t="shared" si="99"/>
        <v/>
      </c>
      <c r="AB261" s="116" t="str">
        <f t="shared" si="100"/>
        <v/>
      </c>
      <c r="AC261" s="116" t="str">
        <f t="shared" ref="AC261" si="117">IFERROR(AD261-$AC$2,"")</f>
        <v/>
      </c>
      <c r="AD261" s="116" t="str">
        <f t="shared" ref="AD261" si="118">IFERROR(AE261-(SUM(D261:H261)*7),"")</f>
        <v/>
      </c>
      <c r="AE261" s="116" t="str">
        <f t="shared" si="103"/>
        <v/>
      </c>
      <c r="AF261" s="116" t="str">
        <f t="shared" si="104"/>
        <v>0-0</v>
      </c>
    </row>
  </sheetData>
  <sheetProtection algorithmName="SHA-512" hashValue="C32dE0D5zUJNi/0OMmsVO2YeotYEqJgIvLvZ4yokF7ojB4wUFv0tnu7N/QOAvRgIH/Fbfab5yvlAzR3779gNBA==" saltValue="J5yj6OFO6ROToJgKp2DSXA==" spinCount="100000" sheet="1" selectLockedCells="1"/>
  <autoFilter ref="A4:AF4" xr:uid="{00000000-0009-0000-0000-000007000000}"/>
  <mergeCells count="1">
    <mergeCell ref="D2:H2"/>
  </mergeCells>
  <pageMargins left="0.7" right="0.7" top="0.75" bottom="0.75" header="0.511811023622047" footer="0.511811023622047"/>
  <pageSetup orientation="portrait" horizontalDpi="300" verticalDpi="300"/>
  <ignoredErrors>
    <ignoredError sqref="AD127 AD128:AD13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C6D9F1"/>
    <pageSetUpPr fitToPage="1"/>
  </sheetPr>
  <dimension ref="A1:L261"/>
  <sheetViews>
    <sheetView zoomScale="80" zoomScaleNormal="80" workbookViewId="0">
      <pane xSplit="2" ySplit="2" topLeftCell="C4" activePane="bottomRight" state="frozen"/>
      <selection pane="topRight" activeCell="C1" sqref="C1"/>
      <selection pane="bottomLeft" activeCell="A4" sqref="A4"/>
      <selection pane="bottomRight" activeCell="L267" sqref="L267"/>
    </sheetView>
  </sheetViews>
  <sheetFormatPr defaultColWidth="8.7109375" defaultRowHeight="15.75" x14ac:dyDescent="0.25"/>
  <cols>
    <col min="1" max="1" width="10.85546875" customWidth="1"/>
    <col min="2" max="2" width="25.85546875" customWidth="1"/>
    <col min="3" max="3" width="18.42578125" style="4" customWidth="1"/>
    <col min="4" max="5" width="17.7109375" style="118" customWidth="1"/>
    <col min="6" max="6" width="15.42578125" style="118" customWidth="1"/>
    <col min="7" max="7" width="18" style="118" customWidth="1"/>
    <col min="8" max="9" width="16" style="118" customWidth="1"/>
    <col min="10" max="10" width="18.140625" style="118" customWidth="1"/>
    <col min="11" max="11" width="13.7109375" style="118" customWidth="1"/>
    <col min="12" max="12" width="65" style="119" customWidth="1"/>
  </cols>
  <sheetData>
    <row r="1" spans="1:12" ht="24" customHeight="1" x14ac:dyDescent="0.25">
      <c r="A1" s="162" t="s">
        <v>367</v>
      </c>
      <c r="B1" s="162"/>
    </row>
    <row r="2" spans="1:12" s="23" customFormat="1" ht="48" customHeight="1" x14ac:dyDescent="0.25">
      <c r="A2" s="120" t="s">
        <v>5</v>
      </c>
      <c r="B2" s="120" t="s">
        <v>6</v>
      </c>
      <c r="C2" s="120" t="s">
        <v>46</v>
      </c>
      <c r="D2" s="121" t="s">
        <v>368</v>
      </c>
      <c r="E2" s="121" t="s">
        <v>369</v>
      </c>
      <c r="F2" s="122" t="s">
        <v>373</v>
      </c>
      <c r="G2" s="122" t="s">
        <v>372</v>
      </c>
      <c r="H2" s="122" t="s">
        <v>370</v>
      </c>
      <c r="I2" s="122" t="s">
        <v>371</v>
      </c>
      <c r="J2" s="122" t="s">
        <v>445</v>
      </c>
      <c r="K2" s="122" t="s">
        <v>374</v>
      </c>
      <c r="L2" s="121" t="s">
        <v>375</v>
      </c>
    </row>
    <row r="3" spans="1:12" hidden="1" x14ac:dyDescent="0.25">
      <c r="A3" s="123" t="str">
        <f>'RTR v2'!A5</f>
        <v>24-046</v>
      </c>
      <c r="B3" s="123" t="str">
        <f>'RTR v2'!B5</f>
        <v>SYMS Engineering</v>
      </c>
      <c r="C3" s="123" t="str">
        <f>IF('RTR v2'!AV5="","",'RTR v2'!AV5)</f>
        <v/>
      </c>
      <c r="D3" s="124" t="s">
        <v>376</v>
      </c>
      <c r="E3" s="124" t="s">
        <v>376</v>
      </c>
      <c r="F3" s="124" t="s">
        <v>376</v>
      </c>
      <c r="G3" s="124" t="s">
        <v>376</v>
      </c>
      <c r="H3" s="125"/>
      <c r="I3" s="125"/>
      <c r="J3" s="124" t="s">
        <v>377</v>
      </c>
      <c r="K3" s="125"/>
      <c r="L3" s="126"/>
    </row>
    <row r="4" spans="1:12" x14ac:dyDescent="0.25">
      <c r="A4" s="123" t="str">
        <f>'RTR v2'!A6</f>
        <v>25-010</v>
      </c>
      <c r="B4" s="123" t="str">
        <f>'RTR v2'!B6</f>
        <v>Kimberly Clark</v>
      </c>
      <c r="C4" s="123">
        <f>IF('RTR v2'!AV6="","",'RTR v2'!AV6)</f>
        <v>46076</v>
      </c>
      <c r="D4" s="124" t="s">
        <v>376</v>
      </c>
      <c r="E4" s="124" t="s">
        <v>376</v>
      </c>
      <c r="F4" s="124" t="s">
        <v>376</v>
      </c>
      <c r="G4" s="124" t="s">
        <v>376</v>
      </c>
      <c r="H4" s="124" t="s">
        <v>376</v>
      </c>
      <c r="I4" s="125"/>
      <c r="J4" s="124" t="s">
        <v>377</v>
      </c>
      <c r="K4" s="124" t="s">
        <v>376</v>
      </c>
      <c r="L4" s="126" t="s">
        <v>378</v>
      </c>
    </row>
    <row r="5" spans="1:12" x14ac:dyDescent="0.25">
      <c r="A5" s="123" t="str">
        <f>'RTR v2'!A7</f>
        <v>25-011</v>
      </c>
      <c r="B5" s="123" t="str">
        <f>'RTR v2'!B7</f>
        <v>Kimberly Clark</v>
      </c>
      <c r="C5" s="123">
        <f>IF('RTR v2'!AV7="","",'RTR v2'!AV7)</f>
        <v>46057</v>
      </c>
      <c r="D5" s="124" t="s">
        <v>376</v>
      </c>
      <c r="E5" s="124" t="s">
        <v>376</v>
      </c>
      <c r="F5" s="124" t="s">
        <v>376</v>
      </c>
      <c r="G5" s="124" t="s">
        <v>376</v>
      </c>
      <c r="H5" s="124" t="s">
        <v>376</v>
      </c>
      <c r="I5" s="125"/>
      <c r="J5" s="124" t="s">
        <v>377</v>
      </c>
      <c r="K5" s="124" t="s">
        <v>376</v>
      </c>
      <c r="L5" s="126" t="s">
        <v>378</v>
      </c>
    </row>
    <row r="6" spans="1:12" x14ac:dyDescent="0.25">
      <c r="A6" s="123" t="str">
        <f>'RTR v2'!A8</f>
        <v>25-012</v>
      </c>
      <c r="B6" s="123" t="str">
        <f>'RTR v2'!B8</f>
        <v>Kimberly Clark</v>
      </c>
      <c r="C6" s="123">
        <f>IF('RTR v2'!AV8="","",'RTR v2'!AV8)</f>
        <v>46111</v>
      </c>
      <c r="D6" s="124" t="s">
        <v>376</v>
      </c>
      <c r="E6" s="124" t="s">
        <v>376</v>
      </c>
      <c r="F6" s="124" t="s">
        <v>442</v>
      </c>
      <c r="G6" s="124" t="s">
        <v>376</v>
      </c>
      <c r="H6" s="155"/>
      <c r="I6" s="125"/>
      <c r="J6" s="124" t="s">
        <v>377</v>
      </c>
      <c r="K6" s="124" t="s">
        <v>376</v>
      </c>
      <c r="L6" s="126" t="s">
        <v>378</v>
      </c>
    </row>
    <row r="7" spans="1:12" x14ac:dyDescent="0.25">
      <c r="A7" s="123" t="str">
        <f>'RTR v2'!A9</f>
        <v>25-013</v>
      </c>
      <c r="B7" s="123" t="str">
        <f>'RTR v2'!B9</f>
        <v>Kimberly Clark</v>
      </c>
      <c r="C7" s="123">
        <f>IF('RTR v2'!AV9="","",'RTR v2'!AV9)</f>
        <v>46111</v>
      </c>
      <c r="D7" s="124" t="s">
        <v>376</v>
      </c>
      <c r="E7" s="124" t="s">
        <v>376</v>
      </c>
      <c r="F7" s="124" t="s">
        <v>442</v>
      </c>
      <c r="G7" s="124" t="s">
        <v>376</v>
      </c>
      <c r="H7" s="155"/>
      <c r="I7" s="125"/>
      <c r="J7" s="124" t="s">
        <v>377</v>
      </c>
      <c r="K7" s="124" t="s">
        <v>376</v>
      </c>
      <c r="L7" s="126" t="s">
        <v>443</v>
      </c>
    </row>
    <row r="8" spans="1:12" hidden="1" x14ac:dyDescent="0.25">
      <c r="A8" s="123" t="str">
        <f>'RTR v2'!A10</f>
        <v>25-014</v>
      </c>
      <c r="B8" s="123" t="str">
        <f>'RTR v2'!B10</f>
        <v>Kimberly Clark</v>
      </c>
      <c r="C8" s="123">
        <f>IF('RTR v2'!AV10="","",'RTR v2'!AV10)</f>
        <v>45967</v>
      </c>
      <c r="D8" s="124"/>
      <c r="E8" s="124"/>
      <c r="F8" s="124"/>
      <c r="G8" s="124"/>
      <c r="H8" s="124"/>
      <c r="I8" s="124"/>
      <c r="J8" s="124"/>
      <c r="K8" s="124"/>
      <c r="L8" s="126"/>
    </row>
    <row r="9" spans="1:12" hidden="1" x14ac:dyDescent="0.25">
      <c r="A9" s="123" t="str">
        <f>'RTR v2'!A11</f>
        <v>25-015</v>
      </c>
      <c r="B9" s="123" t="str">
        <f>'RTR v2'!B11</f>
        <v>Kimberly Clark</v>
      </c>
      <c r="C9" s="123">
        <f>IF('RTR v2'!AV11="","",'RTR v2'!AV11)</f>
        <v>45967</v>
      </c>
      <c r="D9" s="124"/>
      <c r="E9" s="124"/>
      <c r="F9" s="124"/>
      <c r="G9" s="124"/>
      <c r="H9" s="124"/>
      <c r="I9" s="124"/>
      <c r="J9" s="124"/>
      <c r="K9" s="124"/>
      <c r="L9" s="126"/>
    </row>
    <row r="10" spans="1:12" x14ac:dyDescent="0.25">
      <c r="A10" s="123" t="str">
        <f>'RTR v2'!A12</f>
        <v>25-016</v>
      </c>
      <c r="B10" s="123" t="str">
        <f>'RTR v2'!B12</f>
        <v>Kimberly Clark</v>
      </c>
      <c r="C10" s="123">
        <f>IF('RTR v2'!AV12="","",'RTR v2'!AV12)</f>
        <v>46076</v>
      </c>
      <c r="D10" s="124" t="s">
        <v>376</v>
      </c>
      <c r="E10" s="124" t="s">
        <v>376</v>
      </c>
      <c r="F10" s="124" t="s">
        <v>376</v>
      </c>
      <c r="G10" s="124" t="s">
        <v>376</v>
      </c>
      <c r="H10" s="124" t="s">
        <v>376</v>
      </c>
      <c r="I10" s="125"/>
      <c r="J10" s="124" t="s">
        <v>377</v>
      </c>
      <c r="K10" s="124" t="s">
        <v>376</v>
      </c>
      <c r="L10" s="126" t="s">
        <v>378</v>
      </c>
    </row>
    <row r="11" spans="1:12" hidden="1" x14ac:dyDescent="0.25">
      <c r="A11" s="123" t="str">
        <f>'RTR v2'!A13</f>
        <v>25-017</v>
      </c>
      <c r="B11" s="123" t="str">
        <f>'RTR v2'!B13</f>
        <v>Kimberly Clark</v>
      </c>
      <c r="C11" s="123">
        <f>IF('RTR v2'!AV13="","",'RTR v2'!AV13)</f>
        <v>46043</v>
      </c>
      <c r="D11" s="124" t="s">
        <v>376</v>
      </c>
      <c r="E11" s="124" t="s">
        <v>376</v>
      </c>
      <c r="F11" s="124" t="s">
        <v>377</v>
      </c>
      <c r="G11" s="124" t="s">
        <v>376</v>
      </c>
      <c r="H11" s="125"/>
      <c r="I11" s="124" t="s">
        <v>376</v>
      </c>
      <c r="J11" s="124" t="s">
        <v>377</v>
      </c>
      <c r="K11" s="125"/>
      <c r="L11" s="126"/>
    </row>
    <row r="12" spans="1:12" x14ac:dyDescent="0.25">
      <c r="A12" s="123" t="str">
        <f>'RTR v2'!A14</f>
        <v>25-018</v>
      </c>
      <c r="B12" s="123" t="str">
        <f>'RTR v2'!B14</f>
        <v>Kimberly Clark</v>
      </c>
      <c r="C12" s="123">
        <f>IF('RTR v2'!AV14="","",'RTR v2'!AV14)</f>
        <v>46097</v>
      </c>
      <c r="D12" s="124" t="s">
        <v>376</v>
      </c>
      <c r="E12" s="124" t="s">
        <v>376</v>
      </c>
      <c r="F12" s="124" t="s">
        <v>376</v>
      </c>
      <c r="G12" s="124" t="s">
        <v>376</v>
      </c>
      <c r="H12" s="124" t="s">
        <v>376</v>
      </c>
      <c r="I12" s="125"/>
      <c r="J12" s="124" t="s">
        <v>377</v>
      </c>
      <c r="K12" s="124" t="s">
        <v>376</v>
      </c>
      <c r="L12" s="126" t="s">
        <v>378</v>
      </c>
    </row>
    <row r="13" spans="1:12" x14ac:dyDescent="0.25">
      <c r="A13" s="123" t="str">
        <f>'RTR v2'!A15</f>
        <v>25-019</v>
      </c>
      <c r="B13" s="123" t="str">
        <f>'RTR v2'!B15</f>
        <v>Kimberly Clark</v>
      </c>
      <c r="C13" s="123">
        <f>IF('RTR v2'!AV15="","",'RTR v2'!AV15)</f>
        <v>46076</v>
      </c>
      <c r="D13" s="124" t="s">
        <v>376</v>
      </c>
      <c r="E13" s="124" t="s">
        <v>376</v>
      </c>
      <c r="F13" s="124" t="s">
        <v>377</v>
      </c>
      <c r="G13" s="124" t="s">
        <v>376</v>
      </c>
      <c r="H13" s="124" t="s">
        <v>376</v>
      </c>
      <c r="I13" s="125"/>
      <c r="J13" s="124" t="s">
        <v>377</v>
      </c>
      <c r="K13" s="124" t="s">
        <v>376</v>
      </c>
      <c r="L13" s="126" t="s">
        <v>378</v>
      </c>
    </row>
    <row r="14" spans="1:12" x14ac:dyDescent="0.25">
      <c r="A14" s="123" t="str">
        <f>'RTR v2'!A16</f>
        <v>25-020</v>
      </c>
      <c r="B14" s="123" t="str">
        <f>'RTR v2'!B16</f>
        <v>Kimberly Clark</v>
      </c>
      <c r="C14" s="123">
        <f>IF('RTR v2'!AV16="","",'RTR v2'!AV16)</f>
        <v>46058</v>
      </c>
      <c r="D14" s="124" t="s">
        <v>376</v>
      </c>
      <c r="E14" s="124" t="s">
        <v>376</v>
      </c>
      <c r="F14" s="124" t="s">
        <v>377</v>
      </c>
      <c r="G14" s="124" t="s">
        <v>376</v>
      </c>
      <c r="H14" s="124" t="s">
        <v>376</v>
      </c>
      <c r="I14" s="125"/>
      <c r="J14" s="124" t="s">
        <v>377</v>
      </c>
      <c r="K14" s="124" t="s">
        <v>376</v>
      </c>
      <c r="L14" s="126" t="s">
        <v>378</v>
      </c>
    </row>
    <row r="15" spans="1:12" x14ac:dyDescent="0.25">
      <c r="A15" s="123" t="str">
        <f>'RTR v2'!A17</f>
        <v>25-021</v>
      </c>
      <c r="B15" s="123" t="str">
        <f>'RTR v2'!B17</f>
        <v>Kimberly Clark</v>
      </c>
      <c r="C15" s="123">
        <f>IF('RTR v2'!AV17="","",'RTR v2'!AV17)</f>
        <v>46073</v>
      </c>
      <c r="D15" s="124" t="s">
        <v>376</v>
      </c>
      <c r="E15" s="124" t="s">
        <v>376</v>
      </c>
      <c r="F15" s="124" t="s">
        <v>377</v>
      </c>
      <c r="G15" s="124" t="s">
        <v>376</v>
      </c>
      <c r="H15" s="124" t="s">
        <v>376</v>
      </c>
      <c r="I15" s="125"/>
      <c r="J15" s="124" t="s">
        <v>377</v>
      </c>
      <c r="K15" s="124" t="s">
        <v>376</v>
      </c>
      <c r="L15" s="126" t="s">
        <v>378</v>
      </c>
    </row>
    <row r="16" spans="1:12" hidden="1" x14ac:dyDescent="0.25">
      <c r="A16" s="123" t="str">
        <f>'RTR v2'!A18</f>
        <v>25-023</v>
      </c>
      <c r="B16" s="123" t="str">
        <f>'RTR v2'!B18</f>
        <v>Andritz</v>
      </c>
      <c r="C16" s="123">
        <f>IF('RTR v2'!AV18="","",'RTR v2'!AV18)</f>
        <v>45804</v>
      </c>
      <c r="D16" s="124"/>
      <c r="E16" s="124"/>
      <c r="F16" s="124"/>
      <c r="G16" s="124"/>
      <c r="H16" s="124"/>
      <c r="I16" s="124"/>
      <c r="J16" s="124"/>
      <c r="K16" s="124"/>
      <c r="L16" s="126"/>
    </row>
    <row r="17" spans="1:12" hidden="1" x14ac:dyDescent="0.25">
      <c r="A17" s="123" t="str">
        <f>'RTR v2'!A19</f>
        <v>25-024</v>
      </c>
      <c r="B17" s="123" t="str">
        <f>'RTR v2'!B19</f>
        <v>Andritz</v>
      </c>
      <c r="C17" s="123">
        <f>IF('RTR v2'!AV19="","",'RTR v2'!AV19)</f>
        <v>45804</v>
      </c>
      <c r="D17" s="124"/>
      <c r="E17" s="124"/>
      <c r="F17" s="124"/>
      <c r="G17" s="124"/>
      <c r="H17" s="124"/>
      <c r="I17" s="124"/>
      <c r="J17" s="124"/>
      <c r="K17" s="124"/>
      <c r="L17" s="126"/>
    </row>
    <row r="18" spans="1:12" hidden="1" x14ac:dyDescent="0.25">
      <c r="A18" s="123" t="str">
        <f>'RTR v2'!A20</f>
        <v>25-025</v>
      </c>
      <c r="B18" s="123" t="str">
        <f>'RTR v2'!B20</f>
        <v>Irving Tissue</v>
      </c>
      <c r="C18" s="123">
        <f>IF('RTR v2'!AV20="","",'RTR v2'!AV20)</f>
        <v>45904</v>
      </c>
      <c r="D18" s="124"/>
      <c r="E18" s="124"/>
      <c r="F18" s="124"/>
      <c r="G18" s="124"/>
      <c r="H18" s="124"/>
      <c r="I18" s="124"/>
      <c r="J18" s="124"/>
      <c r="K18" s="124"/>
      <c r="L18" s="126"/>
    </row>
    <row r="19" spans="1:12" hidden="1" x14ac:dyDescent="0.25">
      <c r="A19" s="123" t="str">
        <f>'RTR v2'!A21</f>
        <v>25-026</v>
      </c>
      <c r="B19" s="123" t="str">
        <f>'RTR v2'!B21</f>
        <v>Irving Tissue</v>
      </c>
      <c r="C19" s="123">
        <f>IF('RTR v2'!AV21="","",'RTR v2'!AV21)</f>
        <v>45904</v>
      </c>
      <c r="D19" s="124"/>
      <c r="E19" s="124"/>
      <c r="F19" s="124"/>
      <c r="G19" s="124"/>
      <c r="H19" s="124"/>
      <c r="I19" s="124"/>
      <c r="J19" s="124"/>
      <c r="K19" s="124"/>
      <c r="L19" s="126"/>
    </row>
    <row r="20" spans="1:12" hidden="1" x14ac:dyDescent="0.25">
      <c r="A20" s="123" t="str">
        <f>'RTR v2'!A22</f>
        <v>25-027</v>
      </c>
      <c r="B20" s="123" t="str">
        <f>'RTR v2'!B22</f>
        <v>Irving Tissue</v>
      </c>
      <c r="C20" s="123">
        <f>IF('RTR v2'!AV22="","",'RTR v2'!AV22)</f>
        <v>45932</v>
      </c>
      <c r="D20" s="124"/>
      <c r="E20" s="124"/>
      <c r="F20" s="124"/>
      <c r="G20" s="124"/>
      <c r="H20" s="124"/>
      <c r="I20" s="124"/>
      <c r="J20" s="124"/>
      <c r="K20" s="124"/>
      <c r="L20" s="126"/>
    </row>
    <row r="21" spans="1:12" hidden="1" x14ac:dyDescent="0.25">
      <c r="A21" s="123" t="str">
        <f>'RTR v2'!A23</f>
        <v>25-028</v>
      </c>
      <c r="B21" s="123" t="str">
        <f>'RTR v2'!B23</f>
        <v>Irving Tissue</v>
      </c>
      <c r="C21" s="127">
        <f>IF('RTR v2'!AV23="","",'RTR v2'!AV23)</f>
        <v>45932</v>
      </c>
      <c r="D21" s="124"/>
      <c r="E21" s="124"/>
      <c r="F21" s="124"/>
      <c r="G21" s="124"/>
      <c r="H21" s="124"/>
      <c r="I21" s="124"/>
      <c r="J21" s="124"/>
      <c r="K21" s="124"/>
      <c r="L21" s="126"/>
    </row>
    <row r="22" spans="1:12" hidden="1" x14ac:dyDescent="0.25">
      <c r="A22" s="123" t="str">
        <f>'RTR v2'!A24</f>
        <v>25-029</v>
      </c>
      <c r="B22" s="123" t="str">
        <f>'RTR v2'!B24</f>
        <v>Irving Tissue</v>
      </c>
      <c r="C22" s="123">
        <f>IF('RTR v2'!AV24="","",'RTR v2'!AV24)</f>
        <v>45930</v>
      </c>
      <c r="D22" s="124"/>
      <c r="E22" s="124"/>
      <c r="F22" s="124"/>
      <c r="G22" s="124"/>
      <c r="H22" s="124"/>
      <c r="I22" s="124"/>
      <c r="J22" s="124"/>
      <c r="K22" s="124"/>
      <c r="L22" s="126"/>
    </row>
    <row r="23" spans="1:12" hidden="1" x14ac:dyDescent="0.25">
      <c r="A23" s="123" t="str">
        <f>'RTR v2'!A25</f>
        <v>25-030</v>
      </c>
      <c r="B23" s="123" t="str">
        <f>'RTR v2'!B25</f>
        <v>Irving Tissue</v>
      </c>
      <c r="C23" s="123">
        <f>IF('RTR v2'!AV25="","",'RTR v2'!AV25)</f>
        <v>45930</v>
      </c>
      <c r="D23" s="124"/>
      <c r="E23" s="124"/>
      <c r="F23" s="124"/>
      <c r="G23" s="124"/>
      <c r="H23" s="124"/>
      <c r="I23" s="124"/>
      <c r="J23" s="124"/>
      <c r="K23" s="124"/>
      <c r="L23" s="126"/>
    </row>
    <row r="24" spans="1:12" hidden="1" x14ac:dyDescent="0.25">
      <c r="A24" s="123" t="str">
        <f>'RTR v2'!A26</f>
        <v>25-031</v>
      </c>
      <c r="B24" s="123" t="str">
        <f>'RTR v2'!B26</f>
        <v>Irving Tissue</v>
      </c>
      <c r="C24" s="123">
        <f>IF('RTR v2'!AV26="","",'RTR v2'!AV26)</f>
        <v>45958</v>
      </c>
      <c r="D24" s="124"/>
      <c r="E24" s="124"/>
      <c r="F24" s="124"/>
      <c r="G24" s="124"/>
      <c r="H24" s="124"/>
      <c r="I24" s="124"/>
      <c r="J24" s="124"/>
      <c r="K24" s="124"/>
      <c r="L24" s="126"/>
    </row>
    <row r="25" spans="1:12" hidden="1" x14ac:dyDescent="0.25">
      <c r="A25" s="123" t="str">
        <f>'RTR v2'!A27</f>
        <v>25-032</v>
      </c>
      <c r="B25" s="123" t="str">
        <f>'RTR v2'!B27</f>
        <v>Irving Tissue</v>
      </c>
      <c r="C25" s="123">
        <f>IF('RTR v2'!AV27="","",'RTR v2'!AV27)</f>
        <v>45958</v>
      </c>
      <c r="D25" s="124"/>
      <c r="E25" s="124"/>
      <c r="F25" s="124"/>
      <c r="G25" s="124"/>
      <c r="H25" s="124"/>
      <c r="I25" s="124"/>
      <c r="J25" s="124"/>
      <c r="K25" s="124"/>
      <c r="L25" s="126"/>
    </row>
    <row r="26" spans="1:12" hidden="1" x14ac:dyDescent="0.25">
      <c r="A26" s="123" t="str">
        <f>'RTR v2'!A28</f>
        <v>25-033</v>
      </c>
      <c r="B26" s="123" t="str">
        <f>'RTR v2'!B28</f>
        <v>Irving Tissue</v>
      </c>
      <c r="C26" s="123">
        <f>IF('RTR v2'!AV28="","",'RTR v2'!AV28)</f>
        <v>45958</v>
      </c>
      <c r="D26" s="124"/>
      <c r="E26" s="124"/>
      <c r="F26" s="124"/>
      <c r="G26" s="124"/>
      <c r="H26" s="124"/>
      <c r="I26" s="124"/>
      <c r="J26" s="124"/>
      <c r="K26" s="124"/>
      <c r="L26" s="126"/>
    </row>
    <row r="27" spans="1:12" hidden="1" x14ac:dyDescent="0.25">
      <c r="A27" s="123" t="str">
        <f>'RTR v2'!A29</f>
        <v>25-034</v>
      </c>
      <c r="B27" s="123" t="str">
        <f>'RTR v2'!B29</f>
        <v>Irving Tissue</v>
      </c>
      <c r="C27" s="123">
        <f>IF('RTR v2'!AV29="","",'RTR v2'!AV29)</f>
        <v>45896</v>
      </c>
      <c r="D27" s="124"/>
      <c r="E27" s="124"/>
      <c r="F27" s="124"/>
      <c r="G27" s="124"/>
      <c r="H27" s="124"/>
      <c r="I27" s="124"/>
      <c r="J27" s="124"/>
      <c r="K27" s="124"/>
      <c r="L27" s="126"/>
    </row>
    <row r="28" spans="1:12" hidden="1" x14ac:dyDescent="0.25">
      <c r="A28" s="123" t="str">
        <f>'RTR v2'!A30</f>
        <v>25-035</v>
      </c>
      <c r="B28" s="123" t="str">
        <f>'RTR v2'!B30</f>
        <v>Irving Tissue</v>
      </c>
      <c r="C28" s="123">
        <f>IF('RTR v2'!AV30="","",'RTR v2'!AV30)</f>
        <v>45896</v>
      </c>
      <c r="D28" s="124"/>
      <c r="E28" s="124"/>
      <c r="F28" s="124"/>
      <c r="G28" s="124"/>
      <c r="H28" s="124"/>
      <c r="I28" s="124"/>
      <c r="J28" s="124"/>
      <c r="K28" s="124"/>
      <c r="L28" s="126"/>
    </row>
    <row r="29" spans="1:12" hidden="1" x14ac:dyDescent="0.25">
      <c r="A29" s="123" t="str">
        <f>'RTR v2'!A31</f>
        <v>25-036</v>
      </c>
      <c r="B29" s="123" t="str">
        <f>'RTR v2'!B31</f>
        <v>Irving Tissue</v>
      </c>
      <c r="C29" s="123">
        <f>IF('RTR v2'!AV31="","",'RTR v2'!AV31)</f>
        <v>45896</v>
      </c>
      <c r="D29" s="124"/>
      <c r="E29" s="124"/>
      <c r="F29" s="124"/>
      <c r="G29" s="124"/>
      <c r="H29" s="124"/>
      <c r="I29" s="124"/>
      <c r="J29" s="124"/>
      <c r="K29" s="124"/>
      <c r="L29" s="126"/>
    </row>
    <row r="30" spans="1:12" hidden="1" x14ac:dyDescent="0.25">
      <c r="A30" s="123" t="str">
        <f>'RTR v2'!A32</f>
        <v>25-037</v>
      </c>
      <c r="B30" s="123" t="str">
        <f>'RTR v2'!B32</f>
        <v>Irving Tissue</v>
      </c>
      <c r="C30" s="123">
        <f>IF('RTR v2'!AV32="","",'RTR v2'!AV32)</f>
        <v>45904</v>
      </c>
      <c r="D30" s="124"/>
      <c r="E30" s="124"/>
      <c r="F30" s="124"/>
      <c r="G30" s="124"/>
      <c r="H30" s="124"/>
      <c r="I30" s="124"/>
      <c r="J30" s="124"/>
      <c r="K30" s="124"/>
      <c r="L30" s="126"/>
    </row>
    <row r="31" spans="1:12" hidden="1" x14ac:dyDescent="0.25">
      <c r="A31" s="123" t="str">
        <f>'RTR v2'!A33</f>
        <v>25-039</v>
      </c>
      <c r="B31" s="123" t="str">
        <f>'RTR v2'!B33</f>
        <v>Zachry</v>
      </c>
      <c r="C31" s="123">
        <f>IF('RTR v2'!AV33="","",'RTR v2'!AV33)</f>
        <v>45884</v>
      </c>
      <c r="D31" s="124"/>
      <c r="E31" s="124"/>
      <c r="F31" s="124"/>
      <c r="G31" s="124"/>
      <c r="H31" s="124"/>
      <c r="I31" s="124"/>
      <c r="J31" s="124"/>
      <c r="K31" s="124"/>
      <c r="L31" s="126"/>
    </row>
    <row r="32" spans="1:12" hidden="1" x14ac:dyDescent="0.25">
      <c r="A32" s="123" t="str">
        <f>'RTR v2'!A34</f>
        <v>25-040</v>
      </c>
      <c r="B32" s="123" t="str">
        <f>'RTR v2'!B34</f>
        <v>NAK Kiln</v>
      </c>
      <c r="C32" s="123" t="str">
        <f>IF('RTR v2'!AV34="","",'RTR v2'!AV34)</f>
        <v/>
      </c>
      <c r="D32" s="124"/>
      <c r="E32" s="124"/>
      <c r="F32" s="124"/>
      <c r="G32" s="124"/>
      <c r="H32" s="124"/>
      <c r="I32" s="124"/>
      <c r="J32" s="124"/>
      <c r="K32" s="124"/>
      <c r="L32" s="126"/>
    </row>
    <row r="33" spans="1:12" hidden="1" x14ac:dyDescent="0.25">
      <c r="A33" s="123" t="str">
        <f>'RTR v2'!A35</f>
        <v>25-042</v>
      </c>
      <c r="B33" s="123" t="str">
        <f>'RTR v2'!B35</f>
        <v>Andritz</v>
      </c>
      <c r="C33" s="123">
        <f>IF('RTR v2'!AV35="","",'RTR v2'!AV35)</f>
        <v>45896</v>
      </c>
      <c r="D33" s="124"/>
      <c r="E33" s="124"/>
      <c r="F33" s="124"/>
      <c r="G33" s="124"/>
      <c r="H33" s="124"/>
      <c r="I33" s="124"/>
      <c r="J33" s="124"/>
      <c r="K33" s="124"/>
      <c r="L33" s="126"/>
    </row>
    <row r="34" spans="1:12" hidden="1" x14ac:dyDescent="0.25">
      <c r="A34" s="123" t="str">
        <f>'RTR v2'!A36</f>
        <v>25-044</v>
      </c>
      <c r="B34" s="123" t="str">
        <f>'RTR v2'!B36</f>
        <v>Noah Industrial</v>
      </c>
      <c r="C34" s="123">
        <f>IF('RTR v2'!AV36="","",'RTR v2'!AV36)</f>
        <v>45883</v>
      </c>
      <c r="D34" s="124"/>
      <c r="E34" s="124"/>
      <c r="F34" s="124"/>
      <c r="G34" s="124"/>
      <c r="H34" s="124"/>
      <c r="I34" s="124"/>
      <c r="J34" s="124"/>
      <c r="K34" s="124"/>
      <c r="L34" s="126"/>
    </row>
    <row r="35" spans="1:12" hidden="1" x14ac:dyDescent="0.25">
      <c r="A35" s="123" t="str">
        <f>'RTR v2'!A37</f>
        <v>25-045</v>
      </c>
      <c r="B35" s="123" t="str">
        <f>'RTR v2'!B37</f>
        <v>ProPipe</v>
      </c>
      <c r="C35" s="123">
        <f>IF('RTR v2'!AV37="","",'RTR v2'!AV37)</f>
        <v>46022</v>
      </c>
      <c r="D35" s="124"/>
      <c r="E35" s="124"/>
      <c r="F35" s="124"/>
      <c r="G35" s="124"/>
      <c r="H35" s="124"/>
      <c r="I35" s="124"/>
      <c r="J35" s="124"/>
      <c r="K35" s="124"/>
      <c r="L35" s="126"/>
    </row>
    <row r="36" spans="1:12" hidden="1" x14ac:dyDescent="0.25">
      <c r="A36" s="123" t="str">
        <f>'RTR v2'!A38</f>
        <v>25-052</v>
      </c>
      <c r="B36" s="123" t="str">
        <f>'RTR v2'!B38</f>
        <v>Kraton</v>
      </c>
      <c r="C36" s="123">
        <f>IF('RTR v2'!AV38="","",'RTR v2'!AV38)</f>
        <v>46020</v>
      </c>
      <c r="D36" s="124"/>
      <c r="E36" s="124"/>
      <c r="F36" s="124"/>
      <c r="G36" s="124"/>
      <c r="H36" s="124"/>
      <c r="I36" s="124"/>
      <c r="J36" s="124"/>
      <c r="K36" s="124"/>
      <c r="L36" s="126"/>
    </row>
    <row r="37" spans="1:12" hidden="1" x14ac:dyDescent="0.25">
      <c r="A37" s="123" t="str">
        <f>'RTR v2'!A39</f>
        <v>25-053</v>
      </c>
      <c r="B37" s="123" t="str">
        <f>'RTR v2'!B39</f>
        <v>Andritz</v>
      </c>
      <c r="C37" s="123">
        <f>IF('RTR v2'!AV39="","",'RTR v2'!AV39)</f>
        <v>45926</v>
      </c>
      <c r="D37" s="124"/>
      <c r="E37" s="124"/>
      <c r="F37" s="124"/>
      <c r="G37" s="124"/>
      <c r="H37" s="124"/>
      <c r="I37" s="124"/>
      <c r="J37" s="124"/>
      <c r="K37" s="124"/>
      <c r="L37" s="126"/>
    </row>
    <row r="38" spans="1:12" hidden="1" x14ac:dyDescent="0.25">
      <c r="A38" s="123" t="str">
        <f>'RTR v2'!A40</f>
        <v>25-054</v>
      </c>
      <c r="B38" s="123" t="str">
        <f>'RTR v2'!B40</f>
        <v>Chromascape</v>
      </c>
      <c r="C38" s="123">
        <f>IF('RTR v2'!AV40="","",'RTR v2'!AV40)</f>
        <v>45985</v>
      </c>
      <c r="D38" s="124"/>
      <c r="E38" s="124"/>
      <c r="F38" s="124"/>
      <c r="G38" s="124"/>
      <c r="H38" s="124"/>
      <c r="I38" s="124"/>
      <c r="J38" s="124"/>
      <c r="K38" s="124"/>
      <c r="L38" s="126"/>
    </row>
    <row r="39" spans="1:12" hidden="1" x14ac:dyDescent="0.25">
      <c r="A39" s="123" t="str">
        <f>'RTR v2'!A41</f>
        <v>25-055</v>
      </c>
      <c r="B39" s="123" t="str">
        <f>'RTR v2'!B41</f>
        <v>Airgas</v>
      </c>
      <c r="C39" s="123" t="str">
        <f>IF('RTR v2'!AV41="","",'RTR v2'!AV41)</f>
        <v/>
      </c>
      <c r="D39" s="124"/>
      <c r="E39" s="124"/>
      <c r="F39" s="124"/>
      <c r="G39" s="124"/>
      <c r="H39" s="124"/>
      <c r="I39" s="124"/>
      <c r="J39" s="124"/>
      <c r="K39" s="124"/>
      <c r="L39" s="126"/>
    </row>
    <row r="40" spans="1:12" hidden="1" x14ac:dyDescent="0.25">
      <c r="A40" s="123" t="str">
        <f>'RTR v2'!A42</f>
        <v>25-056</v>
      </c>
      <c r="B40" s="123" t="str">
        <f>'RTR v2'!B42</f>
        <v>Reco</v>
      </c>
      <c r="C40" s="123">
        <f>IF('RTR v2'!AV42="","",'RTR v2'!AV42)</f>
        <v>45972</v>
      </c>
      <c r="D40" s="124"/>
      <c r="E40" s="124"/>
      <c r="F40" s="124"/>
      <c r="G40" s="124"/>
      <c r="H40" s="124"/>
      <c r="I40" s="124"/>
      <c r="J40" s="124"/>
      <c r="K40" s="124"/>
      <c r="L40" s="126"/>
    </row>
    <row r="41" spans="1:12" hidden="1" x14ac:dyDescent="0.25">
      <c r="A41" s="123" t="str">
        <f>'RTR v2'!A43</f>
        <v>25-057</v>
      </c>
      <c r="B41" s="123" t="str">
        <f>'RTR v2'!B43</f>
        <v>Reco</v>
      </c>
      <c r="C41" s="123">
        <f>IF('RTR v2'!AV43="","",'RTR v2'!AV43)</f>
        <v>45972</v>
      </c>
      <c r="D41" s="124"/>
      <c r="E41" s="124"/>
      <c r="F41" s="124"/>
      <c r="G41" s="124"/>
      <c r="H41" s="124"/>
      <c r="I41" s="124"/>
      <c r="J41" s="124"/>
      <c r="K41" s="124"/>
      <c r="L41" s="126"/>
    </row>
    <row r="42" spans="1:12" hidden="1" x14ac:dyDescent="0.25">
      <c r="A42" s="123" t="str">
        <f>'RTR v2'!A44</f>
        <v>25-058</v>
      </c>
      <c r="B42" s="123" t="str">
        <f>'RTR v2'!B44</f>
        <v>Reco</v>
      </c>
      <c r="C42" s="123">
        <f>IF('RTR v2'!AV44="","",'RTR v2'!AV44)</f>
        <v>46009</v>
      </c>
      <c r="D42" s="124"/>
      <c r="E42" s="124"/>
      <c r="F42" s="124"/>
      <c r="G42" s="124"/>
      <c r="H42" s="124"/>
      <c r="I42" s="124"/>
      <c r="J42" s="124"/>
      <c r="K42" s="124"/>
      <c r="L42" s="126"/>
    </row>
    <row r="43" spans="1:12" hidden="1" x14ac:dyDescent="0.25">
      <c r="A43" s="123" t="str">
        <f>'RTR v2'!A45</f>
        <v>25-059</v>
      </c>
      <c r="B43" s="123" t="str">
        <f>'RTR v2'!B45</f>
        <v>Reco</v>
      </c>
      <c r="C43" s="123">
        <f>IF('RTR v2'!AV45="","",'RTR v2'!AV45)</f>
        <v>46007</v>
      </c>
      <c r="D43" s="124"/>
      <c r="E43" s="124"/>
      <c r="F43" s="124"/>
      <c r="G43" s="124"/>
      <c r="H43" s="124"/>
      <c r="I43" s="124"/>
      <c r="J43" s="124"/>
      <c r="K43" s="124"/>
      <c r="L43" s="126"/>
    </row>
    <row r="44" spans="1:12" hidden="1" x14ac:dyDescent="0.25">
      <c r="A44" s="123" t="str">
        <f>'RTR v2'!A46</f>
        <v>25-060</v>
      </c>
      <c r="B44" s="123" t="str">
        <f>'RTR v2'!B46</f>
        <v>Reco</v>
      </c>
      <c r="C44" s="123">
        <f>IF('RTR v2'!AV46="","",'RTR v2'!AV46)</f>
        <v>46035</v>
      </c>
      <c r="D44" s="124"/>
      <c r="E44" s="124"/>
      <c r="F44" s="124"/>
      <c r="G44" s="124"/>
      <c r="H44" s="124"/>
      <c r="I44" s="124"/>
      <c r="J44" s="124"/>
      <c r="K44" s="124"/>
      <c r="L44" s="126"/>
    </row>
    <row r="45" spans="1:12" hidden="1" x14ac:dyDescent="0.25">
      <c r="A45" s="123" t="str">
        <f>'RTR v2'!A47</f>
        <v>25-061</v>
      </c>
      <c r="B45" s="123" t="str">
        <f>'RTR v2'!B47</f>
        <v>Reco</v>
      </c>
      <c r="C45" s="123">
        <f>IF('RTR v2'!AV47="","",'RTR v2'!AV47)</f>
        <v>46035</v>
      </c>
      <c r="D45" s="124"/>
      <c r="E45" s="124"/>
      <c r="F45" s="124"/>
      <c r="G45" s="124"/>
      <c r="H45" s="124"/>
      <c r="I45" s="124"/>
      <c r="J45" s="124"/>
      <c r="K45" s="124"/>
      <c r="L45" s="126"/>
    </row>
    <row r="46" spans="1:12" x14ac:dyDescent="0.25">
      <c r="A46" s="123" t="str">
        <f>'RTR v2'!A48</f>
        <v>25-062</v>
      </c>
      <c r="B46" s="123" t="str">
        <f>'RTR v2'!B48</f>
        <v>Reco</v>
      </c>
      <c r="C46" s="123">
        <f>IF('RTR v2'!AV48="","",'RTR v2'!AV48)</f>
        <v>46055</v>
      </c>
      <c r="D46" s="124" t="s">
        <v>376</v>
      </c>
      <c r="E46" s="124" t="s">
        <v>376</v>
      </c>
      <c r="F46" s="124" t="s">
        <v>377</v>
      </c>
      <c r="G46" s="124" t="s">
        <v>376</v>
      </c>
      <c r="H46" s="124" t="s">
        <v>376</v>
      </c>
      <c r="I46" s="124" t="s">
        <v>376</v>
      </c>
      <c r="J46" s="124" t="s">
        <v>377</v>
      </c>
      <c r="K46" s="125"/>
      <c r="L46" s="126" t="s">
        <v>378</v>
      </c>
    </row>
    <row r="47" spans="1:12" x14ac:dyDescent="0.25">
      <c r="A47" s="123" t="str">
        <f>'RTR v2'!A49</f>
        <v>25-063</v>
      </c>
      <c r="B47" s="123" t="str">
        <f>'RTR v2'!B49</f>
        <v>Reco</v>
      </c>
      <c r="C47" s="123">
        <f>IF('RTR v2'!AV49="","",'RTR v2'!AV49)</f>
        <v>46055</v>
      </c>
      <c r="D47" s="124" t="s">
        <v>376</v>
      </c>
      <c r="E47" s="124" t="s">
        <v>376</v>
      </c>
      <c r="F47" s="124" t="s">
        <v>377</v>
      </c>
      <c r="G47" s="124" t="s">
        <v>376</v>
      </c>
      <c r="H47" s="124" t="s">
        <v>376</v>
      </c>
      <c r="I47" s="124" t="s">
        <v>376</v>
      </c>
      <c r="J47" s="124" t="s">
        <v>377</v>
      </c>
      <c r="K47" s="125"/>
      <c r="L47" s="126" t="s">
        <v>378</v>
      </c>
    </row>
    <row r="48" spans="1:12" x14ac:dyDescent="0.25">
      <c r="A48" s="123" t="str">
        <f>'RTR v2'!A50</f>
        <v>25-064</v>
      </c>
      <c r="B48" s="123" t="str">
        <f>'RTR v2'!B50</f>
        <v>Reco</v>
      </c>
      <c r="C48" s="123">
        <f>IF('RTR v2'!AV50="","",'RTR v2'!AV50)</f>
        <v>46069</v>
      </c>
      <c r="D48" s="124" t="s">
        <v>376</v>
      </c>
      <c r="E48" s="124" t="s">
        <v>376</v>
      </c>
      <c r="F48" s="124" t="s">
        <v>377</v>
      </c>
      <c r="G48" s="124" t="s">
        <v>376</v>
      </c>
      <c r="H48" s="124" t="s">
        <v>376</v>
      </c>
      <c r="I48" s="124" t="s">
        <v>376</v>
      </c>
      <c r="J48" s="124" t="s">
        <v>377</v>
      </c>
      <c r="K48" s="125"/>
      <c r="L48" s="126" t="s">
        <v>378</v>
      </c>
    </row>
    <row r="49" spans="1:12" x14ac:dyDescent="0.25">
      <c r="A49" s="123" t="str">
        <f>'RTR v2'!A51</f>
        <v>25-065</v>
      </c>
      <c r="B49" s="123" t="str">
        <f>'RTR v2'!B51</f>
        <v>Reco</v>
      </c>
      <c r="C49" s="123">
        <f>IF('RTR v2'!AV51="","",'RTR v2'!AV51)</f>
        <v>46069</v>
      </c>
      <c r="D49" s="124" t="s">
        <v>376</v>
      </c>
      <c r="E49" s="124" t="s">
        <v>376</v>
      </c>
      <c r="F49" s="124" t="s">
        <v>377</v>
      </c>
      <c r="G49" s="124" t="s">
        <v>376</v>
      </c>
      <c r="H49" s="124" t="s">
        <v>376</v>
      </c>
      <c r="I49" s="124" t="s">
        <v>376</v>
      </c>
      <c r="J49" s="124" t="s">
        <v>377</v>
      </c>
      <c r="K49" s="125"/>
      <c r="L49" s="126" t="s">
        <v>378</v>
      </c>
    </row>
    <row r="50" spans="1:12" x14ac:dyDescent="0.25">
      <c r="A50" s="123" t="str">
        <f>'RTR v2'!A52</f>
        <v>25-066</v>
      </c>
      <c r="B50" s="123" t="str">
        <f>'RTR v2'!B52</f>
        <v>Reco</v>
      </c>
      <c r="C50" s="123">
        <f>IF('RTR v2'!AV52="","",'RTR v2'!AV52)</f>
        <v>46098</v>
      </c>
      <c r="D50" s="124" t="s">
        <v>376</v>
      </c>
      <c r="E50" s="124" t="s">
        <v>376</v>
      </c>
      <c r="F50" s="124" t="s">
        <v>377</v>
      </c>
      <c r="G50" s="124" t="s">
        <v>376</v>
      </c>
      <c r="H50" s="124" t="s">
        <v>376</v>
      </c>
      <c r="I50" s="155"/>
      <c r="J50" s="124" t="s">
        <v>377</v>
      </c>
      <c r="K50" s="125"/>
      <c r="L50" s="126" t="s">
        <v>378</v>
      </c>
    </row>
    <row r="51" spans="1:12" x14ac:dyDescent="0.25">
      <c r="A51" s="123" t="str">
        <f>'RTR v2'!A53</f>
        <v>25-067</v>
      </c>
      <c r="B51" s="123" t="str">
        <f>'RTR v2'!B53</f>
        <v>Reco</v>
      </c>
      <c r="C51" s="123">
        <f>IF('RTR v2'!AV53="","",'RTR v2'!AV53)</f>
        <v>46099</v>
      </c>
      <c r="D51" s="124" t="s">
        <v>376</v>
      </c>
      <c r="E51" s="124" t="s">
        <v>376</v>
      </c>
      <c r="F51" s="124" t="s">
        <v>377</v>
      </c>
      <c r="G51" s="124" t="s">
        <v>376</v>
      </c>
      <c r="H51" s="124" t="s">
        <v>376</v>
      </c>
      <c r="I51" s="155"/>
      <c r="J51" s="124" t="s">
        <v>377</v>
      </c>
      <c r="K51" s="125"/>
      <c r="L51" s="126" t="s">
        <v>378</v>
      </c>
    </row>
    <row r="52" spans="1:12" x14ac:dyDescent="0.25">
      <c r="A52" s="123" t="str">
        <f>'RTR v2'!A54</f>
        <v>25-068</v>
      </c>
      <c r="B52" s="123" t="str">
        <f>'RTR v2'!B54</f>
        <v>Reco</v>
      </c>
      <c r="C52" s="123">
        <f>IF('RTR v2'!AV54="","",'RTR v2'!AV54)</f>
        <v>46111</v>
      </c>
      <c r="D52" s="124" t="s">
        <v>376</v>
      </c>
      <c r="E52" s="124" t="s">
        <v>376</v>
      </c>
      <c r="F52" s="124" t="s">
        <v>377</v>
      </c>
      <c r="G52" s="124" t="s">
        <v>376</v>
      </c>
      <c r="H52" s="155"/>
      <c r="I52" s="155"/>
      <c r="J52" s="124" t="s">
        <v>377</v>
      </c>
      <c r="K52" s="125"/>
      <c r="L52" s="126" t="s">
        <v>378</v>
      </c>
    </row>
    <row r="53" spans="1:12" hidden="1" x14ac:dyDescent="0.25">
      <c r="A53" s="123" t="str">
        <f>'RTR v2'!A55</f>
        <v>25-069</v>
      </c>
      <c r="B53" s="123" t="str">
        <f>'RTR v2'!B55</f>
        <v>Reco</v>
      </c>
      <c r="C53" s="123" t="str">
        <f>IF('RTR v2'!AV55="","",'RTR v2'!AV55)</f>
        <v/>
      </c>
      <c r="D53" s="124"/>
      <c r="E53" s="124"/>
      <c r="F53" s="124"/>
      <c r="G53" s="124"/>
      <c r="H53" s="124"/>
      <c r="I53" s="124"/>
      <c r="J53" s="124"/>
      <c r="K53" s="124"/>
      <c r="L53" s="126"/>
    </row>
    <row r="54" spans="1:12" hidden="1" x14ac:dyDescent="0.25">
      <c r="A54" s="123" t="str">
        <f>'RTR v2'!A56</f>
        <v>25-070</v>
      </c>
      <c r="B54" s="123" t="str">
        <f>'RTR v2'!B56</f>
        <v>Reco</v>
      </c>
      <c r="C54" s="123" t="str">
        <f>IF('RTR v2'!AV56="","",'RTR v2'!AV56)</f>
        <v/>
      </c>
      <c r="D54" s="124"/>
      <c r="E54" s="124"/>
      <c r="F54" s="124"/>
      <c r="G54" s="124"/>
      <c r="H54" s="124"/>
      <c r="I54" s="124"/>
      <c r="J54" s="124"/>
      <c r="K54" s="124"/>
      <c r="L54" s="126"/>
    </row>
    <row r="55" spans="1:12" hidden="1" x14ac:dyDescent="0.25">
      <c r="A55" s="123" t="str">
        <f>'RTR v2'!A57</f>
        <v>25-071</v>
      </c>
      <c r="B55" s="123" t="str">
        <f>'RTR v2'!B57</f>
        <v>Reco</v>
      </c>
      <c r="C55" s="123" t="str">
        <f>IF('RTR v2'!AV57="","",'RTR v2'!AV57)</f>
        <v/>
      </c>
      <c r="D55" s="124"/>
      <c r="E55" s="124"/>
      <c r="F55" s="124"/>
      <c r="G55" s="124"/>
      <c r="H55" s="124"/>
      <c r="I55" s="124"/>
      <c r="J55" s="124"/>
      <c r="K55" s="124"/>
      <c r="L55" s="126"/>
    </row>
    <row r="56" spans="1:12" hidden="1" x14ac:dyDescent="0.25">
      <c r="A56" s="123" t="str">
        <f>'RTR v2'!A58</f>
        <v>25-072</v>
      </c>
      <c r="B56" s="123" t="str">
        <f>'RTR v2'!B58</f>
        <v>Burke Industrial</v>
      </c>
      <c r="C56" s="123">
        <f>IF('RTR v2'!AV58="","",'RTR v2'!AV58)</f>
        <v>45922</v>
      </c>
      <c r="D56" s="124"/>
      <c r="E56" s="124"/>
      <c r="F56" s="124"/>
      <c r="G56" s="124"/>
      <c r="H56" s="124"/>
      <c r="I56" s="124"/>
      <c r="J56" s="124"/>
      <c r="K56" s="124"/>
      <c r="L56" s="126"/>
    </row>
    <row r="57" spans="1:12" hidden="1" x14ac:dyDescent="0.25">
      <c r="A57" s="123" t="str">
        <f>'RTR v2'!A59</f>
        <v>25-073</v>
      </c>
      <c r="B57" s="123" t="str">
        <f>'RTR v2'!B59</f>
        <v>Burke Industrial</v>
      </c>
      <c r="C57" s="123">
        <f>IF('RTR v2'!AV59="","",'RTR v2'!AV59)</f>
        <v>45925</v>
      </c>
      <c r="D57" s="124"/>
      <c r="E57" s="124"/>
      <c r="F57" s="124"/>
      <c r="G57" s="124"/>
      <c r="H57" s="124"/>
      <c r="I57" s="124"/>
      <c r="J57" s="124"/>
      <c r="K57" s="124"/>
      <c r="L57" s="126"/>
    </row>
    <row r="58" spans="1:12" hidden="1" x14ac:dyDescent="0.25">
      <c r="A58" s="123" t="str">
        <f>'RTR v2'!A60</f>
        <v>25-074</v>
      </c>
      <c r="B58" s="123" t="str">
        <f>'RTR v2'!B60</f>
        <v>Kemira</v>
      </c>
      <c r="C58" s="123">
        <f>IF('RTR v2'!AV60="","",'RTR v2'!AV60)</f>
        <v>46008</v>
      </c>
      <c r="D58" s="124"/>
      <c r="E58" s="124"/>
      <c r="F58" s="124"/>
      <c r="G58" s="124"/>
      <c r="H58" s="124"/>
      <c r="I58" s="124"/>
      <c r="J58" s="124"/>
      <c r="K58" s="124"/>
      <c r="L58" s="126"/>
    </row>
    <row r="59" spans="1:12" hidden="1" x14ac:dyDescent="0.25">
      <c r="A59" s="123" t="str">
        <f>'RTR v2'!A61</f>
        <v>25-075</v>
      </c>
      <c r="B59" s="123" t="str">
        <f>'RTR v2'!B61</f>
        <v>Kemira</v>
      </c>
      <c r="C59" s="123">
        <f>IF('RTR v2'!AV61="","",'RTR v2'!AV61)</f>
        <v>45994</v>
      </c>
      <c r="D59" s="124"/>
      <c r="E59" s="124"/>
      <c r="F59" s="124"/>
      <c r="G59" s="124"/>
      <c r="H59" s="124"/>
      <c r="I59" s="124"/>
      <c r="J59" s="124"/>
      <c r="K59" s="124"/>
      <c r="L59" s="126"/>
    </row>
    <row r="60" spans="1:12" hidden="1" x14ac:dyDescent="0.25">
      <c r="A60" s="123" t="str">
        <f>'RTR v2'!A62</f>
        <v>25-076</v>
      </c>
      <c r="B60" s="123" t="str">
        <f>'RTR v2'!B62</f>
        <v>Irving tissue</v>
      </c>
      <c r="C60" s="123">
        <f>IF('RTR v2'!AV62="","",'RTR v2'!AV62)</f>
        <v>45930</v>
      </c>
      <c r="D60" s="124"/>
      <c r="E60" s="124"/>
      <c r="F60" s="124"/>
      <c r="G60" s="124"/>
      <c r="H60" s="124"/>
      <c r="I60" s="124"/>
      <c r="J60" s="124"/>
      <c r="K60" s="124"/>
      <c r="L60" s="126"/>
    </row>
    <row r="61" spans="1:12" hidden="1" x14ac:dyDescent="0.25">
      <c r="A61" s="123" t="str">
        <f>'RTR v2'!A63</f>
        <v>25-077</v>
      </c>
      <c r="B61" s="123" t="str">
        <f>'RTR v2'!B63</f>
        <v>Epic Systems</v>
      </c>
      <c r="C61" s="123">
        <f>IF('RTR v2'!AV63="","",'RTR v2'!AV63)</f>
        <v>46028</v>
      </c>
      <c r="D61" s="124"/>
      <c r="E61" s="124"/>
      <c r="F61" s="124"/>
      <c r="G61" s="124"/>
      <c r="H61" s="124"/>
      <c r="I61" s="124"/>
      <c r="J61" s="124"/>
      <c r="K61" s="124"/>
      <c r="L61" s="126"/>
    </row>
    <row r="62" spans="1:12" hidden="1" x14ac:dyDescent="0.25">
      <c r="A62" s="123" t="str">
        <f>'RTR v2'!A64</f>
        <v>25-078</v>
      </c>
      <c r="B62" s="123" t="str">
        <f>'RTR v2'!B64</f>
        <v>Epic Systems</v>
      </c>
      <c r="C62" s="123">
        <f>IF('RTR v2'!AV64="","",'RTR v2'!AV64)</f>
        <v>46028</v>
      </c>
      <c r="D62" s="124"/>
      <c r="E62" s="124"/>
      <c r="F62" s="124"/>
      <c r="G62" s="124"/>
      <c r="H62" s="124"/>
      <c r="I62" s="124"/>
      <c r="J62" s="124"/>
      <c r="K62" s="124"/>
      <c r="L62" s="126"/>
    </row>
    <row r="63" spans="1:12" hidden="1" x14ac:dyDescent="0.25">
      <c r="A63" s="123" t="str">
        <f>'RTR v2'!A65</f>
        <v>25-079</v>
      </c>
      <c r="B63" s="123" t="str">
        <f>'RTR v2'!B65</f>
        <v>Epic Systems</v>
      </c>
      <c r="C63" s="123">
        <f>IF('RTR v2'!AV65="","",'RTR v2'!AV65)</f>
        <v>46028</v>
      </c>
      <c r="D63" s="124"/>
      <c r="E63" s="124"/>
      <c r="F63" s="124"/>
      <c r="G63" s="124"/>
      <c r="H63" s="124"/>
      <c r="I63" s="124"/>
      <c r="J63" s="124"/>
      <c r="K63" s="124"/>
      <c r="L63" s="126"/>
    </row>
    <row r="64" spans="1:12" hidden="1" x14ac:dyDescent="0.25">
      <c r="A64" s="123" t="str">
        <f>'RTR v2'!A66</f>
        <v>25-080</v>
      </c>
      <c r="B64" s="123" t="str">
        <f>'RTR v2'!B66</f>
        <v>Domtar</v>
      </c>
      <c r="C64" s="123">
        <f>IF('RTR v2'!AV66="","",'RTR v2'!AV66)</f>
        <v>46029</v>
      </c>
      <c r="D64" s="124"/>
      <c r="E64" s="124"/>
      <c r="F64" s="124"/>
      <c r="G64" s="124"/>
      <c r="H64" s="124"/>
      <c r="I64" s="124"/>
      <c r="J64" s="124"/>
      <c r="K64" s="124"/>
      <c r="L64" s="126"/>
    </row>
    <row r="65" spans="1:12" hidden="1" x14ac:dyDescent="0.25">
      <c r="A65" s="123" t="str">
        <f>'RTR v2'!A67</f>
        <v>25-083</v>
      </c>
      <c r="B65" s="123" t="str">
        <f>'RTR v2'!B67</f>
        <v>Synthomer</v>
      </c>
      <c r="C65" s="123" t="str">
        <f>IF('RTR v2'!AV67="","",'RTR v2'!AV67)</f>
        <v/>
      </c>
      <c r="D65" s="124"/>
      <c r="E65" s="124"/>
      <c r="F65" s="124"/>
      <c r="G65" s="124"/>
      <c r="H65" s="124"/>
      <c r="I65" s="124"/>
      <c r="J65" s="124"/>
      <c r="K65" s="124"/>
      <c r="L65" s="126"/>
    </row>
    <row r="66" spans="1:12" hidden="1" x14ac:dyDescent="0.25">
      <c r="A66" s="123" t="str">
        <f>'RTR v2'!A68</f>
        <v>25-084</v>
      </c>
      <c r="B66" s="123" t="str">
        <f>'RTR v2'!B68</f>
        <v>Atlas Minerals</v>
      </c>
      <c r="C66" s="123" t="str">
        <f>IF('RTR v2'!AV68="","",'RTR v2'!AV68)</f>
        <v/>
      </c>
      <c r="D66" s="124"/>
      <c r="E66" s="124"/>
      <c r="F66" s="124"/>
      <c r="G66" s="124"/>
      <c r="H66" s="124"/>
      <c r="I66" s="124"/>
      <c r="J66" s="124"/>
      <c r="K66" s="124"/>
      <c r="L66" s="126"/>
    </row>
    <row r="67" spans="1:12" hidden="1" x14ac:dyDescent="0.25">
      <c r="A67" s="123" t="str">
        <f>'RTR v2'!A69</f>
        <v>25-085</v>
      </c>
      <c r="B67" s="123" t="str">
        <f>'RTR v2'!B69</f>
        <v>Noah Industrial</v>
      </c>
      <c r="C67" s="123">
        <f>IF('RTR v2'!AV69="","",'RTR v2'!AV69)</f>
        <v>45999</v>
      </c>
      <c r="D67" s="124"/>
      <c r="E67" s="124"/>
      <c r="F67" s="124"/>
      <c r="G67" s="124"/>
      <c r="H67" s="124"/>
      <c r="I67" s="124"/>
      <c r="J67" s="124"/>
      <c r="K67" s="124"/>
      <c r="L67" s="126"/>
    </row>
    <row r="68" spans="1:12" hidden="1" x14ac:dyDescent="0.25">
      <c r="A68" s="123" t="str">
        <f>'RTR v2'!A70</f>
        <v>25-086</v>
      </c>
      <c r="B68" s="123" t="str">
        <f>'RTR v2'!B70</f>
        <v>Tellus</v>
      </c>
      <c r="C68" s="123">
        <f>IF('RTR v2'!AV70="","",'RTR v2'!AV70)</f>
        <v>46022</v>
      </c>
      <c r="D68" s="124"/>
      <c r="E68" s="124"/>
      <c r="F68" s="124"/>
      <c r="G68" s="124"/>
      <c r="H68" s="124"/>
      <c r="I68" s="124"/>
      <c r="J68" s="124"/>
      <c r="K68" s="124"/>
      <c r="L68" s="126"/>
    </row>
    <row r="69" spans="1:12" hidden="1" x14ac:dyDescent="0.25">
      <c r="A69" s="123" t="str">
        <f>'RTR v2'!A71</f>
        <v>25-087</v>
      </c>
      <c r="B69" s="123" t="str">
        <f>'RTR v2'!B71</f>
        <v>Solvay</v>
      </c>
      <c r="C69" s="123">
        <f>IF('RTR v2'!AV71="","",'RTR v2'!AV71)</f>
        <v>45952</v>
      </c>
      <c r="D69" s="124"/>
      <c r="E69" s="124"/>
      <c r="F69" s="124"/>
      <c r="G69" s="124"/>
      <c r="H69" s="124"/>
      <c r="I69" s="124"/>
      <c r="J69" s="124"/>
      <c r="K69" s="124"/>
      <c r="L69" s="126"/>
    </row>
    <row r="70" spans="1:12" hidden="1" x14ac:dyDescent="0.25">
      <c r="A70" s="123" t="str">
        <f>'RTR v2'!A72</f>
        <v>25-088</v>
      </c>
      <c r="B70" s="123" t="str">
        <f>'RTR v2'!B72</f>
        <v>CIL Isotopes</v>
      </c>
      <c r="C70" s="123">
        <f>IF('RTR v2'!AV72="","",'RTR v2'!AV72)</f>
        <v>45979</v>
      </c>
      <c r="D70" s="124"/>
      <c r="E70" s="124"/>
      <c r="F70" s="124"/>
      <c r="G70" s="124"/>
      <c r="H70" s="124"/>
      <c r="I70" s="124"/>
      <c r="J70" s="124"/>
      <c r="K70" s="124"/>
      <c r="L70" s="126"/>
    </row>
    <row r="71" spans="1:12" x14ac:dyDescent="0.25">
      <c r="A71" s="123" t="str">
        <f>'RTR v2'!A73</f>
        <v>25-089</v>
      </c>
      <c r="B71" s="123" t="str">
        <f>'RTR v2'!B73</f>
        <v>Valmet</v>
      </c>
      <c r="C71" s="123">
        <f>IF('RTR v2'!AV73="","",'RTR v2'!AV73)</f>
        <v>46090</v>
      </c>
      <c r="D71" s="124" t="s">
        <v>376</v>
      </c>
      <c r="E71" s="124" t="s">
        <v>376</v>
      </c>
      <c r="F71" s="124" t="s">
        <v>376</v>
      </c>
      <c r="G71" s="124" t="s">
        <v>376</v>
      </c>
      <c r="H71" s="124" t="s">
        <v>376</v>
      </c>
      <c r="I71" s="124" t="s">
        <v>376</v>
      </c>
      <c r="J71" s="124" t="s">
        <v>376</v>
      </c>
      <c r="K71" s="124" t="s">
        <v>376</v>
      </c>
      <c r="L71" s="126" t="s">
        <v>435</v>
      </c>
    </row>
    <row r="72" spans="1:12" hidden="1" x14ac:dyDescent="0.25">
      <c r="A72" s="123" t="str">
        <f>'RTR v2'!A74</f>
        <v>25-090</v>
      </c>
      <c r="B72" s="123" t="str">
        <f>'RTR v2'!B74</f>
        <v>GAF</v>
      </c>
      <c r="C72" s="123">
        <f>IF('RTR v2'!AV74="","",'RTR v2'!AV74)</f>
        <v>45912</v>
      </c>
      <c r="D72" s="124"/>
      <c r="E72" s="124"/>
      <c r="F72" s="124"/>
      <c r="G72" s="124"/>
      <c r="H72" s="124"/>
      <c r="I72" s="124"/>
      <c r="J72" s="124"/>
      <c r="K72" s="124"/>
      <c r="L72" s="126"/>
    </row>
    <row r="73" spans="1:12" hidden="1" x14ac:dyDescent="0.25">
      <c r="A73" s="123" t="str">
        <f>'RTR v2'!A75</f>
        <v>25-091</v>
      </c>
      <c r="B73" s="123" t="str">
        <f>'RTR v2'!B75</f>
        <v>US Sugar</v>
      </c>
      <c r="C73" s="123">
        <f>IF('RTR v2'!AV75="","",'RTR v2'!AV75)</f>
        <v>46022</v>
      </c>
      <c r="D73" s="124"/>
      <c r="E73" s="124"/>
      <c r="F73" s="124"/>
      <c r="G73" s="124"/>
      <c r="H73" s="124"/>
      <c r="I73" s="124"/>
      <c r="J73" s="124"/>
      <c r="K73" s="124"/>
      <c r="L73" s="126"/>
    </row>
    <row r="74" spans="1:12" hidden="1" x14ac:dyDescent="0.25">
      <c r="A74" s="123" t="str">
        <f>'RTR v2'!A76</f>
        <v>25-092</v>
      </c>
      <c r="B74" s="123" t="str">
        <f>'RTR v2'!B76</f>
        <v>Symrise</v>
      </c>
      <c r="C74" s="123" t="str">
        <f>IF('RTR v2'!AV76="","",'RTR v2'!AV76)</f>
        <v/>
      </c>
      <c r="D74" s="124"/>
      <c r="E74" s="124"/>
      <c r="F74" s="124"/>
      <c r="G74" s="124"/>
      <c r="H74" s="124"/>
      <c r="I74" s="124"/>
      <c r="J74" s="124"/>
      <c r="K74" s="124"/>
      <c r="L74" s="126"/>
    </row>
    <row r="75" spans="1:12" hidden="1" x14ac:dyDescent="0.25">
      <c r="A75" s="123" t="str">
        <f>'RTR v2'!A77</f>
        <v>25-093</v>
      </c>
      <c r="B75" s="123" t="str">
        <f>'RTR v2'!B77</f>
        <v>Symrise</v>
      </c>
      <c r="C75" s="123" t="str">
        <f>IF('RTR v2'!AV77="","",'RTR v2'!AV77)</f>
        <v/>
      </c>
      <c r="D75" s="124"/>
      <c r="E75" s="124"/>
      <c r="F75" s="124"/>
      <c r="G75" s="124"/>
      <c r="H75" s="124"/>
      <c r="I75" s="124"/>
      <c r="J75" s="124"/>
      <c r="K75" s="124"/>
      <c r="L75" s="126"/>
    </row>
    <row r="76" spans="1:12" hidden="1" x14ac:dyDescent="0.25">
      <c r="A76" s="123" t="str">
        <f>'RTR v2'!A78</f>
        <v>25-094</v>
      </c>
      <c r="B76" s="123" t="str">
        <f>'RTR v2'!B78</f>
        <v>Kimberly Clark</v>
      </c>
      <c r="C76" s="123">
        <f>IF('RTR v2'!AV78="","",'RTR v2'!AV78)</f>
        <v>45678</v>
      </c>
      <c r="D76" s="124"/>
      <c r="E76" s="124"/>
      <c r="F76" s="124"/>
      <c r="G76" s="124"/>
      <c r="H76" s="124"/>
      <c r="I76" s="124"/>
      <c r="J76" s="124"/>
      <c r="K76" s="124"/>
      <c r="L76" s="126"/>
    </row>
    <row r="77" spans="1:12" hidden="1" x14ac:dyDescent="0.25">
      <c r="A77" s="123" t="str">
        <f>'RTR v2'!A79</f>
        <v>25-095</v>
      </c>
      <c r="B77" s="123" t="str">
        <f>'RTR v2'!B79</f>
        <v>Andritz</v>
      </c>
      <c r="C77" s="123">
        <f>IF('RTR v2'!AV79="","",'RTR v2'!AV79)</f>
        <v>46022</v>
      </c>
      <c r="D77" s="124"/>
      <c r="E77" s="124"/>
      <c r="F77" s="124"/>
      <c r="G77" s="124"/>
      <c r="H77" s="124"/>
      <c r="I77" s="124"/>
      <c r="J77" s="124"/>
      <c r="K77" s="124"/>
      <c r="L77" s="126"/>
    </row>
    <row r="78" spans="1:12" hidden="1" x14ac:dyDescent="0.25">
      <c r="A78" s="123" t="str">
        <f>'RTR v2'!A80</f>
        <v>25-096</v>
      </c>
      <c r="B78" s="123" t="str">
        <f>'RTR v2'!B80</f>
        <v>Milliken</v>
      </c>
      <c r="C78" s="123">
        <f>IF('RTR v2'!AV80="","",'RTR v2'!AV80)</f>
        <v>46029</v>
      </c>
      <c r="D78" s="124"/>
      <c r="E78" s="124"/>
      <c r="F78" s="124"/>
      <c r="G78" s="124"/>
      <c r="H78" s="124"/>
      <c r="I78" s="124"/>
      <c r="J78" s="124"/>
      <c r="K78" s="124"/>
      <c r="L78" s="126"/>
    </row>
    <row r="79" spans="1:12" hidden="1" x14ac:dyDescent="0.25">
      <c r="A79" s="123" t="str">
        <f>'RTR v2'!A81</f>
        <v>25-097</v>
      </c>
      <c r="B79" s="123" t="str">
        <f>'RTR v2'!B81</f>
        <v>Milliken</v>
      </c>
      <c r="C79" s="123">
        <f>IF('RTR v2'!AV81="","",'RTR v2'!AV81)</f>
        <v>46029</v>
      </c>
      <c r="D79" s="124"/>
      <c r="E79" s="124"/>
      <c r="F79" s="124"/>
      <c r="G79" s="124"/>
      <c r="H79" s="124"/>
      <c r="I79" s="124"/>
      <c r="J79" s="124"/>
      <c r="K79" s="124"/>
      <c r="L79" s="126"/>
    </row>
    <row r="80" spans="1:12" hidden="1" x14ac:dyDescent="0.25">
      <c r="A80" s="123" t="str">
        <f>'RTR v2'!A82</f>
        <v>25-098</v>
      </c>
      <c r="B80" s="123" t="str">
        <f>'RTR v2'!B82</f>
        <v>Coastal Technologies</v>
      </c>
      <c r="C80" s="123" t="str">
        <f>IF('RTR v2'!AV82="","",'RTR v2'!AV82)</f>
        <v/>
      </c>
      <c r="D80" s="124"/>
      <c r="E80" s="124"/>
      <c r="F80" s="124"/>
      <c r="G80" s="124"/>
      <c r="H80" s="124"/>
      <c r="I80" s="124"/>
      <c r="J80" s="124"/>
      <c r="K80" s="124"/>
      <c r="L80" s="126"/>
    </row>
    <row r="81" spans="1:12" x14ac:dyDescent="0.25">
      <c r="A81" s="123" t="str">
        <f>'RTR v2'!A83</f>
        <v>25-099</v>
      </c>
      <c r="B81" s="123" t="str">
        <f>'RTR v2'!B83</f>
        <v>Burke Industrial</v>
      </c>
      <c r="C81" s="123">
        <f>IF('RTR v2'!AV83="","",'RTR v2'!AV83)</f>
        <v>46106</v>
      </c>
      <c r="D81" s="124" t="s">
        <v>376</v>
      </c>
      <c r="E81" s="124" t="s">
        <v>376</v>
      </c>
      <c r="F81" s="124" t="s">
        <v>377</v>
      </c>
      <c r="G81" s="124" t="s">
        <v>376</v>
      </c>
      <c r="H81" s="155"/>
      <c r="I81" s="155"/>
      <c r="J81" s="124" t="s">
        <v>377</v>
      </c>
      <c r="K81" s="155"/>
      <c r="L81" s="126"/>
    </row>
    <row r="82" spans="1:12" hidden="1" x14ac:dyDescent="0.25">
      <c r="A82" s="123" t="str">
        <f>'RTR v2'!A84</f>
        <v>25-101</v>
      </c>
      <c r="B82" s="123" t="str">
        <f>'RTR v2'!B84</f>
        <v>Harper Love</v>
      </c>
      <c r="C82" s="123" t="str">
        <f>IF('RTR v2'!AV84="","",'RTR v2'!AV84)</f>
        <v/>
      </c>
      <c r="D82" s="124"/>
      <c r="E82" s="124"/>
      <c r="F82" s="124"/>
      <c r="G82" s="124"/>
      <c r="H82" s="124"/>
      <c r="I82" s="124"/>
      <c r="J82" s="124"/>
      <c r="K82" s="124"/>
      <c r="L82" s="126"/>
    </row>
    <row r="83" spans="1:12" hidden="1" x14ac:dyDescent="0.25">
      <c r="A83" s="123" t="str">
        <f>'RTR v2'!A85</f>
        <v>25-102</v>
      </c>
      <c r="B83" s="123" t="str">
        <f>'RTR v2'!B85</f>
        <v>Epic Systems</v>
      </c>
      <c r="C83" s="123" t="str">
        <f>IF('RTR v2'!AV85="","",'RTR v2'!AV85)</f>
        <v/>
      </c>
      <c r="D83" s="124"/>
      <c r="E83" s="124"/>
      <c r="F83" s="124"/>
      <c r="G83" s="124"/>
      <c r="H83" s="124"/>
      <c r="I83" s="124"/>
      <c r="J83" s="124"/>
      <c r="K83" s="124"/>
      <c r="L83" s="126"/>
    </row>
    <row r="84" spans="1:12" hidden="1" x14ac:dyDescent="0.25">
      <c r="A84" s="123" t="str">
        <f>'RTR v2'!A86</f>
        <v>25-103</v>
      </c>
      <c r="B84" s="123" t="str">
        <f>'RTR v2'!B86</f>
        <v>Epic Systems</v>
      </c>
      <c r="C84" s="123" t="str">
        <f>IF('RTR v2'!AV86="","",'RTR v2'!AV86)</f>
        <v/>
      </c>
      <c r="D84" s="124"/>
      <c r="E84" s="124"/>
      <c r="F84" s="124"/>
      <c r="G84" s="124"/>
      <c r="H84" s="124"/>
      <c r="I84" s="124"/>
      <c r="J84" s="124"/>
      <c r="K84" s="124"/>
      <c r="L84" s="126"/>
    </row>
    <row r="85" spans="1:12" hidden="1" x14ac:dyDescent="0.25">
      <c r="A85" s="123" t="str">
        <f>'RTR v2'!A87</f>
        <v>25-104</v>
      </c>
      <c r="B85" s="123" t="str">
        <f>'RTR v2'!B87</f>
        <v>Epic Systems</v>
      </c>
      <c r="C85" s="123" t="str">
        <f>IF('RTR v2'!AV87="","",'RTR v2'!AV87)</f>
        <v/>
      </c>
      <c r="D85" s="124"/>
      <c r="E85" s="124"/>
      <c r="F85" s="124"/>
      <c r="G85" s="124"/>
      <c r="H85" s="124"/>
      <c r="I85" s="124"/>
      <c r="J85" s="124"/>
      <c r="K85" s="124"/>
      <c r="L85" s="126"/>
    </row>
    <row r="86" spans="1:12" hidden="1" x14ac:dyDescent="0.25">
      <c r="A86" s="123" t="str">
        <f>'RTR v2'!A88</f>
        <v>25-105</v>
      </c>
      <c r="B86" s="123" t="str">
        <f>'RTR v2'!B88</f>
        <v>Epic Systems</v>
      </c>
      <c r="C86" s="123" t="str">
        <f>IF('RTR v2'!AV88="","",'RTR v2'!AV88)</f>
        <v/>
      </c>
      <c r="D86" s="124"/>
      <c r="E86" s="124"/>
      <c r="F86" s="124"/>
      <c r="G86" s="124"/>
      <c r="H86" s="124"/>
      <c r="I86" s="124"/>
      <c r="J86" s="124"/>
      <c r="K86" s="124"/>
      <c r="L86" s="126"/>
    </row>
    <row r="87" spans="1:12" hidden="1" x14ac:dyDescent="0.25">
      <c r="A87" s="123" t="str">
        <f>'RTR v2'!A89</f>
        <v>25-106</v>
      </c>
      <c r="B87" s="123" t="str">
        <f>'RTR v2'!B89</f>
        <v>Epic Systems</v>
      </c>
      <c r="C87" s="123" t="str">
        <f>IF('RTR v2'!AV89="","",'RTR v2'!AV89)</f>
        <v/>
      </c>
      <c r="D87" s="124"/>
      <c r="E87" s="124"/>
      <c r="F87" s="124"/>
      <c r="G87" s="124"/>
      <c r="H87" s="124"/>
      <c r="I87" s="124"/>
      <c r="J87" s="124"/>
      <c r="K87" s="124"/>
      <c r="L87" s="126"/>
    </row>
    <row r="88" spans="1:12" hidden="1" x14ac:dyDescent="0.25">
      <c r="A88" s="123" t="str">
        <f>'RTR v2'!A90</f>
        <v>25-107</v>
      </c>
      <c r="B88" s="123" t="str">
        <f>'RTR v2'!B90</f>
        <v>Epic Systems</v>
      </c>
      <c r="C88" s="123" t="str">
        <f>IF('RTR v2'!AV90="","",'RTR v2'!AV90)</f>
        <v/>
      </c>
      <c r="D88" s="124"/>
      <c r="E88" s="124"/>
      <c r="F88" s="124"/>
      <c r="G88" s="124"/>
      <c r="H88" s="124"/>
      <c r="I88" s="124"/>
      <c r="J88" s="124"/>
      <c r="K88" s="124"/>
      <c r="L88" s="126"/>
    </row>
    <row r="89" spans="1:12" hidden="1" x14ac:dyDescent="0.25">
      <c r="A89" s="123" t="str">
        <f>'RTR v2'!A91</f>
        <v>25-108</v>
      </c>
      <c r="B89" s="123" t="str">
        <f>'RTR v2'!B91</f>
        <v>Epic Systems</v>
      </c>
      <c r="C89" s="123" t="str">
        <f>IF('RTR v2'!AV91="","",'RTR v2'!AV91)</f>
        <v/>
      </c>
      <c r="D89" s="124"/>
      <c r="E89" s="124"/>
      <c r="F89" s="124"/>
      <c r="G89" s="124"/>
      <c r="H89" s="124"/>
      <c r="I89" s="124"/>
      <c r="J89" s="124"/>
      <c r="K89" s="124"/>
      <c r="L89" s="126"/>
    </row>
    <row r="90" spans="1:12" hidden="1" x14ac:dyDescent="0.25">
      <c r="A90" s="123" t="str">
        <f>'RTR v2'!A92</f>
        <v>25-109</v>
      </c>
      <c r="B90" s="123" t="str">
        <f>'RTR v2'!B92</f>
        <v>Epic Systems</v>
      </c>
      <c r="C90" s="123" t="str">
        <f>IF('RTR v2'!AV92="","",'RTR v2'!AV92)</f>
        <v/>
      </c>
      <c r="D90" s="124"/>
      <c r="E90" s="124"/>
      <c r="F90" s="124"/>
      <c r="G90" s="124"/>
      <c r="H90" s="124"/>
      <c r="I90" s="124"/>
      <c r="J90" s="124"/>
      <c r="K90" s="124"/>
      <c r="L90" s="126"/>
    </row>
    <row r="91" spans="1:12" hidden="1" x14ac:dyDescent="0.25">
      <c r="A91" s="123" t="str">
        <f>'RTR v2'!A93</f>
        <v>25-110</v>
      </c>
      <c r="B91" s="123" t="str">
        <f>'RTR v2'!B93</f>
        <v>Epic Systems</v>
      </c>
      <c r="C91" s="123" t="str">
        <f>IF('RTR v2'!AV93="","",'RTR v2'!AV93)</f>
        <v/>
      </c>
      <c r="D91" s="124"/>
      <c r="E91" s="124"/>
      <c r="F91" s="124"/>
      <c r="G91" s="124"/>
      <c r="H91" s="124"/>
      <c r="I91" s="124"/>
      <c r="J91" s="124"/>
      <c r="K91" s="124"/>
      <c r="L91" s="126"/>
    </row>
    <row r="92" spans="1:12" hidden="1" x14ac:dyDescent="0.25">
      <c r="A92" s="123" t="str">
        <f>'RTR v2'!A94</f>
        <v>25-111</v>
      </c>
      <c r="B92" s="123" t="str">
        <f>'RTR v2'!B94</f>
        <v>Epic Systems</v>
      </c>
      <c r="C92" s="123" t="str">
        <f>IF('RTR v2'!AV94="","",'RTR v2'!AV94)</f>
        <v/>
      </c>
      <c r="D92" s="124"/>
      <c r="E92" s="124"/>
      <c r="F92" s="124"/>
      <c r="G92" s="124"/>
      <c r="H92" s="124"/>
      <c r="I92" s="124"/>
      <c r="J92" s="124"/>
      <c r="K92" s="124"/>
      <c r="L92" s="126"/>
    </row>
    <row r="93" spans="1:12" hidden="1" x14ac:dyDescent="0.25">
      <c r="A93" s="123" t="str">
        <f>'RTR v2'!A95</f>
        <v>25-112</v>
      </c>
      <c r="B93" s="123" t="str">
        <f>'RTR v2'!B95</f>
        <v>Epic Systems</v>
      </c>
      <c r="C93" s="123" t="str">
        <f>IF('RTR v2'!AV95="","",'RTR v2'!AV95)</f>
        <v/>
      </c>
      <c r="D93" s="124"/>
      <c r="E93" s="124"/>
      <c r="F93" s="124"/>
      <c r="G93" s="124"/>
      <c r="H93" s="124"/>
      <c r="I93" s="124"/>
      <c r="J93" s="124"/>
      <c r="K93" s="124"/>
      <c r="L93" s="126"/>
    </row>
    <row r="94" spans="1:12" hidden="1" x14ac:dyDescent="0.25">
      <c r="A94" s="123" t="str">
        <f>'RTR v2'!A96</f>
        <v>25-113</v>
      </c>
      <c r="B94" s="123" t="str">
        <f>'RTR v2'!B96</f>
        <v>Epic Systems</v>
      </c>
      <c r="C94" s="123" t="str">
        <f>IF('RTR v2'!AV96="","",'RTR v2'!AV96)</f>
        <v/>
      </c>
      <c r="D94" s="124"/>
      <c r="E94" s="124"/>
      <c r="F94" s="124"/>
      <c r="G94" s="124"/>
      <c r="H94" s="124"/>
      <c r="I94" s="124"/>
      <c r="J94" s="124"/>
      <c r="K94" s="124"/>
      <c r="L94" s="126"/>
    </row>
    <row r="95" spans="1:12" hidden="1" x14ac:dyDescent="0.25">
      <c r="A95" s="123" t="str">
        <f>'RTR v2'!A97</f>
        <v>25-115</v>
      </c>
      <c r="B95" s="123" t="str">
        <f>'RTR v2'!B97</f>
        <v>Epic Systems</v>
      </c>
      <c r="C95" s="123" t="str">
        <f>IF('RTR v2'!AV97="","",'RTR v2'!AV97)</f>
        <v/>
      </c>
      <c r="D95" s="124"/>
      <c r="E95" s="124"/>
      <c r="F95" s="124"/>
      <c r="G95" s="124"/>
      <c r="H95" s="124"/>
      <c r="I95" s="124"/>
      <c r="J95" s="124"/>
      <c r="K95" s="124"/>
      <c r="L95" s="126"/>
    </row>
    <row r="96" spans="1:12" hidden="1" x14ac:dyDescent="0.25">
      <c r="A96" s="123" t="str">
        <f>'RTR v2'!A98</f>
        <v>25-116</v>
      </c>
      <c r="B96" s="123" t="str">
        <f>'RTR v2'!B98</f>
        <v>Polynt</v>
      </c>
      <c r="C96" s="123" t="str">
        <f>IF('RTR v2'!AV98="","",'RTR v2'!AV98)</f>
        <v/>
      </c>
      <c r="D96" s="124"/>
      <c r="E96" s="124"/>
      <c r="F96" s="124"/>
      <c r="G96" s="124"/>
      <c r="H96" s="124"/>
      <c r="I96" s="124"/>
      <c r="J96" s="124"/>
      <c r="K96" s="124"/>
      <c r="L96" s="126"/>
    </row>
    <row r="97" spans="1:12" hidden="1" x14ac:dyDescent="0.25">
      <c r="A97" s="123" t="str">
        <f>'RTR v2'!A99</f>
        <v>25-117</v>
      </c>
      <c r="B97" s="123" t="str">
        <f>'RTR v2'!B99</f>
        <v>Merrick</v>
      </c>
      <c r="C97" s="123" t="str">
        <f>IF('RTR v2'!AV99="","",'RTR v2'!AV99)</f>
        <v/>
      </c>
      <c r="D97" s="124"/>
      <c r="E97" s="124"/>
      <c r="F97" s="124"/>
      <c r="G97" s="124"/>
      <c r="H97" s="124"/>
      <c r="I97" s="124"/>
      <c r="J97" s="124"/>
      <c r="K97" s="124"/>
      <c r="L97" s="126"/>
    </row>
    <row r="98" spans="1:12" hidden="1" x14ac:dyDescent="0.25">
      <c r="A98" s="123" t="str">
        <f>'RTR v2'!A100</f>
        <v>25-118</v>
      </c>
      <c r="B98" s="123" t="str">
        <f>'RTR v2'!B100</f>
        <v>Merrick</v>
      </c>
      <c r="C98" s="123" t="str">
        <f>IF('RTR v2'!AV100="","",'RTR v2'!AV100)</f>
        <v/>
      </c>
      <c r="D98" s="124"/>
      <c r="E98" s="124"/>
      <c r="F98" s="124"/>
      <c r="G98" s="124"/>
      <c r="H98" s="124"/>
      <c r="I98" s="124"/>
      <c r="J98" s="124"/>
      <c r="K98" s="124"/>
      <c r="L98" s="126"/>
    </row>
    <row r="99" spans="1:12" hidden="1" x14ac:dyDescent="0.25">
      <c r="A99" s="123" t="str">
        <f>'RTR v2'!A101</f>
        <v>25-119</v>
      </c>
      <c r="B99" s="123" t="str">
        <f>'RTR v2'!B101</f>
        <v>Vertiv</v>
      </c>
      <c r="C99" s="123">
        <f>IF('RTR v2'!AV101="","",'RTR v2'!AV101)</f>
        <v>46022</v>
      </c>
      <c r="D99" s="124"/>
      <c r="E99" s="124"/>
      <c r="F99" s="124"/>
      <c r="G99" s="124"/>
      <c r="H99" s="124"/>
      <c r="I99" s="124"/>
      <c r="J99" s="124"/>
      <c r="K99" s="124"/>
      <c r="L99" s="126"/>
    </row>
    <row r="100" spans="1:12" hidden="1" x14ac:dyDescent="0.25">
      <c r="A100" s="123" t="str">
        <f>'RTR v2'!A102</f>
        <v>25-120</v>
      </c>
      <c r="B100" s="123" t="str">
        <f>'RTR v2'!B102</f>
        <v>Andritz</v>
      </c>
      <c r="C100" s="123" t="str">
        <f>IF('RTR v2'!AV102="","",'RTR v2'!AV102)</f>
        <v/>
      </c>
      <c r="D100" s="124"/>
      <c r="E100" s="124"/>
      <c r="F100" s="124"/>
      <c r="G100" s="124"/>
      <c r="H100" s="124"/>
      <c r="I100" s="124"/>
      <c r="J100" s="124"/>
      <c r="K100" s="124"/>
      <c r="L100" s="126"/>
    </row>
    <row r="101" spans="1:12" hidden="1" x14ac:dyDescent="0.25">
      <c r="A101" s="123" t="str">
        <f>'RTR v2'!A103</f>
        <v>25-121</v>
      </c>
      <c r="B101" s="123" t="str">
        <f>'RTR v2'!B103</f>
        <v>Kimberly Clark</v>
      </c>
      <c r="C101" s="123" t="str">
        <f>IF('RTR v2'!AV103="","",'RTR v2'!AV103)</f>
        <v/>
      </c>
      <c r="D101" s="124"/>
      <c r="E101" s="124"/>
      <c r="F101" s="124"/>
      <c r="G101" s="124"/>
      <c r="H101" s="124"/>
      <c r="I101" s="124"/>
      <c r="J101" s="124"/>
      <c r="K101" s="124"/>
      <c r="L101" s="126"/>
    </row>
    <row r="102" spans="1:12" hidden="1" x14ac:dyDescent="0.25">
      <c r="A102" s="123" t="str">
        <f>'RTR v2'!A104</f>
        <v>25-122</v>
      </c>
      <c r="B102" s="123" t="str">
        <f>'RTR v2'!B104</f>
        <v>Kimberly Clark</v>
      </c>
      <c r="C102" s="123" t="str">
        <f>IF('RTR v2'!AV104="","",'RTR v2'!AV104)</f>
        <v/>
      </c>
      <c r="D102" s="124"/>
      <c r="E102" s="124"/>
      <c r="F102" s="124"/>
      <c r="G102" s="124"/>
      <c r="H102" s="124"/>
      <c r="I102" s="124"/>
      <c r="J102" s="124"/>
      <c r="K102" s="124"/>
      <c r="L102" s="126"/>
    </row>
    <row r="103" spans="1:12" hidden="1" x14ac:dyDescent="0.25">
      <c r="A103" s="123" t="str">
        <f>'RTR v2'!A105</f>
        <v>25-123</v>
      </c>
      <c r="B103" s="123" t="str">
        <f>'RTR v2'!B105</f>
        <v>Kimberly Clark</v>
      </c>
      <c r="C103" s="123" t="str">
        <f>IF('RTR v2'!AV105="","",'RTR v2'!AV105)</f>
        <v/>
      </c>
      <c r="D103" s="124"/>
      <c r="E103" s="124"/>
      <c r="F103" s="124"/>
      <c r="G103" s="124"/>
      <c r="H103" s="124"/>
      <c r="I103" s="124"/>
      <c r="J103" s="124"/>
      <c r="K103" s="124"/>
      <c r="L103" s="126"/>
    </row>
    <row r="104" spans="1:12" hidden="1" x14ac:dyDescent="0.25">
      <c r="A104" s="123" t="str">
        <f>'RTR v2'!A106</f>
        <v>25-124</v>
      </c>
      <c r="B104" s="123" t="str">
        <f>'RTR v2'!B106</f>
        <v>Vertiv</v>
      </c>
      <c r="C104" s="123" t="str">
        <f>IF('RTR v2'!AV106="","",'RTR v2'!AV106)</f>
        <v/>
      </c>
      <c r="D104" s="124"/>
      <c r="E104" s="124"/>
      <c r="F104" s="124"/>
      <c r="G104" s="124"/>
      <c r="H104" s="124"/>
      <c r="I104" s="124"/>
      <c r="J104" s="124"/>
      <c r="K104" s="124"/>
      <c r="L104" s="126"/>
    </row>
    <row r="105" spans="1:12" hidden="1" x14ac:dyDescent="0.25">
      <c r="A105" s="123" t="str">
        <f>'RTR v2'!A107</f>
        <v>25-356</v>
      </c>
      <c r="B105" s="123" t="str">
        <f>'RTR v2'!B107</f>
        <v>Synthomer</v>
      </c>
      <c r="C105" s="123" t="str">
        <f>IF('RTR v2'!AV107="","",'RTR v2'!AV107)</f>
        <v/>
      </c>
      <c r="D105" s="124"/>
      <c r="E105" s="124"/>
      <c r="F105" s="124"/>
      <c r="G105" s="124"/>
      <c r="H105" s="124"/>
      <c r="I105" s="124"/>
      <c r="J105" s="124"/>
      <c r="K105" s="124"/>
      <c r="L105" s="126"/>
    </row>
    <row r="106" spans="1:12" hidden="1" x14ac:dyDescent="0.25">
      <c r="A106" s="123" t="str">
        <f>'RTR v2'!A108</f>
        <v>25-357</v>
      </c>
      <c r="B106" s="123" t="str">
        <f>'RTR v2'!B108</f>
        <v>Sylvamo</v>
      </c>
      <c r="C106" s="123" t="str">
        <f>IF('RTR v2'!AV108="","",'RTR v2'!AV108)</f>
        <v/>
      </c>
      <c r="D106" s="124"/>
      <c r="E106" s="124"/>
      <c r="F106" s="124"/>
      <c r="G106" s="124"/>
      <c r="H106" s="124"/>
      <c r="I106" s="124"/>
      <c r="J106" s="124"/>
      <c r="K106" s="124"/>
      <c r="L106" s="126"/>
    </row>
    <row r="107" spans="1:12" hidden="1" x14ac:dyDescent="0.25">
      <c r="A107" s="123" t="str">
        <f>'RTR v2'!A109</f>
        <v>25-358</v>
      </c>
      <c r="B107" s="123" t="str">
        <f>'RTR v2'!B109</f>
        <v>Sylvamo</v>
      </c>
      <c r="C107" s="123" t="str">
        <f>IF('RTR v2'!AV109="","",'RTR v2'!AV109)</f>
        <v/>
      </c>
      <c r="D107" s="124"/>
      <c r="E107" s="124"/>
      <c r="F107" s="124"/>
      <c r="G107" s="124"/>
      <c r="H107" s="124"/>
      <c r="I107" s="124"/>
      <c r="J107" s="124"/>
      <c r="K107" s="124"/>
      <c r="L107" s="126"/>
    </row>
    <row r="108" spans="1:12" hidden="1" x14ac:dyDescent="0.25">
      <c r="A108" s="123" t="str">
        <f>'RTR v2'!A110</f>
        <v>26-002</v>
      </c>
      <c r="B108" s="123" t="str">
        <f>'RTR v2'!B110</f>
        <v>SNF</v>
      </c>
      <c r="C108" s="123" t="str">
        <f>IF('RTR v2'!AV110="","",'RTR v2'!AV110)</f>
        <v/>
      </c>
      <c r="D108" s="124"/>
      <c r="E108" s="124"/>
      <c r="F108" s="124"/>
      <c r="G108" s="124"/>
      <c r="H108" s="124"/>
      <c r="I108" s="124"/>
      <c r="J108" s="124"/>
      <c r="K108" s="124"/>
      <c r="L108" s="126"/>
    </row>
    <row r="109" spans="1:12" hidden="1" x14ac:dyDescent="0.25">
      <c r="A109" s="123" t="str">
        <f>'RTR v2'!A111</f>
        <v>26-003</v>
      </c>
      <c r="B109" s="123" t="str">
        <f>'RTR v2'!B111</f>
        <v>SNF</v>
      </c>
      <c r="C109" s="123" t="str">
        <f>IF('RTR v2'!AV111="","",'RTR v2'!AV111)</f>
        <v/>
      </c>
      <c r="D109" s="124"/>
      <c r="E109" s="124"/>
      <c r="F109" s="124"/>
      <c r="G109" s="124"/>
      <c r="H109" s="124"/>
      <c r="I109" s="124"/>
      <c r="J109" s="124"/>
      <c r="K109" s="124"/>
      <c r="L109" s="126"/>
    </row>
    <row r="110" spans="1:12" hidden="1" x14ac:dyDescent="0.25">
      <c r="A110" s="123" t="str">
        <f>'RTR v2'!A112</f>
        <v>26-004</v>
      </c>
      <c r="B110" s="123" t="str">
        <f>'RTR v2'!B112</f>
        <v>SNF</v>
      </c>
      <c r="C110" s="123" t="str">
        <f>IF('RTR v2'!AV112="","",'RTR v2'!AV112)</f>
        <v/>
      </c>
      <c r="D110" s="124"/>
      <c r="E110" s="124"/>
      <c r="F110" s="124"/>
      <c r="G110" s="124"/>
      <c r="H110" s="124"/>
      <c r="I110" s="124"/>
      <c r="J110" s="124"/>
      <c r="K110" s="124"/>
      <c r="L110" s="126"/>
    </row>
    <row r="111" spans="1:12" hidden="1" x14ac:dyDescent="0.25">
      <c r="A111" s="123" t="str">
        <f>'RTR v2'!A113</f>
        <v>26-005</v>
      </c>
      <c r="B111" s="123" t="str">
        <f>'RTR v2'!B113</f>
        <v>US Sugar</v>
      </c>
      <c r="C111" s="123" t="str">
        <f>IF('RTR v2'!AV113="","",'RTR v2'!AV113)</f>
        <v/>
      </c>
      <c r="D111" s="124"/>
      <c r="E111" s="124"/>
      <c r="F111" s="124"/>
      <c r="G111" s="124"/>
      <c r="H111" s="124"/>
      <c r="I111" s="124"/>
      <c r="J111" s="124"/>
      <c r="K111" s="124"/>
      <c r="L111" s="126"/>
    </row>
    <row r="112" spans="1:12" hidden="1" x14ac:dyDescent="0.25">
      <c r="A112" s="123" t="str">
        <f>'RTR v2'!A114</f>
        <v>26-014</v>
      </c>
      <c r="B112" s="123" t="str">
        <f>'RTR v2'!B114</f>
        <v>SNF</v>
      </c>
      <c r="C112" s="123" t="str">
        <f>IF('RTR v2'!AV114="","",'RTR v2'!AV114)</f>
        <v/>
      </c>
      <c r="D112" s="124"/>
      <c r="E112" s="124"/>
      <c r="F112" s="124"/>
      <c r="G112" s="124"/>
      <c r="H112" s="124"/>
      <c r="I112" s="124"/>
      <c r="J112" s="124"/>
      <c r="K112" s="124"/>
      <c r="L112" s="126"/>
    </row>
    <row r="113" spans="1:12" hidden="1" x14ac:dyDescent="0.25">
      <c r="A113" s="123" t="str">
        <f>'RTR v2'!A115</f>
        <v>26-015</v>
      </c>
      <c r="B113" s="123" t="str">
        <f>'RTR v2'!B115</f>
        <v>SNF</v>
      </c>
      <c r="C113" s="123" t="str">
        <f>IF('RTR v2'!AV115="","",'RTR v2'!AV115)</f>
        <v/>
      </c>
      <c r="D113" s="124"/>
      <c r="E113" s="124"/>
      <c r="F113" s="124"/>
      <c r="G113" s="124"/>
      <c r="H113" s="124"/>
      <c r="I113" s="124"/>
      <c r="J113" s="124"/>
      <c r="K113" s="124"/>
      <c r="L113" s="126"/>
    </row>
    <row r="114" spans="1:12" hidden="1" x14ac:dyDescent="0.25">
      <c r="A114" s="123" t="str">
        <f>'RTR v2'!A116</f>
        <v>26-016</v>
      </c>
      <c r="B114" s="123" t="str">
        <f>'RTR v2'!B116</f>
        <v>SNF</v>
      </c>
      <c r="C114" s="123" t="str">
        <f>IF('RTR v2'!AV116="","",'RTR v2'!AV116)</f>
        <v/>
      </c>
      <c r="D114" s="124"/>
      <c r="E114" s="124"/>
      <c r="F114" s="124"/>
      <c r="G114" s="124"/>
      <c r="H114" s="124"/>
      <c r="I114" s="124"/>
      <c r="J114" s="124"/>
      <c r="K114" s="124"/>
      <c r="L114" s="126"/>
    </row>
    <row r="115" spans="1:12" hidden="1" x14ac:dyDescent="0.25">
      <c r="A115" s="123" t="str">
        <f>'RTR v2'!A117</f>
        <v>26-017</v>
      </c>
      <c r="B115" s="123" t="str">
        <f>'RTR v2'!B117</f>
        <v>SNF</v>
      </c>
      <c r="C115" s="123" t="str">
        <f>IF('RTR v2'!AV117="","",'RTR v2'!AV117)</f>
        <v/>
      </c>
      <c r="D115" s="124"/>
      <c r="E115" s="124"/>
      <c r="F115" s="124"/>
      <c r="G115" s="124"/>
      <c r="H115" s="124"/>
      <c r="I115" s="124"/>
      <c r="J115" s="124"/>
      <c r="K115" s="124"/>
      <c r="L115" s="126"/>
    </row>
    <row r="116" spans="1:12" hidden="1" x14ac:dyDescent="0.25">
      <c r="A116" s="123" t="str">
        <f>'RTR v2'!A118</f>
        <v>26-018</v>
      </c>
      <c r="B116" s="123" t="str">
        <f>'RTR v2'!B118</f>
        <v>SNF</v>
      </c>
      <c r="C116" s="123" t="str">
        <f>IF('RTR v2'!AV118="","",'RTR v2'!AV118)</f>
        <v/>
      </c>
      <c r="D116" s="124"/>
      <c r="E116" s="124"/>
      <c r="F116" s="124"/>
      <c r="G116" s="124"/>
      <c r="H116" s="124"/>
      <c r="I116" s="124"/>
      <c r="J116" s="124"/>
      <c r="K116" s="124"/>
      <c r="L116" s="126"/>
    </row>
    <row r="117" spans="1:12" hidden="1" x14ac:dyDescent="0.25">
      <c r="A117" s="123" t="str">
        <f>'RTR v2'!A119</f>
        <v>26-020</v>
      </c>
      <c r="B117" s="123" t="str">
        <f>'RTR v2'!B119</f>
        <v>US Sugar</v>
      </c>
      <c r="C117" s="123" t="str">
        <f>IF('RTR v2'!AV119="","",'RTR v2'!AV119)</f>
        <v/>
      </c>
      <c r="D117" s="124"/>
      <c r="E117" s="124"/>
      <c r="F117" s="124"/>
      <c r="G117" s="124"/>
      <c r="H117" s="124"/>
      <c r="I117" s="124"/>
      <c r="J117" s="124"/>
      <c r="K117" s="124"/>
      <c r="L117" s="126"/>
    </row>
    <row r="118" spans="1:12" hidden="1" x14ac:dyDescent="0.25">
      <c r="A118" s="123" t="str">
        <f>'RTR v2'!A120</f>
        <v>26-021</v>
      </c>
      <c r="B118" s="123" t="str">
        <f>'RTR v2'!B120</f>
        <v>US Sugar</v>
      </c>
      <c r="C118" s="123" t="str">
        <f>IF('RTR v2'!AV120="","",'RTR v2'!AV120)</f>
        <v/>
      </c>
      <c r="D118" s="124"/>
      <c r="E118" s="124"/>
      <c r="F118" s="124"/>
      <c r="G118" s="124"/>
      <c r="H118" s="124"/>
      <c r="I118" s="124"/>
      <c r="J118" s="124"/>
      <c r="K118" s="124"/>
      <c r="L118" s="126"/>
    </row>
    <row r="119" spans="1:12" hidden="1" x14ac:dyDescent="0.25">
      <c r="A119" s="123" t="str">
        <f>'RTR v2'!A121</f>
        <v>26-022</v>
      </c>
      <c r="B119" s="123" t="str">
        <f>'RTR v2'!B121</f>
        <v>Andritz</v>
      </c>
      <c r="C119" s="123" t="str">
        <f>IF('RTR v2'!AV121="","",'RTR v2'!AV121)</f>
        <v/>
      </c>
      <c r="D119" s="124"/>
      <c r="E119" s="124"/>
      <c r="F119" s="124"/>
      <c r="G119" s="124"/>
      <c r="H119" s="124"/>
      <c r="I119" s="124"/>
      <c r="J119" s="124"/>
      <c r="K119" s="124"/>
      <c r="L119" s="126"/>
    </row>
    <row r="120" spans="1:12" hidden="1" x14ac:dyDescent="0.25">
      <c r="A120" s="123" t="str">
        <f>'RTR v2'!A122</f>
        <v>26-024</v>
      </c>
      <c r="B120" s="123" t="str">
        <f>'RTR v2'!B122</f>
        <v>Polynt</v>
      </c>
      <c r="C120" s="123" t="str">
        <f>IF('RTR v2'!AV122="","",'RTR v2'!AV122)</f>
        <v/>
      </c>
      <c r="D120" s="124"/>
      <c r="E120" s="124"/>
      <c r="F120" s="124"/>
      <c r="G120" s="124"/>
      <c r="H120" s="124"/>
      <c r="I120" s="124"/>
      <c r="J120" s="124"/>
      <c r="K120" s="124"/>
      <c r="L120" s="126"/>
    </row>
    <row r="121" spans="1:12" hidden="1" x14ac:dyDescent="0.25">
      <c r="A121" s="123" t="str">
        <f>'RTR v2'!A123</f>
        <v>26-025</v>
      </c>
      <c r="B121" s="123" t="str">
        <f>'RTR v2'!B123</f>
        <v>Blake &amp; Pendleton</v>
      </c>
      <c r="C121" s="123" t="str">
        <f>IF('RTR v2'!AV123="","",'RTR v2'!AV123)</f>
        <v/>
      </c>
      <c r="D121" s="124"/>
      <c r="E121" s="124"/>
      <c r="F121" s="124"/>
      <c r="G121" s="124"/>
      <c r="H121" s="124"/>
      <c r="I121" s="124"/>
      <c r="J121" s="124"/>
      <c r="K121" s="124"/>
      <c r="L121" s="126"/>
    </row>
    <row r="122" spans="1:12" x14ac:dyDescent="0.25">
      <c r="A122" s="123" t="str">
        <f>'RTR v2'!A124</f>
        <v>26-026</v>
      </c>
      <c r="B122" s="123" t="str">
        <f>'RTR v2'!B124</f>
        <v>Andritz</v>
      </c>
      <c r="C122" s="123">
        <f>IF('RTR v2'!AV124="","",'RTR v2'!AV124)</f>
        <v>46118</v>
      </c>
      <c r="D122" s="124" t="s">
        <v>377</v>
      </c>
      <c r="E122" s="124" t="s">
        <v>377</v>
      </c>
      <c r="F122" s="124" t="s">
        <v>377</v>
      </c>
      <c r="G122" s="124" t="s">
        <v>377</v>
      </c>
      <c r="H122" s="124" t="s">
        <v>377</v>
      </c>
      <c r="I122" s="124" t="s">
        <v>377</v>
      </c>
      <c r="J122" s="124" t="s">
        <v>377</v>
      </c>
      <c r="K122" s="124" t="s">
        <v>377</v>
      </c>
      <c r="L122" s="126" t="s">
        <v>446</v>
      </c>
    </row>
    <row r="123" spans="1:12" hidden="1" x14ac:dyDescent="0.25">
      <c r="A123" s="123" t="str">
        <f>'RTR v2'!A125</f>
        <v>26-027</v>
      </c>
      <c r="B123" s="123" t="str">
        <f>'RTR v2'!B125</f>
        <v>Kemira</v>
      </c>
      <c r="C123" s="123" t="str">
        <f>IF('RTR v2'!AV125="","",'RTR v2'!AV125)</f>
        <v>n/a</v>
      </c>
      <c r="D123" s="124"/>
      <c r="E123" s="124"/>
      <c r="F123" s="124"/>
      <c r="G123" s="124"/>
      <c r="H123" s="124"/>
      <c r="I123" s="124"/>
      <c r="J123" s="124"/>
      <c r="K123" s="124"/>
      <c r="L123" s="126"/>
    </row>
    <row r="124" spans="1:12" hidden="1" x14ac:dyDescent="0.25">
      <c r="A124" s="123" t="str">
        <f>'RTR v2'!A126</f>
        <v>26-028</v>
      </c>
      <c r="B124" s="123" t="str">
        <f>'RTR v2'!B126</f>
        <v>Kemira</v>
      </c>
      <c r="C124" s="123" t="str">
        <f>IF('RTR v2'!AV126="","",'RTR v2'!AV126)</f>
        <v>n/a</v>
      </c>
      <c r="D124" s="124"/>
      <c r="E124" s="124"/>
      <c r="F124" s="124"/>
      <c r="G124" s="124"/>
      <c r="H124" s="124"/>
      <c r="I124" s="124"/>
      <c r="J124" s="124"/>
      <c r="K124" s="124"/>
      <c r="L124" s="126"/>
    </row>
    <row r="125" spans="1:12" hidden="1" x14ac:dyDescent="0.25">
      <c r="A125" s="123" t="str">
        <f>'RTR v2'!A127</f>
        <v>26-030</v>
      </c>
      <c r="B125" s="123" t="str">
        <f>'RTR v2'!B127</f>
        <v>Symrise</v>
      </c>
      <c r="C125" s="123" t="str">
        <f>IF('RTR v2'!AV127="","",'RTR v2'!AV127)</f>
        <v/>
      </c>
      <c r="D125" s="124"/>
      <c r="E125" s="124"/>
      <c r="F125" s="124"/>
      <c r="G125" s="124"/>
      <c r="H125" s="124"/>
      <c r="I125" s="124"/>
      <c r="J125" s="124"/>
      <c r="K125" s="124"/>
      <c r="L125" s="126"/>
    </row>
    <row r="126" spans="1:12" hidden="1" x14ac:dyDescent="0.25">
      <c r="A126" s="123" t="str">
        <f>'RTR v2'!A128</f>
        <v>26-031</v>
      </c>
      <c r="B126" s="123" t="str">
        <f>'RTR v2'!B128</f>
        <v>Sysenqo</v>
      </c>
      <c r="C126" s="123" t="str">
        <f>IF('RTR v2'!AV128="","",'RTR v2'!AV128)</f>
        <v/>
      </c>
      <c r="D126" s="124"/>
      <c r="E126" s="124"/>
      <c r="F126" s="124"/>
      <c r="G126" s="124"/>
      <c r="H126" s="124"/>
      <c r="I126" s="124"/>
      <c r="J126" s="124"/>
      <c r="K126" s="124"/>
      <c r="L126" s="126"/>
    </row>
    <row r="127" spans="1:12" hidden="1" x14ac:dyDescent="0.25">
      <c r="A127" s="123" t="str">
        <f>'RTR v2'!A129</f>
        <v>26-032</v>
      </c>
      <c r="B127" s="123" t="str">
        <f>'RTR v2'!B129</f>
        <v>Kimberly-Clark</v>
      </c>
      <c r="C127" s="123" t="str">
        <f>IF('RTR v2'!AV129="","",'RTR v2'!AV129)</f>
        <v/>
      </c>
      <c r="D127" s="124"/>
      <c r="E127" s="124"/>
      <c r="F127" s="124"/>
      <c r="G127" s="124"/>
      <c r="H127" s="124"/>
      <c r="I127" s="124"/>
      <c r="J127" s="124"/>
      <c r="K127" s="124"/>
      <c r="L127" s="126"/>
    </row>
    <row r="128" spans="1:12" hidden="1" x14ac:dyDescent="0.25">
      <c r="A128" s="123" t="str">
        <f>'RTR v2'!A130</f>
        <v>26-033</v>
      </c>
      <c r="B128" s="123" t="str">
        <f>'RTR v2'!B130</f>
        <v>Kimberly-Clark</v>
      </c>
      <c r="C128" s="123" t="str">
        <f>IF('RTR v2'!AV130="","",'RTR v2'!AV130)</f>
        <v/>
      </c>
      <c r="D128" s="124"/>
      <c r="E128" s="124"/>
      <c r="F128" s="124"/>
      <c r="G128" s="124"/>
      <c r="H128" s="124"/>
      <c r="I128" s="124"/>
      <c r="J128" s="124"/>
      <c r="K128" s="124"/>
      <c r="L128" s="126"/>
    </row>
    <row r="129" spans="1:12" hidden="1" x14ac:dyDescent="0.25">
      <c r="A129" s="123">
        <f>'RTR v2'!A131</f>
        <v>0</v>
      </c>
      <c r="B129" s="123" t="str">
        <f>'RTR v2'!B131</f>
        <v/>
      </c>
      <c r="C129" s="123" t="str">
        <f>IF('RTR v2'!AV131="","",'RTR v2'!AV131)</f>
        <v/>
      </c>
      <c r="D129" s="124"/>
      <c r="E129" s="124"/>
      <c r="F129" s="124"/>
      <c r="G129" s="124"/>
      <c r="H129" s="124"/>
      <c r="I129" s="124"/>
      <c r="J129" s="124"/>
      <c r="K129" s="124"/>
      <c r="L129" s="126"/>
    </row>
    <row r="130" spans="1:12" hidden="1" x14ac:dyDescent="0.25">
      <c r="A130" s="123">
        <f>'RTR v2'!A132</f>
        <v>0</v>
      </c>
      <c r="B130" s="123" t="str">
        <f>'RTR v2'!B132</f>
        <v/>
      </c>
      <c r="C130" s="123" t="str">
        <f>IF('RTR v2'!AV132="","",'RTR v2'!AV132)</f>
        <v/>
      </c>
      <c r="D130" s="124"/>
      <c r="E130" s="124"/>
      <c r="F130" s="124"/>
      <c r="G130" s="124"/>
      <c r="H130" s="124"/>
      <c r="I130" s="124"/>
      <c r="J130" s="124"/>
      <c r="K130" s="124"/>
      <c r="L130" s="126"/>
    </row>
    <row r="131" spans="1:12" hidden="1" x14ac:dyDescent="0.25">
      <c r="A131" s="123">
        <f>'RTR v2'!A133</f>
        <v>0</v>
      </c>
      <c r="B131" s="123" t="str">
        <f>'RTR v2'!B133</f>
        <v/>
      </c>
      <c r="C131" s="123" t="str">
        <f>IF('RTR v2'!AV133="","",'RTR v2'!AV133)</f>
        <v/>
      </c>
      <c r="D131" s="124"/>
      <c r="E131" s="124"/>
      <c r="F131" s="124"/>
      <c r="G131" s="124"/>
      <c r="H131" s="124"/>
      <c r="I131" s="124"/>
      <c r="J131" s="124"/>
      <c r="K131" s="124"/>
      <c r="L131" s="126"/>
    </row>
    <row r="132" spans="1:12" hidden="1" x14ac:dyDescent="0.25">
      <c r="A132" s="123">
        <f>'RTR v2'!A134</f>
        <v>0</v>
      </c>
      <c r="B132" s="123" t="str">
        <f>'RTR v2'!B134</f>
        <v/>
      </c>
      <c r="C132" s="123" t="str">
        <f>IF('RTR v2'!AV134="","",'RTR v2'!AV134)</f>
        <v/>
      </c>
      <c r="D132" s="124"/>
      <c r="E132" s="124"/>
      <c r="F132" s="124"/>
      <c r="G132" s="124"/>
      <c r="H132" s="124"/>
      <c r="I132" s="124"/>
      <c r="J132" s="124"/>
      <c r="K132" s="124"/>
      <c r="L132" s="126"/>
    </row>
    <row r="133" spans="1:12" hidden="1" x14ac:dyDescent="0.25">
      <c r="A133" s="123">
        <f>'RTR v2'!A135</f>
        <v>0</v>
      </c>
      <c r="B133" s="123" t="str">
        <f>'RTR v2'!B135</f>
        <v/>
      </c>
      <c r="C133" s="123" t="str">
        <f>IF('RTR v2'!AV135="","",'RTR v2'!AV135)</f>
        <v/>
      </c>
      <c r="D133" s="124"/>
      <c r="E133" s="124"/>
      <c r="F133" s="124"/>
      <c r="G133" s="124"/>
      <c r="H133" s="124"/>
      <c r="I133" s="124"/>
      <c r="J133" s="124"/>
      <c r="K133" s="124"/>
      <c r="L133" s="126"/>
    </row>
    <row r="134" spans="1:12" hidden="1" x14ac:dyDescent="0.25">
      <c r="A134" s="123">
        <f>'RTR v2'!A136</f>
        <v>0</v>
      </c>
      <c r="B134" s="123" t="str">
        <f>'RTR v2'!B136</f>
        <v/>
      </c>
      <c r="C134" s="123" t="str">
        <f>IF('RTR v2'!AV136="","",'RTR v2'!AV136)</f>
        <v/>
      </c>
      <c r="D134" s="124"/>
      <c r="E134" s="124"/>
      <c r="F134" s="124"/>
      <c r="G134" s="124"/>
      <c r="H134" s="124"/>
      <c r="I134" s="124"/>
      <c r="J134" s="124"/>
      <c r="K134" s="124"/>
      <c r="L134" s="126"/>
    </row>
    <row r="135" spans="1:12" hidden="1" x14ac:dyDescent="0.25">
      <c r="A135" s="123">
        <f>'RTR v2'!A137</f>
        <v>0</v>
      </c>
      <c r="B135" s="123" t="str">
        <f>'RTR v2'!B137</f>
        <v/>
      </c>
      <c r="C135" s="123" t="str">
        <f>IF('RTR v2'!AV137="","",'RTR v2'!AV137)</f>
        <v/>
      </c>
      <c r="D135" s="124"/>
      <c r="E135" s="124"/>
      <c r="F135" s="124"/>
      <c r="G135" s="124"/>
      <c r="H135" s="124"/>
      <c r="I135" s="124"/>
      <c r="J135" s="124"/>
      <c r="K135" s="124"/>
      <c r="L135" s="126"/>
    </row>
    <row r="136" spans="1:12" hidden="1" x14ac:dyDescent="0.25">
      <c r="A136" s="123">
        <f>'RTR v2'!A138</f>
        <v>0</v>
      </c>
      <c r="B136" s="123" t="str">
        <f>'RTR v2'!B138</f>
        <v/>
      </c>
      <c r="C136" s="123" t="str">
        <f>IF('RTR v2'!AV138="","",'RTR v2'!AV138)</f>
        <v/>
      </c>
      <c r="D136" s="124"/>
      <c r="E136" s="124"/>
      <c r="F136" s="124"/>
      <c r="G136" s="124"/>
      <c r="H136" s="124"/>
      <c r="I136" s="124"/>
      <c r="J136" s="124"/>
      <c r="K136" s="124"/>
      <c r="L136" s="126"/>
    </row>
    <row r="137" spans="1:12" hidden="1" x14ac:dyDescent="0.25">
      <c r="A137" s="123">
        <f>'RTR v2'!A139</f>
        <v>0</v>
      </c>
      <c r="B137" s="123" t="str">
        <f>'RTR v2'!B139</f>
        <v/>
      </c>
      <c r="C137" s="123" t="str">
        <f>IF('RTR v2'!AV139="","",'RTR v2'!AV139)</f>
        <v/>
      </c>
      <c r="D137" s="124"/>
      <c r="E137" s="124"/>
      <c r="F137" s="124"/>
      <c r="G137" s="124"/>
      <c r="H137" s="124"/>
      <c r="I137" s="124"/>
      <c r="J137" s="124"/>
      <c r="K137" s="124"/>
      <c r="L137" s="126"/>
    </row>
    <row r="138" spans="1:12" hidden="1" x14ac:dyDescent="0.25">
      <c r="A138" s="123">
        <f>'RTR v2'!A140</f>
        <v>0</v>
      </c>
      <c r="B138" s="123" t="str">
        <f>'RTR v2'!B140</f>
        <v/>
      </c>
      <c r="C138" s="123" t="str">
        <f>IF('RTR v2'!AV140="","",'RTR v2'!AV140)</f>
        <v/>
      </c>
      <c r="D138" s="124"/>
      <c r="E138" s="124"/>
      <c r="F138" s="124"/>
      <c r="G138" s="124"/>
      <c r="H138" s="124"/>
      <c r="I138" s="124"/>
      <c r="J138" s="124"/>
      <c r="K138" s="124"/>
      <c r="L138" s="126"/>
    </row>
    <row r="139" spans="1:12" hidden="1" x14ac:dyDescent="0.25">
      <c r="A139" s="123">
        <f>'RTR v2'!A141</f>
        <v>0</v>
      </c>
      <c r="B139" s="123" t="str">
        <f>'RTR v2'!B141</f>
        <v/>
      </c>
      <c r="C139" s="123" t="str">
        <f>IF('RTR v2'!AV141="","",'RTR v2'!AV141)</f>
        <v/>
      </c>
      <c r="D139" s="124"/>
      <c r="E139" s="124"/>
      <c r="F139" s="124"/>
      <c r="G139" s="124"/>
      <c r="H139" s="124"/>
      <c r="I139" s="124"/>
      <c r="J139" s="124"/>
      <c r="K139" s="124"/>
      <c r="L139" s="126"/>
    </row>
    <row r="140" spans="1:12" hidden="1" x14ac:dyDescent="0.25">
      <c r="A140" s="123">
        <f>'RTR v2'!A142</f>
        <v>0</v>
      </c>
      <c r="B140" s="123" t="str">
        <f>'RTR v2'!B142</f>
        <v/>
      </c>
      <c r="C140" s="123" t="str">
        <f>IF('RTR v2'!AV142="","",'RTR v2'!AV142)</f>
        <v/>
      </c>
      <c r="D140" s="124"/>
      <c r="E140" s="124"/>
      <c r="F140" s="124"/>
      <c r="G140" s="124"/>
      <c r="H140" s="124"/>
      <c r="I140" s="124"/>
      <c r="J140" s="124"/>
      <c r="K140" s="124"/>
      <c r="L140" s="126"/>
    </row>
    <row r="141" spans="1:12" hidden="1" x14ac:dyDescent="0.25">
      <c r="A141" s="123">
        <f>'RTR v2'!A143</f>
        <v>0</v>
      </c>
      <c r="B141" s="123" t="str">
        <f>'RTR v2'!B143</f>
        <v/>
      </c>
      <c r="C141" s="123" t="str">
        <f>IF('RTR v2'!AV143="","",'RTR v2'!AV143)</f>
        <v/>
      </c>
      <c r="D141" s="124"/>
      <c r="E141" s="124"/>
      <c r="F141" s="124"/>
      <c r="G141" s="124"/>
      <c r="H141" s="124"/>
      <c r="I141" s="124"/>
      <c r="J141" s="124"/>
      <c r="K141" s="124"/>
      <c r="L141" s="126"/>
    </row>
    <row r="142" spans="1:12" hidden="1" x14ac:dyDescent="0.25">
      <c r="A142" s="123">
        <f>'RTR v2'!A144</f>
        <v>0</v>
      </c>
      <c r="B142" s="123" t="str">
        <f>'RTR v2'!B144</f>
        <v/>
      </c>
      <c r="C142" s="123" t="str">
        <f>IF('RTR v2'!AV144="","",'RTR v2'!AV144)</f>
        <v/>
      </c>
      <c r="D142" s="124"/>
      <c r="E142" s="124"/>
      <c r="F142" s="124"/>
      <c r="G142" s="124"/>
      <c r="H142" s="124"/>
      <c r="I142" s="124"/>
      <c r="J142" s="124"/>
      <c r="K142" s="124"/>
      <c r="L142" s="126"/>
    </row>
    <row r="143" spans="1:12" hidden="1" x14ac:dyDescent="0.25">
      <c r="A143" s="123">
        <f>'RTR v2'!A145</f>
        <v>0</v>
      </c>
      <c r="B143" s="123" t="str">
        <f>'RTR v2'!B145</f>
        <v/>
      </c>
      <c r="C143" s="123" t="str">
        <f>IF('RTR v2'!AV145="","",'RTR v2'!AV145)</f>
        <v/>
      </c>
      <c r="D143" s="124"/>
      <c r="E143" s="124"/>
      <c r="F143" s="124"/>
      <c r="G143" s="124"/>
      <c r="H143" s="124"/>
      <c r="I143" s="124"/>
      <c r="J143" s="124"/>
      <c r="K143" s="124"/>
      <c r="L143" s="126"/>
    </row>
    <row r="144" spans="1:12" hidden="1" x14ac:dyDescent="0.25">
      <c r="A144" s="123">
        <f>'RTR v2'!A146</f>
        <v>0</v>
      </c>
      <c r="B144" s="123" t="str">
        <f>'RTR v2'!B146</f>
        <v/>
      </c>
      <c r="C144" s="123" t="str">
        <f>IF('RTR v2'!AV146="","",'RTR v2'!AV146)</f>
        <v/>
      </c>
      <c r="D144" s="124"/>
      <c r="E144" s="124"/>
      <c r="F144" s="124"/>
      <c r="G144" s="124"/>
      <c r="H144" s="124"/>
      <c r="I144" s="124"/>
      <c r="J144" s="124"/>
      <c r="K144" s="124"/>
      <c r="L144" s="126"/>
    </row>
    <row r="145" spans="1:12" hidden="1" x14ac:dyDescent="0.25">
      <c r="A145" s="123">
        <f>'RTR v2'!A147</f>
        <v>0</v>
      </c>
      <c r="B145" s="123" t="str">
        <f>'RTR v2'!B147</f>
        <v/>
      </c>
      <c r="C145" s="123" t="str">
        <f>IF('RTR v2'!AV147="","",'RTR v2'!AV147)</f>
        <v/>
      </c>
      <c r="D145" s="124"/>
      <c r="E145" s="124"/>
      <c r="F145" s="124"/>
      <c r="G145" s="124"/>
      <c r="H145" s="124"/>
      <c r="I145" s="124"/>
      <c r="J145" s="124"/>
      <c r="K145" s="124"/>
      <c r="L145" s="126"/>
    </row>
    <row r="146" spans="1:12" hidden="1" x14ac:dyDescent="0.25">
      <c r="A146" s="123">
        <f>'RTR v2'!A148</f>
        <v>0</v>
      </c>
      <c r="B146" s="123" t="str">
        <f>'RTR v2'!B148</f>
        <v/>
      </c>
      <c r="C146" s="123" t="str">
        <f>IF('RTR v2'!AV148="","",'RTR v2'!AV148)</f>
        <v/>
      </c>
      <c r="D146" s="124"/>
      <c r="E146" s="124"/>
      <c r="F146" s="124"/>
      <c r="G146" s="124"/>
      <c r="H146" s="124"/>
      <c r="I146" s="124"/>
      <c r="J146" s="124"/>
      <c r="K146" s="124"/>
      <c r="L146" s="126"/>
    </row>
    <row r="147" spans="1:12" hidden="1" x14ac:dyDescent="0.25">
      <c r="A147" s="123">
        <f>'RTR v2'!A149</f>
        <v>0</v>
      </c>
      <c r="B147" s="123" t="str">
        <f>'RTR v2'!B149</f>
        <v/>
      </c>
      <c r="C147" s="123" t="str">
        <f>IF('RTR v2'!AV149="","",'RTR v2'!AV149)</f>
        <v/>
      </c>
      <c r="D147" s="124"/>
      <c r="E147" s="124"/>
      <c r="F147" s="124"/>
      <c r="G147" s="124"/>
      <c r="H147" s="124"/>
      <c r="I147" s="124"/>
      <c r="J147" s="124"/>
      <c r="K147" s="124"/>
      <c r="L147" s="126"/>
    </row>
    <row r="148" spans="1:12" hidden="1" x14ac:dyDescent="0.25">
      <c r="A148" s="123">
        <f>'RTR v2'!A150</f>
        <v>0</v>
      </c>
      <c r="B148" s="123" t="str">
        <f>'RTR v2'!B150</f>
        <v/>
      </c>
      <c r="C148" s="123" t="str">
        <f>IF('RTR v2'!AV150="","",'RTR v2'!AV150)</f>
        <v/>
      </c>
      <c r="D148" s="124"/>
      <c r="E148" s="124"/>
      <c r="F148" s="124"/>
      <c r="G148" s="124"/>
      <c r="H148" s="124"/>
      <c r="I148" s="124"/>
      <c r="J148" s="124"/>
      <c r="K148" s="124"/>
      <c r="L148" s="126"/>
    </row>
    <row r="149" spans="1:12" hidden="1" x14ac:dyDescent="0.25">
      <c r="A149" s="123">
        <f>'RTR v2'!A151</f>
        <v>0</v>
      </c>
      <c r="B149" s="123" t="str">
        <f>'RTR v2'!B151</f>
        <v/>
      </c>
      <c r="C149" s="123" t="str">
        <f>IF('RTR v2'!AV151="","",'RTR v2'!AV151)</f>
        <v/>
      </c>
      <c r="D149" s="124"/>
      <c r="E149" s="124"/>
      <c r="F149" s="124"/>
      <c r="G149" s="124"/>
      <c r="H149" s="124"/>
      <c r="I149" s="124"/>
      <c r="J149" s="124"/>
      <c r="K149" s="124"/>
      <c r="L149" s="126"/>
    </row>
    <row r="150" spans="1:12" hidden="1" x14ac:dyDescent="0.25">
      <c r="A150" s="123">
        <f>'RTR v2'!A152</f>
        <v>0</v>
      </c>
      <c r="B150" s="123" t="str">
        <f>'RTR v2'!B152</f>
        <v/>
      </c>
      <c r="C150" s="123" t="str">
        <f>IF('RTR v2'!AV152="","",'RTR v2'!AV152)</f>
        <v/>
      </c>
      <c r="D150" s="124"/>
      <c r="E150" s="124"/>
      <c r="F150" s="124"/>
      <c r="G150" s="124"/>
      <c r="H150" s="124"/>
      <c r="I150" s="124"/>
      <c r="J150" s="124"/>
      <c r="K150" s="124"/>
      <c r="L150" s="126"/>
    </row>
    <row r="151" spans="1:12" hidden="1" x14ac:dyDescent="0.25">
      <c r="A151" s="123">
        <f>'RTR v2'!A153</f>
        <v>0</v>
      </c>
      <c r="B151" s="123" t="str">
        <f>'RTR v2'!B153</f>
        <v/>
      </c>
      <c r="C151" s="123" t="str">
        <f>IF('RTR v2'!AV153="","",'RTR v2'!AV153)</f>
        <v/>
      </c>
      <c r="D151" s="124"/>
      <c r="E151" s="124"/>
      <c r="F151" s="124"/>
      <c r="G151" s="124"/>
      <c r="H151" s="124"/>
      <c r="I151" s="124"/>
      <c r="J151" s="124"/>
      <c r="K151" s="124"/>
      <c r="L151" s="126"/>
    </row>
    <row r="152" spans="1:12" hidden="1" x14ac:dyDescent="0.25">
      <c r="A152" s="123">
        <f>'RTR v2'!A154</f>
        <v>0</v>
      </c>
      <c r="B152" s="123" t="str">
        <f>'RTR v2'!B154</f>
        <v/>
      </c>
      <c r="C152" s="123" t="str">
        <f>IF('RTR v2'!AV154="","",'RTR v2'!AV154)</f>
        <v/>
      </c>
      <c r="D152" s="124"/>
      <c r="E152" s="124"/>
      <c r="F152" s="124"/>
      <c r="G152" s="124"/>
      <c r="H152" s="124"/>
      <c r="I152" s="124"/>
      <c r="J152" s="124"/>
      <c r="K152" s="124"/>
      <c r="L152" s="126"/>
    </row>
    <row r="153" spans="1:12" hidden="1" x14ac:dyDescent="0.25">
      <c r="A153" s="123">
        <f>'RTR v2'!A155</f>
        <v>0</v>
      </c>
      <c r="B153" s="123" t="str">
        <f>'RTR v2'!B155</f>
        <v/>
      </c>
      <c r="C153" s="123" t="str">
        <f>IF('RTR v2'!AV155="","",'RTR v2'!AV155)</f>
        <v/>
      </c>
      <c r="D153" s="124"/>
      <c r="E153" s="124"/>
      <c r="F153" s="124"/>
      <c r="G153" s="124"/>
      <c r="H153" s="124"/>
      <c r="I153" s="124"/>
      <c r="J153" s="124"/>
      <c r="K153" s="124"/>
      <c r="L153" s="126"/>
    </row>
    <row r="154" spans="1:12" hidden="1" x14ac:dyDescent="0.25">
      <c r="A154" s="123">
        <f>'RTR v2'!A156</f>
        <v>0</v>
      </c>
      <c r="B154" s="123" t="str">
        <f>'RTR v2'!B156</f>
        <v/>
      </c>
      <c r="C154" s="123" t="str">
        <f>IF('RTR v2'!AV156="","",'RTR v2'!AV156)</f>
        <v/>
      </c>
      <c r="D154" s="124"/>
      <c r="E154" s="124"/>
      <c r="F154" s="124"/>
      <c r="G154" s="124"/>
      <c r="H154" s="124"/>
      <c r="I154" s="124"/>
      <c r="J154" s="124"/>
      <c r="K154" s="124"/>
      <c r="L154" s="126"/>
    </row>
    <row r="155" spans="1:12" hidden="1" x14ac:dyDescent="0.25">
      <c r="A155" s="123">
        <f>'RTR v2'!A157</f>
        <v>0</v>
      </c>
      <c r="B155" s="123" t="str">
        <f>'RTR v2'!B157</f>
        <v/>
      </c>
      <c r="C155" s="123" t="str">
        <f>IF('RTR v2'!AV157="","",'RTR v2'!AV157)</f>
        <v/>
      </c>
      <c r="D155" s="124"/>
      <c r="E155" s="124"/>
      <c r="F155" s="124"/>
      <c r="G155" s="124"/>
      <c r="H155" s="124"/>
      <c r="I155" s="124"/>
      <c r="J155" s="124"/>
      <c r="K155" s="124"/>
      <c r="L155" s="126"/>
    </row>
    <row r="156" spans="1:12" hidden="1" x14ac:dyDescent="0.25">
      <c r="A156" s="123">
        <f>'RTR v2'!A158</f>
        <v>0</v>
      </c>
      <c r="B156" s="123" t="str">
        <f>'RTR v2'!B158</f>
        <v/>
      </c>
      <c r="C156" s="123" t="str">
        <f>IF('RTR v2'!AV158="","",'RTR v2'!AV158)</f>
        <v/>
      </c>
      <c r="D156" s="124"/>
      <c r="E156" s="124"/>
      <c r="F156" s="124"/>
      <c r="G156" s="124"/>
      <c r="H156" s="124"/>
      <c r="I156" s="124"/>
      <c r="J156" s="124"/>
      <c r="K156" s="124"/>
      <c r="L156" s="126"/>
    </row>
    <row r="157" spans="1:12" hidden="1" x14ac:dyDescent="0.25">
      <c r="A157" s="123">
        <f>'RTR v2'!A159</f>
        <v>0</v>
      </c>
      <c r="B157" s="123" t="str">
        <f>'RTR v2'!B159</f>
        <v/>
      </c>
      <c r="C157" s="123" t="str">
        <f>IF('RTR v2'!AV159="","",'RTR v2'!AV159)</f>
        <v/>
      </c>
      <c r="D157" s="124"/>
      <c r="E157" s="124"/>
      <c r="F157" s="124"/>
      <c r="G157" s="124"/>
      <c r="H157" s="124"/>
      <c r="I157" s="124"/>
      <c r="J157" s="124"/>
      <c r="K157" s="124"/>
      <c r="L157" s="126"/>
    </row>
    <row r="158" spans="1:12" hidden="1" x14ac:dyDescent="0.25">
      <c r="A158" s="123">
        <f>'RTR v2'!A160</f>
        <v>0</v>
      </c>
      <c r="B158" s="123" t="str">
        <f>'RTR v2'!B160</f>
        <v/>
      </c>
      <c r="C158" s="123" t="str">
        <f>IF('RTR v2'!AV160="","",'RTR v2'!AV160)</f>
        <v/>
      </c>
      <c r="D158" s="124"/>
      <c r="E158" s="124"/>
      <c r="F158" s="124"/>
      <c r="G158" s="124"/>
      <c r="H158" s="124"/>
      <c r="I158" s="124"/>
      <c r="J158" s="124"/>
      <c r="K158" s="124"/>
      <c r="L158" s="126"/>
    </row>
    <row r="159" spans="1:12" hidden="1" x14ac:dyDescent="0.25">
      <c r="A159" s="123">
        <f>'RTR v2'!A161</f>
        <v>0</v>
      </c>
      <c r="B159" s="123" t="str">
        <f>'RTR v2'!B161</f>
        <v/>
      </c>
      <c r="C159" s="123" t="str">
        <f>IF('RTR v2'!AV161="","",'RTR v2'!AV161)</f>
        <v/>
      </c>
      <c r="D159" s="124"/>
      <c r="E159" s="124"/>
      <c r="F159" s="124"/>
      <c r="G159" s="124"/>
      <c r="H159" s="124"/>
      <c r="I159" s="124"/>
      <c r="J159" s="124"/>
      <c r="K159" s="124"/>
      <c r="L159" s="126"/>
    </row>
    <row r="160" spans="1:12" hidden="1" x14ac:dyDescent="0.25">
      <c r="A160" s="123">
        <f>'RTR v2'!A162</f>
        <v>0</v>
      </c>
      <c r="B160" s="123" t="str">
        <f>'RTR v2'!B162</f>
        <v/>
      </c>
      <c r="C160" s="123" t="str">
        <f>IF('RTR v2'!AV162="","",'RTR v2'!AV162)</f>
        <v/>
      </c>
      <c r="D160" s="124"/>
      <c r="E160" s="124"/>
      <c r="F160" s="124"/>
      <c r="G160" s="124"/>
      <c r="H160" s="124"/>
      <c r="I160" s="124"/>
      <c r="J160" s="124"/>
      <c r="K160" s="124"/>
      <c r="L160" s="126"/>
    </row>
    <row r="161" spans="1:12" hidden="1" x14ac:dyDescent="0.25">
      <c r="A161" s="123">
        <f>'RTR v2'!A163</f>
        <v>0</v>
      </c>
      <c r="B161" s="123" t="str">
        <f>'RTR v2'!B163</f>
        <v/>
      </c>
      <c r="C161" s="123" t="str">
        <f>IF('RTR v2'!AV163="","",'RTR v2'!AV163)</f>
        <v/>
      </c>
      <c r="D161" s="124"/>
      <c r="E161" s="124"/>
      <c r="F161" s="124"/>
      <c r="G161" s="124"/>
      <c r="H161" s="124"/>
      <c r="I161" s="124"/>
      <c r="J161" s="124"/>
      <c r="K161" s="124"/>
      <c r="L161" s="126"/>
    </row>
    <row r="162" spans="1:12" hidden="1" x14ac:dyDescent="0.25">
      <c r="A162" s="123">
        <f>'RTR v2'!A164</f>
        <v>0</v>
      </c>
      <c r="B162" s="123" t="str">
        <f>'RTR v2'!B164</f>
        <v/>
      </c>
      <c r="C162" s="123" t="str">
        <f>IF('RTR v2'!AV164="","",'RTR v2'!AV164)</f>
        <v/>
      </c>
      <c r="D162" s="124"/>
      <c r="E162" s="124"/>
      <c r="F162" s="124"/>
      <c r="G162" s="124"/>
      <c r="H162" s="124"/>
      <c r="I162" s="124"/>
      <c r="J162" s="124"/>
      <c r="K162" s="124"/>
      <c r="L162" s="126"/>
    </row>
    <row r="163" spans="1:12" hidden="1" x14ac:dyDescent="0.25">
      <c r="A163" s="123">
        <f>'RTR v2'!A165</f>
        <v>0</v>
      </c>
      <c r="B163" s="123" t="str">
        <f>'RTR v2'!B165</f>
        <v/>
      </c>
      <c r="C163" s="123" t="str">
        <f>IF('RTR v2'!AV165="","",'RTR v2'!AV165)</f>
        <v/>
      </c>
      <c r="D163" s="124"/>
      <c r="E163" s="124"/>
      <c r="F163" s="124"/>
      <c r="G163" s="124"/>
      <c r="H163" s="124"/>
      <c r="I163" s="124"/>
      <c r="J163" s="124"/>
      <c r="K163" s="124"/>
      <c r="L163" s="126"/>
    </row>
    <row r="164" spans="1:12" hidden="1" x14ac:dyDescent="0.25">
      <c r="A164" s="123">
        <f>'RTR v2'!A166</f>
        <v>0</v>
      </c>
      <c r="B164" s="123" t="str">
        <f>'RTR v2'!B166</f>
        <v/>
      </c>
      <c r="C164" s="123" t="str">
        <f>IF('RTR v2'!AV166="","",'RTR v2'!AV166)</f>
        <v/>
      </c>
      <c r="D164" s="124"/>
      <c r="E164" s="124"/>
      <c r="F164" s="124"/>
      <c r="G164" s="124"/>
      <c r="H164" s="124"/>
      <c r="I164" s="124"/>
      <c r="J164" s="124"/>
      <c r="K164" s="124"/>
      <c r="L164" s="126"/>
    </row>
    <row r="165" spans="1:12" hidden="1" x14ac:dyDescent="0.25">
      <c r="A165" s="123">
        <f>'RTR v2'!A167</f>
        <v>0</v>
      </c>
      <c r="B165" s="123" t="str">
        <f>'RTR v2'!B167</f>
        <v/>
      </c>
      <c r="C165" s="123" t="str">
        <f>IF('RTR v2'!AV167="","",'RTR v2'!AV167)</f>
        <v/>
      </c>
      <c r="D165" s="124"/>
      <c r="E165" s="124"/>
      <c r="F165" s="124"/>
      <c r="G165" s="124"/>
      <c r="H165" s="124"/>
      <c r="I165" s="124"/>
      <c r="J165" s="124"/>
      <c r="K165" s="124"/>
      <c r="L165" s="126"/>
    </row>
    <row r="166" spans="1:12" hidden="1" x14ac:dyDescent="0.25">
      <c r="A166" s="123">
        <f>'RTR v2'!A168</f>
        <v>0</v>
      </c>
      <c r="B166" s="123" t="str">
        <f>'RTR v2'!B168</f>
        <v/>
      </c>
      <c r="C166" s="123" t="str">
        <f>IF('RTR v2'!AV168="","",'RTR v2'!AV168)</f>
        <v/>
      </c>
      <c r="D166" s="124"/>
      <c r="E166" s="124"/>
      <c r="F166" s="124"/>
      <c r="G166" s="124"/>
      <c r="H166" s="124"/>
      <c r="I166" s="124"/>
      <c r="J166" s="124"/>
      <c r="K166" s="124"/>
      <c r="L166" s="126"/>
    </row>
    <row r="167" spans="1:12" hidden="1" x14ac:dyDescent="0.25">
      <c r="A167" s="123">
        <f>'RTR v2'!A169</f>
        <v>0</v>
      </c>
      <c r="B167" s="123" t="str">
        <f>'RTR v2'!B169</f>
        <v/>
      </c>
      <c r="C167" s="123" t="str">
        <f>IF('RTR v2'!AV169="","",'RTR v2'!AV169)</f>
        <v/>
      </c>
      <c r="D167" s="124"/>
      <c r="E167" s="124"/>
      <c r="F167" s="124"/>
      <c r="G167" s="124"/>
      <c r="H167" s="124"/>
      <c r="I167" s="124"/>
      <c r="J167" s="124"/>
      <c r="K167" s="124"/>
      <c r="L167" s="126"/>
    </row>
    <row r="168" spans="1:12" hidden="1" x14ac:dyDescent="0.25">
      <c r="A168" s="123">
        <f>'RTR v2'!A170</f>
        <v>0</v>
      </c>
      <c r="B168" s="123" t="str">
        <f>'RTR v2'!B170</f>
        <v/>
      </c>
      <c r="C168" s="123" t="str">
        <f>IF('RTR v2'!AV170="","",'RTR v2'!AV170)</f>
        <v/>
      </c>
      <c r="D168" s="124"/>
      <c r="E168" s="124"/>
      <c r="F168" s="124"/>
      <c r="G168" s="124"/>
      <c r="H168" s="124"/>
      <c r="I168" s="124"/>
      <c r="J168" s="124"/>
      <c r="K168" s="124"/>
      <c r="L168" s="126"/>
    </row>
    <row r="169" spans="1:12" hidden="1" x14ac:dyDescent="0.25">
      <c r="A169" s="123">
        <f>'RTR v2'!A171</f>
        <v>0</v>
      </c>
      <c r="B169" s="123" t="str">
        <f>'RTR v2'!B171</f>
        <v/>
      </c>
      <c r="C169" s="123" t="str">
        <f>IF('RTR v2'!AV171="","",'RTR v2'!AV171)</f>
        <v/>
      </c>
      <c r="D169" s="124"/>
      <c r="E169" s="124"/>
      <c r="F169" s="124"/>
      <c r="G169" s="124"/>
      <c r="H169" s="124"/>
      <c r="I169" s="124"/>
      <c r="J169" s="124"/>
      <c r="K169" s="124"/>
      <c r="L169" s="126"/>
    </row>
    <row r="170" spans="1:12" hidden="1" x14ac:dyDescent="0.25">
      <c r="A170" s="123">
        <f>'RTR v2'!A172</f>
        <v>0</v>
      </c>
      <c r="B170" s="123" t="str">
        <f>'RTR v2'!B172</f>
        <v/>
      </c>
      <c r="C170" s="123" t="str">
        <f>IF('RTR v2'!AV172="","",'RTR v2'!AV172)</f>
        <v/>
      </c>
      <c r="D170" s="124"/>
      <c r="E170" s="124"/>
      <c r="F170" s="124"/>
      <c r="G170" s="124"/>
      <c r="H170" s="124"/>
      <c r="I170" s="124"/>
      <c r="J170" s="124"/>
      <c r="K170" s="124"/>
      <c r="L170" s="126"/>
    </row>
    <row r="171" spans="1:12" hidden="1" x14ac:dyDescent="0.25">
      <c r="A171" s="123">
        <f>'RTR v2'!A173</f>
        <v>0</v>
      </c>
      <c r="B171" s="123" t="str">
        <f>'RTR v2'!B173</f>
        <v/>
      </c>
      <c r="C171" s="123" t="str">
        <f>IF('RTR v2'!AV173="","",'RTR v2'!AV173)</f>
        <v/>
      </c>
      <c r="D171" s="124"/>
      <c r="E171" s="124"/>
      <c r="F171" s="124"/>
      <c r="G171" s="124"/>
      <c r="H171" s="124"/>
      <c r="I171" s="124"/>
      <c r="J171" s="124"/>
      <c r="K171" s="124"/>
      <c r="L171" s="126"/>
    </row>
    <row r="172" spans="1:12" hidden="1" x14ac:dyDescent="0.25">
      <c r="A172" s="123">
        <f>'RTR v2'!A174</f>
        <v>0</v>
      </c>
      <c r="B172" s="123" t="str">
        <f>'RTR v2'!B174</f>
        <v/>
      </c>
      <c r="C172" s="123" t="str">
        <f>IF('RTR v2'!AV174="","",'RTR v2'!AV174)</f>
        <v/>
      </c>
      <c r="D172" s="124"/>
      <c r="E172" s="124"/>
      <c r="F172" s="124"/>
      <c r="G172" s="124"/>
      <c r="H172" s="124"/>
      <c r="I172" s="124"/>
      <c r="J172" s="124"/>
      <c r="K172" s="124"/>
      <c r="L172" s="126"/>
    </row>
    <row r="173" spans="1:12" hidden="1" x14ac:dyDescent="0.25">
      <c r="A173" s="123">
        <f>'RTR v2'!A175</f>
        <v>0</v>
      </c>
      <c r="B173" s="123" t="str">
        <f>'RTR v2'!B175</f>
        <v/>
      </c>
      <c r="C173" s="123" t="str">
        <f>IF('RTR v2'!AV175="","",'RTR v2'!AV175)</f>
        <v/>
      </c>
      <c r="D173" s="124"/>
      <c r="E173" s="124"/>
      <c r="F173" s="124"/>
      <c r="G173" s="124"/>
      <c r="H173" s="124"/>
      <c r="I173" s="124"/>
      <c r="J173" s="124"/>
      <c r="K173" s="124"/>
      <c r="L173" s="126"/>
    </row>
    <row r="174" spans="1:12" hidden="1" x14ac:dyDescent="0.25">
      <c r="A174" s="123">
        <f>'RTR v2'!A176</f>
        <v>0</v>
      </c>
      <c r="B174" s="123" t="str">
        <f>'RTR v2'!B176</f>
        <v/>
      </c>
      <c r="C174" s="123" t="str">
        <f>IF('RTR v2'!AV176="","",'RTR v2'!AV176)</f>
        <v/>
      </c>
      <c r="D174" s="124"/>
      <c r="E174" s="124"/>
      <c r="F174" s="124"/>
      <c r="G174" s="124"/>
      <c r="H174" s="124"/>
      <c r="I174" s="124"/>
      <c r="J174" s="124"/>
      <c r="K174" s="124"/>
      <c r="L174" s="126"/>
    </row>
    <row r="175" spans="1:12" hidden="1" x14ac:dyDescent="0.25">
      <c r="A175" s="123">
        <f>'RTR v2'!A177</f>
        <v>0</v>
      </c>
      <c r="B175" s="123" t="str">
        <f>'RTR v2'!B177</f>
        <v/>
      </c>
      <c r="C175" s="123" t="str">
        <f>IF('RTR v2'!AV177="","",'RTR v2'!AV177)</f>
        <v/>
      </c>
      <c r="D175" s="124"/>
      <c r="E175" s="124"/>
      <c r="F175" s="124"/>
      <c r="G175" s="124"/>
      <c r="H175" s="124"/>
      <c r="I175" s="124"/>
      <c r="J175" s="124"/>
      <c r="K175" s="124"/>
      <c r="L175" s="126"/>
    </row>
    <row r="176" spans="1:12" hidden="1" x14ac:dyDescent="0.25">
      <c r="A176" s="123">
        <f>'RTR v2'!A178</f>
        <v>0</v>
      </c>
      <c r="B176" s="123" t="str">
        <f>'RTR v2'!B178</f>
        <v/>
      </c>
      <c r="C176" s="123" t="str">
        <f>IF('RTR v2'!AV178="","",'RTR v2'!AV178)</f>
        <v/>
      </c>
      <c r="D176" s="124"/>
      <c r="E176" s="124"/>
      <c r="F176" s="124"/>
      <c r="G176" s="124"/>
      <c r="H176" s="124"/>
      <c r="I176" s="124"/>
      <c r="J176" s="124"/>
      <c r="K176" s="124"/>
      <c r="L176" s="126"/>
    </row>
    <row r="177" spans="1:12" hidden="1" x14ac:dyDescent="0.25">
      <c r="A177" s="123">
        <f>'RTR v2'!A179</f>
        <v>0</v>
      </c>
      <c r="B177" s="123" t="str">
        <f>'RTR v2'!B179</f>
        <v/>
      </c>
      <c r="C177" s="123" t="str">
        <f>IF('RTR v2'!AV179="","",'RTR v2'!AV179)</f>
        <v/>
      </c>
      <c r="D177" s="124"/>
      <c r="E177" s="124"/>
      <c r="F177" s="124"/>
      <c r="G177" s="124"/>
      <c r="H177" s="124"/>
      <c r="I177" s="124"/>
      <c r="J177" s="124"/>
      <c r="K177" s="124"/>
      <c r="L177" s="126"/>
    </row>
    <row r="178" spans="1:12" hidden="1" x14ac:dyDescent="0.25">
      <c r="A178" s="123">
        <f>'RTR v2'!A180</f>
        <v>0</v>
      </c>
      <c r="B178" s="123" t="str">
        <f>'RTR v2'!B180</f>
        <v/>
      </c>
      <c r="C178" s="123" t="str">
        <f>IF('RTR v2'!AV180="","",'RTR v2'!AV180)</f>
        <v/>
      </c>
      <c r="D178" s="124"/>
      <c r="E178" s="124"/>
      <c r="F178" s="124"/>
      <c r="G178" s="124"/>
      <c r="H178" s="124"/>
      <c r="I178" s="124"/>
      <c r="J178" s="124"/>
      <c r="K178" s="124"/>
      <c r="L178" s="126"/>
    </row>
    <row r="179" spans="1:12" hidden="1" x14ac:dyDescent="0.25">
      <c r="A179" s="123">
        <f>'RTR v2'!A181</f>
        <v>0</v>
      </c>
      <c r="B179" s="123" t="str">
        <f>'RTR v2'!B181</f>
        <v/>
      </c>
      <c r="C179" s="123" t="str">
        <f>IF('RTR v2'!AV181="","",'RTR v2'!AV181)</f>
        <v/>
      </c>
      <c r="D179" s="124"/>
      <c r="E179" s="124"/>
      <c r="F179" s="124"/>
      <c r="G179" s="124"/>
      <c r="H179" s="124"/>
      <c r="I179" s="124"/>
      <c r="J179" s="124"/>
      <c r="K179" s="124"/>
      <c r="L179" s="126"/>
    </row>
    <row r="180" spans="1:12" hidden="1" x14ac:dyDescent="0.25">
      <c r="A180" s="123">
        <f>'RTR v2'!A182</f>
        <v>0</v>
      </c>
      <c r="B180" s="123" t="str">
        <f>'RTR v2'!B182</f>
        <v/>
      </c>
      <c r="C180" s="123" t="str">
        <f>IF('RTR v2'!AV182="","",'RTR v2'!AV182)</f>
        <v/>
      </c>
      <c r="D180" s="124"/>
      <c r="E180" s="124"/>
      <c r="F180" s="124"/>
      <c r="G180" s="124"/>
      <c r="H180" s="124"/>
      <c r="I180" s="124"/>
      <c r="J180" s="124"/>
      <c r="K180" s="124"/>
      <c r="L180" s="126"/>
    </row>
    <row r="181" spans="1:12" hidden="1" x14ac:dyDescent="0.25">
      <c r="A181" s="123">
        <f>'RTR v2'!A183</f>
        <v>0</v>
      </c>
      <c r="B181" s="123" t="str">
        <f>'RTR v2'!B183</f>
        <v/>
      </c>
      <c r="C181" s="123" t="str">
        <f>IF('RTR v2'!AV183="","",'RTR v2'!AV183)</f>
        <v/>
      </c>
      <c r="D181" s="124"/>
      <c r="E181" s="124"/>
      <c r="F181" s="124"/>
      <c r="G181" s="124"/>
      <c r="H181" s="124"/>
      <c r="I181" s="124"/>
      <c r="J181" s="124"/>
      <c r="K181" s="124"/>
      <c r="L181" s="126"/>
    </row>
    <row r="182" spans="1:12" hidden="1" x14ac:dyDescent="0.25">
      <c r="A182" s="123">
        <f>'RTR v2'!A184</f>
        <v>0</v>
      </c>
      <c r="B182" s="123" t="str">
        <f>'RTR v2'!B184</f>
        <v/>
      </c>
      <c r="C182" s="123" t="str">
        <f>IF('RTR v2'!AV184="","",'RTR v2'!AV184)</f>
        <v/>
      </c>
      <c r="D182" s="124"/>
      <c r="E182" s="124"/>
      <c r="F182" s="124"/>
      <c r="G182" s="124"/>
      <c r="H182" s="124"/>
      <c r="I182" s="124"/>
      <c r="J182" s="124"/>
      <c r="K182" s="124"/>
      <c r="L182" s="126"/>
    </row>
    <row r="183" spans="1:12" hidden="1" x14ac:dyDescent="0.25">
      <c r="A183" s="123">
        <f>'RTR v2'!A185</f>
        <v>0</v>
      </c>
      <c r="B183" s="123" t="str">
        <f>'RTR v2'!B185</f>
        <v/>
      </c>
      <c r="C183" s="123" t="str">
        <f>IF('RTR v2'!AV185="","",'RTR v2'!AV185)</f>
        <v/>
      </c>
      <c r="D183" s="124"/>
      <c r="E183" s="124"/>
      <c r="F183" s="124"/>
      <c r="G183" s="124"/>
      <c r="H183" s="124"/>
      <c r="I183" s="124"/>
      <c r="J183" s="124"/>
      <c r="K183" s="124"/>
      <c r="L183" s="126"/>
    </row>
    <row r="184" spans="1:12" hidden="1" x14ac:dyDescent="0.25">
      <c r="A184" s="123">
        <f>'RTR v2'!A186</f>
        <v>0</v>
      </c>
      <c r="B184" s="123" t="str">
        <f>'RTR v2'!B186</f>
        <v/>
      </c>
      <c r="C184" s="123" t="str">
        <f>IF('RTR v2'!AV186="","",'RTR v2'!AV186)</f>
        <v/>
      </c>
      <c r="D184" s="124"/>
      <c r="E184" s="124"/>
      <c r="F184" s="124"/>
      <c r="G184" s="124"/>
      <c r="H184" s="124"/>
      <c r="I184" s="124"/>
      <c r="J184" s="124"/>
      <c r="K184" s="124"/>
      <c r="L184" s="126"/>
    </row>
    <row r="185" spans="1:12" hidden="1" x14ac:dyDescent="0.25">
      <c r="A185" s="123">
        <f>'RTR v2'!A187</f>
        <v>0</v>
      </c>
      <c r="B185" s="123" t="str">
        <f>'RTR v2'!B187</f>
        <v/>
      </c>
      <c r="C185" s="123" t="str">
        <f>IF('RTR v2'!AV187="","",'RTR v2'!AV187)</f>
        <v/>
      </c>
      <c r="D185" s="124"/>
      <c r="E185" s="124"/>
      <c r="F185" s="124"/>
      <c r="G185" s="124"/>
      <c r="H185" s="124"/>
      <c r="I185" s="124"/>
      <c r="J185" s="124"/>
      <c r="K185" s="124"/>
      <c r="L185" s="126"/>
    </row>
    <row r="186" spans="1:12" hidden="1" x14ac:dyDescent="0.25">
      <c r="A186" s="123">
        <f>'RTR v2'!A188</f>
        <v>0</v>
      </c>
      <c r="B186" s="123" t="str">
        <f>'RTR v2'!B188</f>
        <v/>
      </c>
      <c r="C186" s="123" t="str">
        <f>IF('RTR v2'!AV188="","",'RTR v2'!AV188)</f>
        <v/>
      </c>
      <c r="D186" s="124"/>
      <c r="E186" s="124"/>
      <c r="F186" s="124"/>
      <c r="G186" s="124"/>
      <c r="H186" s="124"/>
      <c r="I186" s="124"/>
      <c r="J186" s="124"/>
      <c r="K186" s="124"/>
      <c r="L186" s="126"/>
    </row>
    <row r="187" spans="1:12" hidden="1" x14ac:dyDescent="0.25">
      <c r="A187" s="123">
        <f>'RTR v2'!A189</f>
        <v>0</v>
      </c>
      <c r="B187" s="123" t="str">
        <f>'RTR v2'!B189</f>
        <v/>
      </c>
      <c r="C187" s="123" t="str">
        <f>IF('RTR v2'!AV189="","",'RTR v2'!AV189)</f>
        <v/>
      </c>
      <c r="D187" s="124"/>
      <c r="E187" s="124"/>
      <c r="F187" s="124"/>
      <c r="G187" s="124"/>
      <c r="H187" s="124"/>
      <c r="I187" s="124"/>
      <c r="J187" s="124"/>
      <c r="K187" s="124"/>
      <c r="L187" s="126"/>
    </row>
    <row r="188" spans="1:12" hidden="1" x14ac:dyDescent="0.25">
      <c r="A188" s="123">
        <f>'RTR v2'!A190</f>
        <v>0</v>
      </c>
      <c r="B188" s="123" t="str">
        <f>'RTR v2'!B190</f>
        <v/>
      </c>
      <c r="C188" s="123" t="str">
        <f>IF('RTR v2'!AV190="","",'RTR v2'!AV190)</f>
        <v/>
      </c>
      <c r="D188" s="124"/>
      <c r="E188" s="124"/>
      <c r="F188" s="124"/>
      <c r="G188" s="124"/>
      <c r="H188" s="124"/>
      <c r="I188" s="124"/>
      <c r="J188" s="124"/>
      <c r="K188" s="124"/>
      <c r="L188" s="126"/>
    </row>
    <row r="189" spans="1:12" hidden="1" x14ac:dyDescent="0.25">
      <c r="A189" s="123">
        <f>'RTR v2'!A191</f>
        <v>0</v>
      </c>
      <c r="B189" s="123" t="str">
        <f>'RTR v2'!B191</f>
        <v/>
      </c>
      <c r="C189" s="123" t="str">
        <f>IF('RTR v2'!AV191="","",'RTR v2'!AV191)</f>
        <v/>
      </c>
      <c r="D189" s="124"/>
      <c r="E189" s="124"/>
      <c r="F189" s="124"/>
      <c r="G189" s="124"/>
      <c r="H189" s="124"/>
      <c r="I189" s="124"/>
      <c r="J189" s="124"/>
      <c r="K189" s="124"/>
      <c r="L189" s="126"/>
    </row>
    <row r="190" spans="1:12" hidden="1" x14ac:dyDescent="0.25">
      <c r="A190" s="123">
        <f>'RTR v2'!A192</f>
        <v>0</v>
      </c>
      <c r="B190" s="123" t="str">
        <f>'RTR v2'!B192</f>
        <v/>
      </c>
      <c r="C190" s="123" t="str">
        <f>IF('RTR v2'!AV192="","",'RTR v2'!AV192)</f>
        <v/>
      </c>
      <c r="D190" s="124"/>
      <c r="E190" s="124"/>
      <c r="F190" s="124"/>
      <c r="G190" s="124"/>
      <c r="H190" s="124"/>
      <c r="I190" s="124"/>
      <c r="J190" s="124"/>
      <c r="K190" s="124"/>
      <c r="L190" s="126"/>
    </row>
    <row r="191" spans="1:12" hidden="1" x14ac:dyDescent="0.25">
      <c r="A191" s="123">
        <f>'RTR v2'!A193</f>
        <v>0</v>
      </c>
      <c r="B191" s="123" t="str">
        <f>'RTR v2'!B193</f>
        <v/>
      </c>
      <c r="C191" s="123" t="str">
        <f>IF('RTR v2'!AV193="","",'RTR v2'!AV193)</f>
        <v/>
      </c>
      <c r="D191" s="124"/>
      <c r="E191" s="124"/>
      <c r="F191" s="124"/>
      <c r="G191" s="124"/>
      <c r="H191" s="124"/>
      <c r="I191" s="124"/>
      <c r="J191" s="124"/>
      <c r="K191" s="124"/>
      <c r="L191" s="126"/>
    </row>
    <row r="192" spans="1:12" hidden="1" x14ac:dyDescent="0.25">
      <c r="A192" s="123">
        <f>'RTR v2'!A194</f>
        <v>0</v>
      </c>
      <c r="B192" s="123" t="str">
        <f>'RTR v2'!B194</f>
        <v/>
      </c>
      <c r="C192" s="123" t="str">
        <f>IF('RTR v2'!AV194="","",'RTR v2'!AV194)</f>
        <v/>
      </c>
      <c r="D192" s="124"/>
      <c r="E192" s="124"/>
      <c r="F192" s="124"/>
      <c r="G192" s="124"/>
      <c r="H192" s="124"/>
      <c r="I192" s="124"/>
      <c r="J192" s="124"/>
      <c r="K192" s="124"/>
      <c r="L192" s="126"/>
    </row>
    <row r="193" spans="1:12" hidden="1" x14ac:dyDescent="0.25">
      <c r="A193" s="123">
        <f>'RTR v2'!A195</f>
        <v>0</v>
      </c>
      <c r="B193" s="123" t="str">
        <f>'RTR v2'!B195</f>
        <v/>
      </c>
      <c r="C193" s="123" t="str">
        <f>IF('RTR v2'!AV195="","",'RTR v2'!AV195)</f>
        <v/>
      </c>
      <c r="D193" s="124"/>
      <c r="E193" s="124"/>
      <c r="F193" s="124"/>
      <c r="G193" s="124"/>
      <c r="H193" s="124"/>
      <c r="I193" s="124"/>
      <c r="J193" s="124"/>
      <c r="K193" s="124"/>
      <c r="L193" s="126"/>
    </row>
    <row r="194" spans="1:12" hidden="1" x14ac:dyDescent="0.25">
      <c r="A194" s="123">
        <f>'RTR v2'!A196</f>
        <v>0</v>
      </c>
      <c r="B194" s="123" t="str">
        <f>'RTR v2'!B196</f>
        <v/>
      </c>
      <c r="C194" s="123" t="str">
        <f>IF('RTR v2'!AV196="","",'RTR v2'!AV196)</f>
        <v/>
      </c>
      <c r="D194" s="124"/>
      <c r="E194" s="124"/>
      <c r="F194" s="124"/>
      <c r="G194" s="124"/>
      <c r="H194" s="124"/>
      <c r="I194" s="124"/>
      <c r="J194" s="124"/>
      <c r="K194" s="124"/>
      <c r="L194" s="126"/>
    </row>
    <row r="195" spans="1:12" hidden="1" x14ac:dyDescent="0.25">
      <c r="A195" s="123">
        <f>'RTR v2'!A197</f>
        <v>0</v>
      </c>
      <c r="B195" s="123" t="str">
        <f>'RTR v2'!B197</f>
        <v/>
      </c>
      <c r="C195" s="123" t="str">
        <f>IF('RTR v2'!AV197="","",'RTR v2'!AV197)</f>
        <v/>
      </c>
      <c r="D195" s="124"/>
      <c r="E195" s="124"/>
      <c r="F195" s="124"/>
      <c r="G195" s="124"/>
      <c r="H195" s="124"/>
      <c r="I195" s="124"/>
      <c r="J195" s="124"/>
      <c r="K195" s="124"/>
      <c r="L195" s="126"/>
    </row>
    <row r="196" spans="1:12" hidden="1" x14ac:dyDescent="0.25">
      <c r="A196" s="123">
        <f>'RTR v2'!A198</f>
        <v>0</v>
      </c>
      <c r="B196" s="123" t="str">
        <f>'RTR v2'!B198</f>
        <v/>
      </c>
      <c r="C196" s="123" t="str">
        <f>IF('RTR v2'!AV198="","",'RTR v2'!AV198)</f>
        <v/>
      </c>
      <c r="D196" s="124"/>
      <c r="E196" s="124"/>
      <c r="F196" s="124"/>
      <c r="G196" s="124"/>
      <c r="H196" s="124"/>
      <c r="I196" s="124"/>
      <c r="J196" s="124"/>
      <c r="K196" s="124"/>
      <c r="L196" s="126"/>
    </row>
    <row r="197" spans="1:12" hidden="1" x14ac:dyDescent="0.25">
      <c r="A197" s="123">
        <f>'RTR v2'!A199</f>
        <v>0</v>
      </c>
      <c r="B197" s="123" t="str">
        <f>'RTR v2'!B199</f>
        <v/>
      </c>
      <c r="C197" s="123" t="str">
        <f>IF('RTR v2'!AV199="","",'RTR v2'!AV199)</f>
        <v/>
      </c>
      <c r="D197" s="124"/>
      <c r="E197" s="124"/>
      <c r="F197" s="124"/>
      <c r="G197" s="124"/>
      <c r="H197" s="124"/>
      <c r="I197" s="124"/>
      <c r="J197" s="124"/>
      <c r="K197" s="124"/>
      <c r="L197" s="126"/>
    </row>
    <row r="198" spans="1:12" hidden="1" x14ac:dyDescent="0.25">
      <c r="A198" s="123">
        <f>'RTR v2'!A200</f>
        <v>0</v>
      </c>
      <c r="B198" s="123" t="str">
        <f>'RTR v2'!B200</f>
        <v/>
      </c>
      <c r="C198" s="123" t="str">
        <f>IF('RTR v2'!AV200="","",'RTR v2'!AV200)</f>
        <v/>
      </c>
      <c r="D198" s="124"/>
      <c r="E198" s="124"/>
      <c r="F198" s="124"/>
      <c r="G198" s="124"/>
      <c r="H198" s="124"/>
      <c r="I198" s="124"/>
      <c r="J198" s="124"/>
      <c r="K198" s="124"/>
      <c r="L198" s="126"/>
    </row>
    <row r="199" spans="1:12" hidden="1" x14ac:dyDescent="0.25">
      <c r="A199" s="123">
        <f>'RTR v2'!A201</f>
        <v>0</v>
      </c>
      <c r="B199" s="123" t="str">
        <f>'RTR v2'!B201</f>
        <v/>
      </c>
      <c r="C199" s="123" t="str">
        <f>IF('RTR v2'!AV201="","",'RTR v2'!AV201)</f>
        <v/>
      </c>
      <c r="D199" s="124"/>
      <c r="E199" s="124"/>
      <c r="F199" s="124"/>
      <c r="G199" s="124"/>
      <c r="H199" s="124"/>
      <c r="I199" s="124"/>
      <c r="J199" s="124"/>
      <c r="K199" s="124"/>
      <c r="L199" s="126"/>
    </row>
    <row r="200" spans="1:12" hidden="1" x14ac:dyDescent="0.25">
      <c r="A200" s="123">
        <f>'RTR v2'!A202</f>
        <v>0</v>
      </c>
      <c r="B200" s="123" t="str">
        <f>'RTR v2'!B202</f>
        <v/>
      </c>
      <c r="C200" s="123" t="str">
        <f>IF('RTR v2'!AV202="","",'RTR v2'!AV202)</f>
        <v/>
      </c>
      <c r="D200" s="124"/>
      <c r="E200" s="124"/>
      <c r="F200" s="124"/>
      <c r="G200" s="124"/>
      <c r="H200" s="124"/>
      <c r="I200" s="124"/>
      <c r="J200" s="124"/>
      <c r="K200" s="124"/>
      <c r="L200" s="126"/>
    </row>
    <row r="201" spans="1:12" hidden="1" x14ac:dyDescent="0.25">
      <c r="A201" s="123">
        <f>'RTR v2'!A203</f>
        <v>0</v>
      </c>
      <c r="B201" s="123" t="str">
        <f>'RTR v2'!B203</f>
        <v/>
      </c>
      <c r="C201" s="123" t="str">
        <f>IF('RTR v2'!AV203="","",'RTR v2'!AV203)</f>
        <v/>
      </c>
      <c r="D201" s="124"/>
      <c r="E201" s="124"/>
      <c r="F201" s="124"/>
      <c r="G201" s="124"/>
      <c r="H201" s="124"/>
      <c r="I201" s="124"/>
      <c r="J201" s="124"/>
      <c r="K201" s="124"/>
      <c r="L201" s="126"/>
    </row>
    <row r="202" spans="1:12" hidden="1" x14ac:dyDescent="0.25">
      <c r="A202" s="123">
        <f>'RTR v2'!A204</f>
        <v>0</v>
      </c>
      <c r="B202" s="123" t="str">
        <f>'RTR v2'!B204</f>
        <v/>
      </c>
      <c r="C202" s="123" t="str">
        <f>IF('RTR v2'!AV204="","",'RTR v2'!AV204)</f>
        <v/>
      </c>
      <c r="D202" s="124"/>
      <c r="E202" s="124"/>
      <c r="F202" s="124"/>
      <c r="G202" s="124"/>
      <c r="H202" s="124"/>
      <c r="I202" s="124"/>
      <c r="J202" s="124"/>
      <c r="K202" s="124"/>
      <c r="L202" s="126"/>
    </row>
    <row r="203" spans="1:12" hidden="1" x14ac:dyDescent="0.25">
      <c r="A203" s="123">
        <f>'RTR v2'!A205</f>
        <v>0</v>
      </c>
      <c r="B203" s="123" t="str">
        <f>'RTR v2'!B205</f>
        <v/>
      </c>
      <c r="C203" s="123" t="str">
        <f>IF('RTR v2'!AV205="","",'RTR v2'!AV205)</f>
        <v/>
      </c>
      <c r="D203" s="124"/>
      <c r="E203" s="124"/>
      <c r="F203" s="124"/>
      <c r="G203" s="124"/>
      <c r="H203" s="124"/>
      <c r="I203" s="124"/>
      <c r="J203" s="124"/>
      <c r="K203" s="124"/>
      <c r="L203" s="126"/>
    </row>
    <row r="204" spans="1:12" hidden="1" x14ac:dyDescent="0.25">
      <c r="A204" s="123">
        <f>'RTR v2'!A206</f>
        <v>0</v>
      </c>
      <c r="B204" s="123" t="str">
        <f>'RTR v2'!B206</f>
        <v/>
      </c>
      <c r="C204" s="123" t="str">
        <f>IF('RTR v2'!AV206="","",'RTR v2'!AV206)</f>
        <v/>
      </c>
      <c r="D204" s="124"/>
      <c r="E204" s="124"/>
      <c r="F204" s="124"/>
      <c r="G204" s="124"/>
      <c r="H204" s="124"/>
      <c r="I204" s="124"/>
      <c r="J204" s="124"/>
      <c r="K204" s="124"/>
      <c r="L204" s="126"/>
    </row>
    <row r="205" spans="1:12" hidden="1" x14ac:dyDescent="0.25">
      <c r="A205" s="123">
        <f>'RTR v2'!A207</f>
        <v>0</v>
      </c>
      <c r="B205" s="123" t="str">
        <f>'RTR v2'!B207</f>
        <v/>
      </c>
      <c r="C205" s="123" t="str">
        <f>IF('RTR v2'!AV207="","",'RTR v2'!AV207)</f>
        <v/>
      </c>
      <c r="D205" s="124"/>
      <c r="E205" s="124"/>
      <c r="F205" s="124"/>
      <c r="G205" s="124"/>
      <c r="H205" s="124"/>
      <c r="I205" s="124"/>
      <c r="J205" s="124"/>
      <c r="K205" s="124"/>
      <c r="L205" s="126"/>
    </row>
    <row r="206" spans="1:12" hidden="1" x14ac:dyDescent="0.25">
      <c r="A206" s="123">
        <f>'RTR v2'!A208</f>
        <v>0</v>
      </c>
      <c r="B206" s="123" t="str">
        <f>'RTR v2'!B208</f>
        <v/>
      </c>
      <c r="C206" s="123" t="str">
        <f>IF('RTR v2'!AV208="","",'RTR v2'!AV208)</f>
        <v/>
      </c>
      <c r="D206" s="124"/>
      <c r="E206" s="124"/>
      <c r="F206" s="124"/>
      <c r="G206" s="124"/>
      <c r="H206" s="124"/>
      <c r="I206" s="124"/>
      <c r="J206" s="124"/>
      <c r="K206" s="124"/>
      <c r="L206" s="126"/>
    </row>
    <row r="207" spans="1:12" hidden="1" x14ac:dyDescent="0.25">
      <c r="A207" s="123">
        <f>'RTR v2'!A209</f>
        <v>0</v>
      </c>
      <c r="B207" s="123" t="str">
        <f>'RTR v2'!B209</f>
        <v/>
      </c>
      <c r="C207" s="123" t="str">
        <f>IF('RTR v2'!AV209="","",'RTR v2'!AV209)</f>
        <v/>
      </c>
      <c r="D207" s="124"/>
      <c r="E207" s="124"/>
      <c r="F207" s="124"/>
      <c r="G207" s="124"/>
      <c r="H207" s="124"/>
      <c r="I207" s="124"/>
      <c r="J207" s="124"/>
      <c r="K207" s="124"/>
      <c r="L207" s="126"/>
    </row>
    <row r="208" spans="1:12" hidden="1" x14ac:dyDescent="0.25">
      <c r="A208" s="123">
        <f>'RTR v2'!A210</f>
        <v>0</v>
      </c>
      <c r="B208" s="123" t="str">
        <f>'RTR v2'!B210</f>
        <v/>
      </c>
      <c r="C208" s="123" t="str">
        <f>IF('RTR v2'!AV210="","",'RTR v2'!AV210)</f>
        <v/>
      </c>
      <c r="D208" s="124"/>
      <c r="E208" s="124"/>
      <c r="F208" s="124"/>
      <c r="G208" s="124"/>
      <c r="H208" s="124"/>
      <c r="I208" s="124"/>
      <c r="J208" s="124"/>
      <c r="K208" s="124"/>
      <c r="L208" s="126"/>
    </row>
    <row r="209" spans="1:12" hidden="1" x14ac:dyDescent="0.25">
      <c r="A209" s="123">
        <f>'RTR v2'!A211</f>
        <v>0</v>
      </c>
      <c r="B209" s="123" t="str">
        <f>'RTR v2'!B211</f>
        <v/>
      </c>
      <c r="C209" s="123" t="str">
        <f>IF('RTR v2'!AV211="","",'RTR v2'!AV211)</f>
        <v/>
      </c>
      <c r="D209" s="124"/>
      <c r="E209" s="124"/>
      <c r="F209" s="124"/>
      <c r="G209" s="124"/>
      <c r="H209" s="124"/>
      <c r="I209" s="124"/>
      <c r="J209" s="124"/>
      <c r="K209" s="124"/>
      <c r="L209" s="126"/>
    </row>
    <row r="210" spans="1:12" hidden="1" x14ac:dyDescent="0.25">
      <c r="A210" s="123">
        <f>'RTR v2'!A212</f>
        <v>0</v>
      </c>
      <c r="B210" s="123" t="str">
        <f>'RTR v2'!B212</f>
        <v/>
      </c>
      <c r="C210" s="123" t="str">
        <f>IF('RTR v2'!AV212="","",'RTR v2'!AV212)</f>
        <v/>
      </c>
      <c r="D210" s="124"/>
      <c r="E210" s="124"/>
      <c r="F210" s="124"/>
      <c r="G210" s="124"/>
      <c r="H210" s="124"/>
      <c r="I210" s="124"/>
      <c r="J210" s="124"/>
      <c r="K210" s="124"/>
      <c r="L210" s="126"/>
    </row>
    <row r="211" spans="1:12" hidden="1" x14ac:dyDescent="0.25">
      <c r="A211" s="123">
        <f>'RTR v2'!A213</f>
        <v>0</v>
      </c>
      <c r="B211" s="123" t="str">
        <f>'RTR v2'!B213</f>
        <v/>
      </c>
      <c r="C211" s="123" t="str">
        <f>IF('RTR v2'!AV213="","",'RTR v2'!AV213)</f>
        <v/>
      </c>
      <c r="D211" s="124"/>
      <c r="E211" s="124"/>
      <c r="F211" s="124"/>
      <c r="G211" s="124"/>
      <c r="H211" s="124"/>
      <c r="I211" s="124"/>
      <c r="J211" s="124"/>
      <c r="K211" s="124"/>
      <c r="L211" s="126"/>
    </row>
    <row r="212" spans="1:12" hidden="1" x14ac:dyDescent="0.25">
      <c r="A212" s="123">
        <f>'RTR v2'!A214</f>
        <v>0</v>
      </c>
      <c r="B212" s="123" t="str">
        <f>'RTR v2'!B214</f>
        <v/>
      </c>
      <c r="C212" s="123" t="str">
        <f>IF('RTR v2'!AV214="","",'RTR v2'!AV214)</f>
        <v/>
      </c>
      <c r="D212" s="124"/>
      <c r="E212" s="124"/>
      <c r="F212" s="124"/>
      <c r="G212" s="124"/>
      <c r="H212" s="124"/>
      <c r="I212" s="124"/>
      <c r="J212" s="124"/>
      <c r="K212" s="124"/>
      <c r="L212" s="126"/>
    </row>
    <row r="213" spans="1:12" hidden="1" x14ac:dyDescent="0.25">
      <c r="A213" s="123">
        <f>'RTR v2'!A215</f>
        <v>0</v>
      </c>
      <c r="B213" s="123" t="str">
        <f>'RTR v2'!B215</f>
        <v/>
      </c>
      <c r="C213" s="123" t="str">
        <f>IF('RTR v2'!AV215="","",'RTR v2'!AV215)</f>
        <v/>
      </c>
      <c r="D213" s="124"/>
      <c r="E213" s="124"/>
      <c r="F213" s="124"/>
      <c r="G213" s="124"/>
      <c r="H213" s="124"/>
      <c r="I213" s="124"/>
      <c r="J213" s="124"/>
      <c r="K213" s="124"/>
      <c r="L213" s="126"/>
    </row>
    <row r="214" spans="1:12" hidden="1" x14ac:dyDescent="0.25">
      <c r="A214" s="123">
        <f>'RTR v2'!A216</f>
        <v>0</v>
      </c>
      <c r="B214" s="123" t="str">
        <f>'RTR v2'!B216</f>
        <v/>
      </c>
      <c r="C214" s="123" t="str">
        <f>IF('RTR v2'!AV216="","",'RTR v2'!AV216)</f>
        <v/>
      </c>
      <c r="D214" s="124"/>
      <c r="E214" s="124"/>
      <c r="F214" s="124"/>
      <c r="G214" s="124"/>
      <c r="H214" s="124"/>
      <c r="I214" s="124"/>
      <c r="J214" s="124"/>
      <c r="K214" s="124"/>
      <c r="L214" s="126"/>
    </row>
    <row r="215" spans="1:12" hidden="1" x14ac:dyDescent="0.25">
      <c r="A215" s="123">
        <f>'RTR v2'!A217</f>
        <v>0</v>
      </c>
      <c r="B215" s="123" t="str">
        <f>'RTR v2'!B217</f>
        <v/>
      </c>
      <c r="C215" s="123" t="str">
        <f>IF('RTR v2'!AV217="","",'RTR v2'!AV217)</f>
        <v/>
      </c>
      <c r="D215" s="124"/>
      <c r="E215" s="124"/>
      <c r="F215" s="124"/>
      <c r="G215" s="124"/>
      <c r="H215" s="124"/>
      <c r="I215" s="124"/>
      <c r="J215" s="124"/>
      <c r="K215" s="124"/>
      <c r="L215" s="126"/>
    </row>
    <row r="216" spans="1:12" hidden="1" x14ac:dyDescent="0.25">
      <c r="A216" s="123">
        <f>'RTR v2'!A218</f>
        <v>0</v>
      </c>
      <c r="B216" s="123" t="str">
        <f>'RTR v2'!B218</f>
        <v/>
      </c>
      <c r="C216" s="123" t="str">
        <f>IF('RTR v2'!AV218="","",'RTR v2'!AV218)</f>
        <v/>
      </c>
      <c r="D216" s="124"/>
      <c r="E216" s="124"/>
      <c r="F216" s="124"/>
      <c r="G216" s="124"/>
      <c r="H216" s="124"/>
      <c r="I216" s="124"/>
      <c r="J216" s="124"/>
      <c r="K216" s="124"/>
      <c r="L216" s="126"/>
    </row>
    <row r="217" spans="1:12" hidden="1" x14ac:dyDescent="0.25">
      <c r="A217" s="123">
        <f>'RTR v2'!A219</f>
        <v>0</v>
      </c>
      <c r="B217" s="123" t="str">
        <f>'RTR v2'!B219</f>
        <v/>
      </c>
      <c r="C217" s="123" t="str">
        <f>IF('RTR v2'!AV219="","",'RTR v2'!AV219)</f>
        <v/>
      </c>
      <c r="D217" s="124"/>
      <c r="E217" s="124"/>
      <c r="F217" s="124"/>
      <c r="G217" s="124"/>
      <c r="H217" s="124"/>
      <c r="I217" s="124"/>
      <c r="J217" s="124"/>
      <c r="K217" s="124"/>
      <c r="L217" s="126"/>
    </row>
    <row r="218" spans="1:12" hidden="1" x14ac:dyDescent="0.25">
      <c r="A218" s="123">
        <f>'RTR v2'!A220</f>
        <v>0</v>
      </c>
      <c r="B218" s="123" t="str">
        <f>'RTR v2'!B220</f>
        <v/>
      </c>
      <c r="C218" s="123" t="str">
        <f>IF('RTR v2'!AV220="","",'RTR v2'!AV220)</f>
        <v/>
      </c>
      <c r="D218" s="124"/>
      <c r="E218" s="124"/>
      <c r="F218" s="124"/>
      <c r="G218" s="124"/>
      <c r="H218" s="124"/>
      <c r="I218" s="124"/>
      <c r="J218" s="124"/>
      <c r="K218" s="124"/>
      <c r="L218" s="126"/>
    </row>
    <row r="219" spans="1:12" hidden="1" x14ac:dyDescent="0.25">
      <c r="A219" s="123">
        <f>'RTR v2'!A221</f>
        <v>0</v>
      </c>
      <c r="B219" s="123" t="str">
        <f>'RTR v2'!B221</f>
        <v/>
      </c>
      <c r="C219" s="123" t="str">
        <f>IF('RTR v2'!AV221="","",'RTR v2'!AV221)</f>
        <v/>
      </c>
      <c r="D219" s="124"/>
      <c r="E219" s="124"/>
      <c r="F219" s="124"/>
      <c r="G219" s="124"/>
      <c r="H219" s="124"/>
      <c r="I219" s="124"/>
      <c r="J219" s="124"/>
      <c r="K219" s="124"/>
      <c r="L219" s="126"/>
    </row>
    <row r="220" spans="1:12" hidden="1" x14ac:dyDescent="0.25">
      <c r="A220" s="123">
        <f>'RTR v2'!A222</f>
        <v>0</v>
      </c>
      <c r="B220" s="123" t="str">
        <f>'RTR v2'!B222</f>
        <v/>
      </c>
      <c r="C220" s="123" t="str">
        <f>IF('RTR v2'!AV222="","",'RTR v2'!AV222)</f>
        <v/>
      </c>
      <c r="D220" s="124"/>
      <c r="E220" s="124"/>
      <c r="F220" s="124"/>
      <c r="G220" s="124"/>
      <c r="H220" s="124"/>
      <c r="I220" s="124"/>
      <c r="J220" s="124"/>
      <c r="K220" s="124"/>
      <c r="L220" s="126"/>
    </row>
    <row r="221" spans="1:12" hidden="1" x14ac:dyDescent="0.25">
      <c r="A221" s="123">
        <f>'RTR v2'!A223</f>
        <v>0</v>
      </c>
      <c r="B221" s="123" t="str">
        <f>'RTR v2'!B223</f>
        <v/>
      </c>
      <c r="C221" s="123" t="str">
        <f>IF('RTR v2'!AV223="","",'RTR v2'!AV223)</f>
        <v/>
      </c>
      <c r="D221" s="124"/>
      <c r="E221" s="124"/>
      <c r="F221" s="124"/>
      <c r="G221" s="124"/>
      <c r="H221" s="124"/>
      <c r="I221" s="124"/>
      <c r="J221" s="124"/>
      <c r="K221" s="124"/>
      <c r="L221" s="126"/>
    </row>
    <row r="222" spans="1:12" hidden="1" x14ac:dyDescent="0.25">
      <c r="A222" s="123">
        <f>'RTR v2'!A224</f>
        <v>0</v>
      </c>
      <c r="B222" s="123" t="str">
        <f>'RTR v2'!B224</f>
        <v/>
      </c>
      <c r="C222" s="123" t="str">
        <f>IF('RTR v2'!AV224="","",'RTR v2'!AV224)</f>
        <v/>
      </c>
      <c r="D222" s="124"/>
      <c r="E222" s="124"/>
      <c r="F222" s="124"/>
      <c r="G222" s="124"/>
      <c r="H222" s="124"/>
      <c r="I222" s="124"/>
      <c r="J222" s="124"/>
      <c r="K222" s="124"/>
      <c r="L222" s="126"/>
    </row>
    <row r="223" spans="1:12" hidden="1" x14ac:dyDescent="0.25">
      <c r="A223" s="123">
        <f>'RTR v2'!A225</f>
        <v>0</v>
      </c>
      <c r="B223" s="123" t="str">
        <f>'RTR v2'!B225</f>
        <v/>
      </c>
      <c r="C223" s="123" t="str">
        <f>IF('RTR v2'!AV225="","",'RTR v2'!AV225)</f>
        <v/>
      </c>
      <c r="D223" s="124"/>
      <c r="E223" s="124"/>
      <c r="F223" s="124"/>
      <c r="G223" s="124"/>
      <c r="H223" s="124"/>
      <c r="I223" s="124"/>
      <c r="J223" s="124"/>
      <c r="K223" s="124"/>
      <c r="L223" s="126"/>
    </row>
    <row r="224" spans="1:12" hidden="1" x14ac:dyDescent="0.25">
      <c r="A224" s="123">
        <f>'RTR v2'!A226</f>
        <v>0</v>
      </c>
      <c r="B224" s="123" t="str">
        <f>'RTR v2'!B226</f>
        <v/>
      </c>
      <c r="C224" s="123" t="str">
        <f>IF('RTR v2'!AV226="","",'RTR v2'!AV226)</f>
        <v/>
      </c>
      <c r="D224" s="124"/>
      <c r="E224" s="124"/>
      <c r="F224" s="124"/>
      <c r="G224" s="124"/>
      <c r="H224" s="124"/>
      <c r="I224" s="124"/>
      <c r="J224" s="124"/>
      <c r="K224" s="124"/>
      <c r="L224" s="126"/>
    </row>
    <row r="225" spans="1:12" hidden="1" x14ac:dyDescent="0.25">
      <c r="A225" s="123">
        <f>'RTR v2'!A227</f>
        <v>0</v>
      </c>
      <c r="B225" s="123" t="str">
        <f>'RTR v2'!B227</f>
        <v/>
      </c>
      <c r="C225" s="123" t="str">
        <f>IF('RTR v2'!AV227="","",'RTR v2'!AV227)</f>
        <v/>
      </c>
      <c r="D225" s="124"/>
      <c r="E225" s="124"/>
      <c r="F225" s="124"/>
      <c r="G225" s="124"/>
      <c r="H225" s="124"/>
      <c r="I225" s="124"/>
      <c r="J225" s="124"/>
      <c r="K225" s="124"/>
      <c r="L225" s="126"/>
    </row>
    <row r="226" spans="1:12" hidden="1" x14ac:dyDescent="0.25">
      <c r="A226" s="123">
        <f>'RTR v2'!A228</f>
        <v>0</v>
      </c>
      <c r="B226" s="123" t="str">
        <f>'RTR v2'!B228</f>
        <v/>
      </c>
      <c r="C226" s="123" t="str">
        <f>IF('RTR v2'!AV228="","",'RTR v2'!AV228)</f>
        <v/>
      </c>
      <c r="D226" s="124"/>
      <c r="E226" s="124"/>
      <c r="F226" s="124"/>
      <c r="G226" s="124"/>
      <c r="H226" s="124"/>
      <c r="I226" s="124"/>
      <c r="J226" s="124"/>
      <c r="K226" s="124"/>
      <c r="L226" s="126"/>
    </row>
    <row r="227" spans="1:12" hidden="1" x14ac:dyDescent="0.25">
      <c r="A227" s="123">
        <f>'RTR v2'!A229</f>
        <v>0</v>
      </c>
      <c r="B227" s="123" t="str">
        <f>'RTR v2'!B229</f>
        <v/>
      </c>
      <c r="C227" s="123" t="str">
        <f>IF('RTR v2'!AV229="","",'RTR v2'!AV229)</f>
        <v/>
      </c>
      <c r="D227" s="124"/>
      <c r="E227" s="124"/>
      <c r="F227" s="124"/>
      <c r="G227" s="124"/>
      <c r="H227" s="124"/>
      <c r="I227" s="124"/>
      <c r="J227" s="124"/>
      <c r="K227" s="124"/>
      <c r="L227" s="126"/>
    </row>
    <row r="228" spans="1:12" hidden="1" x14ac:dyDescent="0.25">
      <c r="A228" s="123">
        <f>'RTR v2'!A230</f>
        <v>0</v>
      </c>
      <c r="B228" s="123" t="str">
        <f>'RTR v2'!B230</f>
        <v/>
      </c>
      <c r="C228" s="123" t="str">
        <f>IF('RTR v2'!AV230="","",'RTR v2'!AV230)</f>
        <v/>
      </c>
      <c r="D228" s="124"/>
      <c r="E228" s="124"/>
      <c r="F228" s="124"/>
      <c r="G228" s="124"/>
      <c r="H228" s="124"/>
      <c r="I228" s="124"/>
      <c r="J228" s="124"/>
      <c r="K228" s="124"/>
      <c r="L228" s="126"/>
    </row>
    <row r="229" spans="1:12" hidden="1" x14ac:dyDescent="0.25">
      <c r="A229" s="123">
        <f>'RTR v2'!A231</f>
        <v>0</v>
      </c>
      <c r="B229" s="123" t="str">
        <f>'RTR v2'!B231</f>
        <v/>
      </c>
      <c r="C229" s="123" t="str">
        <f>IF('RTR v2'!AV231="","",'RTR v2'!AV231)</f>
        <v/>
      </c>
      <c r="D229" s="124"/>
      <c r="E229" s="124"/>
      <c r="F229" s="124"/>
      <c r="G229" s="124"/>
      <c r="H229" s="124"/>
      <c r="I229" s="124"/>
      <c r="J229" s="124"/>
      <c r="K229" s="124"/>
      <c r="L229" s="126"/>
    </row>
    <row r="230" spans="1:12" hidden="1" x14ac:dyDescent="0.25">
      <c r="A230" s="123">
        <f>'RTR v2'!A232</f>
        <v>0</v>
      </c>
      <c r="B230" s="123" t="str">
        <f>'RTR v2'!B232</f>
        <v/>
      </c>
      <c r="C230" s="123" t="str">
        <f>IF('RTR v2'!AV232="","",'RTR v2'!AV232)</f>
        <v/>
      </c>
      <c r="D230" s="124"/>
      <c r="E230" s="124"/>
      <c r="F230" s="124"/>
      <c r="G230" s="124"/>
      <c r="H230" s="124"/>
      <c r="I230" s="124"/>
      <c r="J230" s="124"/>
      <c r="K230" s="124"/>
      <c r="L230" s="126"/>
    </row>
    <row r="231" spans="1:12" hidden="1" x14ac:dyDescent="0.25">
      <c r="A231" s="123">
        <f>'RTR v2'!A233</f>
        <v>0</v>
      </c>
      <c r="B231" s="123" t="str">
        <f>'RTR v2'!B233</f>
        <v/>
      </c>
      <c r="C231" s="123" t="str">
        <f>IF('RTR v2'!AV233="","",'RTR v2'!AV233)</f>
        <v/>
      </c>
      <c r="D231" s="124"/>
      <c r="E231" s="124"/>
      <c r="F231" s="124"/>
      <c r="G231" s="124"/>
      <c r="H231" s="124"/>
      <c r="I231" s="124"/>
      <c r="J231" s="124"/>
      <c r="K231" s="124"/>
      <c r="L231" s="126"/>
    </row>
    <row r="232" spans="1:12" hidden="1" x14ac:dyDescent="0.25">
      <c r="A232" s="123">
        <f>'RTR v2'!A234</f>
        <v>0</v>
      </c>
      <c r="B232" s="123" t="str">
        <f>'RTR v2'!B234</f>
        <v/>
      </c>
      <c r="C232" s="123" t="str">
        <f>IF('RTR v2'!AV234="","",'RTR v2'!AV234)</f>
        <v/>
      </c>
      <c r="D232" s="124"/>
      <c r="E232" s="124"/>
      <c r="F232" s="124"/>
      <c r="G232" s="124"/>
      <c r="H232" s="124"/>
      <c r="I232" s="124"/>
      <c r="J232" s="124"/>
      <c r="K232" s="124"/>
      <c r="L232" s="126"/>
    </row>
    <row r="233" spans="1:12" hidden="1" x14ac:dyDescent="0.25">
      <c r="A233" s="123">
        <f>'RTR v2'!A235</f>
        <v>0</v>
      </c>
      <c r="B233" s="123" t="str">
        <f>'RTR v2'!B235</f>
        <v/>
      </c>
      <c r="C233" s="123" t="str">
        <f>IF('RTR v2'!AV235="","",'RTR v2'!AV235)</f>
        <v/>
      </c>
      <c r="D233" s="124"/>
      <c r="E233" s="124"/>
      <c r="F233" s="124"/>
      <c r="G233" s="124"/>
      <c r="H233" s="124"/>
      <c r="I233" s="124"/>
      <c r="J233" s="124"/>
      <c r="K233" s="124"/>
      <c r="L233" s="126"/>
    </row>
    <row r="234" spans="1:12" hidden="1" x14ac:dyDescent="0.25">
      <c r="A234" s="123">
        <f>'RTR v2'!A236</f>
        <v>0</v>
      </c>
      <c r="B234" s="123" t="str">
        <f>'RTR v2'!B236</f>
        <v/>
      </c>
      <c r="C234" s="123" t="str">
        <f>IF('RTR v2'!AV236="","",'RTR v2'!AV236)</f>
        <v/>
      </c>
      <c r="D234" s="124"/>
      <c r="E234" s="124"/>
      <c r="F234" s="124"/>
      <c r="G234" s="124"/>
      <c r="H234" s="124"/>
      <c r="I234" s="124"/>
      <c r="J234" s="124"/>
      <c r="K234" s="124"/>
      <c r="L234" s="126"/>
    </row>
    <row r="235" spans="1:12" hidden="1" x14ac:dyDescent="0.25">
      <c r="A235" s="123">
        <f>'RTR v2'!A237</f>
        <v>0</v>
      </c>
      <c r="B235" s="123" t="str">
        <f>'RTR v2'!B237</f>
        <v/>
      </c>
      <c r="C235" s="123" t="str">
        <f>IF('RTR v2'!AV237="","",'RTR v2'!AV237)</f>
        <v/>
      </c>
      <c r="D235" s="124"/>
      <c r="E235" s="124"/>
      <c r="F235" s="124"/>
      <c r="G235" s="124"/>
      <c r="H235" s="124"/>
      <c r="I235" s="124"/>
      <c r="J235" s="124"/>
      <c r="K235" s="124"/>
      <c r="L235" s="126"/>
    </row>
    <row r="236" spans="1:12" hidden="1" x14ac:dyDescent="0.25">
      <c r="A236" s="123">
        <f>'RTR v2'!A238</f>
        <v>0</v>
      </c>
      <c r="B236" s="123" t="str">
        <f>'RTR v2'!B238</f>
        <v/>
      </c>
      <c r="C236" s="123" t="str">
        <f>IF('RTR v2'!AV238="","",'RTR v2'!AV238)</f>
        <v/>
      </c>
      <c r="D236" s="124"/>
      <c r="E236" s="124"/>
      <c r="F236" s="124"/>
      <c r="G236" s="124"/>
      <c r="H236" s="124"/>
      <c r="I236" s="124"/>
      <c r="J236" s="124"/>
      <c r="K236" s="124"/>
      <c r="L236" s="126"/>
    </row>
    <row r="237" spans="1:12" hidden="1" x14ac:dyDescent="0.25">
      <c r="A237" s="123">
        <f>'RTR v2'!A239</f>
        <v>0</v>
      </c>
      <c r="B237" s="123" t="str">
        <f>'RTR v2'!B239</f>
        <v/>
      </c>
      <c r="C237" s="123" t="str">
        <f>IF('RTR v2'!AV239="","",'RTR v2'!AV239)</f>
        <v/>
      </c>
      <c r="D237" s="124"/>
      <c r="E237" s="124"/>
      <c r="F237" s="124"/>
      <c r="G237" s="124"/>
      <c r="H237" s="124"/>
      <c r="I237" s="124"/>
      <c r="J237" s="124"/>
      <c r="K237" s="124"/>
      <c r="L237" s="126"/>
    </row>
    <row r="238" spans="1:12" hidden="1" x14ac:dyDescent="0.25">
      <c r="A238" s="123">
        <f>'RTR v2'!A240</f>
        <v>0</v>
      </c>
      <c r="B238" s="123" t="str">
        <f>'RTR v2'!B240</f>
        <v/>
      </c>
      <c r="C238" s="123" t="str">
        <f>IF('RTR v2'!AV240="","",'RTR v2'!AV240)</f>
        <v/>
      </c>
      <c r="D238" s="124"/>
      <c r="E238" s="124"/>
      <c r="F238" s="124"/>
      <c r="G238" s="124"/>
      <c r="H238" s="124"/>
      <c r="I238" s="124"/>
      <c r="J238" s="124"/>
      <c r="K238" s="124"/>
      <c r="L238" s="126"/>
    </row>
    <row r="239" spans="1:12" hidden="1" x14ac:dyDescent="0.25">
      <c r="A239" s="123">
        <f>'RTR v2'!A241</f>
        <v>0</v>
      </c>
      <c r="B239" s="123" t="str">
        <f>'RTR v2'!B241</f>
        <v/>
      </c>
      <c r="C239" s="123" t="str">
        <f>IF('RTR v2'!AV241="","",'RTR v2'!AV241)</f>
        <v/>
      </c>
      <c r="D239" s="124"/>
      <c r="E239" s="124"/>
      <c r="F239" s="124"/>
      <c r="G239" s="124"/>
      <c r="H239" s="124"/>
      <c r="I239" s="124"/>
      <c r="J239" s="124"/>
      <c r="K239" s="124"/>
      <c r="L239" s="126"/>
    </row>
    <row r="240" spans="1:12" hidden="1" x14ac:dyDescent="0.25">
      <c r="A240" s="123">
        <f>'RTR v2'!A242</f>
        <v>0</v>
      </c>
      <c r="B240" s="123" t="str">
        <f>'RTR v2'!B242</f>
        <v/>
      </c>
      <c r="C240" s="123" t="str">
        <f>IF('RTR v2'!AV242="","",'RTR v2'!AV242)</f>
        <v/>
      </c>
      <c r="D240" s="124"/>
      <c r="E240" s="124"/>
      <c r="F240" s="124"/>
      <c r="G240" s="124"/>
      <c r="H240" s="124"/>
      <c r="I240" s="124"/>
      <c r="J240" s="124"/>
      <c r="K240" s="124"/>
      <c r="L240" s="126"/>
    </row>
    <row r="241" spans="1:12" hidden="1" x14ac:dyDescent="0.25">
      <c r="A241" s="123">
        <f>'RTR v2'!A243</f>
        <v>0</v>
      </c>
      <c r="B241" s="123" t="str">
        <f>'RTR v2'!B243</f>
        <v/>
      </c>
      <c r="C241" s="123" t="str">
        <f>IF('RTR v2'!AV243="","",'RTR v2'!AV243)</f>
        <v/>
      </c>
      <c r="D241" s="124"/>
      <c r="E241" s="124"/>
      <c r="F241" s="124"/>
      <c r="G241" s="124"/>
      <c r="H241" s="124"/>
      <c r="I241" s="124"/>
      <c r="J241" s="124"/>
      <c r="K241" s="124"/>
      <c r="L241" s="126"/>
    </row>
    <row r="242" spans="1:12" hidden="1" x14ac:dyDescent="0.25">
      <c r="A242" s="123">
        <f>'RTR v2'!A244</f>
        <v>0</v>
      </c>
      <c r="B242" s="123" t="str">
        <f>'RTR v2'!B244</f>
        <v/>
      </c>
      <c r="C242" s="123" t="str">
        <f>IF('RTR v2'!AV244="","",'RTR v2'!AV244)</f>
        <v/>
      </c>
      <c r="D242" s="124"/>
      <c r="E242" s="124"/>
      <c r="F242" s="124"/>
      <c r="G242" s="124"/>
      <c r="H242" s="124"/>
      <c r="I242" s="124"/>
      <c r="J242" s="124"/>
      <c r="K242" s="124"/>
      <c r="L242" s="126"/>
    </row>
    <row r="243" spans="1:12" hidden="1" x14ac:dyDescent="0.25">
      <c r="A243" s="123">
        <f>'RTR v2'!A245</f>
        <v>0</v>
      </c>
      <c r="B243" s="123" t="str">
        <f>'RTR v2'!B245</f>
        <v/>
      </c>
      <c r="C243" s="123" t="str">
        <f>IF('RTR v2'!AV245="","",'RTR v2'!AV245)</f>
        <v/>
      </c>
      <c r="D243" s="124"/>
      <c r="E243" s="124"/>
      <c r="F243" s="124"/>
      <c r="G243" s="124"/>
      <c r="H243" s="124"/>
      <c r="I243" s="124"/>
      <c r="J243" s="124"/>
      <c r="K243" s="124"/>
      <c r="L243" s="126"/>
    </row>
    <row r="244" spans="1:12" hidden="1" x14ac:dyDescent="0.25">
      <c r="A244" s="123">
        <f>'RTR v2'!A246</f>
        <v>0</v>
      </c>
      <c r="B244" s="123" t="str">
        <f>'RTR v2'!B246</f>
        <v/>
      </c>
      <c r="C244" s="123" t="str">
        <f>IF('RTR v2'!AV246="","",'RTR v2'!AV246)</f>
        <v/>
      </c>
      <c r="D244" s="124"/>
      <c r="E244" s="124"/>
      <c r="F244" s="124"/>
      <c r="G244" s="124"/>
      <c r="H244" s="124"/>
      <c r="I244" s="124"/>
      <c r="J244" s="124"/>
      <c r="K244" s="124"/>
      <c r="L244" s="126"/>
    </row>
    <row r="245" spans="1:12" hidden="1" x14ac:dyDescent="0.25">
      <c r="A245" s="123">
        <f>'RTR v2'!A247</f>
        <v>0</v>
      </c>
      <c r="B245" s="123" t="str">
        <f>'RTR v2'!B247</f>
        <v/>
      </c>
      <c r="C245" s="123" t="str">
        <f>IF('RTR v2'!AV247="","",'RTR v2'!AV247)</f>
        <v/>
      </c>
      <c r="D245" s="124"/>
      <c r="E245" s="124"/>
      <c r="F245" s="124"/>
      <c r="G245" s="124"/>
      <c r="H245" s="124"/>
      <c r="I245" s="124"/>
      <c r="J245" s="124"/>
      <c r="K245" s="124"/>
      <c r="L245" s="126"/>
    </row>
    <row r="246" spans="1:12" hidden="1" x14ac:dyDescent="0.25">
      <c r="A246" s="123">
        <f>'RTR v2'!A248</f>
        <v>0</v>
      </c>
      <c r="B246" s="123" t="str">
        <f>'RTR v2'!B248</f>
        <v/>
      </c>
      <c r="C246" s="123" t="str">
        <f>IF('RTR v2'!AV248="","",'RTR v2'!AV248)</f>
        <v/>
      </c>
      <c r="D246" s="124"/>
      <c r="E246" s="124"/>
      <c r="F246" s="124"/>
      <c r="G246" s="124"/>
      <c r="H246" s="124"/>
      <c r="I246" s="124"/>
      <c r="J246" s="124"/>
      <c r="K246" s="124"/>
      <c r="L246" s="126"/>
    </row>
    <row r="247" spans="1:12" hidden="1" x14ac:dyDescent="0.25">
      <c r="A247" s="123">
        <f>'RTR v2'!A249</f>
        <v>0</v>
      </c>
      <c r="B247" s="123" t="str">
        <f>'RTR v2'!B249</f>
        <v/>
      </c>
      <c r="C247" s="123" t="str">
        <f>IF('RTR v2'!AV249="","",'RTR v2'!AV249)</f>
        <v/>
      </c>
      <c r="D247" s="124"/>
      <c r="E247" s="124"/>
      <c r="F247" s="124"/>
      <c r="G247" s="124"/>
      <c r="H247" s="124"/>
      <c r="I247" s="124"/>
      <c r="J247" s="124"/>
      <c r="K247" s="124"/>
      <c r="L247" s="126"/>
    </row>
    <row r="248" spans="1:12" hidden="1" x14ac:dyDescent="0.25">
      <c r="A248" s="123">
        <f>'RTR v2'!A250</f>
        <v>0</v>
      </c>
      <c r="B248" s="123" t="str">
        <f>'RTR v2'!B250</f>
        <v/>
      </c>
      <c r="C248" s="123" t="str">
        <f>IF('RTR v2'!AV250="","",'RTR v2'!AV250)</f>
        <v/>
      </c>
      <c r="D248" s="124"/>
      <c r="E248" s="124"/>
      <c r="F248" s="124"/>
      <c r="G248" s="124"/>
      <c r="H248" s="124"/>
      <c r="I248" s="124"/>
      <c r="J248" s="124"/>
      <c r="K248" s="124"/>
      <c r="L248" s="126"/>
    </row>
    <row r="249" spans="1:12" hidden="1" x14ac:dyDescent="0.25">
      <c r="A249" s="123">
        <f>'RTR v2'!A251</f>
        <v>0</v>
      </c>
      <c r="B249" s="123" t="str">
        <f>'RTR v2'!B251</f>
        <v/>
      </c>
      <c r="C249" s="123" t="str">
        <f>IF('RTR v2'!AV251="","",'RTR v2'!AV251)</f>
        <v/>
      </c>
      <c r="D249" s="124"/>
      <c r="E249" s="124"/>
      <c r="F249" s="124"/>
      <c r="G249" s="124"/>
      <c r="H249" s="124"/>
      <c r="I249" s="124"/>
      <c r="J249" s="124"/>
      <c r="K249" s="124"/>
      <c r="L249" s="126"/>
    </row>
    <row r="250" spans="1:12" hidden="1" x14ac:dyDescent="0.25">
      <c r="A250" s="123">
        <f>'RTR v2'!A252</f>
        <v>0</v>
      </c>
      <c r="B250" s="123" t="str">
        <f>'RTR v2'!B252</f>
        <v/>
      </c>
      <c r="C250" s="123" t="str">
        <f>IF('RTR v2'!AV252="","",'RTR v2'!AV252)</f>
        <v/>
      </c>
      <c r="D250" s="124"/>
      <c r="E250" s="124"/>
      <c r="F250" s="124"/>
      <c r="G250" s="124"/>
      <c r="H250" s="124"/>
      <c r="I250" s="124"/>
      <c r="J250" s="124"/>
      <c r="K250" s="124"/>
      <c r="L250" s="126"/>
    </row>
    <row r="251" spans="1:12" hidden="1" x14ac:dyDescent="0.25">
      <c r="A251" s="123">
        <f>'RTR v2'!A253</f>
        <v>0</v>
      </c>
      <c r="B251" s="123" t="str">
        <f>'RTR v2'!B253</f>
        <v/>
      </c>
      <c r="C251" s="123" t="str">
        <f>IF('RTR v2'!AV253="","",'RTR v2'!AV253)</f>
        <v/>
      </c>
      <c r="D251" s="124"/>
      <c r="E251" s="124"/>
      <c r="F251" s="124"/>
      <c r="G251" s="124"/>
      <c r="H251" s="124"/>
      <c r="I251" s="124"/>
      <c r="J251" s="124"/>
      <c r="K251" s="124"/>
      <c r="L251" s="126"/>
    </row>
    <row r="252" spans="1:12" hidden="1" x14ac:dyDescent="0.25">
      <c r="A252" s="123">
        <f>'RTR v2'!A254</f>
        <v>0</v>
      </c>
      <c r="B252" s="123" t="str">
        <f>'RTR v2'!B254</f>
        <v/>
      </c>
      <c r="C252" s="123" t="str">
        <f>IF('RTR v2'!AV254="","",'RTR v2'!AV254)</f>
        <v/>
      </c>
      <c r="D252" s="124"/>
      <c r="E252" s="124"/>
      <c r="F252" s="124"/>
      <c r="G252" s="124"/>
      <c r="H252" s="124"/>
      <c r="I252" s="124"/>
      <c r="J252" s="124"/>
      <c r="K252" s="124"/>
      <c r="L252" s="126"/>
    </row>
    <row r="253" spans="1:12" hidden="1" x14ac:dyDescent="0.25">
      <c r="A253" s="123">
        <f>'RTR v2'!A255</f>
        <v>0</v>
      </c>
      <c r="B253" s="123" t="str">
        <f>'RTR v2'!B255</f>
        <v/>
      </c>
      <c r="C253" s="123" t="str">
        <f>IF('RTR v2'!AV255="","",'RTR v2'!AV255)</f>
        <v/>
      </c>
      <c r="D253" s="124"/>
      <c r="E253" s="124"/>
      <c r="F253" s="124"/>
      <c r="G253" s="124"/>
      <c r="H253" s="124"/>
      <c r="I253" s="124"/>
      <c r="J253" s="124"/>
      <c r="K253" s="124"/>
      <c r="L253" s="126"/>
    </row>
    <row r="254" spans="1:12" hidden="1" x14ac:dyDescent="0.25">
      <c r="A254" s="123">
        <f>'RTR v2'!A256</f>
        <v>0</v>
      </c>
      <c r="B254" s="123" t="str">
        <f>'RTR v2'!B256</f>
        <v/>
      </c>
      <c r="C254" s="123" t="str">
        <f>IF('RTR v2'!AV256="","",'RTR v2'!AV256)</f>
        <v/>
      </c>
      <c r="D254" s="124"/>
      <c r="E254" s="124"/>
      <c r="F254" s="124"/>
      <c r="G254" s="124"/>
      <c r="H254" s="124"/>
      <c r="I254" s="124"/>
      <c r="J254" s="124"/>
      <c r="K254" s="124"/>
      <c r="L254" s="126"/>
    </row>
    <row r="255" spans="1:12" hidden="1" x14ac:dyDescent="0.25">
      <c r="A255" s="123">
        <f>'RTR v2'!A257</f>
        <v>0</v>
      </c>
      <c r="B255" s="123" t="str">
        <f>'RTR v2'!B257</f>
        <v/>
      </c>
      <c r="C255" s="123" t="str">
        <f>IF('RTR v2'!AV257="","",'RTR v2'!AV257)</f>
        <v/>
      </c>
      <c r="D255" s="124"/>
      <c r="E255" s="124"/>
      <c r="F255" s="124"/>
      <c r="G255" s="124"/>
      <c r="H255" s="124"/>
      <c r="I255" s="124"/>
      <c r="J255" s="124"/>
      <c r="K255" s="124"/>
      <c r="L255" s="126"/>
    </row>
    <row r="256" spans="1:12" hidden="1" x14ac:dyDescent="0.25">
      <c r="A256" s="123">
        <f>'RTR v2'!A258</f>
        <v>0</v>
      </c>
      <c r="B256" s="123" t="str">
        <f>'RTR v2'!B258</f>
        <v/>
      </c>
      <c r="C256" s="123" t="str">
        <f>IF('RTR v2'!AV258="","",'RTR v2'!AV258)</f>
        <v/>
      </c>
      <c r="D256" s="124"/>
      <c r="E256" s="124"/>
      <c r="F256" s="124"/>
      <c r="G256" s="124"/>
      <c r="H256" s="124"/>
      <c r="I256" s="124"/>
      <c r="J256" s="124"/>
      <c r="K256" s="124"/>
      <c r="L256" s="126"/>
    </row>
    <row r="257" spans="1:12" hidden="1" x14ac:dyDescent="0.25">
      <c r="A257" s="123">
        <f>'RTR v2'!A259</f>
        <v>0</v>
      </c>
      <c r="B257" s="123" t="str">
        <f>'RTR v2'!B259</f>
        <v/>
      </c>
      <c r="C257" s="123" t="str">
        <f>IF('RTR v2'!AV259="","",'RTR v2'!AV259)</f>
        <v/>
      </c>
      <c r="D257" s="124"/>
      <c r="E257" s="124"/>
      <c r="F257" s="124"/>
      <c r="G257" s="124"/>
      <c r="H257" s="124"/>
      <c r="I257" s="124"/>
      <c r="J257" s="124"/>
      <c r="K257" s="124"/>
      <c r="L257" s="126"/>
    </row>
    <row r="258" spans="1:12" hidden="1" x14ac:dyDescent="0.25">
      <c r="A258" s="123">
        <f>'RTR v2'!A260</f>
        <v>0</v>
      </c>
      <c r="B258" s="123" t="str">
        <f>'RTR v2'!B260</f>
        <v/>
      </c>
      <c r="C258" s="123" t="str">
        <f>IF('RTR v2'!AV260="","",'RTR v2'!AV260)</f>
        <v/>
      </c>
      <c r="D258" s="124"/>
      <c r="E258" s="124"/>
      <c r="F258" s="124"/>
      <c r="G258" s="124"/>
      <c r="H258" s="124"/>
      <c r="I258" s="124"/>
      <c r="J258" s="124"/>
      <c r="K258" s="124"/>
      <c r="L258" s="126"/>
    </row>
    <row r="259" spans="1:12" hidden="1" x14ac:dyDescent="0.25">
      <c r="A259" s="123">
        <f>'RTR v2'!A261</f>
        <v>0</v>
      </c>
      <c r="B259" s="123">
        <f>'RTR v2'!B261</f>
        <v>0</v>
      </c>
      <c r="C259" s="123" t="str">
        <f>IF('RTR v2'!AV261="","",'RTR v2'!AV261)</f>
        <v/>
      </c>
      <c r="D259" s="124"/>
      <c r="E259" s="124"/>
      <c r="F259" s="124"/>
      <c r="G259" s="124"/>
      <c r="H259" s="124"/>
      <c r="I259" s="124"/>
      <c r="J259" s="124"/>
      <c r="K259" s="124"/>
      <c r="L259" s="126"/>
    </row>
    <row r="260" spans="1:12" hidden="1" x14ac:dyDescent="0.25">
      <c r="A260" s="123">
        <f>'RTR v2'!A262</f>
        <v>0</v>
      </c>
      <c r="B260" s="123">
        <f>'RTR v2'!B262</f>
        <v>0</v>
      </c>
      <c r="C260" s="123" t="str">
        <f>IF('RTR v2'!AV262="","",'RTR v2'!AV262)</f>
        <v/>
      </c>
      <c r="D260" s="124"/>
      <c r="E260" s="124"/>
      <c r="F260" s="124"/>
      <c r="G260" s="124"/>
      <c r="H260" s="124"/>
      <c r="I260" s="124"/>
      <c r="J260" s="124"/>
      <c r="K260" s="124"/>
      <c r="L260" s="126"/>
    </row>
    <row r="261" spans="1:12" hidden="1" x14ac:dyDescent="0.25">
      <c r="A261" s="123">
        <f>'RTR v2'!A263</f>
        <v>0</v>
      </c>
      <c r="B261" s="123">
        <f>'RTR v2'!B263</f>
        <v>0</v>
      </c>
      <c r="C261" s="123" t="str">
        <f>IF('RTR v2'!AV263="","",'RTR v2'!AV263)</f>
        <v/>
      </c>
      <c r="D261" s="124"/>
      <c r="E261" s="124"/>
      <c r="F261" s="124"/>
      <c r="G261" s="124"/>
      <c r="H261" s="124"/>
      <c r="I261" s="124"/>
      <c r="J261" s="124"/>
      <c r="K261" s="124"/>
      <c r="L261" s="126"/>
    </row>
  </sheetData>
  <autoFilter ref="A2:L261" xr:uid="{00000000-0009-0000-0000-000008000000}">
    <filterColumn colId="2">
      <filters>
        <dateGroupItem year="2026" month="2" dateTimeGrouping="month"/>
        <dateGroupItem year="2026" month="3" dateTimeGrouping="month"/>
        <dateGroupItem year="2026" month="4" dateTimeGrouping="month"/>
      </filters>
    </filterColumn>
  </autoFilter>
  <mergeCells count="1">
    <mergeCell ref="A1:B1"/>
  </mergeCells>
  <pageMargins left="0.32986111111111099" right="0.2" top="0.25" bottom="0.43958333333333299" header="0.511811023622047" footer="0.209722222222222"/>
  <pageSetup fitToHeight="0" orientation="landscape" horizontalDpi="300" verticalDpi="300"/>
  <headerFooter>
    <oddFooter>&amp;L&amp;D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749"/>
  <sheetViews>
    <sheetView zoomScaleNormal="100" workbookViewId="0">
      <pane xSplit="1" ySplit="4" topLeftCell="B731" activePane="bottomRight" state="frozen"/>
      <selection pane="topRight" activeCell="B1" sqref="B1"/>
      <selection pane="bottomLeft" activeCell="A731" sqref="A731"/>
      <selection pane="bottomRight" activeCell="M743" sqref="M743"/>
    </sheetView>
  </sheetViews>
  <sheetFormatPr defaultColWidth="8.7109375" defaultRowHeight="15" x14ac:dyDescent="0.25"/>
  <cols>
    <col min="1" max="1" width="5.7109375" customWidth="1"/>
    <col min="2" max="2" width="15.85546875" customWidth="1"/>
    <col min="3" max="3" width="11.140625" customWidth="1"/>
    <col min="4" max="14" width="10.7109375" customWidth="1"/>
    <col min="15" max="15" width="10.85546875" customWidth="1"/>
    <col min="16" max="16" width="11.28515625" customWidth="1"/>
    <col min="17" max="17" width="14.28515625" customWidth="1"/>
  </cols>
  <sheetData>
    <row r="1" spans="1:33" ht="21" customHeight="1" x14ac:dyDescent="0.35">
      <c r="A1" s="181" t="s">
        <v>379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</row>
    <row r="3" spans="1:33" s="61" customFormat="1" ht="15" customHeight="1" x14ac:dyDescent="0.25">
      <c r="A3" s="182" t="s">
        <v>380</v>
      </c>
      <c r="B3" s="182" t="s">
        <v>381</v>
      </c>
      <c r="C3" s="182" t="s">
        <v>382</v>
      </c>
      <c r="D3" s="183" t="s">
        <v>383</v>
      </c>
      <c r="E3" s="183"/>
      <c r="F3" s="182" t="s">
        <v>384</v>
      </c>
      <c r="G3" s="182"/>
      <c r="H3" s="182" t="s">
        <v>385</v>
      </c>
      <c r="I3" s="182"/>
      <c r="J3" s="182" t="s">
        <v>386</v>
      </c>
      <c r="K3" s="182"/>
      <c r="L3" s="182" t="s">
        <v>387</v>
      </c>
      <c r="M3" s="184" t="s">
        <v>388</v>
      </c>
      <c r="N3" s="184"/>
      <c r="O3" s="184" t="s">
        <v>389</v>
      </c>
      <c r="P3" s="185" t="s">
        <v>390</v>
      </c>
      <c r="Q3" s="184" t="s">
        <v>391</v>
      </c>
      <c r="R3" s="178" t="s">
        <v>392</v>
      </c>
      <c r="S3" s="178"/>
      <c r="T3" s="128"/>
      <c r="U3" s="128"/>
      <c r="V3" s="128"/>
      <c r="W3" s="128"/>
      <c r="X3" s="128"/>
      <c r="Y3" s="128"/>
      <c r="Z3" s="128"/>
      <c r="AA3" s="128"/>
      <c r="AB3" s="128"/>
      <c r="AD3" s="179" t="s">
        <v>393</v>
      </c>
      <c r="AE3" s="180" t="s">
        <v>394</v>
      </c>
      <c r="AF3" s="179" t="s">
        <v>395</v>
      </c>
      <c r="AG3" s="180" t="s">
        <v>396</v>
      </c>
    </row>
    <row r="4" spans="1:33" s="59" customFormat="1" ht="15.75" customHeight="1" x14ac:dyDescent="0.25">
      <c r="A4" s="182"/>
      <c r="B4" s="182"/>
      <c r="C4" s="182"/>
      <c r="D4" s="129" t="s">
        <v>397</v>
      </c>
      <c r="E4" s="1" t="s">
        <v>398</v>
      </c>
      <c r="F4" s="1" t="s">
        <v>397</v>
      </c>
      <c r="G4" s="130" t="s">
        <v>399</v>
      </c>
      <c r="H4" s="1" t="s">
        <v>397</v>
      </c>
      <c r="I4" s="1" t="s">
        <v>399</v>
      </c>
      <c r="J4" s="131" t="s">
        <v>397</v>
      </c>
      <c r="K4" s="131" t="s">
        <v>399</v>
      </c>
      <c r="L4" s="182"/>
      <c r="M4" s="131" t="s">
        <v>397</v>
      </c>
      <c r="N4" s="131" t="s">
        <v>399</v>
      </c>
      <c r="O4" s="184"/>
      <c r="P4" s="185"/>
      <c r="Q4" s="184"/>
      <c r="R4" s="178"/>
      <c r="S4" s="178"/>
      <c r="T4" s="128"/>
      <c r="U4" s="128"/>
      <c r="V4" s="128"/>
      <c r="W4" s="128"/>
      <c r="X4" s="128"/>
      <c r="Y4" s="128"/>
      <c r="Z4" s="128"/>
      <c r="AA4" s="128"/>
      <c r="AB4" s="128"/>
      <c r="AD4" s="179"/>
      <c r="AE4" s="180"/>
      <c r="AF4" s="179"/>
      <c r="AG4" s="180"/>
    </row>
    <row r="5" spans="1:33" ht="4.5" customHeight="1" x14ac:dyDescent="0.25">
      <c r="A5" s="132"/>
      <c r="B5" s="132"/>
      <c r="C5" s="132"/>
      <c r="D5" s="132"/>
      <c r="E5" s="133"/>
      <c r="F5" s="133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</row>
    <row r="6" spans="1:33" ht="15" customHeight="1" x14ac:dyDescent="0.25">
      <c r="A6" s="134" t="e">
        <f>'Actual Dates'!#REF!</f>
        <v>#REF!</v>
      </c>
      <c r="B6" s="135" t="e">
        <f>'Date Calcs'!#REF!</f>
        <v>#REF!</v>
      </c>
      <c r="C6" s="136" t="e">
        <f>'Date Calcs'!#REF!</f>
        <v>#REF!</v>
      </c>
      <c r="D6" s="137" t="e">
        <f t="shared" ref="D6:D37" si="0">WORKDAY(F6,-1,)</f>
        <v>#REF!</v>
      </c>
      <c r="E6" s="137">
        <v>43503</v>
      </c>
      <c r="F6" s="137" t="e">
        <f>'Date Calcs'!#REF!</f>
        <v>#REF!</v>
      </c>
      <c r="G6" s="137" t="e">
        <f>IF(VLOOKUP(A6,'Actual Dates'!A1:AE3,8,),'Actual Dates'!#REF!,"")</f>
        <v>#REF!</v>
      </c>
      <c r="H6" s="137" t="e">
        <f t="shared" ref="H6:H33" si="1">WORKDAY(L6,3,)</f>
        <v>#REF!</v>
      </c>
      <c r="I6" s="137" t="e">
        <f>IF(VLOOKUP(A6,'Actual Dates'!A1:AE3,25,),'Actual Dates'!#REF!,"")</f>
        <v>#REF!</v>
      </c>
      <c r="J6" s="137" t="e">
        <f t="shared" ref="J6:J33" si="2">WORKDAY(L6,4,)</f>
        <v>#REF!</v>
      </c>
      <c r="K6" s="137" t="e">
        <f>IF(VLOOKUP(A6,'Actual Dates'!A1:AE156,26,),'Actual Dates'!#REF!,"")</f>
        <v>#REF!</v>
      </c>
      <c r="L6" s="137" t="e">
        <f>IF(VLOOKUP(A6,'Actual Dates'!A1:AE156,21,),'Actual Dates'!#REF!,"")</f>
        <v>#REF!</v>
      </c>
      <c r="M6" s="137" t="e">
        <f t="shared" ref="M6:M21" si="3">L6+14</f>
        <v>#REF!</v>
      </c>
      <c r="N6" s="137" t="e">
        <f>IF(VLOOKUP(A6,'Actual Dates'!A1:AE156,27,),'Actual Dates'!#REF!,"")</f>
        <v>#REF!</v>
      </c>
      <c r="O6" s="138" t="e">
        <f>N6-C6</f>
        <v>#REF!</v>
      </c>
      <c r="P6" s="139" t="e">
        <f t="shared" ref="P6:P37" si="4">F6-G6</f>
        <v>#REF!</v>
      </c>
      <c r="Q6" s="139" t="e">
        <f t="shared" ref="Q6:Q37" si="5">M6-N6</f>
        <v>#REF!</v>
      </c>
      <c r="R6" s="176" t="s">
        <v>400</v>
      </c>
      <c r="S6" s="176"/>
      <c r="T6" s="140"/>
      <c r="U6" s="140"/>
      <c r="V6" s="140"/>
      <c r="W6" s="140"/>
      <c r="X6" s="140"/>
      <c r="Y6" s="140"/>
      <c r="Z6" s="140"/>
      <c r="AA6" s="140"/>
      <c r="AB6" s="140"/>
    </row>
    <row r="7" spans="1:33" ht="15" customHeight="1" x14ac:dyDescent="0.25">
      <c r="A7" s="134" t="e">
        <f>'Actual Dates'!#REF!</f>
        <v>#REF!</v>
      </c>
      <c r="B7" s="135" t="e">
        <f>'Date Calcs'!#REF!</f>
        <v>#REF!</v>
      </c>
      <c r="C7" s="136" t="e">
        <f>'Date Calcs'!#REF!</f>
        <v>#REF!</v>
      </c>
      <c r="D7" s="137" t="e">
        <f t="shared" si="0"/>
        <v>#REF!</v>
      </c>
      <c r="E7" s="137">
        <v>43503</v>
      </c>
      <c r="F7" s="137" t="e">
        <f>'Date Calcs'!#REF!</f>
        <v>#REF!</v>
      </c>
      <c r="G7" s="137" t="e">
        <f>IF(VLOOKUP(A7,'Actual Dates'!A2:AE3,8,),'Actual Dates'!#REF!,"")</f>
        <v>#REF!</v>
      </c>
      <c r="H7" s="137" t="e">
        <f t="shared" si="1"/>
        <v>#REF!</v>
      </c>
      <c r="I7" s="137" t="e">
        <f>IF(VLOOKUP(A7,'Actual Dates'!A2:AE3,25,),'Actual Dates'!#REF!,"")</f>
        <v>#REF!</v>
      </c>
      <c r="J7" s="137" t="e">
        <f t="shared" si="2"/>
        <v>#REF!</v>
      </c>
      <c r="K7" s="137" t="e">
        <f>IF(VLOOKUP(A7,'Actual Dates'!A2:AE157,26,),'Actual Dates'!#REF!,"")</f>
        <v>#REF!</v>
      </c>
      <c r="L7" s="137" t="e">
        <f>IF(VLOOKUP(A7,'Actual Dates'!A2:AE157,21,),'Actual Dates'!#REF!,"")</f>
        <v>#REF!</v>
      </c>
      <c r="M7" s="137" t="e">
        <f t="shared" si="3"/>
        <v>#REF!</v>
      </c>
      <c r="N7" s="137" t="e">
        <f>IF(VLOOKUP(A7,'Actual Dates'!A2:AE157,27,),'Actual Dates'!#REF!,"")</f>
        <v>#REF!</v>
      </c>
      <c r="O7" s="138" t="e">
        <f>N7-C7</f>
        <v>#REF!</v>
      </c>
      <c r="P7" s="139" t="e">
        <f t="shared" si="4"/>
        <v>#REF!</v>
      </c>
      <c r="Q7" s="139" t="e">
        <f t="shared" si="5"/>
        <v>#REF!</v>
      </c>
      <c r="R7" s="176" t="s">
        <v>400</v>
      </c>
      <c r="S7" s="176"/>
      <c r="T7" s="140"/>
      <c r="U7" s="140"/>
      <c r="V7" s="140"/>
      <c r="W7" s="140"/>
      <c r="X7" s="140"/>
      <c r="Y7" s="140"/>
      <c r="Z7" s="140"/>
      <c r="AA7" s="140"/>
      <c r="AB7" s="140"/>
    </row>
    <row r="8" spans="1:33" x14ac:dyDescent="0.25">
      <c r="A8" s="134" t="e">
        <f>'Actual Dates'!#REF!</f>
        <v>#REF!</v>
      </c>
      <c r="B8" s="135" t="e">
        <f>'Date Calcs'!#REF!</f>
        <v>#REF!</v>
      </c>
      <c r="C8" s="136" t="e">
        <f>'Date Calcs'!#REF!</f>
        <v>#REF!</v>
      </c>
      <c r="D8" s="137" t="e">
        <f t="shared" si="0"/>
        <v>#REF!</v>
      </c>
      <c r="E8" s="137" t="s">
        <v>377</v>
      </c>
      <c r="F8" s="137" t="e">
        <f>'Date Calcs'!#REF!</f>
        <v>#REF!</v>
      </c>
      <c r="G8" s="137" t="s">
        <v>377</v>
      </c>
      <c r="H8" s="137" t="e">
        <f t="shared" si="1"/>
        <v>#REF!</v>
      </c>
      <c r="I8" s="137" t="e">
        <f>IF(VLOOKUP(A8,'Actual Dates'!A3:AE3,25,),'Actual Dates'!#REF!,"")</f>
        <v>#REF!</v>
      </c>
      <c r="J8" s="137" t="e">
        <f t="shared" si="2"/>
        <v>#REF!</v>
      </c>
      <c r="K8" s="137" t="e">
        <f>IF(VLOOKUP(A8,'Actual Dates'!A3:AE158,26,),'Actual Dates'!#REF!,"")</f>
        <v>#REF!</v>
      </c>
      <c r="L8" s="137" t="e">
        <f>IF(VLOOKUP(A8,'Actual Dates'!A3:AE158,21,),'Actual Dates'!#REF!,"")</f>
        <v>#REF!</v>
      </c>
      <c r="M8" s="137" t="e">
        <f t="shared" si="3"/>
        <v>#REF!</v>
      </c>
      <c r="N8" s="137" t="e">
        <f>IF(VLOOKUP(A8,'Actual Dates'!A3:AE158,27,),'Actual Dates'!#REF!,"")</f>
        <v>#REF!</v>
      </c>
      <c r="O8" s="138" t="e">
        <f>N8-C8</f>
        <v>#REF!</v>
      </c>
      <c r="P8" s="139" t="e">
        <f t="shared" si="4"/>
        <v>#REF!</v>
      </c>
      <c r="Q8" s="139" t="e">
        <f t="shared" si="5"/>
        <v>#REF!</v>
      </c>
      <c r="R8" s="176"/>
      <c r="S8" s="176"/>
      <c r="T8" s="140"/>
      <c r="U8" s="140"/>
      <c r="V8" s="140"/>
      <c r="W8" s="140"/>
      <c r="X8" s="140"/>
      <c r="Y8" s="140"/>
      <c r="Z8" s="140"/>
      <c r="AA8" s="140"/>
      <c r="AB8" s="140"/>
    </row>
    <row r="9" spans="1:33" x14ac:dyDescent="0.25">
      <c r="A9" s="134" t="e">
        <f>'Actual Dates'!#REF!</f>
        <v>#REF!</v>
      </c>
      <c r="B9" s="135" t="e">
        <f>'Date Calcs'!#REF!</f>
        <v>#REF!</v>
      </c>
      <c r="C9" s="136" t="e">
        <f>'Date Calcs'!#REF!</f>
        <v>#REF!</v>
      </c>
      <c r="D9" s="137" t="e">
        <f t="shared" si="0"/>
        <v>#REF!</v>
      </c>
      <c r="E9" s="137" t="s">
        <v>377</v>
      </c>
      <c r="F9" s="137" t="e">
        <f>'Date Calcs'!#REF!</f>
        <v>#REF!</v>
      </c>
      <c r="G9" s="137" t="s">
        <v>377</v>
      </c>
      <c r="H9" s="137" t="e">
        <f t="shared" si="1"/>
        <v>#REF!</v>
      </c>
      <c r="I9" s="137" t="e">
        <f>IF(VLOOKUP(A9,'Actual Dates'!#REF!,25,),'Actual Dates'!#REF!,"")</f>
        <v>#REF!</v>
      </c>
      <c r="J9" s="137" t="e">
        <f t="shared" si="2"/>
        <v>#REF!</v>
      </c>
      <c r="K9" s="137" t="e">
        <f>IF(VLOOKUP(A9,'Actual Dates'!A4:AE159,26,),'Actual Dates'!#REF!,"")</f>
        <v>#REF!</v>
      </c>
      <c r="L9" s="137" t="e">
        <f>IF(VLOOKUP(A9,'Actual Dates'!A4:AE159,21,),'Actual Dates'!#REF!,"")</f>
        <v>#REF!</v>
      </c>
      <c r="M9" s="137" t="e">
        <f t="shared" si="3"/>
        <v>#REF!</v>
      </c>
      <c r="N9" s="137" t="e">
        <f>IF(VLOOKUP(A9,'Actual Dates'!A4:AE159,27,),'Actual Dates'!#REF!,"")</f>
        <v>#REF!</v>
      </c>
      <c r="O9" s="138" t="e">
        <f>N9-C9</f>
        <v>#REF!</v>
      </c>
      <c r="P9" s="139" t="e">
        <f t="shared" si="4"/>
        <v>#REF!</v>
      </c>
      <c r="Q9" s="139" t="e">
        <f t="shared" si="5"/>
        <v>#REF!</v>
      </c>
      <c r="R9" s="176"/>
      <c r="S9" s="176"/>
      <c r="T9" s="140"/>
      <c r="U9" s="140"/>
      <c r="V9" s="140"/>
      <c r="W9" s="140"/>
      <c r="X9" s="140"/>
      <c r="Y9" s="140"/>
      <c r="Z9" s="140"/>
      <c r="AA9" s="140"/>
      <c r="AB9" s="140"/>
    </row>
    <row r="10" spans="1:33" x14ac:dyDescent="0.25">
      <c r="A10" s="134" t="e">
        <f>'Actual Dates'!#REF!</f>
        <v>#REF!</v>
      </c>
      <c r="B10" s="135" t="e">
        <f>'Date Calcs'!#REF!</f>
        <v>#REF!</v>
      </c>
      <c r="C10" s="136" t="e">
        <f>'Date Calcs'!#REF!</f>
        <v>#REF!</v>
      </c>
      <c r="D10" s="137" t="e">
        <f t="shared" si="0"/>
        <v>#REF!</v>
      </c>
      <c r="E10" s="137" t="s">
        <v>377</v>
      </c>
      <c r="F10" s="137" t="e">
        <f>'Date Calcs'!#REF!</f>
        <v>#REF!</v>
      </c>
      <c r="G10" s="137" t="s">
        <v>377</v>
      </c>
      <c r="H10" s="137" t="e">
        <f t="shared" si="1"/>
        <v>#VALUE!</v>
      </c>
      <c r="I10" s="137" t="e">
        <f>IF(VLOOKUP(A10,'Actual Dates'!#REF!,25,),'Actual Dates'!#REF!,"")</f>
        <v>#REF!</v>
      </c>
      <c r="J10" s="137" t="e">
        <f t="shared" si="2"/>
        <v>#VALUE!</v>
      </c>
      <c r="K10" s="137" t="s">
        <v>377</v>
      </c>
      <c r="L10" s="137" t="s">
        <v>377</v>
      </c>
      <c r="M10" s="137" t="e">
        <f t="shared" si="3"/>
        <v>#VALUE!</v>
      </c>
      <c r="N10" s="137" t="s">
        <v>377</v>
      </c>
      <c r="O10" s="138" t="s">
        <v>377</v>
      </c>
      <c r="P10" s="139" t="e">
        <f t="shared" si="4"/>
        <v>#REF!</v>
      </c>
      <c r="Q10" s="139" t="e">
        <f t="shared" si="5"/>
        <v>#VALUE!</v>
      </c>
      <c r="R10" s="176"/>
      <c r="S10" s="176"/>
      <c r="T10" s="140"/>
      <c r="U10" s="140"/>
      <c r="V10" s="140"/>
      <c r="W10" s="140"/>
      <c r="X10" s="140"/>
      <c r="Y10" s="140"/>
      <c r="Z10" s="140"/>
      <c r="AA10" s="140"/>
      <c r="AB10" s="140"/>
    </row>
    <row r="11" spans="1:33" x14ac:dyDescent="0.25">
      <c r="A11" s="134" t="e">
        <f>'Actual Dates'!#REF!</f>
        <v>#REF!</v>
      </c>
      <c r="B11" s="135" t="e">
        <f>'Date Calcs'!#REF!</f>
        <v>#REF!</v>
      </c>
      <c r="C11" s="136" t="e">
        <f>'Date Calcs'!#REF!</f>
        <v>#REF!</v>
      </c>
      <c r="D11" s="137" t="e">
        <f t="shared" si="0"/>
        <v>#REF!</v>
      </c>
      <c r="E11" s="137">
        <v>43538</v>
      </c>
      <c r="F11" s="137" t="e">
        <f>'Date Calcs'!#REF!</f>
        <v>#REF!</v>
      </c>
      <c r="G11" s="137" t="e">
        <f>IF(VLOOKUP(A11,'Actual Dates'!#REF!,8,),'Actual Dates'!#REF!,"")</f>
        <v>#REF!</v>
      </c>
      <c r="H11" s="137" t="e">
        <f t="shared" si="1"/>
        <v>#REF!</v>
      </c>
      <c r="I11" s="137" t="e">
        <f>IF(VLOOKUP(A11,'Actual Dates'!#REF!,25,),'Actual Dates'!#REF!,"")</f>
        <v>#REF!</v>
      </c>
      <c r="J11" s="137" t="e">
        <f t="shared" si="2"/>
        <v>#REF!</v>
      </c>
      <c r="K11" s="137" t="e">
        <f>IF(VLOOKUP(A11,'Actual Dates'!A4:AE161,26,),'Actual Dates'!#REF!,"")</f>
        <v>#REF!</v>
      </c>
      <c r="L11" s="137" t="e">
        <f>IF(VLOOKUP(A11,'Actual Dates'!A4:AE161,21,),'Actual Dates'!#REF!,"")</f>
        <v>#REF!</v>
      </c>
      <c r="M11" s="137" t="e">
        <f t="shared" si="3"/>
        <v>#REF!</v>
      </c>
      <c r="N11" s="137" t="e">
        <f>IF(VLOOKUP(A11,'Actual Dates'!A4:AE161,27,),'Actual Dates'!#REF!,"")</f>
        <v>#REF!</v>
      </c>
      <c r="O11" s="138" t="e">
        <f t="shared" ref="O11:O74" si="6">N11-C11</f>
        <v>#REF!</v>
      </c>
      <c r="P11" s="139" t="e">
        <f t="shared" si="4"/>
        <v>#REF!</v>
      </c>
      <c r="Q11" s="139" t="e">
        <f t="shared" si="5"/>
        <v>#REF!</v>
      </c>
      <c r="R11" s="176"/>
      <c r="S11" s="176"/>
      <c r="T11" s="140"/>
      <c r="U11" s="140"/>
      <c r="V11" s="140"/>
      <c r="W11" s="140"/>
      <c r="X11" s="140"/>
      <c r="Y11" s="140"/>
      <c r="Z11" s="140"/>
      <c r="AA11" s="140"/>
      <c r="AB11" s="140"/>
    </row>
    <row r="12" spans="1:33" x14ac:dyDescent="0.25">
      <c r="A12" s="134" t="e">
        <f>'Actual Dates'!#REF!</f>
        <v>#REF!</v>
      </c>
      <c r="B12" s="135" t="e">
        <f>'Date Calcs'!#REF!</f>
        <v>#REF!</v>
      </c>
      <c r="C12" s="136" t="e">
        <f>'Date Calcs'!#REF!</f>
        <v>#REF!</v>
      </c>
      <c r="D12" s="137" t="e">
        <f t="shared" si="0"/>
        <v>#REF!</v>
      </c>
      <c r="E12" s="137">
        <v>43538</v>
      </c>
      <c r="F12" s="137" t="e">
        <f>'Date Calcs'!#REF!</f>
        <v>#REF!</v>
      </c>
      <c r="G12" s="137" t="e">
        <f>IF(VLOOKUP(A12,'Actual Dates'!#REF!,8,),'Actual Dates'!#REF!,"")</f>
        <v>#REF!</v>
      </c>
      <c r="H12" s="137" t="e">
        <f t="shared" si="1"/>
        <v>#REF!</v>
      </c>
      <c r="I12" s="137" t="e">
        <f>IF(VLOOKUP(A12,'Actual Dates'!#REF!,25,),'Actual Dates'!#REF!,"")</f>
        <v>#REF!</v>
      </c>
      <c r="J12" s="137" t="e">
        <f t="shared" si="2"/>
        <v>#REF!</v>
      </c>
      <c r="K12" s="137" t="e">
        <f>IF(VLOOKUP(A12,'Actual Dates'!A4:AE162,26,),'Actual Dates'!#REF!,"")</f>
        <v>#REF!</v>
      </c>
      <c r="L12" s="137" t="e">
        <f>IF(VLOOKUP(A12,'Actual Dates'!A4:AE162,21,),'Actual Dates'!#REF!,"")</f>
        <v>#REF!</v>
      </c>
      <c r="M12" s="137" t="e">
        <f t="shared" si="3"/>
        <v>#REF!</v>
      </c>
      <c r="N12" s="137" t="e">
        <f>IF(VLOOKUP(A12,'Actual Dates'!A4:AE162,27,),'Actual Dates'!#REF!,"")</f>
        <v>#REF!</v>
      </c>
      <c r="O12" s="138" t="e">
        <f t="shared" si="6"/>
        <v>#REF!</v>
      </c>
      <c r="P12" s="139" t="e">
        <f t="shared" si="4"/>
        <v>#REF!</v>
      </c>
      <c r="Q12" s="139" t="e">
        <f t="shared" si="5"/>
        <v>#REF!</v>
      </c>
      <c r="R12" s="176"/>
      <c r="S12" s="176"/>
      <c r="T12" s="140"/>
      <c r="U12" s="140"/>
      <c r="V12" s="140"/>
      <c r="W12" s="140"/>
      <c r="X12" s="140"/>
      <c r="Y12" s="140"/>
      <c r="Z12" s="140"/>
      <c r="AA12" s="140"/>
      <c r="AB12" s="140"/>
    </row>
    <row r="13" spans="1:33" ht="15" customHeight="1" x14ac:dyDescent="0.25">
      <c r="A13" s="134" t="e">
        <f>'Actual Dates'!#REF!</f>
        <v>#REF!</v>
      </c>
      <c r="B13" s="135" t="e">
        <f>'Date Calcs'!#REF!</f>
        <v>#REF!</v>
      </c>
      <c r="C13" s="136" t="e">
        <f>'Date Calcs'!#REF!</f>
        <v>#REF!</v>
      </c>
      <c r="D13" s="137" t="e">
        <f t="shared" si="0"/>
        <v>#REF!</v>
      </c>
      <c r="E13" s="137">
        <v>43556</v>
      </c>
      <c r="F13" s="137" t="e">
        <f>'Date Calcs'!#REF!</f>
        <v>#REF!</v>
      </c>
      <c r="G13" s="137" t="e">
        <f>IF(VLOOKUP(A13,'Actual Dates'!#REF!,8,),'Actual Dates'!#REF!,"")</f>
        <v>#REF!</v>
      </c>
      <c r="H13" s="137" t="e">
        <f t="shared" si="1"/>
        <v>#REF!</v>
      </c>
      <c r="I13" s="137" t="e">
        <f>IF(VLOOKUP(A13,'Actual Dates'!#REF!,25,),'Actual Dates'!#REF!,"")</f>
        <v>#REF!</v>
      </c>
      <c r="J13" s="137" t="e">
        <f t="shared" si="2"/>
        <v>#REF!</v>
      </c>
      <c r="K13" s="137" t="e">
        <f>IF(VLOOKUP(A13,'Actual Dates'!A4:AE163,26,),'Actual Dates'!#REF!,"")</f>
        <v>#REF!</v>
      </c>
      <c r="L13" s="137" t="e">
        <f>IF(VLOOKUP(A13,'Actual Dates'!A4:AE163,21,),'Actual Dates'!#REF!,"")</f>
        <v>#REF!</v>
      </c>
      <c r="M13" s="137" t="e">
        <f t="shared" si="3"/>
        <v>#REF!</v>
      </c>
      <c r="N13" s="137" t="e">
        <f>IF(VLOOKUP(A13,'Actual Dates'!A4:AE163,27,),'Actual Dates'!#REF!,"")</f>
        <v>#REF!</v>
      </c>
      <c r="O13" s="138" t="e">
        <f t="shared" si="6"/>
        <v>#REF!</v>
      </c>
      <c r="P13" s="139" t="e">
        <f t="shared" si="4"/>
        <v>#REF!</v>
      </c>
      <c r="Q13" s="139" t="e">
        <f t="shared" si="5"/>
        <v>#REF!</v>
      </c>
      <c r="R13" s="176" t="s">
        <v>401</v>
      </c>
      <c r="S13" s="176"/>
      <c r="T13" s="140"/>
      <c r="U13" s="140"/>
      <c r="V13" s="140"/>
      <c r="W13" s="140"/>
      <c r="X13" s="140"/>
      <c r="Y13" s="140"/>
      <c r="Z13" s="140"/>
      <c r="AA13" s="140"/>
      <c r="AB13" s="140"/>
    </row>
    <row r="14" spans="1:33" x14ac:dyDescent="0.25">
      <c r="A14" s="134" t="e">
        <f>'Actual Dates'!#REF!</f>
        <v>#REF!</v>
      </c>
      <c r="B14" s="135" t="e">
        <f>'Date Calcs'!#REF!</f>
        <v>#REF!</v>
      </c>
      <c r="C14" s="136" t="e">
        <f>'Date Calcs'!#REF!</f>
        <v>#REF!</v>
      </c>
      <c r="D14" s="137" t="e">
        <f t="shared" si="0"/>
        <v>#REF!</v>
      </c>
      <c r="E14" s="137">
        <v>43530</v>
      </c>
      <c r="F14" s="137" t="e">
        <f>'Date Calcs'!#REF!</f>
        <v>#REF!</v>
      </c>
      <c r="G14" s="137" t="e">
        <f>IF(VLOOKUP(A14,'Actual Dates'!#REF!,8,),'Actual Dates'!#REF!,"")</f>
        <v>#REF!</v>
      </c>
      <c r="H14" s="137" t="e">
        <f t="shared" si="1"/>
        <v>#REF!</v>
      </c>
      <c r="I14" s="137" t="e">
        <f>IF(VLOOKUP(A14,'Actual Dates'!#REF!,25,),'Actual Dates'!#REF!,"")</f>
        <v>#REF!</v>
      </c>
      <c r="J14" s="137" t="e">
        <f t="shared" si="2"/>
        <v>#REF!</v>
      </c>
      <c r="K14" s="137" t="e">
        <f>IF(VLOOKUP(A14,'Actual Dates'!A4:AE164,26,),'Actual Dates'!#REF!,"")</f>
        <v>#REF!</v>
      </c>
      <c r="L14" s="137" t="e">
        <f>IF(VLOOKUP(A14,'Actual Dates'!A4:AE164,21,),'Actual Dates'!#REF!,"")</f>
        <v>#REF!</v>
      </c>
      <c r="M14" s="137" t="e">
        <f t="shared" si="3"/>
        <v>#REF!</v>
      </c>
      <c r="N14" s="137" t="e">
        <f>IF(VLOOKUP(A14,'Actual Dates'!A4:AE164,27,),'Actual Dates'!#REF!,"")</f>
        <v>#REF!</v>
      </c>
      <c r="O14" s="138" t="e">
        <f t="shared" si="6"/>
        <v>#REF!</v>
      </c>
      <c r="P14" s="139" t="e">
        <f t="shared" si="4"/>
        <v>#REF!</v>
      </c>
      <c r="Q14" s="139" t="e">
        <f t="shared" si="5"/>
        <v>#REF!</v>
      </c>
      <c r="R14" s="176"/>
      <c r="S14" s="176"/>
      <c r="T14" s="140"/>
      <c r="U14" s="140"/>
      <c r="V14" s="140"/>
      <c r="W14" s="140"/>
      <c r="X14" s="140"/>
      <c r="Y14" s="140"/>
      <c r="Z14" s="140"/>
      <c r="AA14" s="140"/>
      <c r="AB14" s="140"/>
    </row>
    <row r="15" spans="1:33" ht="15" customHeight="1" x14ac:dyDescent="0.25">
      <c r="A15" s="134" t="e">
        <f>'Actual Dates'!#REF!</f>
        <v>#REF!</v>
      </c>
      <c r="B15" s="135" t="e">
        <f>'Date Calcs'!#REF!</f>
        <v>#REF!</v>
      </c>
      <c r="C15" s="136" t="e">
        <f>'Date Calcs'!#REF!</f>
        <v>#REF!</v>
      </c>
      <c r="D15" s="137" t="e">
        <f t="shared" si="0"/>
        <v>#REF!</v>
      </c>
      <c r="E15" s="137">
        <v>43556</v>
      </c>
      <c r="F15" s="137" t="e">
        <f>'Date Calcs'!#REF!</f>
        <v>#REF!</v>
      </c>
      <c r="G15" s="137" t="e">
        <f>IF(VLOOKUP(A15,'Actual Dates'!#REF!,8,),'Actual Dates'!#REF!,"")</f>
        <v>#REF!</v>
      </c>
      <c r="H15" s="137" t="e">
        <f t="shared" si="1"/>
        <v>#REF!</v>
      </c>
      <c r="I15" s="137" t="e">
        <f>IF(VLOOKUP(A15,'Actual Dates'!#REF!,25,),'Actual Dates'!#REF!,"")</f>
        <v>#REF!</v>
      </c>
      <c r="J15" s="137" t="e">
        <f t="shared" si="2"/>
        <v>#REF!</v>
      </c>
      <c r="K15" s="137" t="e">
        <f>IF(VLOOKUP(A15,'Actual Dates'!A4:AE165,26,),'Actual Dates'!#REF!,"")</f>
        <v>#REF!</v>
      </c>
      <c r="L15" s="137" t="e">
        <f>IF(VLOOKUP(A15,'Actual Dates'!A4:AE165,21,),'Actual Dates'!#REF!,"")</f>
        <v>#REF!</v>
      </c>
      <c r="M15" s="137" t="e">
        <f t="shared" si="3"/>
        <v>#REF!</v>
      </c>
      <c r="N15" s="137" t="e">
        <f>IF(VLOOKUP(A15,'Actual Dates'!A4:AE165,27,),'Actual Dates'!#REF!,"")</f>
        <v>#REF!</v>
      </c>
      <c r="O15" s="138" t="e">
        <f t="shared" si="6"/>
        <v>#REF!</v>
      </c>
      <c r="P15" s="139" t="e">
        <f t="shared" si="4"/>
        <v>#REF!</v>
      </c>
      <c r="Q15" s="139" t="e">
        <f t="shared" si="5"/>
        <v>#REF!</v>
      </c>
      <c r="R15" s="176" t="s">
        <v>402</v>
      </c>
      <c r="S15" s="176"/>
      <c r="T15" s="140"/>
      <c r="U15" s="140"/>
      <c r="V15" s="140"/>
      <c r="W15" s="140"/>
      <c r="X15" s="140"/>
      <c r="Y15" s="140"/>
      <c r="Z15" s="140"/>
      <c r="AA15" s="140"/>
      <c r="AB15" s="140"/>
    </row>
    <row r="16" spans="1:33" ht="15" customHeight="1" x14ac:dyDescent="0.25">
      <c r="A16" s="134" t="e">
        <f>'Actual Dates'!#REF!</f>
        <v>#REF!</v>
      </c>
      <c r="B16" s="135" t="e">
        <f>'Date Calcs'!#REF!</f>
        <v>#REF!</v>
      </c>
      <c r="C16" s="136" t="e">
        <f>'Date Calcs'!#REF!</f>
        <v>#REF!</v>
      </c>
      <c r="D16" s="137" t="e">
        <f t="shared" si="0"/>
        <v>#REF!</v>
      </c>
      <c r="E16" s="137">
        <v>43551</v>
      </c>
      <c r="F16" s="137" t="e">
        <f>'Date Calcs'!#REF!</f>
        <v>#REF!</v>
      </c>
      <c r="G16" s="137" t="e">
        <f>IF(VLOOKUP(A16,'Actual Dates'!#REF!,8,),'Actual Dates'!#REF!,"")</f>
        <v>#REF!</v>
      </c>
      <c r="H16" s="137" t="e">
        <f t="shared" si="1"/>
        <v>#REF!</v>
      </c>
      <c r="I16" s="137" t="e">
        <f>IF(VLOOKUP(A16,'Actual Dates'!#REF!,25,),'Actual Dates'!#REF!,"")</f>
        <v>#REF!</v>
      </c>
      <c r="J16" s="137" t="e">
        <f t="shared" si="2"/>
        <v>#REF!</v>
      </c>
      <c r="K16" s="137" t="e">
        <f>IF(VLOOKUP(A16,'Actual Dates'!A4:AE166,26,),'Actual Dates'!#REF!,"")</f>
        <v>#REF!</v>
      </c>
      <c r="L16" s="137" t="e">
        <f>IF(VLOOKUP(A16,'Actual Dates'!A4:AE166,21,),'Actual Dates'!#REF!,"")</f>
        <v>#REF!</v>
      </c>
      <c r="M16" s="137" t="e">
        <f t="shared" si="3"/>
        <v>#REF!</v>
      </c>
      <c r="N16" s="137" t="e">
        <f>IF(VLOOKUP(A16,'Actual Dates'!A4:AE166,27,),'Actual Dates'!#REF!,"")</f>
        <v>#REF!</v>
      </c>
      <c r="O16" s="138" t="e">
        <f t="shared" si="6"/>
        <v>#REF!</v>
      </c>
      <c r="P16" s="139" t="e">
        <f t="shared" si="4"/>
        <v>#REF!</v>
      </c>
      <c r="Q16" s="139" t="e">
        <f t="shared" si="5"/>
        <v>#REF!</v>
      </c>
      <c r="R16" s="176" t="s">
        <v>402</v>
      </c>
      <c r="S16" s="176"/>
      <c r="T16" s="140"/>
      <c r="U16" s="140"/>
      <c r="V16" s="140"/>
      <c r="W16" s="140"/>
      <c r="X16" s="140"/>
      <c r="Y16" s="140"/>
      <c r="Z16" s="140"/>
      <c r="AA16" s="140"/>
      <c r="AB16" s="140"/>
    </row>
    <row r="17" spans="1:28" x14ac:dyDescent="0.25">
      <c r="A17" s="134" t="e">
        <f>'Actual Dates'!#REF!</f>
        <v>#REF!</v>
      </c>
      <c r="B17" s="135" t="e">
        <f>'Date Calcs'!#REF!</f>
        <v>#REF!</v>
      </c>
      <c r="C17" s="136" t="e">
        <f>'Date Calcs'!#REF!</f>
        <v>#REF!</v>
      </c>
      <c r="D17" s="137" t="e">
        <f t="shared" si="0"/>
        <v>#REF!</v>
      </c>
      <c r="E17" s="137">
        <v>43546</v>
      </c>
      <c r="F17" s="137" t="e">
        <f>'Date Calcs'!#REF!</f>
        <v>#REF!</v>
      </c>
      <c r="G17" s="137" t="e">
        <f>IF(VLOOKUP(A17,'Actual Dates'!#REF!,8,),'Actual Dates'!#REF!,"")</f>
        <v>#REF!</v>
      </c>
      <c r="H17" s="137" t="e">
        <f t="shared" si="1"/>
        <v>#REF!</v>
      </c>
      <c r="I17" s="137" t="e">
        <f>IF(VLOOKUP(A17,'Actual Dates'!#REF!,25,),'Actual Dates'!#REF!,"")</f>
        <v>#REF!</v>
      </c>
      <c r="J17" s="137" t="e">
        <f t="shared" si="2"/>
        <v>#REF!</v>
      </c>
      <c r="K17" s="137" t="e">
        <f>IF(VLOOKUP(A17,'Actual Dates'!A4:AE167,26,),'Actual Dates'!#REF!,"")</f>
        <v>#REF!</v>
      </c>
      <c r="L17" s="137" t="e">
        <f>IF(VLOOKUP(A17,'Actual Dates'!A4:AE167,21,),'Actual Dates'!#REF!,"")</f>
        <v>#REF!</v>
      </c>
      <c r="M17" s="137" t="e">
        <f t="shared" si="3"/>
        <v>#REF!</v>
      </c>
      <c r="N17" s="137" t="e">
        <f>IF(VLOOKUP(A17,'Actual Dates'!A4:AE167,27,),'Actual Dates'!#REF!,"")</f>
        <v>#REF!</v>
      </c>
      <c r="O17" s="138" t="e">
        <f t="shared" si="6"/>
        <v>#REF!</v>
      </c>
      <c r="P17" s="139" t="e">
        <f t="shared" si="4"/>
        <v>#REF!</v>
      </c>
      <c r="Q17" s="139" t="e">
        <f t="shared" si="5"/>
        <v>#REF!</v>
      </c>
      <c r="R17" s="176"/>
      <c r="S17" s="176"/>
      <c r="T17" s="140"/>
      <c r="U17" s="140"/>
      <c r="V17" s="140"/>
      <c r="W17" s="140"/>
      <c r="X17" s="140"/>
      <c r="Y17" s="140"/>
      <c r="Z17" s="140"/>
      <c r="AA17" s="140"/>
      <c r="AB17" s="140"/>
    </row>
    <row r="18" spans="1:28" x14ac:dyDescent="0.25">
      <c r="A18" s="134" t="e">
        <f>'Actual Dates'!#REF!</f>
        <v>#REF!</v>
      </c>
      <c r="B18" s="135" t="e">
        <f>'Date Calcs'!#REF!</f>
        <v>#REF!</v>
      </c>
      <c r="C18" s="136" t="e">
        <f>'Date Calcs'!#REF!</f>
        <v>#REF!</v>
      </c>
      <c r="D18" s="137" t="e">
        <f t="shared" si="0"/>
        <v>#REF!</v>
      </c>
      <c r="E18" s="137">
        <v>43546</v>
      </c>
      <c r="F18" s="137" t="e">
        <f>'Date Calcs'!#REF!</f>
        <v>#REF!</v>
      </c>
      <c r="G18" s="137" t="e">
        <f>IF(VLOOKUP(A18,'Actual Dates'!#REF!,8,),'Actual Dates'!#REF!,"")</f>
        <v>#REF!</v>
      </c>
      <c r="H18" s="137" t="e">
        <f t="shared" si="1"/>
        <v>#REF!</v>
      </c>
      <c r="I18" s="137" t="e">
        <f>IF(VLOOKUP(A18,'Actual Dates'!#REF!,25,),'Actual Dates'!#REF!,"")</f>
        <v>#REF!</v>
      </c>
      <c r="J18" s="137" t="e">
        <f t="shared" si="2"/>
        <v>#REF!</v>
      </c>
      <c r="K18" s="137" t="e">
        <f>IF(VLOOKUP(A18,'Actual Dates'!A4:AE168,26,),'Actual Dates'!#REF!,"")</f>
        <v>#REF!</v>
      </c>
      <c r="L18" s="137" t="e">
        <f>IF(VLOOKUP(A18,'Actual Dates'!A4:AE168,21,),'Actual Dates'!#REF!,"")</f>
        <v>#REF!</v>
      </c>
      <c r="M18" s="137" t="e">
        <f t="shared" si="3"/>
        <v>#REF!</v>
      </c>
      <c r="N18" s="137" t="e">
        <f>IF(VLOOKUP(A18,'Actual Dates'!A4:AE168,27,),'Actual Dates'!#REF!,"")</f>
        <v>#REF!</v>
      </c>
      <c r="O18" s="138" t="e">
        <f t="shared" si="6"/>
        <v>#REF!</v>
      </c>
      <c r="P18" s="139" t="e">
        <f t="shared" si="4"/>
        <v>#REF!</v>
      </c>
      <c r="Q18" s="139" t="e">
        <f t="shared" si="5"/>
        <v>#REF!</v>
      </c>
      <c r="R18" s="176"/>
      <c r="S18" s="176"/>
      <c r="T18" s="140"/>
      <c r="U18" s="140"/>
      <c r="V18" s="140"/>
      <c r="W18" s="140"/>
      <c r="X18" s="140"/>
      <c r="Y18" s="140"/>
      <c r="Z18" s="140"/>
      <c r="AA18" s="140"/>
      <c r="AB18" s="140"/>
    </row>
    <row r="19" spans="1:28" x14ac:dyDescent="0.25">
      <c r="A19" s="134" t="e">
        <f>'Actual Dates'!#REF!</f>
        <v>#REF!</v>
      </c>
      <c r="B19" s="135" t="e">
        <f>'Date Calcs'!#REF!</f>
        <v>#REF!</v>
      </c>
      <c r="C19" s="136" t="e">
        <f>'Date Calcs'!#REF!</f>
        <v>#REF!</v>
      </c>
      <c r="D19" s="137" t="e">
        <f t="shared" si="0"/>
        <v>#REF!</v>
      </c>
      <c r="E19" s="137">
        <v>43545</v>
      </c>
      <c r="F19" s="137" t="e">
        <f>'Date Calcs'!#REF!</f>
        <v>#REF!</v>
      </c>
      <c r="G19" s="137" t="e">
        <f>IF(VLOOKUP(A19,'Actual Dates'!#REF!,8,),'Actual Dates'!#REF!,"")</f>
        <v>#REF!</v>
      </c>
      <c r="H19" s="137" t="e">
        <f t="shared" si="1"/>
        <v>#REF!</v>
      </c>
      <c r="I19" s="137" t="e">
        <f>IF(VLOOKUP(A19,'Actual Dates'!#REF!,25,),'Actual Dates'!#REF!,"")</f>
        <v>#REF!</v>
      </c>
      <c r="J19" s="137" t="e">
        <f t="shared" si="2"/>
        <v>#REF!</v>
      </c>
      <c r="K19" s="137" t="e">
        <f>IF(VLOOKUP(A19,'Actual Dates'!A4:AE169,26,),'Actual Dates'!#REF!,"")</f>
        <v>#REF!</v>
      </c>
      <c r="L19" s="137" t="e">
        <f>IF(VLOOKUP(A19,'Actual Dates'!A4:AE169,21,),'Actual Dates'!#REF!,"")</f>
        <v>#REF!</v>
      </c>
      <c r="M19" s="137" t="e">
        <f t="shared" si="3"/>
        <v>#REF!</v>
      </c>
      <c r="N19" s="137" t="e">
        <f>IF(VLOOKUP(A19,'Actual Dates'!A4:AE169,27,),'Actual Dates'!#REF!,"")</f>
        <v>#REF!</v>
      </c>
      <c r="O19" s="138" t="e">
        <f t="shared" si="6"/>
        <v>#REF!</v>
      </c>
      <c r="P19" s="139" t="e">
        <f t="shared" si="4"/>
        <v>#REF!</v>
      </c>
      <c r="Q19" s="139" t="e">
        <f t="shared" si="5"/>
        <v>#REF!</v>
      </c>
      <c r="R19" s="176"/>
      <c r="S19" s="176"/>
      <c r="T19" s="140"/>
      <c r="U19" s="140"/>
      <c r="V19" s="140"/>
      <c r="W19" s="140"/>
      <c r="X19" s="140"/>
      <c r="Y19" s="140"/>
      <c r="Z19" s="140"/>
      <c r="AA19" s="140"/>
      <c r="AB19" s="140"/>
    </row>
    <row r="20" spans="1:28" ht="15" customHeight="1" x14ac:dyDescent="0.25">
      <c r="A20" s="134" t="e">
        <f>'Actual Dates'!#REF!</f>
        <v>#REF!</v>
      </c>
      <c r="B20" s="135" t="e">
        <f>'Date Calcs'!#REF!</f>
        <v>#REF!</v>
      </c>
      <c r="C20" s="136" t="e">
        <f>'Date Calcs'!#REF!</f>
        <v>#REF!</v>
      </c>
      <c r="D20" s="137" t="e">
        <f t="shared" si="0"/>
        <v>#REF!</v>
      </c>
      <c r="E20" s="137">
        <v>43551</v>
      </c>
      <c r="F20" s="137" t="e">
        <f>'Date Calcs'!#REF!</f>
        <v>#REF!</v>
      </c>
      <c r="G20" s="137" t="e">
        <f>IF(VLOOKUP(A20,'Actual Dates'!#REF!,8,),'Actual Dates'!#REF!,"")</f>
        <v>#REF!</v>
      </c>
      <c r="H20" s="137" t="e">
        <f t="shared" si="1"/>
        <v>#REF!</v>
      </c>
      <c r="I20" s="137" t="e">
        <f>IF(VLOOKUP(A20,'Actual Dates'!#REF!,25,),'Actual Dates'!#REF!,"")</f>
        <v>#REF!</v>
      </c>
      <c r="J20" s="137" t="e">
        <f t="shared" si="2"/>
        <v>#REF!</v>
      </c>
      <c r="K20" s="137" t="e">
        <f>IF(VLOOKUP(A20,'Actual Dates'!A4:AE170,26,),'Actual Dates'!#REF!,"")</f>
        <v>#REF!</v>
      </c>
      <c r="L20" s="137" t="e">
        <f>IF(VLOOKUP(A20,'Actual Dates'!A4:AE170,21,),'Actual Dates'!#REF!,"")</f>
        <v>#REF!</v>
      </c>
      <c r="M20" s="137" t="e">
        <f t="shared" si="3"/>
        <v>#REF!</v>
      </c>
      <c r="N20" s="137" t="e">
        <f>IF(VLOOKUP(A20,'Actual Dates'!A4:AE170,27,),'Actual Dates'!#REF!,"")</f>
        <v>#REF!</v>
      </c>
      <c r="O20" s="138" t="e">
        <f t="shared" si="6"/>
        <v>#REF!</v>
      </c>
      <c r="P20" s="139" t="e">
        <f t="shared" si="4"/>
        <v>#REF!</v>
      </c>
      <c r="Q20" s="139" t="e">
        <f t="shared" si="5"/>
        <v>#REF!</v>
      </c>
      <c r="R20" s="176" t="s">
        <v>403</v>
      </c>
      <c r="S20" s="176"/>
      <c r="T20" s="140"/>
      <c r="U20" s="140"/>
      <c r="V20" s="140"/>
      <c r="W20" s="140"/>
      <c r="X20" s="140"/>
      <c r="Y20" s="140"/>
      <c r="Z20" s="140"/>
      <c r="AA20" s="140"/>
      <c r="AB20" s="140"/>
    </row>
    <row r="21" spans="1:28" ht="15" customHeight="1" x14ac:dyDescent="0.25">
      <c r="A21" s="134" t="e">
        <f>'Actual Dates'!#REF!</f>
        <v>#REF!</v>
      </c>
      <c r="B21" s="135" t="e">
        <f>'Date Calcs'!#REF!</f>
        <v>#REF!</v>
      </c>
      <c r="C21" s="136" t="e">
        <f>'Date Calcs'!#REF!</f>
        <v>#REF!</v>
      </c>
      <c r="D21" s="137" t="e">
        <f t="shared" si="0"/>
        <v>#REF!</v>
      </c>
      <c r="E21" s="137" t="s">
        <v>377</v>
      </c>
      <c r="F21" s="137" t="e">
        <f>'Date Calcs'!#REF!</f>
        <v>#REF!</v>
      </c>
      <c r="G21" s="137" t="s">
        <v>377</v>
      </c>
      <c r="H21" s="137" t="e">
        <f t="shared" si="1"/>
        <v>#VALUE!</v>
      </c>
      <c r="I21" s="137" t="e">
        <f>IF(VLOOKUP(A21,'Actual Dates'!#REF!,25,),'Actual Dates'!#REF!,"")</f>
        <v>#REF!</v>
      </c>
      <c r="J21" s="137" t="e">
        <f t="shared" si="2"/>
        <v>#VALUE!</v>
      </c>
      <c r="K21" s="137" t="e">
        <f>IF(VLOOKUP(A21,'Actual Dates'!A4:AE171,26,),'Actual Dates'!#REF!,"")</f>
        <v>#REF!</v>
      </c>
      <c r="L21" s="137" t="s">
        <v>377</v>
      </c>
      <c r="M21" s="137" t="e">
        <f t="shared" si="3"/>
        <v>#VALUE!</v>
      </c>
      <c r="N21" s="137" t="s">
        <v>377</v>
      </c>
      <c r="O21" s="138" t="e">
        <f t="shared" si="6"/>
        <v>#VALUE!</v>
      </c>
      <c r="P21" s="139" t="e">
        <f t="shared" si="4"/>
        <v>#REF!</v>
      </c>
      <c r="Q21" s="139" t="e">
        <f t="shared" si="5"/>
        <v>#VALUE!</v>
      </c>
      <c r="R21" s="177" t="s">
        <v>404</v>
      </c>
      <c r="S21" s="177"/>
      <c r="T21" s="141"/>
      <c r="U21" s="141"/>
      <c r="V21" s="141"/>
      <c r="W21" s="141"/>
      <c r="X21" s="141"/>
      <c r="Y21" s="141"/>
      <c r="Z21" s="141"/>
      <c r="AA21" s="141"/>
      <c r="AB21" s="141"/>
    </row>
    <row r="22" spans="1:28" x14ac:dyDescent="0.25">
      <c r="A22" s="134" t="e">
        <f>'Actual Dates'!#REF!</f>
        <v>#REF!</v>
      </c>
      <c r="B22" s="135" t="e">
        <f>'Date Calcs'!#REF!</f>
        <v>#REF!</v>
      </c>
      <c r="C22" s="136" t="e">
        <f>'Date Calcs'!#REF!</f>
        <v>#REF!</v>
      </c>
      <c r="D22" s="137" t="e">
        <f t="shared" si="0"/>
        <v>#REF!</v>
      </c>
      <c r="E22" s="137">
        <v>43599</v>
      </c>
      <c r="F22" s="137" t="e">
        <f>'Date Calcs'!#REF!</f>
        <v>#REF!</v>
      </c>
      <c r="G22" s="137" t="e">
        <f>IF(VLOOKUP(A22,'Actual Dates'!#REF!,8,),'Actual Dates'!#REF!,"")</f>
        <v>#REF!</v>
      </c>
      <c r="H22" s="137" t="e">
        <f t="shared" si="1"/>
        <v>#REF!</v>
      </c>
      <c r="I22" s="137" t="e">
        <f>IF(VLOOKUP(A22,'Actual Dates'!#REF!,25,),'Actual Dates'!#REF!,"")</f>
        <v>#REF!</v>
      </c>
      <c r="J22" s="137" t="e">
        <f t="shared" si="2"/>
        <v>#REF!</v>
      </c>
      <c r="K22" s="137" t="e">
        <f>IF(VLOOKUP(A22,'Actual Dates'!A4:AE172,26,),'Actual Dates'!#REF!,"")</f>
        <v>#REF!</v>
      </c>
      <c r="L22" s="137" t="e">
        <f>IF(VLOOKUP(A22,'Actual Dates'!A4:AE172,21,),'Actual Dates'!#REF!,"")</f>
        <v>#REF!</v>
      </c>
      <c r="M22" s="137" t="e">
        <f>'Date Calcs'!#REF!</f>
        <v>#REF!</v>
      </c>
      <c r="N22" s="137" t="e">
        <f>IF(VLOOKUP(A22,'Actual Dates'!A4:AE172,27,),'Actual Dates'!#REF!,"")</f>
        <v>#REF!</v>
      </c>
      <c r="O22" s="138" t="e">
        <f t="shared" si="6"/>
        <v>#REF!</v>
      </c>
      <c r="P22" s="139" t="e">
        <f t="shared" si="4"/>
        <v>#REF!</v>
      </c>
      <c r="Q22" s="139" t="e">
        <f t="shared" si="5"/>
        <v>#REF!</v>
      </c>
      <c r="R22" s="176"/>
      <c r="S22" s="176"/>
      <c r="T22" s="140"/>
      <c r="U22" s="140"/>
      <c r="V22" s="140"/>
      <c r="W22" s="140"/>
      <c r="X22" s="140"/>
      <c r="Y22" s="140"/>
      <c r="Z22" s="140"/>
      <c r="AA22" s="140"/>
      <c r="AB22" s="140"/>
    </row>
    <row r="23" spans="1:28" x14ac:dyDescent="0.25">
      <c r="A23" s="134" t="e">
        <f>'Actual Dates'!#REF!</f>
        <v>#REF!</v>
      </c>
      <c r="B23" s="135" t="e">
        <f>'Date Calcs'!#REF!</f>
        <v>#REF!</v>
      </c>
      <c r="C23" s="136" t="e">
        <f>'Date Calcs'!#REF!</f>
        <v>#REF!</v>
      </c>
      <c r="D23" s="137" t="e">
        <f t="shared" si="0"/>
        <v>#REF!</v>
      </c>
      <c r="E23" s="137">
        <v>43571</v>
      </c>
      <c r="F23" s="137" t="e">
        <f>'Date Calcs'!#REF!</f>
        <v>#REF!</v>
      </c>
      <c r="G23" s="137" t="e">
        <f>IF(VLOOKUP(A23,'Actual Dates'!#REF!,8,),'Actual Dates'!#REF!,"")</f>
        <v>#REF!</v>
      </c>
      <c r="H23" s="137" t="e">
        <f t="shared" si="1"/>
        <v>#REF!</v>
      </c>
      <c r="I23" s="137" t="e">
        <f>IF(VLOOKUP(A23,'Actual Dates'!#REF!,25,),'Actual Dates'!#REF!,"")</f>
        <v>#REF!</v>
      </c>
      <c r="J23" s="137" t="e">
        <f t="shared" si="2"/>
        <v>#REF!</v>
      </c>
      <c r="K23" s="137" t="e">
        <f>IF(VLOOKUP(A23,'Actual Dates'!A4:AE173,26,),'Actual Dates'!#REF!,"")</f>
        <v>#REF!</v>
      </c>
      <c r="L23" s="137" t="e">
        <f>IF(VLOOKUP(A23,'Actual Dates'!A4:AE173,21,),'Actual Dates'!#REF!,"")</f>
        <v>#REF!</v>
      </c>
      <c r="M23" s="137" t="e">
        <f>'Date Calcs'!#REF!</f>
        <v>#REF!</v>
      </c>
      <c r="N23" s="137" t="e">
        <f>IF(VLOOKUP(A23,'Actual Dates'!A4:AE173,27,),'Actual Dates'!#REF!,"")</f>
        <v>#REF!</v>
      </c>
      <c r="O23" s="138" t="e">
        <f t="shared" si="6"/>
        <v>#REF!</v>
      </c>
      <c r="P23" s="139" t="e">
        <f t="shared" si="4"/>
        <v>#REF!</v>
      </c>
      <c r="Q23" s="139" t="e">
        <f t="shared" si="5"/>
        <v>#REF!</v>
      </c>
      <c r="R23" s="176"/>
      <c r="S23" s="176"/>
      <c r="T23" s="140"/>
      <c r="U23" s="140"/>
      <c r="V23" s="140"/>
      <c r="W23" s="140"/>
      <c r="X23" s="140"/>
      <c r="Y23" s="140"/>
      <c r="Z23" s="140"/>
      <c r="AA23" s="140"/>
      <c r="AB23" s="140"/>
    </row>
    <row r="24" spans="1:28" x14ac:dyDescent="0.25">
      <c r="A24" s="134" t="e">
        <f>'Actual Dates'!#REF!</f>
        <v>#REF!</v>
      </c>
      <c r="B24" s="135" t="e">
        <f>'Date Calcs'!#REF!</f>
        <v>#REF!</v>
      </c>
      <c r="C24" s="136" t="e">
        <f>'Date Calcs'!#REF!</f>
        <v>#REF!</v>
      </c>
      <c r="D24" s="137" t="e">
        <f t="shared" si="0"/>
        <v>#REF!</v>
      </c>
      <c r="E24" s="137">
        <v>43571</v>
      </c>
      <c r="F24" s="137" t="e">
        <f>'Date Calcs'!#REF!</f>
        <v>#REF!</v>
      </c>
      <c r="G24" s="137" t="e">
        <f>IF(VLOOKUP(A24,'Actual Dates'!#REF!,8,),'Actual Dates'!#REF!,"")</f>
        <v>#REF!</v>
      </c>
      <c r="H24" s="137" t="e">
        <f t="shared" si="1"/>
        <v>#REF!</v>
      </c>
      <c r="I24" s="137" t="e">
        <f>IF(VLOOKUP(A24,'Actual Dates'!#REF!,25,),'Actual Dates'!#REF!,"")</f>
        <v>#REF!</v>
      </c>
      <c r="J24" s="137" t="e">
        <f t="shared" si="2"/>
        <v>#REF!</v>
      </c>
      <c r="K24" s="137" t="e">
        <f>IF(VLOOKUP(A24,'Actual Dates'!A4:AE174,26,),'Actual Dates'!#REF!,"")</f>
        <v>#REF!</v>
      </c>
      <c r="L24" s="137" t="e">
        <f>IF(VLOOKUP(A24,'Actual Dates'!A4:AE174,21,),'Actual Dates'!#REF!,"")</f>
        <v>#REF!</v>
      </c>
      <c r="M24" s="137" t="e">
        <f>'Date Calcs'!#REF!</f>
        <v>#REF!</v>
      </c>
      <c r="N24" s="137" t="e">
        <f>IF(VLOOKUP(A24,'Actual Dates'!A4:AE174,27,),'Actual Dates'!#REF!,"")</f>
        <v>#REF!</v>
      </c>
      <c r="O24" s="138" t="e">
        <f t="shared" si="6"/>
        <v>#REF!</v>
      </c>
      <c r="P24" s="139" t="e">
        <f t="shared" si="4"/>
        <v>#REF!</v>
      </c>
      <c r="Q24" s="139" t="e">
        <f t="shared" si="5"/>
        <v>#REF!</v>
      </c>
      <c r="R24" s="176"/>
      <c r="S24" s="176"/>
      <c r="T24" s="140"/>
      <c r="U24" s="140"/>
      <c r="V24" s="140"/>
      <c r="W24" s="140"/>
      <c r="X24" s="140"/>
      <c r="Y24" s="140"/>
      <c r="Z24" s="140"/>
      <c r="AA24" s="140"/>
      <c r="AB24" s="140"/>
    </row>
    <row r="25" spans="1:28" x14ac:dyDescent="0.25">
      <c r="A25" s="134" t="e">
        <f>'Actual Dates'!#REF!</f>
        <v>#REF!</v>
      </c>
      <c r="B25" s="135" t="e">
        <f>'Date Calcs'!#REF!</f>
        <v>#REF!</v>
      </c>
      <c r="C25" s="136" t="e">
        <f>'Date Calcs'!#REF!</f>
        <v>#REF!</v>
      </c>
      <c r="D25" s="137" t="e">
        <f t="shared" si="0"/>
        <v>#REF!</v>
      </c>
      <c r="E25" s="137">
        <v>43571</v>
      </c>
      <c r="F25" s="137" t="e">
        <f>'Date Calcs'!#REF!</f>
        <v>#REF!</v>
      </c>
      <c r="G25" s="137" t="e">
        <f>IF(VLOOKUP(A25,'Actual Dates'!#REF!,8,),'Actual Dates'!#REF!,"")</f>
        <v>#REF!</v>
      </c>
      <c r="H25" s="137" t="e">
        <f t="shared" si="1"/>
        <v>#REF!</v>
      </c>
      <c r="I25" s="137" t="e">
        <f>IF(VLOOKUP(A25,'Actual Dates'!#REF!,25,),'Actual Dates'!#REF!,"")</f>
        <v>#REF!</v>
      </c>
      <c r="J25" s="137" t="e">
        <f t="shared" si="2"/>
        <v>#REF!</v>
      </c>
      <c r="K25" s="137" t="e">
        <f>IF(VLOOKUP(A25,'Actual Dates'!A4:AE175,26,),'Actual Dates'!#REF!,"")</f>
        <v>#REF!</v>
      </c>
      <c r="L25" s="137" t="e">
        <f>IF(VLOOKUP(A25,'Actual Dates'!A4:AE175,21,),'Actual Dates'!#REF!,"")</f>
        <v>#REF!</v>
      </c>
      <c r="M25" s="137" t="e">
        <f>'Date Calcs'!#REF!</f>
        <v>#REF!</v>
      </c>
      <c r="N25" s="137" t="e">
        <f>IF(VLOOKUP(A25,'Actual Dates'!A4:AE175,27,),'Actual Dates'!#REF!,"")</f>
        <v>#REF!</v>
      </c>
      <c r="O25" s="138" t="e">
        <f t="shared" si="6"/>
        <v>#REF!</v>
      </c>
      <c r="P25" s="139" t="e">
        <f t="shared" si="4"/>
        <v>#REF!</v>
      </c>
      <c r="Q25" s="139" t="e">
        <f t="shared" si="5"/>
        <v>#REF!</v>
      </c>
      <c r="R25" s="176"/>
      <c r="S25" s="176"/>
      <c r="T25" s="140"/>
      <c r="U25" s="140"/>
      <c r="V25" s="140"/>
      <c r="W25" s="140"/>
      <c r="X25" s="140"/>
      <c r="Y25" s="140"/>
      <c r="Z25" s="140"/>
      <c r="AA25" s="140"/>
      <c r="AB25" s="140"/>
    </row>
    <row r="26" spans="1:28" x14ac:dyDescent="0.25">
      <c r="A26" s="134" t="e">
        <f>'Actual Dates'!#REF!</f>
        <v>#REF!</v>
      </c>
      <c r="B26" s="135" t="e">
        <f>'Date Calcs'!#REF!</f>
        <v>#REF!</v>
      </c>
      <c r="C26" s="136" t="e">
        <f>'Date Calcs'!#REF!</f>
        <v>#REF!</v>
      </c>
      <c r="D26" s="137" t="e">
        <f t="shared" si="0"/>
        <v>#REF!</v>
      </c>
      <c r="E26" s="137">
        <v>43571</v>
      </c>
      <c r="F26" s="137" t="e">
        <f>'Date Calcs'!#REF!</f>
        <v>#REF!</v>
      </c>
      <c r="G26" s="137" t="e">
        <f>IF(VLOOKUP(A26,'Actual Dates'!#REF!,8,),'Actual Dates'!#REF!,"")</f>
        <v>#REF!</v>
      </c>
      <c r="H26" s="137" t="e">
        <f t="shared" si="1"/>
        <v>#REF!</v>
      </c>
      <c r="I26" s="137" t="e">
        <f>IF(VLOOKUP(A26,'Actual Dates'!#REF!,25,),'Actual Dates'!#REF!,"")</f>
        <v>#REF!</v>
      </c>
      <c r="J26" s="137" t="e">
        <f t="shared" si="2"/>
        <v>#REF!</v>
      </c>
      <c r="K26" s="137" t="e">
        <f>IF(VLOOKUP(A26,'Actual Dates'!A4:AE176,26,),'Actual Dates'!#REF!,"")</f>
        <v>#REF!</v>
      </c>
      <c r="L26" s="137" t="e">
        <f>IF(VLOOKUP(A26,'Actual Dates'!A4:AE176,21,),'Actual Dates'!#REF!,"")</f>
        <v>#REF!</v>
      </c>
      <c r="M26" s="137" t="e">
        <f>'Date Calcs'!#REF!</f>
        <v>#REF!</v>
      </c>
      <c r="N26" s="137" t="e">
        <f>IF(VLOOKUP(A26,'Actual Dates'!A4:AE176,27,),'Actual Dates'!#REF!,"")</f>
        <v>#REF!</v>
      </c>
      <c r="O26" s="138" t="e">
        <f t="shared" si="6"/>
        <v>#REF!</v>
      </c>
      <c r="P26" s="139" t="e">
        <f t="shared" si="4"/>
        <v>#REF!</v>
      </c>
      <c r="Q26" s="139" t="e">
        <f t="shared" si="5"/>
        <v>#REF!</v>
      </c>
      <c r="R26" s="170"/>
      <c r="S26" s="170"/>
      <c r="T26" s="142"/>
      <c r="U26" s="142"/>
      <c r="V26" s="142"/>
      <c r="W26" s="142"/>
      <c r="X26" s="142"/>
      <c r="Y26" s="142"/>
      <c r="Z26" s="142"/>
      <c r="AA26" s="142"/>
      <c r="AB26" s="142"/>
    </row>
    <row r="27" spans="1:28" x14ac:dyDescent="0.25">
      <c r="A27" s="134" t="e">
        <f>'Actual Dates'!#REF!</f>
        <v>#REF!</v>
      </c>
      <c r="B27" s="135" t="e">
        <f>'Date Calcs'!#REF!</f>
        <v>#REF!</v>
      </c>
      <c r="C27" s="136" t="e">
        <f>'Date Calcs'!#REF!</f>
        <v>#REF!</v>
      </c>
      <c r="D27" s="137" t="e">
        <f t="shared" si="0"/>
        <v>#REF!</v>
      </c>
      <c r="E27" s="143" t="s">
        <v>377</v>
      </c>
      <c r="F27" s="137" t="e">
        <f>'Date Calcs'!#REF!</f>
        <v>#REF!</v>
      </c>
      <c r="G27" s="137" t="s">
        <v>377</v>
      </c>
      <c r="H27" s="137" t="e">
        <f t="shared" si="1"/>
        <v>#VALUE!</v>
      </c>
      <c r="I27" s="137" t="e">
        <f>IF(VLOOKUP(A27,'Actual Dates'!#REF!,25,),'Actual Dates'!#REF!,"")</f>
        <v>#REF!</v>
      </c>
      <c r="J27" s="137" t="e">
        <f t="shared" si="2"/>
        <v>#VALUE!</v>
      </c>
      <c r="K27" s="137" t="e">
        <f>IF(VLOOKUP(A27,'Actual Dates'!A4:AE177,26,),'Actual Dates'!#REF!,"")</f>
        <v>#REF!</v>
      </c>
      <c r="L27" s="137" t="s">
        <v>377</v>
      </c>
      <c r="M27" s="137" t="e">
        <f>'Date Calcs'!#REF!</f>
        <v>#REF!</v>
      </c>
      <c r="N27" s="137" t="e">
        <f>IF(VLOOKUP(A27,'Actual Dates'!A4:AE177,27,),'Actual Dates'!#REF!,"")</f>
        <v>#REF!</v>
      </c>
      <c r="O27" s="138" t="e">
        <f t="shared" si="6"/>
        <v>#REF!</v>
      </c>
      <c r="P27" s="139" t="e">
        <f t="shared" si="4"/>
        <v>#REF!</v>
      </c>
      <c r="Q27" s="139" t="e">
        <f t="shared" si="5"/>
        <v>#REF!</v>
      </c>
      <c r="R27" s="170"/>
      <c r="S27" s="170"/>
      <c r="T27" s="142"/>
      <c r="U27" s="142"/>
      <c r="V27" s="142"/>
      <c r="W27" s="142"/>
      <c r="X27" s="142"/>
      <c r="Y27" s="142"/>
      <c r="Z27" s="142"/>
      <c r="AA27" s="142"/>
      <c r="AB27" s="142"/>
    </row>
    <row r="28" spans="1:28" x14ac:dyDescent="0.25">
      <c r="A28" s="134" t="e">
        <f>'Actual Dates'!#REF!</f>
        <v>#REF!</v>
      </c>
      <c r="B28" s="135" t="e">
        <f>'Date Calcs'!#REF!</f>
        <v>#REF!</v>
      </c>
      <c r="C28" s="136" t="e">
        <f>'Date Calcs'!#REF!</f>
        <v>#REF!</v>
      </c>
      <c r="D28" s="137" t="e">
        <f t="shared" si="0"/>
        <v>#REF!</v>
      </c>
      <c r="E28" s="143" t="s">
        <v>377</v>
      </c>
      <c r="F28" s="137" t="e">
        <f>'Date Calcs'!#REF!</f>
        <v>#REF!</v>
      </c>
      <c r="G28" s="137" t="s">
        <v>377</v>
      </c>
      <c r="H28" s="137" t="e">
        <f t="shared" si="1"/>
        <v>#VALUE!</v>
      </c>
      <c r="I28" s="137" t="e">
        <f>IF(VLOOKUP(A28,'Actual Dates'!#REF!,25,),'Actual Dates'!#REF!,"")</f>
        <v>#REF!</v>
      </c>
      <c r="J28" s="137" t="e">
        <f t="shared" si="2"/>
        <v>#VALUE!</v>
      </c>
      <c r="K28" s="137" t="e">
        <f>IF(VLOOKUP(A28,'Actual Dates'!A4:AE178,26,),'Actual Dates'!#REF!,"")</f>
        <v>#REF!</v>
      </c>
      <c r="L28" s="137" t="s">
        <v>377</v>
      </c>
      <c r="M28" s="137" t="e">
        <f>'Date Calcs'!#REF!</f>
        <v>#REF!</v>
      </c>
      <c r="N28" s="137" t="e">
        <f>IF(VLOOKUP(A28,'Actual Dates'!A4:AE178,27,),'Actual Dates'!#REF!,"")</f>
        <v>#REF!</v>
      </c>
      <c r="O28" s="138" t="e">
        <f t="shared" si="6"/>
        <v>#REF!</v>
      </c>
      <c r="P28" s="139" t="e">
        <f t="shared" si="4"/>
        <v>#REF!</v>
      </c>
      <c r="Q28" s="139" t="e">
        <f t="shared" si="5"/>
        <v>#REF!</v>
      </c>
      <c r="R28" s="170"/>
      <c r="S28" s="170"/>
      <c r="T28" s="142"/>
      <c r="U28" s="142"/>
      <c r="V28" s="142"/>
      <c r="W28" s="142"/>
      <c r="X28" s="142"/>
      <c r="Y28" s="142"/>
      <c r="Z28" s="142"/>
      <c r="AA28" s="142"/>
      <c r="AB28" s="142"/>
    </row>
    <row r="29" spans="1:28" x14ac:dyDescent="0.25">
      <c r="A29" s="134" t="e">
        <f>'Actual Dates'!#REF!</f>
        <v>#REF!</v>
      </c>
      <c r="B29" s="135" t="e">
        <f>'Date Calcs'!#REF!</f>
        <v>#REF!</v>
      </c>
      <c r="C29" s="136" t="e">
        <f>'Date Calcs'!#REF!</f>
        <v>#REF!</v>
      </c>
      <c r="D29" s="137" t="e">
        <f t="shared" si="0"/>
        <v>#REF!</v>
      </c>
      <c r="E29" s="143" t="s">
        <v>377</v>
      </c>
      <c r="F29" s="137" t="e">
        <f>'Date Calcs'!#REF!</f>
        <v>#REF!</v>
      </c>
      <c r="G29" s="137" t="s">
        <v>377</v>
      </c>
      <c r="H29" s="137" t="e">
        <f t="shared" si="1"/>
        <v>#VALUE!</v>
      </c>
      <c r="I29" s="137" t="e">
        <f>IF(VLOOKUP(A29,'Actual Dates'!#REF!,25,),'Actual Dates'!#REF!,"")</f>
        <v>#REF!</v>
      </c>
      <c r="J29" s="137" t="e">
        <f t="shared" si="2"/>
        <v>#VALUE!</v>
      </c>
      <c r="K29" s="137" t="e">
        <f>IF(VLOOKUP(A29,'Actual Dates'!A4:AE179,26,),'Actual Dates'!#REF!,"")</f>
        <v>#REF!</v>
      </c>
      <c r="L29" s="137" t="s">
        <v>377</v>
      </c>
      <c r="M29" s="137" t="e">
        <f>'Date Calcs'!#REF!</f>
        <v>#REF!</v>
      </c>
      <c r="N29" s="137" t="e">
        <f>IF(VLOOKUP(A29,'Actual Dates'!A4:AE179,27,),'Actual Dates'!#REF!,"")</f>
        <v>#REF!</v>
      </c>
      <c r="O29" s="138" t="e">
        <f t="shared" si="6"/>
        <v>#REF!</v>
      </c>
      <c r="P29" s="139" t="e">
        <f t="shared" si="4"/>
        <v>#REF!</v>
      </c>
      <c r="Q29" s="139" t="e">
        <f t="shared" si="5"/>
        <v>#REF!</v>
      </c>
      <c r="R29" s="170"/>
      <c r="S29" s="170"/>
      <c r="T29" s="142"/>
      <c r="U29" s="142"/>
      <c r="V29" s="142"/>
      <c r="W29" s="142"/>
      <c r="X29" s="142"/>
      <c r="Y29" s="142"/>
      <c r="Z29" s="142"/>
      <c r="AA29" s="142"/>
      <c r="AB29" s="142"/>
    </row>
    <row r="30" spans="1:28" x14ac:dyDescent="0.25">
      <c r="A30" s="134" t="e">
        <f>'Actual Dates'!#REF!</f>
        <v>#REF!</v>
      </c>
      <c r="B30" s="135" t="e">
        <f>'Date Calcs'!#REF!</f>
        <v>#REF!</v>
      </c>
      <c r="C30" s="136" t="e">
        <f>'Date Calcs'!#REF!</f>
        <v>#REF!</v>
      </c>
      <c r="D30" s="137" t="e">
        <f t="shared" si="0"/>
        <v>#REF!</v>
      </c>
      <c r="E30" s="143" t="s">
        <v>377</v>
      </c>
      <c r="F30" s="137" t="e">
        <f>'Date Calcs'!#REF!</f>
        <v>#REF!</v>
      </c>
      <c r="G30" s="137" t="s">
        <v>377</v>
      </c>
      <c r="H30" s="137" t="e">
        <f t="shared" si="1"/>
        <v>#VALUE!</v>
      </c>
      <c r="I30" s="137" t="e">
        <f>IF(VLOOKUP(A30,'Actual Dates'!#REF!,25,),'Actual Dates'!#REF!,"")</f>
        <v>#REF!</v>
      </c>
      <c r="J30" s="137" t="e">
        <f t="shared" si="2"/>
        <v>#VALUE!</v>
      </c>
      <c r="K30" s="137" t="e">
        <f>IF(VLOOKUP(A30,'Actual Dates'!A4:AE180,26,),'Actual Dates'!#REF!,"")</f>
        <v>#REF!</v>
      </c>
      <c r="L30" s="137" t="s">
        <v>377</v>
      </c>
      <c r="M30" s="137" t="e">
        <f>'Date Calcs'!#REF!</f>
        <v>#REF!</v>
      </c>
      <c r="N30" s="137" t="e">
        <f>IF(VLOOKUP(A30,'Actual Dates'!A4:AE180,27,),'Actual Dates'!#REF!,"")</f>
        <v>#REF!</v>
      </c>
      <c r="O30" s="138" t="e">
        <f t="shared" si="6"/>
        <v>#REF!</v>
      </c>
      <c r="P30" s="139" t="e">
        <f t="shared" si="4"/>
        <v>#REF!</v>
      </c>
      <c r="Q30" s="139" t="e">
        <f t="shared" si="5"/>
        <v>#REF!</v>
      </c>
      <c r="R30" s="170"/>
      <c r="S30" s="170"/>
      <c r="T30" s="142"/>
      <c r="U30" s="142"/>
      <c r="V30" s="142"/>
      <c r="W30" s="142"/>
      <c r="X30" s="142"/>
      <c r="Y30" s="142"/>
      <c r="Z30" s="142"/>
      <c r="AA30" s="142"/>
      <c r="AB30" s="142"/>
    </row>
    <row r="31" spans="1:28" x14ac:dyDescent="0.25">
      <c r="A31" s="134" t="e">
        <f>'Actual Dates'!#REF!</f>
        <v>#REF!</v>
      </c>
      <c r="B31" s="135" t="e">
        <f>'Date Calcs'!#REF!</f>
        <v>#REF!</v>
      </c>
      <c r="C31" s="136" t="e">
        <f>'Date Calcs'!#REF!</f>
        <v>#REF!</v>
      </c>
      <c r="D31" s="137" t="e">
        <f t="shared" si="0"/>
        <v>#REF!</v>
      </c>
      <c r="E31" s="143" t="s">
        <v>377</v>
      </c>
      <c r="F31" s="137" t="e">
        <f>'Date Calcs'!#REF!</f>
        <v>#REF!</v>
      </c>
      <c r="G31" s="137" t="s">
        <v>377</v>
      </c>
      <c r="H31" s="137" t="e">
        <f t="shared" si="1"/>
        <v>#VALUE!</v>
      </c>
      <c r="I31" s="137" t="e">
        <f>IF(VLOOKUP(A31,'Actual Dates'!#REF!,25,),'Actual Dates'!#REF!,"")</f>
        <v>#REF!</v>
      </c>
      <c r="J31" s="137" t="e">
        <f t="shared" si="2"/>
        <v>#VALUE!</v>
      </c>
      <c r="K31" s="137" t="e">
        <f>IF(VLOOKUP(A31,'Actual Dates'!A4:AE181,26,),'Actual Dates'!#REF!,"")</f>
        <v>#REF!</v>
      </c>
      <c r="L31" s="137" t="s">
        <v>377</v>
      </c>
      <c r="M31" s="137" t="e">
        <f>'Date Calcs'!#REF!</f>
        <v>#REF!</v>
      </c>
      <c r="N31" s="137" t="e">
        <f>IF(VLOOKUP(A31,'Actual Dates'!A4:AE181,27,),'Actual Dates'!#REF!,"")</f>
        <v>#REF!</v>
      </c>
      <c r="O31" s="138" t="e">
        <f t="shared" si="6"/>
        <v>#REF!</v>
      </c>
      <c r="P31" s="139" t="e">
        <f t="shared" si="4"/>
        <v>#REF!</v>
      </c>
      <c r="Q31" s="139" t="e">
        <f t="shared" si="5"/>
        <v>#REF!</v>
      </c>
      <c r="R31" s="170"/>
      <c r="S31" s="170"/>
      <c r="T31" s="142"/>
      <c r="U31" s="142"/>
      <c r="V31" s="142"/>
      <c r="W31" s="142"/>
      <c r="X31" s="142"/>
      <c r="Y31" s="142"/>
      <c r="Z31" s="142"/>
      <c r="AA31" s="142"/>
      <c r="AB31" s="142"/>
    </row>
    <row r="32" spans="1:28" x14ac:dyDescent="0.25">
      <c r="A32" s="134" t="e">
        <f>'Actual Dates'!#REF!</f>
        <v>#REF!</v>
      </c>
      <c r="B32" s="135" t="e">
        <f>'Date Calcs'!#REF!</f>
        <v>#REF!</v>
      </c>
      <c r="C32" s="136" t="e">
        <f>'Date Calcs'!#REF!</f>
        <v>#REF!</v>
      </c>
      <c r="D32" s="137" t="e">
        <f t="shared" si="0"/>
        <v>#REF!</v>
      </c>
      <c r="E32" s="143" t="s">
        <v>377</v>
      </c>
      <c r="F32" s="137" t="e">
        <f>'Date Calcs'!#REF!</f>
        <v>#REF!</v>
      </c>
      <c r="G32" s="137" t="s">
        <v>377</v>
      </c>
      <c r="H32" s="137" t="e">
        <f t="shared" si="1"/>
        <v>#VALUE!</v>
      </c>
      <c r="I32" s="137" t="e">
        <f>IF(VLOOKUP(A32,'Actual Dates'!#REF!,25,),'Actual Dates'!#REF!,"")</f>
        <v>#REF!</v>
      </c>
      <c r="J32" s="137" t="e">
        <f t="shared" si="2"/>
        <v>#VALUE!</v>
      </c>
      <c r="K32" s="137" t="e">
        <f>IF(VLOOKUP(A32,'Actual Dates'!A4:AE182,26,),'Actual Dates'!#REF!,"")</f>
        <v>#REF!</v>
      </c>
      <c r="L32" s="137" t="s">
        <v>377</v>
      </c>
      <c r="M32" s="137" t="e">
        <f>'Date Calcs'!#REF!</f>
        <v>#REF!</v>
      </c>
      <c r="N32" s="137" t="e">
        <f>IF(VLOOKUP(A32,'Actual Dates'!A4:AE182,27,),'Actual Dates'!#REF!,"")</f>
        <v>#REF!</v>
      </c>
      <c r="O32" s="138" t="e">
        <f t="shared" si="6"/>
        <v>#REF!</v>
      </c>
      <c r="P32" s="139" t="e">
        <f t="shared" si="4"/>
        <v>#REF!</v>
      </c>
      <c r="Q32" s="139" t="e">
        <f t="shared" si="5"/>
        <v>#REF!</v>
      </c>
      <c r="R32" s="170"/>
      <c r="S32" s="170"/>
      <c r="T32" s="142"/>
      <c r="U32" s="142"/>
      <c r="V32" s="142"/>
      <c r="W32" s="142"/>
      <c r="X32" s="142"/>
      <c r="Y32" s="142"/>
      <c r="Z32" s="142"/>
      <c r="AA32" s="142"/>
      <c r="AB32" s="142"/>
    </row>
    <row r="33" spans="1:28" x14ac:dyDescent="0.25">
      <c r="A33" s="134" t="e">
        <f>'Actual Dates'!#REF!</f>
        <v>#REF!</v>
      </c>
      <c r="B33" s="135" t="e">
        <f>'Date Calcs'!#REF!</f>
        <v>#REF!</v>
      </c>
      <c r="C33" s="136" t="e">
        <f>'Date Calcs'!#REF!</f>
        <v>#REF!</v>
      </c>
      <c r="D33" s="137" t="e">
        <f t="shared" si="0"/>
        <v>#REF!</v>
      </c>
      <c r="E33" s="143" t="s">
        <v>377</v>
      </c>
      <c r="F33" s="137" t="e">
        <f>'Date Calcs'!#REF!</f>
        <v>#REF!</v>
      </c>
      <c r="G33" s="137" t="s">
        <v>377</v>
      </c>
      <c r="H33" s="137" t="e">
        <f t="shared" si="1"/>
        <v>#VALUE!</v>
      </c>
      <c r="I33" s="137" t="e">
        <f>IF(VLOOKUP(A33,'Actual Dates'!A4:AE155,25,),'Actual Dates'!#REF!,"")</f>
        <v>#REF!</v>
      </c>
      <c r="J33" s="137" t="e">
        <f t="shared" si="2"/>
        <v>#VALUE!</v>
      </c>
      <c r="K33" s="137" t="e">
        <f>IF(VLOOKUP(A33,'Actual Dates'!A4:AE183,26,),'Actual Dates'!#REF!,"")</f>
        <v>#REF!</v>
      </c>
      <c r="L33" s="137" t="s">
        <v>377</v>
      </c>
      <c r="M33" s="137" t="e">
        <f>'Date Calcs'!#REF!</f>
        <v>#REF!</v>
      </c>
      <c r="N33" s="137" t="e">
        <f>IF(VLOOKUP(A33,'Actual Dates'!A4:AE183,27,),'Actual Dates'!#REF!,"")</f>
        <v>#REF!</v>
      </c>
      <c r="O33" s="138" t="e">
        <f t="shared" si="6"/>
        <v>#REF!</v>
      </c>
      <c r="P33" s="139" t="e">
        <f t="shared" si="4"/>
        <v>#REF!</v>
      </c>
      <c r="Q33" s="139" t="e">
        <f t="shared" si="5"/>
        <v>#REF!</v>
      </c>
      <c r="R33" s="170"/>
      <c r="S33" s="170"/>
      <c r="T33" s="142"/>
      <c r="U33" s="142"/>
      <c r="V33" s="142"/>
      <c r="W33" s="142"/>
      <c r="X33" s="142"/>
      <c r="Y33" s="142"/>
      <c r="Z33" s="142"/>
      <c r="AA33" s="142"/>
      <c r="AB33" s="142"/>
    </row>
    <row r="34" spans="1:28" x14ac:dyDescent="0.25">
      <c r="A34" s="134" t="e">
        <f>'Actual Dates'!#REF!</f>
        <v>#REF!</v>
      </c>
      <c r="B34" s="135" t="e">
        <f>'Date Calcs'!#REF!</f>
        <v>#REF!</v>
      </c>
      <c r="C34" s="136" t="e">
        <f>'Date Calcs'!#REF!</f>
        <v>#REF!</v>
      </c>
      <c r="D34" s="137" t="e">
        <f t="shared" si="0"/>
        <v>#REF!</v>
      </c>
      <c r="E34" s="143">
        <v>43590</v>
      </c>
      <c r="F34" s="137" t="e">
        <f>'Date Calcs'!#REF!</f>
        <v>#REF!</v>
      </c>
      <c r="G34" s="137" t="e">
        <f>IF(VLOOKUP(A34,'Actual Dates'!A4:AE161,8,),'Actual Dates'!#REF!,"")</f>
        <v>#REF!</v>
      </c>
      <c r="H34" s="137" t="e">
        <f>WORKDAY(L34,7,)</f>
        <v>#REF!</v>
      </c>
      <c r="I34" s="137" t="e">
        <f>IF(VLOOKUP(A34,'Actual Dates'!A4:AE156,25,),'Actual Dates'!#REF!,"")</f>
        <v>#REF!</v>
      </c>
      <c r="J34" s="137" t="e">
        <f>WORKDAY(L34,7,)</f>
        <v>#REF!</v>
      </c>
      <c r="K34" s="137" t="e">
        <f>IF(VLOOKUP(A34,'Actual Dates'!A4:AE184,26,),'Actual Dates'!#REF!,"")</f>
        <v>#REF!</v>
      </c>
      <c r="L34" s="137" t="e">
        <f>IF(VLOOKUP(A34,'Actual Dates'!A4:AE184,21,),'Actual Dates'!#REF!,"")</f>
        <v>#REF!</v>
      </c>
      <c r="M34" s="137" t="e">
        <f>'Date Calcs'!#REF!</f>
        <v>#REF!</v>
      </c>
      <c r="N34" s="137" t="e">
        <f>IF(VLOOKUP(A34,'Actual Dates'!A4:AE184,27,),'Actual Dates'!#REF!,"")</f>
        <v>#REF!</v>
      </c>
      <c r="O34" s="138" t="e">
        <f t="shared" si="6"/>
        <v>#REF!</v>
      </c>
      <c r="P34" s="139" t="e">
        <f t="shared" si="4"/>
        <v>#REF!</v>
      </c>
      <c r="Q34" s="139" t="e">
        <f t="shared" si="5"/>
        <v>#REF!</v>
      </c>
      <c r="R34" s="170" t="s">
        <v>405</v>
      </c>
      <c r="S34" s="170"/>
      <c r="T34" s="142"/>
      <c r="U34" s="142"/>
      <c r="V34" s="142"/>
      <c r="W34" s="142"/>
      <c r="X34" s="142"/>
      <c r="Y34" s="142"/>
      <c r="Z34" s="142"/>
      <c r="AA34" s="142"/>
      <c r="AB34" s="142"/>
    </row>
    <row r="35" spans="1:28" x14ac:dyDescent="0.25">
      <c r="A35" s="134" t="e">
        <f>'Actual Dates'!#REF!</f>
        <v>#REF!</v>
      </c>
      <c r="B35" s="135" t="e">
        <f>'Date Calcs'!#REF!</f>
        <v>#REF!</v>
      </c>
      <c r="C35" s="136" t="e">
        <f>'Date Calcs'!#REF!</f>
        <v>#REF!</v>
      </c>
      <c r="D35" s="137" t="e">
        <f t="shared" si="0"/>
        <v>#REF!</v>
      </c>
      <c r="E35" s="143">
        <v>43590</v>
      </c>
      <c r="F35" s="137" t="e">
        <f>'Date Calcs'!#REF!</f>
        <v>#REF!</v>
      </c>
      <c r="G35" s="137" t="e">
        <f>IF(VLOOKUP(A35,'Actual Dates'!A4:AE162,8,),'Actual Dates'!#REF!,"")</f>
        <v>#REF!</v>
      </c>
      <c r="H35" s="137" t="e">
        <f>WORKDAY(L35,7,)</f>
        <v>#REF!</v>
      </c>
      <c r="I35" s="137" t="e">
        <f>IF(VLOOKUP(A35,'Actual Dates'!A4:AE157,25,),'Actual Dates'!#REF!,"")</f>
        <v>#REF!</v>
      </c>
      <c r="J35" s="137" t="e">
        <f>WORKDAY(L35,7,)</f>
        <v>#REF!</v>
      </c>
      <c r="K35" s="137" t="e">
        <f>IF(VLOOKUP(A35,'Actual Dates'!A4:AE185,26,),'Actual Dates'!#REF!,"")</f>
        <v>#REF!</v>
      </c>
      <c r="L35" s="137" t="e">
        <f>IF(VLOOKUP(A35,'Actual Dates'!A4:AE185,21,),'Actual Dates'!#REF!,"")</f>
        <v>#REF!</v>
      </c>
      <c r="M35" s="137" t="e">
        <f>'Date Calcs'!#REF!</f>
        <v>#REF!</v>
      </c>
      <c r="N35" s="137" t="e">
        <f>IF(VLOOKUP(A35,'Actual Dates'!A4:AE185,27,),'Actual Dates'!#REF!,"")</f>
        <v>#REF!</v>
      </c>
      <c r="O35" s="138" t="e">
        <f t="shared" si="6"/>
        <v>#REF!</v>
      </c>
      <c r="P35" s="139" t="e">
        <f t="shared" si="4"/>
        <v>#REF!</v>
      </c>
      <c r="Q35" s="139" t="e">
        <f t="shared" si="5"/>
        <v>#REF!</v>
      </c>
      <c r="R35" s="170" t="s">
        <v>405</v>
      </c>
      <c r="S35" s="170"/>
      <c r="T35" s="142"/>
      <c r="U35" s="142"/>
      <c r="V35" s="142"/>
      <c r="W35" s="142"/>
      <c r="X35" s="142"/>
      <c r="Y35" s="142"/>
      <c r="Z35" s="142"/>
      <c r="AA35" s="142"/>
      <c r="AB35" s="142"/>
    </row>
    <row r="36" spans="1:28" x14ac:dyDescent="0.25">
      <c r="A36" s="134" t="e">
        <f>'Actual Dates'!#REF!</f>
        <v>#REF!</v>
      </c>
      <c r="B36" s="135" t="e">
        <f>'Date Calcs'!#REF!</f>
        <v>#REF!</v>
      </c>
      <c r="C36" s="136" t="e">
        <f>'Date Calcs'!#REF!</f>
        <v>#REF!</v>
      </c>
      <c r="D36" s="137" t="e">
        <f t="shared" si="0"/>
        <v>#REF!</v>
      </c>
      <c r="E36" s="143">
        <v>43607</v>
      </c>
      <c r="F36" s="137" t="e">
        <f>'Date Calcs'!#REF!</f>
        <v>#REF!</v>
      </c>
      <c r="G36" s="137" t="e">
        <f>IF(VLOOKUP(A36,'Actual Dates'!A4:AE163,8,),'Actual Dates'!#REF!,"")</f>
        <v>#REF!</v>
      </c>
      <c r="H36" s="137" t="e">
        <f>WORKDAY(L36,4,)</f>
        <v>#REF!</v>
      </c>
      <c r="I36" s="137" t="e">
        <f>IF(VLOOKUP(A36,'Actual Dates'!A4:AE158,25,),'Actual Dates'!#REF!,"")</f>
        <v>#REF!</v>
      </c>
      <c r="J36" s="137" t="e">
        <f t="shared" ref="J36:J67" si="7">WORKDAY(L36,4,)</f>
        <v>#REF!</v>
      </c>
      <c r="K36" s="137" t="e">
        <f>IF(VLOOKUP(A36,'Actual Dates'!A4:AE186,26,),'Actual Dates'!#REF!,"")</f>
        <v>#REF!</v>
      </c>
      <c r="L36" s="137" t="e">
        <f>IF(VLOOKUP(A36,'Actual Dates'!A4:AE186,21,),'Actual Dates'!#REF!,"")</f>
        <v>#REF!</v>
      </c>
      <c r="M36" s="137" t="e">
        <f>'Date Calcs'!#REF!</f>
        <v>#REF!</v>
      </c>
      <c r="N36" s="137" t="e">
        <f>IF(VLOOKUP(A36,'Actual Dates'!A4:AE186,27,),'Actual Dates'!#REF!,"")</f>
        <v>#REF!</v>
      </c>
      <c r="O36" s="138" t="e">
        <f t="shared" si="6"/>
        <v>#REF!</v>
      </c>
      <c r="P36" s="139" t="e">
        <f t="shared" si="4"/>
        <v>#REF!</v>
      </c>
      <c r="Q36" s="139" t="e">
        <f t="shared" si="5"/>
        <v>#REF!</v>
      </c>
      <c r="R36" s="170"/>
      <c r="S36" s="170"/>
      <c r="T36" s="142"/>
      <c r="U36" s="142"/>
      <c r="V36" s="142"/>
      <c r="W36" s="142"/>
      <c r="X36" s="142"/>
      <c r="Y36" s="142"/>
      <c r="Z36" s="142"/>
      <c r="AA36" s="142"/>
      <c r="AB36" s="142"/>
    </row>
    <row r="37" spans="1:28" x14ac:dyDescent="0.25">
      <c r="A37" s="134" t="e">
        <f>'Actual Dates'!#REF!</f>
        <v>#REF!</v>
      </c>
      <c r="B37" s="135" t="e">
        <f>'Date Calcs'!#REF!</f>
        <v>#REF!</v>
      </c>
      <c r="C37" s="136" t="e">
        <f>'Date Calcs'!#REF!</f>
        <v>#REF!</v>
      </c>
      <c r="D37" s="137" t="e">
        <f t="shared" si="0"/>
        <v>#REF!</v>
      </c>
      <c r="E37" s="143">
        <v>43655</v>
      </c>
      <c r="F37" s="137" t="e">
        <f>'Date Calcs'!#REF!</f>
        <v>#REF!</v>
      </c>
      <c r="G37" s="137" t="e">
        <f>IF(VLOOKUP(A37,'Actual Dates'!A4:AE164,8,),'Actual Dates'!#REF!,"")</f>
        <v>#REF!</v>
      </c>
      <c r="H37" s="137" t="e">
        <f t="shared" ref="H37:H68" si="8">WORKDAY(L37,3,)</f>
        <v>#REF!</v>
      </c>
      <c r="I37" s="137" t="e">
        <f>IF(VLOOKUP(A37,'Actual Dates'!A4:AE159,25,),'Actual Dates'!#REF!,"")</f>
        <v>#REF!</v>
      </c>
      <c r="J37" s="137" t="e">
        <f t="shared" si="7"/>
        <v>#REF!</v>
      </c>
      <c r="K37" s="137" t="e">
        <f>IF(VLOOKUP(A37,'Actual Dates'!A4:AE187,26,),'Actual Dates'!#REF!,"")</f>
        <v>#REF!</v>
      </c>
      <c r="L37" s="137" t="e">
        <f>IF(VLOOKUP(A37,'Actual Dates'!A4:AE187,21,),'Actual Dates'!#REF!,"")</f>
        <v>#REF!</v>
      </c>
      <c r="M37" s="137" t="e">
        <f>'Date Calcs'!#REF!</f>
        <v>#REF!</v>
      </c>
      <c r="N37" s="137" t="e">
        <f>IF(VLOOKUP(A37,'Actual Dates'!A4:AE187,27,),'Actual Dates'!#REF!,"")</f>
        <v>#REF!</v>
      </c>
      <c r="O37" s="138" t="e">
        <f t="shared" si="6"/>
        <v>#REF!</v>
      </c>
      <c r="P37" s="139" t="e">
        <f t="shared" si="4"/>
        <v>#REF!</v>
      </c>
      <c r="Q37" s="139" t="e">
        <f t="shared" si="5"/>
        <v>#REF!</v>
      </c>
      <c r="R37" s="170" t="s">
        <v>406</v>
      </c>
      <c r="S37" s="170"/>
      <c r="T37" s="142"/>
      <c r="U37" s="142"/>
      <c r="V37" s="142"/>
      <c r="W37" s="142"/>
      <c r="X37" s="142"/>
      <c r="Y37" s="142"/>
      <c r="Z37" s="142"/>
      <c r="AA37" s="142"/>
      <c r="AB37" s="142"/>
    </row>
    <row r="38" spans="1:28" x14ac:dyDescent="0.25">
      <c r="A38" s="134" t="e">
        <f>'Actual Dates'!#REF!</f>
        <v>#REF!</v>
      </c>
      <c r="B38" s="135" t="e">
        <f>'Date Calcs'!#REF!</f>
        <v>#REF!</v>
      </c>
      <c r="C38" s="136" t="e">
        <f>'Date Calcs'!#REF!</f>
        <v>#REF!</v>
      </c>
      <c r="D38" s="137" t="e">
        <f t="shared" ref="D38:D69" si="9">WORKDAY(F38,-1,)</f>
        <v>#REF!</v>
      </c>
      <c r="E38" s="143">
        <v>43621</v>
      </c>
      <c r="F38" s="137" t="e">
        <f>'Date Calcs'!#REF!</f>
        <v>#REF!</v>
      </c>
      <c r="G38" s="137" t="e">
        <f>IF(VLOOKUP(A38,'Actual Dates'!A4:AE165,8,),'Actual Dates'!#REF!,"")</f>
        <v>#REF!</v>
      </c>
      <c r="H38" s="137" t="e">
        <f t="shared" si="8"/>
        <v>#REF!</v>
      </c>
      <c r="I38" s="137" t="e">
        <f>IF(VLOOKUP(A38,'Actual Dates'!A4:AE160,25,),'Actual Dates'!#REF!,"")</f>
        <v>#REF!</v>
      </c>
      <c r="J38" s="137" t="e">
        <f t="shared" si="7"/>
        <v>#REF!</v>
      </c>
      <c r="K38" s="137" t="e">
        <f>IF(VLOOKUP(A38,'Actual Dates'!A4:AE188,26,),'Actual Dates'!#REF!,"")</f>
        <v>#REF!</v>
      </c>
      <c r="L38" s="137" t="e">
        <f>IF(VLOOKUP(A38,'Actual Dates'!A4:AE188,21,),'Actual Dates'!#REF!,"")</f>
        <v>#REF!</v>
      </c>
      <c r="M38" s="137" t="e">
        <f>'Date Calcs'!#REF!</f>
        <v>#REF!</v>
      </c>
      <c r="N38" s="137" t="e">
        <f>IF(VLOOKUP(A38,'Actual Dates'!A4:AE188,27,),'Actual Dates'!#REF!,"")</f>
        <v>#REF!</v>
      </c>
      <c r="O38" s="138" t="e">
        <f t="shared" si="6"/>
        <v>#REF!</v>
      </c>
      <c r="P38" s="139" t="e">
        <f t="shared" ref="P38:P69" si="10">F38-G38</f>
        <v>#REF!</v>
      </c>
      <c r="Q38" s="139" t="e">
        <f t="shared" ref="Q38:Q69" si="11">M38-N38</f>
        <v>#REF!</v>
      </c>
      <c r="R38" s="170"/>
      <c r="S38" s="170"/>
      <c r="T38" s="142"/>
      <c r="U38" s="142"/>
      <c r="V38" s="142"/>
      <c r="W38" s="142"/>
      <c r="X38" s="142"/>
      <c r="Y38" s="142"/>
      <c r="Z38" s="142"/>
      <c r="AA38" s="142"/>
      <c r="AB38" s="142"/>
    </row>
    <row r="39" spans="1:28" x14ac:dyDescent="0.25">
      <c r="A39" s="134" t="e">
        <f>'Actual Dates'!#REF!</f>
        <v>#REF!</v>
      </c>
      <c r="B39" s="135" t="e">
        <f>'Date Calcs'!#REF!</f>
        <v>#REF!</v>
      </c>
      <c r="C39" s="136" t="e">
        <f>'Date Calcs'!#REF!</f>
        <v>#REF!</v>
      </c>
      <c r="D39" s="137" t="e">
        <f t="shared" si="9"/>
        <v>#REF!</v>
      </c>
      <c r="E39" s="143">
        <v>43621</v>
      </c>
      <c r="F39" s="137" t="e">
        <f>'Date Calcs'!#REF!</f>
        <v>#REF!</v>
      </c>
      <c r="G39" s="137" t="e">
        <f>IF(VLOOKUP(A39,'Actual Dates'!A4:AE166,8,),'Actual Dates'!#REF!,"")</f>
        <v>#REF!</v>
      </c>
      <c r="H39" s="137" t="e">
        <f t="shared" si="8"/>
        <v>#REF!</v>
      </c>
      <c r="I39" s="137" t="e">
        <f>IF(VLOOKUP(A39,'Actual Dates'!A4:AE161,25,),'Actual Dates'!#REF!,"")</f>
        <v>#REF!</v>
      </c>
      <c r="J39" s="137" t="e">
        <f t="shared" si="7"/>
        <v>#REF!</v>
      </c>
      <c r="K39" s="137" t="e">
        <f>IF(VLOOKUP(A39,'Actual Dates'!A4:AE189,26,),'Actual Dates'!#REF!,"")</f>
        <v>#REF!</v>
      </c>
      <c r="L39" s="137" t="e">
        <f>IF(VLOOKUP(A39,'Actual Dates'!A4:AE189,21,),'Actual Dates'!#REF!,"")</f>
        <v>#REF!</v>
      </c>
      <c r="M39" s="137" t="e">
        <f>'Date Calcs'!#REF!</f>
        <v>#REF!</v>
      </c>
      <c r="N39" s="137" t="e">
        <f>IF(VLOOKUP(A39,'Actual Dates'!A4:AE189,27,),'Actual Dates'!#REF!,"")</f>
        <v>#REF!</v>
      </c>
      <c r="O39" s="138" t="e">
        <f t="shared" si="6"/>
        <v>#REF!</v>
      </c>
      <c r="P39" s="139" t="e">
        <f t="shared" si="10"/>
        <v>#REF!</v>
      </c>
      <c r="Q39" s="139" t="e">
        <f t="shared" si="11"/>
        <v>#REF!</v>
      </c>
      <c r="R39" s="170"/>
      <c r="S39" s="170"/>
      <c r="T39" s="142"/>
      <c r="U39" s="142"/>
      <c r="V39" s="142"/>
      <c r="W39" s="142"/>
      <c r="X39" s="142"/>
      <c r="Y39" s="142"/>
      <c r="Z39" s="142"/>
      <c r="AA39" s="142"/>
      <c r="AB39" s="142"/>
    </row>
    <row r="40" spans="1:28" x14ac:dyDescent="0.25">
      <c r="A40" s="134" t="e">
        <f>'Actual Dates'!#REF!</f>
        <v>#REF!</v>
      </c>
      <c r="B40" s="135" t="e">
        <f>'Date Calcs'!#REF!</f>
        <v>#REF!</v>
      </c>
      <c r="C40" s="136" t="e">
        <f>'Date Calcs'!#REF!</f>
        <v>#REF!</v>
      </c>
      <c r="D40" s="137" t="e">
        <f t="shared" si="9"/>
        <v>#REF!</v>
      </c>
      <c r="E40" s="143">
        <v>43627</v>
      </c>
      <c r="F40" s="137" t="e">
        <f>'Date Calcs'!#REF!</f>
        <v>#REF!</v>
      </c>
      <c r="G40" s="137" t="e">
        <f>IF(VLOOKUP(A40,'Actual Dates'!A4:AE167,8,),'Actual Dates'!#REF!,"")</f>
        <v>#REF!</v>
      </c>
      <c r="H40" s="137" t="e">
        <f t="shared" si="8"/>
        <v>#REF!</v>
      </c>
      <c r="I40" s="137" t="e">
        <f>IF(VLOOKUP(A40,'Actual Dates'!A4:AE162,25,),'Actual Dates'!#REF!,"")</f>
        <v>#REF!</v>
      </c>
      <c r="J40" s="137" t="e">
        <f t="shared" si="7"/>
        <v>#REF!</v>
      </c>
      <c r="K40" s="137" t="e">
        <f>IF(VLOOKUP(A40,'Actual Dates'!A4:AE190,26,),'Actual Dates'!#REF!,"")</f>
        <v>#REF!</v>
      </c>
      <c r="L40" s="137" t="e">
        <f>IF(VLOOKUP(A40,'Actual Dates'!A4:AE190,21,),'Actual Dates'!#REF!,"")</f>
        <v>#REF!</v>
      </c>
      <c r="M40" s="137" t="e">
        <f>'Date Calcs'!#REF!</f>
        <v>#REF!</v>
      </c>
      <c r="N40" s="137" t="e">
        <f>IF(VLOOKUP(A40,'Actual Dates'!A4:AE190,27,),'Actual Dates'!#REF!,"")</f>
        <v>#REF!</v>
      </c>
      <c r="O40" s="138" t="e">
        <f t="shared" si="6"/>
        <v>#REF!</v>
      </c>
      <c r="P40" s="139" t="e">
        <f t="shared" si="10"/>
        <v>#REF!</v>
      </c>
      <c r="Q40" s="139" t="e">
        <f t="shared" si="11"/>
        <v>#REF!</v>
      </c>
      <c r="R40" s="170"/>
      <c r="S40" s="170"/>
      <c r="T40" s="142"/>
      <c r="U40" s="142"/>
      <c r="V40" s="142"/>
      <c r="W40" s="142"/>
      <c r="X40" s="142"/>
      <c r="Y40" s="142"/>
      <c r="Z40" s="142"/>
      <c r="AA40" s="142"/>
      <c r="AB40" s="142"/>
    </row>
    <row r="41" spans="1:28" x14ac:dyDescent="0.25">
      <c r="A41" s="134" t="e">
        <f>'Actual Dates'!#REF!</f>
        <v>#REF!</v>
      </c>
      <c r="B41" s="135" t="e">
        <f>'Date Calcs'!#REF!</f>
        <v>#REF!</v>
      </c>
      <c r="C41" s="136" t="e">
        <f>'Date Calcs'!#REF!</f>
        <v>#REF!</v>
      </c>
      <c r="D41" s="137" t="e">
        <f t="shared" si="9"/>
        <v>#REF!</v>
      </c>
      <c r="E41" s="143">
        <v>43627</v>
      </c>
      <c r="F41" s="137" t="e">
        <f>'Date Calcs'!#REF!</f>
        <v>#REF!</v>
      </c>
      <c r="G41" s="137" t="e">
        <f>IF(VLOOKUP(A41,'Actual Dates'!A4:AE168,8,),'Actual Dates'!#REF!,"")</f>
        <v>#REF!</v>
      </c>
      <c r="H41" s="137" t="e">
        <f t="shared" si="8"/>
        <v>#REF!</v>
      </c>
      <c r="I41" s="137" t="e">
        <f>IF(VLOOKUP(A41,'Actual Dates'!A4:AE163,25,),'Actual Dates'!#REF!,"")</f>
        <v>#REF!</v>
      </c>
      <c r="J41" s="137" t="e">
        <f t="shared" si="7"/>
        <v>#REF!</v>
      </c>
      <c r="K41" s="137" t="e">
        <f>IF(VLOOKUP(A41,'Actual Dates'!A4:AE191,26,),'Actual Dates'!#REF!,"")</f>
        <v>#REF!</v>
      </c>
      <c r="L41" s="137" t="e">
        <f>IF(VLOOKUP(A41,'Actual Dates'!A4:AE191,21,),'Actual Dates'!#REF!,"")</f>
        <v>#REF!</v>
      </c>
      <c r="M41" s="137" t="e">
        <f>'Date Calcs'!#REF!</f>
        <v>#REF!</v>
      </c>
      <c r="N41" s="137" t="e">
        <f>IF(VLOOKUP(A41,'Actual Dates'!A4:AE191,27,),'Actual Dates'!#REF!,"")</f>
        <v>#REF!</v>
      </c>
      <c r="O41" s="138" t="e">
        <f t="shared" si="6"/>
        <v>#REF!</v>
      </c>
      <c r="P41" s="139" t="e">
        <f t="shared" si="10"/>
        <v>#REF!</v>
      </c>
      <c r="Q41" s="139" t="e">
        <f t="shared" si="11"/>
        <v>#REF!</v>
      </c>
      <c r="R41" s="170"/>
      <c r="S41" s="170"/>
      <c r="T41" s="142"/>
      <c r="U41" s="142"/>
      <c r="V41" s="142"/>
      <c r="W41" s="142"/>
      <c r="X41" s="142"/>
      <c r="Y41" s="142"/>
      <c r="Z41" s="142"/>
      <c r="AA41" s="142"/>
      <c r="AB41" s="142"/>
    </row>
    <row r="42" spans="1:28" x14ac:dyDescent="0.25">
      <c r="A42" s="134" t="e">
        <f>'Actual Dates'!#REF!</f>
        <v>#REF!</v>
      </c>
      <c r="B42" s="135" t="e">
        <f>'Date Calcs'!#REF!</f>
        <v>#REF!</v>
      </c>
      <c r="C42" s="136" t="e">
        <f>'Date Calcs'!#REF!</f>
        <v>#REF!</v>
      </c>
      <c r="D42" s="137" t="e">
        <f t="shared" si="9"/>
        <v>#REF!</v>
      </c>
      <c r="E42" s="143">
        <v>43627</v>
      </c>
      <c r="F42" s="137" t="e">
        <f>'Date Calcs'!#REF!</f>
        <v>#REF!</v>
      </c>
      <c r="G42" s="137" t="e">
        <f>IF(VLOOKUP(A42,'Actual Dates'!A4:AE169,8,),'Actual Dates'!#REF!,"")</f>
        <v>#REF!</v>
      </c>
      <c r="H42" s="137" t="e">
        <f t="shared" si="8"/>
        <v>#REF!</v>
      </c>
      <c r="I42" s="137" t="e">
        <f>IF(VLOOKUP(A42,'Actual Dates'!A4:AE164,25,),'Actual Dates'!#REF!,"")</f>
        <v>#REF!</v>
      </c>
      <c r="J42" s="137" t="e">
        <f t="shared" si="7"/>
        <v>#REF!</v>
      </c>
      <c r="K42" s="137" t="e">
        <f>IF(VLOOKUP(A42,'Actual Dates'!A4:AE192,26,),'Actual Dates'!#REF!,"")</f>
        <v>#REF!</v>
      </c>
      <c r="L42" s="137" t="e">
        <f>IF(VLOOKUP(A42,'Actual Dates'!A4:AE192,21,),'Actual Dates'!#REF!,"")</f>
        <v>#REF!</v>
      </c>
      <c r="M42" s="137" t="e">
        <f>'Date Calcs'!#REF!</f>
        <v>#REF!</v>
      </c>
      <c r="N42" s="137" t="e">
        <f>IF(VLOOKUP(A42,'Actual Dates'!A4:AE192,27,),'Actual Dates'!#REF!,"")</f>
        <v>#REF!</v>
      </c>
      <c r="O42" s="138" t="e">
        <f t="shared" si="6"/>
        <v>#REF!</v>
      </c>
      <c r="P42" s="139" t="e">
        <f t="shared" si="10"/>
        <v>#REF!</v>
      </c>
      <c r="Q42" s="139" t="e">
        <f t="shared" si="11"/>
        <v>#REF!</v>
      </c>
      <c r="R42" s="170"/>
      <c r="S42" s="170"/>
      <c r="T42" s="142"/>
      <c r="U42" s="142"/>
      <c r="V42" s="142"/>
      <c r="W42" s="142"/>
      <c r="X42" s="142"/>
      <c r="Y42" s="142"/>
      <c r="Z42" s="142"/>
      <c r="AA42" s="142"/>
      <c r="AB42" s="142"/>
    </row>
    <row r="43" spans="1:28" x14ac:dyDescent="0.25">
      <c r="A43" s="134" t="e">
        <f>'Actual Dates'!#REF!</f>
        <v>#REF!</v>
      </c>
      <c r="B43" s="135" t="e">
        <f>'Date Calcs'!#REF!</f>
        <v>#REF!</v>
      </c>
      <c r="C43" s="136" t="e">
        <f>'Date Calcs'!#REF!</f>
        <v>#REF!</v>
      </c>
      <c r="D43" s="137" t="e">
        <f t="shared" si="9"/>
        <v>#REF!</v>
      </c>
      <c r="E43" s="143">
        <v>43635</v>
      </c>
      <c r="F43" s="137" t="e">
        <f>'Date Calcs'!#REF!</f>
        <v>#REF!</v>
      </c>
      <c r="G43" s="137" t="e">
        <f>IF(VLOOKUP(A43,'Actual Dates'!A4:AE170,8,),'Actual Dates'!#REF!,"")</f>
        <v>#REF!</v>
      </c>
      <c r="H43" s="137" t="e">
        <f t="shared" si="8"/>
        <v>#REF!</v>
      </c>
      <c r="I43" s="137" t="e">
        <f>IF(VLOOKUP(A43,'Actual Dates'!A4:AE165,25,),'Actual Dates'!#REF!,"")</f>
        <v>#REF!</v>
      </c>
      <c r="J43" s="137" t="e">
        <f t="shared" si="7"/>
        <v>#REF!</v>
      </c>
      <c r="K43" s="137" t="e">
        <f>IF(VLOOKUP(A43,'Actual Dates'!A4:AE193,26,),'Actual Dates'!#REF!,"")</f>
        <v>#REF!</v>
      </c>
      <c r="L43" s="137" t="e">
        <f>IF(VLOOKUP(A43,'Actual Dates'!A4:AE193,21,),'Actual Dates'!#REF!,"")</f>
        <v>#REF!</v>
      </c>
      <c r="M43" s="137" t="e">
        <f>'Date Calcs'!#REF!</f>
        <v>#REF!</v>
      </c>
      <c r="N43" s="137" t="e">
        <f>IF(VLOOKUP(A43,'Actual Dates'!A4:AE193,27,),'Actual Dates'!#REF!,"")</f>
        <v>#REF!</v>
      </c>
      <c r="O43" s="138" t="e">
        <f t="shared" si="6"/>
        <v>#REF!</v>
      </c>
      <c r="P43" s="139" t="e">
        <f t="shared" si="10"/>
        <v>#REF!</v>
      </c>
      <c r="Q43" s="139" t="e">
        <f t="shared" si="11"/>
        <v>#REF!</v>
      </c>
      <c r="R43" s="170"/>
      <c r="S43" s="170"/>
      <c r="T43" s="142"/>
      <c r="U43" s="142"/>
      <c r="V43" s="142"/>
      <c r="W43" s="142"/>
      <c r="X43" s="142"/>
      <c r="Y43" s="142"/>
      <c r="Z43" s="142"/>
      <c r="AA43" s="142"/>
      <c r="AB43" s="142"/>
    </row>
    <row r="44" spans="1:28" x14ac:dyDescent="0.25">
      <c r="A44" s="134" t="e">
        <f>'Actual Dates'!#REF!</f>
        <v>#REF!</v>
      </c>
      <c r="B44" s="135" t="e">
        <f>'Date Calcs'!#REF!</f>
        <v>#REF!</v>
      </c>
      <c r="C44" s="136" t="e">
        <f>'Date Calcs'!#REF!</f>
        <v>#REF!</v>
      </c>
      <c r="D44" s="137" t="e">
        <f t="shared" si="9"/>
        <v>#REF!</v>
      </c>
      <c r="E44" s="143">
        <v>43635</v>
      </c>
      <c r="F44" s="137" t="e">
        <f>'Date Calcs'!#REF!</f>
        <v>#REF!</v>
      </c>
      <c r="G44" s="137" t="e">
        <f>IF(VLOOKUP(A44,'Actual Dates'!A4:AE171,8,),'Actual Dates'!#REF!,"")</f>
        <v>#REF!</v>
      </c>
      <c r="H44" s="137" t="e">
        <f t="shared" si="8"/>
        <v>#REF!</v>
      </c>
      <c r="I44" s="137" t="e">
        <f>IF(VLOOKUP(A44,'Actual Dates'!A4:AE166,25,),'Actual Dates'!#REF!,"")</f>
        <v>#REF!</v>
      </c>
      <c r="J44" s="137" t="e">
        <f t="shared" si="7"/>
        <v>#REF!</v>
      </c>
      <c r="K44" s="137" t="e">
        <f>IF(VLOOKUP(A44,'Actual Dates'!A4:AE194,26,),'Actual Dates'!#REF!,"")</f>
        <v>#REF!</v>
      </c>
      <c r="L44" s="137" t="e">
        <f>IF(VLOOKUP(A44,'Actual Dates'!A4:AE194,21,),'Actual Dates'!#REF!,"")</f>
        <v>#REF!</v>
      </c>
      <c r="M44" s="137" t="e">
        <f>'Date Calcs'!#REF!</f>
        <v>#REF!</v>
      </c>
      <c r="N44" s="137" t="e">
        <f>IF(VLOOKUP(A44,'Actual Dates'!A4:AE194,27,),'Actual Dates'!#REF!,"")</f>
        <v>#REF!</v>
      </c>
      <c r="O44" s="138" t="e">
        <f t="shared" si="6"/>
        <v>#REF!</v>
      </c>
      <c r="P44" s="139" t="e">
        <f t="shared" si="10"/>
        <v>#REF!</v>
      </c>
      <c r="Q44" s="139" t="e">
        <f t="shared" si="11"/>
        <v>#REF!</v>
      </c>
      <c r="R44" s="170"/>
      <c r="S44" s="170"/>
      <c r="T44" s="142"/>
      <c r="U44" s="142"/>
      <c r="V44" s="142"/>
      <c r="W44" s="142"/>
      <c r="X44" s="142"/>
      <c r="Y44" s="142"/>
      <c r="Z44" s="142"/>
      <c r="AA44" s="142"/>
      <c r="AB44" s="142"/>
    </row>
    <row r="45" spans="1:28" x14ac:dyDescent="0.25">
      <c r="A45" s="134" t="e">
        <f>'Actual Dates'!#REF!</f>
        <v>#REF!</v>
      </c>
      <c r="B45" s="135" t="e">
        <f>'Date Calcs'!#REF!</f>
        <v>#REF!</v>
      </c>
      <c r="C45" s="136" t="e">
        <f>'Date Calcs'!#REF!</f>
        <v>#REF!</v>
      </c>
      <c r="D45" s="137" t="e">
        <f t="shared" si="9"/>
        <v>#REF!</v>
      </c>
      <c r="E45" s="143">
        <v>43641</v>
      </c>
      <c r="F45" s="137" t="e">
        <f>'Date Calcs'!#REF!</f>
        <v>#REF!</v>
      </c>
      <c r="G45" s="137" t="e">
        <f>IF(VLOOKUP(A45,'Actual Dates'!A4:AE172,8,),'Actual Dates'!#REF!,"")</f>
        <v>#REF!</v>
      </c>
      <c r="H45" s="137" t="e">
        <f t="shared" si="8"/>
        <v>#REF!</v>
      </c>
      <c r="I45" s="137" t="e">
        <f>IF(VLOOKUP(A45,'Actual Dates'!A4:AE167,25,),'Actual Dates'!#REF!,"")</f>
        <v>#REF!</v>
      </c>
      <c r="J45" s="137" t="e">
        <f t="shared" si="7"/>
        <v>#REF!</v>
      </c>
      <c r="K45" s="137" t="e">
        <f>IF(VLOOKUP(A45,'Actual Dates'!A4:AE195,26,),'Actual Dates'!#REF!,"")</f>
        <v>#REF!</v>
      </c>
      <c r="L45" s="137" t="e">
        <f>IF(VLOOKUP(A45,'Actual Dates'!A4:AE195,21,),'Actual Dates'!#REF!,"")</f>
        <v>#REF!</v>
      </c>
      <c r="M45" s="137" t="e">
        <f>'Date Calcs'!#REF!</f>
        <v>#REF!</v>
      </c>
      <c r="N45" s="137" t="e">
        <f>IF(VLOOKUP(A45,'Actual Dates'!A4:AE195,27,),'Actual Dates'!#REF!,"")</f>
        <v>#REF!</v>
      </c>
      <c r="O45" s="138" t="e">
        <f t="shared" si="6"/>
        <v>#REF!</v>
      </c>
      <c r="P45" s="139" t="e">
        <f t="shared" si="10"/>
        <v>#REF!</v>
      </c>
      <c r="Q45" s="139" t="e">
        <f t="shared" si="11"/>
        <v>#REF!</v>
      </c>
      <c r="R45" s="170"/>
      <c r="S45" s="170"/>
      <c r="T45" s="142"/>
      <c r="U45" s="142"/>
      <c r="V45" s="142"/>
      <c r="W45" s="142"/>
      <c r="X45" s="142"/>
      <c r="Y45" s="142"/>
      <c r="Z45" s="142"/>
      <c r="AA45" s="142"/>
      <c r="AB45" s="142"/>
    </row>
    <row r="46" spans="1:28" x14ac:dyDescent="0.25">
      <c r="A46" s="134" t="e">
        <f>'Actual Dates'!#REF!</f>
        <v>#REF!</v>
      </c>
      <c r="B46" s="135" t="e">
        <f>'Date Calcs'!#REF!</f>
        <v>#REF!</v>
      </c>
      <c r="C46" s="136" t="e">
        <f>'Date Calcs'!#REF!</f>
        <v>#REF!</v>
      </c>
      <c r="D46" s="137" t="e">
        <f t="shared" si="9"/>
        <v>#REF!</v>
      </c>
      <c r="E46" s="143">
        <v>43641</v>
      </c>
      <c r="F46" s="137" t="e">
        <f>'Date Calcs'!#REF!</f>
        <v>#REF!</v>
      </c>
      <c r="G46" s="137" t="e">
        <f>IF(VLOOKUP(A46,'Actual Dates'!A4:AE173,8,),'Actual Dates'!#REF!,"")</f>
        <v>#REF!</v>
      </c>
      <c r="H46" s="137" t="e">
        <f t="shared" si="8"/>
        <v>#REF!</v>
      </c>
      <c r="I46" s="137" t="e">
        <f>IF(VLOOKUP(A46,'Actual Dates'!A4:AE168,25,),'Actual Dates'!#REF!,"")</f>
        <v>#REF!</v>
      </c>
      <c r="J46" s="137" t="e">
        <f t="shared" si="7"/>
        <v>#REF!</v>
      </c>
      <c r="K46" s="137" t="e">
        <f>IF(VLOOKUP(A46,'Actual Dates'!A4:AE196,26,),'Actual Dates'!#REF!,"")</f>
        <v>#REF!</v>
      </c>
      <c r="L46" s="137" t="e">
        <f>IF(VLOOKUP(A46,'Actual Dates'!A4:AE196,21,),'Actual Dates'!#REF!,"")</f>
        <v>#REF!</v>
      </c>
      <c r="M46" s="137" t="e">
        <f>'Date Calcs'!#REF!</f>
        <v>#REF!</v>
      </c>
      <c r="N46" s="137" t="e">
        <f>IF(VLOOKUP(A46,'Actual Dates'!A4:AE196,27,),'Actual Dates'!#REF!,"")</f>
        <v>#REF!</v>
      </c>
      <c r="O46" s="138" t="e">
        <f t="shared" si="6"/>
        <v>#REF!</v>
      </c>
      <c r="P46" s="139" t="e">
        <f t="shared" si="10"/>
        <v>#REF!</v>
      </c>
      <c r="Q46" s="139" t="e">
        <f t="shared" si="11"/>
        <v>#REF!</v>
      </c>
      <c r="R46" s="170"/>
      <c r="S46" s="170"/>
      <c r="T46" s="142"/>
      <c r="U46" s="142"/>
      <c r="V46" s="142"/>
      <c r="W46" s="142"/>
      <c r="X46" s="142"/>
      <c r="Y46" s="142"/>
      <c r="Z46" s="142"/>
      <c r="AA46" s="142"/>
      <c r="AB46" s="142"/>
    </row>
    <row r="47" spans="1:28" x14ac:dyDescent="0.25">
      <c r="A47" s="134" t="e">
        <f>'Actual Dates'!#REF!</f>
        <v>#REF!</v>
      </c>
      <c r="B47" s="135" t="e">
        <f>'Date Calcs'!#REF!</f>
        <v>#REF!</v>
      </c>
      <c r="C47" s="136" t="e">
        <f>'Date Calcs'!#REF!</f>
        <v>#REF!</v>
      </c>
      <c r="D47" s="137" t="e">
        <f t="shared" si="9"/>
        <v>#REF!</v>
      </c>
      <c r="E47" s="143">
        <v>43655</v>
      </c>
      <c r="F47" s="137" t="e">
        <f>'Date Calcs'!#REF!</f>
        <v>#REF!</v>
      </c>
      <c r="G47" s="137" t="e">
        <f>IF(VLOOKUP(A47,'Actual Dates'!A4:AE174,8,),'Actual Dates'!#REF!,"")</f>
        <v>#REF!</v>
      </c>
      <c r="H47" s="137" t="e">
        <f t="shared" si="8"/>
        <v>#REF!</v>
      </c>
      <c r="I47" s="137" t="e">
        <f>IF(VLOOKUP(A47,'Actual Dates'!A4:AE169,25,),'Actual Dates'!#REF!,"")</f>
        <v>#REF!</v>
      </c>
      <c r="J47" s="137" t="e">
        <f t="shared" si="7"/>
        <v>#REF!</v>
      </c>
      <c r="K47" s="137" t="e">
        <f>IF(VLOOKUP(A47,'Actual Dates'!A4:AE197,26,),'Actual Dates'!#REF!,"")</f>
        <v>#REF!</v>
      </c>
      <c r="L47" s="137" t="e">
        <f>IF(VLOOKUP(A47,'Actual Dates'!A4:AE197,21,),'Actual Dates'!#REF!,"")</f>
        <v>#REF!</v>
      </c>
      <c r="M47" s="137" t="e">
        <f>'Date Calcs'!#REF!</f>
        <v>#REF!</v>
      </c>
      <c r="N47" s="137" t="e">
        <f>IF(VLOOKUP(A47,'Actual Dates'!A4:AE197,27,),'Actual Dates'!#REF!,"")</f>
        <v>#REF!</v>
      </c>
      <c r="O47" s="138" t="e">
        <f t="shared" si="6"/>
        <v>#REF!</v>
      </c>
      <c r="P47" s="139" t="e">
        <f t="shared" si="10"/>
        <v>#REF!</v>
      </c>
      <c r="Q47" s="139" t="e">
        <f t="shared" si="11"/>
        <v>#REF!</v>
      </c>
      <c r="R47" s="170"/>
      <c r="S47" s="170"/>
      <c r="T47" s="142"/>
      <c r="U47" s="142"/>
      <c r="V47" s="142"/>
      <c r="W47" s="142"/>
      <c r="X47" s="142"/>
      <c r="Y47" s="142"/>
      <c r="Z47" s="142"/>
      <c r="AA47" s="142"/>
      <c r="AB47" s="142"/>
    </row>
    <row r="48" spans="1:28" x14ac:dyDescent="0.25">
      <c r="A48" s="134" t="e">
        <f>'Actual Dates'!#REF!</f>
        <v>#REF!</v>
      </c>
      <c r="B48" s="135" t="e">
        <f>'Date Calcs'!#REF!</f>
        <v>#REF!</v>
      </c>
      <c r="C48" s="136" t="e">
        <f>'Date Calcs'!#REF!</f>
        <v>#REF!</v>
      </c>
      <c r="D48" s="137" t="e">
        <f t="shared" si="9"/>
        <v>#REF!</v>
      </c>
      <c r="E48" s="143">
        <v>43662</v>
      </c>
      <c r="F48" s="137" t="e">
        <f>'Date Calcs'!#REF!</f>
        <v>#REF!</v>
      </c>
      <c r="G48" s="137" t="e">
        <f>IF(VLOOKUP(A48,'Actual Dates'!A4:AE175,8,),'Actual Dates'!#REF!,"")</f>
        <v>#REF!</v>
      </c>
      <c r="H48" s="137" t="e">
        <f t="shared" si="8"/>
        <v>#REF!</v>
      </c>
      <c r="I48" s="137" t="e">
        <f>IF(VLOOKUP(A48,'Actual Dates'!A4:AE170,25,),'Actual Dates'!#REF!,"")</f>
        <v>#REF!</v>
      </c>
      <c r="J48" s="137" t="e">
        <f t="shared" si="7"/>
        <v>#REF!</v>
      </c>
      <c r="K48" s="137" t="e">
        <f>IF(VLOOKUP(A48,'Actual Dates'!A4:AE198,26,),'Actual Dates'!#REF!,"")</f>
        <v>#REF!</v>
      </c>
      <c r="L48" s="137" t="e">
        <f>IF(VLOOKUP(A48,'Actual Dates'!A4:AE198,21,),'Actual Dates'!#REF!,"")</f>
        <v>#REF!</v>
      </c>
      <c r="M48" s="137" t="e">
        <f>'Date Calcs'!#REF!</f>
        <v>#REF!</v>
      </c>
      <c r="N48" s="137" t="e">
        <f>IF(VLOOKUP(A48,'Actual Dates'!A4:AE198,27,),'Actual Dates'!#REF!,"")</f>
        <v>#REF!</v>
      </c>
      <c r="O48" s="138" t="e">
        <f t="shared" si="6"/>
        <v>#REF!</v>
      </c>
      <c r="P48" s="139" t="e">
        <f t="shared" si="10"/>
        <v>#REF!</v>
      </c>
      <c r="Q48" s="139" t="e">
        <f t="shared" si="11"/>
        <v>#REF!</v>
      </c>
      <c r="R48" s="170"/>
      <c r="S48" s="170"/>
      <c r="T48" s="142"/>
      <c r="U48" s="142"/>
      <c r="V48" s="142"/>
      <c r="W48" s="142"/>
      <c r="X48" s="142"/>
      <c r="Y48" s="142"/>
      <c r="Z48" s="142"/>
      <c r="AA48" s="142"/>
      <c r="AB48" s="142"/>
    </row>
    <row r="49" spans="1:28" x14ac:dyDescent="0.25">
      <c r="A49" s="134" t="e">
        <f>'Actual Dates'!#REF!</f>
        <v>#REF!</v>
      </c>
      <c r="B49" s="135" t="e">
        <f>'Date Calcs'!#REF!</f>
        <v>#REF!</v>
      </c>
      <c r="C49" s="136" t="e">
        <f>'Date Calcs'!#REF!</f>
        <v>#REF!</v>
      </c>
      <c r="D49" s="137" t="e">
        <f t="shared" si="9"/>
        <v>#REF!</v>
      </c>
      <c r="E49" s="143">
        <v>43662</v>
      </c>
      <c r="F49" s="137" t="e">
        <f>'Date Calcs'!#REF!</f>
        <v>#REF!</v>
      </c>
      <c r="G49" s="137" t="e">
        <f>IF(VLOOKUP(A49,'Actual Dates'!A4:AE176,8,),'Actual Dates'!#REF!,"")</f>
        <v>#REF!</v>
      </c>
      <c r="H49" s="137" t="e">
        <f t="shared" si="8"/>
        <v>#REF!</v>
      </c>
      <c r="I49" s="137" t="e">
        <f>IF(VLOOKUP(A49,'Actual Dates'!A4:AE171,25,),'Actual Dates'!#REF!,"")</f>
        <v>#REF!</v>
      </c>
      <c r="J49" s="137" t="e">
        <f t="shared" si="7"/>
        <v>#REF!</v>
      </c>
      <c r="K49" s="137" t="e">
        <f>IF(VLOOKUP(A49,'Actual Dates'!A4:AE199,26,),'Actual Dates'!#REF!,"")</f>
        <v>#REF!</v>
      </c>
      <c r="L49" s="137" t="e">
        <f>IF(VLOOKUP(A49,'Actual Dates'!A4:AE199,21,),'Actual Dates'!#REF!,"")</f>
        <v>#REF!</v>
      </c>
      <c r="M49" s="137" t="e">
        <f>'Date Calcs'!#REF!</f>
        <v>#REF!</v>
      </c>
      <c r="N49" s="137" t="e">
        <f>IF(VLOOKUP(A49,'Actual Dates'!A4:AE199,27,),'Actual Dates'!#REF!,"")</f>
        <v>#REF!</v>
      </c>
      <c r="O49" s="138" t="e">
        <f t="shared" si="6"/>
        <v>#REF!</v>
      </c>
      <c r="P49" s="139" t="e">
        <f t="shared" si="10"/>
        <v>#REF!</v>
      </c>
      <c r="Q49" s="139" t="e">
        <f t="shared" si="11"/>
        <v>#REF!</v>
      </c>
      <c r="R49" s="170"/>
      <c r="S49" s="170"/>
      <c r="T49" s="142"/>
      <c r="U49" s="142"/>
      <c r="V49" s="142"/>
      <c r="W49" s="142"/>
      <c r="X49" s="142"/>
      <c r="Y49" s="142"/>
      <c r="Z49" s="142"/>
      <c r="AA49" s="142"/>
      <c r="AB49" s="142"/>
    </row>
    <row r="50" spans="1:28" x14ac:dyDescent="0.25">
      <c r="A50" s="134" t="e">
        <f>'Actual Dates'!#REF!</f>
        <v>#REF!</v>
      </c>
      <c r="B50" s="135" t="e">
        <f>'Date Calcs'!#REF!</f>
        <v>#REF!</v>
      </c>
      <c r="C50" s="136" t="e">
        <f>'Date Calcs'!#REF!</f>
        <v>#REF!</v>
      </c>
      <c r="D50" s="137" t="e">
        <f t="shared" si="9"/>
        <v>#REF!</v>
      </c>
      <c r="E50" s="143">
        <v>43662</v>
      </c>
      <c r="F50" s="137" t="e">
        <f>'Date Calcs'!#REF!</f>
        <v>#REF!</v>
      </c>
      <c r="G50" s="137" t="e">
        <f>IF(VLOOKUP(A50,'Actual Dates'!A4:AE177,8,),'Actual Dates'!#REF!,"")</f>
        <v>#REF!</v>
      </c>
      <c r="H50" s="137" t="e">
        <f t="shared" si="8"/>
        <v>#REF!</v>
      </c>
      <c r="I50" s="137" t="e">
        <f>IF(VLOOKUP(A50,'Actual Dates'!A4:AE172,25,),'Actual Dates'!#REF!,"")</f>
        <v>#REF!</v>
      </c>
      <c r="J50" s="137" t="e">
        <f t="shared" si="7"/>
        <v>#REF!</v>
      </c>
      <c r="K50" s="137" t="e">
        <f>IF(VLOOKUP(A50,'Actual Dates'!A4:AE200,26,),'Actual Dates'!#REF!,"")</f>
        <v>#REF!</v>
      </c>
      <c r="L50" s="137" t="e">
        <f>IF(VLOOKUP(A50,'Actual Dates'!A4:AE200,21,),'Actual Dates'!#REF!,"")</f>
        <v>#REF!</v>
      </c>
      <c r="M50" s="137" t="e">
        <f>'Date Calcs'!#REF!</f>
        <v>#REF!</v>
      </c>
      <c r="N50" s="137" t="e">
        <f>IF(VLOOKUP(A50,'Actual Dates'!A4:AE200,27,),'Actual Dates'!#REF!,"")</f>
        <v>#REF!</v>
      </c>
      <c r="O50" s="138" t="e">
        <f t="shared" si="6"/>
        <v>#REF!</v>
      </c>
      <c r="P50" s="139" t="e">
        <f t="shared" si="10"/>
        <v>#REF!</v>
      </c>
      <c r="Q50" s="139" t="e">
        <f t="shared" si="11"/>
        <v>#REF!</v>
      </c>
      <c r="R50" s="170"/>
      <c r="S50" s="170"/>
      <c r="T50" s="142"/>
      <c r="U50" s="142"/>
      <c r="V50" s="142"/>
      <c r="W50" s="142"/>
      <c r="X50" s="142"/>
      <c r="Y50" s="142"/>
      <c r="Z50" s="142"/>
      <c r="AA50" s="142"/>
      <c r="AB50" s="142"/>
    </row>
    <row r="51" spans="1:28" x14ac:dyDescent="0.25">
      <c r="A51" s="134" t="e">
        <f>'Actual Dates'!#REF!</f>
        <v>#REF!</v>
      </c>
      <c r="B51" s="135" t="e">
        <f>'Date Calcs'!#REF!</f>
        <v>#REF!</v>
      </c>
      <c r="C51" s="136" t="e">
        <f>'Date Calcs'!#REF!</f>
        <v>#REF!</v>
      </c>
      <c r="D51" s="137" t="e">
        <f t="shared" si="9"/>
        <v>#REF!</v>
      </c>
      <c r="E51" s="143">
        <v>43662</v>
      </c>
      <c r="F51" s="137" t="e">
        <f>'Date Calcs'!#REF!</f>
        <v>#REF!</v>
      </c>
      <c r="G51" s="137" t="e">
        <f>IF(VLOOKUP(A51,'Actual Dates'!A4:AE178,8,),'Actual Dates'!#REF!,"")</f>
        <v>#REF!</v>
      </c>
      <c r="H51" s="137" t="e">
        <f t="shared" si="8"/>
        <v>#REF!</v>
      </c>
      <c r="I51" s="137" t="e">
        <f>IF(VLOOKUP(A51,'Actual Dates'!A4:AE173,25,),'Actual Dates'!#REF!,"")</f>
        <v>#REF!</v>
      </c>
      <c r="J51" s="137" t="e">
        <f t="shared" si="7"/>
        <v>#REF!</v>
      </c>
      <c r="K51" s="137" t="e">
        <f>IF(VLOOKUP(A51,'Actual Dates'!A4:AE201,26,),'Actual Dates'!#REF!,"")</f>
        <v>#REF!</v>
      </c>
      <c r="L51" s="137" t="e">
        <f>IF(VLOOKUP(A51,'Actual Dates'!A4:AE201,21,),'Actual Dates'!#REF!,"")</f>
        <v>#REF!</v>
      </c>
      <c r="M51" s="137" t="e">
        <f>'Date Calcs'!#REF!</f>
        <v>#REF!</v>
      </c>
      <c r="N51" s="137" t="e">
        <f>IF(VLOOKUP(A51,'Actual Dates'!A4:AE201,27,),'Actual Dates'!#REF!,"")</f>
        <v>#REF!</v>
      </c>
      <c r="O51" s="138" t="e">
        <f t="shared" si="6"/>
        <v>#REF!</v>
      </c>
      <c r="P51" s="139" t="e">
        <f t="shared" si="10"/>
        <v>#REF!</v>
      </c>
      <c r="Q51" s="139" t="e">
        <f t="shared" si="11"/>
        <v>#REF!</v>
      </c>
      <c r="R51" s="170"/>
      <c r="S51" s="170"/>
      <c r="T51" s="142"/>
      <c r="U51" s="142"/>
      <c r="V51" s="142"/>
      <c r="W51" s="142"/>
      <c r="X51" s="142"/>
      <c r="Y51" s="142"/>
      <c r="Z51" s="142"/>
      <c r="AA51" s="142"/>
      <c r="AB51" s="142"/>
    </row>
    <row r="52" spans="1:28" x14ac:dyDescent="0.25">
      <c r="A52" s="134" t="e">
        <f>'Actual Dates'!#REF!</f>
        <v>#REF!</v>
      </c>
      <c r="B52" s="135" t="e">
        <f>'Date Calcs'!#REF!</f>
        <v>#REF!</v>
      </c>
      <c r="C52" s="136" t="e">
        <f>'Date Calcs'!#REF!</f>
        <v>#REF!</v>
      </c>
      <c r="D52" s="137" t="e">
        <f t="shared" si="9"/>
        <v>#REF!</v>
      </c>
      <c r="E52" s="143">
        <v>43670</v>
      </c>
      <c r="F52" s="137" t="e">
        <f>'Date Calcs'!#REF!</f>
        <v>#REF!</v>
      </c>
      <c r="G52" s="137" t="e">
        <f>IF(VLOOKUP(A52,'Actual Dates'!A4:AE179,8,),'Actual Dates'!#REF!,"")</f>
        <v>#REF!</v>
      </c>
      <c r="H52" s="137" t="e">
        <f t="shared" si="8"/>
        <v>#REF!</v>
      </c>
      <c r="I52" s="137" t="e">
        <f>IF(VLOOKUP(A52,'Actual Dates'!A4:AE174,25,),'Actual Dates'!#REF!,"")</f>
        <v>#REF!</v>
      </c>
      <c r="J52" s="137" t="e">
        <f t="shared" si="7"/>
        <v>#REF!</v>
      </c>
      <c r="K52" s="137" t="e">
        <f>IF(VLOOKUP(A52,'Actual Dates'!A4:AE202,26,),'Actual Dates'!#REF!,"")</f>
        <v>#REF!</v>
      </c>
      <c r="L52" s="137" t="e">
        <f>IF(VLOOKUP(A52,'Actual Dates'!A4:AE202,21,),'Actual Dates'!#REF!,"")</f>
        <v>#REF!</v>
      </c>
      <c r="M52" s="137" t="e">
        <f>'Date Calcs'!#REF!</f>
        <v>#REF!</v>
      </c>
      <c r="N52" s="137" t="e">
        <f>IF(VLOOKUP(A52,'Actual Dates'!A4:AE202,27,),'Actual Dates'!#REF!,"")</f>
        <v>#REF!</v>
      </c>
      <c r="O52" s="138" t="e">
        <f t="shared" si="6"/>
        <v>#REF!</v>
      </c>
      <c r="P52" s="139" t="e">
        <f t="shared" si="10"/>
        <v>#REF!</v>
      </c>
      <c r="Q52" s="139" t="e">
        <f t="shared" si="11"/>
        <v>#REF!</v>
      </c>
      <c r="R52" s="170"/>
      <c r="S52" s="170"/>
      <c r="T52" s="142"/>
      <c r="U52" s="142"/>
      <c r="V52" s="142"/>
      <c r="W52" s="142"/>
      <c r="X52" s="142"/>
      <c r="Y52" s="142"/>
      <c r="Z52" s="142"/>
      <c r="AA52" s="142"/>
      <c r="AB52" s="142"/>
    </row>
    <row r="53" spans="1:28" x14ac:dyDescent="0.25">
      <c r="A53" s="134" t="e">
        <f>'Actual Dates'!#REF!</f>
        <v>#REF!</v>
      </c>
      <c r="B53" s="135" t="e">
        <f>'Date Calcs'!#REF!</f>
        <v>#REF!</v>
      </c>
      <c r="C53" s="136" t="e">
        <f>'Date Calcs'!#REF!</f>
        <v>#REF!</v>
      </c>
      <c r="D53" s="137" t="e">
        <f t="shared" si="9"/>
        <v>#REF!</v>
      </c>
      <c r="E53" s="143" t="s">
        <v>377</v>
      </c>
      <c r="F53" s="137" t="e">
        <f>'Date Calcs'!#REF!</f>
        <v>#REF!</v>
      </c>
      <c r="G53" s="137" t="s">
        <v>377</v>
      </c>
      <c r="H53" s="137" t="e">
        <f t="shared" si="8"/>
        <v>#REF!</v>
      </c>
      <c r="I53" s="137" t="e">
        <f>IF(VLOOKUP(A53,'Actual Dates'!A4:AE175,25,),'Actual Dates'!#REF!,"")</f>
        <v>#REF!</v>
      </c>
      <c r="J53" s="137" t="e">
        <f t="shared" si="7"/>
        <v>#REF!</v>
      </c>
      <c r="K53" s="137" t="e">
        <f>IF(VLOOKUP(A53,'Actual Dates'!A4:AE203,26,),'Actual Dates'!#REF!,"")</f>
        <v>#REF!</v>
      </c>
      <c r="L53" s="137" t="e">
        <f>IF(VLOOKUP(A53,'Actual Dates'!A4:AE203,21,),'Actual Dates'!#REF!,"")</f>
        <v>#REF!</v>
      </c>
      <c r="M53" s="137" t="e">
        <f>'Date Calcs'!#REF!</f>
        <v>#REF!</v>
      </c>
      <c r="N53" s="137" t="e">
        <f>IF(VLOOKUP(A53,'Actual Dates'!A4:AE203,27,),'Actual Dates'!#REF!,"")</f>
        <v>#REF!</v>
      </c>
      <c r="O53" s="138" t="e">
        <f t="shared" si="6"/>
        <v>#REF!</v>
      </c>
      <c r="P53" s="139" t="e">
        <f t="shared" si="10"/>
        <v>#REF!</v>
      </c>
      <c r="Q53" s="139" t="e">
        <f t="shared" si="11"/>
        <v>#REF!</v>
      </c>
      <c r="R53" s="170"/>
      <c r="S53" s="170"/>
      <c r="T53" s="142"/>
      <c r="U53" s="142"/>
      <c r="V53" s="142"/>
      <c r="W53" s="142"/>
      <c r="X53" s="142"/>
      <c r="Y53" s="142"/>
      <c r="Z53" s="142"/>
      <c r="AA53" s="142"/>
      <c r="AB53" s="142"/>
    </row>
    <row r="54" spans="1:28" x14ac:dyDescent="0.25">
      <c r="A54" s="134" t="e">
        <f>'Actual Dates'!#REF!</f>
        <v>#REF!</v>
      </c>
      <c r="B54" s="135" t="e">
        <f>'Date Calcs'!#REF!</f>
        <v>#REF!</v>
      </c>
      <c r="C54" s="136" t="e">
        <f>'Date Calcs'!#REF!</f>
        <v>#REF!</v>
      </c>
      <c r="D54" s="137" t="e">
        <f t="shared" si="9"/>
        <v>#REF!</v>
      </c>
      <c r="E54" s="143">
        <v>43685</v>
      </c>
      <c r="F54" s="137" t="e">
        <f>'Date Calcs'!#REF!</f>
        <v>#REF!</v>
      </c>
      <c r="G54" s="137" t="e">
        <f>IF(VLOOKUP(A54,'Actual Dates'!A4:AE181,8,),'Actual Dates'!#REF!,"")</f>
        <v>#REF!</v>
      </c>
      <c r="H54" s="137" t="e">
        <f t="shared" si="8"/>
        <v>#REF!</v>
      </c>
      <c r="I54" s="137" t="e">
        <f>IF(VLOOKUP(A54,'Actual Dates'!A4:AE176,25,),'Actual Dates'!#REF!,"")</f>
        <v>#REF!</v>
      </c>
      <c r="J54" s="137" t="e">
        <f t="shared" si="7"/>
        <v>#REF!</v>
      </c>
      <c r="K54" s="137" t="e">
        <f>IF(VLOOKUP(A54,'Actual Dates'!A4:AE204,26,),'Actual Dates'!#REF!,"")</f>
        <v>#REF!</v>
      </c>
      <c r="L54" s="137" t="e">
        <f>IF(VLOOKUP(A54,'Actual Dates'!A4:AE204,21,),'Actual Dates'!#REF!,"")</f>
        <v>#REF!</v>
      </c>
      <c r="M54" s="137" t="e">
        <f>'Date Calcs'!#REF!</f>
        <v>#REF!</v>
      </c>
      <c r="N54" s="137" t="e">
        <f>IF(VLOOKUP(A54,'Actual Dates'!A4:AE204,27,),'Actual Dates'!#REF!,"")</f>
        <v>#REF!</v>
      </c>
      <c r="O54" s="138" t="e">
        <f t="shared" si="6"/>
        <v>#REF!</v>
      </c>
      <c r="P54" s="139" t="e">
        <f t="shared" si="10"/>
        <v>#REF!</v>
      </c>
      <c r="Q54" s="139" t="e">
        <f t="shared" si="11"/>
        <v>#REF!</v>
      </c>
      <c r="R54" s="170"/>
      <c r="S54" s="170"/>
      <c r="T54" s="142"/>
      <c r="U54" s="142"/>
      <c r="V54" s="142"/>
      <c r="W54" s="142"/>
      <c r="X54" s="142"/>
      <c r="Y54" s="142"/>
      <c r="Z54" s="142"/>
      <c r="AA54" s="142"/>
      <c r="AB54" s="142"/>
    </row>
    <row r="55" spans="1:28" x14ac:dyDescent="0.25">
      <c r="A55" s="134" t="e">
        <f>'Actual Dates'!#REF!</f>
        <v>#REF!</v>
      </c>
      <c r="B55" s="135" t="e">
        <f>'Date Calcs'!#REF!</f>
        <v>#REF!</v>
      </c>
      <c r="C55" s="136" t="e">
        <f>'Date Calcs'!#REF!</f>
        <v>#REF!</v>
      </c>
      <c r="D55" s="137" t="e">
        <f t="shared" si="9"/>
        <v>#REF!</v>
      </c>
      <c r="E55" s="143">
        <v>43685</v>
      </c>
      <c r="F55" s="137" t="e">
        <f>'Date Calcs'!#REF!</f>
        <v>#REF!</v>
      </c>
      <c r="G55" s="137" t="e">
        <f>IF(VLOOKUP(A55,'Actual Dates'!A4:AE182,8,),'Actual Dates'!#REF!,"")</f>
        <v>#REF!</v>
      </c>
      <c r="H55" s="137" t="e">
        <f t="shared" si="8"/>
        <v>#REF!</v>
      </c>
      <c r="I55" s="137" t="e">
        <f>IF(VLOOKUP(A55,'Actual Dates'!A4:AE177,25,),'Actual Dates'!#REF!,"")</f>
        <v>#REF!</v>
      </c>
      <c r="J55" s="137" t="e">
        <f t="shared" si="7"/>
        <v>#REF!</v>
      </c>
      <c r="K55" s="137" t="e">
        <f>IF(VLOOKUP(A55,'Actual Dates'!A4:AE205,26,),'Actual Dates'!#REF!,"")</f>
        <v>#REF!</v>
      </c>
      <c r="L55" s="137" t="e">
        <f>IF(VLOOKUP(A55,'Actual Dates'!A4:AE205,21,),'Actual Dates'!#REF!,"")</f>
        <v>#REF!</v>
      </c>
      <c r="M55" s="137" t="e">
        <f>'Date Calcs'!#REF!</f>
        <v>#REF!</v>
      </c>
      <c r="N55" s="137" t="e">
        <f>IF(VLOOKUP(A55,'Actual Dates'!A4:AE205,27,),'Actual Dates'!#REF!,"")</f>
        <v>#REF!</v>
      </c>
      <c r="O55" s="138" t="e">
        <f t="shared" si="6"/>
        <v>#REF!</v>
      </c>
      <c r="P55" s="139" t="e">
        <f t="shared" si="10"/>
        <v>#REF!</v>
      </c>
      <c r="Q55" s="139" t="e">
        <f t="shared" si="11"/>
        <v>#REF!</v>
      </c>
      <c r="R55" s="170"/>
      <c r="S55" s="170"/>
      <c r="T55" s="142"/>
      <c r="U55" s="142"/>
      <c r="V55" s="142"/>
      <c r="W55" s="142"/>
      <c r="X55" s="142"/>
      <c r="Y55" s="142"/>
      <c r="Z55" s="142"/>
      <c r="AA55" s="142"/>
      <c r="AB55" s="142"/>
    </row>
    <row r="56" spans="1:28" x14ac:dyDescent="0.25">
      <c r="A56" s="134" t="e">
        <f>'Actual Dates'!#REF!</f>
        <v>#REF!</v>
      </c>
      <c r="B56" s="135" t="e">
        <f>'Date Calcs'!#REF!</f>
        <v>#REF!</v>
      </c>
      <c r="C56" s="136" t="e">
        <f>'Date Calcs'!#REF!</f>
        <v>#REF!</v>
      </c>
      <c r="D56" s="137" t="e">
        <f t="shared" si="9"/>
        <v>#REF!</v>
      </c>
      <c r="E56" s="143">
        <v>43685</v>
      </c>
      <c r="F56" s="137" t="e">
        <f>'Date Calcs'!#REF!</f>
        <v>#REF!</v>
      </c>
      <c r="G56" s="137" t="e">
        <f>IF(VLOOKUP(A56,'Actual Dates'!A4:AE183,8,),'Actual Dates'!#REF!,"")</f>
        <v>#REF!</v>
      </c>
      <c r="H56" s="137" t="e">
        <f t="shared" si="8"/>
        <v>#REF!</v>
      </c>
      <c r="I56" s="137" t="e">
        <f>IF(VLOOKUP(A56,'Actual Dates'!A4:AE178,25,),'Actual Dates'!#REF!,"")</f>
        <v>#REF!</v>
      </c>
      <c r="J56" s="137" t="e">
        <f t="shared" si="7"/>
        <v>#REF!</v>
      </c>
      <c r="K56" s="137" t="e">
        <f>IF(VLOOKUP(A56,'Actual Dates'!A4:AE206,26,),'Actual Dates'!#REF!,"")</f>
        <v>#REF!</v>
      </c>
      <c r="L56" s="137" t="e">
        <f>IF(VLOOKUP(A56,'Actual Dates'!A4:AE206,21,),'Actual Dates'!#REF!,"")</f>
        <v>#REF!</v>
      </c>
      <c r="M56" s="137" t="e">
        <f>'Date Calcs'!#REF!</f>
        <v>#REF!</v>
      </c>
      <c r="N56" s="137" t="e">
        <f>IF(VLOOKUP(A56,'Actual Dates'!A4:AE206,27,),'Actual Dates'!#REF!,"")</f>
        <v>#REF!</v>
      </c>
      <c r="O56" s="138" t="e">
        <f t="shared" si="6"/>
        <v>#REF!</v>
      </c>
      <c r="P56" s="139" t="e">
        <f t="shared" si="10"/>
        <v>#REF!</v>
      </c>
      <c r="Q56" s="139" t="e">
        <f t="shared" si="11"/>
        <v>#REF!</v>
      </c>
      <c r="R56" s="170"/>
      <c r="S56" s="170"/>
      <c r="T56" s="142"/>
      <c r="U56" s="142"/>
      <c r="V56" s="142"/>
      <c r="W56" s="142"/>
      <c r="X56" s="142"/>
      <c r="Y56" s="142"/>
      <c r="Z56" s="142"/>
      <c r="AA56" s="142"/>
      <c r="AB56" s="142"/>
    </row>
    <row r="57" spans="1:28" x14ac:dyDescent="0.25">
      <c r="A57" s="134" t="e">
        <f>'Actual Dates'!#REF!</f>
        <v>#REF!</v>
      </c>
      <c r="B57" s="135" t="e">
        <f>'Date Calcs'!#REF!</f>
        <v>#REF!</v>
      </c>
      <c r="C57" s="136" t="e">
        <f>'Date Calcs'!#REF!</f>
        <v>#REF!</v>
      </c>
      <c r="D57" s="137" t="e">
        <f t="shared" si="9"/>
        <v>#REF!</v>
      </c>
      <c r="E57" s="143">
        <v>43685</v>
      </c>
      <c r="F57" s="137" t="e">
        <f>'Date Calcs'!#REF!</f>
        <v>#REF!</v>
      </c>
      <c r="G57" s="137" t="e">
        <f>IF(VLOOKUP(A57,'Actual Dates'!A4:AE184,8,),'Actual Dates'!#REF!,"")</f>
        <v>#REF!</v>
      </c>
      <c r="H57" s="137" t="e">
        <f t="shared" si="8"/>
        <v>#REF!</v>
      </c>
      <c r="I57" s="137" t="e">
        <f>IF(VLOOKUP(A57,'Actual Dates'!A4:AE179,25,),'Actual Dates'!#REF!,"")</f>
        <v>#REF!</v>
      </c>
      <c r="J57" s="137" t="e">
        <f t="shared" si="7"/>
        <v>#REF!</v>
      </c>
      <c r="K57" s="137" t="e">
        <f>IF(VLOOKUP(A57,'Actual Dates'!A4:AE207,26,),'Actual Dates'!#REF!,"")</f>
        <v>#REF!</v>
      </c>
      <c r="L57" s="137" t="e">
        <f>IF(VLOOKUP(A57,'Actual Dates'!A4:AE207,21,),'Actual Dates'!#REF!,"")</f>
        <v>#REF!</v>
      </c>
      <c r="M57" s="137" t="e">
        <f>'Date Calcs'!#REF!</f>
        <v>#REF!</v>
      </c>
      <c r="N57" s="137" t="e">
        <f>IF(VLOOKUP(A57,'Actual Dates'!A4:AE207,27,),'Actual Dates'!#REF!,"")</f>
        <v>#REF!</v>
      </c>
      <c r="O57" s="138" t="e">
        <f t="shared" si="6"/>
        <v>#REF!</v>
      </c>
      <c r="P57" s="139" t="e">
        <f t="shared" si="10"/>
        <v>#REF!</v>
      </c>
      <c r="Q57" s="139" t="e">
        <f t="shared" si="11"/>
        <v>#REF!</v>
      </c>
      <c r="R57" s="170"/>
      <c r="S57" s="170"/>
      <c r="T57" s="142"/>
      <c r="U57" s="142"/>
      <c r="V57" s="142"/>
      <c r="W57" s="142"/>
      <c r="X57" s="142"/>
      <c r="Y57" s="142"/>
      <c r="Z57" s="142"/>
      <c r="AA57" s="142"/>
      <c r="AB57" s="142"/>
    </row>
    <row r="58" spans="1:28" x14ac:dyDescent="0.25">
      <c r="A58" s="134" t="e">
        <f>'Actual Dates'!#REF!</f>
        <v>#REF!</v>
      </c>
      <c r="B58" s="135" t="e">
        <f>'Date Calcs'!#REF!</f>
        <v>#REF!</v>
      </c>
      <c r="C58" s="136" t="e">
        <f>'Date Calcs'!#REF!</f>
        <v>#REF!</v>
      </c>
      <c r="D58" s="137" t="e">
        <f t="shared" si="9"/>
        <v>#REF!</v>
      </c>
      <c r="E58" s="143">
        <v>43685</v>
      </c>
      <c r="F58" s="137" t="e">
        <f>'Date Calcs'!#REF!</f>
        <v>#REF!</v>
      </c>
      <c r="G58" s="137" t="e">
        <f>IF(VLOOKUP(A58,'Actual Dates'!A4:AE185,8,),'Actual Dates'!#REF!,"")</f>
        <v>#REF!</v>
      </c>
      <c r="H58" s="137" t="e">
        <f t="shared" si="8"/>
        <v>#REF!</v>
      </c>
      <c r="I58" s="137" t="e">
        <f>IF(VLOOKUP(A58,'Actual Dates'!A4:AE180,25,),'Actual Dates'!#REF!,"")</f>
        <v>#REF!</v>
      </c>
      <c r="J58" s="137" t="e">
        <f t="shared" si="7"/>
        <v>#REF!</v>
      </c>
      <c r="K58" s="137" t="e">
        <f>IF(VLOOKUP(A58,'Actual Dates'!A4:AE208,26,),'Actual Dates'!#REF!,"")</f>
        <v>#REF!</v>
      </c>
      <c r="L58" s="137" t="e">
        <f>IF(VLOOKUP(A58,'Actual Dates'!A4:AE208,21,),'Actual Dates'!#REF!,"")</f>
        <v>#REF!</v>
      </c>
      <c r="M58" s="137" t="e">
        <f>'Date Calcs'!#REF!</f>
        <v>#REF!</v>
      </c>
      <c r="N58" s="137" t="e">
        <f>IF(VLOOKUP(A58,'Actual Dates'!A4:AE208,27,),'Actual Dates'!#REF!,"")</f>
        <v>#REF!</v>
      </c>
      <c r="O58" s="138" t="e">
        <f t="shared" si="6"/>
        <v>#REF!</v>
      </c>
      <c r="P58" s="139" t="e">
        <f t="shared" si="10"/>
        <v>#REF!</v>
      </c>
      <c r="Q58" s="139" t="e">
        <f t="shared" si="11"/>
        <v>#REF!</v>
      </c>
      <c r="R58" s="170"/>
      <c r="S58" s="170"/>
      <c r="T58" s="142"/>
      <c r="U58" s="142"/>
      <c r="V58" s="142"/>
      <c r="W58" s="142"/>
      <c r="X58" s="142"/>
      <c r="Y58" s="142"/>
      <c r="Z58" s="142"/>
      <c r="AA58" s="142"/>
      <c r="AB58" s="142"/>
    </row>
    <row r="59" spans="1:28" x14ac:dyDescent="0.25">
      <c r="A59" s="134" t="e">
        <f>'Actual Dates'!#REF!</f>
        <v>#REF!</v>
      </c>
      <c r="B59" s="135" t="e">
        <f>'Date Calcs'!#REF!</f>
        <v>#REF!</v>
      </c>
      <c r="C59" s="136" t="e">
        <f>'Date Calcs'!#REF!</f>
        <v>#REF!</v>
      </c>
      <c r="D59" s="137" t="e">
        <f t="shared" si="9"/>
        <v>#REF!</v>
      </c>
      <c r="E59" s="143">
        <v>43685</v>
      </c>
      <c r="F59" s="137" t="e">
        <f>'Date Calcs'!#REF!</f>
        <v>#REF!</v>
      </c>
      <c r="G59" s="137" t="e">
        <f>IF(VLOOKUP(A59,'Actual Dates'!A4:AE186,8,),'Actual Dates'!#REF!,"")</f>
        <v>#REF!</v>
      </c>
      <c r="H59" s="137" t="e">
        <f t="shared" si="8"/>
        <v>#REF!</v>
      </c>
      <c r="I59" s="137" t="e">
        <f>IF(VLOOKUP(A59,'Actual Dates'!A4:AE181,25,),'Actual Dates'!#REF!,"")</f>
        <v>#REF!</v>
      </c>
      <c r="J59" s="137" t="e">
        <f t="shared" si="7"/>
        <v>#REF!</v>
      </c>
      <c r="K59" s="137" t="e">
        <f>IF(VLOOKUP(A59,'Actual Dates'!A4:AE209,26,),'Actual Dates'!#REF!,"")</f>
        <v>#REF!</v>
      </c>
      <c r="L59" s="137" t="e">
        <f>IF(VLOOKUP(A59,'Actual Dates'!A4:AE209,21,),'Actual Dates'!#REF!,"")</f>
        <v>#REF!</v>
      </c>
      <c r="M59" s="137" t="e">
        <f>'Date Calcs'!#REF!</f>
        <v>#REF!</v>
      </c>
      <c r="N59" s="137" t="e">
        <f>IF(VLOOKUP(A59,'Actual Dates'!A4:AE209,27,),'Actual Dates'!#REF!,"")</f>
        <v>#REF!</v>
      </c>
      <c r="O59" s="138" t="e">
        <f t="shared" si="6"/>
        <v>#REF!</v>
      </c>
      <c r="P59" s="139" t="e">
        <f t="shared" si="10"/>
        <v>#REF!</v>
      </c>
      <c r="Q59" s="139" t="e">
        <f t="shared" si="11"/>
        <v>#REF!</v>
      </c>
      <c r="R59" s="170"/>
      <c r="S59" s="170"/>
      <c r="T59" s="142"/>
      <c r="U59" s="142"/>
      <c r="V59" s="142"/>
      <c r="W59" s="142"/>
      <c r="X59" s="142"/>
      <c r="Y59" s="142"/>
      <c r="Z59" s="142"/>
      <c r="AA59" s="142"/>
      <c r="AB59" s="142"/>
    </row>
    <row r="60" spans="1:28" x14ac:dyDescent="0.25">
      <c r="A60" s="134" t="e">
        <f>'Actual Dates'!#REF!</f>
        <v>#REF!</v>
      </c>
      <c r="B60" s="135" t="e">
        <f>'Date Calcs'!#REF!</f>
        <v>#REF!</v>
      </c>
      <c r="C60" s="136" t="e">
        <f>'Date Calcs'!#REF!</f>
        <v>#REF!</v>
      </c>
      <c r="D60" s="137" t="e">
        <f t="shared" si="9"/>
        <v>#REF!</v>
      </c>
      <c r="E60" s="143">
        <v>43685</v>
      </c>
      <c r="F60" s="137" t="e">
        <f>'Date Calcs'!#REF!</f>
        <v>#REF!</v>
      </c>
      <c r="G60" s="137" t="e">
        <f>IF(VLOOKUP(A60,'Actual Dates'!A4:AE187,8,),'Actual Dates'!#REF!,"")</f>
        <v>#REF!</v>
      </c>
      <c r="H60" s="137" t="e">
        <f t="shared" si="8"/>
        <v>#REF!</v>
      </c>
      <c r="I60" s="137" t="e">
        <f>IF(VLOOKUP(A60,'Actual Dates'!A4:AE182,25,),'Actual Dates'!#REF!,"")</f>
        <v>#REF!</v>
      </c>
      <c r="J60" s="137" t="e">
        <f t="shared" si="7"/>
        <v>#REF!</v>
      </c>
      <c r="K60" s="137" t="e">
        <f>IF(VLOOKUP(A60,'Actual Dates'!A4:AE210,26,),'Actual Dates'!#REF!,"")</f>
        <v>#REF!</v>
      </c>
      <c r="L60" s="137" t="e">
        <f>IF(VLOOKUP(A60,'Actual Dates'!A4:AE210,21,),'Actual Dates'!#REF!,"")</f>
        <v>#REF!</v>
      </c>
      <c r="M60" s="137" t="e">
        <f>'Date Calcs'!#REF!</f>
        <v>#REF!</v>
      </c>
      <c r="N60" s="137" t="e">
        <f>IF(VLOOKUP(A60,'Actual Dates'!A4:AE210,27,),'Actual Dates'!#REF!,"")</f>
        <v>#REF!</v>
      </c>
      <c r="O60" s="138" t="e">
        <f t="shared" si="6"/>
        <v>#REF!</v>
      </c>
      <c r="P60" s="139" t="e">
        <f t="shared" si="10"/>
        <v>#REF!</v>
      </c>
      <c r="Q60" s="139" t="e">
        <f t="shared" si="11"/>
        <v>#REF!</v>
      </c>
      <c r="R60" s="170"/>
      <c r="S60" s="170"/>
      <c r="T60" s="142"/>
      <c r="U60" s="142"/>
      <c r="V60" s="142"/>
      <c r="W60" s="142"/>
      <c r="X60" s="142"/>
      <c r="Y60" s="142"/>
      <c r="Z60" s="142"/>
      <c r="AA60" s="142"/>
      <c r="AB60" s="142"/>
    </row>
    <row r="61" spans="1:28" x14ac:dyDescent="0.25">
      <c r="A61" s="134" t="e">
        <f>'Actual Dates'!#REF!</f>
        <v>#REF!</v>
      </c>
      <c r="B61" s="135" t="e">
        <f>'Date Calcs'!#REF!</f>
        <v>#REF!</v>
      </c>
      <c r="C61" s="136" t="e">
        <f>'Date Calcs'!#REF!</f>
        <v>#REF!</v>
      </c>
      <c r="D61" s="137" t="e">
        <f t="shared" si="9"/>
        <v>#REF!</v>
      </c>
      <c r="E61" s="143">
        <v>43685</v>
      </c>
      <c r="F61" s="137" t="e">
        <f>'Date Calcs'!#REF!</f>
        <v>#REF!</v>
      </c>
      <c r="G61" s="137" t="e">
        <f>IF(VLOOKUP(A61,'Actual Dates'!A4:AE188,8,),'Actual Dates'!#REF!,"")</f>
        <v>#REF!</v>
      </c>
      <c r="H61" s="137" t="e">
        <f t="shared" si="8"/>
        <v>#REF!</v>
      </c>
      <c r="I61" s="137" t="e">
        <f>IF(VLOOKUP(A61,'Actual Dates'!A4:AE183,25,),'Actual Dates'!#REF!,"")</f>
        <v>#REF!</v>
      </c>
      <c r="J61" s="137" t="e">
        <f t="shared" si="7"/>
        <v>#REF!</v>
      </c>
      <c r="K61" s="137" t="e">
        <f>IF(VLOOKUP(A61,'Actual Dates'!A4:AE211,26,),'Actual Dates'!#REF!,"")</f>
        <v>#REF!</v>
      </c>
      <c r="L61" s="137" t="e">
        <f>IF(VLOOKUP(A61,'Actual Dates'!A4:AE211,21,),'Actual Dates'!#REF!,"")</f>
        <v>#REF!</v>
      </c>
      <c r="M61" s="137" t="e">
        <f>'Date Calcs'!#REF!</f>
        <v>#REF!</v>
      </c>
      <c r="N61" s="137" t="e">
        <f>IF(VLOOKUP(A61,'Actual Dates'!A4:AE211,27,),'Actual Dates'!#REF!,"")</f>
        <v>#REF!</v>
      </c>
      <c r="O61" s="138" t="e">
        <f t="shared" si="6"/>
        <v>#REF!</v>
      </c>
      <c r="P61" s="139" t="e">
        <f t="shared" si="10"/>
        <v>#REF!</v>
      </c>
      <c r="Q61" s="139" t="e">
        <f t="shared" si="11"/>
        <v>#REF!</v>
      </c>
      <c r="R61" s="170"/>
      <c r="S61" s="170"/>
      <c r="T61" s="142"/>
      <c r="U61" s="142"/>
      <c r="V61" s="142"/>
      <c r="W61" s="142"/>
      <c r="X61" s="142"/>
      <c r="Y61" s="142"/>
      <c r="Z61" s="142"/>
      <c r="AA61" s="142"/>
      <c r="AB61" s="142"/>
    </row>
    <row r="62" spans="1:28" x14ac:dyDescent="0.25">
      <c r="A62" s="134" t="e">
        <f>'Actual Dates'!#REF!</f>
        <v>#REF!</v>
      </c>
      <c r="B62" s="135" t="e">
        <f>'Date Calcs'!#REF!</f>
        <v>#REF!</v>
      </c>
      <c r="C62" s="136" t="e">
        <f>'Date Calcs'!#REF!</f>
        <v>#REF!</v>
      </c>
      <c r="D62" s="137" t="e">
        <f t="shared" si="9"/>
        <v>#REF!</v>
      </c>
      <c r="E62" s="143">
        <v>43685</v>
      </c>
      <c r="F62" s="137" t="e">
        <f>'Date Calcs'!#REF!</f>
        <v>#REF!</v>
      </c>
      <c r="G62" s="137" t="e">
        <f>IF(VLOOKUP(A62,'Actual Dates'!A4:AE189,8,),'Actual Dates'!#REF!,"")</f>
        <v>#REF!</v>
      </c>
      <c r="H62" s="137" t="e">
        <f t="shared" si="8"/>
        <v>#REF!</v>
      </c>
      <c r="I62" s="137" t="e">
        <f>IF(VLOOKUP(A62,'Actual Dates'!A4:AE184,25,),'Actual Dates'!#REF!,"")</f>
        <v>#REF!</v>
      </c>
      <c r="J62" s="137" t="e">
        <f t="shared" si="7"/>
        <v>#REF!</v>
      </c>
      <c r="K62" s="137" t="e">
        <f>IF(VLOOKUP(A62,'Actual Dates'!A4:AE212,26,),'Actual Dates'!#REF!,"")</f>
        <v>#REF!</v>
      </c>
      <c r="L62" s="137" t="e">
        <f>IF(VLOOKUP(A62,'Actual Dates'!A4:AE212,21,),'Actual Dates'!#REF!,"")</f>
        <v>#REF!</v>
      </c>
      <c r="M62" s="137" t="e">
        <f>'Date Calcs'!#REF!</f>
        <v>#REF!</v>
      </c>
      <c r="N62" s="137" t="e">
        <f>IF(VLOOKUP(A62,'Actual Dates'!A4:AE212,27,),'Actual Dates'!#REF!,"")</f>
        <v>#REF!</v>
      </c>
      <c r="O62" s="138" t="e">
        <f t="shared" si="6"/>
        <v>#REF!</v>
      </c>
      <c r="P62" s="139" t="e">
        <f t="shared" si="10"/>
        <v>#REF!</v>
      </c>
      <c r="Q62" s="139" t="e">
        <f t="shared" si="11"/>
        <v>#REF!</v>
      </c>
      <c r="R62" s="170" t="s">
        <v>407</v>
      </c>
      <c r="S62" s="170"/>
      <c r="T62" s="142"/>
      <c r="U62" s="142"/>
      <c r="V62" s="142"/>
      <c r="W62" s="142"/>
      <c r="X62" s="142"/>
      <c r="Y62" s="142"/>
      <c r="Z62" s="142"/>
      <c r="AA62" s="142"/>
      <c r="AB62" s="142"/>
    </row>
    <row r="63" spans="1:28" x14ac:dyDescent="0.25">
      <c r="A63" s="134" t="e">
        <f>'Actual Dates'!#REF!</f>
        <v>#REF!</v>
      </c>
      <c r="B63" s="135" t="e">
        <f>'Date Calcs'!#REF!</f>
        <v>#REF!</v>
      </c>
      <c r="C63" s="136" t="e">
        <f>'Date Calcs'!#REF!</f>
        <v>#REF!</v>
      </c>
      <c r="D63" s="137" t="e">
        <f t="shared" si="9"/>
        <v>#REF!</v>
      </c>
      <c r="E63" s="143" t="s">
        <v>377</v>
      </c>
      <c r="F63" s="137" t="e">
        <f>'Date Calcs'!#REF!</f>
        <v>#REF!</v>
      </c>
      <c r="G63" s="137" t="s">
        <v>377</v>
      </c>
      <c r="H63" s="137" t="e">
        <f t="shared" si="8"/>
        <v>#REF!</v>
      </c>
      <c r="I63" s="137" t="e">
        <f>IF(VLOOKUP(A63,'Actual Dates'!A4:AE185,25,),'Actual Dates'!#REF!,"")</f>
        <v>#REF!</v>
      </c>
      <c r="J63" s="137" t="e">
        <f t="shared" si="7"/>
        <v>#REF!</v>
      </c>
      <c r="K63" s="137" t="e">
        <f>IF(VLOOKUP(A63,'Actual Dates'!A4:AE213,26,),'Actual Dates'!#REF!,"")</f>
        <v>#REF!</v>
      </c>
      <c r="L63" s="137" t="e">
        <f>IF(VLOOKUP(A63,'Actual Dates'!A4:AE213,21,),'Actual Dates'!#REF!,"")</f>
        <v>#REF!</v>
      </c>
      <c r="M63" s="137" t="e">
        <f>'Date Calcs'!#REF!</f>
        <v>#REF!</v>
      </c>
      <c r="N63" s="137" t="e">
        <f>IF(VLOOKUP(A63,'Actual Dates'!A4:AE213,27,),'Actual Dates'!#REF!,"")</f>
        <v>#REF!</v>
      </c>
      <c r="O63" s="138" t="e">
        <f t="shared" si="6"/>
        <v>#REF!</v>
      </c>
      <c r="P63" s="139" t="e">
        <f t="shared" si="10"/>
        <v>#REF!</v>
      </c>
      <c r="Q63" s="139" t="e">
        <f t="shared" si="11"/>
        <v>#REF!</v>
      </c>
      <c r="R63" s="170"/>
      <c r="S63" s="170"/>
      <c r="T63" s="142"/>
      <c r="U63" s="142"/>
      <c r="V63" s="142"/>
      <c r="W63" s="142"/>
      <c r="X63" s="142"/>
      <c r="Y63" s="142"/>
      <c r="Z63" s="142"/>
      <c r="AA63" s="142"/>
      <c r="AB63" s="142"/>
    </row>
    <row r="64" spans="1:28" x14ac:dyDescent="0.25">
      <c r="A64" s="134" t="e">
        <f>'Actual Dates'!#REF!</f>
        <v>#REF!</v>
      </c>
      <c r="B64" s="135" t="e">
        <f>'Date Calcs'!#REF!</f>
        <v>#REF!</v>
      </c>
      <c r="C64" s="136" t="e">
        <f>'Date Calcs'!#REF!</f>
        <v>#REF!</v>
      </c>
      <c r="D64" s="137" t="e">
        <f t="shared" si="9"/>
        <v>#REF!</v>
      </c>
      <c r="E64" s="143">
        <v>43697</v>
      </c>
      <c r="F64" s="137" t="e">
        <f>'Date Calcs'!#REF!</f>
        <v>#REF!</v>
      </c>
      <c r="G64" s="137" t="e">
        <f>IF(VLOOKUP(A64,'Actual Dates'!A4:AE191,8,),'Actual Dates'!#REF!,"")</f>
        <v>#REF!</v>
      </c>
      <c r="H64" s="137" t="e">
        <f t="shared" si="8"/>
        <v>#REF!</v>
      </c>
      <c r="I64" s="137" t="e">
        <f>IF(VLOOKUP(A64,'Actual Dates'!A4:AE186,25,),'Actual Dates'!#REF!,"")</f>
        <v>#REF!</v>
      </c>
      <c r="J64" s="137" t="e">
        <f t="shared" si="7"/>
        <v>#REF!</v>
      </c>
      <c r="K64" s="137" t="e">
        <f>IF(VLOOKUP(A64,'Actual Dates'!A4:AE214,26,),'Actual Dates'!#REF!,"")</f>
        <v>#REF!</v>
      </c>
      <c r="L64" s="137" t="e">
        <f>IF(VLOOKUP(A64,'Actual Dates'!A4:AE214,21,),'Actual Dates'!#REF!,"")</f>
        <v>#REF!</v>
      </c>
      <c r="M64" s="137" t="e">
        <f>'Date Calcs'!#REF!</f>
        <v>#REF!</v>
      </c>
      <c r="N64" s="137" t="e">
        <f>IF(VLOOKUP(A64,'Actual Dates'!A4:AE214,27,),'Actual Dates'!#REF!,"")</f>
        <v>#REF!</v>
      </c>
      <c r="O64" s="138" t="e">
        <f t="shared" si="6"/>
        <v>#REF!</v>
      </c>
      <c r="P64" s="139" t="e">
        <f t="shared" si="10"/>
        <v>#REF!</v>
      </c>
      <c r="Q64" s="139" t="e">
        <f t="shared" si="11"/>
        <v>#REF!</v>
      </c>
      <c r="R64" s="170"/>
      <c r="S64" s="170"/>
      <c r="T64" s="142"/>
      <c r="U64" s="142"/>
      <c r="V64" s="142"/>
      <c r="W64" s="142"/>
      <c r="X64" s="142"/>
      <c r="Y64" s="142"/>
      <c r="Z64" s="142"/>
      <c r="AA64" s="142"/>
      <c r="AB64" s="142"/>
    </row>
    <row r="65" spans="1:28" x14ac:dyDescent="0.25">
      <c r="A65" s="134" t="e">
        <f>'Actual Dates'!#REF!</f>
        <v>#REF!</v>
      </c>
      <c r="B65" s="135" t="e">
        <f>'Date Calcs'!#REF!</f>
        <v>#REF!</v>
      </c>
      <c r="C65" s="136" t="e">
        <f>'Date Calcs'!#REF!</f>
        <v>#REF!</v>
      </c>
      <c r="D65" s="137" t="e">
        <f t="shared" si="9"/>
        <v>#REF!</v>
      </c>
      <c r="E65" s="143">
        <v>43697</v>
      </c>
      <c r="F65" s="137" t="e">
        <f>'Date Calcs'!#REF!</f>
        <v>#REF!</v>
      </c>
      <c r="G65" s="137" t="e">
        <f>IF(VLOOKUP(A65,'Actual Dates'!A4:AE192,8,),'Actual Dates'!#REF!,"")</f>
        <v>#REF!</v>
      </c>
      <c r="H65" s="137" t="e">
        <f t="shared" si="8"/>
        <v>#REF!</v>
      </c>
      <c r="I65" s="137" t="e">
        <f>IF(VLOOKUP(A65,'Actual Dates'!A4:AE187,25,),'Actual Dates'!#REF!,"")</f>
        <v>#REF!</v>
      </c>
      <c r="J65" s="137" t="e">
        <f t="shared" si="7"/>
        <v>#REF!</v>
      </c>
      <c r="K65" s="137" t="e">
        <f>IF(VLOOKUP(A65,'Actual Dates'!A4:AE215,26,),'Actual Dates'!#REF!,"")</f>
        <v>#REF!</v>
      </c>
      <c r="L65" s="137" t="e">
        <f>IF(VLOOKUP(A65,'Actual Dates'!A4:AE215,21,),'Actual Dates'!#REF!,"")</f>
        <v>#REF!</v>
      </c>
      <c r="M65" s="137" t="e">
        <f>'Date Calcs'!#REF!</f>
        <v>#REF!</v>
      </c>
      <c r="N65" s="137" t="e">
        <f>IF(VLOOKUP(A65,'Actual Dates'!A4:AE215,27,),'Actual Dates'!#REF!,"")</f>
        <v>#REF!</v>
      </c>
      <c r="O65" s="138" t="e">
        <f t="shared" si="6"/>
        <v>#REF!</v>
      </c>
      <c r="P65" s="139" t="e">
        <f t="shared" si="10"/>
        <v>#REF!</v>
      </c>
      <c r="Q65" s="139" t="e">
        <f t="shared" si="11"/>
        <v>#REF!</v>
      </c>
      <c r="R65" s="170"/>
      <c r="S65" s="170"/>
      <c r="T65" s="142"/>
      <c r="U65" s="142"/>
      <c r="V65" s="142"/>
      <c r="W65" s="142"/>
      <c r="X65" s="142"/>
      <c r="Y65" s="142"/>
      <c r="Z65" s="142"/>
      <c r="AA65" s="142"/>
      <c r="AB65" s="142"/>
    </row>
    <row r="66" spans="1:28" x14ac:dyDescent="0.25">
      <c r="A66" s="134" t="e">
        <f>'Actual Dates'!#REF!</f>
        <v>#REF!</v>
      </c>
      <c r="B66" s="135" t="e">
        <f>'Date Calcs'!#REF!</f>
        <v>#REF!</v>
      </c>
      <c r="C66" s="136" t="e">
        <f>'Date Calcs'!#REF!</f>
        <v>#REF!</v>
      </c>
      <c r="D66" s="137" t="e">
        <f t="shared" si="9"/>
        <v>#REF!</v>
      </c>
      <c r="E66" s="143">
        <v>43700</v>
      </c>
      <c r="F66" s="137" t="e">
        <f>'Date Calcs'!#REF!</f>
        <v>#REF!</v>
      </c>
      <c r="G66" s="137" t="e">
        <f>IF(VLOOKUP(A66,'Actual Dates'!A4:AE193,8,),'Actual Dates'!#REF!,"")</f>
        <v>#REF!</v>
      </c>
      <c r="H66" s="137" t="e">
        <f t="shared" si="8"/>
        <v>#REF!</v>
      </c>
      <c r="I66" s="137" t="e">
        <f>IF(VLOOKUP(A66,'Actual Dates'!A4:AE188,25,),'Actual Dates'!#REF!,"")</f>
        <v>#REF!</v>
      </c>
      <c r="J66" s="137" t="e">
        <f t="shared" si="7"/>
        <v>#REF!</v>
      </c>
      <c r="K66" s="137" t="e">
        <f>IF(VLOOKUP(A66,'Actual Dates'!A4:AE216,26,),'Actual Dates'!#REF!,"")</f>
        <v>#REF!</v>
      </c>
      <c r="L66" s="137" t="e">
        <f>IF(VLOOKUP(A66,'Actual Dates'!A4:AE216,21,),'Actual Dates'!#REF!,"")</f>
        <v>#REF!</v>
      </c>
      <c r="M66" s="137" t="e">
        <f>'Date Calcs'!#REF!</f>
        <v>#REF!</v>
      </c>
      <c r="N66" s="137" t="e">
        <f>IF(VLOOKUP(A66,'Actual Dates'!A4:AE216,27,),'Actual Dates'!#REF!,"")</f>
        <v>#REF!</v>
      </c>
      <c r="O66" s="138" t="e">
        <f t="shared" si="6"/>
        <v>#REF!</v>
      </c>
      <c r="P66" s="139" t="e">
        <f t="shared" si="10"/>
        <v>#REF!</v>
      </c>
      <c r="Q66" s="139" t="e">
        <f t="shared" si="11"/>
        <v>#REF!</v>
      </c>
      <c r="R66" s="170" t="s">
        <v>403</v>
      </c>
      <c r="S66" s="170"/>
      <c r="T66" s="142"/>
      <c r="U66" s="142"/>
      <c r="V66" s="142"/>
      <c r="W66" s="142"/>
      <c r="X66" s="142"/>
      <c r="Y66" s="142"/>
      <c r="Z66" s="142"/>
      <c r="AA66" s="142"/>
      <c r="AB66" s="142"/>
    </row>
    <row r="67" spans="1:28" x14ac:dyDescent="0.25">
      <c r="A67" s="134" t="e">
        <f>'Actual Dates'!#REF!</f>
        <v>#REF!</v>
      </c>
      <c r="B67" s="135" t="e">
        <f>'Date Calcs'!#REF!</f>
        <v>#REF!</v>
      </c>
      <c r="C67" s="136" t="e">
        <f>'Date Calcs'!#REF!</f>
        <v>#REF!</v>
      </c>
      <c r="D67" s="137" t="e">
        <f t="shared" si="9"/>
        <v>#REF!</v>
      </c>
      <c r="E67" s="143">
        <v>43700</v>
      </c>
      <c r="F67" s="137" t="e">
        <f>'Date Calcs'!#REF!</f>
        <v>#REF!</v>
      </c>
      <c r="G67" s="137" t="e">
        <f>IF(VLOOKUP(A67,'Actual Dates'!A4:AE194,8,),'Actual Dates'!#REF!,"")</f>
        <v>#REF!</v>
      </c>
      <c r="H67" s="137" t="e">
        <f t="shared" si="8"/>
        <v>#REF!</v>
      </c>
      <c r="I67" s="137" t="e">
        <f>IF(VLOOKUP(A67,'Actual Dates'!A4:AE189,25,),'Actual Dates'!#REF!,"")</f>
        <v>#REF!</v>
      </c>
      <c r="J67" s="137" t="e">
        <f t="shared" si="7"/>
        <v>#REF!</v>
      </c>
      <c r="K67" s="137" t="e">
        <f>IF(VLOOKUP(A67,'Actual Dates'!A4:AE217,26,),'Actual Dates'!#REF!,"")</f>
        <v>#REF!</v>
      </c>
      <c r="L67" s="137" t="e">
        <f>IF(VLOOKUP(A67,'Actual Dates'!A4:AE217,21,),'Actual Dates'!#REF!,"")</f>
        <v>#REF!</v>
      </c>
      <c r="M67" s="137" t="e">
        <f>'Date Calcs'!#REF!</f>
        <v>#REF!</v>
      </c>
      <c r="N67" s="137" t="e">
        <f>IF(VLOOKUP(A67,'Actual Dates'!A4:AE217,27,),'Actual Dates'!#REF!,"")</f>
        <v>#REF!</v>
      </c>
      <c r="O67" s="138" t="e">
        <f t="shared" si="6"/>
        <v>#REF!</v>
      </c>
      <c r="P67" s="139" t="e">
        <f t="shared" si="10"/>
        <v>#REF!</v>
      </c>
      <c r="Q67" s="139" t="e">
        <f t="shared" si="11"/>
        <v>#REF!</v>
      </c>
      <c r="R67" s="170"/>
      <c r="S67" s="170"/>
      <c r="T67" s="142"/>
      <c r="U67" s="142"/>
      <c r="V67" s="142"/>
      <c r="W67" s="142"/>
      <c r="X67" s="142"/>
      <c r="Y67" s="142"/>
      <c r="Z67" s="142"/>
      <c r="AA67" s="142"/>
      <c r="AB67" s="142"/>
    </row>
    <row r="68" spans="1:28" x14ac:dyDescent="0.25">
      <c r="A68" s="134" t="e">
        <f>'Actual Dates'!#REF!</f>
        <v>#REF!</v>
      </c>
      <c r="B68" s="135" t="e">
        <f>'Date Calcs'!#REF!</f>
        <v>#REF!</v>
      </c>
      <c r="C68" s="136" t="e">
        <f>'Date Calcs'!#REF!</f>
        <v>#REF!</v>
      </c>
      <c r="D68" s="137" t="e">
        <f t="shared" si="9"/>
        <v>#REF!</v>
      </c>
      <c r="E68" s="143">
        <v>43703</v>
      </c>
      <c r="F68" s="137" t="e">
        <f>'Date Calcs'!#REF!</f>
        <v>#REF!</v>
      </c>
      <c r="G68" s="137" t="e">
        <f>IF(VLOOKUP(A68,'Actual Dates'!A4:AE195,8,),'Actual Dates'!#REF!,"")</f>
        <v>#REF!</v>
      </c>
      <c r="H68" s="137" t="e">
        <f t="shared" si="8"/>
        <v>#REF!</v>
      </c>
      <c r="I68" s="137" t="e">
        <f>IF(VLOOKUP(A68,'Actual Dates'!A4:AE190,25,),'Actual Dates'!#REF!,"")</f>
        <v>#REF!</v>
      </c>
      <c r="J68" s="137" t="e">
        <f t="shared" ref="J68:J99" si="12">WORKDAY(L68,4,)</f>
        <v>#REF!</v>
      </c>
      <c r="K68" s="137" t="e">
        <f>IF(VLOOKUP(A68,'Actual Dates'!A4:AE218,26,),'Actual Dates'!#REF!,"")</f>
        <v>#REF!</v>
      </c>
      <c r="L68" s="137" t="e">
        <f>IF(VLOOKUP(A68,'Actual Dates'!A4:AE218,21,),'Actual Dates'!#REF!,"")</f>
        <v>#REF!</v>
      </c>
      <c r="M68" s="137" t="e">
        <f>'Date Calcs'!#REF!</f>
        <v>#REF!</v>
      </c>
      <c r="N68" s="137" t="e">
        <f>IF(VLOOKUP(A68,'Actual Dates'!A4:AE218,27,),'Actual Dates'!#REF!,"")</f>
        <v>#REF!</v>
      </c>
      <c r="O68" s="138" t="e">
        <f t="shared" si="6"/>
        <v>#REF!</v>
      </c>
      <c r="P68" s="139" t="e">
        <f t="shared" si="10"/>
        <v>#REF!</v>
      </c>
      <c r="Q68" s="139" t="e">
        <f t="shared" si="11"/>
        <v>#REF!</v>
      </c>
      <c r="R68" s="170"/>
      <c r="S68" s="170"/>
      <c r="T68" s="142"/>
      <c r="U68" s="142"/>
      <c r="V68" s="142"/>
      <c r="W68" s="142"/>
      <c r="X68" s="142"/>
      <c r="Y68" s="142"/>
      <c r="Z68" s="142"/>
      <c r="AA68" s="142"/>
      <c r="AB68" s="142"/>
    </row>
    <row r="69" spans="1:28" x14ac:dyDescent="0.25">
      <c r="A69" s="134" t="e">
        <f>'Actual Dates'!#REF!</f>
        <v>#REF!</v>
      </c>
      <c r="B69" s="135" t="e">
        <f>'Date Calcs'!#REF!</f>
        <v>#REF!</v>
      </c>
      <c r="C69" s="136" t="e">
        <f>'Date Calcs'!#REF!</f>
        <v>#REF!</v>
      </c>
      <c r="D69" s="137" t="e">
        <f t="shared" si="9"/>
        <v>#REF!</v>
      </c>
      <c r="E69" s="143">
        <v>43700</v>
      </c>
      <c r="F69" s="137" t="e">
        <f>'Date Calcs'!#REF!</f>
        <v>#REF!</v>
      </c>
      <c r="G69" s="137" t="e">
        <f>IF(VLOOKUP(A69,'Actual Dates'!A4:AE196,8,),'Actual Dates'!#REF!,"")</f>
        <v>#REF!</v>
      </c>
      <c r="H69" s="137" t="e">
        <f t="shared" ref="H69:H100" si="13">WORKDAY(L69,3,)</f>
        <v>#REF!</v>
      </c>
      <c r="I69" s="137" t="e">
        <f>IF(VLOOKUP(A69,'Actual Dates'!A4:AE191,25,),'Actual Dates'!#REF!,"")</f>
        <v>#REF!</v>
      </c>
      <c r="J69" s="137" t="e">
        <f t="shared" si="12"/>
        <v>#REF!</v>
      </c>
      <c r="K69" s="137" t="e">
        <f>IF(VLOOKUP(A69,'Actual Dates'!A4:AE219,26,),'Actual Dates'!#REF!,"")</f>
        <v>#REF!</v>
      </c>
      <c r="L69" s="137" t="e">
        <f>IF(VLOOKUP(A69,'Actual Dates'!A4:AE219,21,),'Actual Dates'!#REF!,"")</f>
        <v>#REF!</v>
      </c>
      <c r="M69" s="137" t="e">
        <f>'Date Calcs'!#REF!</f>
        <v>#REF!</v>
      </c>
      <c r="N69" s="137" t="e">
        <f>IF(VLOOKUP(A69,'Actual Dates'!A4:AE219,27,),'Actual Dates'!#REF!,"")</f>
        <v>#REF!</v>
      </c>
      <c r="O69" s="138" t="e">
        <f t="shared" si="6"/>
        <v>#REF!</v>
      </c>
      <c r="P69" s="139" t="e">
        <f t="shared" si="10"/>
        <v>#REF!</v>
      </c>
      <c r="Q69" s="139" t="e">
        <f t="shared" si="11"/>
        <v>#REF!</v>
      </c>
      <c r="R69" s="170"/>
      <c r="S69" s="170"/>
      <c r="T69" s="142"/>
      <c r="U69" s="142"/>
      <c r="V69" s="142"/>
      <c r="W69" s="142"/>
      <c r="X69" s="142"/>
      <c r="Y69" s="142"/>
      <c r="Z69" s="142"/>
      <c r="AA69" s="142"/>
      <c r="AB69" s="142"/>
    </row>
    <row r="70" spans="1:28" x14ac:dyDescent="0.25">
      <c r="A70" s="134" t="e">
        <f>'Actual Dates'!#REF!</f>
        <v>#REF!</v>
      </c>
      <c r="B70" s="135" t="e">
        <f>'Date Calcs'!#REF!</f>
        <v>#REF!</v>
      </c>
      <c r="C70" s="136" t="e">
        <f>'Date Calcs'!#REF!</f>
        <v>#REF!</v>
      </c>
      <c r="D70" s="137" t="e">
        <f t="shared" ref="D70:D101" si="14">WORKDAY(F70,-1,)</f>
        <v>#REF!</v>
      </c>
      <c r="E70" s="143">
        <v>43706</v>
      </c>
      <c r="F70" s="137" t="e">
        <f>'Date Calcs'!#REF!</f>
        <v>#REF!</v>
      </c>
      <c r="G70" s="137" t="e">
        <f>IF(VLOOKUP(A70,'Actual Dates'!A4:AE197,8,),'Actual Dates'!#REF!,"")</f>
        <v>#REF!</v>
      </c>
      <c r="H70" s="137" t="e">
        <f t="shared" si="13"/>
        <v>#REF!</v>
      </c>
      <c r="I70" s="137" t="e">
        <f>IF(VLOOKUP(A70,'Actual Dates'!A4:AE192,25,),'Actual Dates'!#REF!,"")</f>
        <v>#REF!</v>
      </c>
      <c r="J70" s="137" t="e">
        <f t="shared" si="12"/>
        <v>#REF!</v>
      </c>
      <c r="K70" s="137" t="e">
        <f>IF(VLOOKUP(A70,'Actual Dates'!A4:AE220,26,),'Actual Dates'!#REF!,"")</f>
        <v>#REF!</v>
      </c>
      <c r="L70" s="137" t="e">
        <f>IF(VLOOKUP(A70,'Actual Dates'!A4:AE220,21,),'Actual Dates'!#REF!,"")</f>
        <v>#REF!</v>
      </c>
      <c r="M70" s="137" t="e">
        <f>'Date Calcs'!#REF!</f>
        <v>#REF!</v>
      </c>
      <c r="N70" s="137" t="e">
        <f>IF(VLOOKUP(A70,'Actual Dates'!A4:AE220,27,),'Actual Dates'!#REF!,"")</f>
        <v>#REF!</v>
      </c>
      <c r="O70" s="138" t="e">
        <f t="shared" si="6"/>
        <v>#REF!</v>
      </c>
      <c r="P70" s="139" t="e">
        <f t="shared" ref="P70:P101" si="15">F70-G70</f>
        <v>#REF!</v>
      </c>
      <c r="Q70" s="139" t="e">
        <f t="shared" ref="Q70:Q101" si="16">M70-N70</f>
        <v>#REF!</v>
      </c>
      <c r="R70" s="170"/>
      <c r="S70" s="170"/>
      <c r="T70" s="142"/>
      <c r="U70" s="142"/>
      <c r="V70" s="142"/>
      <c r="W70" s="142"/>
      <c r="X70" s="142"/>
      <c r="Y70" s="142"/>
      <c r="Z70" s="142"/>
      <c r="AA70" s="142"/>
      <c r="AB70" s="142"/>
    </row>
    <row r="71" spans="1:28" x14ac:dyDescent="0.25">
      <c r="A71" s="134" t="e">
        <f>'Actual Dates'!#REF!</f>
        <v>#REF!</v>
      </c>
      <c r="B71" s="135" t="e">
        <f>'Date Calcs'!#REF!</f>
        <v>#REF!</v>
      </c>
      <c r="C71" s="136" t="e">
        <f>'Date Calcs'!#REF!</f>
        <v>#REF!</v>
      </c>
      <c r="D71" s="137" t="e">
        <f t="shared" si="14"/>
        <v>#REF!</v>
      </c>
      <c r="E71" s="143">
        <v>43719</v>
      </c>
      <c r="F71" s="137" t="e">
        <f>'Date Calcs'!#REF!</f>
        <v>#REF!</v>
      </c>
      <c r="G71" s="137" t="e">
        <f>IF(VLOOKUP(A71,'Actual Dates'!A4:AE198,8,),'Actual Dates'!#REF!,"")</f>
        <v>#REF!</v>
      </c>
      <c r="H71" s="137" t="e">
        <f t="shared" si="13"/>
        <v>#REF!</v>
      </c>
      <c r="I71" s="137" t="e">
        <f>IF(VLOOKUP(A71,'Actual Dates'!A4:AE193,25,),'Actual Dates'!#REF!,"")</f>
        <v>#REF!</v>
      </c>
      <c r="J71" s="137" t="e">
        <f t="shared" si="12"/>
        <v>#REF!</v>
      </c>
      <c r="K71" s="137" t="e">
        <f>IF(VLOOKUP(A71,'Actual Dates'!A4:AE221,26,),'Actual Dates'!#REF!,"")</f>
        <v>#REF!</v>
      </c>
      <c r="L71" s="137" t="e">
        <f>IF(VLOOKUP(A71,'Actual Dates'!A4:AE221,21,),'Actual Dates'!#REF!,"")</f>
        <v>#REF!</v>
      </c>
      <c r="M71" s="137" t="e">
        <f>'Date Calcs'!#REF!</f>
        <v>#REF!</v>
      </c>
      <c r="N71" s="137" t="e">
        <f>IF(VLOOKUP(A71,'Actual Dates'!A4:AE221,27,),'Actual Dates'!#REF!,"")</f>
        <v>#REF!</v>
      </c>
      <c r="O71" s="138" t="e">
        <f t="shared" si="6"/>
        <v>#REF!</v>
      </c>
      <c r="P71" s="139" t="e">
        <f t="shared" si="15"/>
        <v>#REF!</v>
      </c>
      <c r="Q71" s="139" t="e">
        <f t="shared" si="16"/>
        <v>#REF!</v>
      </c>
      <c r="R71" s="170"/>
      <c r="S71" s="170"/>
      <c r="T71" s="142"/>
      <c r="U71" s="142"/>
      <c r="V71" s="142"/>
      <c r="W71" s="142"/>
      <c r="X71" s="142"/>
      <c r="Y71" s="142"/>
      <c r="Z71" s="142"/>
      <c r="AA71" s="142"/>
      <c r="AB71" s="142"/>
    </row>
    <row r="72" spans="1:28" x14ac:dyDescent="0.25">
      <c r="A72" s="134" t="e">
        <f>'Actual Dates'!#REF!</f>
        <v>#REF!</v>
      </c>
      <c r="B72" s="135" t="e">
        <f>'Date Calcs'!#REF!</f>
        <v>#REF!</v>
      </c>
      <c r="C72" s="136" t="e">
        <f>'Date Calcs'!#REF!</f>
        <v>#REF!</v>
      </c>
      <c r="D72" s="137" t="e">
        <f t="shared" si="14"/>
        <v>#REF!</v>
      </c>
      <c r="E72" s="143">
        <v>43725</v>
      </c>
      <c r="F72" s="137" t="e">
        <f>'Date Calcs'!#REF!</f>
        <v>#REF!</v>
      </c>
      <c r="G72" s="137" t="e">
        <f>IF(VLOOKUP(A72,'Actual Dates'!A4:AE199,8,),'Actual Dates'!#REF!,"")</f>
        <v>#REF!</v>
      </c>
      <c r="H72" s="137" t="e">
        <f t="shared" si="13"/>
        <v>#REF!</v>
      </c>
      <c r="I72" s="137" t="e">
        <f>IF(VLOOKUP(A72,'Actual Dates'!A4:AE194,25,),'Actual Dates'!#REF!,"")</f>
        <v>#REF!</v>
      </c>
      <c r="J72" s="137" t="e">
        <f t="shared" si="12"/>
        <v>#REF!</v>
      </c>
      <c r="K72" s="137" t="e">
        <f>IF(VLOOKUP(A72,'Actual Dates'!A4:AE222,26,),'Actual Dates'!#REF!,"")</f>
        <v>#REF!</v>
      </c>
      <c r="L72" s="137" t="e">
        <f>IF(VLOOKUP(A72,'Actual Dates'!A4:AE222,21,),'Actual Dates'!#REF!,"")</f>
        <v>#REF!</v>
      </c>
      <c r="M72" s="137" t="e">
        <f>'Date Calcs'!#REF!</f>
        <v>#REF!</v>
      </c>
      <c r="N72" s="137" t="e">
        <f>IF(VLOOKUP(A72,'Actual Dates'!A4:AE222,27,),'Actual Dates'!#REF!,"")</f>
        <v>#REF!</v>
      </c>
      <c r="O72" s="138" t="e">
        <f t="shared" si="6"/>
        <v>#REF!</v>
      </c>
      <c r="P72" s="139" t="e">
        <f t="shared" si="15"/>
        <v>#REF!</v>
      </c>
      <c r="Q72" s="139" t="e">
        <f t="shared" si="16"/>
        <v>#REF!</v>
      </c>
      <c r="R72" s="170"/>
      <c r="S72" s="170"/>
      <c r="T72" s="142"/>
      <c r="U72" s="142"/>
      <c r="V72" s="142"/>
      <c r="W72" s="142"/>
      <c r="X72" s="142"/>
      <c r="Y72" s="142"/>
      <c r="Z72" s="142"/>
      <c r="AA72" s="142"/>
      <c r="AB72" s="142"/>
    </row>
    <row r="73" spans="1:28" x14ac:dyDescent="0.25">
      <c r="A73" s="134" t="e">
        <f>'Actual Dates'!#REF!</f>
        <v>#REF!</v>
      </c>
      <c r="B73" s="135" t="e">
        <f>'Date Calcs'!#REF!</f>
        <v>#REF!</v>
      </c>
      <c r="C73" s="136" t="e">
        <f>'Date Calcs'!#REF!</f>
        <v>#REF!</v>
      </c>
      <c r="D73" s="137" t="e">
        <f t="shared" si="14"/>
        <v>#REF!</v>
      </c>
      <c r="E73" s="143">
        <v>43725</v>
      </c>
      <c r="F73" s="137" t="e">
        <f>'Date Calcs'!#REF!</f>
        <v>#REF!</v>
      </c>
      <c r="G73" s="137" t="e">
        <f>IF(VLOOKUP(A73,'Actual Dates'!A4:AE200,8,),'Actual Dates'!#REF!,"")</f>
        <v>#REF!</v>
      </c>
      <c r="H73" s="137" t="e">
        <f t="shared" si="13"/>
        <v>#REF!</v>
      </c>
      <c r="I73" s="137" t="e">
        <f>IF(VLOOKUP(A73,'Actual Dates'!A4:AE195,25,),'Actual Dates'!#REF!,"")</f>
        <v>#REF!</v>
      </c>
      <c r="J73" s="137" t="e">
        <f t="shared" si="12"/>
        <v>#REF!</v>
      </c>
      <c r="K73" s="137" t="e">
        <f>IF(VLOOKUP(A73,'Actual Dates'!A4:AE223,26,),'Actual Dates'!#REF!,"")</f>
        <v>#REF!</v>
      </c>
      <c r="L73" s="137" t="e">
        <f>IF(VLOOKUP(A73,'Actual Dates'!A4:AE223,21,),'Actual Dates'!#REF!,"")</f>
        <v>#REF!</v>
      </c>
      <c r="M73" s="137" t="e">
        <f>'Date Calcs'!#REF!</f>
        <v>#REF!</v>
      </c>
      <c r="N73" s="137" t="e">
        <f>IF(VLOOKUP(A73,'Actual Dates'!A4:AE223,27,),'Actual Dates'!#REF!,"")</f>
        <v>#REF!</v>
      </c>
      <c r="O73" s="138" t="e">
        <f t="shared" si="6"/>
        <v>#REF!</v>
      </c>
      <c r="P73" s="139" t="e">
        <f t="shared" si="15"/>
        <v>#REF!</v>
      </c>
      <c r="Q73" s="139" t="e">
        <f t="shared" si="16"/>
        <v>#REF!</v>
      </c>
      <c r="R73" s="170"/>
      <c r="S73" s="170"/>
      <c r="T73" s="142"/>
      <c r="U73" s="142"/>
      <c r="V73" s="142"/>
      <c r="W73" s="142"/>
      <c r="X73" s="142"/>
      <c r="Y73" s="142"/>
      <c r="Z73" s="142"/>
      <c r="AA73" s="142"/>
      <c r="AB73" s="142"/>
    </row>
    <row r="74" spans="1:28" x14ac:dyDescent="0.25">
      <c r="A74" s="134" t="e">
        <f>'Actual Dates'!#REF!</f>
        <v>#REF!</v>
      </c>
      <c r="B74" s="135" t="e">
        <f>'Date Calcs'!#REF!</f>
        <v>#REF!</v>
      </c>
      <c r="C74" s="136" t="e">
        <f>'Date Calcs'!#REF!</f>
        <v>#REF!</v>
      </c>
      <c r="D74" s="137" t="e">
        <f t="shared" si="14"/>
        <v>#REF!</v>
      </c>
      <c r="E74" s="143" t="s">
        <v>377</v>
      </c>
      <c r="F74" s="137" t="e">
        <f>'Date Calcs'!#REF!</f>
        <v>#REF!</v>
      </c>
      <c r="G74" s="137" t="s">
        <v>377</v>
      </c>
      <c r="H74" s="137" t="e">
        <f t="shared" si="13"/>
        <v>#REF!</v>
      </c>
      <c r="I74" s="137" t="e">
        <f>IF(VLOOKUP(A74,'Actual Dates'!A4:AE196,25,),'Actual Dates'!#REF!,"")</f>
        <v>#REF!</v>
      </c>
      <c r="J74" s="137" t="e">
        <f t="shared" si="12"/>
        <v>#REF!</v>
      </c>
      <c r="K74" s="137" t="e">
        <f>IF(VLOOKUP(A74,'Actual Dates'!A4:AE224,26,),'Actual Dates'!#REF!,"")</f>
        <v>#REF!</v>
      </c>
      <c r="L74" s="137" t="e">
        <f>IF(VLOOKUP(A74,'Actual Dates'!A4:AE224,21,),'Actual Dates'!#REF!,"")</f>
        <v>#REF!</v>
      </c>
      <c r="M74" s="137" t="e">
        <f>'Date Calcs'!#REF!</f>
        <v>#REF!</v>
      </c>
      <c r="N74" s="137" t="e">
        <f>IF(VLOOKUP(A74,'Actual Dates'!A4:AE224,27,),'Actual Dates'!#REF!,"")</f>
        <v>#REF!</v>
      </c>
      <c r="O74" s="138" t="e">
        <f t="shared" si="6"/>
        <v>#REF!</v>
      </c>
      <c r="P74" s="139" t="e">
        <f t="shared" si="15"/>
        <v>#REF!</v>
      </c>
      <c r="Q74" s="139" t="e">
        <f t="shared" si="16"/>
        <v>#REF!</v>
      </c>
      <c r="R74" s="170"/>
      <c r="S74" s="170"/>
      <c r="T74" s="142"/>
      <c r="U74" s="142"/>
      <c r="V74" s="142"/>
      <c r="W74" s="142"/>
      <c r="X74" s="142"/>
      <c r="Y74" s="142"/>
      <c r="Z74" s="142"/>
      <c r="AA74" s="142"/>
      <c r="AB74" s="142"/>
    </row>
    <row r="75" spans="1:28" x14ac:dyDescent="0.25">
      <c r="A75" s="134" t="e">
        <f>'Actual Dates'!#REF!</f>
        <v>#REF!</v>
      </c>
      <c r="B75" s="135" t="e">
        <f>'Date Calcs'!#REF!</f>
        <v>#REF!</v>
      </c>
      <c r="C75" s="136" t="e">
        <f>'Date Calcs'!#REF!</f>
        <v>#REF!</v>
      </c>
      <c r="D75" s="137" t="e">
        <f t="shared" si="14"/>
        <v>#REF!</v>
      </c>
      <c r="E75" s="143">
        <v>43735</v>
      </c>
      <c r="F75" s="137" t="e">
        <f>'Date Calcs'!#REF!</f>
        <v>#REF!</v>
      </c>
      <c r="G75" s="137" t="e">
        <f>IF(VLOOKUP(A75,'Actual Dates'!A4:AE202,8,),'Actual Dates'!#REF!,"")</f>
        <v>#REF!</v>
      </c>
      <c r="H75" s="137" t="e">
        <f t="shared" si="13"/>
        <v>#REF!</v>
      </c>
      <c r="I75" s="137" t="e">
        <f>IF(VLOOKUP(A75,'Actual Dates'!A4:AE197,25,),'Actual Dates'!#REF!,"")</f>
        <v>#REF!</v>
      </c>
      <c r="J75" s="137" t="e">
        <f t="shared" si="12"/>
        <v>#REF!</v>
      </c>
      <c r="K75" s="137" t="e">
        <f>IF(VLOOKUP(A75,'Actual Dates'!A4:AE225,26,),'Actual Dates'!#REF!,"")</f>
        <v>#REF!</v>
      </c>
      <c r="L75" s="137" t="e">
        <f>IF(VLOOKUP(A75,'Actual Dates'!A4:AE225,21,),'Actual Dates'!#REF!,"")</f>
        <v>#REF!</v>
      </c>
      <c r="M75" s="137" t="e">
        <f>'Date Calcs'!#REF!</f>
        <v>#REF!</v>
      </c>
      <c r="N75" s="137" t="e">
        <f>IF(VLOOKUP(A75,'Actual Dates'!A4:AE225,27,),'Actual Dates'!#REF!,"")</f>
        <v>#REF!</v>
      </c>
      <c r="O75" s="138" t="e">
        <f t="shared" ref="O75:O138" si="17">N75-C75</f>
        <v>#REF!</v>
      </c>
      <c r="P75" s="139" t="e">
        <f t="shared" si="15"/>
        <v>#REF!</v>
      </c>
      <c r="Q75" s="139" t="e">
        <f t="shared" si="16"/>
        <v>#REF!</v>
      </c>
      <c r="R75" s="175" t="s">
        <v>408</v>
      </c>
      <c r="S75" s="175"/>
      <c r="T75" s="144"/>
      <c r="U75" s="144"/>
      <c r="V75" s="144"/>
      <c r="W75" s="144"/>
      <c r="X75" s="144"/>
      <c r="Y75" s="144"/>
      <c r="Z75" s="144"/>
      <c r="AA75" s="144"/>
      <c r="AB75" s="144"/>
    </row>
    <row r="76" spans="1:28" x14ac:dyDescent="0.25">
      <c r="A76" s="134" t="e">
        <f>'Actual Dates'!#REF!</f>
        <v>#REF!</v>
      </c>
      <c r="B76" s="135" t="e">
        <f>'Date Calcs'!#REF!</f>
        <v>#REF!</v>
      </c>
      <c r="C76" s="136" t="e">
        <f>'Date Calcs'!#REF!</f>
        <v>#REF!</v>
      </c>
      <c r="D76" s="137" t="e">
        <f t="shared" si="14"/>
        <v>#REF!</v>
      </c>
      <c r="E76" s="143">
        <v>43717</v>
      </c>
      <c r="F76" s="137" t="e">
        <f>'Date Calcs'!#REF!</f>
        <v>#REF!</v>
      </c>
      <c r="G76" s="137" t="e">
        <f>IF(VLOOKUP(A76,'Actual Dates'!A4:AE203,8,),'Actual Dates'!#REF!,"")</f>
        <v>#REF!</v>
      </c>
      <c r="H76" s="137" t="e">
        <f t="shared" si="13"/>
        <v>#REF!</v>
      </c>
      <c r="I76" s="137" t="e">
        <f>IF(VLOOKUP(A76,'Actual Dates'!A4:AE198,25,),'Actual Dates'!#REF!,"")</f>
        <v>#REF!</v>
      </c>
      <c r="J76" s="137" t="e">
        <f t="shared" si="12"/>
        <v>#REF!</v>
      </c>
      <c r="K76" s="137" t="e">
        <f>IF(VLOOKUP(A76,'Actual Dates'!A4:AE226,26,),'Actual Dates'!#REF!,"")</f>
        <v>#REF!</v>
      </c>
      <c r="L76" s="137" t="e">
        <f>IF(VLOOKUP(A76,'Actual Dates'!A4:AE226,21,),'Actual Dates'!#REF!,"")</f>
        <v>#REF!</v>
      </c>
      <c r="M76" s="137" t="e">
        <f>'Date Calcs'!#REF!</f>
        <v>#REF!</v>
      </c>
      <c r="N76" s="137" t="e">
        <f>IF(VLOOKUP(A76,'Actual Dates'!A4:AE226,27,),'Actual Dates'!#REF!,"")</f>
        <v>#REF!</v>
      </c>
      <c r="O76" s="138" t="e">
        <f t="shared" si="17"/>
        <v>#REF!</v>
      </c>
      <c r="P76" s="139" t="e">
        <f t="shared" si="15"/>
        <v>#REF!</v>
      </c>
      <c r="Q76" s="139" t="e">
        <f t="shared" si="16"/>
        <v>#REF!</v>
      </c>
      <c r="R76" s="170"/>
      <c r="S76" s="170"/>
      <c r="T76" s="142"/>
      <c r="U76" s="142"/>
      <c r="V76" s="142"/>
      <c r="W76" s="142"/>
      <c r="X76" s="142"/>
      <c r="Y76" s="142"/>
      <c r="Z76" s="142"/>
      <c r="AA76" s="142"/>
      <c r="AB76" s="142"/>
    </row>
    <row r="77" spans="1:28" x14ac:dyDescent="0.25">
      <c r="A77" s="134" t="e">
        <f>'Actual Dates'!#REF!</f>
        <v>#REF!</v>
      </c>
      <c r="B77" s="135" t="e">
        <f>'Date Calcs'!#REF!</f>
        <v>#REF!</v>
      </c>
      <c r="C77" s="136" t="e">
        <f>'Date Calcs'!#REF!</f>
        <v>#REF!</v>
      </c>
      <c r="D77" s="137" t="e">
        <f t="shared" si="14"/>
        <v>#REF!</v>
      </c>
      <c r="E77" s="143">
        <v>43718</v>
      </c>
      <c r="F77" s="137" t="e">
        <f>'Date Calcs'!#REF!</f>
        <v>#REF!</v>
      </c>
      <c r="G77" s="137" t="e">
        <f>IF(VLOOKUP(A77,'Actual Dates'!A4:AE204,8,),'Actual Dates'!#REF!,"")</f>
        <v>#REF!</v>
      </c>
      <c r="H77" s="137" t="e">
        <f t="shared" si="13"/>
        <v>#REF!</v>
      </c>
      <c r="I77" s="137" t="e">
        <f>IF(VLOOKUP(A77,'Actual Dates'!A4:AE199,25,),'Actual Dates'!#REF!,"")</f>
        <v>#REF!</v>
      </c>
      <c r="J77" s="137" t="e">
        <f t="shared" si="12"/>
        <v>#REF!</v>
      </c>
      <c r="K77" s="137" t="e">
        <f>IF(VLOOKUP(A77,'Actual Dates'!A4:AE227,26,),'Actual Dates'!#REF!,"")</f>
        <v>#REF!</v>
      </c>
      <c r="L77" s="137" t="e">
        <f>IF(VLOOKUP(A77,'Actual Dates'!A4:AE227,21,),'Actual Dates'!#REF!,"")</f>
        <v>#REF!</v>
      </c>
      <c r="M77" s="137" t="e">
        <f>'Date Calcs'!#REF!</f>
        <v>#REF!</v>
      </c>
      <c r="N77" s="137" t="e">
        <f>IF(VLOOKUP(A77,'Actual Dates'!A4:AE227,27,),'Actual Dates'!#REF!,"")</f>
        <v>#REF!</v>
      </c>
      <c r="O77" s="138" t="e">
        <f t="shared" si="17"/>
        <v>#REF!</v>
      </c>
      <c r="P77" s="139" t="e">
        <f t="shared" si="15"/>
        <v>#REF!</v>
      </c>
      <c r="Q77" s="139" t="e">
        <f t="shared" si="16"/>
        <v>#REF!</v>
      </c>
      <c r="R77" s="170"/>
      <c r="S77" s="170"/>
      <c r="T77" s="142"/>
      <c r="U77" s="142"/>
      <c r="V77" s="142"/>
      <c r="W77" s="142"/>
      <c r="X77" s="142"/>
      <c r="Y77" s="142"/>
      <c r="Z77" s="142"/>
      <c r="AA77" s="142"/>
      <c r="AB77" s="142"/>
    </row>
    <row r="78" spans="1:28" x14ac:dyDescent="0.25">
      <c r="A78" s="134" t="e">
        <f>'Actual Dates'!#REF!</f>
        <v>#REF!</v>
      </c>
      <c r="B78" s="135" t="e">
        <f>'Date Calcs'!#REF!</f>
        <v>#REF!</v>
      </c>
      <c r="C78" s="136" t="e">
        <f>'Date Calcs'!#REF!</f>
        <v>#REF!</v>
      </c>
      <c r="D78" s="137" t="e">
        <f t="shared" si="14"/>
        <v>#REF!</v>
      </c>
      <c r="E78" s="143">
        <v>43726</v>
      </c>
      <c r="F78" s="137" t="e">
        <f>'Date Calcs'!#REF!</f>
        <v>#REF!</v>
      </c>
      <c r="G78" s="137" t="e">
        <f>IF(VLOOKUP(A78,'Actual Dates'!A4:AE205,8,),'Actual Dates'!#REF!,"")</f>
        <v>#REF!</v>
      </c>
      <c r="H78" s="137" t="e">
        <f t="shared" si="13"/>
        <v>#REF!</v>
      </c>
      <c r="I78" s="137" t="e">
        <f>IF(VLOOKUP(A78,'Actual Dates'!A4:AE200,25,),'Actual Dates'!#REF!,"")</f>
        <v>#REF!</v>
      </c>
      <c r="J78" s="137" t="e">
        <f t="shared" si="12"/>
        <v>#REF!</v>
      </c>
      <c r="K78" s="137" t="e">
        <f>IF(VLOOKUP(A78,'Actual Dates'!A4:AE228,26,),'Actual Dates'!#REF!,"")</f>
        <v>#REF!</v>
      </c>
      <c r="L78" s="137" t="e">
        <f>IF(VLOOKUP(A78,'Actual Dates'!A4:AE228,21,),'Actual Dates'!#REF!,"")</f>
        <v>#REF!</v>
      </c>
      <c r="M78" s="137" t="e">
        <f>'Date Calcs'!#REF!</f>
        <v>#REF!</v>
      </c>
      <c r="N78" s="137" t="e">
        <f>IF(VLOOKUP(A78,'Actual Dates'!A4:AE228,27,),'Actual Dates'!#REF!,"")</f>
        <v>#REF!</v>
      </c>
      <c r="O78" s="138" t="e">
        <f t="shared" si="17"/>
        <v>#REF!</v>
      </c>
      <c r="P78" s="139" t="e">
        <f t="shared" si="15"/>
        <v>#REF!</v>
      </c>
      <c r="Q78" s="139" t="e">
        <f t="shared" si="16"/>
        <v>#REF!</v>
      </c>
      <c r="R78" s="170"/>
      <c r="S78" s="170"/>
      <c r="T78" s="142"/>
      <c r="U78" s="142"/>
      <c r="V78" s="142"/>
      <c r="W78" s="142"/>
      <c r="X78" s="142"/>
      <c r="Y78" s="142"/>
      <c r="Z78" s="142"/>
      <c r="AA78" s="142"/>
      <c r="AB78" s="142"/>
    </row>
    <row r="79" spans="1:28" x14ac:dyDescent="0.25">
      <c r="A79" s="134" t="e">
        <f>'Actual Dates'!#REF!</f>
        <v>#REF!</v>
      </c>
      <c r="B79" s="135" t="e">
        <f>'Date Calcs'!#REF!</f>
        <v>#REF!</v>
      </c>
      <c r="C79" s="136" t="e">
        <f>'Date Calcs'!#REF!</f>
        <v>#REF!</v>
      </c>
      <c r="D79" s="137" t="e">
        <f t="shared" si="14"/>
        <v>#REF!</v>
      </c>
      <c r="E79" s="143">
        <v>43726</v>
      </c>
      <c r="F79" s="137" t="e">
        <f>'Date Calcs'!#REF!</f>
        <v>#REF!</v>
      </c>
      <c r="G79" s="137" t="e">
        <f>IF(VLOOKUP(A79,'Actual Dates'!A4:AE206,8,),'Actual Dates'!#REF!,"")</f>
        <v>#REF!</v>
      </c>
      <c r="H79" s="137" t="e">
        <f t="shared" si="13"/>
        <v>#REF!</v>
      </c>
      <c r="I79" s="137" t="e">
        <f>IF(VLOOKUP(A79,'Actual Dates'!A4:AE201,25,),'Actual Dates'!#REF!,"")</f>
        <v>#REF!</v>
      </c>
      <c r="J79" s="137" t="e">
        <f t="shared" si="12"/>
        <v>#REF!</v>
      </c>
      <c r="K79" s="137" t="e">
        <f>IF(VLOOKUP(A79,'Actual Dates'!A4:AE229,26,),'Actual Dates'!#REF!,"")</f>
        <v>#REF!</v>
      </c>
      <c r="L79" s="137" t="e">
        <f>IF(VLOOKUP(A79,'Actual Dates'!A4:AE229,21,),'Actual Dates'!#REF!,"")</f>
        <v>#REF!</v>
      </c>
      <c r="M79" s="137" t="e">
        <f>'Date Calcs'!#REF!</f>
        <v>#REF!</v>
      </c>
      <c r="N79" s="137" t="e">
        <f>IF(VLOOKUP(A79,'Actual Dates'!A4:AE229,27,),'Actual Dates'!#REF!,"")</f>
        <v>#REF!</v>
      </c>
      <c r="O79" s="138" t="e">
        <f t="shared" si="17"/>
        <v>#REF!</v>
      </c>
      <c r="P79" s="139" t="e">
        <f t="shared" si="15"/>
        <v>#REF!</v>
      </c>
      <c r="Q79" s="139" t="e">
        <f t="shared" si="16"/>
        <v>#REF!</v>
      </c>
      <c r="R79" s="170"/>
      <c r="S79" s="170"/>
      <c r="T79" s="142"/>
      <c r="U79" s="142"/>
      <c r="V79" s="142"/>
      <c r="W79" s="142"/>
      <c r="X79" s="142"/>
      <c r="Y79" s="142"/>
      <c r="Z79" s="142"/>
      <c r="AA79" s="142"/>
      <c r="AB79" s="142"/>
    </row>
    <row r="80" spans="1:28" x14ac:dyDescent="0.25">
      <c r="A80" s="134" t="e">
        <f>'Actual Dates'!#REF!</f>
        <v>#REF!</v>
      </c>
      <c r="B80" s="135" t="e">
        <f>'Date Calcs'!#REF!</f>
        <v>#REF!</v>
      </c>
      <c r="C80" s="136" t="e">
        <f>'Date Calcs'!#REF!</f>
        <v>#REF!</v>
      </c>
      <c r="D80" s="137" t="e">
        <f t="shared" si="14"/>
        <v>#REF!</v>
      </c>
      <c r="E80" s="143">
        <v>43727</v>
      </c>
      <c r="F80" s="137" t="e">
        <f>'Date Calcs'!#REF!</f>
        <v>#REF!</v>
      </c>
      <c r="G80" s="137" t="e">
        <f>IF(VLOOKUP(A80,'Actual Dates'!A4:AE207,8,),'Actual Dates'!#REF!,"")</f>
        <v>#REF!</v>
      </c>
      <c r="H80" s="137" t="e">
        <f t="shared" si="13"/>
        <v>#REF!</v>
      </c>
      <c r="I80" s="137" t="e">
        <f>IF(VLOOKUP(A80,'Actual Dates'!A4:AE202,25,),'Actual Dates'!#REF!,"")</f>
        <v>#REF!</v>
      </c>
      <c r="J80" s="137" t="e">
        <f t="shared" si="12"/>
        <v>#REF!</v>
      </c>
      <c r="K80" s="137" t="e">
        <f>IF(VLOOKUP(A80,'Actual Dates'!A4:AE230,26,),'Actual Dates'!#REF!,"")</f>
        <v>#REF!</v>
      </c>
      <c r="L80" s="137" t="e">
        <f>IF(VLOOKUP(A80,'Actual Dates'!A4:AE230,21,),'Actual Dates'!#REF!,"")</f>
        <v>#REF!</v>
      </c>
      <c r="M80" s="137" t="e">
        <f>'Date Calcs'!#REF!</f>
        <v>#REF!</v>
      </c>
      <c r="N80" s="137" t="e">
        <f>IF(VLOOKUP(A80,'Actual Dates'!A4:AE230,27,),'Actual Dates'!#REF!,"")</f>
        <v>#REF!</v>
      </c>
      <c r="O80" s="138" t="e">
        <f t="shared" si="17"/>
        <v>#REF!</v>
      </c>
      <c r="P80" s="139" t="e">
        <f t="shared" si="15"/>
        <v>#REF!</v>
      </c>
      <c r="Q80" s="139" t="e">
        <f t="shared" si="16"/>
        <v>#REF!</v>
      </c>
      <c r="R80" s="170"/>
      <c r="S80" s="170"/>
      <c r="T80" s="142"/>
      <c r="U80" s="142"/>
      <c r="V80" s="142"/>
      <c r="W80" s="142"/>
      <c r="X80" s="142"/>
      <c r="Y80" s="142"/>
      <c r="Z80" s="142"/>
      <c r="AA80" s="142"/>
      <c r="AB80" s="142"/>
    </row>
    <row r="81" spans="1:28" x14ac:dyDescent="0.25">
      <c r="A81" s="134" t="e">
        <f>'Actual Dates'!#REF!</f>
        <v>#REF!</v>
      </c>
      <c r="B81" s="135" t="e">
        <f>'Date Calcs'!#REF!</f>
        <v>#REF!</v>
      </c>
      <c r="C81" s="136" t="e">
        <f>'Date Calcs'!#REF!</f>
        <v>#REF!</v>
      </c>
      <c r="D81" s="137" t="e">
        <f t="shared" si="14"/>
        <v>#REF!</v>
      </c>
      <c r="E81" s="143" t="s">
        <v>377</v>
      </c>
      <c r="F81" s="137" t="e">
        <f>'Date Calcs'!#REF!</f>
        <v>#REF!</v>
      </c>
      <c r="G81" s="137" t="s">
        <v>377</v>
      </c>
      <c r="H81" s="137" t="e">
        <f t="shared" si="13"/>
        <v>#REF!</v>
      </c>
      <c r="I81" s="137" t="e">
        <f>IF(VLOOKUP(A81,'Actual Dates'!A4:AE203,25,),'Actual Dates'!#REF!,"")</f>
        <v>#REF!</v>
      </c>
      <c r="J81" s="137" t="e">
        <f t="shared" si="12"/>
        <v>#REF!</v>
      </c>
      <c r="K81" s="137" t="e">
        <f>IF(VLOOKUP(A81,'Actual Dates'!A4:AE231,26,),'Actual Dates'!#REF!,"")</f>
        <v>#REF!</v>
      </c>
      <c r="L81" s="137" t="e">
        <f>IF(VLOOKUP(A81,'Actual Dates'!A4:AE231,21,),'Actual Dates'!#REF!,"")</f>
        <v>#REF!</v>
      </c>
      <c r="M81" s="137" t="e">
        <f>'Date Calcs'!#REF!</f>
        <v>#REF!</v>
      </c>
      <c r="N81" s="137" t="e">
        <f>IF(VLOOKUP(A81,'Actual Dates'!A4:AE231,27,),'Actual Dates'!#REF!,"")</f>
        <v>#REF!</v>
      </c>
      <c r="O81" s="138" t="e">
        <f t="shared" si="17"/>
        <v>#REF!</v>
      </c>
      <c r="P81" s="139" t="e">
        <f t="shared" si="15"/>
        <v>#REF!</v>
      </c>
      <c r="Q81" s="139" t="e">
        <f t="shared" si="16"/>
        <v>#REF!</v>
      </c>
      <c r="R81" s="170"/>
      <c r="S81" s="170"/>
      <c r="T81" s="142"/>
      <c r="U81" s="142"/>
      <c r="V81" s="142"/>
      <c r="W81" s="142"/>
      <c r="X81" s="142"/>
      <c r="Y81" s="142"/>
      <c r="Z81" s="142"/>
      <c r="AA81" s="142"/>
      <c r="AB81" s="142"/>
    </row>
    <row r="82" spans="1:28" x14ac:dyDescent="0.25">
      <c r="A82" s="134" t="e">
        <f>'Actual Dates'!#REF!</f>
        <v>#REF!</v>
      </c>
      <c r="B82" s="135" t="e">
        <f>'Date Calcs'!#REF!</f>
        <v>#REF!</v>
      </c>
      <c r="C82" s="136" t="e">
        <f>'Date Calcs'!#REF!</f>
        <v>#REF!</v>
      </c>
      <c r="D82" s="137" t="e">
        <f t="shared" si="14"/>
        <v>#REF!</v>
      </c>
      <c r="E82" s="143">
        <v>43741</v>
      </c>
      <c r="F82" s="137" t="e">
        <f>'Date Calcs'!#REF!</f>
        <v>#REF!</v>
      </c>
      <c r="G82" s="137" t="e">
        <f>IF(VLOOKUP(A82,'Actual Dates'!A4:AE209,8,),'Actual Dates'!#REF!,"")</f>
        <v>#REF!</v>
      </c>
      <c r="H82" s="137" t="e">
        <f t="shared" si="13"/>
        <v>#REF!</v>
      </c>
      <c r="I82" s="137" t="e">
        <f>IF(VLOOKUP(A82,'Actual Dates'!A4:AE204,25,),'Actual Dates'!#REF!,"")</f>
        <v>#REF!</v>
      </c>
      <c r="J82" s="137" t="e">
        <f t="shared" si="12"/>
        <v>#REF!</v>
      </c>
      <c r="K82" s="137" t="e">
        <f>IF(VLOOKUP(A82,'Actual Dates'!A4:AE232,26,),'Actual Dates'!#REF!,"")</f>
        <v>#REF!</v>
      </c>
      <c r="L82" s="137" t="e">
        <f>IF(VLOOKUP(A82,'Actual Dates'!A4:AE232,21,),'Actual Dates'!#REF!,"")</f>
        <v>#REF!</v>
      </c>
      <c r="M82" s="137" t="e">
        <f>'Date Calcs'!#REF!</f>
        <v>#REF!</v>
      </c>
      <c r="N82" s="137" t="e">
        <f>IF(VLOOKUP(A82,'Actual Dates'!A4:AE232,27,),'Actual Dates'!#REF!,"")</f>
        <v>#REF!</v>
      </c>
      <c r="O82" s="138" t="e">
        <f t="shared" si="17"/>
        <v>#REF!</v>
      </c>
      <c r="P82" s="139" t="e">
        <f t="shared" si="15"/>
        <v>#REF!</v>
      </c>
      <c r="Q82" s="139" t="e">
        <f t="shared" si="16"/>
        <v>#REF!</v>
      </c>
      <c r="R82" s="170"/>
      <c r="S82" s="170"/>
      <c r="T82" s="142"/>
      <c r="U82" s="142"/>
      <c r="V82" s="142"/>
      <c r="W82" s="142"/>
      <c r="X82" s="142"/>
      <c r="Y82" s="142"/>
      <c r="Z82" s="142"/>
      <c r="AA82" s="142"/>
      <c r="AB82" s="142"/>
    </row>
    <row r="83" spans="1:28" x14ac:dyDescent="0.25">
      <c r="A83" s="134" t="e">
        <f>'Actual Dates'!#REF!</f>
        <v>#REF!</v>
      </c>
      <c r="B83" s="135" t="e">
        <f>'Date Calcs'!#REF!</f>
        <v>#REF!</v>
      </c>
      <c r="C83" s="136" t="e">
        <f>'Date Calcs'!#REF!</f>
        <v>#REF!</v>
      </c>
      <c r="D83" s="137" t="e">
        <f t="shared" si="14"/>
        <v>#REF!</v>
      </c>
      <c r="E83" s="143">
        <v>43741</v>
      </c>
      <c r="F83" s="137" t="e">
        <f>'Date Calcs'!#REF!</f>
        <v>#REF!</v>
      </c>
      <c r="G83" s="137" t="e">
        <f>IF(VLOOKUP(A83,'Actual Dates'!A4:AE210,8,),'Actual Dates'!#REF!,"")</f>
        <v>#REF!</v>
      </c>
      <c r="H83" s="137" t="e">
        <f t="shared" si="13"/>
        <v>#REF!</v>
      </c>
      <c r="I83" s="137" t="e">
        <f>IF(VLOOKUP(A83,'Actual Dates'!A4:AE205,25,),'Actual Dates'!#REF!,"")</f>
        <v>#REF!</v>
      </c>
      <c r="J83" s="137" t="e">
        <f t="shared" si="12"/>
        <v>#REF!</v>
      </c>
      <c r="K83" s="137" t="e">
        <f>IF(VLOOKUP(A83,'Actual Dates'!A4:AE233,26,),'Actual Dates'!#REF!,"")</f>
        <v>#REF!</v>
      </c>
      <c r="L83" s="137" t="e">
        <f>IF(VLOOKUP(A83,'Actual Dates'!A4:AE233,21,),'Actual Dates'!#REF!,"")</f>
        <v>#REF!</v>
      </c>
      <c r="M83" s="137" t="e">
        <f>'Date Calcs'!#REF!</f>
        <v>#REF!</v>
      </c>
      <c r="N83" s="137" t="e">
        <f>IF(VLOOKUP(A83,'Actual Dates'!A4:AE233,27,),'Actual Dates'!#REF!,"")</f>
        <v>#REF!</v>
      </c>
      <c r="O83" s="138" t="e">
        <f t="shared" si="17"/>
        <v>#REF!</v>
      </c>
      <c r="P83" s="139" t="e">
        <f t="shared" si="15"/>
        <v>#REF!</v>
      </c>
      <c r="Q83" s="139" t="e">
        <f t="shared" si="16"/>
        <v>#REF!</v>
      </c>
      <c r="R83" s="170"/>
      <c r="S83" s="170"/>
      <c r="T83" s="142"/>
      <c r="U83" s="142"/>
      <c r="V83" s="142"/>
      <c r="W83" s="142"/>
      <c r="X83" s="142"/>
      <c r="Y83" s="142"/>
      <c r="Z83" s="142"/>
      <c r="AA83" s="142"/>
      <c r="AB83" s="142"/>
    </row>
    <row r="84" spans="1:28" x14ac:dyDescent="0.25">
      <c r="A84" s="134" t="e">
        <f>'Actual Dates'!#REF!</f>
        <v>#REF!</v>
      </c>
      <c r="B84" s="135" t="e">
        <f>'Date Calcs'!#REF!</f>
        <v>#REF!</v>
      </c>
      <c r="C84" s="136" t="e">
        <f>'Date Calcs'!#REF!</f>
        <v>#REF!</v>
      </c>
      <c r="D84" s="137" t="e">
        <f t="shared" si="14"/>
        <v>#REF!</v>
      </c>
      <c r="E84" s="143">
        <v>43741</v>
      </c>
      <c r="F84" s="137" t="e">
        <f>'Date Calcs'!#REF!</f>
        <v>#REF!</v>
      </c>
      <c r="G84" s="137" t="e">
        <f>IF(VLOOKUP(A84,'Actual Dates'!A4:AE211,8,),'Actual Dates'!#REF!,"")</f>
        <v>#REF!</v>
      </c>
      <c r="H84" s="137" t="e">
        <f t="shared" si="13"/>
        <v>#REF!</v>
      </c>
      <c r="I84" s="137" t="e">
        <f>IF(VLOOKUP(A84,'Actual Dates'!A4:AE206,25,),'Actual Dates'!#REF!,"")</f>
        <v>#REF!</v>
      </c>
      <c r="J84" s="137" t="e">
        <f t="shared" si="12"/>
        <v>#REF!</v>
      </c>
      <c r="K84" s="137" t="e">
        <f>IF(VLOOKUP(A84,'Actual Dates'!A4:AE234,26,),'Actual Dates'!#REF!,"")</f>
        <v>#REF!</v>
      </c>
      <c r="L84" s="137" t="e">
        <f>IF(VLOOKUP(A84,'Actual Dates'!A4:AE234,21,),'Actual Dates'!#REF!,"")</f>
        <v>#REF!</v>
      </c>
      <c r="M84" s="137" t="e">
        <f>'Date Calcs'!#REF!</f>
        <v>#REF!</v>
      </c>
      <c r="N84" s="137" t="e">
        <f>IF(VLOOKUP(A84,'Actual Dates'!A4:AE234,27,),'Actual Dates'!#REF!,"")</f>
        <v>#REF!</v>
      </c>
      <c r="O84" s="138" t="e">
        <f t="shared" si="17"/>
        <v>#REF!</v>
      </c>
      <c r="P84" s="139" t="e">
        <f t="shared" si="15"/>
        <v>#REF!</v>
      </c>
      <c r="Q84" s="139" t="e">
        <f t="shared" si="16"/>
        <v>#REF!</v>
      </c>
      <c r="R84" s="170"/>
      <c r="S84" s="170"/>
      <c r="T84" s="142"/>
      <c r="U84" s="142"/>
      <c r="V84" s="142"/>
      <c r="W84" s="142"/>
      <c r="X84" s="142"/>
      <c r="Y84" s="142"/>
      <c r="Z84" s="142"/>
      <c r="AA84" s="142"/>
      <c r="AB84" s="142"/>
    </row>
    <row r="85" spans="1:28" x14ac:dyDescent="0.25">
      <c r="A85" s="134" t="e">
        <f>'Actual Dates'!#REF!</f>
        <v>#REF!</v>
      </c>
      <c r="B85" s="135" t="e">
        <f>'Date Calcs'!#REF!</f>
        <v>#REF!</v>
      </c>
      <c r="C85" s="136" t="e">
        <f>'Date Calcs'!#REF!</f>
        <v>#REF!</v>
      </c>
      <c r="D85" s="137" t="e">
        <f t="shared" si="14"/>
        <v>#REF!</v>
      </c>
      <c r="E85" s="143">
        <v>43747</v>
      </c>
      <c r="F85" s="137" t="e">
        <f>'Date Calcs'!#REF!</f>
        <v>#REF!</v>
      </c>
      <c r="G85" s="137" t="e">
        <f>IF(VLOOKUP(A85,'Actual Dates'!A4:AE212,8,),'Actual Dates'!#REF!,"")</f>
        <v>#REF!</v>
      </c>
      <c r="H85" s="137" t="e">
        <f t="shared" si="13"/>
        <v>#REF!</v>
      </c>
      <c r="I85" s="137" t="e">
        <f>IF(VLOOKUP(A85,'Actual Dates'!A4:AE207,25,),'Actual Dates'!#REF!,"")</f>
        <v>#REF!</v>
      </c>
      <c r="J85" s="137" t="e">
        <f t="shared" si="12"/>
        <v>#REF!</v>
      </c>
      <c r="K85" s="137" t="e">
        <f>IF(VLOOKUP(A85,'Actual Dates'!A4:AE235,26,),'Actual Dates'!#REF!,"")</f>
        <v>#REF!</v>
      </c>
      <c r="L85" s="137" t="e">
        <f>IF(VLOOKUP(A85,'Actual Dates'!A4:AE235,21,),'Actual Dates'!#REF!,"")</f>
        <v>#REF!</v>
      </c>
      <c r="M85" s="137" t="e">
        <f>'Date Calcs'!#REF!</f>
        <v>#REF!</v>
      </c>
      <c r="N85" s="137" t="e">
        <f>IF(VLOOKUP(A85,'Actual Dates'!A4:AE235,27,),'Actual Dates'!#REF!,"")</f>
        <v>#REF!</v>
      </c>
      <c r="O85" s="138" t="e">
        <f t="shared" si="17"/>
        <v>#REF!</v>
      </c>
      <c r="P85" s="139" t="e">
        <f t="shared" si="15"/>
        <v>#REF!</v>
      </c>
      <c r="Q85" s="139" t="e">
        <f t="shared" si="16"/>
        <v>#REF!</v>
      </c>
      <c r="R85" s="170"/>
      <c r="S85" s="170"/>
      <c r="T85" s="142"/>
      <c r="U85" s="142"/>
      <c r="V85" s="142"/>
      <c r="W85" s="142"/>
      <c r="X85" s="142"/>
      <c r="Y85" s="142"/>
      <c r="Z85" s="142"/>
      <c r="AA85" s="142"/>
      <c r="AB85" s="142"/>
    </row>
    <row r="86" spans="1:28" x14ac:dyDescent="0.25">
      <c r="A86" s="134" t="e">
        <f>'Actual Dates'!#REF!</f>
        <v>#REF!</v>
      </c>
      <c r="B86" s="135" t="e">
        <f>'Date Calcs'!#REF!</f>
        <v>#REF!</v>
      </c>
      <c r="C86" s="136" t="e">
        <f>'Date Calcs'!#REF!</f>
        <v>#REF!</v>
      </c>
      <c r="D86" s="137" t="e">
        <f t="shared" si="14"/>
        <v>#REF!</v>
      </c>
      <c r="E86" s="143">
        <v>43747</v>
      </c>
      <c r="F86" s="137" t="e">
        <f>'Date Calcs'!#REF!</f>
        <v>#REF!</v>
      </c>
      <c r="G86" s="137" t="e">
        <f>IF(VLOOKUP(A86,'Actual Dates'!A4:AE213,8,),'Actual Dates'!#REF!,"")</f>
        <v>#REF!</v>
      </c>
      <c r="H86" s="137" t="e">
        <f t="shared" si="13"/>
        <v>#REF!</v>
      </c>
      <c r="I86" s="137" t="e">
        <f>IF(VLOOKUP(A86,'Actual Dates'!A4:AE208,25,),'Actual Dates'!#REF!,"")</f>
        <v>#REF!</v>
      </c>
      <c r="J86" s="137" t="e">
        <f t="shared" si="12"/>
        <v>#REF!</v>
      </c>
      <c r="K86" s="137" t="e">
        <f>IF(VLOOKUP(A86,'Actual Dates'!A4:AE236,26,),'Actual Dates'!#REF!,"")</f>
        <v>#REF!</v>
      </c>
      <c r="L86" s="137" t="e">
        <f>IF(VLOOKUP(A86,'Actual Dates'!A4:AE236,21,),'Actual Dates'!#REF!,"")</f>
        <v>#REF!</v>
      </c>
      <c r="M86" s="137" t="e">
        <f>'Date Calcs'!#REF!</f>
        <v>#REF!</v>
      </c>
      <c r="N86" s="137" t="e">
        <f>IF(VLOOKUP(A86,'Actual Dates'!A4:AE236,27,),'Actual Dates'!#REF!,"")</f>
        <v>#REF!</v>
      </c>
      <c r="O86" s="138" t="e">
        <f t="shared" si="17"/>
        <v>#REF!</v>
      </c>
      <c r="P86" s="139" t="e">
        <f t="shared" si="15"/>
        <v>#REF!</v>
      </c>
      <c r="Q86" s="139" t="e">
        <f t="shared" si="16"/>
        <v>#REF!</v>
      </c>
      <c r="R86" s="170"/>
      <c r="S86" s="170"/>
      <c r="T86" s="142"/>
      <c r="U86" s="142"/>
      <c r="V86" s="142"/>
      <c r="W86" s="142"/>
      <c r="X86" s="142"/>
      <c r="Y86" s="142"/>
      <c r="Z86" s="142"/>
      <c r="AA86" s="142"/>
      <c r="AB86" s="142"/>
    </row>
    <row r="87" spans="1:28" x14ac:dyDescent="0.25">
      <c r="A87" s="134" t="e">
        <f>'Actual Dates'!#REF!</f>
        <v>#REF!</v>
      </c>
      <c r="B87" s="135" t="e">
        <f>'Date Calcs'!#REF!</f>
        <v>#REF!</v>
      </c>
      <c r="C87" s="136" t="e">
        <f>'Date Calcs'!#REF!</f>
        <v>#REF!</v>
      </c>
      <c r="D87" s="137" t="e">
        <f t="shared" si="14"/>
        <v>#REF!</v>
      </c>
      <c r="E87" s="143">
        <v>43747</v>
      </c>
      <c r="F87" s="137" t="e">
        <f>'Date Calcs'!#REF!</f>
        <v>#REF!</v>
      </c>
      <c r="G87" s="137" t="e">
        <f>IF(VLOOKUP(A87,'Actual Dates'!A4:AE214,8,),'Actual Dates'!#REF!,"")</f>
        <v>#REF!</v>
      </c>
      <c r="H87" s="137" t="e">
        <f t="shared" si="13"/>
        <v>#REF!</v>
      </c>
      <c r="I87" s="137" t="e">
        <f>IF(VLOOKUP(A87,'Actual Dates'!A4:AE209,25,),'Actual Dates'!#REF!,"")</f>
        <v>#REF!</v>
      </c>
      <c r="J87" s="137" t="e">
        <f t="shared" si="12"/>
        <v>#REF!</v>
      </c>
      <c r="K87" s="137" t="e">
        <f>IF(VLOOKUP(A87,'Actual Dates'!A4:AE237,26,),'Actual Dates'!#REF!,"")</f>
        <v>#REF!</v>
      </c>
      <c r="L87" s="137" t="e">
        <f>IF(VLOOKUP(A87,'Actual Dates'!A4:AE237,21,),'Actual Dates'!#REF!,"")</f>
        <v>#REF!</v>
      </c>
      <c r="M87" s="137" t="e">
        <f>'Date Calcs'!#REF!</f>
        <v>#REF!</v>
      </c>
      <c r="N87" s="137" t="e">
        <f>IF(VLOOKUP(A87,'Actual Dates'!A4:AE237,27,),'Actual Dates'!#REF!,"")</f>
        <v>#REF!</v>
      </c>
      <c r="O87" s="138" t="e">
        <f t="shared" si="17"/>
        <v>#REF!</v>
      </c>
      <c r="P87" s="139" t="e">
        <f t="shared" si="15"/>
        <v>#REF!</v>
      </c>
      <c r="Q87" s="139" t="e">
        <f t="shared" si="16"/>
        <v>#REF!</v>
      </c>
      <c r="R87" s="170"/>
      <c r="S87" s="170"/>
      <c r="T87" s="142"/>
      <c r="U87" s="142"/>
      <c r="V87" s="142"/>
      <c r="W87" s="142"/>
      <c r="X87" s="142"/>
      <c r="Y87" s="142"/>
      <c r="Z87" s="142"/>
      <c r="AA87" s="142"/>
      <c r="AB87" s="142"/>
    </row>
    <row r="88" spans="1:28" x14ac:dyDescent="0.25">
      <c r="A88" s="134" t="e">
        <f>'Actual Dates'!#REF!</f>
        <v>#REF!</v>
      </c>
      <c r="B88" s="135" t="e">
        <f>'Date Calcs'!#REF!</f>
        <v>#REF!</v>
      </c>
      <c r="C88" s="136" t="e">
        <f>'Date Calcs'!#REF!</f>
        <v>#REF!</v>
      </c>
      <c r="D88" s="137" t="e">
        <f t="shared" si="14"/>
        <v>#REF!</v>
      </c>
      <c r="E88" s="143">
        <v>43752</v>
      </c>
      <c r="F88" s="137" t="e">
        <f>'Date Calcs'!#REF!</f>
        <v>#REF!</v>
      </c>
      <c r="G88" s="137" t="e">
        <f>IF(VLOOKUP(A88,'Actual Dates'!A4:AE215,8,),'Actual Dates'!#REF!,"")</f>
        <v>#REF!</v>
      </c>
      <c r="H88" s="137" t="e">
        <f t="shared" si="13"/>
        <v>#REF!</v>
      </c>
      <c r="I88" s="137" t="e">
        <f>IF(VLOOKUP(A88,'Actual Dates'!A4:AE210,25,),'Actual Dates'!#REF!,"")</f>
        <v>#REF!</v>
      </c>
      <c r="J88" s="137" t="e">
        <f t="shared" si="12"/>
        <v>#REF!</v>
      </c>
      <c r="K88" s="137" t="e">
        <f>IF(VLOOKUP(A88,'Actual Dates'!A4:AE238,26,),'Actual Dates'!#REF!,"")</f>
        <v>#REF!</v>
      </c>
      <c r="L88" s="137" t="e">
        <f>IF(VLOOKUP(A88,'Actual Dates'!A4:AE238,21,),'Actual Dates'!#REF!,"")</f>
        <v>#REF!</v>
      </c>
      <c r="M88" s="137" t="e">
        <f>'Date Calcs'!#REF!</f>
        <v>#REF!</v>
      </c>
      <c r="N88" s="137" t="e">
        <f>IF(VLOOKUP(A88,'Actual Dates'!A4:AE238,27,),'Actual Dates'!#REF!,"")</f>
        <v>#REF!</v>
      </c>
      <c r="O88" s="138" t="e">
        <f t="shared" si="17"/>
        <v>#REF!</v>
      </c>
      <c r="P88" s="139" t="e">
        <f t="shared" si="15"/>
        <v>#REF!</v>
      </c>
      <c r="Q88" s="139" t="e">
        <f t="shared" si="16"/>
        <v>#REF!</v>
      </c>
      <c r="R88" s="170"/>
      <c r="S88" s="170"/>
      <c r="T88" s="142"/>
      <c r="U88" s="142"/>
      <c r="V88" s="142"/>
      <c r="W88" s="142"/>
      <c r="X88" s="142"/>
      <c r="Y88" s="142"/>
      <c r="Z88" s="142"/>
      <c r="AA88" s="142"/>
      <c r="AB88" s="142"/>
    </row>
    <row r="89" spans="1:28" x14ac:dyDescent="0.25">
      <c r="A89" s="134" t="e">
        <f>'Actual Dates'!#REF!</f>
        <v>#REF!</v>
      </c>
      <c r="B89" s="135" t="e">
        <f>'Date Calcs'!#REF!</f>
        <v>#REF!</v>
      </c>
      <c r="C89" s="136" t="e">
        <f>'Date Calcs'!#REF!</f>
        <v>#REF!</v>
      </c>
      <c r="D89" s="137" t="e">
        <f t="shared" si="14"/>
        <v>#REF!</v>
      </c>
      <c r="E89" s="143">
        <v>43752</v>
      </c>
      <c r="F89" s="137" t="e">
        <f>'Date Calcs'!#REF!</f>
        <v>#REF!</v>
      </c>
      <c r="G89" s="137" t="e">
        <f>IF(VLOOKUP(A89,'Actual Dates'!A4:AE216,8,),'Actual Dates'!#REF!,"")</f>
        <v>#REF!</v>
      </c>
      <c r="H89" s="137" t="e">
        <f t="shared" si="13"/>
        <v>#REF!</v>
      </c>
      <c r="I89" s="137" t="e">
        <f>IF(VLOOKUP(A89,'Actual Dates'!A4:AE211,25,),'Actual Dates'!#REF!,"")</f>
        <v>#REF!</v>
      </c>
      <c r="J89" s="137" t="e">
        <f t="shared" si="12"/>
        <v>#REF!</v>
      </c>
      <c r="K89" s="137" t="e">
        <f>IF(VLOOKUP(A89,'Actual Dates'!A4:AE239,26,),'Actual Dates'!#REF!,"")</f>
        <v>#REF!</v>
      </c>
      <c r="L89" s="137" t="e">
        <f>IF(VLOOKUP(A89,'Actual Dates'!A4:AE239,21,),'Actual Dates'!#REF!,"")</f>
        <v>#REF!</v>
      </c>
      <c r="M89" s="137" t="e">
        <f>'Date Calcs'!#REF!</f>
        <v>#REF!</v>
      </c>
      <c r="N89" s="137" t="e">
        <f>IF(VLOOKUP(A89,'Actual Dates'!A4:AE239,27,),'Actual Dates'!#REF!,"")</f>
        <v>#REF!</v>
      </c>
      <c r="O89" s="138" t="e">
        <f t="shared" si="17"/>
        <v>#REF!</v>
      </c>
      <c r="P89" s="139" t="e">
        <f t="shared" si="15"/>
        <v>#REF!</v>
      </c>
      <c r="Q89" s="139" t="e">
        <f t="shared" si="16"/>
        <v>#REF!</v>
      </c>
      <c r="R89" s="170"/>
      <c r="S89" s="170"/>
      <c r="T89" s="142"/>
      <c r="U89" s="142"/>
      <c r="V89" s="142"/>
      <c r="W89" s="142"/>
      <c r="X89" s="142"/>
      <c r="Y89" s="142"/>
      <c r="Z89" s="142"/>
      <c r="AA89" s="142"/>
      <c r="AB89" s="142"/>
    </row>
    <row r="90" spans="1:28" x14ac:dyDescent="0.25">
      <c r="A90" s="134" t="e">
        <f>'Actual Dates'!#REF!</f>
        <v>#REF!</v>
      </c>
      <c r="B90" s="135" t="e">
        <f>'Date Calcs'!#REF!</f>
        <v>#REF!</v>
      </c>
      <c r="C90" s="136" t="e">
        <f>'Date Calcs'!#REF!</f>
        <v>#REF!</v>
      </c>
      <c r="D90" s="137" t="e">
        <f t="shared" si="14"/>
        <v>#REF!</v>
      </c>
      <c r="E90" s="143">
        <v>43752</v>
      </c>
      <c r="F90" s="137" t="e">
        <f>'Date Calcs'!#REF!</f>
        <v>#REF!</v>
      </c>
      <c r="G90" s="137" t="e">
        <f>IF(VLOOKUP(A90,'Actual Dates'!A4:AE217,8,),'Actual Dates'!#REF!,"")</f>
        <v>#REF!</v>
      </c>
      <c r="H90" s="137" t="e">
        <f t="shared" si="13"/>
        <v>#REF!</v>
      </c>
      <c r="I90" s="137" t="e">
        <f>IF(VLOOKUP(A90,'Actual Dates'!A4:AE212,25,),'Actual Dates'!#REF!,"")</f>
        <v>#REF!</v>
      </c>
      <c r="J90" s="137" t="e">
        <f t="shared" si="12"/>
        <v>#REF!</v>
      </c>
      <c r="K90" s="137" t="e">
        <f>IF(VLOOKUP(A90,'Actual Dates'!A4:AE240,26,),'Actual Dates'!#REF!,"")</f>
        <v>#REF!</v>
      </c>
      <c r="L90" s="137" t="e">
        <f>IF(VLOOKUP(A90,'Actual Dates'!A4:AE240,21,),'Actual Dates'!#REF!,"")</f>
        <v>#REF!</v>
      </c>
      <c r="M90" s="137" t="e">
        <f>'Date Calcs'!#REF!</f>
        <v>#REF!</v>
      </c>
      <c r="N90" s="137" t="e">
        <f>IF(VLOOKUP(A90,'Actual Dates'!A4:AE240,27,),'Actual Dates'!#REF!,"")</f>
        <v>#REF!</v>
      </c>
      <c r="O90" s="138" t="e">
        <f t="shared" si="17"/>
        <v>#REF!</v>
      </c>
      <c r="P90" s="139" t="e">
        <f t="shared" si="15"/>
        <v>#REF!</v>
      </c>
      <c r="Q90" s="139" t="e">
        <f t="shared" si="16"/>
        <v>#REF!</v>
      </c>
      <c r="R90" s="170"/>
      <c r="S90" s="170"/>
      <c r="T90" s="142"/>
      <c r="U90" s="142"/>
      <c r="V90" s="142"/>
      <c r="W90" s="142"/>
      <c r="X90" s="142"/>
      <c r="Y90" s="142"/>
      <c r="Z90" s="142"/>
      <c r="AA90" s="142"/>
      <c r="AB90" s="142"/>
    </row>
    <row r="91" spans="1:28" x14ac:dyDescent="0.25">
      <c r="A91" s="134" t="e">
        <f>'Actual Dates'!#REF!</f>
        <v>#REF!</v>
      </c>
      <c r="B91" s="135" t="e">
        <f>'Date Calcs'!#REF!</f>
        <v>#REF!</v>
      </c>
      <c r="C91" s="136" t="e">
        <f>'Date Calcs'!#REF!</f>
        <v>#REF!</v>
      </c>
      <c r="D91" s="137" t="e">
        <f t="shared" si="14"/>
        <v>#REF!</v>
      </c>
      <c r="E91" s="143">
        <v>43761</v>
      </c>
      <c r="F91" s="137" t="e">
        <f>'Date Calcs'!#REF!</f>
        <v>#REF!</v>
      </c>
      <c r="G91" s="137" t="e">
        <f>IF(VLOOKUP(A91,'Actual Dates'!A4:AE218,8,),'Actual Dates'!#REF!,"")</f>
        <v>#REF!</v>
      </c>
      <c r="H91" s="137" t="e">
        <f t="shared" si="13"/>
        <v>#REF!</v>
      </c>
      <c r="I91" s="137" t="e">
        <f>IF(VLOOKUP(A91,'Actual Dates'!A4:AE213,25,),'Actual Dates'!#REF!,"")</f>
        <v>#REF!</v>
      </c>
      <c r="J91" s="137" t="e">
        <f t="shared" si="12"/>
        <v>#REF!</v>
      </c>
      <c r="K91" s="137" t="e">
        <f>IF(VLOOKUP(A91,'Actual Dates'!A4:AE241,26,),'Actual Dates'!#REF!,"")</f>
        <v>#REF!</v>
      </c>
      <c r="L91" s="137" t="e">
        <f>IF(VLOOKUP(A91,'Actual Dates'!A4:AE241,21,),'Actual Dates'!#REF!,"")</f>
        <v>#REF!</v>
      </c>
      <c r="M91" s="137" t="e">
        <f>'Date Calcs'!#REF!</f>
        <v>#REF!</v>
      </c>
      <c r="N91" s="137" t="e">
        <f>IF(VLOOKUP(A91,'Actual Dates'!A4:AE241,27,),'Actual Dates'!#REF!,"")</f>
        <v>#REF!</v>
      </c>
      <c r="O91" s="138" t="e">
        <f t="shared" si="17"/>
        <v>#REF!</v>
      </c>
      <c r="P91" s="139" t="e">
        <f t="shared" si="15"/>
        <v>#REF!</v>
      </c>
      <c r="Q91" s="139" t="e">
        <f t="shared" si="16"/>
        <v>#REF!</v>
      </c>
      <c r="R91" s="170"/>
      <c r="S91" s="170"/>
      <c r="T91" s="142"/>
      <c r="U91" s="142"/>
      <c r="V91" s="142"/>
      <c r="W91" s="142"/>
      <c r="X91" s="142"/>
      <c r="Y91" s="142"/>
      <c r="Z91" s="142"/>
      <c r="AA91" s="142"/>
      <c r="AB91" s="142"/>
    </row>
    <row r="92" spans="1:28" x14ac:dyDescent="0.25">
      <c r="A92" s="134" t="e">
        <f>'Actual Dates'!#REF!</f>
        <v>#REF!</v>
      </c>
      <c r="B92" s="135" t="e">
        <f>'Date Calcs'!#REF!</f>
        <v>#REF!</v>
      </c>
      <c r="C92" s="136" t="e">
        <f>'Date Calcs'!#REF!</f>
        <v>#REF!</v>
      </c>
      <c r="D92" s="137" t="e">
        <f t="shared" si="14"/>
        <v>#REF!</v>
      </c>
      <c r="E92" s="143">
        <v>43761</v>
      </c>
      <c r="F92" s="137" t="e">
        <f>'Date Calcs'!#REF!</f>
        <v>#REF!</v>
      </c>
      <c r="G92" s="137" t="e">
        <f>IF(VLOOKUP(A92,'Actual Dates'!A4:AE219,8,),'Actual Dates'!#REF!,"")</f>
        <v>#REF!</v>
      </c>
      <c r="H92" s="137" t="e">
        <f t="shared" si="13"/>
        <v>#REF!</v>
      </c>
      <c r="I92" s="137" t="e">
        <f>IF(VLOOKUP(A92,'Actual Dates'!A4:AE214,25,),'Actual Dates'!#REF!,"")</f>
        <v>#REF!</v>
      </c>
      <c r="J92" s="137" t="e">
        <f t="shared" si="12"/>
        <v>#REF!</v>
      </c>
      <c r="K92" s="137" t="e">
        <f>IF(VLOOKUP(A92,'Actual Dates'!A4:AE242,26,),'Actual Dates'!#REF!,"")</f>
        <v>#REF!</v>
      </c>
      <c r="L92" s="137" t="e">
        <f>IF(VLOOKUP(A92,'Actual Dates'!A4:AE242,21,),'Actual Dates'!#REF!,"")</f>
        <v>#REF!</v>
      </c>
      <c r="M92" s="137" t="e">
        <f>'Date Calcs'!#REF!</f>
        <v>#REF!</v>
      </c>
      <c r="N92" s="137" t="e">
        <f>IF(VLOOKUP(A92,'Actual Dates'!A4:AE242,27,),'Actual Dates'!#REF!,"")</f>
        <v>#REF!</v>
      </c>
      <c r="O92" s="138" t="e">
        <f t="shared" si="17"/>
        <v>#REF!</v>
      </c>
      <c r="P92" s="139" t="e">
        <f t="shared" si="15"/>
        <v>#REF!</v>
      </c>
      <c r="Q92" s="139" t="e">
        <f t="shared" si="16"/>
        <v>#REF!</v>
      </c>
      <c r="R92" s="170"/>
      <c r="S92" s="170"/>
      <c r="T92" s="142"/>
      <c r="U92" s="142"/>
      <c r="V92" s="142"/>
      <c r="W92" s="142"/>
      <c r="X92" s="142"/>
      <c r="Y92" s="142"/>
      <c r="Z92" s="142"/>
      <c r="AA92" s="142"/>
      <c r="AB92" s="142"/>
    </row>
    <row r="93" spans="1:28" x14ac:dyDescent="0.25">
      <c r="A93" s="134" t="e">
        <f>'Actual Dates'!#REF!</f>
        <v>#REF!</v>
      </c>
      <c r="B93" s="135" t="e">
        <f>'Date Calcs'!#REF!</f>
        <v>#REF!</v>
      </c>
      <c r="C93" s="136" t="e">
        <f>'Date Calcs'!#REF!</f>
        <v>#REF!</v>
      </c>
      <c r="D93" s="137" t="e">
        <f t="shared" si="14"/>
        <v>#REF!</v>
      </c>
      <c r="E93" s="143">
        <v>43761</v>
      </c>
      <c r="F93" s="137" t="e">
        <f>'Date Calcs'!#REF!</f>
        <v>#REF!</v>
      </c>
      <c r="G93" s="137" t="e">
        <f>IF(VLOOKUP(A93,'Actual Dates'!A4:AE220,8,),'Actual Dates'!#REF!,"")</f>
        <v>#REF!</v>
      </c>
      <c r="H93" s="137" t="e">
        <f t="shared" si="13"/>
        <v>#REF!</v>
      </c>
      <c r="I93" s="137" t="e">
        <f>IF(VLOOKUP(A93,'Actual Dates'!A4:AE215,25,),'Actual Dates'!#REF!,"")</f>
        <v>#REF!</v>
      </c>
      <c r="J93" s="137" t="e">
        <f t="shared" si="12"/>
        <v>#REF!</v>
      </c>
      <c r="K93" s="137" t="e">
        <f>IF(VLOOKUP(A93,'Actual Dates'!A4:AE243,26,),'Actual Dates'!#REF!,"")</f>
        <v>#REF!</v>
      </c>
      <c r="L93" s="137" t="e">
        <f>IF(VLOOKUP(A93,'Actual Dates'!A4:AE243,21,),'Actual Dates'!#REF!,"")</f>
        <v>#REF!</v>
      </c>
      <c r="M93" s="137" t="e">
        <f>'Date Calcs'!#REF!</f>
        <v>#REF!</v>
      </c>
      <c r="N93" s="137" t="e">
        <f>IF(VLOOKUP(A93,'Actual Dates'!A4:AE243,27,),'Actual Dates'!#REF!,"")</f>
        <v>#REF!</v>
      </c>
      <c r="O93" s="138" t="e">
        <f t="shared" si="17"/>
        <v>#REF!</v>
      </c>
      <c r="P93" s="139" t="e">
        <f t="shared" si="15"/>
        <v>#REF!</v>
      </c>
      <c r="Q93" s="139" t="e">
        <f t="shared" si="16"/>
        <v>#REF!</v>
      </c>
      <c r="R93" s="170"/>
      <c r="S93" s="170"/>
      <c r="T93" s="142"/>
      <c r="U93" s="142"/>
      <c r="V93" s="142"/>
      <c r="W93" s="142"/>
      <c r="X93" s="142"/>
      <c r="Y93" s="142"/>
      <c r="Z93" s="142"/>
      <c r="AA93" s="142"/>
      <c r="AB93" s="142"/>
    </row>
    <row r="94" spans="1:28" x14ac:dyDescent="0.25">
      <c r="A94" s="134" t="e">
        <f>'Actual Dates'!#REF!</f>
        <v>#REF!</v>
      </c>
      <c r="B94" s="135" t="e">
        <f>'Date Calcs'!#REF!</f>
        <v>#REF!</v>
      </c>
      <c r="C94" s="136" t="e">
        <f>'Date Calcs'!#REF!</f>
        <v>#REF!</v>
      </c>
      <c r="D94" s="137" t="e">
        <f t="shared" si="14"/>
        <v>#REF!</v>
      </c>
      <c r="E94" s="143">
        <v>43769</v>
      </c>
      <c r="F94" s="137" t="e">
        <f>'Date Calcs'!#REF!</f>
        <v>#REF!</v>
      </c>
      <c r="G94" s="137" t="e">
        <f>IF(VLOOKUP(A94,'Actual Dates'!A4:AE221,8,),'Actual Dates'!#REF!,"")</f>
        <v>#REF!</v>
      </c>
      <c r="H94" s="137" t="e">
        <f t="shared" si="13"/>
        <v>#REF!</v>
      </c>
      <c r="I94" s="137" t="e">
        <f>IF(VLOOKUP(A94,'Actual Dates'!A4:AE216,25,),'Actual Dates'!#REF!,"")</f>
        <v>#REF!</v>
      </c>
      <c r="J94" s="137" t="e">
        <f t="shared" si="12"/>
        <v>#REF!</v>
      </c>
      <c r="K94" s="137" t="e">
        <f>IF(VLOOKUP(A94,'Actual Dates'!A4:AE244,26,),'Actual Dates'!#REF!,"")</f>
        <v>#REF!</v>
      </c>
      <c r="L94" s="137" t="e">
        <f>IF(VLOOKUP(A94,'Actual Dates'!A4:AE244,21,),'Actual Dates'!#REF!,"")</f>
        <v>#REF!</v>
      </c>
      <c r="M94" s="137" t="e">
        <f>'Date Calcs'!#REF!</f>
        <v>#REF!</v>
      </c>
      <c r="N94" s="137" t="e">
        <f>IF(VLOOKUP(A94,'Actual Dates'!A4:AE244,27,),'Actual Dates'!#REF!,"")</f>
        <v>#REF!</v>
      </c>
      <c r="O94" s="138" t="e">
        <f t="shared" si="17"/>
        <v>#REF!</v>
      </c>
      <c r="P94" s="139" t="e">
        <f t="shared" si="15"/>
        <v>#REF!</v>
      </c>
      <c r="Q94" s="139" t="e">
        <f t="shared" si="16"/>
        <v>#REF!</v>
      </c>
      <c r="R94" s="170"/>
      <c r="S94" s="170"/>
      <c r="T94" s="142"/>
      <c r="U94" s="142"/>
      <c r="V94" s="142"/>
      <c r="W94" s="142"/>
      <c r="X94" s="142"/>
      <c r="Y94" s="142"/>
      <c r="Z94" s="142"/>
      <c r="AA94" s="142"/>
      <c r="AB94" s="142"/>
    </row>
    <row r="95" spans="1:28" x14ac:dyDescent="0.25">
      <c r="A95" s="134" t="e">
        <f>'Actual Dates'!#REF!</f>
        <v>#REF!</v>
      </c>
      <c r="B95" s="135" t="e">
        <f>'Date Calcs'!#REF!</f>
        <v>#REF!</v>
      </c>
      <c r="C95" s="136" t="e">
        <f>'Date Calcs'!#REF!</f>
        <v>#REF!</v>
      </c>
      <c r="D95" s="137" t="e">
        <f t="shared" si="14"/>
        <v>#REF!</v>
      </c>
      <c r="E95" s="143">
        <v>43769</v>
      </c>
      <c r="F95" s="137" t="e">
        <f>'Date Calcs'!#REF!</f>
        <v>#REF!</v>
      </c>
      <c r="G95" s="137" t="e">
        <f>IF(VLOOKUP(A95,'Actual Dates'!A4:AE222,8,),'Actual Dates'!#REF!,"")</f>
        <v>#REF!</v>
      </c>
      <c r="H95" s="137" t="e">
        <f t="shared" si="13"/>
        <v>#REF!</v>
      </c>
      <c r="I95" s="137" t="e">
        <f>IF(VLOOKUP(A95,'Actual Dates'!A4:AE217,25,),'Actual Dates'!#REF!,"")</f>
        <v>#REF!</v>
      </c>
      <c r="J95" s="137" t="e">
        <f t="shared" si="12"/>
        <v>#REF!</v>
      </c>
      <c r="K95" s="137" t="e">
        <f>IF(VLOOKUP(A95,'Actual Dates'!A4:AE245,26,),'Actual Dates'!#REF!,"")</f>
        <v>#REF!</v>
      </c>
      <c r="L95" s="137" t="e">
        <f>IF(VLOOKUP(A95,'Actual Dates'!A4:AE245,21,),'Actual Dates'!#REF!,"")</f>
        <v>#REF!</v>
      </c>
      <c r="M95" s="137" t="e">
        <f>'Date Calcs'!#REF!</f>
        <v>#REF!</v>
      </c>
      <c r="N95" s="137" t="e">
        <f>IF(VLOOKUP(A95,'Actual Dates'!A4:AE245,27,),'Actual Dates'!#REF!,"")</f>
        <v>#REF!</v>
      </c>
      <c r="O95" s="138" t="e">
        <f t="shared" si="17"/>
        <v>#REF!</v>
      </c>
      <c r="P95" s="139" t="e">
        <f t="shared" si="15"/>
        <v>#REF!</v>
      </c>
      <c r="Q95" s="139" t="e">
        <f t="shared" si="16"/>
        <v>#REF!</v>
      </c>
      <c r="R95" s="170"/>
      <c r="S95" s="170"/>
      <c r="T95" s="142"/>
      <c r="U95" s="142"/>
      <c r="V95" s="142"/>
      <c r="W95" s="142"/>
      <c r="X95" s="142"/>
      <c r="Y95" s="142"/>
      <c r="Z95" s="142"/>
      <c r="AA95" s="142"/>
      <c r="AB95" s="142"/>
    </row>
    <row r="96" spans="1:28" x14ac:dyDescent="0.25">
      <c r="A96" s="134" t="e">
        <f>'Actual Dates'!#REF!</f>
        <v>#REF!</v>
      </c>
      <c r="B96" s="135" t="e">
        <f>'Date Calcs'!#REF!</f>
        <v>#REF!</v>
      </c>
      <c r="C96" s="136" t="e">
        <f>'Date Calcs'!#REF!</f>
        <v>#REF!</v>
      </c>
      <c r="D96" s="137" t="e">
        <f t="shared" si="14"/>
        <v>#REF!</v>
      </c>
      <c r="E96" s="143">
        <v>43769</v>
      </c>
      <c r="F96" s="137" t="e">
        <f>'Date Calcs'!#REF!</f>
        <v>#REF!</v>
      </c>
      <c r="G96" s="137" t="e">
        <f>IF(VLOOKUP(A96,'Actual Dates'!A4:AE223,8,),'Actual Dates'!#REF!,"")</f>
        <v>#REF!</v>
      </c>
      <c r="H96" s="137" t="e">
        <f t="shared" si="13"/>
        <v>#REF!</v>
      </c>
      <c r="I96" s="137" t="e">
        <f>IF(VLOOKUP(A96,'Actual Dates'!A4:AE218,25,),'Actual Dates'!#REF!,"")</f>
        <v>#REF!</v>
      </c>
      <c r="J96" s="137" t="e">
        <f t="shared" si="12"/>
        <v>#REF!</v>
      </c>
      <c r="K96" s="137" t="e">
        <f>IF(VLOOKUP(A96,'Actual Dates'!A4:AE246,26,),'Actual Dates'!#REF!,"")</f>
        <v>#REF!</v>
      </c>
      <c r="L96" s="137" t="e">
        <f>IF(VLOOKUP(A96,'Actual Dates'!A4:AE246,21,),'Actual Dates'!#REF!,"")</f>
        <v>#REF!</v>
      </c>
      <c r="M96" s="137" t="e">
        <f>'Date Calcs'!#REF!</f>
        <v>#REF!</v>
      </c>
      <c r="N96" s="137" t="e">
        <f>IF(VLOOKUP(A96,'Actual Dates'!A4:AE246,27,),'Actual Dates'!#REF!,"")</f>
        <v>#REF!</v>
      </c>
      <c r="O96" s="138" t="e">
        <f t="shared" si="17"/>
        <v>#REF!</v>
      </c>
      <c r="P96" s="139" t="e">
        <f t="shared" si="15"/>
        <v>#REF!</v>
      </c>
      <c r="Q96" s="139" t="e">
        <f t="shared" si="16"/>
        <v>#REF!</v>
      </c>
      <c r="R96" s="170"/>
      <c r="S96" s="170"/>
      <c r="T96" s="142"/>
      <c r="U96" s="142"/>
      <c r="V96" s="142"/>
      <c r="W96" s="142"/>
      <c r="X96" s="142"/>
      <c r="Y96" s="142"/>
      <c r="Z96" s="142"/>
      <c r="AA96" s="142"/>
      <c r="AB96" s="142"/>
    </row>
    <row r="97" spans="1:28" x14ac:dyDescent="0.25">
      <c r="A97" s="134" t="e">
        <f>'Actual Dates'!#REF!</f>
        <v>#REF!</v>
      </c>
      <c r="B97" s="135" t="e">
        <f>'Date Calcs'!#REF!</f>
        <v>#REF!</v>
      </c>
      <c r="C97" s="136" t="e">
        <f>'Date Calcs'!#REF!</f>
        <v>#REF!</v>
      </c>
      <c r="D97" s="137" t="e">
        <f t="shared" si="14"/>
        <v>#REF!</v>
      </c>
      <c r="E97" s="143">
        <v>43775</v>
      </c>
      <c r="F97" s="137" t="e">
        <f>'Date Calcs'!#REF!</f>
        <v>#REF!</v>
      </c>
      <c r="G97" s="137" t="e">
        <f>IF(VLOOKUP(A97,'Actual Dates'!A4:AE224,8,),'Actual Dates'!#REF!,"")</f>
        <v>#REF!</v>
      </c>
      <c r="H97" s="137" t="e">
        <f t="shared" si="13"/>
        <v>#REF!</v>
      </c>
      <c r="I97" s="137" t="e">
        <f>IF(VLOOKUP(A97,'Actual Dates'!A4:AE219,25,),'Actual Dates'!#REF!,"")</f>
        <v>#REF!</v>
      </c>
      <c r="J97" s="137" t="e">
        <f t="shared" si="12"/>
        <v>#REF!</v>
      </c>
      <c r="K97" s="137" t="e">
        <f>IF(VLOOKUP(A97,'Actual Dates'!A4:AE247,26,),'Actual Dates'!#REF!,"")</f>
        <v>#REF!</v>
      </c>
      <c r="L97" s="137" t="e">
        <f>IF(VLOOKUP(A97,'Actual Dates'!A4:AE247,21,),'Actual Dates'!#REF!,"")</f>
        <v>#REF!</v>
      </c>
      <c r="M97" s="137" t="e">
        <f>'Date Calcs'!#REF!</f>
        <v>#REF!</v>
      </c>
      <c r="N97" s="137" t="e">
        <f>IF(VLOOKUP(A97,'Actual Dates'!A4:AE247,27,),'Actual Dates'!#REF!,"")</f>
        <v>#REF!</v>
      </c>
      <c r="O97" s="138" t="e">
        <f t="shared" si="17"/>
        <v>#REF!</v>
      </c>
      <c r="P97" s="139" t="e">
        <f t="shared" si="15"/>
        <v>#REF!</v>
      </c>
      <c r="Q97" s="139" t="e">
        <f t="shared" si="16"/>
        <v>#REF!</v>
      </c>
      <c r="R97" s="170"/>
      <c r="S97" s="170"/>
      <c r="T97" s="142"/>
      <c r="U97" s="142"/>
      <c r="V97" s="142"/>
      <c r="W97" s="142"/>
      <c r="X97" s="142"/>
      <c r="Y97" s="142"/>
      <c r="Z97" s="142"/>
      <c r="AA97" s="142"/>
      <c r="AB97" s="142"/>
    </row>
    <row r="98" spans="1:28" x14ac:dyDescent="0.25">
      <c r="A98" s="134" t="e">
        <f>'Actual Dates'!#REF!</f>
        <v>#REF!</v>
      </c>
      <c r="B98" s="135" t="e">
        <f>'Date Calcs'!#REF!</f>
        <v>#REF!</v>
      </c>
      <c r="C98" s="136" t="e">
        <f>'Date Calcs'!#REF!</f>
        <v>#REF!</v>
      </c>
      <c r="D98" s="137" t="e">
        <f t="shared" si="14"/>
        <v>#REF!</v>
      </c>
      <c r="E98" s="143">
        <v>43775</v>
      </c>
      <c r="F98" s="137" t="e">
        <f>'Date Calcs'!#REF!</f>
        <v>#REF!</v>
      </c>
      <c r="G98" s="137" t="e">
        <f>IF(VLOOKUP(A98,'Actual Dates'!A4:AE225,8,),'Actual Dates'!#REF!,"")</f>
        <v>#REF!</v>
      </c>
      <c r="H98" s="137" t="e">
        <f t="shared" si="13"/>
        <v>#REF!</v>
      </c>
      <c r="I98" s="137" t="e">
        <f>IF(VLOOKUP(A98,'Actual Dates'!A4:AE220,25,),'Actual Dates'!#REF!,"")</f>
        <v>#REF!</v>
      </c>
      <c r="J98" s="137" t="e">
        <f t="shared" si="12"/>
        <v>#REF!</v>
      </c>
      <c r="K98" s="137" t="e">
        <f>IF(VLOOKUP(A98,'Actual Dates'!A4:AE248,26,),'Actual Dates'!#REF!,"")</f>
        <v>#REF!</v>
      </c>
      <c r="L98" s="137" t="e">
        <f>IF(VLOOKUP(A98,'Actual Dates'!A4:AE248,21,),'Actual Dates'!#REF!,"")</f>
        <v>#REF!</v>
      </c>
      <c r="M98" s="137" t="e">
        <f>'Date Calcs'!#REF!</f>
        <v>#REF!</v>
      </c>
      <c r="N98" s="137" t="e">
        <f>IF(VLOOKUP(A98,'Actual Dates'!A4:AE248,27,),'Actual Dates'!#REF!,"")</f>
        <v>#REF!</v>
      </c>
      <c r="O98" s="138" t="e">
        <f t="shared" si="17"/>
        <v>#REF!</v>
      </c>
      <c r="P98" s="139" t="e">
        <f t="shared" si="15"/>
        <v>#REF!</v>
      </c>
      <c r="Q98" s="139" t="e">
        <f t="shared" si="16"/>
        <v>#REF!</v>
      </c>
      <c r="R98" s="170"/>
      <c r="S98" s="170"/>
      <c r="T98" s="142"/>
      <c r="U98" s="142"/>
      <c r="V98" s="142"/>
      <c r="W98" s="142"/>
      <c r="X98" s="142"/>
      <c r="Y98" s="142"/>
      <c r="Z98" s="142"/>
      <c r="AA98" s="142"/>
      <c r="AB98" s="142"/>
    </row>
    <row r="99" spans="1:28" x14ac:dyDescent="0.25">
      <c r="A99" s="134" t="e">
        <f>'Actual Dates'!#REF!</f>
        <v>#REF!</v>
      </c>
      <c r="B99" s="135" t="e">
        <f>'Date Calcs'!#REF!</f>
        <v>#REF!</v>
      </c>
      <c r="C99" s="136" t="e">
        <f>'Date Calcs'!#REF!</f>
        <v>#REF!</v>
      </c>
      <c r="D99" s="137" t="e">
        <f t="shared" si="14"/>
        <v>#REF!</v>
      </c>
      <c r="E99" s="143">
        <v>43775</v>
      </c>
      <c r="F99" s="137" t="e">
        <f>'Date Calcs'!#REF!</f>
        <v>#REF!</v>
      </c>
      <c r="G99" s="137" t="e">
        <f>IF(VLOOKUP(A99,'Actual Dates'!A4:AE226,8,),'Actual Dates'!#REF!,"")</f>
        <v>#REF!</v>
      </c>
      <c r="H99" s="137" t="e">
        <f t="shared" si="13"/>
        <v>#REF!</v>
      </c>
      <c r="I99" s="137" t="e">
        <f>IF(VLOOKUP(A99,'Actual Dates'!A4:AE221,25,),'Actual Dates'!#REF!,"")</f>
        <v>#REF!</v>
      </c>
      <c r="J99" s="137" t="e">
        <f t="shared" si="12"/>
        <v>#REF!</v>
      </c>
      <c r="K99" s="137" t="e">
        <f>IF(VLOOKUP(A99,'Actual Dates'!A4:AE249,26,),'Actual Dates'!#REF!,"")</f>
        <v>#REF!</v>
      </c>
      <c r="L99" s="137" t="e">
        <f>IF(VLOOKUP(A99,'Actual Dates'!A4:AE249,21,),'Actual Dates'!#REF!,"")</f>
        <v>#REF!</v>
      </c>
      <c r="M99" s="137" t="e">
        <f>'Date Calcs'!#REF!</f>
        <v>#REF!</v>
      </c>
      <c r="N99" s="137" t="e">
        <f>IF(VLOOKUP(A99,'Actual Dates'!A4:AE249,27,),'Actual Dates'!#REF!,"")</f>
        <v>#REF!</v>
      </c>
      <c r="O99" s="138" t="e">
        <f t="shared" si="17"/>
        <v>#REF!</v>
      </c>
      <c r="P99" s="139" t="e">
        <f t="shared" si="15"/>
        <v>#REF!</v>
      </c>
      <c r="Q99" s="139" t="e">
        <f t="shared" si="16"/>
        <v>#REF!</v>
      </c>
      <c r="R99" s="170"/>
      <c r="S99" s="170"/>
      <c r="T99" s="142"/>
      <c r="U99" s="142"/>
      <c r="V99" s="142"/>
      <c r="W99" s="142"/>
      <c r="X99" s="142"/>
      <c r="Y99" s="142"/>
      <c r="Z99" s="142"/>
      <c r="AA99" s="142"/>
      <c r="AB99" s="142"/>
    </row>
    <row r="100" spans="1:28" x14ac:dyDescent="0.25">
      <c r="A100" s="134" t="e">
        <f>'Actual Dates'!#REF!</f>
        <v>#REF!</v>
      </c>
      <c r="B100" s="135" t="e">
        <f>'Date Calcs'!#REF!</f>
        <v>#REF!</v>
      </c>
      <c r="C100" s="136" t="e">
        <f>'Date Calcs'!#REF!</f>
        <v>#REF!</v>
      </c>
      <c r="D100" s="137" t="e">
        <f t="shared" si="14"/>
        <v>#REF!</v>
      </c>
      <c r="E100" s="143">
        <v>43780</v>
      </c>
      <c r="F100" s="137" t="e">
        <f>'Date Calcs'!#REF!</f>
        <v>#REF!</v>
      </c>
      <c r="G100" s="137" t="e">
        <f>IF(VLOOKUP(A100,'Actual Dates'!A4:AE227,8,),'Actual Dates'!#REF!,"")</f>
        <v>#REF!</v>
      </c>
      <c r="H100" s="137" t="e">
        <f t="shared" si="13"/>
        <v>#REF!</v>
      </c>
      <c r="I100" s="137" t="e">
        <f>IF(VLOOKUP(A100,'Actual Dates'!A4:AE222,25,),'Actual Dates'!#REF!,"")</f>
        <v>#REF!</v>
      </c>
      <c r="J100" s="137" t="e">
        <f t="shared" ref="J100:J113" si="18">WORKDAY(L100,4,)</f>
        <v>#REF!</v>
      </c>
      <c r="K100" s="137" t="e">
        <f>IF(VLOOKUP(A100,'Actual Dates'!A4:AE250,26,),'Actual Dates'!#REF!,"")</f>
        <v>#REF!</v>
      </c>
      <c r="L100" s="137" t="e">
        <f>IF(VLOOKUP(A100,'Actual Dates'!A4:AE250,21,),'Actual Dates'!#REF!,"")</f>
        <v>#REF!</v>
      </c>
      <c r="M100" s="137" t="e">
        <f>'Date Calcs'!#REF!</f>
        <v>#REF!</v>
      </c>
      <c r="N100" s="137" t="e">
        <f>IF(VLOOKUP(A100,'Actual Dates'!A4:AE250,27,),'Actual Dates'!#REF!,"")</f>
        <v>#REF!</v>
      </c>
      <c r="O100" s="138" t="e">
        <f t="shared" si="17"/>
        <v>#REF!</v>
      </c>
      <c r="P100" s="139" t="e">
        <f t="shared" si="15"/>
        <v>#REF!</v>
      </c>
      <c r="Q100" s="139" t="e">
        <f t="shared" si="16"/>
        <v>#REF!</v>
      </c>
      <c r="R100" s="170"/>
      <c r="S100" s="170"/>
      <c r="T100" s="142"/>
      <c r="U100" s="142"/>
      <c r="V100" s="142"/>
      <c r="W100" s="142"/>
      <c r="X100" s="142"/>
      <c r="Y100" s="142"/>
      <c r="Z100" s="142"/>
      <c r="AA100" s="142"/>
      <c r="AB100" s="142"/>
    </row>
    <row r="101" spans="1:28" x14ac:dyDescent="0.25">
      <c r="A101" s="134" t="e">
        <f>'Actual Dates'!#REF!</f>
        <v>#REF!</v>
      </c>
      <c r="B101" s="135" t="e">
        <f>'Date Calcs'!#REF!</f>
        <v>#REF!</v>
      </c>
      <c r="C101" s="136" t="e">
        <f>'Date Calcs'!#REF!</f>
        <v>#REF!</v>
      </c>
      <c r="D101" s="137" t="e">
        <f t="shared" si="14"/>
        <v>#REF!</v>
      </c>
      <c r="E101" s="143">
        <v>43780</v>
      </c>
      <c r="F101" s="137" t="e">
        <f>'Date Calcs'!#REF!</f>
        <v>#REF!</v>
      </c>
      <c r="G101" s="137" t="e">
        <f>IF(VLOOKUP(A101,'Actual Dates'!A4:AE228,8,),'Actual Dates'!#REF!,"")</f>
        <v>#REF!</v>
      </c>
      <c r="H101" s="137" t="e">
        <f t="shared" ref="H101:H113" si="19">WORKDAY(L101,3,)</f>
        <v>#REF!</v>
      </c>
      <c r="I101" s="137" t="e">
        <f>IF(VLOOKUP(A101,'Actual Dates'!A4:AE223,25,),'Actual Dates'!#REF!,"")</f>
        <v>#REF!</v>
      </c>
      <c r="J101" s="137" t="e">
        <f t="shared" si="18"/>
        <v>#REF!</v>
      </c>
      <c r="K101" s="137" t="e">
        <f>IF(VLOOKUP(A101,'Actual Dates'!A4:AE251,26,),'Actual Dates'!#REF!,"")</f>
        <v>#REF!</v>
      </c>
      <c r="L101" s="137" t="e">
        <f>IF(VLOOKUP(A101,'Actual Dates'!A4:AE251,21,),'Actual Dates'!#REF!,"")</f>
        <v>#REF!</v>
      </c>
      <c r="M101" s="137" t="e">
        <f>'Date Calcs'!#REF!</f>
        <v>#REF!</v>
      </c>
      <c r="N101" s="137" t="e">
        <f>IF(VLOOKUP(A101,'Actual Dates'!A4:AE251,27,),'Actual Dates'!#REF!,"")</f>
        <v>#REF!</v>
      </c>
      <c r="O101" s="138" t="e">
        <f t="shared" si="17"/>
        <v>#REF!</v>
      </c>
      <c r="P101" s="139" t="e">
        <f t="shared" si="15"/>
        <v>#REF!</v>
      </c>
      <c r="Q101" s="139" t="e">
        <f t="shared" si="16"/>
        <v>#REF!</v>
      </c>
      <c r="R101" s="170"/>
      <c r="S101" s="170"/>
      <c r="T101" s="142"/>
      <c r="U101" s="142"/>
      <c r="V101" s="142"/>
      <c r="W101" s="142"/>
      <c r="X101" s="142"/>
      <c r="Y101" s="142"/>
      <c r="Z101" s="142"/>
      <c r="AA101" s="142"/>
      <c r="AB101" s="142"/>
    </row>
    <row r="102" spans="1:28" x14ac:dyDescent="0.25">
      <c r="A102" s="134" t="e">
        <f>'Actual Dates'!#REF!</f>
        <v>#REF!</v>
      </c>
      <c r="B102" s="135" t="e">
        <f>'Date Calcs'!#REF!</f>
        <v>#REF!</v>
      </c>
      <c r="C102" s="136" t="e">
        <f>'Date Calcs'!#REF!</f>
        <v>#REF!</v>
      </c>
      <c r="D102" s="137" t="e">
        <f t="shared" ref="D102:D113" si="20">WORKDAY(F102,-1,)</f>
        <v>#REF!</v>
      </c>
      <c r="E102" s="143">
        <v>43780</v>
      </c>
      <c r="F102" s="137" t="e">
        <f>'Date Calcs'!#REF!</f>
        <v>#REF!</v>
      </c>
      <c r="G102" s="137" t="e">
        <f>IF(VLOOKUP(A102,'Actual Dates'!A4:AE229,8,),'Actual Dates'!#REF!,"")</f>
        <v>#REF!</v>
      </c>
      <c r="H102" s="137" t="e">
        <f t="shared" si="19"/>
        <v>#REF!</v>
      </c>
      <c r="I102" s="137" t="e">
        <f>IF(VLOOKUP(A102,'Actual Dates'!A4:AE224,25,),'Actual Dates'!#REF!,"")</f>
        <v>#REF!</v>
      </c>
      <c r="J102" s="137" t="e">
        <f t="shared" si="18"/>
        <v>#REF!</v>
      </c>
      <c r="K102" s="137" t="e">
        <f>IF(VLOOKUP(A102,'Actual Dates'!A4:AE252,26,),'Actual Dates'!#REF!,"")</f>
        <v>#REF!</v>
      </c>
      <c r="L102" s="137" t="e">
        <f>IF(VLOOKUP(A102,'Actual Dates'!A4:AE252,21,),'Actual Dates'!#REF!,"")</f>
        <v>#REF!</v>
      </c>
      <c r="M102" s="137" t="e">
        <f>'Date Calcs'!#REF!</f>
        <v>#REF!</v>
      </c>
      <c r="N102" s="137" t="e">
        <f>IF(VLOOKUP(A102,'Actual Dates'!A4:AE252,27,),'Actual Dates'!#REF!,"")</f>
        <v>#REF!</v>
      </c>
      <c r="O102" s="138" t="e">
        <f t="shared" si="17"/>
        <v>#REF!</v>
      </c>
      <c r="P102" s="139" t="e">
        <f t="shared" ref="P102:P113" si="21">F102-G102</f>
        <v>#REF!</v>
      </c>
      <c r="Q102" s="139" t="e">
        <f t="shared" ref="Q102:Q113" si="22">M102-N102</f>
        <v>#REF!</v>
      </c>
      <c r="R102" s="170"/>
      <c r="S102" s="170"/>
      <c r="T102" s="142"/>
      <c r="U102" s="142"/>
      <c r="V102" s="142"/>
      <c r="W102" s="142"/>
      <c r="X102" s="142"/>
      <c r="Y102" s="142"/>
      <c r="Z102" s="142"/>
      <c r="AA102" s="142"/>
      <c r="AB102" s="142"/>
    </row>
    <row r="103" spans="1:28" x14ac:dyDescent="0.25">
      <c r="A103" s="134" t="e">
        <f>'Actual Dates'!#REF!</f>
        <v>#REF!</v>
      </c>
      <c r="B103" s="135" t="e">
        <f>'Date Calcs'!#REF!</f>
        <v>#REF!</v>
      </c>
      <c r="C103" s="136" t="e">
        <f>'Date Calcs'!#REF!</f>
        <v>#REF!</v>
      </c>
      <c r="D103" s="137" t="e">
        <f t="shared" si="20"/>
        <v>#REF!</v>
      </c>
      <c r="E103" s="143">
        <v>43780</v>
      </c>
      <c r="F103" s="137" t="e">
        <f>'Date Calcs'!#REF!</f>
        <v>#REF!</v>
      </c>
      <c r="G103" s="137" t="e">
        <f>IF(VLOOKUP(A103,'Actual Dates'!A4:AE230,8,),'Actual Dates'!#REF!,"")</f>
        <v>#REF!</v>
      </c>
      <c r="H103" s="137" t="e">
        <f t="shared" si="19"/>
        <v>#REF!</v>
      </c>
      <c r="I103" s="137" t="e">
        <f>IF(VLOOKUP(A103,'Actual Dates'!A4:AE225,25,),'Actual Dates'!#REF!,"")</f>
        <v>#REF!</v>
      </c>
      <c r="J103" s="137" t="e">
        <f t="shared" si="18"/>
        <v>#REF!</v>
      </c>
      <c r="K103" s="137" t="e">
        <f>IF(VLOOKUP(A103,'Actual Dates'!A4:AE253,26,),'Actual Dates'!#REF!,"")</f>
        <v>#REF!</v>
      </c>
      <c r="L103" s="137" t="e">
        <f>IF(VLOOKUP(A103,'Actual Dates'!A4:AE253,21,),'Actual Dates'!#REF!,"")</f>
        <v>#REF!</v>
      </c>
      <c r="M103" s="137" t="e">
        <f>'Date Calcs'!#REF!</f>
        <v>#REF!</v>
      </c>
      <c r="N103" s="137" t="e">
        <f>IF(VLOOKUP(A103,'Actual Dates'!A4:AE253,27,),'Actual Dates'!#REF!,"")</f>
        <v>#REF!</v>
      </c>
      <c r="O103" s="138" t="e">
        <f t="shared" si="17"/>
        <v>#REF!</v>
      </c>
      <c r="P103" s="139" t="e">
        <f t="shared" si="21"/>
        <v>#REF!</v>
      </c>
      <c r="Q103" s="139" t="e">
        <f t="shared" si="22"/>
        <v>#REF!</v>
      </c>
      <c r="R103" s="170"/>
      <c r="S103" s="170"/>
      <c r="T103" s="142"/>
      <c r="U103" s="142"/>
      <c r="V103" s="142"/>
      <c r="W103" s="142"/>
      <c r="X103" s="142"/>
      <c r="Y103" s="142"/>
      <c r="Z103" s="142"/>
      <c r="AA103" s="142"/>
      <c r="AB103" s="142"/>
    </row>
    <row r="104" spans="1:28" x14ac:dyDescent="0.25">
      <c r="A104" s="134" t="e">
        <f>'Actual Dates'!#REF!</f>
        <v>#REF!</v>
      </c>
      <c r="B104" s="135" t="e">
        <f>'Date Calcs'!#REF!</f>
        <v>#REF!</v>
      </c>
      <c r="C104" s="136" t="e">
        <f>'Date Calcs'!#REF!</f>
        <v>#REF!</v>
      </c>
      <c r="D104" s="137" t="e">
        <f t="shared" si="20"/>
        <v>#REF!</v>
      </c>
      <c r="E104" s="143">
        <v>43780</v>
      </c>
      <c r="F104" s="137" t="e">
        <f>'Date Calcs'!#REF!</f>
        <v>#REF!</v>
      </c>
      <c r="G104" s="137" t="e">
        <f>IF(VLOOKUP(A104,'Actual Dates'!A4:AE231,8,),'Actual Dates'!#REF!,"")</f>
        <v>#REF!</v>
      </c>
      <c r="H104" s="137" t="e">
        <f t="shared" si="19"/>
        <v>#REF!</v>
      </c>
      <c r="I104" s="137" t="e">
        <f>IF(VLOOKUP(A104,'Actual Dates'!A4:AE226,25,),'Actual Dates'!#REF!,"")</f>
        <v>#REF!</v>
      </c>
      <c r="J104" s="137" t="e">
        <f t="shared" si="18"/>
        <v>#REF!</v>
      </c>
      <c r="K104" s="137" t="e">
        <f>IF(VLOOKUP(A104,'Actual Dates'!A4:AE254,26,),'Actual Dates'!#REF!,"")</f>
        <v>#REF!</v>
      </c>
      <c r="L104" s="137" t="e">
        <f>IF(VLOOKUP(A104,'Actual Dates'!A4:AE254,21,),'Actual Dates'!#REF!,"")</f>
        <v>#REF!</v>
      </c>
      <c r="M104" s="137" t="e">
        <f>'Date Calcs'!#REF!</f>
        <v>#REF!</v>
      </c>
      <c r="N104" s="137" t="e">
        <f>IF(VLOOKUP(A104,'Actual Dates'!A4:AE254,27,),'Actual Dates'!#REF!,"")</f>
        <v>#REF!</v>
      </c>
      <c r="O104" s="138" t="e">
        <f t="shared" si="17"/>
        <v>#REF!</v>
      </c>
      <c r="P104" s="139" t="e">
        <f t="shared" si="21"/>
        <v>#REF!</v>
      </c>
      <c r="Q104" s="139" t="e">
        <f t="shared" si="22"/>
        <v>#REF!</v>
      </c>
      <c r="R104" s="170"/>
      <c r="S104" s="170"/>
      <c r="T104" s="142"/>
      <c r="U104" s="142"/>
      <c r="V104" s="142"/>
      <c r="W104" s="142"/>
      <c r="X104" s="142"/>
      <c r="Y104" s="142"/>
      <c r="Z104" s="142"/>
      <c r="AA104" s="142"/>
      <c r="AB104" s="142"/>
    </row>
    <row r="105" spans="1:28" x14ac:dyDescent="0.25">
      <c r="A105" s="134" t="e">
        <f>'Actual Dates'!#REF!</f>
        <v>#REF!</v>
      </c>
      <c r="B105" s="135" t="e">
        <f>'Date Calcs'!#REF!</f>
        <v>#REF!</v>
      </c>
      <c r="C105" s="136" t="e">
        <f>'Date Calcs'!#REF!</f>
        <v>#REF!</v>
      </c>
      <c r="D105" s="137" t="e">
        <f t="shared" si="20"/>
        <v>#REF!</v>
      </c>
      <c r="E105" s="143">
        <v>43780</v>
      </c>
      <c r="F105" s="137" t="e">
        <f>'Date Calcs'!#REF!</f>
        <v>#REF!</v>
      </c>
      <c r="G105" s="137" t="e">
        <f>IF(VLOOKUP(A105,'Actual Dates'!A4:AE232,8,),'Actual Dates'!#REF!,"")</f>
        <v>#REF!</v>
      </c>
      <c r="H105" s="137" t="e">
        <f t="shared" si="19"/>
        <v>#REF!</v>
      </c>
      <c r="I105" s="137" t="e">
        <f>IF(VLOOKUP(A105,'Actual Dates'!A4:AE227,25,),'Actual Dates'!#REF!,"")</f>
        <v>#REF!</v>
      </c>
      <c r="J105" s="137" t="e">
        <f t="shared" si="18"/>
        <v>#REF!</v>
      </c>
      <c r="K105" s="137" t="e">
        <f>IF(VLOOKUP(A105,'Actual Dates'!A4:AE255,26,),'Actual Dates'!#REF!,"")</f>
        <v>#REF!</v>
      </c>
      <c r="L105" s="137" t="e">
        <f>IF(VLOOKUP(A105,'Actual Dates'!A4:AE255,21,),'Actual Dates'!#REF!,"")</f>
        <v>#REF!</v>
      </c>
      <c r="M105" s="137" t="e">
        <f>'Date Calcs'!#REF!</f>
        <v>#REF!</v>
      </c>
      <c r="N105" s="137" t="e">
        <f>IF(VLOOKUP(A105,'Actual Dates'!A4:AE255,27,),'Actual Dates'!#REF!,"")</f>
        <v>#REF!</v>
      </c>
      <c r="O105" s="138" t="e">
        <f t="shared" si="17"/>
        <v>#REF!</v>
      </c>
      <c r="P105" s="139" t="e">
        <f t="shared" si="21"/>
        <v>#REF!</v>
      </c>
      <c r="Q105" s="139" t="e">
        <f t="shared" si="22"/>
        <v>#REF!</v>
      </c>
      <c r="R105" s="170"/>
      <c r="S105" s="170"/>
      <c r="T105" s="142"/>
      <c r="U105" s="142"/>
      <c r="V105" s="142"/>
      <c r="W105" s="142"/>
      <c r="X105" s="142"/>
      <c r="Y105" s="142"/>
      <c r="Z105" s="142"/>
      <c r="AA105" s="142"/>
      <c r="AB105" s="142"/>
    </row>
    <row r="106" spans="1:28" x14ac:dyDescent="0.25">
      <c r="A106" s="134" t="e">
        <f>'Actual Dates'!#REF!</f>
        <v>#REF!</v>
      </c>
      <c r="B106" s="135" t="e">
        <f>'Date Calcs'!#REF!</f>
        <v>#REF!</v>
      </c>
      <c r="C106" s="136" t="e">
        <f>'Date Calcs'!#REF!</f>
        <v>#REF!</v>
      </c>
      <c r="D106" s="137" t="e">
        <f t="shared" si="20"/>
        <v>#REF!</v>
      </c>
      <c r="E106" s="143">
        <v>43780</v>
      </c>
      <c r="F106" s="137" t="e">
        <f>'Date Calcs'!#REF!</f>
        <v>#REF!</v>
      </c>
      <c r="G106" s="137" t="e">
        <f>IF(VLOOKUP(A106,'Actual Dates'!A4:AE233,8,),'Actual Dates'!#REF!,"")</f>
        <v>#REF!</v>
      </c>
      <c r="H106" s="137" t="e">
        <f t="shared" si="19"/>
        <v>#REF!</v>
      </c>
      <c r="I106" s="137" t="e">
        <f>IF(VLOOKUP(A106,'Actual Dates'!A4:AE228,25,),'Actual Dates'!#REF!,"")</f>
        <v>#REF!</v>
      </c>
      <c r="J106" s="137" t="e">
        <f t="shared" si="18"/>
        <v>#REF!</v>
      </c>
      <c r="K106" s="137" t="e">
        <f>IF(VLOOKUP(A106,'Actual Dates'!A4:AE256,26,),'Actual Dates'!#REF!,"")</f>
        <v>#REF!</v>
      </c>
      <c r="L106" s="137" t="e">
        <f>IF(VLOOKUP(A106,'Actual Dates'!A4:AE256,21,),'Actual Dates'!#REF!,"")</f>
        <v>#REF!</v>
      </c>
      <c r="M106" s="137" t="e">
        <f>'Date Calcs'!#REF!</f>
        <v>#REF!</v>
      </c>
      <c r="N106" s="137" t="e">
        <f>IF(VLOOKUP(A106,'Actual Dates'!A4:AE256,27,),'Actual Dates'!#REF!,"")</f>
        <v>#REF!</v>
      </c>
      <c r="O106" s="138" t="e">
        <f t="shared" si="17"/>
        <v>#REF!</v>
      </c>
      <c r="P106" s="139" t="e">
        <f t="shared" si="21"/>
        <v>#REF!</v>
      </c>
      <c r="Q106" s="139" t="e">
        <f t="shared" si="22"/>
        <v>#REF!</v>
      </c>
      <c r="R106" s="170"/>
      <c r="S106" s="170"/>
      <c r="T106" s="142"/>
      <c r="U106" s="142"/>
      <c r="V106" s="142"/>
      <c r="W106" s="142"/>
      <c r="X106" s="142"/>
      <c r="Y106" s="142"/>
      <c r="Z106" s="142"/>
      <c r="AA106" s="142"/>
      <c r="AB106" s="142"/>
    </row>
    <row r="107" spans="1:28" x14ac:dyDescent="0.25">
      <c r="A107" s="134" t="e">
        <f>'Actual Dates'!#REF!</f>
        <v>#REF!</v>
      </c>
      <c r="B107" s="135" t="e">
        <f>'Date Calcs'!#REF!</f>
        <v>#REF!</v>
      </c>
      <c r="C107" s="136" t="e">
        <f>'Date Calcs'!#REF!</f>
        <v>#REF!</v>
      </c>
      <c r="D107" s="137" t="e">
        <f t="shared" si="20"/>
        <v>#REF!</v>
      </c>
      <c r="E107" s="143">
        <v>43783</v>
      </c>
      <c r="F107" s="137" t="e">
        <f>'Date Calcs'!#REF!</f>
        <v>#REF!</v>
      </c>
      <c r="G107" s="137" t="e">
        <f>IF(VLOOKUP(A107,'Actual Dates'!A4:AE234,8,),'Actual Dates'!#REF!,"")</f>
        <v>#REF!</v>
      </c>
      <c r="H107" s="137" t="e">
        <f t="shared" si="19"/>
        <v>#REF!</v>
      </c>
      <c r="I107" s="137" t="e">
        <f>IF(VLOOKUP(A107,'Actual Dates'!A4:AE229,25,),'Actual Dates'!#REF!,"")</f>
        <v>#REF!</v>
      </c>
      <c r="J107" s="137" t="e">
        <f t="shared" si="18"/>
        <v>#REF!</v>
      </c>
      <c r="K107" s="137" t="e">
        <f>IF(VLOOKUP(A107,'Actual Dates'!A4:AE257,26,),'Actual Dates'!#REF!,"")</f>
        <v>#REF!</v>
      </c>
      <c r="L107" s="137" t="e">
        <f>IF(VLOOKUP(A107,'Actual Dates'!A4:AE257,21,),'Actual Dates'!#REF!,"")</f>
        <v>#REF!</v>
      </c>
      <c r="M107" s="137" t="e">
        <f>'Date Calcs'!#REF!</f>
        <v>#REF!</v>
      </c>
      <c r="N107" s="137" t="e">
        <f>IF(VLOOKUP(A107,'Actual Dates'!A4:AE257,27,),'Actual Dates'!#REF!,"")</f>
        <v>#REF!</v>
      </c>
      <c r="O107" s="138" t="e">
        <f t="shared" si="17"/>
        <v>#REF!</v>
      </c>
      <c r="P107" s="139" t="e">
        <f t="shared" si="21"/>
        <v>#REF!</v>
      </c>
      <c r="Q107" s="139" t="e">
        <f t="shared" si="22"/>
        <v>#REF!</v>
      </c>
      <c r="R107" s="170"/>
      <c r="S107" s="170"/>
      <c r="T107" s="142"/>
      <c r="U107" s="142"/>
      <c r="V107" s="142"/>
      <c r="W107" s="142"/>
      <c r="X107" s="142"/>
      <c r="Y107" s="142"/>
      <c r="Z107" s="142"/>
      <c r="AA107" s="142"/>
      <c r="AB107" s="142"/>
    </row>
    <row r="108" spans="1:28" x14ac:dyDescent="0.25">
      <c r="A108" s="134" t="e">
        <f>'Actual Dates'!#REF!</f>
        <v>#REF!</v>
      </c>
      <c r="B108" s="135" t="e">
        <f>'Date Calcs'!#REF!</f>
        <v>#REF!</v>
      </c>
      <c r="C108" s="136" t="e">
        <f>'Date Calcs'!#REF!</f>
        <v>#REF!</v>
      </c>
      <c r="D108" s="137" t="e">
        <f t="shared" si="20"/>
        <v>#REF!</v>
      </c>
      <c r="E108" s="143" t="s">
        <v>377</v>
      </c>
      <c r="F108" s="137" t="e">
        <f>'Date Calcs'!#REF!</f>
        <v>#REF!</v>
      </c>
      <c r="G108" s="137" t="s">
        <v>377</v>
      </c>
      <c r="H108" s="137" t="e">
        <f t="shared" si="19"/>
        <v>#REF!</v>
      </c>
      <c r="I108" s="137" t="e">
        <f>IF(VLOOKUP(A108,'Actual Dates'!A4:AE230,25,),'Actual Dates'!#REF!,"")</f>
        <v>#REF!</v>
      </c>
      <c r="J108" s="137" t="e">
        <f t="shared" si="18"/>
        <v>#REF!</v>
      </c>
      <c r="K108" s="137" t="e">
        <f>IF(VLOOKUP(A108,'Actual Dates'!A4:AE258,26,),'Actual Dates'!#REF!,"")</f>
        <v>#REF!</v>
      </c>
      <c r="L108" s="137" t="e">
        <f>IF(VLOOKUP(A108,'Actual Dates'!A4:AE258,21,),'Actual Dates'!#REF!,"")</f>
        <v>#REF!</v>
      </c>
      <c r="M108" s="137" t="e">
        <f>'Date Calcs'!#REF!</f>
        <v>#REF!</v>
      </c>
      <c r="N108" s="137" t="e">
        <f>IF(VLOOKUP(A108,'Actual Dates'!A4:AE258,27,),'Actual Dates'!#REF!,"")</f>
        <v>#REF!</v>
      </c>
      <c r="O108" s="138" t="e">
        <f t="shared" si="17"/>
        <v>#REF!</v>
      </c>
      <c r="P108" s="139" t="e">
        <f t="shared" si="21"/>
        <v>#REF!</v>
      </c>
      <c r="Q108" s="139" t="e">
        <f t="shared" si="22"/>
        <v>#REF!</v>
      </c>
      <c r="R108" s="170"/>
      <c r="S108" s="170"/>
      <c r="T108" s="142"/>
      <c r="U108" s="142"/>
      <c r="V108" s="142"/>
      <c r="W108" s="142"/>
      <c r="X108" s="142"/>
      <c r="Y108" s="142"/>
      <c r="Z108" s="142"/>
      <c r="AA108" s="142"/>
      <c r="AB108" s="142"/>
    </row>
    <row r="109" spans="1:28" x14ac:dyDescent="0.25">
      <c r="A109" s="134" t="e">
        <f>'Actual Dates'!#REF!</f>
        <v>#REF!</v>
      </c>
      <c r="B109" s="135" t="e">
        <f>'Date Calcs'!#REF!</f>
        <v>#REF!</v>
      </c>
      <c r="C109" s="136" t="e">
        <f>'Date Calcs'!#REF!</f>
        <v>#REF!</v>
      </c>
      <c r="D109" s="137" t="e">
        <f t="shared" si="20"/>
        <v>#REF!</v>
      </c>
      <c r="E109" s="143">
        <v>43774</v>
      </c>
      <c r="F109" s="137" t="e">
        <f>'Date Calcs'!#REF!</f>
        <v>#REF!</v>
      </c>
      <c r="G109" s="137" t="e">
        <f>IF(VLOOKUP(A109,'Actual Dates'!A4:AE236,8,),'Actual Dates'!#REF!,"")</f>
        <v>#REF!</v>
      </c>
      <c r="H109" s="137" t="e">
        <f t="shared" si="19"/>
        <v>#REF!</v>
      </c>
      <c r="I109" s="137" t="e">
        <f>IF(VLOOKUP(A109,'Actual Dates'!A4:AE231,25,),'Actual Dates'!#REF!,"")</f>
        <v>#REF!</v>
      </c>
      <c r="J109" s="137" t="e">
        <f t="shared" si="18"/>
        <v>#REF!</v>
      </c>
      <c r="K109" s="137" t="e">
        <f>IF(VLOOKUP(A109,'Actual Dates'!A4:AE259,26,),'Actual Dates'!#REF!,"")</f>
        <v>#REF!</v>
      </c>
      <c r="L109" s="137" t="e">
        <f>IF(VLOOKUP(A109,'Actual Dates'!A4:AE259,21,),'Actual Dates'!#REF!,"")</f>
        <v>#REF!</v>
      </c>
      <c r="M109" s="137" t="e">
        <f>'Date Calcs'!#REF!</f>
        <v>#REF!</v>
      </c>
      <c r="N109" s="137" t="e">
        <f>IF(VLOOKUP(A109,'Actual Dates'!A4:AE259,27,),'Actual Dates'!#REF!,"")</f>
        <v>#REF!</v>
      </c>
      <c r="O109" s="138" t="e">
        <f t="shared" si="17"/>
        <v>#REF!</v>
      </c>
      <c r="P109" s="139" t="e">
        <f t="shared" si="21"/>
        <v>#REF!</v>
      </c>
      <c r="Q109" s="139" t="e">
        <f t="shared" si="22"/>
        <v>#REF!</v>
      </c>
      <c r="R109" s="170"/>
      <c r="S109" s="170"/>
      <c r="T109" s="142"/>
      <c r="U109" s="142"/>
      <c r="V109" s="142"/>
      <c r="W109" s="142"/>
      <c r="X109" s="142"/>
      <c r="Y109" s="142"/>
      <c r="Z109" s="142"/>
      <c r="AA109" s="142"/>
      <c r="AB109" s="142"/>
    </row>
    <row r="110" spans="1:28" x14ac:dyDescent="0.25">
      <c r="A110" s="134" t="e">
        <f>'Actual Dates'!#REF!</f>
        <v>#REF!</v>
      </c>
      <c r="B110" s="135" t="e">
        <f>'Date Calcs'!#REF!</f>
        <v>#REF!</v>
      </c>
      <c r="C110" s="136" t="e">
        <f>'Date Calcs'!#REF!</f>
        <v>#REF!</v>
      </c>
      <c r="D110" s="137" t="e">
        <f t="shared" si="20"/>
        <v>#REF!</v>
      </c>
      <c r="E110" s="143">
        <v>43775</v>
      </c>
      <c r="F110" s="137" t="e">
        <f>'Date Calcs'!#REF!</f>
        <v>#REF!</v>
      </c>
      <c r="G110" s="137" t="e">
        <f>IF(VLOOKUP(A110,'Actual Dates'!A4:AE237,8,),'Actual Dates'!#REF!,"")</f>
        <v>#REF!</v>
      </c>
      <c r="H110" s="137" t="e">
        <f t="shared" si="19"/>
        <v>#REF!</v>
      </c>
      <c r="I110" s="137" t="e">
        <f>IF(VLOOKUP(A110,'Actual Dates'!A4:AE232,25,),'Actual Dates'!#REF!,"")</f>
        <v>#REF!</v>
      </c>
      <c r="J110" s="137" t="e">
        <f t="shared" si="18"/>
        <v>#REF!</v>
      </c>
      <c r="K110" s="137" t="e">
        <f>IF(VLOOKUP(A110,'Actual Dates'!A4:AE260,26,),'Actual Dates'!#REF!,"")</f>
        <v>#REF!</v>
      </c>
      <c r="L110" s="137" t="e">
        <f>IF(VLOOKUP(A110,'Actual Dates'!A4:AE260,21,),'Actual Dates'!#REF!,"")</f>
        <v>#REF!</v>
      </c>
      <c r="M110" s="137" t="e">
        <f>'Date Calcs'!#REF!</f>
        <v>#REF!</v>
      </c>
      <c r="N110" s="137" t="e">
        <f>IF(VLOOKUP(A110,'Actual Dates'!A4:AE260,27,),'Actual Dates'!#REF!,"")</f>
        <v>#REF!</v>
      </c>
      <c r="O110" s="138" t="e">
        <f t="shared" si="17"/>
        <v>#REF!</v>
      </c>
      <c r="P110" s="139" t="e">
        <f t="shared" si="21"/>
        <v>#REF!</v>
      </c>
      <c r="Q110" s="139" t="e">
        <f t="shared" si="22"/>
        <v>#REF!</v>
      </c>
      <c r="R110" s="170"/>
      <c r="S110" s="170"/>
      <c r="T110" s="142"/>
      <c r="U110" s="142"/>
      <c r="V110" s="142"/>
      <c r="W110" s="142"/>
      <c r="X110" s="142"/>
      <c r="Y110" s="142"/>
      <c r="Z110" s="142"/>
      <c r="AA110" s="142"/>
      <c r="AB110" s="142"/>
    </row>
    <row r="111" spans="1:28" x14ac:dyDescent="0.25">
      <c r="A111" s="134" t="e">
        <f>'Actual Dates'!#REF!</f>
        <v>#REF!</v>
      </c>
      <c r="B111" s="135" t="e">
        <f>'Date Calcs'!#REF!</f>
        <v>#REF!</v>
      </c>
      <c r="C111" s="136" t="e">
        <f>'Date Calcs'!#REF!</f>
        <v>#REF!</v>
      </c>
      <c r="D111" s="137" t="e">
        <f t="shared" si="20"/>
        <v>#REF!</v>
      </c>
      <c r="E111" s="143">
        <v>43780</v>
      </c>
      <c r="F111" s="137" t="e">
        <f>'Date Calcs'!#REF!</f>
        <v>#REF!</v>
      </c>
      <c r="G111" s="137" t="e">
        <f>IF(VLOOKUP(A111,'Actual Dates'!A4:AE238,8,),'Actual Dates'!#REF!,"")</f>
        <v>#REF!</v>
      </c>
      <c r="H111" s="137" t="e">
        <f t="shared" si="19"/>
        <v>#REF!</v>
      </c>
      <c r="I111" s="137" t="e">
        <f>IF(VLOOKUP(A111,'Actual Dates'!A4:AE233,25,),'Actual Dates'!#REF!,"")</f>
        <v>#REF!</v>
      </c>
      <c r="J111" s="137" t="e">
        <f t="shared" si="18"/>
        <v>#REF!</v>
      </c>
      <c r="K111" s="137" t="e">
        <f>IF(VLOOKUP(A111,'Actual Dates'!A4:AE261,26,),'Actual Dates'!#REF!,"")</f>
        <v>#REF!</v>
      </c>
      <c r="L111" s="137" t="e">
        <f>IF(VLOOKUP(A111,'Actual Dates'!A4:AE261,21,),'Actual Dates'!#REF!,"")</f>
        <v>#REF!</v>
      </c>
      <c r="M111" s="137" t="e">
        <f>'Date Calcs'!#REF!</f>
        <v>#REF!</v>
      </c>
      <c r="N111" s="137" t="e">
        <f>IF(VLOOKUP(A111,'Actual Dates'!A4:AE261,27,),'Actual Dates'!#REF!,"")</f>
        <v>#REF!</v>
      </c>
      <c r="O111" s="138" t="e">
        <f t="shared" si="17"/>
        <v>#REF!</v>
      </c>
      <c r="P111" s="139" t="e">
        <f t="shared" si="21"/>
        <v>#REF!</v>
      </c>
      <c r="Q111" s="139" t="e">
        <f t="shared" si="22"/>
        <v>#REF!</v>
      </c>
      <c r="R111" s="170"/>
      <c r="S111" s="170"/>
      <c r="T111" s="142"/>
      <c r="U111" s="142"/>
      <c r="V111" s="142"/>
      <c r="W111" s="142"/>
      <c r="X111" s="142"/>
      <c r="Y111" s="142"/>
      <c r="Z111" s="142"/>
      <c r="AA111" s="142"/>
      <c r="AB111" s="142"/>
    </row>
    <row r="112" spans="1:28" x14ac:dyDescent="0.25">
      <c r="A112" s="134" t="e">
        <f>'Actual Dates'!#REF!</f>
        <v>#REF!</v>
      </c>
      <c r="B112" s="135" t="e">
        <f>'Date Calcs'!#REF!</f>
        <v>#REF!</v>
      </c>
      <c r="C112" s="136" t="e">
        <f>'Date Calcs'!#REF!</f>
        <v>#REF!</v>
      </c>
      <c r="D112" s="137" t="e">
        <f t="shared" si="20"/>
        <v>#REF!</v>
      </c>
      <c r="E112" s="143">
        <v>43796</v>
      </c>
      <c r="F112" s="137" t="e">
        <f>'Date Calcs'!#REF!</f>
        <v>#REF!</v>
      </c>
      <c r="G112" s="137" t="e">
        <f>IF(VLOOKUP(A112,'Actual Dates'!A4:AE239,8,),'Actual Dates'!#REF!,"")</f>
        <v>#REF!</v>
      </c>
      <c r="H112" s="137" t="e">
        <f t="shared" si="19"/>
        <v>#REF!</v>
      </c>
      <c r="I112" s="137" t="e">
        <f>IF(VLOOKUP(A112,'Actual Dates'!A4:AE234,25,),'Actual Dates'!#REF!,"")</f>
        <v>#REF!</v>
      </c>
      <c r="J112" s="137" t="e">
        <f t="shared" si="18"/>
        <v>#REF!</v>
      </c>
      <c r="K112" s="137" t="e">
        <f>IF(VLOOKUP(A112,'Actual Dates'!A4:AE262,26,),'Actual Dates'!#REF!,"")</f>
        <v>#REF!</v>
      </c>
      <c r="L112" s="137" t="e">
        <f>IF(VLOOKUP(A112,'Actual Dates'!A4:AE262,21,),'Actual Dates'!#REF!,"")</f>
        <v>#REF!</v>
      </c>
      <c r="M112" s="137" t="e">
        <f>'Date Calcs'!#REF!</f>
        <v>#REF!</v>
      </c>
      <c r="N112" s="137" t="e">
        <f>IF(VLOOKUP(A112,'Actual Dates'!A4:AE262,27,),'Actual Dates'!#REF!,"")</f>
        <v>#REF!</v>
      </c>
      <c r="O112" s="138" t="e">
        <f t="shared" si="17"/>
        <v>#REF!</v>
      </c>
      <c r="P112" s="139" t="e">
        <f t="shared" si="21"/>
        <v>#REF!</v>
      </c>
      <c r="Q112" s="139" t="e">
        <f t="shared" si="22"/>
        <v>#REF!</v>
      </c>
      <c r="R112" s="170"/>
      <c r="S112" s="170"/>
      <c r="T112" s="142"/>
      <c r="U112" s="142"/>
      <c r="V112" s="142"/>
      <c r="W112" s="142"/>
      <c r="X112" s="142"/>
      <c r="Y112" s="142"/>
      <c r="Z112" s="142"/>
      <c r="AA112" s="142"/>
      <c r="AB112" s="142"/>
    </row>
    <row r="113" spans="1:28" x14ac:dyDescent="0.25">
      <c r="A113" s="134" t="e">
        <f>'Actual Dates'!#REF!</f>
        <v>#REF!</v>
      </c>
      <c r="B113" s="135" t="e">
        <f>'Date Calcs'!#REF!</f>
        <v>#REF!</v>
      </c>
      <c r="C113" s="136" t="e">
        <f>'Date Calcs'!#REF!</f>
        <v>#REF!</v>
      </c>
      <c r="D113" s="137" t="e">
        <f t="shared" si="20"/>
        <v>#REF!</v>
      </c>
      <c r="E113" s="143">
        <v>43796</v>
      </c>
      <c r="F113" s="137" t="e">
        <f>'Date Calcs'!#REF!</f>
        <v>#REF!</v>
      </c>
      <c r="G113" s="137" t="e">
        <f>IF(VLOOKUP(A113,'Actual Dates'!A4:AE240,8,),'Actual Dates'!#REF!,"")</f>
        <v>#REF!</v>
      </c>
      <c r="H113" s="137" t="e">
        <f t="shared" si="19"/>
        <v>#REF!</v>
      </c>
      <c r="I113" s="137" t="e">
        <f>IF(VLOOKUP(A113,'Actual Dates'!A4:AE235,25,),'Actual Dates'!#REF!,"")</f>
        <v>#REF!</v>
      </c>
      <c r="J113" s="137" t="e">
        <f t="shared" si="18"/>
        <v>#REF!</v>
      </c>
      <c r="K113" s="137" t="e">
        <f>IF(VLOOKUP(A113,'Actual Dates'!A4:AE263,26,),'Actual Dates'!#REF!,"")</f>
        <v>#REF!</v>
      </c>
      <c r="L113" s="137" t="e">
        <f>IF(VLOOKUP(A113,'Actual Dates'!A4:AE263,21,),'Actual Dates'!#REF!,"")</f>
        <v>#REF!</v>
      </c>
      <c r="M113" s="137" t="e">
        <f>'Date Calcs'!#REF!</f>
        <v>#REF!</v>
      </c>
      <c r="N113" s="137" t="e">
        <f>IF(VLOOKUP(A113,'Actual Dates'!A4:AE263,27,),'Actual Dates'!#REF!,"")</f>
        <v>#REF!</v>
      </c>
      <c r="O113" s="138" t="e">
        <f t="shared" si="17"/>
        <v>#REF!</v>
      </c>
      <c r="P113" s="139" t="e">
        <f t="shared" si="21"/>
        <v>#REF!</v>
      </c>
      <c r="Q113" s="139" t="e">
        <f t="shared" si="22"/>
        <v>#REF!</v>
      </c>
      <c r="R113" s="170"/>
      <c r="S113" s="170"/>
      <c r="T113" s="142"/>
      <c r="U113" s="142"/>
      <c r="V113" s="142"/>
      <c r="W113" s="142"/>
      <c r="X113" s="142"/>
      <c r="Y113" s="142"/>
      <c r="Z113" s="142"/>
      <c r="AA113" s="142"/>
      <c r="AB113" s="142"/>
    </row>
    <row r="114" spans="1:28" x14ac:dyDescent="0.25">
      <c r="A114" s="134" t="e">
        <f>'Actual Dates'!#REF!</f>
        <v>#REF!</v>
      </c>
      <c r="B114" s="135"/>
      <c r="C114" s="136"/>
      <c r="D114" s="137"/>
      <c r="E114" s="143"/>
      <c r="F114" s="137"/>
      <c r="G114" s="137"/>
      <c r="H114" s="137"/>
      <c r="I114" s="137"/>
      <c r="J114" s="137"/>
      <c r="K114" s="137"/>
      <c r="L114" s="137"/>
      <c r="M114" s="137"/>
      <c r="N114" s="137"/>
      <c r="O114" s="138">
        <f t="shared" si="17"/>
        <v>0</v>
      </c>
      <c r="P114" s="139"/>
      <c r="Q114" s="139"/>
      <c r="R114" s="170"/>
      <c r="S114" s="170"/>
      <c r="T114" s="142"/>
      <c r="U114" s="142"/>
      <c r="V114" s="142"/>
      <c r="W114" s="142"/>
      <c r="X114" s="142"/>
      <c r="Y114" s="142"/>
      <c r="Z114" s="142"/>
      <c r="AA114" s="142"/>
      <c r="AB114" s="142"/>
    </row>
    <row r="115" spans="1:28" x14ac:dyDescent="0.25">
      <c r="A115" s="134" t="e">
        <f>'Actual Dates'!#REF!</f>
        <v>#REF!</v>
      </c>
      <c r="B115" s="135" t="e">
        <f>'Date Calcs'!#REF!</f>
        <v>#REF!</v>
      </c>
      <c r="C115" s="136" t="e">
        <f>'Date Calcs'!#REF!</f>
        <v>#REF!</v>
      </c>
      <c r="D115" s="137" t="e">
        <f t="shared" ref="D115:D146" si="23">WORKDAY(F115,-1,)</f>
        <v>#REF!</v>
      </c>
      <c r="E115" s="143">
        <v>43802</v>
      </c>
      <c r="F115" s="137" t="e">
        <f>'Date Calcs'!#REF!</f>
        <v>#REF!</v>
      </c>
      <c r="G115" s="137" t="e">
        <f>IF(VLOOKUP(A115,'Actual Dates'!A4:AE242,8,),'Actual Dates'!#REF!,"")</f>
        <v>#REF!</v>
      </c>
      <c r="H115" s="137" t="e">
        <f t="shared" ref="H115:H178" si="24">WORKDAY(L115,3,)</f>
        <v>#REF!</v>
      </c>
      <c r="I115" s="137" t="e">
        <f>IF(VLOOKUP(A115,'Actual Dates'!A4:AE237,25,),'Actual Dates'!#REF!,"")</f>
        <v>#REF!</v>
      </c>
      <c r="J115" s="137" t="e">
        <f t="shared" ref="J115:J178" si="25">WORKDAY(L115,4,)</f>
        <v>#REF!</v>
      </c>
      <c r="K115" s="137" t="e">
        <f>IF(VLOOKUP(A115,'Actual Dates'!A4:AE265,26,),'Actual Dates'!#REF!,"")</f>
        <v>#REF!</v>
      </c>
      <c r="L115" s="137" t="e">
        <f>IF(VLOOKUP(A115,'Actual Dates'!A4:AE265,21,),'Actual Dates'!#REF!,"")</f>
        <v>#REF!</v>
      </c>
      <c r="M115" s="137" t="e">
        <f>'Date Calcs'!#REF!</f>
        <v>#REF!</v>
      </c>
      <c r="N115" s="137" t="e">
        <f>IF(VLOOKUP(A115,'Actual Dates'!A4:AE265,27,),'Actual Dates'!#REF!,"")</f>
        <v>#REF!</v>
      </c>
      <c r="O115" s="138" t="e">
        <f t="shared" si="17"/>
        <v>#REF!</v>
      </c>
      <c r="P115" s="139" t="e">
        <f t="shared" ref="P115:P178" si="26">F115-G115</f>
        <v>#REF!</v>
      </c>
      <c r="Q115" s="139" t="e">
        <f t="shared" ref="Q115:Q178" si="27">M115-N115</f>
        <v>#REF!</v>
      </c>
      <c r="R115" s="170"/>
      <c r="S115" s="170"/>
      <c r="T115" s="142"/>
      <c r="U115" s="142"/>
      <c r="V115" s="142"/>
      <c r="W115" s="142"/>
      <c r="X115" s="142"/>
      <c r="Y115" s="142"/>
      <c r="Z115" s="142"/>
      <c r="AA115" s="142"/>
      <c r="AB115" s="142"/>
    </row>
    <row r="116" spans="1:28" x14ac:dyDescent="0.25">
      <c r="A116" s="134" t="e">
        <f>'Actual Dates'!#REF!</f>
        <v>#REF!</v>
      </c>
      <c r="B116" s="135" t="e">
        <f>'Date Calcs'!#REF!</f>
        <v>#REF!</v>
      </c>
      <c r="C116" s="136" t="e">
        <f>'Date Calcs'!#REF!</f>
        <v>#REF!</v>
      </c>
      <c r="D116" s="137" t="e">
        <f t="shared" si="23"/>
        <v>#REF!</v>
      </c>
      <c r="E116" s="143" t="s">
        <v>377</v>
      </c>
      <c r="F116" s="137" t="e">
        <f>'Date Calcs'!#REF!</f>
        <v>#REF!</v>
      </c>
      <c r="G116" s="137" t="e">
        <f>IF(VLOOKUP(A116,'Actual Dates'!A4:AE243,8,),'Actual Dates'!#REF!,"")</f>
        <v>#REF!</v>
      </c>
      <c r="H116" s="137" t="e">
        <f t="shared" si="24"/>
        <v>#REF!</v>
      </c>
      <c r="I116" s="137" t="e">
        <f>IF(VLOOKUP(A116,'Actual Dates'!A4:AE238,25,),'Actual Dates'!#REF!,"")</f>
        <v>#REF!</v>
      </c>
      <c r="J116" s="137" t="e">
        <f t="shared" si="25"/>
        <v>#REF!</v>
      </c>
      <c r="K116" s="137" t="e">
        <f>IF(VLOOKUP(A116,'Actual Dates'!A4:AE266,26,),'Actual Dates'!#REF!,"")</f>
        <v>#REF!</v>
      </c>
      <c r="L116" s="137" t="e">
        <f>IF(VLOOKUP(A116,'Actual Dates'!A4:AE266,21,),'Actual Dates'!#REF!,"")</f>
        <v>#REF!</v>
      </c>
      <c r="M116" s="137" t="e">
        <f>'Date Calcs'!#REF!</f>
        <v>#REF!</v>
      </c>
      <c r="N116" s="137" t="e">
        <f>IF(VLOOKUP(A116,'Actual Dates'!A4:AE266,27,),'Actual Dates'!#REF!,"")</f>
        <v>#REF!</v>
      </c>
      <c r="O116" s="138" t="e">
        <f t="shared" si="17"/>
        <v>#REF!</v>
      </c>
      <c r="P116" s="139" t="e">
        <f t="shared" si="26"/>
        <v>#REF!</v>
      </c>
      <c r="Q116" s="139" t="e">
        <f t="shared" si="27"/>
        <v>#REF!</v>
      </c>
      <c r="R116" s="170"/>
      <c r="S116" s="170"/>
      <c r="T116" s="142"/>
      <c r="U116" s="142"/>
      <c r="V116" s="142"/>
      <c r="W116" s="142"/>
      <c r="X116" s="142"/>
      <c r="Y116" s="142"/>
      <c r="Z116" s="142"/>
      <c r="AA116" s="142"/>
      <c r="AB116" s="142"/>
    </row>
    <row r="117" spans="1:28" x14ac:dyDescent="0.25">
      <c r="A117" s="134" t="e">
        <f>'Actual Dates'!#REF!</f>
        <v>#REF!</v>
      </c>
      <c r="B117" s="135" t="e">
        <f>'Date Calcs'!#REF!</f>
        <v>#REF!</v>
      </c>
      <c r="C117" s="136" t="e">
        <f>'Date Calcs'!#REF!</f>
        <v>#REF!</v>
      </c>
      <c r="D117" s="137" t="e">
        <f t="shared" si="23"/>
        <v>#REF!</v>
      </c>
      <c r="E117" s="143" t="s">
        <v>377</v>
      </c>
      <c r="F117" s="137" t="e">
        <f>'Date Calcs'!#REF!</f>
        <v>#REF!</v>
      </c>
      <c r="G117" s="137" t="e">
        <f>IF(VLOOKUP(A117,'Actual Dates'!A4:AE244,8,),'Actual Dates'!#REF!,"")</f>
        <v>#REF!</v>
      </c>
      <c r="H117" s="137" t="e">
        <f t="shared" si="24"/>
        <v>#REF!</v>
      </c>
      <c r="I117" s="137" t="e">
        <f>IF(VLOOKUP(A117,'Actual Dates'!A4:AE239,25,),'Actual Dates'!#REF!,"")</f>
        <v>#REF!</v>
      </c>
      <c r="J117" s="137" t="e">
        <f t="shared" si="25"/>
        <v>#REF!</v>
      </c>
      <c r="K117" s="137" t="e">
        <f>IF(VLOOKUP(A117,'Actual Dates'!A4:AE267,26,),'Actual Dates'!#REF!,"")</f>
        <v>#REF!</v>
      </c>
      <c r="L117" s="137" t="e">
        <f>IF(VLOOKUP(A117,'Actual Dates'!A4:AE267,21,),'Actual Dates'!#REF!,"")</f>
        <v>#REF!</v>
      </c>
      <c r="M117" s="137" t="e">
        <f>'Date Calcs'!#REF!</f>
        <v>#REF!</v>
      </c>
      <c r="N117" s="137" t="e">
        <f>IF(VLOOKUP(A117,'Actual Dates'!A4:AE267,27,),'Actual Dates'!#REF!,"")</f>
        <v>#REF!</v>
      </c>
      <c r="O117" s="138" t="e">
        <f t="shared" si="17"/>
        <v>#REF!</v>
      </c>
      <c r="P117" s="139" t="e">
        <f t="shared" si="26"/>
        <v>#REF!</v>
      </c>
      <c r="Q117" s="139" t="e">
        <f t="shared" si="27"/>
        <v>#REF!</v>
      </c>
      <c r="R117" s="170"/>
      <c r="S117" s="170"/>
      <c r="T117" s="142"/>
      <c r="U117" s="142"/>
      <c r="V117" s="142"/>
      <c r="W117" s="142"/>
      <c r="X117" s="142"/>
      <c r="Y117" s="142"/>
      <c r="Z117" s="142"/>
      <c r="AA117" s="142"/>
      <c r="AB117" s="142"/>
    </row>
    <row r="118" spans="1:28" x14ac:dyDescent="0.25">
      <c r="A118" s="134" t="e">
        <f>'Actual Dates'!#REF!</f>
        <v>#REF!</v>
      </c>
      <c r="B118" s="135" t="e">
        <f>'Date Calcs'!#REF!</f>
        <v>#REF!</v>
      </c>
      <c r="C118" s="136" t="e">
        <f>'Date Calcs'!#REF!</f>
        <v>#REF!</v>
      </c>
      <c r="D118" s="137" t="e">
        <f t="shared" si="23"/>
        <v>#REF!</v>
      </c>
      <c r="E118" s="143" t="s">
        <v>377</v>
      </c>
      <c r="F118" s="137" t="e">
        <f>'Date Calcs'!#REF!</f>
        <v>#REF!</v>
      </c>
      <c r="G118" s="137" t="e">
        <f>IF(VLOOKUP(A118,'Actual Dates'!A4:AE245,8,),'Actual Dates'!#REF!,"")</f>
        <v>#REF!</v>
      </c>
      <c r="H118" s="137" t="e">
        <f t="shared" si="24"/>
        <v>#REF!</v>
      </c>
      <c r="I118" s="137" t="e">
        <f>IF(VLOOKUP(A118,'Actual Dates'!A4:AE240,25,),'Actual Dates'!#REF!,"")</f>
        <v>#REF!</v>
      </c>
      <c r="J118" s="137" t="e">
        <f t="shared" si="25"/>
        <v>#REF!</v>
      </c>
      <c r="K118" s="137" t="e">
        <f>IF(VLOOKUP(A118,'Actual Dates'!A4:AE268,26,),'Actual Dates'!#REF!,"")</f>
        <v>#REF!</v>
      </c>
      <c r="L118" s="137" t="e">
        <f>IF(VLOOKUP(A118,'Actual Dates'!A4:AE268,21,),'Actual Dates'!#REF!,"")</f>
        <v>#REF!</v>
      </c>
      <c r="M118" s="137" t="e">
        <f>'Date Calcs'!#REF!</f>
        <v>#REF!</v>
      </c>
      <c r="N118" s="137" t="e">
        <f>IF(VLOOKUP(A118,'Actual Dates'!A4:AE268,27,),'Actual Dates'!#REF!,"")</f>
        <v>#REF!</v>
      </c>
      <c r="O118" s="138" t="e">
        <f t="shared" si="17"/>
        <v>#REF!</v>
      </c>
      <c r="P118" s="139" t="e">
        <f t="shared" si="26"/>
        <v>#REF!</v>
      </c>
      <c r="Q118" s="139" t="e">
        <f t="shared" si="27"/>
        <v>#REF!</v>
      </c>
      <c r="R118" s="170"/>
      <c r="S118" s="170"/>
      <c r="T118" s="142"/>
      <c r="U118" s="142"/>
      <c r="V118" s="142"/>
      <c r="W118" s="142"/>
      <c r="X118" s="142"/>
      <c r="Y118" s="142"/>
      <c r="Z118" s="142"/>
      <c r="AA118" s="142"/>
      <c r="AB118" s="142"/>
    </row>
    <row r="119" spans="1:28" x14ac:dyDescent="0.25">
      <c r="A119" s="134" t="e">
        <f>'Actual Dates'!#REF!</f>
        <v>#REF!</v>
      </c>
      <c r="B119" s="135" t="e">
        <f>'Date Calcs'!#REF!</f>
        <v>#REF!</v>
      </c>
      <c r="C119" s="136" t="e">
        <f>'Date Calcs'!#REF!</f>
        <v>#REF!</v>
      </c>
      <c r="D119" s="137" t="e">
        <f t="shared" si="23"/>
        <v>#REF!</v>
      </c>
      <c r="E119" s="143" t="s">
        <v>377</v>
      </c>
      <c r="F119" s="137" t="e">
        <f>'Date Calcs'!#REF!</f>
        <v>#REF!</v>
      </c>
      <c r="G119" s="137" t="e">
        <f>IF(VLOOKUP(A119,'Actual Dates'!A4:AE246,8,),'Actual Dates'!#REF!,"")</f>
        <v>#REF!</v>
      </c>
      <c r="H119" s="137" t="e">
        <f t="shared" si="24"/>
        <v>#REF!</v>
      </c>
      <c r="I119" s="137" t="e">
        <f>IF(VLOOKUP(A119,'Actual Dates'!A4:AE241,25,),'Actual Dates'!#REF!,"")</f>
        <v>#REF!</v>
      </c>
      <c r="J119" s="137" t="e">
        <f t="shared" si="25"/>
        <v>#REF!</v>
      </c>
      <c r="K119" s="137" t="e">
        <f>IF(VLOOKUP(A119,'Actual Dates'!A4:AE269,26,),'Actual Dates'!#REF!,"")</f>
        <v>#REF!</v>
      </c>
      <c r="L119" s="137" t="e">
        <f>IF(VLOOKUP(A119,'Actual Dates'!A4:AE269,21,),'Actual Dates'!#REF!,"")</f>
        <v>#REF!</v>
      </c>
      <c r="M119" s="137" t="e">
        <f>'Date Calcs'!#REF!</f>
        <v>#REF!</v>
      </c>
      <c r="N119" s="137" t="e">
        <f>IF(VLOOKUP(A119,'Actual Dates'!A4:AE269,27,),'Actual Dates'!#REF!,"")</f>
        <v>#REF!</v>
      </c>
      <c r="O119" s="138" t="e">
        <f t="shared" si="17"/>
        <v>#REF!</v>
      </c>
      <c r="P119" s="139" t="e">
        <f t="shared" si="26"/>
        <v>#REF!</v>
      </c>
      <c r="Q119" s="139" t="e">
        <f t="shared" si="27"/>
        <v>#REF!</v>
      </c>
      <c r="R119" s="170"/>
      <c r="S119" s="170"/>
      <c r="T119" s="142"/>
      <c r="U119" s="142"/>
      <c r="V119" s="142"/>
      <c r="W119" s="142"/>
      <c r="X119" s="142"/>
      <c r="Y119" s="142"/>
      <c r="Z119" s="142"/>
      <c r="AA119" s="142"/>
      <c r="AB119" s="142"/>
    </row>
    <row r="120" spans="1:28" x14ac:dyDescent="0.25">
      <c r="A120" s="134" t="e">
        <f>'Actual Dates'!#REF!</f>
        <v>#REF!</v>
      </c>
      <c r="B120" s="135" t="e">
        <f>'Date Calcs'!#REF!</f>
        <v>#REF!</v>
      </c>
      <c r="C120" s="136" t="e">
        <f>'Date Calcs'!#REF!</f>
        <v>#REF!</v>
      </c>
      <c r="D120" s="137" t="e">
        <f t="shared" si="23"/>
        <v>#REF!</v>
      </c>
      <c r="E120" s="143" t="s">
        <v>377</v>
      </c>
      <c r="F120" s="137" t="e">
        <f>'Date Calcs'!#REF!</f>
        <v>#REF!</v>
      </c>
      <c r="G120" s="137" t="e">
        <f>IF(VLOOKUP(A120,'Actual Dates'!A4:AE247,8,),'Actual Dates'!#REF!,"")</f>
        <v>#REF!</v>
      </c>
      <c r="H120" s="137" t="e">
        <f t="shared" si="24"/>
        <v>#REF!</v>
      </c>
      <c r="I120" s="137" t="e">
        <f>IF(VLOOKUP(A120,'Actual Dates'!A4:AE242,25,),'Actual Dates'!#REF!,"")</f>
        <v>#REF!</v>
      </c>
      <c r="J120" s="137" t="e">
        <f t="shared" si="25"/>
        <v>#REF!</v>
      </c>
      <c r="K120" s="137" t="e">
        <f>IF(VLOOKUP(A120,'Actual Dates'!A4:AE270,26,),'Actual Dates'!#REF!,"")</f>
        <v>#REF!</v>
      </c>
      <c r="L120" s="137" t="e">
        <f>IF(VLOOKUP(A120,'Actual Dates'!A4:AE270,21,),'Actual Dates'!#REF!,"")</f>
        <v>#REF!</v>
      </c>
      <c r="M120" s="137" t="e">
        <f>'Date Calcs'!#REF!</f>
        <v>#REF!</v>
      </c>
      <c r="N120" s="137" t="e">
        <f>IF(VLOOKUP(A120,'Actual Dates'!A4:AE270,27,),'Actual Dates'!#REF!,"")</f>
        <v>#REF!</v>
      </c>
      <c r="O120" s="138" t="e">
        <f t="shared" si="17"/>
        <v>#REF!</v>
      </c>
      <c r="P120" s="139" t="e">
        <f t="shared" si="26"/>
        <v>#REF!</v>
      </c>
      <c r="Q120" s="139" t="e">
        <f t="shared" si="27"/>
        <v>#REF!</v>
      </c>
      <c r="R120" s="170"/>
      <c r="S120" s="170"/>
      <c r="T120" s="142"/>
      <c r="U120" s="142"/>
      <c r="V120" s="142"/>
      <c r="W120" s="142"/>
      <c r="X120" s="142"/>
      <c r="Y120" s="142"/>
      <c r="Z120" s="142"/>
      <c r="AA120" s="142"/>
      <c r="AB120" s="142"/>
    </row>
    <row r="121" spans="1:28" x14ac:dyDescent="0.25">
      <c r="A121" s="134" t="e">
        <f>'Actual Dates'!#REF!</f>
        <v>#REF!</v>
      </c>
      <c r="B121" s="135" t="e">
        <f>'Date Calcs'!#REF!</f>
        <v>#REF!</v>
      </c>
      <c r="C121" s="136" t="e">
        <f>'Date Calcs'!#REF!</f>
        <v>#REF!</v>
      </c>
      <c r="D121" s="137" t="e">
        <f t="shared" si="23"/>
        <v>#REF!</v>
      </c>
      <c r="E121" s="143" t="s">
        <v>377</v>
      </c>
      <c r="F121" s="137" t="e">
        <f>'Date Calcs'!#REF!</f>
        <v>#REF!</v>
      </c>
      <c r="G121" s="137" t="e">
        <f>IF(VLOOKUP(A121,'Actual Dates'!A4:AE248,8,),'Actual Dates'!#REF!,"")</f>
        <v>#REF!</v>
      </c>
      <c r="H121" s="137" t="e">
        <f t="shared" si="24"/>
        <v>#REF!</v>
      </c>
      <c r="I121" s="137" t="e">
        <f>IF(VLOOKUP(A121,'Actual Dates'!A4:AE243,25,),'Actual Dates'!#REF!,"")</f>
        <v>#REF!</v>
      </c>
      <c r="J121" s="137" t="e">
        <f t="shared" si="25"/>
        <v>#REF!</v>
      </c>
      <c r="K121" s="137" t="e">
        <f>IF(VLOOKUP(A121,'Actual Dates'!A4:AE271,26,),'Actual Dates'!#REF!,"")</f>
        <v>#REF!</v>
      </c>
      <c r="L121" s="137" t="e">
        <f>IF(VLOOKUP(A121,'Actual Dates'!A4:AE271,21,),'Actual Dates'!#REF!,"")</f>
        <v>#REF!</v>
      </c>
      <c r="M121" s="137" t="e">
        <f>'Date Calcs'!#REF!</f>
        <v>#REF!</v>
      </c>
      <c r="N121" s="137" t="e">
        <f>IF(VLOOKUP(A121,'Actual Dates'!A4:AE271,27,),'Actual Dates'!#REF!,"")</f>
        <v>#REF!</v>
      </c>
      <c r="O121" s="138" t="e">
        <f t="shared" si="17"/>
        <v>#REF!</v>
      </c>
      <c r="P121" s="139" t="e">
        <f t="shared" si="26"/>
        <v>#REF!</v>
      </c>
      <c r="Q121" s="139" t="e">
        <f t="shared" si="27"/>
        <v>#REF!</v>
      </c>
      <c r="R121" s="170"/>
      <c r="S121" s="170"/>
      <c r="T121" s="142"/>
      <c r="U121" s="142"/>
      <c r="V121" s="142"/>
      <c r="W121" s="142"/>
      <c r="X121" s="142"/>
      <c r="Y121" s="142"/>
      <c r="Z121" s="142"/>
      <c r="AA121" s="142"/>
      <c r="AB121" s="142"/>
    </row>
    <row r="122" spans="1:28" x14ac:dyDescent="0.25">
      <c r="A122" s="134" t="e">
        <f>'Actual Dates'!#REF!</f>
        <v>#REF!</v>
      </c>
      <c r="B122" s="135" t="e">
        <f>'Date Calcs'!#REF!</f>
        <v>#REF!</v>
      </c>
      <c r="C122" s="136" t="e">
        <f>'Date Calcs'!#REF!</f>
        <v>#REF!</v>
      </c>
      <c r="D122" s="137" t="e">
        <f t="shared" si="23"/>
        <v>#REF!</v>
      </c>
      <c r="E122" s="143" t="s">
        <v>377</v>
      </c>
      <c r="F122" s="137" t="e">
        <f>'Date Calcs'!#REF!</f>
        <v>#REF!</v>
      </c>
      <c r="G122" s="137" t="e">
        <f>IF(VLOOKUP(A122,'Actual Dates'!A4:AE249,8,),'Actual Dates'!#REF!,"")</f>
        <v>#REF!</v>
      </c>
      <c r="H122" s="137" t="e">
        <f t="shared" si="24"/>
        <v>#REF!</v>
      </c>
      <c r="I122" s="137" t="e">
        <f>IF(VLOOKUP(A122,'Actual Dates'!A4:AE244,25,),'Actual Dates'!#REF!,"")</f>
        <v>#REF!</v>
      </c>
      <c r="J122" s="137" t="e">
        <f t="shared" si="25"/>
        <v>#REF!</v>
      </c>
      <c r="K122" s="137" t="e">
        <f>IF(VLOOKUP(A122,'Actual Dates'!A4:AE272,26,),'Actual Dates'!#REF!,"")</f>
        <v>#REF!</v>
      </c>
      <c r="L122" s="137" t="e">
        <f>IF(VLOOKUP(A122,'Actual Dates'!A4:AE272,21,),'Actual Dates'!#REF!,"")</f>
        <v>#REF!</v>
      </c>
      <c r="M122" s="137" t="e">
        <f>'Date Calcs'!#REF!</f>
        <v>#REF!</v>
      </c>
      <c r="N122" s="137" t="e">
        <f>IF(VLOOKUP(A122,'Actual Dates'!A4:AE272,27,),'Actual Dates'!#REF!,"")</f>
        <v>#REF!</v>
      </c>
      <c r="O122" s="138" t="e">
        <f t="shared" si="17"/>
        <v>#REF!</v>
      </c>
      <c r="P122" s="139" t="e">
        <f t="shared" si="26"/>
        <v>#REF!</v>
      </c>
      <c r="Q122" s="139" t="e">
        <f t="shared" si="27"/>
        <v>#REF!</v>
      </c>
      <c r="R122" s="170"/>
      <c r="S122" s="170"/>
      <c r="T122" s="142"/>
      <c r="U122" s="142"/>
      <c r="V122" s="142"/>
      <c r="W122" s="142"/>
      <c r="X122" s="142"/>
      <c r="Y122" s="142"/>
      <c r="Z122" s="142"/>
      <c r="AA122" s="142"/>
      <c r="AB122" s="142"/>
    </row>
    <row r="123" spans="1:28" x14ac:dyDescent="0.25">
      <c r="A123" s="134" t="e">
        <f>'Actual Dates'!#REF!</f>
        <v>#REF!</v>
      </c>
      <c r="B123" s="135" t="e">
        <f>'Date Calcs'!#REF!</f>
        <v>#REF!</v>
      </c>
      <c r="C123" s="136" t="e">
        <f>'Date Calcs'!#REF!</f>
        <v>#REF!</v>
      </c>
      <c r="D123" s="137" t="e">
        <f t="shared" si="23"/>
        <v>#REF!</v>
      </c>
      <c r="E123" s="143" t="s">
        <v>377</v>
      </c>
      <c r="F123" s="137" t="e">
        <f>'Date Calcs'!#REF!</f>
        <v>#REF!</v>
      </c>
      <c r="G123" s="137" t="e">
        <f>IF(VLOOKUP(A123,'Actual Dates'!A4:AE250,8,),'Actual Dates'!#REF!,"")</f>
        <v>#REF!</v>
      </c>
      <c r="H123" s="137" t="e">
        <f t="shared" si="24"/>
        <v>#REF!</v>
      </c>
      <c r="I123" s="137" t="e">
        <f>IF(VLOOKUP(A123,'Actual Dates'!A4:AE245,25,),'Actual Dates'!#REF!,"")</f>
        <v>#REF!</v>
      </c>
      <c r="J123" s="137" t="e">
        <f t="shared" si="25"/>
        <v>#REF!</v>
      </c>
      <c r="K123" s="137" t="e">
        <f>IF(VLOOKUP(A123,'Actual Dates'!A4:AE273,26,),'Actual Dates'!#REF!,"")</f>
        <v>#REF!</v>
      </c>
      <c r="L123" s="137" t="e">
        <f>IF(VLOOKUP(A123,'Actual Dates'!A4:AE273,21,),'Actual Dates'!#REF!,"")</f>
        <v>#REF!</v>
      </c>
      <c r="M123" s="137" t="e">
        <f>'Date Calcs'!#REF!</f>
        <v>#REF!</v>
      </c>
      <c r="N123" s="137" t="e">
        <f>IF(VLOOKUP(A123,'Actual Dates'!A4:AE273,27,),'Actual Dates'!#REF!,"")</f>
        <v>#REF!</v>
      </c>
      <c r="O123" s="138" t="e">
        <f t="shared" si="17"/>
        <v>#REF!</v>
      </c>
      <c r="P123" s="139" t="e">
        <f t="shared" si="26"/>
        <v>#REF!</v>
      </c>
      <c r="Q123" s="139" t="e">
        <f t="shared" si="27"/>
        <v>#REF!</v>
      </c>
      <c r="R123" s="170"/>
      <c r="S123" s="170"/>
      <c r="T123" s="142"/>
      <c r="U123" s="142"/>
      <c r="V123" s="142"/>
      <c r="W123" s="142"/>
      <c r="X123" s="142"/>
      <c r="Y123" s="142"/>
      <c r="Z123" s="142"/>
      <c r="AA123" s="142"/>
      <c r="AB123" s="142"/>
    </row>
    <row r="124" spans="1:28" x14ac:dyDescent="0.25">
      <c r="A124" s="134" t="e">
        <f>'Actual Dates'!#REF!</f>
        <v>#REF!</v>
      </c>
      <c r="B124" s="135" t="e">
        <f>'Date Calcs'!#REF!</f>
        <v>#REF!</v>
      </c>
      <c r="C124" s="136" t="e">
        <f>'Date Calcs'!#REF!</f>
        <v>#REF!</v>
      </c>
      <c r="D124" s="137" t="e">
        <f t="shared" si="23"/>
        <v>#REF!</v>
      </c>
      <c r="E124" s="143" t="s">
        <v>377</v>
      </c>
      <c r="F124" s="137" t="e">
        <f>'Date Calcs'!#REF!</f>
        <v>#REF!</v>
      </c>
      <c r="G124" s="137" t="e">
        <f>IF(VLOOKUP(A124,'Actual Dates'!A4:AE251,8,),'Actual Dates'!#REF!,"")</f>
        <v>#REF!</v>
      </c>
      <c r="H124" s="137" t="e">
        <f t="shared" si="24"/>
        <v>#REF!</v>
      </c>
      <c r="I124" s="137" t="e">
        <f>IF(VLOOKUP(A124,'Actual Dates'!A4:AE246,25,),'Actual Dates'!#REF!,"")</f>
        <v>#REF!</v>
      </c>
      <c r="J124" s="137" t="e">
        <f t="shared" si="25"/>
        <v>#REF!</v>
      </c>
      <c r="K124" s="137" t="e">
        <f>IF(VLOOKUP(A124,'Actual Dates'!A4:AE274,26,),'Actual Dates'!#REF!,"")</f>
        <v>#REF!</v>
      </c>
      <c r="L124" s="137" t="e">
        <f>IF(VLOOKUP(A124,'Actual Dates'!A4:AE274,21,),'Actual Dates'!#REF!,"")</f>
        <v>#REF!</v>
      </c>
      <c r="M124" s="137" t="e">
        <f>'Date Calcs'!#REF!</f>
        <v>#REF!</v>
      </c>
      <c r="N124" s="137" t="e">
        <f>IF(VLOOKUP(A124,'Actual Dates'!A4:AE274,27,),'Actual Dates'!#REF!,"")</f>
        <v>#REF!</v>
      </c>
      <c r="O124" s="138" t="e">
        <f t="shared" si="17"/>
        <v>#REF!</v>
      </c>
      <c r="P124" s="139" t="e">
        <f t="shared" si="26"/>
        <v>#REF!</v>
      </c>
      <c r="Q124" s="139" t="e">
        <f t="shared" si="27"/>
        <v>#REF!</v>
      </c>
      <c r="R124" s="170"/>
      <c r="S124" s="170"/>
      <c r="T124" s="142"/>
      <c r="U124" s="142"/>
      <c r="V124" s="142"/>
      <c r="W124" s="142"/>
      <c r="X124" s="142"/>
      <c r="Y124" s="142"/>
      <c r="Z124" s="142"/>
      <c r="AA124" s="142"/>
      <c r="AB124" s="142"/>
    </row>
    <row r="125" spans="1:28" x14ac:dyDescent="0.25">
      <c r="A125" s="134" t="e">
        <f>'Actual Dates'!#REF!</f>
        <v>#REF!</v>
      </c>
      <c r="B125" s="135" t="e">
        <f>'Date Calcs'!#REF!</f>
        <v>#REF!</v>
      </c>
      <c r="C125" s="136" t="e">
        <f>'Date Calcs'!#REF!</f>
        <v>#REF!</v>
      </c>
      <c r="D125" s="137" t="e">
        <f t="shared" si="23"/>
        <v>#REF!</v>
      </c>
      <c r="E125" s="143" t="s">
        <v>377</v>
      </c>
      <c r="F125" s="137" t="e">
        <f>'Date Calcs'!#REF!</f>
        <v>#REF!</v>
      </c>
      <c r="G125" s="137" t="e">
        <f>IF(VLOOKUP(A125,'Actual Dates'!A4:AE252,8,),'Actual Dates'!#REF!,"")</f>
        <v>#REF!</v>
      </c>
      <c r="H125" s="137" t="e">
        <f t="shared" si="24"/>
        <v>#REF!</v>
      </c>
      <c r="I125" s="137" t="e">
        <f>IF(VLOOKUP(A125,'Actual Dates'!A4:AE247,25,),'Actual Dates'!#REF!,"")</f>
        <v>#REF!</v>
      </c>
      <c r="J125" s="137" t="e">
        <f t="shared" si="25"/>
        <v>#REF!</v>
      </c>
      <c r="K125" s="137" t="e">
        <f>IF(VLOOKUP(A125,'Actual Dates'!A4:AE275,26,),'Actual Dates'!#REF!,"")</f>
        <v>#REF!</v>
      </c>
      <c r="L125" s="137" t="e">
        <f>IF(VLOOKUP(A125,'Actual Dates'!A4:AE275,21,),'Actual Dates'!#REF!,"")</f>
        <v>#REF!</v>
      </c>
      <c r="M125" s="137" t="e">
        <f>'Date Calcs'!#REF!</f>
        <v>#REF!</v>
      </c>
      <c r="N125" s="137" t="e">
        <f>IF(VLOOKUP(A125,'Actual Dates'!A4:AE275,27,),'Actual Dates'!#REF!,"")</f>
        <v>#REF!</v>
      </c>
      <c r="O125" s="138" t="e">
        <f t="shared" si="17"/>
        <v>#REF!</v>
      </c>
      <c r="P125" s="139" t="e">
        <f t="shared" si="26"/>
        <v>#REF!</v>
      </c>
      <c r="Q125" s="139" t="e">
        <f t="shared" si="27"/>
        <v>#REF!</v>
      </c>
      <c r="R125" s="170"/>
      <c r="S125" s="170"/>
      <c r="T125" s="142"/>
      <c r="U125" s="142"/>
      <c r="V125" s="142"/>
      <c r="W125" s="142"/>
      <c r="X125" s="142"/>
      <c r="Y125" s="142"/>
      <c r="Z125" s="142"/>
      <c r="AA125" s="142"/>
      <c r="AB125" s="142"/>
    </row>
    <row r="126" spans="1:28" x14ac:dyDescent="0.25">
      <c r="A126" s="134" t="e">
        <f>'Actual Dates'!#REF!</f>
        <v>#REF!</v>
      </c>
      <c r="B126" s="135" t="e">
        <f>'Date Calcs'!#REF!</f>
        <v>#REF!</v>
      </c>
      <c r="C126" s="136" t="e">
        <f>'Date Calcs'!#REF!</f>
        <v>#REF!</v>
      </c>
      <c r="D126" s="137" t="e">
        <f t="shared" si="23"/>
        <v>#REF!</v>
      </c>
      <c r="E126" s="143" t="s">
        <v>377</v>
      </c>
      <c r="F126" s="137" t="e">
        <f>'Date Calcs'!#REF!</f>
        <v>#REF!</v>
      </c>
      <c r="G126" s="137" t="e">
        <f>IF(VLOOKUP(A126,'Actual Dates'!A4:AE253,8,),'Actual Dates'!#REF!,"")</f>
        <v>#REF!</v>
      </c>
      <c r="H126" s="137" t="e">
        <f t="shared" si="24"/>
        <v>#REF!</v>
      </c>
      <c r="I126" s="137" t="e">
        <f>IF(VLOOKUP(A126,'Actual Dates'!A4:AE248,25,),'Actual Dates'!#REF!,"")</f>
        <v>#REF!</v>
      </c>
      <c r="J126" s="137" t="e">
        <f t="shared" si="25"/>
        <v>#REF!</v>
      </c>
      <c r="K126" s="137" t="e">
        <f>IF(VLOOKUP(A126,'Actual Dates'!A4:AE276,26,),'Actual Dates'!#REF!,"")</f>
        <v>#REF!</v>
      </c>
      <c r="L126" s="137" t="e">
        <f>IF(VLOOKUP(A126,'Actual Dates'!A4:AE276,21,),'Actual Dates'!#REF!,"")</f>
        <v>#REF!</v>
      </c>
      <c r="M126" s="137" t="e">
        <f>'Date Calcs'!#REF!</f>
        <v>#REF!</v>
      </c>
      <c r="N126" s="137" t="e">
        <f>IF(VLOOKUP(A126,'Actual Dates'!A4:AE276,27,),'Actual Dates'!#REF!,"")</f>
        <v>#REF!</v>
      </c>
      <c r="O126" s="138" t="e">
        <f t="shared" si="17"/>
        <v>#REF!</v>
      </c>
      <c r="P126" s="139" t="e">
        <f t="shared" si="26"/>
        <v>#REF!</v>
      </c>
      <c r="Q126" s="139" t="e">
        <f t="shared" si="27"/>
        <v>#REF!</v>
      </c>
      <c r="R126" s="170"/>
      <c r="S126" s="170"/>
      <c r="T126" s="142"/>
      <c r="U126" s="142"/>
      <c r="V126" s="142"/>
      <c r="W126" s="142"/>
      <c r="X126" s="142"/>
      <c r="Y126" s="142"/>
      <c r="Z126" s="142"/>
      <c r="AA126" s="142"/>
      <c r="AB126" s="142"/>
    </row>
    <row r="127" spans="1:28" x14ac:dyDescent="0.25">
      <c r="A127" s="134" t="e">
        <f>'Actual Dates'!#REF!</f>
        <v>#REF!</v>
      </c>
      <c r="B127" s="135" t="e">
        <f>'Date Calcs'!#REF!</f>
        <v>#REF!</v>
      </c>
      <c r="C127" s="136" t="e">
        <f>'Date Calcs'!#REF!</f>
        <v>#REF!</v>
      </c>
      <c r="D127" s="137" t="e">
        <f t="shared" si="23"/>
        <v>#REF!</v>
      </c>
      <c r="E127" s="143" t="s">
        <v>377</v>
      </c>
      <c r="F127" s="137" t="e">
        <f>'Date Calcs'!#REF!</f>
        <v>#REF!</v>
      </c>
      <c r="G127" s="137" t="e">
        <f>IF(VLOOKUP(A127,'Actual Dates'!A4:AE254,8,),'Actual Dates'!#REF!,"")</f>
        <v>#REF!</v>
      </c>
      <c r="H127" s="137" t="e">
        <f t="shared" si="24"/>
        <v>#REF!</v>
      </c>
      <c r="I127" s="137" t="e">
        <f>IF(VLOOKUP(A127,'Actual Dates'!A4:AE249,25,),'Actual Dates'!#REF!,"")</f>
        <v>#REF!</v>
      </c>
      <c r="J127" s="137" t="e">
        <f t="shared" si="25"/>
        <v>#REF!</v>
      </c>
      <c r="K127" s="137" t="e">
        <f>IF(VLOOKUP(A127,'Actual Dates'!A4:AE277,26,),'Actual Dates'!#REF!,"")</f>
        <v>#REF!</v>
      </c>
      <c r="L127" s="137" t="e">
        <f>IF(VLOOKUP(A127,'Actual Dates'!A4:AE277,21,),'Actual Dates'!#REF!,"")</f>
        <v>#REF!</v>
      </c>
      <c r="M127" s="137" t="e">
        <f>'Date Calcs'!#REF!</f>
        <v>#REF!</v>
      </c>
      <c r="N127" s="137" t="e">
        <f>IF(VLOOKUP(A127,'Actual Dates'!A4:AE277,27,),'Actual Dates'!#REF!,"")</f>
        <v>#REF!</v>
      </c>
      <c r="O127" s="138" t="e">
        <f t="shared" si="17"/>
        <v>#REF!</v>
      </c>
      <c r="P127" s="139" t="e">
        <f t="shared" si="26"/>
        <v>#REF!</v>
      </c>
      <c r="Q127" s="139" t="e">
        <f t="shared" si="27"/>
        <v>#REF!</v>
      </c>
      <c r="R127" s="170"/>
      <c r="S127" s="170"/>
      <c r="T127" s="142"/>
      <c r="U127" s="142"/>
      <c r="V127" s="142"/>
      <c r="W127" s="142"/>
      <c r="X127" s="142"/>
      <c r="Y127" s="142"/>
      <c r="Z127" s="142"/>
      <c r="AA127" s="142"/>
      <c r="AB127" s="142"/>
    </row>
    <row r="128" spans="1:28" x14ac:dyDescent="0.25">
      <c r="A128" s="134" t="e">
        <f>'Actual Dates'!#REF!</f>
        <v>#REF!</v>
      </c>
      <c r="B128" s="135" t="e">
        <f>'Date Calcs'!#REF!</f>
        <v>#REF!</v>
      </c>
      <c r="C128" s="136" t="e">
        <f>'Date Calcs'!#REF!</f>
        <v>#REF!</v>
      </c>
      <c r="D128" s="137" t="e">
        <f t="shared" si="23"/>
        <v>#REF!</v>
      </c>
      <c r="E128" s="143" t="s">
        <v>377</v>
      </c>
      <c r="F128" s="137" t="e">
        <f>'Date Calcs'!#REF!</f>
        <v>#REF!</v>
      </c>
      <c r="G128" s="137" t="e">
        <f>IF(VLOOKUP(A128,'Actual Dates'!A4:AE255,8,),'Actual Dates'!#REF!,"")</f>
        <v>#REF!</v>
      </c>
      <c r="H128" s="137" t="e">
        <f t="shared" si="24"/>
        <v>#REF!</v>
      </c>
      <c r="I128" s="137" t="e">
        <f>IF(VLOOKUP(A128,'Actual Dates'!A4:AE250,25,),'Actual Dates'!#REF!,"")</f>
        <v>#REF!</v>
      </c>
      <c r="J128" s="137" t="e">
        <f t="shared" si="25"/>
        <v>#REF!</v>
      </c>
      <c r="K128" s="137" t="e">
        <f>IF(VLOOKUP(A128,'Actual Dates'!A4:AE278,26,),'Actual Dates'!#REF!,"")</f>
        <v>#REF!</v>
      </c>
      <c r="L128" s="137" t="e">
        <f>IF(VLOOKUP(A128,'Actual Dates'!A4:AE278,21,),'Actual Dates'!#REF!,"")</f>
        <v>#REF!</v>
      </c>
      <c r="M128" s="137" t="e">
        <f>'Date Calcs'!#REF!</f>
        <v>#REF!</v>
      </c>
      <c r="N128" s="137" t="e">
        <f>IF(VLOOKUP(A128,'Actual Dates'!A4:AE278,27,),'Actual Dates'!#REF!,"")</f>
        <v>#REF!</v>
      </c>
      <c r="O128" s="138" t="e">
        <f t="shared" si="17"/>
        <v>#REF!</v>
      </c>
      <c r="P128" s="139" t="e">
        <f t="shared" si="26"/>
        <v>#REF!</v>
      </c>
      <c r="Q128" s="139" t="e">
        <f t="shared" si="27"/>
        <v>#REF!</v>
      </c>
      <c r="R128" s="170"/>
      <c r="S128" s="170"/>
      <c r="T128" s="142"/>
      <c r="U128" s="142"/>
      <c r="V128" s="142"/>
      <c r="W128" s="142"/>
      <c r="X128" s="142"/>
      <c r="Y128" s="142"/>
      <c r="Z128" s="142"/>
      <c r="AA128" s="142"/>
      <c r="AB128" s="142"/>
    </row>
    <row r="129" spans="1:28" x14ac:dyDescent="0.25">
      <c r="A129" s="134" t="e">
        <f>'Actual Dates'!#REF!</f>
        <v>#REF!</v>
      </c>
      <c r="B129" s="135" t="e">
        <f>'Date Calcs'!#REF!</f>
        <v>#REF!</v>
      </c>
      <c r="C129" s="136" t="e">
        <f>'Date Calcs'!#REF!</f>
        <v>#REF!</v>
      </c>
      <c r="D129" s="137" t="e">
        <f t="shared" si="23"/>
        <v>#REF!</v>
      </c>
      <c r="E129" s="143" t="s">
        <v>377</v>
      </c>
      <c r="F129" s="137" t="e">
        <f>'Date Calcs'!#REF!</f>
        <v>#REF!</v>
      </c>
      <c r="G129" s="137" t="e">
        <f>IF(VLOOKUP(A129,'Actual Dates'!A4:AE256,8,),'Actual Dates'!#REF!,"")</f>
        <v>#REF!</v>
      </c>
      <c r="H129" s="137" t="e">
        <f t="shared" si="24"/>
        <v>#REF!</v>
      </c>
      <c r="I129" s="137" t="e">
        <f>IF(VLOOKUP(A129,'Actual Dates'!A4:AE251,25,),'Actual Dates'!#REF!,"")</f>
        <v>#REF!</v>
      </c>
      <c r="J129" s="137" t="e">
        <f t="shared" si="25"/>
        <v>#REF!</v>
      </c>
      <c r="K129" s="137" t="e">
        <f>IF(VLOOKUP(A129,'Actual Dates'!A4:AE279,26,),'Actual Dates'!#REF!,"")</f>
        <v>#REF!</v>
      </c>
      <c r="L129" s="137" t="e">
        <f>IF(VLOOKUP(A129,'Actual Dates'!A4:AE279,21,),'Actual Dates'!#REF!,"")</f>
        <v>#REF!</v>
      </c>
      <c r="M129" s="137" t="e">
        <f>'Date Calcs'!#REF!</f>
        <v>#REF!</v>
      </c>
      <c r="N129" s="137" t="e">
        <f>IF(VLOOKUP(A129,'Actual Dates'!A4:AE279,27,),'Actual Dates'!#REF!,"")</f>
        <v>#REF!</v>
      </c>
      <c r="O129" s="138" t="e">
        <f t="shared" si="17"/>
        <v>#REF!</v>
      </c>
      <c r="P129" s="139" t="e">
        <f t="shared" si="26"/>
        <v>#REF!</v>
      </c>
      <c r="Q129" s="139" t="e">
        <f t="shared" si="27"/>
        <v>#REF!</v>
      </c>
      <c r="R129" s="170"/>
      <c r="S129" s="170"/>
      <c r="T129" s="142"/>
      <c r="U129" s="142"/>
      <c r="V129" s="142"/>
      <c r="W129" s="142"/>
      <c r="X129" s="142"/>
      <c r="Y129" s="142"/>
      <c r="Z129" s="142"/>
      <c r="AA129" s="142"/>
      <c r="AB129" s="142"/>
    </row>
    <row r="130" spans="1:28" x14ac:dyDescent="0.25">
      <c r="A130" s="134" t="e">
        <f>'Actual Dates'!#REF!</f>
        <v>#REF!</v>
      </c>
      <c r="B130" s="135" t="e">
        <f>'Date Calcs'!#REF!</f>
        <v>#REF!</v>
      </c>
      <c r="C130" s="136" t="e">
        <f>'Date Calcs'!#REF!</f>
        <v>#REF!</v>
      </c>
      <c r="D130" s="137" t="e">
        <f t="shared" si="23"/>
        <v>#REF!</v>
      </c>
      <c r="E130" s="143" t="s">
        <v>377</v>
      </c>
      <c r="F130" s="137" t="e">
        <f>'Date Calcs'!#REF!</f>
        <v>#REF!</v>
      </c>
      <c r="G130" s="137" t="e">
        <f>IF(VLOOKUP(A130,'Actual Dates'!A4:AE257,8,),'Actual Dates'!#REF!,"")</f>
        <v>#REF!</v>
      </c>
      <c r="H130" s="137" t="e">
        <f t="shared" si="24"/>
        <v>#REF!</v>
      </c>
      <c r="I130" s="137" t="e">
        <f>IF(VLOOKUP(A130,'Actual Dates'!A4:AE252,25,),'Actual Dates'!#REF!,"")</f>
        <v>#REF!</v>
      </c>
      <c r="J130" s="137" t="e">
        <f t="shared" si="25"/>
        <v>#REF!</v>
      </c>
      <c r="K130" s="137" t="e">
        <f>IF(VLOOKUP(A130,'Actual Dates'!A4:AE280,26,),'Actual Dates'!#REF!,"")</f>
        <v>#REF!</v>
      </c>
      <c r="L130" s="137" t="e">
        <f>IF(VLOOKUP(A130,'Actual Dates'!A4:AE280,21,),'Actual Dates'!#REF!,"")</f>
        <v>#REF!</v>
      </c>
      <c r="M130" s="137" t="e">
        <f>'Date Calcs'!#REF!</f>
        <v>#REF!</v>
      </c>
      <c r="N130" s="137" t="e">
        <f>IF(VLOOKUP(A130,'Actual Dates'!A4:AE280,27,),'Actual Dates'!#REF!,"")</f>
        <v>#REF!</v>
      </c>
      <c r="O130" s="138" t="e">
        <f t="shared" si="17"/>
        <v>#REF!</v>
      </c>
      <c r="P130" s="139" t="e">
        <f t="shared" si="26"/>
        <v>#REF!</v>
      </c>
      <c r="Q130" s="139" t="e">
        <f t="shared" si="27"/>
        <v>#REF!</v>
      </c>
      <c r="R130" s="170"/>
      <c r="S130" s="170"/>
      <c r="T130" s="142"/>
      <c r="U130" s="142"/>
      <c r="V130" s="142"/>
      <c r="W130" s="142"/>
      <c r="X130" s="142"/>
      <c r="Y130" s="142"/>
      <c r="Z130" s="142"/>
      <c r="AA130" s="142"/>
      <c r="AB130" s="142"/>
    </row>
    <row r="131" spans="1:28" x14ac:dyDescent="0.25">
      <c r="A131" s="134" t="e">
        <f>'Actual Dates'!#REF!</f>
        <v>#REF!</v>
      </c>
      <c r="B131" s="135" t="e">
        <f>'Date Calcs'!#REF!</f>
        <v>#REF!</v>
      </c>
      <c r="C131" s="136" t="e">
        <f>'Date Calcs'!#REF!</f>
        <v>#REF!</v>
      </c>
      <c r="D131" s="137" t="e">
        <f t="shared" si="23"/>
        <v>#REF!</v>
      </c>
      <c r="E131" s="143" t="s">
        <v>377</v>
      </c>
      <c r="F131" s="137" t="e">
        <f>'Date Calcs'!#REF!</f>
        <v>#REF!</v>
      </c>
      <c r="G131" s="137" t="e">
        <f>IF(VLOOKUP(A131,'Actual Dates'!A4:AE258,8,),'Actual Dates'!#REF!,"")</f>
        <v>#REF!</v>
      </c>
      <c r="H131" s="137" t="e">
        <f t="shared" si="24"/>
        <v>#REF!</v>
      </c>
      <c r="I131" s="137" t="e">
        <f>IF(VLOOKUP(A131,'Actual Dates'!A4:AE253,25,),'Actual Dates'!#REF!,"")</f>
        <v>#REF!</v>
      </c>
      <c r="J131" s="137" t="e">
        <f t="shared" si="25"/>
        <v>#REF!</v>
      </c>
      <c r="K131" s="137" t="e">
        <f>IF(VLOOKUP(A131,'Actual Dates'!A4:AE281,26,),'Actual Dates'!#REF!,"")</f>
        <v>#REF!</v>
      </c>
      <c r="L131" s="137" t="e">
        <f>IF(VLOOKUP(A131,'Actual Dates'!A4:AE281,21,),'Actual Dates'!#REF!,"")</f>
        <v>#REF!</v>
      </c>
      <c r="M131" s="137" t="e">
        <f>'Date Calcs'!#REF!</f>
        <v>#REF!</v>
      </c>
      <c r="N131" s="137" t="e">
        <f>IF(VLOOKUP(A131,'Actual Dates'!A4:AE281,27,),'Actual Dates'!#REF!,"")</f>
        <v>#REF!</v>
      </c>
      <c r="O131" s="138" t="e">
        <f t="shared" si="17"/>
        <v>#REF!</v>
      </c>
      <c r="P131" s="139" t="e">
        <f t="shared" si="26"/>
        <v>#REF!</v>
      </c>
      <c r="Q131" s="139" t="e">
        <f t="shared" si="27"/>
        <v>#REF!</v>
      </c>
      <c r="R131" s="170"/>
      <c r="S131" s="170"/>
      <c r="T131" s="142"/>
      <c r="U131" s="142"/>
      <c r="V131" s="142"/>
      <c r="W131" s="142"/>
      <c r="X131" s="142"/>
      <c r="Y131" s="142"/>
      <c r="Z131" s="142"/>
      <c r="AA131" s="142"/>
      <c r="AB131" s="142"/>
    </row>
    <row r="132" spans="1:28" x14ac:dyDescent="0.25">
      <c r="A132" s="134" t="e">
        <f>'Actual Dates'!#REF!</f>
        <v>#REF!</v>
      </c>
      <c r="B132" s="135" t="e">
        <f>'Date Calcs'!#REF!</f>
        <v>#REF!</v>
      </c>
      <c r="C132" s="136" t="e">
        <f>'Date Calcs'!#REF!</f>
        <v>#REF!</v>
      </c>
      <c r="D132" s="137" t="e">
        <f t="shared" si="23"/>
        <v>#REF!</v>
      </c>
      <c r="E132" s="143" t="s">
        <v>377</v>
      </c>
      <c r="F132" s="137" t="e">
        <f>'Date Calcs'!#REF!</f>
        <v>#REF!</v>
      </c>
      <c r="G132" s="137" t="e">
        <f>IF(VLOOKUP(A132,'Actual Dates'!A4:AE259,8,),'Actual Dates'!#REF!,"")</f>
        <v>#REF!</v>
      </c>
      <c r="H132" s="137" t="e">
        <f t="shared" si="24"/>
        <v>#REF!</v>
      </c>
      <c r="I132" s="137" t="e">
        <f>IF(VLOOKUP(A132,'Actual Dates'!A4:AE254,25,),'Actual Dates'!#REF!,"")</f>
        <v>#REF!</v>
      </c>
      <c r="J132" s="137" t="e">
        <f t="shared" si="25"/>
        <v>#REF!</v>
      </c>
      <c r="K132" s="137" t="e">
        <f>IF(VLOOKUP(A132,'Actual Dates'!A4:AE282,26,),'Actual Dates'!#REF!,"")</f>
        <v>#REF!</v>
      </c>
      <c r="L132" s="137" t="e">
        <f>IF(VLOOKUP(A132,'Actual Dates'!A4:AE282,21,),'Actual Dates'!#REF!,"")</f>
        <v>#REF!</v>
      </c>
      <c r="M132" s="137" t="e">
        <f>'Date Calcs'!#REF!</f>
        <v>#REF!</v>
      </c>
      <c r="N132" s="137" t="e">
        <f>IF(VLOOKUP(A132,'Actual Dates'!A4:AE282,27,),'Actual Dates'!#REF!,"")</f>
        <v>#REF!</v>
      </c>
      <c r="O132" s="138" t="e">
        <f t="shared" si="17"/>
        <v>#REF!</v>
      </c>
      <c r="P132" s="139" t="e">
        <f t="shared" si="26"/>
        <v>#REF!</v>
      </c>
      <c r="Q132" s="139" t="e">
        <f t="shared" si="27"/>
        <v>#REF!</v>
      </c>
      <c r="R132" s="170"/>
      <c r="S132" s="170"/>
      <c r="T132" s="142"/>
      <c r="U132" s="142"/>
      <c r="V132" s="142"/>
      <c r="W132" s="142"/>
      <c r="X132" s="142"/>
      <c r="Y132" s="142"/>
      <c r="Z132" s="142"/>
      <c r="AA132" s="142"/>
      <c r="AB132" s="142"/>
    </row>
    <row r="133" spans="1:28" x14ac:dyDescent="0.25">
      <c r="A133" s="134" t="e">
        <f>'Actual Dates'!#REF!</f>
        <v>#REF!</v>
      </c>
      <c r="B133" s="135" t="e">
        <f>'Date Calcs'!#REF!</f>
        <v>#REF!</v>
      </c>
      <c r="C133" s="136" t="e">
        <f>'Date Calcs'!#REF!</f>
        <v>#REF!</v>
      </c>
      <c r="D133" s="137" t="e">
        <f t="shared" si="23"/>
        <v>#REF!</v>
      </c>
      <c r="E133" s="143" t="s">
        <v>377</v>
      </c>
      <c r="F133" s="137" t="e">
        <f>'Date Calcs'!#REF!</f>
        <v>#REF!</v>
      </c>
      <c r="G133" s="137" t="e">
        <f>IF(VLOOKUP(A133,'Actual Dates'!A4:AE260,8,),'Actual Dates'!#REF!,"")</f>
        <v>#REF!</v>
      </c>
      <c r="H133" s="137" t="e">
        <f t="shared" si="24"/>
        <v>#REF!</v>
      </c>
      <c r="I133" s="137" t="e">
        <f>IF(VLOOKUP(A133,'Actual Dates'!A4:AE255,25,),'Actual Dates'!#REF!,"")</f>
        <v>#REF!</v>
      </c>
      <c r="J133" s="137" t="e">
        <f t="shared" si="25"/>
        <v>#REF!</v>
      </c>
      <c r="K133" s="137" t="e">
        <f>IF(VLOOKUP(A133,'Actual Dates'!A4:AE283,26,),'Actual Dates'!#REF!,"")</f>
        <v>#REF!</v>
      </c>
      <c r="L133" s="137" t="e">
        <f>IF(VLOOKUP(A133,'Actual Dates'!A4:AE283,21,),'Actual Dates'!#REF!,"")</f>
        <v>#REF!</v>
      </c>
      <c r="M133" s="137" t="e">
        <f>'Date Calcs'!#REF!</f>
        <v>#REF!</v>
      </c>
      <c r="N133" s="137" t="e">
        <f>IF(VLOOKUP(A133,'Actual Dates'!A4:AE283,27,),'Actual Dates'!#REF!,"")</f>
        <v>#REF!</v>
      </c>
      <c r="O133" s="138" t="e">
        <f t="shared" si="17"/>
        <v>#REF!</v>
      </c>
      <c r="P133" s="139" t="e">
        <f t="shared" si="26"/>
        <v>#REF!</v>
      </c>
      <c r="Q133" s="139" t="e">
        <f t="shared" si="27"/>
        <v>#REF!</v>
      </c>
      <c r="R133" s="170"/>
      <c r="S133" s="170"/>
      <c r="T133" s="142"/>
      <c r="U133" s="142"/>
      <c r="V133" s="142"/>
      <c r="W133" s="142"/>
      <c r="X133" s="142"/>
      <c r="Y133" s="142"/>
      <c r="Z133" s="142"/>
      <c r="AA133" s="142"/>
      <c r="AB133" s="142"/>
    </row>
    <row r="134" spans="1:28" x14ac:dyDescent="0.25">
      <c r="A134" s="134" t="e">
        <f>'Actual Dates'!#REF!</f>
        <v>#REF!</v>
      </c>
      <c r="B134" s="135" t="e">
        <f>'Date Calcs'!#REF!</f>
        <v>#REF!</v>
      </c>
      <c r="C134" s="136" t="e">
        <f>'Date Calcs'!#REF!</f>
        <v>#REF!</v>
      </c>
      <c r="D134" s="137" t="e">
        <f t="shared" si="23"/>
        <v>#REF!</v>
      </c>
      <c r="E134" s="143" t="s">
        <v>377</v>
      </c>
      <c r="F134" s="137" t="e">
        <f>'Date Calcs'!#REF!</f>
        <v>#REF!</v>
      </c>
      <c r="G134" s="137" t="e">
        <f>IF(VLOOKUP(A134,'Actual Dates'!A4:AE261,8,),'Actual Dates'!#REF!,"")</f>
        <v>#REF!</v>
      </c>
      <c r="H134" s="137" t="e">
        <f t="shared" si="24"/>
        <v>#REF!</v>
      </c>
      <c r="I134" s="137" t="e">
        <f>IF(VLOOKUP(A134,'Actual Dates'!A4:AE256,25,),'Actual Dates'!#REF!,"")</f>
        <v>#REF!</v>
      </c>
      <c r="J134" s="137" t="e">
        <f t="shared" si="25"/>
        <v>#REF!</v>
      </c>
      <c r="K134" s="137" t="e">
        <f>IF(VLOOKUP(A134,'Actual Dates'!A4:AE284,26,),'Actual Dates'!#REF!,"")</f>
        <v>#REF!</v>
      </c>
      <c r="L134" s="137" t="e">
        <f>IF(VLOOKUP(A134,'Actual Dates'!A4:AE284,21,),'Actual Dates'!#REF!,"")</f>
        <v>#REF!</v>
      </c>
      <c r="M134" s="137" t="e">
        <f>'Date Calcs'!#REF!</f>
        <v>#REF!</v>
      </c>
      <c r="N134" s="137" t="e">
        <f>IF(VLOOKUP(A134,'Actual Dates'!A4:AE284,27,),'Actual Dates'!#REF!,"")</f>
        <v>#REF!</v>
      </c>
      <c r="O134" s="138" t="e">
        <f t="shared" si="17"/>
        <v>#REF!</v>
      </c>
      <c r="P134" s="139" t="e">
        <f t="shared" si="26"/>
        <v>#REF!</v>
      </c>
      <c r="Q134" s="139" t="e">
        <f t="shared" si="27"/>
        <v>#REF!</v>
      </c>
      <c r="R134" s="170"/>
      <c r="S134" s="170"/>
      <c r="T134" s="142"/>
      <c r="U134" s="142"/>
      <c r="V134" s="142"/>
      <c r="W134" s="142"/>
      <c r="X134" s="142"/>
      <c r="Y134" s="142"/>
      <c r="Z134" s="142"/>
      <c r="AA134" s="142"/>
      <c r="AB134" s="142"/>
    </row>
    <row r="135" spans="1:28" x14ac:dyDescent="0.25">
      <c r="A135" s="134" t="e">
        <f>'Actual Dates'!#REF!</f>
        <v>#REF!</v>
      </c>
      <c r="B135" s="135" t="e">
        <f>'Date Calcs'!#REF!</f>
        <v>#REF!</v>
      </c>
      <c r="C135" s="136" t="e">
        <f>'Date Calcs'!#REF!</f>
        <v>#REF!</v>
      </c>
      <c r="D135" s="137" t="e">
        <f t="shared" si="23"/>
        <v>#REF!</v>
      </c>
      <c r="E135" s="143" t="s">
        <v>377</v>
      </c>
      <c r="F135" s="137" t="e">
        <f>'Date Calcs'!#REF!</f>
        <v>#REF!</v>
      </c>
      <c r="G135" s="137" t="e">
        <f>IF(VLOOKUP(A135,'Actual Dates'!A4:AE262,8,),'Actual Dates'!#REF!,"")</f>
        <v>#REF!</v>
      </c>
      <c r="H135" s="137" t="e">
        <f t="shared" si="24"/>
        <v>#REF!</v>
      </c>
      <c r="I135" s="137" t="e">
        <f>IF(VLOOKUP(A135,'Actual Dates'!A4:AE257,25,),'Actual Dates'!#REF!,"")</f>
        <v>#REF!</v>
      </c>
      <c r="J135" s="137" t="e">
        <f t="shared" si="25"/>
        <v>#REF!</v>
      </c>
      <c r="K135" s="137" t="e">
        <f>IF(VLOOKUP(A135,'Actual Dates'!A4:AE285,26,),'Actual Dates'!#REF!,"")</f>
        <v>#REF!</v>
      </c>
      <c r="L135" s="137" t="e">
        <f>IF(VLOOKUP(A135,'Actual Dates'!A4:AE285,21,),'Actual Dates'!#REF!,"")</f>
        <v>#REF!</v>
      </c>
      <c r="M135" s="137" t="e">
        <f>'Date Calcs'!#REF!</f>
        <v>#REF!</v>
      </c>
      <c r="N135" s="137" t="e">
        <f>IF(VLOOKUP(A135,'Actual Dates'!A4:AE285,27,),'Actual Dates'!#REF!,"")</f>
        <v>#REF!</v>
      </c>
      <c r="O135" s="138" t="e">
        <f t="shared" si="17"/>
        <v>#REF!</v>
      </c>
      <c r="P135" s="139" t="e">
        <f t="shared" si="26"/>
        <v>#REF!</v>
      </c>
      <c r="Q135" s="139" t="e">
        <f t="shared" si="27"/>
        <v>#REF!</v>
      </c>
      <c r="R135" s="170"/>
      <c r="S135" s="170"/>
      <c r="T135" s="142"/>
      <c r="U135" s="142"/>
      <c r="V135" s="142"/>
      <c r="W135" s="142"/>
      <c r="X135" s="142"/>
      <c r="Y135" s="142"/>
      <c r="Z135" s="142"/>
      <c r="AA135" s="142"/>
      <c r="AB135" s="142"/>
    </row>
    <row r="136" spans="1:28" x14ac:dyDescent="0.25">
      <c r="A136" s="134" t="e">
        <f>'Actual Dates'!#REF!</f>
        <v>#REF!</v>
      </c>
      <c r="B136" s="135" t="e">
        <f>'Date Calcs'!#REF!</f>
        <v>#REF!</v>
      </c>
      <c r="C136" s="136" t="e">
        <f>'Date Calcs'!#REF!</f>
        <v>#REF!</v>
      </c>
      <c r="D136" s="137" t="e">
        <f t="shared" si="23"/>
        <v>#REF!</v>
      </c>
      <c r="E136" s="143" t="s">
        <v>377</v>
      </c>
      <c r="F136" s="137" t="e">
        <f>'Date Calcs'!#REF!</f>
        <v>#REF!</v>
      </c>
      <c r="G136" s="137" t="e">
        <f>IF(VLOOKUP(A136,'Actual Dates'!A4:AE263,8,),'Actual Dates'!#REF!,"")</f>
        <v>#REF!</v>
      </c>
      <c r="H136" s="137" t="e">
        <f t="shared" si="24"/>
        <v>#REF!</v>
      </c>
      <c r="I136" s="137" t="e">
        <f>IF(VLOOKUP(A136,'Actual Dates'!A4:AE258,25,),'Actual Dates'!#REF!,"")</f>
        <v>#REF!</v>
      </c>
      <c r="J136" s="137" t="e">
        <f t="shared" si="25"/>
        <v>#REF!</v>
      </c>
      <c r="K136" s="137" t="e">
        <f>IF(VLOOKUP(A136,'Actual Dates'!A4:AE286,26,),'Actual Dates'!#REF!,"")</f>
        <v>#REF!</v>
      </c>
      <c r="L136" s="137" t="e">
        <f>IF(VLOOKUP(A136,'Actual Dates'!A4:AE286,21,),'Actual Dates'!#REF!,"")</f>
        <v>#REF!</v>
      </c>
      <c r="M136" s="137" t="e">
        <f>'Date Calcs'!#REF!</f>
        <v>#REF!</v>
      </c>
      <c r="N136" s="137" t="e">
        <f>IF(VLOOKUP(A136,'Actual Dates'!A4:AE286,27,),'Actual Dates'!#REF!,"")</f>
        <v>#REF!</v>
      </c>
      <c r="O136" s="138" t="e">
        <f t="shared" si="17"/>
        <v>#REF!</v>
      </c>
      <c r="P136" s="139" t="e">
        <f t="shared" si="26"/>
        <v>#REF!</v>
      </c>
      <c r="Q136" s="139" t="e">
        <f t="shared" si="27"/>
        <v>#REF!</v>
      </c>
      <c r="R136" s="170"/>
      <c r="S136" s="170"/>
      <c r="T136" s="142"/>
      <c r="U136" s="142"/>
      <c r="V136" s="142"/>
      <c r="W136" s="142"/>
      <c r="X136" s="142"/>
      <c r="Y136" s="142"/>
      <c r="Z136" s="142"/>
      <c r="AA136" s="142"/>
      <c r="AB136" s="142"/>
    </row>
    <row r="137" spans="1:28" x14ac:dyDescent="0.25">
      <c r="A137" s="134" t="e">
        <f>'Actual Dates'!#REF!</f>
        <v>#REF!</v>
      </c>
      <c r="B137" s="135" t="e">
        <f>'Date Calcs'!#REF!</f>
        <v>#REF!</v>
      </c>
      <c r="C137" s="136" t="e">
        <f>'Date Calcs'!#REF!</f>
        <v>#REF!</v>
      </c>
      <c r="D137" s="137" t="e">
        <f t="shared" si="23"/>
        <v>#REF!</v>
      </c>
      <c r="E137" s="143" t="s">
        <v>377</v>
      </c>
      <c r="F137" s="137" t="e">
        <f>'Date Calcs'!#REF!</f>
        <v>#REF!</v>
      </c>
      <c r="G137" s="137" t="e">
        <f>IF(VLOOKUP(A137,'Actual Dates'!A4:AE264,8,),'Actual Dates'!#REF!,"")</f>
        <v>#REF!</v>
      </c>
      <c r="H137" s="137" t="e">
        <f t="shared" si="24"/>
        <v>#REF!</v>
      </c>
      <c r="I137" s="137" t="e">
        <f>IF(VLOOKUP(A137,'Actual Dates'!A4:AE259,25,),'Actual Dates'!#REF!,"")</f>
        <v>#REF!</v>
      </c>
      <c r="J137" s="137" t="e">
        <f t="shared" si="25"/>
        <v>#REF!</v>
      </c>
      <c r="K137" s="137" t="e">
        <f>IF(VLOOKUP(A137,'Actual Dates'!A4:AE287,26,),'Actual Dates'!#REF!,"")</f>
        <v>#REF!</v>
      </c>
      <c r="L137" s="137" t="e">
        <f>IF(VLOOKUP(A137,'Actual Dates'!A4:AE287,21,),'Actual Dates'!#REF!,"")</f>
        <v>#REF!</v>
      </c>
      <c r="M137" s="137" t="e">
        <f>'Date Calcs'!#REF!</f>
        <v>#REF!</v>
      </c>
      <c r="N137" s="137" t="e">
        <f>IF(VLOOKUP(A137,'Actual Dates'!A4:AE287,27,),'Actual Dates'!#REF!,"")</f>
        <v>#REF!</v>
      </c>
      <c r="O137" s="138" t="e">
        <f t="shared" si="17"/>
        <v>#REF!</v>
      </c>
      <c r="P137" s="139" t="e">
        <f t="shared" si="26"/>
        <v>#REF!</v>
      </c>
      <c r="Q137" s="139" t="e">
        <f t="shared" si="27"/>
        <v>#REF!</v>
      </c>
      <c r="R137" s="170"/>
      <c r="S137" s="170"/>
      <c r="T137" s="142"/>
      <c r="U137" s="142"/>
      <c r="V137" s="142"/>
      <c r="W137" s="142"/>
      <c r="X137" s="142"/>
      <c r="Y137" s="142"/>
      <c r="Z137" s="142"/>
      <c r="AA137" s="142"/>
      <c r="AB137" s="142"/>
    </row>
    <row r="138" spans="1:28" x14ac:dyDescent="0.25">
      <c r="A138" s="134" t="e">
        <f>'Actual Dates'!#REF!</f>
        <v>#REF!</v>
      </c>
      <c r="B138" s="135" t="e">
        <f>'Date Calcs'!#REF!</f>
        <v>#REF!</v>
      </c>
      <c r="C138" s="136" t="e">
        <f>'Date Calcs'!#REF!</f>
        <v>#REF!</v>
      </c>
      <c r="D138" s="137" t="e">
        <f t="shared" si="23"/>
        <v>#REF!</v>
      </c>
      <c r="E138" s="143" t="s">
        <v>377</v>
      </c>
      <c r="F138" s="137" t="e">
        <f>'Date Calcs'!#REF!</f>
        <v>#REF!</v>
      </c>
      <c r="G138" s="137" t="e">
        <f>IF(VLOOKUP(A138,'Actual Dates'!A4:AE265,8,),'Actual Dates'!#REF!,"")</f>
        <v>#REF!</v>
      </c>
      <c r="H138" s="137" t="e">
        <f t="shared" si="24"/>
        <v>#REF!</v>
      </c>
      <c r="I138" s="137" t="e">
        <f>IF(VLOOKUP(A138,'Actual Dates'!A4:AE260,25,),'Actual Dates'!#REF!,"")</f>
        <v>#REF!</v>
      </c>
      <c r="J138" s="137" t="e">
        <f t="shared" si="25"/>
        <v>#REF!</v>
      </c>
      <c r="K138" s="137" t="e">
        <f>IF(VLOOKUP(A138,'Actual Dates'!A4:AE288,26,),'Actual Dates'!#REF!,"")</f>
        <v>#REF!</v>
      </c>
      <c r="L138" s="137" t="e">
        <f>IF(VLOOKUP(A138,'Actual Dates'!A4:AE288,21,),'Actual Dates'!#REF!,"")</f>
        <v>#REF!</v>
      </c>
      <c r="M138" s="137" t="e">
        <f>'Date Calcs'!#REF!</f>
        <v>#REF!</v>
      </c>
      <c r="N138" s="137" t="e">
        <f>IF(VLOOKUP(A138,'Actual Dates'!A4:AE288,27,),'Actual Dates'!#REF!,"")</f>
        <v>#REF!</v>
      </c>
      <c r="O138" s="138" t="e">
        <f t="shared" si="17"/>
        <v>#REF!</v>
      </c>
      <c r="P138" s="139" t="e">
        <f t="shared" si="26"/>
        <v>#REF!</v>
      </c>
      <c r="Q138" s="139" t="e">
        <f t="shared" si="27"/>
        <v>#REF!</v>
      </c>
      <c r="R138" s="170"/>
      <c r="S138" s="170"/>
      <c r="T138" s="142"/>
      <c r="U138" s="142"/>
      <c r="V138" s="142"/>
      <c r="W138" s="142"/>
      <c r="X138" s="142"/>
      <c r="Y138" s="142"/>
      <c r="Z138" s="142"/>
      <c r="AA138" s="142"/>
      <c r="AB138" s="142"/>
    </row>
    <row r="139" spans="1:28" x14ac:dyDescent="0.25">
      <c r="A139" s="134" t="e">
        <f>'Actual Dates'!#REF!</f>
        <v>#REF!</v>
      </c>
      <c r="B139" s="135" t="e">
        <f>'Date Calcs'!#REF!</f>
        <v>#REF!</v>
      </c>
      <c r="C139" s="136" t="e">
        <f>'Date Calcs'!#REF!</f>
        <v>#REF!</v>
      </c>
      <c r="D139" s="137" t="e">
        <f t="shared" si="23"/>
        <v>#REF!</v>
      </c>
      <c r="E139" s="143" t="s">
        <v>377</v>
      </c>
      <c r="F139" s="137" t="e">
        <f>'Date Calcs'!#REF!</f>
        <v>#REF!</v>
      </c>
      <c r="G139" s="137" t="e">
        <f>IF(VLOOKUP(A139,'Actual Dates'!A4:AE266,8,),'Actual Dates'!#REF!,"")</f>
        <v>#REF!</v>
      </c>
      <c r="H139" s="137" t="e">
        <f t="shared" si="24"/>
        <v>#REF!</v>
      </c>
      <c r="I139" s="137" t="e">
        <f>IF(VLOOKUP(A139,'Actual Dates'!A4:AE261,25,),'Actual Dates'!#REF!,"")</f>
        <v>#REF!</v>
      </c>
      <c r="J139" s="137" t="e">
        <f t="shared" si="25"/>
        <v>#REF!</v>
      </c>
      <c r="K139" s="137" t="e">
        <f>IF(VLOOKUP(A139,'Actual Dates'!A4:AE289,26,),'Actual Dates'!#REF!,"")</f>
        <v>#REF!</v>
      </c>
      <c r="L139" s="137" t="e">
        <f>IF(VLOOKUP(A139,'Actual Dates'!A4:AE289,21,),'Actual Dates'!#REF!,"")</f>
        <v>#REF!</v>
      </c>
      <c r="M139" s="137" t="e">
        <f>'Date Calcs'!#REF!</f>
        <v>#REF!</v>
      </c>
      <c r="N139" s="137" t="e">
        <f>IF(VLOOKUP(A139,'Actual Dates'!A4:AE289,27,),'Actual Dates'!#REF!,"")</f>
        <v>#REF!</v>
      </c>
      <c r="O139" s="138" t="e">
        <f t="shared" ref="O139:O202" si="28">N139-C139</f>
        <v>#REF!</v>
      </c>
      <c r="P139" s="139" t="e">
        <f t="shared" si="26"/>
        <v>#REF!</v>
      </c>
      <c r="Q139" s="139" t="e">
        <f t="shared" si="27"/>
        <v>#REF!</v>
      </c>
      <c r="R139" s="170"/>
      <c r="S139" s="170"/>
      <c r="T139" s="142"/>
      <c r="U139" s="142"/>
      <c r="V139" s="142"/>
      <c r="W139" s="142"/>
      <c r="X139" s="142"/>
      <c r="Y139" s="142"/>
      <c r="Z139" s="142"/>
      <c r="AA139" s="142"/>
      <c r="AB139" s="142"/>
    </row>
    <row r="140" spans="1:28" x14ac:dyDescent="0.25">
      <c r="A140" s="134" t="e">
        <f>'Actual Dates'!#REF!</f>
        <v>#REF!</v>
      </c>
      <c r="B140" s="135" t="e">
        <f>'Date Calcs'!#REF!</f>
        <v>#REF!</v>
      </c>
      <c r="C140" s="136" t="e">
        <f>'Date Calcs'!#REF!</f>
        <v>#REF!</v>
      </c>
      <c r="D140" s="137" t="e">
        <f t="shared" si="23"/>
        <v>#REF!</v>
      </c>
      <c r="E140" s="143" t="s">
        <v>377</v>
      </c>
      <c r="F140" s="137" t="e">
        <f>'Date Calcs'!#REF!</f>
        <v>#REF!</v>
      </c>
      <c r="G140" s="137" t="e">
        <f>IF(VLOOKUP(A140,'Actual Dates'!A4:AE267,8,),'Actual Dates'!#REF!,"")</f>
        <v>#REF!</v>
      </c>
      <c r="H140" s="137" t="e">
        <f t="shared" si="24"/>
        <v>#REF!</v>
      </c>
      <c r="I140" s="137" t="e">
        <f>IF(VLOOKUP(A140,'Actual Dates'!A4:AE262,25,),'Actual Dates'!#REF!,"")</f>
        <v>#REF!</v>
      </c>
      <c r="J140" s="137" t="e">
        <f t="shared" si="25"/>
        <v>#REF!</v>
      </c>
      <c r="K140" s="137" t="e">
        <f>IF(VLOOKUP(A140,'Actual Dates'!A4:AE290,26,),'Actual Dates'!#REF!,"")</f>
        <v>#REF!</v>
      </c>
      <c r="L140" s="137" t="e">
        <f>IF(VLOOKUP(A140,'Actual Dates'!A4:AE290,21,),'Actual Dates'!#REF!,"")</f>
        <v>#REF!</v>
      </c>
      <c r="M140" s="137" t="e">
        <f>'Date Calcs'!#REF!</f>
        <v>#REF!</v>
      </c>
      <c r="N140" s="137" t="e">
        <f>IF(VLOOKUP(A140,'Actual Dates'!A4:AE290,27,),'Actual Dates'!#REF!,"")</f>
        <v>#REF!</v>
      </c>
      <c r="O140" s="138" t="e">
        <f t="shared" si="28"/>
        <v>#REF!</v>
      </c>
      <c r="P140" s="139" t="e">
        <f t="shared" si="26"/>
        <v>#REF!</v>
      </c>
      <c r="Q140" s="139" t="e">
        <f t="shared" si="27"/>
        <v>#REF!</v>
      </c>
      <c r="R140" s="170"/>
      <c r="S140" s="170"/>
      <c r="T140" s="142"/>
      <c r="U140" s="142"/>
      <c r="V140" s="142"/>
      <c r="W140" s="142"/>
      <c r="X140" s="142"/>
      <c r="Y140" s="142"/>
      <c r="Z140" s="142"/>
      <c r="AA140" s="142"/>
      <c r="AB140" s="142"/>
    </row>
    <row r="141" spans="1:28" x14ac:dyDescent="0.25">
      <c r="A141" s="134" t="e">
        <f>'Actual Dates'!#REF!</f>
        <v>#REF!</v>
      </c>
      <c r="B141" s="135" t="e">
        <f>'Date Calcs'!#REF!</f>
        <v>#REF!</v>
      </c>
      <c r="C141" s="136" t="e">
        <f>'Date Calcs'!#REF!</f>
        <v>#REF!</v>
      </c>
      <c r="D141" s="137" t="e">
        <f t="shared" si="23"/>
        <v>#REF!</v>
      </c>
      <c r="E141" s="143" t="s">
        <v>377</v>
      </c>
      <c r="F141" s="137" t="e">
        <f>'Date Calcs'!#REF!</f>
        <v>#REF!</v>
      </c>
      <c r="G141" s="137" t="e">
        <f>IF(VLOOKUP(A141,'Actual Dates'!A4:AE268,8,),'Actual Dates'!#REF!,"")</f>
        <v>#REF!</v>
      </c>
      <c r="H141" s="137" t="e">
        <f t="shared" si="24"/>
        <v>#REF!</v>
      </c>
      <c r="I141" s="137" t="e">
        <f>IF(VLOOKUP(A141,'Actual Dates'!A4:AE263,25,),'Actual Dates'!#REF!,"")</f>
        <v>#REF!</v>
      </c>
      <c r="J141" s="137" t="e">
        <f t="shared" si="25"/>
        <v>#REF!</v>
      </c>
      <c r="K141" s="137" t="e">
        <f>IF(VLOOKUP(A141,'Actual Dates'!A4:AE291,26,),'Actual Dates'!#REF!,"")</f>
        <v>#REF!</v>
      </c>
      <c r="L141" s="137" t="e">
        <f>IF(VLOOKUP(A141,'Actual Dates'!A4:AE291,21,),'Actual Dates'!#REF!,"")</f>
        <v>#REF!</v>
      </c>
      <c r="M141" s="137" t="e">
        <f>'Date Calcs'!#REF!</f>
        <v>#REF!</v>
      </c>
      <c r="N141" s="137" t="e">
        <f>IF(VLOOKUP(A141,'Actual Dates'!A4:AE291,27,),'Actual Dates'!#REF!,"")</f>
        <v>#REF!</v>
      </c>
      <c r="O141" s="138" t="e">
        <f t="shared" si="28"/>
        <v>#REF!</v>
      </c>
      <c r="P141" s="139" t="e">
        <f t="shared" si="26"/>
        <v>#REF!</v>
      </c>
      <c r="Q141" s="139" t="e">
        <f t="shared" si="27"/>
        <v>#REF!</v>
      </c>
      <c r="R141" s="170"/>
      <c r="S141" s="170"/>
      <c r="T141" s="142"/>
      <c r="U141" s="142"/>
      <c r="V141" s="142"/>
      <c r="W141" s="142"/>
      <c r="X141" s="142"/>
      <c r="Y141" s="142"/>
      <c r="Z141" s="142"/>
      <c r="AA141" s="142"/>
      <c r="AB141" s="142"/>
    </row>
    <row r="142" spans="1:28" x14ac:dyDescent="0.25">
      <c r="A142" s="134" t="e">
        <f>'Actual Dates'!#REF!</f>
        <v>#REF!</v>
      </c>
      <c r="B142" s="135" t="e">
        <f>'Date Calcs'!#REF!</f>
        <v>#REF!</v>
      </c>
      <c r="C142" s="136" t="e">
        <f>'Date Calcs'!#REF!</f>
        <v>#REF!</v>
      </c>
      <c r="D142" s="137" t="e">
        <f t="shared" si="23"/>
        <v>#REF!</v>
      </c>
      <c r="E142" s="143" t="s">
        <v>377</v>
      </c>
      <c r="F142" s="137" t="e">
        <f>'Date Calcs'!#REF!</f>
        <v>#REF!</v>
      </c>
      <c r="G142" s="137" t="e">
        <f>IF(VLOOKUP(A142,'Actual Dates'!A4:AE269,8,),'Actual Dates'!#REF!,"")</f>
        <v>#REF!</v>
      </c>
      <c r="H142" s="137" t="e">
        <f t="shared" si="24"/>
        <v>#REF!</v>
      </c>
      <c r="I142" s="137" t="e">
        <f>IF(VLOOKUP(A142,'Actual Dates'!A4:AE264,25,),'Actual Dates'!#REF!,"")</f>
        <v>#REF!</v>
      </c>
      <c r="J142" s="137" t="e">
        <f t="shared" si="25"/>
        <v>#REF!</v>
      </c>
      <c r="K142" s="137" t="e">
        <f>IF(VLOOKUP(A142,'Actual Dates'!A4:AE292,26,),'Actual Dates'!#REF!,"")</f>
        <v>#REF!</v>
      </c>
      <c r="L142" s="137" t="e">
        <f>IF(VLOOKUP(A142,'Actual Dates'!A4:AE292,21,),'Actual Dates'!#REF!,"")</f>
        <v>#REF!</v>
      </c>
      <c r="M142" s="137" t="e">
        <f>'Date Calcs'!#REF!</f>
        <v>#REF!</v>
      </c>
      <c r="N142" s="137" t="e">
        <f>IF(VLOOKUP(A142,'Actual Dates'!A4:AE292,27,),'Actual Dates'!#REF!,"")</f>
        <v>#REF!</v>
      </c>
      <c r="O142" s="138" t="e">
        <f t="shared" si="28"/>
        <v>#REF!</v>
      </c>
      <c r="P142" s="139" t="e">
        <f t="shared" si="26"/>
        <v>#REF!</v>
      </c>
      <c r="Q142" s="139" t="e">
        <f t="shared" si="27"/>
        <v>#REF!</v>
      </c>
      <c r="R142" s="170"/>
      <c r="S142" s="170"/>
      <c r="T142" s="142"/>
      <c r="U142" s="142"/>
      <c r="V142" s="142"/>
      <c r="W142" s="142"/>
      <c r="X142" s="142"/>
      <c r="Y142" s="142"/>
      <c r="Z142" s="142"/>
      <c r="AA142" s="142"/>
      <c r="AB142" s="142"/>
    </row>
    <row r="143" spans="1:28" x14ac:dyDescent="0.25">
      <c r="A143" s="134" t="e">
        <f>'Actual Dates'!#REF!</f>
        <v>#REF!</v>
      </c>
      <c r="B143" s="135" t="e">
        <f>'Date Calcs'!#REF!</f>
        <v>#REF!</v>
      </c>
      <c r="C143" s="136" t="e">
        <f>'Date Calcs'!#REF!</f>
        <v>#REF!</v>
      </c>
      <c r="D143" s="137" t="e">
        <f t="shared" si="23"/>
        <v>#REF!</v>
      </c>
      <c r="E143" s="143" t="s">
        <v>377</v>
      </c>
      <c r="F143" s="137" t="e">
        <f>'Date Calcs'!#REF!</f>
        <v>#REF!</v>
      </c>
      <c r="G143" s="137" t="e">
        <f>IF(VLOOKUP(A143,'Actual Dates'!A4:AE270,8,),'Actual Dates'!#REF!,"")</f>
        <v>#REF!</v>
      </c>
      <c r="H143" s="137" t="e">
        <f t="shared" si="24"/>
        <v>#REF!</v>
      </c>
      <c r="I143" s="137" t="e">
        <f>IF(VLOOKUP(A143,'Actual Dates'!A4:AE265,25,),'Actual Dates'!#REF!,"")</f>
        <v>#REF!</v>
      </c>
      <c r="J143" s="137" t="e">
        <f t="shared" si="25"/>
        <v>#REF!</v>
      </c>
      <c r="K143" s="137" t="e">
        <f>IF(VLOOKUP(A143,'Actual Dates'!A4:AE293,26,),'Actual Dates'!#REF!,"")</f>
        <v>#REF!</v>
      </c>
      <c r="L143" s="137" t="e">
        <f>IF(VLOOKUP(A143,'Actual Dates'!A4:AE293,21,),'Actual Dates'!#REF!,"")</f>
        <v>#REF!</v>
      </c>
      <c r="M143" s="137" t="e">
        <f>'Date Calcs'!#REF!</f>
        <v>#REF!</v>
      </c>
      <c r="N143" s="137" t="e">
        <f>IF(VLOOKUP(A143,'Actual Dates'!A4:AE293,27,),'Actual Dates'!#REF!,"")</f>
        <v>#REF!</v>
      </c>
      <c r="O143" s="138" t="e">
        <f t="shared" si="28"/>
        <v>#REF!</v>
      </c>
      <c r="P143" s="139" t="e">
        <f t="shared" si="26"/>
        <v>#REF!</v>
      </c>
      <c r="Q143" s="139" t="e">
        <f t="shared" si="27"/>
        <v>#REF!</v>
      </c>
      <c r="R143" s="170"/>
      <c r="S143" s="170"/>
      <c r="T143" s="142"/>
      <c r="U143" s="142"/>
      <c r="V143" s="142"/>
      <c r="W143" s="142"/>
      <c r="X143" s="142"/>
      <c r="Y143" s="142"/>
      <c r="Z143" s="142"/>
      <c r="AA143" s="142"/>
      <c r="AB143" s="142"/>
    </row>
    <row r="144" spans="1:28" x14ac:dyDescent="0.25">
      <c r="A144" s="134" t="e">
        <f>'Actual Dates'!#REF!</f>
        <v>#REF!</v>
      </c>
      <c r="B144" s="135" t="e">
        <f>'Date Calcs'!#REF!</f>
        <v>#REF!</v>
      </c>
      <c r="C144" s="136" t="e">
        <f>'Date Calcs'!#REF!</f>
        <v>#REF!</v>
      </c>
      <c r="D144" s="137" t="e">
        <f t="shared" si="23"/>
        <v>#REF!</v>
      </c>
      <c r="E144" s="143" t="s">
        <v>377</v>
      </c>
      <c r="F144" s="137" t="e">
        <f>'Date Calcs'!#REF!</f>
        <v>#REF!</v>
      </c>
      <c r="G144" s="137" t="e">
        <f>IF(VLOOKUP(A144,'Actual Dates'!A4:AE271,8,),'Actual Dates'!#REF!,"")</f>
        <v>#REF!</v>
      </c>
      <c r="H144" s="137" t="e">
        <f t="shared" si="24"/>
        <v>#REF!</v>
      </c>
      <c r="I144" s="137" t="e">
        <f>IF(VLOOKUP(A144,'Actual Dates'!A4:AE266,25,),'Actual Dates'!#REF!,"")</f>
        <v>#REF!</v>
      </c>
      <c r="J144" s="137" t="e">
        <f t="shared" si="25"/>
        <v>#REF!</v>
      </c>
      <c r="K144" s="137" t="e">
        <f>IF(VLOOKUP(A144,'Actual Dates'!A4:AE294,26,),'Actual Dates'!#REF!,"")</f>
        <v>#REF!</v>
      </c>
      <c r="L144" s="137" t="e">
        <f>IF(VLOOKUP(A144,'Actual Dates'!A4:AE294,21,),'Actual Dates'!#REF!,"")</f>
        <v>#REF!</v>
      </c>
      <c r="M144" s="137" t="e">
        <f>'Date Calcs'!#REF!</f>
        <v>#REF!</v>
      </c>
      <c r="N144" s="137" t="e">
        <f>IF(VLOOKUP(A144,'Actual Dates'!A4:AE294,27,),'Actual Dates'!#REF!,"")</f>
        <v>#REF!</v>
      </c>
      <c r="O144" s="138" t="e">
        <f t="shared" si="28"/>
        <v>#REF!</v>
      </c>
      <c r="P144" s="139" t="e">
        <f t="shared" si="26"/>
        <v>#REF!</v>
      </c>
      <c r="Q144" s="139" t="e">
        <f t="shared" si="27"/>
        <v>#REF!</v>
      </c>
      <c r="R144" s="170"/>
      <c r="S144" s="170"/>
      <c r="T144" s="142"/>
      <c r="U144" s="142"/>
      <c r="V144" s="142"/>
      <c r="W144" s="142"/>
      <c r="X144" s="142"/>
      <c r="Y144" s="142"/>
      <c r="Z144" s="142"/>
      <c r="AA144" s="142"/>
      <c r="AB144" s="142"/>
    </row>
    <row r="145" spans="1:28" x14ac:dyDescent="0.25">
      <c r="A145" s="134" t="e">
        <f>'Actual Dates'!#REF!</f>
        <v>#REF!</v>
      </c>
      <c r="B145" s="135" t="e">
        <f>'Date Calcs'!#REF!</f>
        <v>#REF!</v>
      </c>
      <c r="C145" s="136" t="e">
        <f>'Date Calcs'!#REF!</f>
        <v>#REF!</v>
      </c>
      <c r="D145" s="137" t="e">
        <f t="shared" si="23"/>
        <v>#REF!</v>
      </c>
      <c r="E145" s="143" t="s">
        <v>377</v>
      </c>
      <c r="F145" s="137" t="e">
        <f>'Date Calcs'!#REF!</f>
        <v>#REF!</v>
      </c>
      <c r="G145" s="137" t="e">
        <f>IF(VLOOKUP(A145,'Actual Dates'!A4:AE272,8,),'Actual Dates'!#REF!,"")</f>
        <v>#REF!</v>
      </c>
      <c r="H145" s="137" t="e">
        <f t="shared" si="24"/>
        <v>#REF!</v>
      </c>
      <c r="I145" s="137" t="e">
        <f>IF(VLOOKUP(A145,'Actual Dates'!A4:AE267,25,),'Actual Dates'!#REF!,"")</f>
        <v>#REF!</v>
      </c>
      <c r="J145" s="137" t="e">
        <f t="shared" si="25"/>
        <v>#REF!</v>
      </c>
      <c r="K145" s="137" t="e">
        <f>IF(VLOOKUP(A145,'Actual Dates'!A4:AE295,26,),'Actual Dates'!#REF!,"")</f>
        <v>#REF!</v>
      </c>
      <c r="L145" s="137" t="e">
        <f>IF(VLOOKUP(A145,'Actual Dates'!A4:AE295,21,),'Actual Dates'!#REF!,"")</f>
        <v>#REF!</v>
      </c>
      <c r="M145" s="137" t="e">
        <f>'Date Calcs'!#REF!</f>
        <v>#REF!</v>
      </c>
      <c r="N145" s="137" t="e">
        <f>IF(VLOOKUP(A145,'Actual Dates'!A4:AE295,27,),'Actual Dates'!#REF!,"")</f>
        <v>#REF!</v>
      </c>
      <c r="O145" s="138" t="e">
        <f t="shared" si="28"/>
        <v>#REF!</v>
      </c>
      <c r="P145" s="139" t="e">
        <f t="shared" si="26"/>
        <v>#REF!</v>
      </c>
      <c r="Q145" s="139" t="e">
        <f t="shared" si="27"/>
        <v>#REF!</v>
      </c>
      <c r="R145" s="170"/>
      <c r="S145" s="170"/>
      <c r="T145" s="142"/>
      <c r="U145" s="142"/>
      <c r="V145" s="142"/>
      <c r="W145" s="142"/>
      <c r="X145" s="142"/>
      <c r="Y145" s="142"/>
      <c r="Z145" s="142"/>
      <c r="AA145" s="142"/>
      <c r="AB145" s="142"/>
    </row>
    <row r="146" spans="1:28" x14ac:dyDescent="0.25">
      <c r="A146" s="134" t="e">
        <f>'Actual Dates'!#REF!</f>
        <v>#REF!</v>
      </c>
      <c r="B146" s="135" t="e">
        <f>'Date Calcs'!#REF!</f>
        <v>#REF!</v>
      </c>
      <c r="C146" s="136" t="e">
        <f>'Date Calcs'!#REF!</f>
        <v>#REF!</v>
      </c>
      <c r="D146" s="137" t="e">
        <f t="shared" si="23"/>
        <v>#REF!</v>
      </c>
      <c r="E146" s="143" t="s">
        <v>377</v>
      </c>
      <c r="F146" s="137" t="e">
        <f>'Date Calcs'!#REF!</f>
        <v>#REF!</v>
      </c>
      <c r="G146" s="137" t="e">
        <f>IF(VLOOKUP(A146,'Actual Dates'!A4:AE273,8,),'Actual Dates'!#REF!,"")</f>
        <v>#REF!</v>
      </c>
      <c r="H146" s="137" t="e">
        <f t="shared" si="24"/>
        <v>#REF!</v>
      </c>
      <c r="I146" s="137" t="e">
        <f>IF(VLOOKUP(A146,'Actual Dates'!A4:AE268,25,),'Actual Dates'!#REF!,"")</f>
        <v>#REF!</v>
      </c>
      <c r="J146" s="137" t="e">
        <f t="shared" si="25"/>
        <v>#REF!</v>
      </c>
      <c r="K146" s="137" t="e">
        <f>IF(VLOOKUP(A146,'Actual Dates'!A4:AE296,26,),'Actual Dates'!#REF!,"")</f>
        <v>#REF!</v>
      </c>
      <c r="L146" s="137" t="e">
        <f>IF(VLOOKUP(A146,'Actual Dates'!A4:AE296,21,),'Actual Dates'!#REF!,"")</f>
        <v>#REF!</v>
      </c>
      <c r="M146" s="137" t="e">
        <f>'Date Calcs'!#REF!</f>
        <v>#REF!</v>
      </c>
      <c r="N146" s="137" t="e">
        <f>IF(VLOOKUP(A146,'Actual Dates'!A4:AE296,27,),'Actual Dates'!#REF!,"")</f>
        <v>#REF!</v>
      </c>
      <c r="O146" s="138" t="e">
        <f t="shared" si="28"/>
        <v>#REF!</v>
      </c>
      <c r="P146" s="139" t="e">
        <f t="shared" si="26"/>
        <v>#REF!</v>
      </c>
      <c r="Q146" s="139" t="e">
        <f t="shared" si="27"/>
        <v>#REF!</v>
      </c>
      <c r="R146" s="170"/>
      <c r="S146" s="170"/>
      <c r="T146" s="142"/>
      <c r="U146" s="142"/>
      <c r="V146" s="142"/>
      <c r="W146" s="142"/>
      <c r="X146" s="142"/>
      <c r="Y146" s="142"/>
      <c r="Z146" s="142"/>
      <c r="AA146" s="142"/>
      <c r="AB146" s="142"/>
    </row>
    <row r="147" spans="1:28" x14ac:dyDescent="0.25">
      <c r="A147" s="134" t="e">
        <f>'Actual Dates'!#REF!</f>
        <v>#REF!</v>
      </c>
      <c r="B147" s="135" t="e">
        <f>'Date Calcs'!#REF!</f>
        <v>#REF!</v>
      </c>
      <c r="C147" s="136" t="e">
        <f>'Date Calcs'!#REF!</f>
        <v>#REF!</v>
      </c>
      <c r="D147" s="137" t="e">
        <f t="shared" ref="D147:D178" si="29">WORKDAY(F147,-1,)</f>
        <v>#REF!</v>
      </c>
      <c r="E147" s="143" t="s">
        <v>377</v>
      </c>
      <c r="F147" s="137" t="e">
        <f>'Date Calcs'!#REF!</f>
        <v>#REF!</v>
      </c>
      <c r="G147" s="137" t="e">
        <f>IF(VLOOKUP(A147,'Actual Dates'!A4:AE274,8,),'Actual Dates'!#REF!,"")</f>
        <v>#REF!</v>
      </c>
      <c r="H147" s="137" t="e">
        <f t="shared" si="24"/>
        <v>#REF!</v>
      </c>
      <c r="I147" s="137" t="e">
        <f>IF(VLOOKUP(A147,'Actual Dates'!A4:AE269,25,),'Actual Dates'!#REF!,"")</f>
        <v>#REF!</v>
      </c>
      <c r="J147" s="137" t="e">
        <f t="shared" si="25"/>
        <v>#REF!</v>
      </c>
      <c r="K147" s="137" t="e">
        <f>IF(VLOOKUP(A147,'Actual Dates'!A4:AE297,26,),'Actual Dates'!#REF!,"")</f>
        <v>#REF!</v>
      </c>
      <c r="L147" s="137" t="e">
        <f>IF(VLOOKUP(A147,'Actual Dates'!A4:AE297,21,),'Actual Dates'!#REF!,"")</f>
        <v>#REF!</v>
      </c>
      <c r="M147" s="137" t="e">
        <f>'Date Calcs'!#REF!</f>
        <v>#REF!</v>
      </c>
      <c r="N147" s="137" t="e">
        <f>IF(VLOOKUP(A147,'Actual Dates'!A4:AE297,27,),'Actual Dates'!#REF!,"")</f>
        <v>#REF!</v>
      </c>
      <c r="O147" s="138" t="e">
        <f t="shared" si="28"/>
        <v>#REF!</v>
      </c>
      <c r="P147" s="139" t="e">
        <f t="shared" si="26"/>
        <v>#REF!</v>
      </c>
      <c r="Q147" s="139" t="e">
        <f t="shared" si="27"/>
        <v>#REF!</v>
      </c>
      <c r="R147" s="170"/>
      <c r="S147" s="170"/>
      <c r="T147" s="142"/>
      <c r="U147" s="142"/>
      <c r="V147" s="142"/>
      <c r="W147" s="142"/>
      <c r="X147" s="142"/>
      <c r="Y147" s="142"/>
      <c r="Z147" s="142"/>
      <c r="AA147" s="142"/>
      <c r="AB147" s="142"/>
    </row>
    <row r="148" spans="1:28" x14ac:dyDescent="0.25">
      <c r="A148" s="134" t="e">
        <f>'Actual Dates'!#REF!</f>
        <v>#REF!</v>
      </c>
      <c r="B148" s="135" t="e">
        <f>'Date Calcs'!#REF!</f>
        <v>#REF!</v>
      </c>
      <c r="C148" s="136" t="e">
        <f>'Date Calcs'!#REF!</f>
        <v>#REF!</v>
      </c>
      <c r="D148" s="137" t="e">
        <f t="shared" si="29"/>
        <v>#REF!</v>
      </c>
      <c r="E148" s="143" t="s">
        <v>377</v>
      </c>
      <c r="F148" s="137" t="e">
        <f>'Date Calcs'!#REF!</f>
        <v>#REF!</v>
      </c>
      <c r="G148" s="137" t="e">
        <f>IF(VLOOKUP(A148,'Actual Dates'!A4:AE275,8,),'Actual Dates'!#REF!,"")</f>
        <v>#REF!</v>
      </c>
      <c r="H148" s="137" t="e">
        <f t="shared" si="24"/>
        <v>#REF!</v>
      </c>
      <c r="I148" s="137" t="e">
        <f>IF(VLOOKUP(A148,'Actual Dates'!A4:AE270,25,),'Actual Dates'!#REF!,"")</f>
        <v>#REF!</v>
      </c>
      <c r="J148" s="137" t="e">
        <f t="shared" si="25"/>
        <v>#REF!</v>
      </c>
      <c r="K148" s="137" t="e">
        <f>IF(VLOOKUP(A148,'Actual Dates'!A4:AE298,26,),'Actual Dates'!#REF!,"")</f>
        <v>#REF!</v>
      </c>
      <c r="L148" s="137" t="e">
        <f>IF(VLOOKUP(A148,'Actual Dates'!A4:AE298,21,),'Actual Dates'!#REF!,"")</f>
        <v>#REF!</v>
      </c>
      <c r="M148" s="137" t="e">
        <f>'Date Calcs'!#REF!</f>
        <v>#REF!</v>
      </c>
      <c r="N148" s="137" t="e">
        <f>IF(VLOOKUP(A148,'Actual Dates'!A4:AE298,27,),'Actual Dates'!#REF!,"")</f>
        <v>#REF!</v>
      </c>
      <c r="O148" s="138" t="e">
        <f t="shared" si="28"/>
        <v>#REF!</v>
      </c>
      <c r="P148" s="139" t="e">
        <f t="shared" si="26"/>
        <v>#REF!</v>
      </c>
      <c r="Q148" s="139" t="e">
        <f t="shared" si="27"/>
        <v>#REF!</v>
      </c>
      <c r="R148" s="170"/>
      <c r="S148" s="170"/>
      <c r="T148" s="142"/>
      <c r="U148" s="142"/>
      <c r="V148" s="142"/>
      <c r="W148" s="142"/>
      <c r="X148" s="142"/>
      <c r="Y148" s="142"/>
      <c r="Z148" s="142"/>
      <c r="AA148" s="142"/>
      <c r="AB148" s="142"/>
    </row>
    <row r="149" spans="1:28" x14ac:dyDescent="0.25">
      <c r="A149" s="134" t="e">
        <f>'Actual Dates'!#REF!</f>
        <v>#REF!</v>
      </c>
      <c r="B149" s="135" t="e">
        <f>'Date Calcs'!#REF!</f>
        <v>#REF!</v>
      </c>
      <c r="C149" s="136" t="e">
        <f>'Date Calcs'!#REF!</f>
        <v>#REF!</v>
      </c>
      <c r="D149" s="137" t="e">
        <f t="shared" si="29"/>
        <v>#REF!</v>
      </c>
      <c r="E149" s="143" t="s">
        <v>377</v>
      </c>
      <c r="F149" s="137" t="e">
        <f>'Date Calcs'!#REF!</f>
        <v>#REF!</v>
      </c>
      <c r="G149" s="137" t="e">
        <f>IF(VLOOKUP(A149,'Actual Dates'!A4:AE276,8,),'Actual Dates'!#REF!,"")</f>
        <v>#REF!</v>
      </c>
      <c r="H149" s="137" t="e">
        <f t="shared" si="24"/>
        <v>#REF!</v>
      </c>
      <c r="I149" s="137" t="e">
        <f>IF(VLOOKUP(A149,'Actual Dates'!A4:AE271,25,),'Actual Dates'!#REF!,"")</f>
        <v>#REF!</v>
      </c>
      <c r="J149" s="137" t="e">
        <f t="shared" si="25"/>
        <v>#REF!</v>
      </c>
      <c r="K149" s="137" t="e">
        <f>IF(VLOOKUP(A149,'Actual Dates'!A4:AE299,26,),'Actual Dates'!#REF!,"")</f>
        <v>#REF!</v>
      </c>
      <c r="L149" s="137" t="e">
        <f>IF(VLOOKUP(A149,'Actual Dates'!A4:AE299,21,),'Actual Dates'!#REF!,"")</f>
        <v>#REF!</v>
      </c>
      <c r="M149" s="137" t="e">
        <f>'Date Calcs'!#REF!</f>
        <v>#REF!</v>
      </c>
      <c r="N149" s="137" t="e">
        <f>IF(VLOOKUP(A149,'Actual Dates'!A4:AE299,27,),'Actual Dates'!#REF!,"")</f>
        <v>#REF!</v>
      </c>
      <c r="O149" s="138" t="e">
        <f t="shared" si="28"/>
        <v>#REF!</v>
      </c>
      <c r="P149" s="139" t="e">
        <f t="shared" si="26"/>
        <v>#REF!</v>
      </c>
      <c r="Q149" s="139" t="e">
        <f t="shared" si="27"/>
        <v>#REF!</v>
      </c>
      <c r="R149" s="170"/>
      <c r="S149" s="170"/>
      <c r="T149" s="142"/>
      <c r="U149" s="142"/>
      <c r="V149" s="142"/>
      <c r="W149" s="142"/>
      <c r="X149" s="142"/>
      <c r="Y149" s="142"/>
      <c r="Z149" s="142"/>
      <c r="AA149" s="142"/>
      <c r="AB149" s="142"/>
    </row>
    <row r="150" spans="1:28" x14ac:dyDescent="0.25">
      <c r="A150" s="134" t="e">
        <f>'Actual Dates'!#REF!</f>
        <v>#REF!</v>
      </c>
      <c r="B150" s="135" t="e">
        <f>'Date Calcs'!#REF!</f>
        <v>#REF!</v>
      </c>
      <c r="C150" s="136" t="e">
        <f>'Date Calcs'!#REF!</f>
        <v>#REF!</v>
      </c>
      <c r="D150" s="137" t="e">
        <f t="shared" si="29"/>
        <v>#REF!</v>
      </c>
      <c r="E150" s="143" t="s">
        <v>377</v>
      </c>
      <c r="F150" s="137" t="e">
        <f>'Date Calcs'!#REF!</f>
        <v>#REF!</v>
      </c>
      <c r="G150" s="137" t="e">
        <f>IF(VLOOKUP(A150,'Actual Dates'!A4:AE277,8,),'Actual Dates'!#REF!,"")</f>
        <v>#REF!</v>
      </c>
      <c r="H150" s="137" t="e">
        <f t="shared" si="24"/>
        <v>#REF!</v>
      </c>
      <c r="I150" s="137" t="e">
        <f>IF(VLOOKUP(A150,'Actual Dates'!A4:AE272,25,),'Actual Dates'!#REF!,"")</f>
        <v>#REF!</v>
      </c>
      <c r="J150" s="137" t="e">
        <f t="shared" si="25"/>
        <v>#REF!</v>
      </c>
      <c r="K150" s="137" t="e">
        <f>IF(VLOOKUP(A150,'Actual Dates'!A4:AE300,26,),'Actual Dates'!#REF!,"")</f>
        <v>#REF!</v>
      </c>
      <c r="L150" s="137" t="e">
        <f>IF(VLOOKUP(A150,'Actual Dates'!A4:AE300,21,),'Actual Dates'!#REF!,"")</f>
        <v>#REF!</v>
      </c>
      <c r="M150" s="137" t="e">
        <f>'Date Calcs'!#REF!</f>
        <v>#REF!</v>
      </c>
      <c r="N150" s="137" t="e">
        <f>IF(VLOOKUP(A150,'Actual Dates'!A4:AE300,27,),'Actual Dates'!#REF!,"")</f>
        <v>#REF!</v>
      </c>
      <c r="O150" s="138" t="e">
        <f t="shared" si="28"/>
        <v>#REF!</v>
      </c>
      <c r="P150" s="139" t="e">
        <f t="shared" si="26"/>
        <v>#REF!</v>
      </c>
      <c r="Q150" s="139" t="e">
        <f t="shared" si="27"/>
        <v>#REF!</v>
      </c>
      <c r="R150" s="170"/>
      <c r="S150" s="170"/>
      <c r="T150" s="142"/>
      <c r="U150" s="142"/>
      <c r="V150" s="142"/>
      <c r="W150" s="142"/>
      <c r="X150" s="142"/>
      <c r="Y150" s="142"/>
      <c r="Z150" s="142"/>
      <c r="AA150" s="142"/>
      <c r="AB150" s="142"/>
    </row>
    <row r="151" spans="1:28" x14ac:dyDescent="0.25">
      <c r="A151" s="134" t="e">
        <f>'Actual Dates'!#REF!</f>
        <v>#REF!</v>
      </c>
      <c r="B151" s="135" t="e">
        <f>'Date Calcs'!#REF!</f>
        <v>#REF!</v>
      </c>
      <c r="C151" s="136" t="e">
        <f>'Date Calcs'!#REF!</f>
        <v>#REF!</v>
      </c>
      <c r="D151" s="137" t="e">
        <f t="shared" si="29"/>
        <v>#REF!</v>
      </c>
      <c r="E151" s="143" t="s">
        <v>377</v>
      </c>
      <c r="F151" s="137" t="e">
        <f>'Date Calcs'!#REF!</f>
        <v>#REF!</v>
      </c>
      <c r="G151" s="137" t="e">
        <f>IF(VLOOKUP(A151,'Actual Dates'!A4:AE278,8,),'Actual Dates'!#REF!,"")</f>
        <v>#REF!</v>
      </c>
      <c r="H151" s="137" t="e">
        <f t="shared" si="24"/>
        <v>#REF!</v>
      </c>
      <c r="I151" s="137" t="e">
        <f>IF(VLOOKUP(A151,'Actual Dates'!A4:AE273,25,),'Actual Dates'!#REF!,"")</f>
        <v>#REF!</v>
      </c>
      <c r="J151" s="137" t="e">
        <f t="shared" si="25"/>
        <v>#REF!</v>
      </c>
      <c r="K151" s="137" t="e">
        <f>IF(VLOOKUP(A151,'Actual Dates'!A4:AE301,26,),'Actual Dates'!#REF!,"")</f>
        <v>#REF!</v>
      </c>
      <c r="L151" s="137" t="e">
        <f>IF(VLOOKUP(A151,'Actual Dates'!A4:AE301,21,),'Actual Dates'!#REF!,"")</f>
        <v>#REF!</v>
      </c>
      <c r="M151" s="137" t="e">
        <f>'Date Calcs'!#REF!</f>
        <v>#REF!</v>
      </c>
      <c r="N151" s="137" t="e">
        <f>IF(VLOOKUP(A151,'Actual Dates'!A4:AE301,27,),'Actual Dates'!#REF!,"")</f>
        <v>#REF!</v>
      </c>
      <c r="O151" s="138" t="e">
        <f t="shared" si="28"/>
        <v>#REF!</v>
      </c>
      <c r="P151" s="139" t="e">
        <f t="shared" si="26"/>
        <v>#REF!</v>
      </c>
      <c r="Q151" s="139" t="e">
        <f t="shared" si="27"/>
        <v>#REF!</v>
      </c>
      <c r="R151" s="170"/>
      <c r="S151" s="170"/>
      <c r="T151" s="142"/>
      <c r="U151" s="142"/>
      <c r="V151" s="142"/>
      <c r="W151" s="142"/>
      <c r="X151" s="142"/>
      <c r="Y151" s="142"/>
      <c r="Z151" s="142"/>
      <c r="AA151" s="142"/>
      <c r="AB151" s="142"/>
    </row>
    <row r="152" spans="1:28" x14ac:dyDescent="0.25">
      <c r="A152" s="134" t="e">
        <f>'Actual Dates'!#REF!</f>
        <v>#REF!</v>
      </c>
      <c r="B152" s="135" t="e">
        <f>'Date Calcs'!#REF!</f>
        <v>#REF!</v>
      </c>
      <c r="C152" s="136" t="e">
        <f>'Date Calcs'!#REF!</f>
        <v>#REF!</v>
      </c>
      <c r="D152" s="137" t="e">
        <f t="shared" si="29"/>
        <v>#REF!</v>
      </c>
      <c r="E152" s="143" t="s">
        <v>377</v>
      </c>
      <c r="F152" s="137" t="e">
        <f>'Date Calcs'!#REF!</f>
        <v>#REF!</v>
      </c>
      <c r="G152" s="137" t="e">
        <f>IF(VLOOKUP(A152,'Actual Dates'!A4:AE279,8,),'Actual Dates'!#REF!,"")</f>
        <v>#REF!</v>
      </c>
      <c r="H152" s="137" t="e">
        <f t="shared" si="24"/>
        <v>#REF!</v>
      </c>
      <c r="I152" s="137" t="e">
        <f>IF(VLOOKUP(A152,'Actual Dates'!A4:AE274,25,),'Actual Dates'!#REF!,"")</f>
        <v>#REF!</v>
      </c>
      <c r="J152" s="137" t="e">
        <f t="shared" si="25"/>
        <v>#REF!</v>
      </c>
      <c r="K152" s="137" t="e">
        <f>IF(VLOOKUP(A152,'Actual Dates'!A4:AE302,26,),'Actual Dates'!#REF!,"")</f>
        <v>#REF!</v>
      </c>
      <c r="L152" s="137" t="e">
        <f>IF(VLOOKUP(A152,'Actual Dates'!A4:AE302,21,),'Actual Dates'!#REF!,"")</f>
        <v>#REF!</v>
      </c>
      <c r="M152" s="137" t="e">
        <f>'Date Calcs'!#REF!</f>
        <v>#REF!</v>
      </c>
      <c r="N152" s="137" t="e">
        <f>IF(VLOOKUP(A152,'Actual Dates'!A4:AE302,27,),'Actual Dates'!#REF!,"")</f>
        <v>#REF!</v>
      </c>
      <c r="O152" s="138" t="e">
        <f t="shared" si="28"/>
        <v>#REF!</v>
      </c>
      <c r="P152" s="139" t="e">
        <f t="shared" si="26"/>
        <v>#REF!</v>
      </c>
      <c r="Q152" s="139" t="e">
        <f t="shared" si="27"/>
        <v>#REF!</v>
      </c>
      <c r="R152" s="170"/>
      <c r="S152" s="170"/>
      <c r="T152" s="142"/>
      <c r="U152" s="142"/>
      <c r="V152" s="142"/>
      <c r="W152" s="142"/>
      <c r="X152" s="142"/>
      <c r="Y152" s="142"/>
      <c r="Z152" s="142"/>
      <c r="AA152" s="142"/>
      <c r="AB152" s="142"/>
    </row>
    <row r="153" spans="1:28" x14ac:dyDescent="0.25">
      <c r="A153" s="134" t="e">
        <f>'Actual Dates'!#REF!</f>
        <v>#REF!</v>
      </c>
      <c r="B153" s="135" t="e">
        <f>'Date Calcs'!#REF!</f>
        <v>#REF!</v>
      </c>
      <c r="C153" s="136" t="e">
        <f>'Date Calcs'!#REF!</f>
        <v>#REF!</v>
      </c>
      <c r="D153" s="137" t="e">
        <f t="shared" si="29"/>
        <v>#REF!</v>
      </c>
      <c r="E153" s="143">
        <v>43896</v>
      </c>
      <c r="F153" s="137" t="e">
        <f>'Date Calcs'!#REF!</f>
        <v>#REF!</v>
      </c>
      <c r="G153" s="137" t="e">
        <f>IF(VLOOKUP(A153,'Actual Dates'!A4:AE280,8,),'Actual Dates'!#REF!,"")</f>
        <v>#REF!</v>
      </c>
      <c r="H153" s="137" t="e">
        <f t="shared" si="24"/>
        <v>#REF!</v>
      </c>
      <c r="I153" s="137" t="e">
        <f>IF(VLOOKUP(A153,'Actual Dates'!A4:AE275,25,),'Actual Dates'!#REF!,"")</f>
        <v>#REF!</v>
      </c>
      <c r="J153" s="137" t="e">
        <f t="shared" si="25"/>
        <v>#REF!</v>
      </c>
      <c r="K153" s="137" t="e">
        <f>IF(VLOOKUP(A153,'Actual Dates'!A4:AE303,26,),'Actual Dates'!#REF!,"")</f>
        <v>#REF!</v>
      </c>
      <c r="L153" s="137" t="e">
        <f>IF(VLOOKUP(A153,'Actual Dates'!A4:AE303,21,),'Actual Dates'!#REF!,"")</f>
        <v>#REF!</v>
      </c>
      <c r="M153" s="137" t="e">
        <f>'Date Calcs'!#REF!</f>
        <v>#REF!</v>
      </c>
      <c r="N153" s="137" t="e">
        <f>IF(VLOOKUP(A153,'Actual Dates'!A4:AE303,27,),'Actual Dates'!#REF!,"")</f>
        <v>#REF!</v>
      </c>
      <c r="O153" s="138" t="e">
        <f t="shared" si="28"/>
        <v>#REF!</v>
      </c>
      <c r="P153" s="139" t="e">
        <f t="shared" si="26"/>
        <v>#REF!</v>
      </c>
      <c r="Q153" s="139" t="e">
        <f t="shared" si="27"/>
        <v>#REF!</v>
      </c>
      <c r="R153" s="170"/>
      <c r="S153" s="170"/>
      <c r="T153" s="142"/>
      <c r="U153" s="142"/>
      <c r="V153" s="142"/>
      <c r="W153" s="142"/>
      <c r="X153" s="142"/>
      <c r="Y153" s="142"/>
      <c r="Z153" s="142"/>
      <c r="AA153" s="142"/>
      <c r="AB153" s="142"/>
    </row>
    <row r="154" spans="1:28" x14ac:dyDescent="0.25">
      <c r="A154" s="134" t="e">
        <f>'Actual Dates'!#REF!</f>
        <v>#REF!</v>
      </c>
      <c r="B154" s="135" t="e">
        <f>'Date Calcs'!#REF!</f>
        <v>#REF!</v>
      </c>
      <c r="C154" s="136" t="e">
        <f>'Date Calcs'!#REF!</f>
        <v>#REF!</v>
      </c>
      <c r="D154" s="137" t="e">
        <f t="shared" si="29"/>
        <v>#REF!</v>
      </c>
      <c r="E154" s="143">
        <v>43896</v>
      </c>
      <c r="F154" s="137" t="e">
        <f>'Date Calcs'!#REF!</f>
        <v>#REF!</v>
      </c>
      <c r="G154" s="137" t="e">
        <f>IF(VLOOKUP(A154,'Actual Dates'!A4:AE281,8,),'Actual Dates'!#REF!,"")</f>
        <v>#REF!</v>
      </c>
      <c r="H154" s="137" t="e">
        <f t="shared" si="24"/>
        <v>#REF!</v>
      </c>
      <c r="I154" s="137" t="e">
        <f>IF(VLOOKUP(A154,'Actual Dates'!A4:AE276,25,),'Actual Dates'!#REF!,"")</f>
        <v>#REF!</v>
      </c>
      <c r="J154" s="137" t="e">
        <f t="shared" si="25"/>
        <v>#REF!</v>
      </c>
      <c r="K154" s="137" t="e">
        <f>IF(VLOOKUP(A154,'Actual Dates'!A4:AE304,26,),'Actual Dates'!#REF!,"")</f>
        <v>#REF!</v>
      </c>
      <c r="L154" s="137" t="e">
        <f>IF(VLOOKUP(A154,'Actual Dates'!A4:AE304,21,),'Actual Dates'!#REF!,"")</f>
        <v>#REF!</v>
      </c>
      <c r="M154" s="137" t="e">
        <f>'Date Calcs'!#REF!</f>
        <v>#REF!</v>
      </c>
      <c r="N154" s="137" t="e">
        <f>IF(VLOOKUP(A154,'Actual Dates'!A4:AE304,27,),'Actual Dates'!#REF!,"")</f>
        <v>#REF!</v>
      </c>
      <c r="O154" s="138" t="e">
        <f t="shared" si="28"/>
        <v>#REF!</v>
      </c>
      <c r="P154" s="139" t="e">
        <f t="shared" si="26"/>
        <v>#REF!</v>
      </c>
      <c r="Q154" s="139" t="e">
        <f t="shared" si="27"/>
        <v>#REF!</v>
      </c>
      <c r="R154" s="170"/>
      <c r="S154" s="170"/>
      <c r="T154" s="142"/>
      <c r="U154" s="142"/>
      <c r="V154" s="142"/>
      <c r="W154" s="142"/>
      <c r="X154" s="142"/>
      <c r="Y154" s="142"/>
      <c r="Z154" s="142"/>
      <c r="AA154" s="142"/>
      <c r="AB154" s="142"/>
    </row>
    <row r="155" spans="1:28" x14ac:dyDescent="0.25">
      <c r="A155" s="134" t="e">
        <f>'Actual Dates'!#REF!</f>
        <v>#REF!</v>
      </c>
      <c r="B155" s="135" t="e">
        <f>'Date Calcs'!#REF!</f>
        <v>#REF!</v>
      </c>
      <c r="C155" s="136" t="e">
        <f>'Date Calcs'!#REF!</f>
        <v>#REF!</v>
      </c>
      <c r="D155" s="137" t="e">
        <f t="shared" si="29"/>
        <v>#REF!</v>
      </c>
      <c r="E155" s="143" t="s">
        <v>377</v>
      </c>
      <c r="F155" s="137" t="e">
        <f>'Date Calcs'!#REF!</f>
        <v>#REF!</v>
      </c>
      <c r="G155" s="137" t="e">
        <f>IF(VLOOKUP(A155,'Actual Dates'!A4:AE282,8,),'Actual Dates'!#REF!,"")</f>
        <v>#REF!</v>
      </c>
      <c r="H155" s="137" t="e">
        <f t="shared" si="24"/>
        <v>#REF!</v>
      </c>
      <c r="I155" s="137" t="e">
        <f>IF(VLOOKUP(A155,'Actual Dates'!A4:AE277,25,),'Actual Dates'!#REF!,"")</f>
        <v>#REF!</v>
      </c>
      <c r="J155" s="137" t="e">
        <f t="shared" si="25"/>
        <v>#REF!</v>
      </c>
      <c r="K155" s="137" t="e">
        <f>IF(VLOOKUP(A155,'Actual Dates'!A4:AE305,26,),'Actual Dates'!#REF!,"")</f>
        <v>#REF!</v>
      </c>
      <c r="L155" s="137" t="e">
        <f>IF(VLOOKUP(A155,'Actual Dates'!A4:AE305,21,),'Actual Dates'!#REF!,"")</f>
        <v>#REF!</v>
      </c>
      <c r="M155" s="137" t="e">
        <f>'Date Calcs'!#REF!</f>
        <v>#REF!</v>
      </c>
      <c r="N155" s="137" t="e">
        <f>IF(VLOOKUP(A155,'Actual Dates'!A4:AE305,27,),'Actual Dates'!#REF!,"")</f>
        <v>#REF!</v>
      </c>
      <c r="O155" s="138" t="e">
        <f t="shared" si="28"/>
        <v>#REF!</v>
      </c>
      <c r="P155" s="139" t="e">
        <f t="shared" si="26"/>
        <v>#REF!</v>
      </c>
      <c r="Q155" s="139" t="e">
        <f t="shared" si="27"/>
        <v>#REF!</v>
      </c>
      <c r="R155" s="170"/>
      <c r="S155" s="170"/>
      <c r="T155" s="142"/>
      <c r="U155" s="142"/>
      <c r="V155" s="142"/>
      <c r="W155" s="142"/>
      <c r="X155" s="142"/>
      <c r="Y155" s="142"/>
      <c r="Z155" s="142"/>
      <c r="AA155" s="142"/>
      <c r="AB155" s="142"/>
    </row>
    <row r="156" spans="1:28" x14ac:dyDescent="0.25">
      <c r="A156" s="134" t="e">
        <f>'Actual Dates'!#REF!</f>
        <v>#REF!</v>
      </c>
      <c r="B156" s="135" t="e">
        <f>'Date Calcs'!#REF!</f>
        <v>#REF!</v>
      </c>
      <c r="C156" s="136" t="e">
        <f>'Date Calcs'!#REF!</f>
        <v>#REF!</v>
      </c>
      <c r="D156" s="137" t="e">
        <f t="shared" si="29"/>
        <v>#REF!</v>
      </c>
      <c r="E156" s="143">
        <v>43902</v>
      </c>
      <c r="F156" s="137" t="e">
        <f>'Date Calcs'!#REF!</f>
        <v>#REF!</v>
      </c>
      <c r="G156" s="137" t="e">
        <f>IF(VLOOKUP(A156,'Actual Dates'!A4:AE283,8,),'Actual Dates'!#REF!,"")</f>
        <v>#REF!</v>
      </c>
      <c r="H156" s="137" t="e">
        <f t="shared" si="24"/>
        <v>#REF!</v>
      </c>
      <c r="I156" s="137" t="e">
        <f>IF(VLOOKUP(A156,'Actual Dates'!A4:AE278,25,),'Actual Dates'!#REF!,"")</f>
        <v>#REF!</v>
      </c>
      <c r="J156" s="137" t="e">
        <f t="shared" si="25"/>
        <v>#REF!</v>
      </c>
      <c r="K156" s="137" t="e">
        <f>IF(VLOOKUP(A156,'Actual Dates'!A4:AE306,26,),'Actual Dates'!#REF!,"")</f>
        <v>#REF!</v>
      </c>
      <c r="L156" s="137" t="e">
        <f>IF(VLOOKUP(A156,'Actual Dates'!A4:AE306,21,),'Actual Dates'!#REF!,"")</f>
        <v>#REF!</v>
      </c>
      <c r="M156" s="137" t="e">
        <f>'Date Calcs'!#REF!</f>
        <v>#REF!</v>
      </c>
      <c r="N156" s="137" t="e">
        <f>IF(VLOOKUP(A156,'Actual Dates'!A4:AE306,27,),'Actual Dates'!#REF!,"")</f>
        <v>#REF!</v>
      </c>
      <c r="O156" s="138" t="e">
        <f t="shared" si="28"/>
        <v>#REF!</v>
      </c>
      <c r="P156" s="139" t="e">
        <f t="shared" si="26"/>
        <v>#REF!</v>
      </c>
      <c r="Q156" s="139" t="e">
        <f t="shared" si="27"/>
        <v>#REF!</v>
      </c>
      <c r="R156" s="170"/>
      <c r="S156" s="170"/>
      <c r="T156" s="142"/>
      <c r="U156" s="142"/>
      <c r="V156" s="142"/>
      <c r="W156" s="142"/>
      <c r="X156" s="142"/>
      <c r="Y156" s="142"/>
      <c r="Z156" s="142"/>
      <c r="AA156" s="142"/>
      <c r="AB156" s="142"/>
    </row>
    <row r="157" spans="1:28" x14ac:dyDescent="0.25">
      <c r="A157" s="134" t="e">
        <f>'Actual Dates'!#REF!</f>
        <v>#REF!</v>
      </c>
      <c r="B157" s="135" t="e">
        <f>'Date Calcs'!#REF!</f>
        <v>#REF!</v>
      </c>
      <c r="C157" s="136" t="e">
        <f>'Date Calcs'!#REF!</f>
        <v>#REF!</v>
      </c>
      <c r="D157" s="137" t="e">
        <f t="shared" si="29"/>
        <v>#REF!</v>
      </c>
      <c r="E157" s="143">
        <v>43906</v>
      </c>
      <c r="F157" s="137" t="e">
        <f>'Date Calcs'!#REF!</f>
        <v>#REF!</v>
      </c>
      <c r="G157" s="137" t="e">
        <f>IF(VLOOKUP(A157,'Actual Dates'!A4:AE284,8,),'Actual Dates'!#REF!,"")</f>
        <v>#REF!</v>
      </c>
      <c r="H157" s="137" t="e">
        <f t="shared" si="24"/>
        <v>#REF!</v>
      </c>
      <c r="I157" s="137" t="e">
        <f>IF(VLOOKUP(A157,'Actual Dates'!A4:AE279,25,),'Actual Dates'!#REF!,"")</f>
        <v>#REF!</v>
      </c>
      <c r="J157" s="137" t="e">
        <f t="shared" si="25"/>
        <v>#REF!</v>
      </c>
      <c r="K157" s="137" t="e">
        <f>IF(VLOOKUP(A157,'Actual Dates'!A4:AE307,26,),'Actual Dates'!#REF!,"")</f>
        <v>#REF!</v>
      </c>
      <c r="L157" s="137" t="e">
        <f>IF(VLOOKUP(A157,'Actual Dates'!A4:AE307,21,),'Actual Dates'!#REF!,"")</f>
        <v>#REF!</v>
      </c>
      <c r="M157" s="137" t="e">
        <f>'Date Calcs'!#REF!</f>
        <v>#REF!</v>
      </c>
      <c r="N157" s="137" t="e">
        <f>IF(VLOOKUP(A157,'Actual Dates'!A4:AE307,27,),'Actual Dates'!#REF!,"")</f>
        <v>#REF!</v>
      </c>
      <c r="O157" s="138" t="e">
        <f t="shared" si="28"/>
        <v>#REF!</v>
      </c>
      <c r="P157" s="139" t="e">
        <f t="shared" si="26"/>
        <v>#REF!</v>
      </c>
      <c r="Q157" s="139" t="e">
        <f t="shared" si="27"/>
        <v>#REF!</v>
      </c>
      <c r="R157" s="170"/>
      <c r="S157" s="170"/>
      <c r="T157" s="142"/>
      <c r="U157" s="142"/>
      <c r="V157" s="142"/>
      <c r="W157" s="142"/>
      <c r="X157" s="142"/>
      <c r="Y157" s="142"/>
      <c r="Z157" s="142"/>
      <c r="AA157" s="142"/>
      <c r="AB157" s="142"/>
    </row>
    <row r="158" spans="1:28" x14ac:dyDescent="0.25">
      <c r="A158" s="134" t="e">
        <f>'Actual Dates'!#REF!</f>
        <v>#REF!</v>
      </c>
      <c r="B158" s="135" t="e">
        <f>'Date Calcs'!#REF!</f>
        <v>#REF!</v>
      </c>
      <c r="C158" s="136" t="e">
        <f>'Date Calcs'!#REF!</f>
        <v>#REF!</v>
      </c>
      <c r="D158" s="137" t="e">
        <f t="shared" si="29"/>
        <v>#REF!</v>
      </c>
      <c r="E158" s="143">
        <v>43909</v>
      </c>
      <c r="F158" s="137" t="e">
        <f>'Date Calcs'!#REF!</f>
        <v>#REF!</v>
      </c>
      <c r="G158" s="137" t="e">
        <f>IF(VLOOKUP(A158,'Actual Dates'!A4:AE285,8,),'Actual Dates'!#REF!,"")</f>
        <v>#REF!</v>
      </c>
      <c r="H158" s="137" t="e">
        <f t="shared" si="24"/>
        <v>#REF!</v>
      </c>
      <c r="I158" s="137" t="e">
        <f>IF(VLOOKUP(A158,'Actual Dates'!A4:AE280,25,),'Actual Dates'!#REF!,"")</f>
        <v>#REF!</v>
      </c>
      <c r="J158" s="137" t="e">
        <f t="shared" si="25"/>
        <v>#REF!</v>
      </c>
      <c r="K158" s="137" t="e">
        <f>IF(VLOOKUP(A158,'Actual Dates'!A4:AE308,26,),'Actual Dates'!#REF!,"")</f>
        <v>#REF!</v>
      </c>
      <c r="L158" s="137" t="e">
        <f>IF(VLOOKUP(A158,'Actual Dates'!A4:AE308,21,),'Actual Dates'!#REF!,"")</f>
        <v>#REF!</v>
      </c>
      <c r="M158" s="137" t="e">
        <f>'Date Calcs'!#REF!</f>
        <v>#REF!</v>
      </c>
      <c r="N158" s="137" t="e">
        <f>IF(VLOOKUP(A158,'Actual Dates'!A4:AE308,27,),'Actual Dates'!#REF!,"")</f>
        <v>#REF!</v>
      </c>
      <c r="O158" s="138" t="e">
        <f t="shared" si="28"/>
        <v>#REF!</v>
      </c>
      <c r="P158" s="139" t="e">
        <f t="shared" si="26"/>
        <v>#REF!</v>
      </c>
      <c r="Q158" s="139" t="e">
        <f t="shared" si="27"/>
        <v>#REF!</v>
      </c>
      <c r="R158" s="170"/>
      <c r="S158" s="170"/>
      <c r="T158" s="142"/>
      <c r="U158" s="142"/>
      <c r="V158" s="142"/>
      <c r="W158" s="142"/>
      <c r="X158" s="142"/>
      <c r="Y158" s="142"/>
      <c r="Z158" s="142"/>
      <c r="AA158" s="142"/>
      <c r="AB158" s="142"/>
    </row>
    <row r="159" spans="1:28" x14ac:dyDescent="0.25">
      <c r="A159" s="134" t="e">
        <f>'Actual Dates'!#REF!</f>
        <v>#REF!</v>
      </c>
      <c r="B159" s="135" t="e">
        <f>'Date Calcs'!#REF!</f>
        <v>#REF!</v>
      </c>
      <c r="C159" s="136" t="e">
        <f>'Date Calcs'!#REF!</f>
        <v>#REF!</v>
      </c>
      <c r="D159" s="137" t="e">
        <f t="shared" si="29"/>
        <v>#REF!</v>
      </c>
      <c r="E159" s="143" t="s">
        <v>377</v>
      </c>
      <c r="F159" s="137" t="e">
        <f>'Date Calcs'!#REF!</f>
        <v>#REF!</v>
      </c>
      <c r="G159" s="137" t="e">
        <f>IF(VLOOKUP(A159,'Actual Dates'!A4:AE286,8,),'Actual Dates'!#REF!,"")</f>
        <v>#REF!</v>
      </c>
      <c r="H159" s="137" t="e">
        <f t="shared" si="24"/>
        <v>#REF!</v>
      </c>
      <c r="I159" s="137" t="e">
        <f>IF(VLOOKUP(A159,'Actual Dates'!A4:AE281,25,),'Actual Dates'!#REF!,"")</f>
        <v>#REF!</v>
      </c>
      <c r="J159" s="137" t="e">
        <f t="shared" si="25"/>
        <v>#REF!</v>
      </c>
      <c r="K159" s="137" t="e">
        <f>IF(VLOOKUP(A159,'Actual Dates'!A4:AE309,26,),'Actual Dates'!#REF!,"")</f>
        <v>#REF!</v>
      </c>
      <c r="L159" s="137" t="e">
        <f>IF(VLOOKUP(A159,'Actual Dates'!A4:AE309,21,),'Actual Dates'!#REF!,"")</f>
        <v>#REF!</v>
      </c>
      <c r="M159" s="137" t="e">
        <f>'Date Calcs'!#REF!</f>
        <v>#REF!</v>
      </c>
      <c r="N159" s="137" t="e">
        <f>IF(VLOOKUP(A159,'Actual Dates'!A4:AE309,27,),'Actual Dates'!#REF!,"")</f>
        <v>#REF!</v>
      </c>
      <c r="O159" s="138" t="e">
        <f t="shared" si="28"/>
        <v>#REF!</v>
      </c>
      <c r="P159" s="139" t="e">
        <f t="shared" si="26"/>
        <v>#REF!</v>
      </c>
      <c r="Q159" s="139" t="e">
        <f t="shared" si="27"/>
        <v>#REF!</v>
      </c>
      <c r="R159" s="170"/>
      <c r="S159" s="170"/>
      <c r="T159" s="142"/>
      <c r="U159" s="142"/>
      <c r="V159" s="142"/>
      <c r="W159" s="142"/>
      <c r="X159" s="142"/>
      <c r="Y159" s="142"/>
      <c r="Z159" s="142"/>
      <c r="AA159" s="142"/>
      <c r="AB159" s="142"/>
    </row>
    <row r="160" spans="1:28" x14ac:dyDescent="0.25">
      <c r="A160" s="134" t="e">
        <f>'Actual Dates'!#REF!</f>
        <v>#REF!</v>
      </c>
      <c r="B160" s="135" t="e">
        <f>'Date Calcs'!#REF!</f>
        <v>#REF!</v>
      </c>
      <c r="C160" s="136" t="e">
        <f>'Date Calcs'!#REF!</f>
        <v>#REF!</v>
      </c>
      <c r="D160" s="137" t="e">
        <f t="shared" si="29"/>
        <v>#REF!</v>
      </c>
      <c r="E160" s="143">
        <v>43913</v>
      </c>
      <c r="F160" s="137" t="e">
        <f>'Date Calcs'!#REF!</f>
        <v>#REF!</v>
      </c>
      <c r="G160" s="137" t="e">
        <f>IF(VLOOKUP(A160,'Actual Dates'!A4:AE287,8,),'Actual Dates'!#REF!,"")</f>
        <v>#REF!</v>
      </c>
      <c r="H160" s="137" t="e">
        <f t="shared" si="24"/>
        <v>#REF!</v>
      </c>
      <c r="I160" s="137" t="e">
        <f>IF(VLOOKUP(A160,'Actual Dates'!A4:AE282,25,),'Actual Dates'!#REF!,"")</f>
        <v>#REF!</v>
      </c>
      <c r="J160" s="137" t="e">
        <f t="shared" si="25"/>
        <v>#REF!</v>
      </c>
      <c r="K160" s="137" t="e">
        <f>IF(VLOOKUP(A160,'Actual Dates'!A4:AE310,26,),'Actual Dates'!#REF!,"")</f>
        <v>#REF!</v>
      </c>
      <c r="L160" s="137" t="e">
        <f>IF(VLOOKUP(A160,'Actual Dates'!A4:AE310,21,),'Actual Dates'!#REF!,"")</f>
        <v>#REF!</v>
      </c>
      <c r="M160" s="137" t="e">
        <f>'Date Calcs'!#REF!</f>
        <v>#REF!</v>
      </c>
      <c r="N160" s="137" t="e">
        <f>IF(VLOOKUP(A160,'Actual Dates'!A4:AE310,27,),'Actual Dates'!#REF!,"")</f>
        <v>#REF!</v>
      </c>
      <c r="O160" s="138" t="e">
        <f t="shared" si="28"/>
        <v>#REF!</v>
      </c>
      <c r="P160" s="139" t="e">
        <f t="shared" si="26"/>
        <v>#REF!</v>
      </c>
      <c r="Q160" s="139" t="e">
        <f t="shared" si="27"/>
        <v>#REF!</v>
      </c>
      <c r="R160" s="170"/>
      <c r="S160" s="170"/>
      <c r="T160" s="142"/>
      <c r="U160" s="142"/>
      <c r="V160" s="142"/>
      <c r="W160" s="142"/>
      <c r="X160" s="142"/>
      <c r="Y160" s="142"/>
      <c r="Z160" s="142"/>
      <c r="AA160" s="142"/>
      <c r="AB160" s="142"/>
    </row>
    <row r="161" spans="1:28" x14ac:dyDescent="0.25">
      <c r="A161" s="134" t="e">
        <f>'Actual Dates'!#REF!</f>
        <v>#REF!</v>
      </c>
      <c r="B161" s="135" t="e">
        <f>'Date Calcs'!#REF!</f>
        <v>#REF!</v>
      </c>
      <c r="C161" s="136" t="e">
        <f>'Date Calcs'!#REF!</f>
        <v>#REF!</v>
      </c>
      <c r="D161" s="137" t="e">
        <f t="shared" si="29"/>
        <v>#REF!</v>
      </c>
      <c r="E161" s="143" t="s">
        <v>377</v>
      </c>
      <c r="F161" s="137" t="e">
        <f>'Date Calcs'!#REF!</f>
        <v>#REF!</v>
      </c>
      <c r="G161" s="137" t="s">
        <v>377</v>
      </c>
      <c r="H161" s="137" t="e">
        <f t="shared" si="24"/>
        <v>#REF!</v>
      </c>
      <c r="I161" s="137" t="e">
        <f>IF(VLOOKUP(A161,'Actual Dates'!A4:AE283,25,),'Actual Dates'!#REF!,"")</f>
        <v>#REF!</v>
      </c>
      <c r="J161" s="137" t="e">
        <f t="shared" si="25"/>
        <v>#REF!</v>
      </c>
      <c r="K161" s="137" t="e">
        <f>IF(VLOOKUP(A161,'Actual Dates'!A4:AE311,26,),'Actual Dates'!#REF!,"")</f>
        <v>#REF!</v>
      </c>
      <c r="L161" s="137" t="e">
        <f>IF(VLOOKUP(A161,'Actual Dates'!A4:AE311,21,),'Actual Dates'!#REF!,"")</f>
        <v>#REF!</v>
      </c>
      <c r="M161" s="137" t="e">
        <f>'Date Calcs'!#REF!</f>
        <v>#REF!</v>
      </c>
      <c r="N161" s="137" t="e">
        <f>IF(VLOOKUP(A161,'Actual Dates'!A4:AE311,27,),'Actual Dates'!#REF!,"")</f>
        <v>#REF!</v>
      </c>
      <c r="O161" s="138" t="e">
        <f t="shared" si="28"/>
        <v>#REF!</v>
      </c>
      <c r="P161" s="139" t="e">
        <f t="shared" si="26"/>
        <v>#REF!</v>
      </c>
      <c r="Q161" s="139" t="e">
        <f t="shared" si="27"/>
        <v>#REF!</v>
      </c>
      <c r="R161" s="170"/>
      <c r="S161" s="170"/>
      <c r="T161" s="142"/>
      <c r="U161" s="142"/>
      <c r="V161" s="142"/>
      <c r="W161" s="142"/>
      <c r="X161" s="142"/>
      <c r="Y161" s="142"/>
      <c r="Z161" s="142"/>
      <c r="AA161" s="142"/>
      <c r="AB161" s="142"/>
    </row>
    <row r="162" spans="1:28" x14ac:dyDescent="0.25">
      <c r="A162" s="134" t="e">
        <f>'Actual Dates'!#REF!</f>
        <v>#REF!</v>
      </c>
      <c r="B162" s="135" t="e">
        <f>'Date Calcs'!#REF!</f>
        <v>#REF!</v>
      </c>
      <c r="C162" s="136" t="e">
        <f>'Date Calcs'!#REF!</f>
        <v>#REF!</v>
      </c>
      <c r="D162" s="137" t="e">
        <f t="shared" si="29"/>
        <v>#REF!</v>
      </c>
      <c r="E162" s="143">
        <v>43913</v>
      </c>
      <c r="F162" s="137" t="e">
        <f>'Date Calcs'!#REF!</f>
        <v>#REF!</v>
      </c>
      <c r="G162" s="137" t="e">
        <f>IF(VLOOKUP(A162,'Actual Dates'!A4:AE289,8,),'Actual Dates'!#REF!,"")</f>
        <v>#REF!</v>
      </c>
      <c r="H162" s="137" t="e">
        <f t="shared" si="24"/>
        <v>#REF!</v>
      </c>
      <c r="I162" s="137" t="e">
        <f>IF(VLOOKUP(A162,'Actual Dates'!A4:AE284,25,),'Actual Dates'!#REF!,"")</f>
        <v>#REF!</v>
      </c>
      <c r="J162" s="137" t="e">
        <f t="shared" si="25"/>
        <v>#REF!</v>
      </c>
      <c r="K162" s="137" t="e">
        <f>IF(VLOOKUP(A162,'Actual Dates'!A4:AE312,26,),'Actual Dates'!#REF!,"")</f>
        <v>#REF!</v>
      </c>
      <c r="L162" s="137" t="e">
        <f>IF(VLOOKUP(A162,'Actual Dates'!A4:AE312,21,),'Actual Dates'!#REF!,"")</f>
        <v>#REF!</v>
      </c>
      <c r="M162" s="137" t="e">
        <f>'Date Calcs'!#REF!</f>
        <v>#REF!</v>
      </c>
      <c r="N162" s="137" t="e">
        <f>IF(VLOOKUP(A162,'Actual Dates'!A4:AE312,27,),'Actual Dates'!#REF!,"")</f>
        <v>#REF!</v>
      </c>
      <c r="O162" s="138" t="e">
        <f t="shared" si="28"/>
        <v>#REF!</v>
      </c>
      <c r="P162" s="139" t="e">
        <f t="shared" si="26"/>
        <v>#REF!</v>
      </c>
      <c r="Q162" s="139" t="e">
        <f t="shared" si="27"/>
        <v>#REF!</v>
      </c>
      <c r="R162" s="170"/>
      <c r="S162" s="170"/>
      <c r="T162" s="142"/>
      <c r="U162" s="142"/>
      <c r="V162" s="142"/>
      <c r="W162" s="142"/>
      <c r="X162" s="142"/>
      <c r="Y162" s="142"/>
      <c r="Z162" s="142"/>
      <c r="AA162" s="142"/>
      <c r="AB162" s="142"/>
    </row>
    <row r="163" spans="1:28" x14ac:dyDescent="0.25">
      <c r="A163" s="134" t="e">
        <f>'Actual Dates'!#REF!</f>
        <v>#REF!</v>
      </c>
      <c r="B163" s="135" t="e">
        <f>'Date Calcs'!#REF!</f>
        <v>#REF!</v>
      </c>
      <c r="C163" s="136" t="e">
        <f>'Date Calcs'!#REF!</f>
        <v>#REF!</v>
      </c>
      <c r="D163" s="137" t="e">
        <f t="shared" si="29"/>
        <v>#REF!</v>
      </c>
      <c r="E163" s="143">
        <v>43908</v>
      </c>
      <c r="F163" s="137" t="e">
        <f>'Date Calcs'!#REF!</f>
        <v>#REF!</v>
      </c>
      <c r="G163" s="137" t="e">
        <f>IF(VLOOKUP(A163,'Actual Dates'!A4:AE290,8,),'Actual Dates'!#REF!,"")</f>
        <v>#REF!</v>
      </c>
      <c r="H163" s="137" t="e">
        <f t="shared" si="24"/>
        <v>#REF!</v>
      </c>
      <c r="I163" s="137" t="e">
        <f>IF(VLOOKUP(A163,'Actual Dates'!A4:AE285,25,),'Actual Dates'!#REF!,"")</f>
        <v>#REF!</v>
      </c>
      <c r="J163" s="137" t="e">
        <f t="shared" si="25"/>
        <v>#REF!</v>
      </c>
      <c r="K163" s="137" t="e">
        <f>IF(VLOOKUP(A163,'Actual Dates'!A4:AE313,26,),'Actual Dates'!#REF!,"")</f>
        <v>#REF!</v>
      </c>
      <c r="L163" s="137" t="e">
        <f>IF(VLOOKUP(A163,'Actual Dates'!A4:AE313,21,),'Actual Dates'!#REF!,"")</f>
        <v>#REF!</v>
      </c>
      <c r="M163" s="137" t="e">
        <f>'Date Calcs'!#REF!</f>
        <v>#REF!</v>
      </c>
      <c r="N163" s="137" t="e">
        <f>IF(VLOOKUP(A163,'Actual Dates'!A4:AE313,27,),'Actual Dates'!#REF!,"")</f>
        <v>#REF!</v>
      </c>
      <c r="O163" s="138" t="e">
        <f t="shared" si="28"/>
        <v>#REF!</v>
      </c>
      <c r="P163" s="139" t="e">
        <f t="shared" si="26"/>
        <v>#REF!</v>
      </c>
      <c r="Q163" s="139" t="e">
        <f t="shared" si="27"/>
        <v>#REF!</v>
      </c>
      <c r="R163" s="170"/>
      <c r="S163" s="170"/>
      <c r="T163" s="142"/>
      <c r="U163" s="142"/>
      <c r="V163" s="142"/>
      <c r="W163" s="142"/>
      <c r="X163" s="142"/>
      <c r="Y163" s="142"/>
      <c r="Z163" s="142"/>
      <c r="AA163" s="142"/>
      <c r="AB163" s="142"/>
    </row>
    <row r="164" spans="1:28" x14ac:dyDescent="0.25">
      <c r="A164" s="134" t="e">
        <f>'Actual Dates'!#REF!</f>
        <v>#REF!</v>
      </c>
      <c r="B164" s="135" t="e">
        <f>'Date Calcs'!#REF!</f>
        <v>#REF!</v>
      </c>
      <c r="C164" s="136" t="e">
        <f>'Date Calcs'!#REF!</f>
        <v>#REF!</v>
      </c>
      <c r="D164" s="137" t="e">
        <f t="shared" si="29"/>
        <v>#REF!</v>
      </c>
      <c r="E164" s="143">
        <v>43942</v>
      </c>
      <c r="F164" s="137" t="e">
        <f>'Date Calcs'!#REF!</f>
        <v>#REF!</v>
      </c>
      <c r="G164" s="137" t="e">
        <f>IF(VLOOKUP(A164,'Actual Dates'!A4:AE291,8,),'Actual Dates'!#REF!,"")</f>
        <v>#REF!</v>
      </c>
      <c r="H164" s="137" t="e">
        <f t="shared" si="24"/>
        <v>#REF!</v>
      </c>
      <c r="I164" s="137" t="e">
        <f>IF(VLOOKUP(A164,'Actual Dates'!A4:AE286,25,),'Actual Dates'!#REF!,"")</f>
        <v>#REF!</v>
      </c>
      <c r="J164" s="137" t="e">
        <f t="shared" si="25"/>
        <v>#REF!</v>
      </c>
      <c r="K164" s="137" t="e">
        <f>IF(VLOOKUP(A164,'Actual Dates'!A4:AE314,26,),'Actual Dates'!#REF!,"")</f>
        <v>#REF!</v>
      </c>
      <c r="L164" s="137" t="e">
        <f>IF(VLOOKUP(A164,'Actual Dates'!A4:AE314,21,),'Actual Dates'!#REF!,"")</f>
        <v>#REF!</v>
      </c>
      <c r="M164" s="137" t="e">
        <f>'Date Calcs'!#REF!</f>
        <v>#REF!</v>
      </c>
      <c r="N164" s="137" t="e">
        <f>IF(VLOOKUP(A164,'Actual Dates'!A4:AE314,27,),'Actual Dates'!#REF!,"")</f>
        <v>#REF!</v>
      </c>
      <c r="O164" s="138" t="e">
        <f t="shared" si="28"/>
        <v>#REF!</v>
      </c>
      <c r="P164" s="139" t="e">
        <f t="shared" si="26"/>
        <v>#REF!</v>
      </c>
      <c r="Q164" s="139" t="e">
        <f t="shared" si="27"/>
        <v>#REF!</v>
      </c>
      <c r="R164" s="170"/>
      <c r="S164" s="170"/>
      <c r="T164" s="142"/>
      <c r="U164" s="142"/>
      <c r="V164" s="142"/>
      <c r="W164" s="142"/>
      <c r="X164" s="142"/>
      <c r="Y164" s="142"/>
      <c r="Z164" s="142"/>
      <c r="AA164" s="142"/>
      <c r="AB164" s="142"/>
    </row>
    <row r="165" spans="1:28" x14ac:dyDescent="0.25">
      <c r="A165" s="134" t="e">
        <f>'Actual Dates'!#REF!</f>
        <v>#REF!</v>
      </c>
      <c r="B165" s="135" t="e">
        <f>'Date Calcs'!#REF!</f>
        <v>#REF!</v>
      </c>
      <c r="C165" s="136" t="e">
        <f>'Date Calcs'!#REF!</f>
        <v>#REF!</v>
      </c>
      <c r="D165" s="137" t="e">
        <f t="shared" si="29"/>
        <v>#REF!</v>
      </c>
      <c r="E165" s="143">
        <v>43927</v>
      </c>
      <c r="F165" s="137" t="e">
        <f>'Date Calcs'!#REF!</f>
        <v>#REF!</v>
      </c>
      <c r="G165" s="137" t="e">
        <f>IF(VLOOKUP(A165,'Actual Dates'!A4:AE292,8,),'Actual Dates'!#REF!,"")</f>
        <v>#REF!</v>
      </c>
      <c r="H165" s="137" t="e">
        <f t="shared" si="24"/>
        <v>#REF!</v>
      </c>
      <c r="I165" s="137" t="e">
        <f>IF(VLOOKUP(A165,'Actual Dates'!A4:AE287,25,),'Actual Dates'!#REF!,"")</f>
        <v>#REF!</v>
      </c>
      <c r="J165" s="137" t="e">
        <f t="shared" si="25"/>
        <v>#REF!</v>
      </c>
      <c r="K165" s="137" t="e">
        <f>IF(VLOOKUP(A165,'Actual Dates'!A4:AE315,26,),'Actual Dates'!#REF!,"")</f>
        <v>#REF!</v>
      </c>
      <c r="L165" s="137" t="e">
        <f>IF(VLOOKUP(A165,'Actual Dates'!A4:AE315,21,),'Actual Dates'!#REF!,"")</f>
        <v>#REF!</v>
      </c>
      <c r="M165" s="137" t="e">
        <f>'Date Calcs'!#REF!</f>
        <v>#REF!</v>
      </c>
      <c r="N165" s="137" t="e">
        <f>IF(VLOOKUP(A165,'Actual Dates'!A4:AE315,27,),'Actual Dates'!#REF!,"")</f>
        <v>#REF!</v>
      </c>
      <c r="O165" s="138" t="e">
        <f t="shared" si="28"/>
        <v>#REF!</v>
      </c>
      <c r="P165" s="139" t="e">
        <f t="shared" si="26"/>
        <v>#REF!</v>
      </c>
      <c r="Q165" s="139" t="e">
        <f t="shared" si="27"/>
        <v>#REF!</v>
      </c>
      <c r="R165" s="170"/>
      <c r="S165" s="170"/>
      <c r="T165" s="142"/>
      <c r="U165" s="142"/>
      <c r="V165" s="142"/>
      <c r="W165" s="142"/>
      <c r="X165" s="142"/>
      <c r="Y165" s="142"/>
      <c r="Z165" s="142"/>
      <c r="AA165" s="142"/>
      <c r="AB165" s="142"/>
    </row>
    <row r="166" spans="1:28" x14ac:dyDescent="0.25">
      <c r="A166" s="134" t="e">
        <f>'Actual Dates'!#REF!</f>
        <v>#REF!</v>
      </c>
      <c r="B166" s="135" t="e">
        <f>'Date Calcs'!#REF!</f>
        <v>#REF!</v>
      </c>
      <c r="C166" s="136" t="e">
        <f>'Date Calcs'!#REF!</f>
        <v>#REF!</v>
      </c>
      <c r="D166" s="137" t="e">
        <f t="shared" si="29"/>
        <v>#REF!</v>
      </c>
      <c r="E166" s="143">
        <v>43927</v>
      </c>
      <c r="F166" s="137" t="e">
        <f>'Date Calcs'!#REF!</f>
        <v>#REF!</v>
      </c>
      <c r="G166" s="137" t="e">
        <f>IF(VLOOKUP(A166,'Actual Dates'!A4:AE293,8,),'Actual Dates'!#REF!,"")</f>
        <v>#REF!</v>
      </c>
      <c r="H166" s="137" t="e">
        <f t="shared" si="24"/>
        <v>#REF!</v>
      </c>
      <c r="I166" s="137" t="e">
        <f>IF(VLOOKUP(A166,'Actual Dates'!A4:AE288,25,),'Actual Dates'!#REF!,"")</f>
        <v>#REF!</v>
      </c>
      <c r="J166" s="137" t="e">
        <f t="shared" si="25"/>
        <v>#REF!</v>
      </c>
      <c r="K166" s="137" t="e">
        <f>IF(VLOOKUP(A166,'Actual Dates'!A4:AE316,26,),'Actual Dates'!#REF!,"")</f>
        <v>#REF!</v>
      </c>
      <c r="L166" s="137" t="e">
        <f>IF(VLOOKUP(A166,'Actual Dates'!A4:AE316,21,),'Actual Dates'!#REF!,"")</f>
        <v>#REF!</v>
      </c>
      <c r="M166" s="137" t="e">
        <f>'Date Calcs'!#REF!</f>
        <v>#REF!</v>
      </c>
      <c r="N166" s="137" t="e">
        <f>IF(VLOOKUP(A166,'Actual Dates'!A4:AE316,27,),'Actual Dates'!#REF!,"")</f>
        <v>#REF!</v>
      </c>
      <c r="O166" s="138" t="e">
        <f t="shared" si="28"/>
        <v>#REF!</v>
      </c>
      <c r="P166" s="139" t="e">
        <f t="shared" si="26"/>
        <v>#REF!</v>
      </c>
      <c r="Q166" s="139" t="e">
        <f t="shared" si="27"/>
        <v>#REF!</v>
      </c>
      <c r="R166" s="170"/>
      <c r="S166" s="170"/>
      <c r="T166" s="142"/>
      <c r="U166" s="142"/>
      <c r="V166" s="142"/>
      <c r="W166" s="142"/>
      <c r="X166" s="142"/>
      <c r="Y166" s="142"/>
      <c r="Z166" s="142"/>
      <c r="AA166" s="142"/>
      <c r="AB166" s="142"/>
    </row>
    <row r="167" spans="1:28" x14ac:dyDescent="0.25">
      <c r="A167" s="134" t="e">
        <f>'Actual Dates'!#REF!</f>
        <v>#REF!</v>
      </c>
      <c r="B167" s="135" t="e">
        <f>'Date Calcs'!#REF!</f>
        <v>#REF!</v>
      </c>
      <c r="C167" s="136" t="e">
        <f>'Date Calcs'!#REF!</f>
        <v>#REF!</v>
      </c>
      <c r="D167" s="137" t="e">
        <f t="shared" si="29"/>
        <v>#REF!</v>
      </c>
      <c r="E167" s="143">
        <v>43916</v>
      </c>
      <c r="F167" s="137" t="e">
        <f>'Date Calcs'!#REF!</f>
        <v>#REF!</v>
      </c>
      <c r="G167" s="137" t="e">
        <f>IF(VLOOKUP(A167,'Actual Dates'!A4:AE294,8,),'Actual Dates'!#REF!,"")</f>
        <v>#REF!</v>
      </c>
      <c r="H167" s="137" t="e">
        <f t="shared" si="24"/>
        <v>#REF!</v>
      </c>
      <c r="I167" s="137" t="e">
        <f>IF(VLOOKUP(A167,'Actual Dates'!A4:AE289,25,),'Actual Dates'!#REF!,"")</f>
        <v>#REF!</v>
      </c>
      <c r="J167" s="137" t="e">
        <f t="shared" si="25"/>
        <v>#REF!</v>
      </c>
      <c r="K167" s="137" t="e">
        <f>IF(VLOOKUP(A167,'Actual Dates'!A4:AE317,26,),'Actual Dates'!#REF!,"")</f>
        <v>#REF!</v>
      </c>
      <c r="L167" s="137" t="e">
        <f>IF(VLOOKUP(A167,'Actual Dates'!A4:AE317,21,),'Actual Dates'!#REF!,"")</f>
        <v>#REF!</v>
      </c>
      <c r="M167" s="137" t="e">
        <f>'Date Calcs'!#REF!</f>
        <v>#REF!</v>
      </c>
      <c r="N167" s="137" t="e">
        <f>IF(VLOOKUP(A167,'Actual Dates'!A4:AE317,27,),'Actual Dates'!#REF!,"")</f>
        <v>#REF!</v>
      </c>
      <c r="O167" s="138" t="e">
        <f t="shared" si="28"/>
        <v>#REF!</v>
      </c>
      <c r="P167" s="139" t="e">
        <f t="shared" si="26"/>
        <v>#REF!</v>
      </c>
      <c r="Q167" s="139" t="e">
        <f t="shared" si="27"/>
        <v>#REF!</v>
      </c>
      <c r="R167" s="170"/>
      <c r="S167" s="170"/>
      <c r="T167" s="142"/>
      <c r="U167" s="142"/>
      <c r="V167" s="142"/>
      <c r="W167" s="142"/>
      <c r="X167" s="142"/>
      <c r="Y167" s="142"/>
      <c r="Z167" s="142"/>
      <c r="AA167" s="142"/>
      <c r="AB167" s="142"/>
    </row>
    <row r="168" spans="1:28" x14ac:dyDescent="0.25">
      <c r="A168" s="134" t="e">
        <f>'Actual Dates'!#REF!</f>
        <v>#REF!</v>
      </c>
      <c r="B168" s="135" t="e">
        <f>'Date Calcs'!#REF!</f>
        <v>#REF!</v>
      </c>
      <c r="C168" s="136" t="e">
        <f>'Date Calcs'!#REF!</f>
        <v>#REF!</v>
      </c>
      <c r="D168" s="137" t="e">
        <f t="shared" si="29"/>
        <v>#REF!</v>
      </c>
      <c r="E168" s="143">
        <v>43916</v>
      </c>
      <c r="F168" s="137" t="e">
        <f>'Date Calcs'!#REF!</f>
        <v>#REF!</v>
      </c>
      <c r="G168" s="137" t="e">
        <f>IF(VLOOKUP(A168,'Actual Dates'!A4:AE295,8,),'Actual Dates'!#REF!,"")</f>
        <v>#REF!</v>
      </c>
      <c r="H168" s="137" t="e">
        <f t="shared" si="24"/>
        <v>#REF!</v>
      </c>
      <c r="I168" s="137" t="e">
        <f>IF(VLOOKUP(A168,'Actual Dates'!A4:AE290,25,),'Actual Dates'!#REF!,"")</f>
        <v>#REF!</v>
      </c>
      <c r="J168" s="137" t="e">
        <f t="shared" si="25"/>
        <v>#REF!</v>
      </c>
      <c r="K168" s="137" t="e">
        <f>IF(VLOOKUP(A168,'Actual Dates'!A4:AE318,26,),'Actual Dates'!#REF!,"")</f>
        <v>#REF!</v>
      </c>
      <c r="L168" s="137" t="e">
        <f>IF(VLOOKUP(A168,'Actual Dates'!A4:AE318,21,),'Actual Dates'!#REF!,"")</f>
        <v>#REF!</v>
      </c>
      <c r="M168" s="137" t="e">
        <f>'Date Calcs'!#REF!</f>
        <v>#REF!</v>
      </c>
      <c r="N168" s="137" t="e">
        <f>IF(VLOOKUP(A168,'Actual Dates'!A4:AE318,27,),'Actual Dates'!#REF!,"")</f>
        <v>#REF!</v>
      </c>
      <c r="O168" s="138" t="e">
        <f t="shared" si="28"/>
        <v>#REF!</v>
      </c>
      <c r="P168" s="139" t="e">
        <f t="shared" si="26"/>
        <v>#REF!</v>
      </c>
      <c r="Q168" s="139" t="e">
        <f t="shared" si="27"/>
        <v>#REF!</v>
      </c>
      <c r="R168" s="170"/>
      <c r="S168" s="170"/>
      <c r="T168" s="142"/>
      <c r="U168" s="142"/>
      <c r="V168" s="142"/>
      <c r="W168" s="142"/>
      <c r="X168" s="142"/>
      <c r="Y168" s="142"/>
      <c r="Z168" s="142"/>
      <c r="AA168" s="142"/>
      <c r="AB168" s="142"/>
    </row>
    <row r="169" spans="1:28" x14ac:dyDescent="0.25">
      <c r="A169" s="134" t="e">
        <f>'Actual Dates'!#REF!</f>
        <v>#REF!</v>
      </c>
      <c r="B169" s="135" t="e">
        <f>'Date Calcs'!#REF!</f>
        <v>#REF!</v>
      </c>
      <c r="C169" s="136" t="e">
        <f>'Date Calcs'!#REF!</f>
        <v>#REF!</v>
      </c>
      <c r="D169" s="137" t="e">
        <f t="shared" si="29"/>
        <v>#REF!</v>
      </c>
      <c r="E169" s="143">
        <v>43922</v>
      </c>
      <c r="F169" s="137" t="e">
        <f>'Date Calcs'!#REF!</f>
        <v>#REF!</v>
      </c>
      <c r="G169" s="137" t="e">
        <f>IF(VLOOKUP(A169,'Actual Dates'!A4:AE296,8,),'Actual Dates'!#REF!,"")</f>
        <v>#REF!</v>
      </c>
      <c r="H169" s="137" t="e">
        <f t="shared" si="24"/>
        <v>#REF!</v>
      </c>
      <c r="I169" s="137" t="e">
        <f>IF(VLOOKUP(A169,'Actual Dates'!A4:AE291,25,),'Actual Dates'!#REF!,"")</f>
        <v>#REF!</v>
      </c>
      <c r="J169" s="137" t="e">
        <f t="shared" si="25"/>
        <v>#REF!</v>
      </c>
      <c r="K169" s="137" t="e">
        <f>IF(VLOOKUP(A169,'Actual Dates'!A4:AE319,26,),'Actual Dates'!#REF!,"")</f>
        <v>#REF!</v>
      </c>
      <c r="L169" s="137" t="e">
        <f>IF(VLOOKUP(A169,'Actual Dates'!A4:AE319,21,),'Actual Dates'!#REF!,"")</f>
        <v>#REF!</v>
      </c>
      <c r="M169" s="137" t="e">
        <f>'Date Calcs'!#REF!</f>
        <v>#REF!</v>
      </c>
      <c r="N169" s="137" t="e">
        <f>IF(VLOOKUP(A169,'Actual Dates'!A4:AE319,27,),'Actual Dates'!#REF!,"")</f>
        <v>#REF!</v>
      </c>
      <c r="O169" s="138" t="e">
        <f t="shared" si="28"/>
        <v>#REF!</v>
      </c>
      <c r="P169" s="139" t="e">
        <f t="shared" si="26"/>
        <v>#REF!</v>
      </c>
      <c r="Q169" s="139" t="e">
        <f t="shared" si="27"/>
        <v>#REF!</v>
      </c>
      <c r="R169" s="170"/>
      <c r="S169" s="170"/>
      <c r="T169" s="142"/>
      <c r="U169" s="142"/>
      <c r="V169" s="142"/>
      <c r="W169" s="142"/>
      <c r="X169" s="142"/>
      <c r="Y169" s="142"/>
      <c r="Z169" s="142"/>
      <c r="AA169" s="142"/>
      <c r="AB169" s="142"/>
    </row>
    <row r="170" spans="1:28" x14ac:dyDescent="0.25">
      <c r="A170" s="134" t="e">
        <f>'Actual Dates'!#REF!</f>
        <v>#REF!</v>
      </c>
      <c r="B170" s="135" t="e">
        <f>'Date Calcs'!#REF!</f>
        <v>#REF!</v>
      </c>
      <c r="C170" s="136" t="e">
        <f>'Date Calcs'!#REF!</f>
        <v>#REF!</v>
      </c>
      <c r="D170" s="137" t="e">
        <f t="shared" si="29"/>
        <v>#REF!</v>
      </c>
      <c r="E170" s="143">
        <v>43922</v>
      </c>
      <c r="F170" s="137" t="e">
        <f>'Date Calcs'!#REF!</f>
        <v>#REF!</v>
      </c>
      <c r="G170" s="137" t="e">
        <f>IF(VLOOKUP(A170,'Actual Dates'!A4:AE297,8,),'Actual Dates'!#REF!,"")</f>
        <v>#REF!</v>
      </c>
      <c r="H170" s="137" t="e">
        <f t="shared" si="24"/>
        <v>#REF!</v>
      </c>
      <c r="I170" s="137" t="e">
        <f>IF(VLOOKUP(A170,'Actual Dates'!A4:AE292,25,),'Actual Dates'!#REF!,"")</f>
        <v>#REF!</v>
      </c>
      <c r="J170" s="137" t="e">
        <f t="shared" si="25"/>
        <v>#REF!</v>
      </c>
      <c r="K170" s="137" t="e">
        <f>IF(VLOOKUP(A170,'Actual Dates'!A4:AE320,26,),'Actual Dates'!#REF!,"")</f>
        <v>#REF!</v>
      </c>
      <c r="L170" s="137" t="e">
        <f>IF(VLOOKUP(A170,'Actual Dates'!A4:AE320,21,),'Actual Dates'!#REF!,"")</f>
        <v>#REF!</v>
      </c>
      <c r="M170" s="137" t="e">
        <f>'Date Calcs'!#REF!</f>
        <v>#REF!</v>
      </c>
      <c r="N170" s="137" t="e">
        <f>IF(VLOOKUP(A170,'Actual Dates'!A4:AE320,27,),'Actual Dates'!#REF!,"")</f>
        <v>#REF!</v>
      </c>
      <c r="O170" s="138" t="e">
        <f t="shared" si="28"/>
        <v>#REF!</v>
      </c>
      <c r="P170" s="139" t="e">
        <f t="shared" si="26"/>
        <v>#REF!</v>
      </c>
      <c r="Q170" s="139" t="e">
        <f t="shared" si="27"/>
        <v>#REF!</v>
      </c>
      <c r="R170" s="170"/>
      <c r="S170" s="170"/>
      <c r="T170" s="142"/>
      <c r="U170" s="142"/>
      <c r="V170" s="142"/>
      <c r="W170" s="142"/>
      <c r="X170" s="142"/>
      <c r="Y170" s="142"/>
      <c r="Z170" s="142"/>
      <c r="AA170" s="142"/>
      <c r="AB170" s="142"/>
    </row>
    <row r="171" spans="1:28" x14ac:dyDescent="0.25">
      <c r="A171" s="134" t="e">
        <f>'Actual Dates'!#REF!</f>
        <v>#REF!</v>
      </c>
      <c r="B171" s="135" t="e">
        <f>'Date Calcs'!#REF!</f>
        <v>#REF!</v>
      </c>
      <c r="C171" s="136" t="e">
        <f>'Date Calcs'!#REF!</f>
        <v>#REF!</v>
      </c>
      <c r="D171" s="137" t="e">
        <f t="shared" si="29"/>
        <v>#REF!</v>
      </c>
      <c r="E171" s="143">
        <v>43927</v>
      </c>
      <c r="F171" s="137" t="e">
        <f>'Date Calcs'!#REF!</f>
        <v>#REF!</v>
      </c>
      <c r="G171" s="137" t="e">
        <f>IF(VLOOKUP(A171,'Actual Dates'!A4:AE298,8,),'Actual Dates'!#REF!,"")</f>
        <v>#REF!</v>
      </c>
      <c r="H171" s="137" t="e">
        <f t="shared" si="24"/>
        <v>#REF!</v>
      </c>
      <c r="I171" s="137" t="e">
        <f>IF(VLOOKUP(A171,'Actual Dates'!A4:AE293,25,),'Actual Dates'!#REF!,"")</f>
        <v>#REF!</v>
      </c>
      <c r="J171" s="137" t="e">
        <f t="shared" si="25"/>
        <v>#REF!</v>
      </c>
      <c r="K171" s="137" t="e">
        <f>IF(VLOOKUP(A171,'Actual Dates'!A4:AE321,26,),'Actual Dates'!#REF!,"")</f>
        <v>#REF!</v>
      </c>
      <c r="L171" s="137" t="e">
        <f>IF(VLOOKUP(A171,'Actual Dates'!A4:AE321,21,),'Actual Dates'!#REF!,"")</f>
        <v>#REF!</v>
      </c>
      <c r="M171" s="137" t="e">
        <f>'Date Calcs'!#REF!</f>
        <v>#REF!</v>
      </c>
      <c r="N171" s="137" t="e">
        <f>IF(VLOOKUP(A171,'Actual Dates'!A4:AE321,27,),'Actual Dates'!#REF!,"")</f>
        <v>#REF!</v>
      </c>
      <c r="O171" s="138" t="e">
        <f t="shared" si="28"/>
        <v>#REF!</v>
      </c>
      <c r="P171" s="139" t="e">
        <f t="shared" si="26"/>
        <v>#REF!</v>
      </c>
      <c r="Q171" s="139" t="e">
        <f t="shared" si="27"/>
        <v>#REF!</v>
      </c>
      <c r="R171" s="170"/>
      <c r="S171" s="170"/>
      <c r="T171" s="142"/>
      <c r="U171" s="142"/>
      <c r="V171" s="142"/>
      <c r="W171" s="142"/>
      <c r="X171" s="142"/>
      <c r="Y171" s="142"/>
      <c r="Z171" s="142"/>
      <c r="AA171" s="142"/>
      <c r="AB171" s="142"/>
    </row>
    <row r="172" spans="1:28" x14ac:dyDescent="0.25">
      <c r="A172" s="134" t="e">
        <f>'Actual Dates'!#REF!</f>
        <v>#REF!</v>
      </c>
      <c r="B172" s="135" t="e">
        <f>'Date Calcs'!#REF!</f>
        <v>#REF!</v>
      </c>
      <c r="C172" s="136" t="e">
        <f>'Date Calcs'!#REF!</f>
        <v>#REF!</v>
      </c>
      <c r="D172" s="137" t="e">
        <f t="shared" si="29"/>
        <v>#REF!</v>
      </c>
      <c r="E172" s="143">
        <v>43927</v>
      </c>
      <c r="F172" s="137" t="e">
        <f>'Date Calcs'!#REF!</f>
        <v>#REF!</v>
      </c>
      <c r="G172" s="137" t="e">
        <f>IF(VLOOKUP(A172,'Actual Dates'!A4:AE299,8,),'Actual Dates'!#REF!,"")</f>
        <v>#REF!</v>
      </c>
      <c r="H172" s="137" t="e">
        <f t="shared" si="24"/>
        <v>#REF!</v>
      </c>
      <c r="I172" s="137" t="e">
        <f>IF(VLOOKUP(A172,'Actual Dates'!A4:AE294,25,),'Actual Dates'!#REF!,"")</f>
        <v>#REF!</v>
      </c>
      <c r="J172" s="137" t="e">
        <f t="shared" si="25"/>
        <v>#REF!</v>
      </c>
      <c r="K172" s="137" t="e">
        <f>IF(VLOOKUP(A172,'Actual Dates'!A4:AE322,26,),'Actual Dates'!#REF!,"")</f>
        <v>#REF!</v>
      </c>
      <c r="L172" s="137" t="e">
        <f>IF(VLOOKUP(A172,'Actual Dates'!A4:AE322,21,),'Actual Dates'!#REF!,"")</f>
        <v>#REF!</v>
      </c>
      <c r="M172" s="137" t="e">
        <f>'Date Calcs'!#REF!</f>
        <v>#REF!</v>
      </c>
      <c r="N172" s="137" t="e">
        <f>IF(VLOOKUP(A172,'Actual Dates'!A4:AE322,27,),'Actual Dates'!#REF!,"")</f>
        <v>#REF!</v>
      </c>
      <c r="O172" s="138" t="e">
        <f t="shared" si="28"/>
        <v>#REF!</v>
      </c>
      <c r="P172" s="139" t="e">
        <f t="shared" si="26"/>
        <v>#REF!</v>
      </c>
      <c r="Q172" s="139" t="e">
        <f t="shared" si="27"/>
        <v>#REF!</v>
      </c>
      <c r="R172" s="170"/>
      <c r="S172" s="170"/>
      <c r="T172" s="142"/>
      <c r="U172" s="142"/>
      <c r="V172" s="142"/>
      <c r="W172" s="142"/>
      <c r="X172" s="142"/>
      <c r="Y172" s="142"/>
      <c r="Z172" s="142"/>
      <c r="AA172" s="142"/>
      <c r="AB172" s="142"/>
    </row>
    <row r="173" spans="1:28" x14ac:dyDescent="0.25">
      <c r="A173" s="134" t="e">
        <f>'Actual Dates'!#REF!</f>
        <v>#REF!</v>
      </c>
      <c r="B173" s="135" t="e">
        <f>'Date Calcs'!#REF!</f>
        <v>#REF!</v>
      </c>
      <c r="C173" s="136" t="e">
        <f>'Date Calcs'!#REF!</f>
        <v>#REF!</v>
      </c>
      <c r="D173" s="137" t="e">
        <f t="shared" si="29"/>
        <v>#REF!</v>
      </c>
      <c r="E173" s="143">
        <v>43917</v>
      </c>
      <c r="F173" s="137" t="e">
        <f>'Date Calcs'!#REF!</f>
        <v>#REF!</v>
      </c>
      <c r="G173" s="137" t="e">
        <f>IF(VLOOKUP(A173,'Actual Dates'!A4:AE300,8,),'Actual Dates'!#REF!,"")</f>
        <v>#REF!</v>
      </c>
      <c r="H173" s="137" t="e">
        <f t="shared" si="24"/>
        <v>#REF!</v>
      </c>
      <c r="I173" s="137" t="e">
        <f>IF(VLOOKUP(A173,'Actual Dates'!A4:AE295,25,),'Actual Dates'!#REF!,"")</f>
        <v>#REF!</v>
      </c>
      <c r="J173" s="137" t="e">
        <f t="shared" si="25"/>
        <v>#REF!</v>
      </c>
      <c r="K173" s="137" t="e">
        <f>IF(VLOOKUP(A173,'Actual Dates'!A4:AE323,26,),'Actual Dates'!#REF!,"")</f>
        <v>#REF!</v>
      </c>
      <c r="L173" s="137" t="e">
        <f>IF(VLOOKUP(A173,'Actual Dates'!A4:AE323,21,),'Actual Dates'!#REF!,"")</f>
        <v>#REF!</v>
      </c>
      <c r="M173" s="137" t="e">
        <f>'Date Calcs'!#REF!</f>
        <v>#REF!</v>
      </c>
      <c r="N173" s="137" t="e">
        <f>IF(VLOOKUP(A173,'Actual Dates'!A4:AE323,27,),'Actual Dates'!#REF!,"")</f>
        <v>#REF!</v>
      </c>
      <c r="O173" s="138" t="e">
        <f t="shared" si="28"/>
        <v>#REF!</v>
      </c>
      <c r="P173" s="139" t="e">
        <f t="shared" si="26"/>
        <v>#REF!</v>
      </c>
      <c r="Q173" s="139" t="e">
        <f t="shared" si="27"/>
        <v>#REF!</v>
      </c>
      <c r="R173" s="170"/>
      <c r="S173" s="170"/>
      <c r="T173" s="142"/>
      <c r="U173" s="142"/>
      <c r="V173" s="142"/>
      <c r="W173" s="142"/>
      <c r="X173" s="142"/>
      <c r="Y173" s="142"/>
      <c r="Z173" s="142"/>
      <c r="AA173" s="142"/>
      <c r="AB173" s="142"/>
    </row>
    <row r="174" spans="1:28" x14ac:dyDescent="0.25">
      <c r="A174" s="134" t="e">
        <f>'Actual Dates'!#REF!</f>
        <v>#REF!</v>
      </c>
      <c r="B174" s="135" t="e">
        <f>'Date Calcs'!#REF!</f>
        <v>#REF!</v>
      </c>
      <c r="C174" s="136" t="e">
        <f>'Date Calcs'!#REF!</f>
        <v>#REF!</v>
      </c>
      <c r="D174" s="137" t="e">
        <f t="shared" si="29"/>
        <v>#REF!</v>
      </c>
      <c r="E174" s="143">
        <v>43917</v>
      </c>
      <c r="F174" s="137" t="e">
        <f>'Date Calcs'!#REF!</f>
        <v>#REF!</v>
      </c>
      <c r="G174" s="137" t="e">
        <f>IF(VLOOKUP(A174,'Actual Dates'!A4:AE301,8,),'Actual Dates'!#REF!,"")</f>
        <v>#REF!</v>
      </c>
      <c r="H174" s="137" t="e">
        <f t="shared" si="24"/>
        <v>#REF!</v>
      </c>
      <c r="I174" s="137" t="e">
        <f>IF(VLOOKUP(A174,'Actual Dates'!A4:AE296,25,),'Actual Dates'!#REF!,"")</f>
        <v>#REF!</v>
      </c>
      <c r="J174" s="137" t="e">
        <f t="shared" si="25"/>
        <v>#REF!</v>
      </c>
      <c r="K174" s="137" t="e">
        <f>IF(VLOOKUP(A174,'Actual Dates'!A4:AE324,26,),'Actual Dates'!#REF!,"")</f>
        <v>#REF!</v>
      </c>
      <c r="L174" s="137" t="e">
        <f>IF(VLOOKUP(A174,'Actual Dates'!A4:AE324,21,),'Actual Dates'!#REF!,"")</f>
        <v>#REF!</v>
      </c>
      <c r="M174" s="137" t="e">
        <f>'Date Calcs'!#REF!</f>
        <v>#REF!</v>
      </c>
      <c r="N174" s="137" t="e">
        <f>IF(VLOOKUP(A174,'Actual Dates'!A4:AE324,27,),'Actual Dates'!#REF!,"")</f>
        <v>#REF!</v>
      </c>
      <c r="O174" s="138" t="e">
        <f t="shared" si="28"/>
        <v>#REF!</v>
      </c>
      <c r="P174" s="139" t="e">
        <f t="shared" si="26"/>
        <v>#REF!</v>
      </c>
      <c r="Q174" s="139" t="e">
        <f t="shared" si="27"/>
        <v>#REF!</v>
      </c>
      <c r="R174" s="170"/>
      <c r="S174" s="170"/>
      <c r="T174" s="142"/>
      <c r="U174" s="142"/>
      <c r="V174" s="142"/>
      <c r="W174" s="142"/>
      <c r="X174" s="142"/>
      <c r="Y174" s="142"/>
      <c r="Z174" s="142"/>
      <c r="AA174" s="142"/>
      <c r="AB174" s="142"/>
    </row>
    <row r="175" spans="1:28" x14ac:dyDescent="0.25">
      <c r="A175" s="134" t="e">
        <f>'Actual Dates'!#REF!</f>
        <v>#REF!</v>
      </c>
      <c r="B175" s="135" t="e">
        <f>'Date Calcs'!#REF!</f>
        <v>#REF!</v>
      </c>
      <c r="C175" s="136" t="e">
        <f>'Date Calcs'!#REF!</f>
        <v>#REF!</v>
      </c>
      <c r="D175" s="137" t="e">
        <f t="shared" si="29"/>
        <v>#REF!</v>
      </c>
      <c r="E175" s="143">
        <v>43923</v>
      </c>
      <c r="F175" s="137" t="e">
        <f>'Date Calcs'!#REF!</f>
        <v>#REF!</v>
      </c>
      <c r="G175" s="137" t="e">
        <f>IF(VLOOKUP(A175,'Actual Dates'!A4:AE302,8,),'Actual Dates'!#REF!,"")</f>
        <v>#REF!</v>
      </c>
      <c r="H175" s="137" t="e">
        <f t="shared" si="24"/>
        <v>#REF!</v>
      </c>
      <c r="I175" s="137" t="e">
        <f>IF(VLOOKUP(A175,'Actual Dates'!A4:AE297,25,),'Actual Dates'!#REF!,"")</f>
        <v>#REF!</v>
      </c>
      <c r="J175" s="137" t="e">
        <f t="shared" si="25"/>
        <v>#REF!</v>
      </c>
      <c r="K175" s="137" t="e">
        <f>IF(VLOOKUP(A175,'Actual Dates'!A4:AE325,26,),'Actual Dates'!#REF!,"")</f>
        <v>#REF!</v>
      </c>
      <c r="L175" s="137" t="e">
        <f>IF(VLOOKUP(A175,'Actual Dates'!A4:AE325,21,),'Actual Dates'!#REF!,"")</f>
        <v>#REF!</v>
      </c>
      <c r="M175" s="137" t="e">
        <f>'Date Calcs'!#REF!</f>
        <v>#REF!</v>
      </c>
      <c r="N175" s="137" t="e">
        <f>IF(VLOOKUP(A175,'Actual Dates'!A4:AE325,27,),'Actual Dates'!#REF!,"")</f>
        <v>#REF!</v>
      </c>
      <c r="O175" s="138" t="e">
        <f t="shared" si="28"/>
        <v>#REF!</v>
      </c>
      <c r="P175" s="139" t="e">
        <f t="shared" si="26"/>
        <v>#REF!</v>
      </c>
      <c r="Q175" s="139" t="e">
        <f t="shared" si="27"/>
        <v>#REF!</v>
      </c>
      <c r="R175" s="170"/>
      <c r="S175" s="170"/>
      <c r="T175" s="142"/>
      <c r="U175" s="142"/>
      <c r="V175" s="142"/>
      <c r="W175" s="142"/>
      <c r="X175" s="142"/>
      <c r="Y175" s="142"/>
      <c r="Z175" s="142"/>
      <c r="AA175" s="142"/>
      <c r="AB175" s="142"/>
    </row>
    <row r="176" spans="1:28" x14ac:dyDescent="0.25">
      <c r="A176" s="134" t="e">
        <f>'Actual Dates'!#REF!</f>
        <v>#REF!</v>
      </c>
      <c r="B176" s="135" t="e">
        <f>'Date Calcs'!#REF!</f>
        <v>#REF!</v>
      </c>
      <c r="C176" s="136" t="e">
        <f>'Date Calcs'!#REF!</f>
        <v>#REF!</v>
      </c>
      <c r="D176" s="137" t="e">
        <f t="shared" si="29"/>
        <v>#REF!</v>
      </c>
      <c r="E176" s="143">
        <v>43923</v>
      </c>
      <c r="F176" s="137" t="e">
        <f>'Date Calcs'!#REF!</f>
        <v>#REF!</v>
      </c>
      <c r="G176" s="137" t="e">
        <f>IF(VLOOKUP(A176,'Actual Dates'!A4:AE303,8,),'Actual Dates'!#REF!,"")</f>
        <v>#REF!</v>
      </c>
      <c r="H176" s="137" t="e">
        <f t="shared" si="24"/>
        <v>#REF!</v>
      </c>
      <c r="I176" s="137" t="e">
        <f>IF(VLOOKUP(A176,'Actual Dates'!A4:AE298,25,),'Actual Dates'!#REF!,"")</f>
        <v>#REF!</v>
      </c>
      <c r="J176" s="137" t="e">
        <f t="shared" si="25"/>
        <v>#REF!</v>
      </c>
      <c r="K176" s="137" t="e">
        <f>IF(VLOOKUP(A176,'Actual Dates'!A4:AE326,26,),'Actual Dates'!#REF!,"")</f>
        <v>#REF!</v>
      </c>
      <c r="L176" s="137" t="e">
        <f>IF(VLOOKUP(A176,'Actual Dates'!A4:AE326,21,),'Actual Dates'!#REF!,"")</f>
        <v>#REF!</v>
      </c>
      <c r="M176" s="137" t="e">
        <f>'Date Calcs'!#REF!</f>
        <v>#REF!</v>
      </c>
      <c r="N176" s="137" t="e">
        <f>IF(VLOOKUP(A176,'Actual Dates'!A4:AE326,27,),'Actual Dates'!#REF!,"")</f>
        <v>#REF!</v>
      </c>
      <c r="O176" s="138" t="e">
        <f t="shared" si="28"/>
        <v>#REF!</v>
      </c>
      <c r="P176" s="139" t="e">
        <f t="shared" si="26"/>
        <v>#REF!</v>
      </c>
      <c r="Q176" s="139" t="e">
        <f t="shared" si="27"/>
        <v>#REF!</v>
      </c>
      <c r="R176" s="170"/>
      <c r="S176" s="170"/>
      <c r="T176" s="142"/>
      <c r="U176" s="142"/>
      <c r="V176" s="142"/>
      <c r="W176" s="142"/>
      <c r="X176" s="142"/>
      <c r="Y176" s="142"/>
      <c r="Z176" s="142"/>
      <c r="AA176" s="142"/>
      <c r="AB176" s="142"/>
    </row>
    <row r="177" spans="1:28" x14ac:dyDescent="0.25">
      <c r="A177" s="134" t="e">
        <f>'Actual Dates'!#REF!</f>
        <v>#REF!</v>
      </c>
      <c r="B177" s="135" t="e">
        <f>'Date Calcs'!#REF!</f>
        <v>#REF!</v>
      </c>
      <c r="C177" s="136" t="e">
        <f>'Date Calcs'!#REF!</f>
        <v>#REF!</v>
      </c>
      <c r="D177" s="137" t="e">
        <f t="shared" si="29"/>
        <v>#REF!</v>
      </c>
      <c r="E177" s="143">
        <v>43944</v>
      </c>
      <c r="F177" s="137" t="e">
        <f>'Date Calcs'!#REF!</f>
        <v>#REF!</v>
      </c>
      <c r="G177" s="137" t="e">
        <f>IF(VLOOKUP(A177,'Actual Dates'!A4:AE304,8,),'Actual Dates'!#REF!,"")</f>
        <v>#REF!</v>
      </c>
      <c r="H177" s="137" t="e">
        <f t="shared" si="24"/>
        <v>#REF!</v>
      </c>
      <c r="I177" s="137" t="e">
        <f>IF(VLOOKUP(A177,'Actual Dates'!A4:AE299,25,),'Actual Dates'!#REF!,"")</f>
        <v>#REF!</v>
      </c>
      <c r="J177" s="137" t="e">
        <f t="shared" si="25"/>
        <v>#REF!</v>
      </c>
      <c r="K177" s="137" t="e">
        <f>IF(VLOOKUP(A177,'Actual Dates'!A4:AE327,26,),'Actual Dates'!#REF!,"")</f>
        <v>#REF!</v>
      </c>
      <c r="L177" s="137" t="e">
        <f>IF(VLOOKUP(A177,'Actual Dates'!A4:AE327,21,),'Actual Dates'!#REF!,"")</f>
        <v>#REF!</v>
      </c>
      <c r="M177" s="137" t="e">
        <f>'Date Calcs'!#REF!</f>
        <v>#REF!</v>
      </c>
      <c r="N177" s="137" t="e">
        <f>IF(VLOOKUP(A177,'Actual Dates'!A4:AE327,27,),'Actual Dates'!#REF!,"")</f>
        <v>#REF!</v>
      </c>
      <c r="O177" s="138" t="e">
        <f t="shared" si="28"/>
        <v>#REF!</v>
      </c>
      <c r="P177" s="139" t="e">
        <f t="shared" si="26"/>
        <v>#REF!</v>
      </c>
      <c r="Q177" s="139" t="e">
        <f t="shared" si="27"/>
        <v>#REF!</v>
      </c>
      <c r="R177" s="170"/>
      <c r="S177" s="170"/>
      <c r="T177" s="142"/>
      <c r="U177" s="142"/>
      <c r="V177" s="142"/>
      <c r="W177" s="142"/>
      <c r="X177" s="142"/>
      <c r="Y177" s="142"/>
      <c r="Z177" s="142"/>
      <c r="AA177" s="142"/>
      <c r="AB177" s="142"/>
    </row>
    <row r="178" spans="1:28" x14ac:dyDescent="0.25">
      <c r="A178" s="134" t="e">
        <f>'Actual Dates'!#REF!</f>
        <v>#REF!</v>
      </c>
      <c r="B178" s="135" t="e">
        <f>'Date Calcs'!#REF!</f>
        <v>#REF!</v>
      </c>
      <c r="C178" s="136" t="e">
        <f>'Date Calcs'!#REF!</f>
        <v>#REF!</v>
      </c>
      <c r="D178" s="137" t="e">
        <f t="shared" si="29"/>
        <v>#REF!</v>
      </c>
      <c r="E178" s="143">
        <v>43962</v>
      </c>
      <c r="F178" s="137" t="e">
        <f>'Date Calcs'!#REF!</f>
        <v>#REF!</v>
      </c>
      <c r="G178" s="137" t="e">
        <f>IF(VLOOKUP(A178,'Actual Dates'!A4:AE305,8,),'Actual Dates'!#REF!,"")</f>
        <v>#REF!</v>
      </c>
      <c r="H178" s="137" t="e">
        <f t="shared" si="24"/>
        <v>#REF!</v>
      </c>
      <c r="I178" s="137" t="e">
        <f>IF(VLOOKUP(A178,'Actual Dates'!A4:AE300,25,),'Actual Dates'!#REF!,"")</f>
        <v>#REF!</v>
      </c>
      <c r="J178" s="137" t="e">
        <f t="shared" si="25"/>
        <v>#REF!</v>
      </c>
      <c r="K178" s="137" t="e">
        <f>IF(VLOOKUP(A178,'Actual Dates'!A4:AE328,26,),'Actual Dates'!#REF!,"")</f>
        <v>#REF!</v>
      </c>
      <c r="L178" s="137" t="e">
        <f>IF(VLOOKUP(A178,'Actual Dates'!A4:AE328,21,),'Actual Dates'!#REF!,"")</f>
        <v>#REF!</v>
      </c>
      <c r="M178" s="137" t="e">
        <f>'Date Calcs'!#REF!</f>
        <v>#REF!</v>
      </c>
      <c r="N178" s="137" t="e">
        <f>IF(VLOOKUP(A178,'Actual Dates'!A4:AE328,27,),'Actual Dates'!#REF!,"")</f>
        <v>#REF!</v>
      </c>
      <c r="O178" s="138" t="e">
        <f t="shared" si="28"/>
        <v>#REF!</v>
      </c>
      <c r="P178" s="139" t="e">
        <f t="shared" si="26"/>
        <v>#REF!</v>
      </c>
      <c r="Q178" s="139" t="e">
        <f t="shared" si="27"/>
        <v>#REF!</v>
      </c>
      <c r="R178" s="170"/>
      <c r="S178" s="170"/>
      <c r="T178" s="142"/>
      <c r="U178" s="142"/>
      <c r="V178" s="142"/>
      <c r="W178" s="142"/>
      <c r="X178" s="142"/>
      <c r="Y178" s="142"/>
      <c r="Z178" s="142"/>
      <c r="AA178" s="142"/>
      <c r="AB178" s="142"/>
    </row>
    <row r="179" spans="1:28" x14ac:dyDescent="0.25">
      <c r="A179" s="134" t="e">
        <f>'Date Calcs'!#REF!</f>
        <v>#REF!</v>
      </c>
      <c r="B179" s="135" t="e">
        <f>'Date Calcs'!#REF!</f>
        <v>#REF!</v>
      </c>
      <c r="C179" s="136" t="e">
        <f>'Date Calcs'!#REF!</f>
        <v>#REF!</v>
      </c>
      <c r="D179" s="137" t="e">
        <f t="shared" ref="D179:D214" si="30">WORKDAY(F179,-1,)</f>
        <v>#REF!</v>
      </c>
      <c r="E179" s="143">
        <v>43965</v>
      </c>
      <c r="F179" s="137" t="e">
        <f>'Date Calcs'!#REF!</f>
        <v>#REF!</v>
      </c>
      <c r="G179" s="137" t="e">
        <f>IF(VLOOKUP(A179,'Actual Dates'!A4:AE306,8,),'Actual Dates'!#REF!,"")</f>
        <v>#REF!</v>
      </c>
      <c r="H179" s="137" t="e">
        <f t="shared" ref="H179:H242" si="31">WORKDAY(L179,3,)</f>
        <v>#REF!</v>
      </c>
      <c r="I179" s="137" t="e">
        <f>IF(VLOOKUP(A179,'Actual Dates'!A4:AE301,25,),'Actual Dates'!#REF!,"")</f>
        <v>#REF!</v>
      </c>
      <c r="J179" s="137" t="e">
        <f t="shared" ref="J179:J242" si="32">WORKDAY(L179,4,)</f>
        <v>#REF!</v>
      </c>
      <c r="K179" s="137" t="e">
        <f>IF(VLOOKUP(A179,'Actual Dates'!A4:AE329,26,),'Actual Dates'!#REF!,"")</f>
        <v>#REF!</v>
      </c>
      <c r="L179" s="137" t="e">
        <f>IF(VLOOKUP(A179,'Actual Dates'!A4:AE329,21,),'Actual Dates'!#REF!,"")</f>
        <v>#REF!</v>
      </c>
      <c r="M179" s="137" t="e">
        <f>'Date Calcs'!#REF!</f>
        <v>#REF!</v>
      </c>
      <c r="N179" s="137" t="e">
        <f>IF(VLOOKUP(A179,'Actual Dates'!A4:AE329,27,),'Actual Dates'!#REF!,"")</f>
        <v>#REF!</v>
      </c>
      <c r="O179" s="138" t="e">
        <f t="shared" si="28"/>
        <v>#REF!</v>
      </c>
      <c r="P179" s="139" t="e">
        <f t="shared" ref="P179:P242" si="33">F179-G179</f>
        <v>#REF!</v>
      </c>
      <c r="Q179" s="139" t="e">
        <f t="shared" ref="Q179:Q242" si="34">M179-N179</f>
        <v>#REF!</v>
      </c>
      <c r="R179" s="170"/>
      <c r="S179" s="170"/>
      <c r="T179" s="142"/>
      <c r="U179" s="142"/>
      <c r="V179" s="142"/>
      <c r="W179" s="142"/>
      <c r="X179" s="142"/>
      <c r="Y179" s="142"/>
      <c r="Z179" s="142"/>
      <c r="AA179" s="142"/>
      <c r="AB179" s="142"/>
    </row>
    <row r="180" spans="1:28" x14ac:dyDescent="0.25">
      <c r="A180" s="134" t="e">
        <f>'Date Calcs'!#REF!</f>
        <v>#REF!</v>
      </c>
      <c r="B180" s="135" t="e">
        <f>'Date Calcs'!#REF!</f>
        <v>#REF!</v>
      </c>
      <c r="C180" s="136" t="e">
        <f>'Date Calcs'!#REF!</f>
        <v>#REF!</v>
      </c>
      <c r="D180" s="137" t="e">
        <f t="shared" si="30"/>
        <v>#REF!</v>
      </c>
      <c r="E180" s="143">
        <v>43965</v>
      </c>
      <c r="F180" s="137" t="e">
        <f>'Date Calcs'!#REF!</f>
        <v>#REF!</v>
      </c>
      <c r="G180" s="137" t="e">
        <f>IF(VLOOKUP(A180,'Actual Dates'!A4:AE307,8,),'Actual Dates'!#REF!,"")</f>
        <v>#REF!</v>
      </c>
      <c r="H180" s="137" t="e">
        <f t="shared" si="31"/>
        <v>#REF!</v>
      </c>
      <c r="I180" s="137" t="e">
        <f>IF(VLOOKUP(A180,'Actual Dates'!A4:AE302,25,),'Actual Dates'!#REF!,"")</f>
        <v>#REF!</v>
      </c>
      <c r="J180" s="137" t="e">
        <f t="shared" si="32"/>
        <v>#REF!</v>
      </c>
      <c r="K180" s="137" t="e">
        <f>IF(VLOOKUP(A180,'Actual Dates'!A4:AE330,26,),'Actual Dates'!#REF!,"")</f>
        <v>#REF!</v>
      </c>
      <c r="L180" s="137" t="e">
        <f>IF(VLOOKUP(A180,'Actual Dates'!A4:AE330,21,),'Actual Dates'!#REF!,"")</f>
        <v>#REF!</v>
      </c>
      <c r="M180" s="137" t="e">
        <f>'Date Calcs'!#REF!</f>
        <v>#REF!</v>
      </c>
      <c r="N180" s="137" t="e">
        <f>IF(VLOOKUP(A180,'Actual Dates'!A4:AE330,27,),'Actual Dates'!#REF!,"")</f>
        <v>#REF!</v>
      </c>
      <c r="O180" s="138" t="e">
        <f t="shared" si="28"/>
        <v>#REF!</v>
      </c>
      <c r="P180" s="139" t="e">
        <f t="shared" si="33"/>
        <v>#REF!</v>
      </c>
      <c r="Q180" s="139" t="e">
        <f t="shared" si="34"/>
        <v>#REF!</v>
      </c>
      <c r="R180" s="170"/>
      <c r="S180" s="170"/>
      <c r="T180" s="142"/>
      <c r="U180" s="142"/>
      <c r="V180" s="142"/>
      <c r="W180" s="142"/>
      <c r="X180" s="142"/>
      <c r="Y180" s="142"/>
      <c r="Z180" s="142"/>
      <c r="AA180" s="142"/>
      <c r="AB180" s="142"/>
    </row>
    <row r="181" spans="1:28" x14ac:dyDescent="0.25">
      <c r="A181" s="134" t="e">
        <f>'Date Calcs'!#REF!</f>
        <v>#REF!</v>
      </c>
      <c r="B181" s="135" t="e">
        <f>'Date Calcs'!#REF!</f>
        <v>#REF!</v>
      </c>
      <c r="C181" s="136" t="e">
        <f>'Date Calcs'!#REF!</f>
        <v>#REF!</v>
      </c>
      <c r="D181" s="137" t="e">
        <f t="shared" si="30"/>
        <v>#REF!</v>
      </c>
      <c r="E181" s="143">
        <v>43966</v>
      </c>
      <c r="F181" s="137" t="e">
        <f>'Date Calcs'!#REF!</f>
        <v>#REF!</v>
      </c>
      <c r="G181" s="137" t="e">
        <f>IF(VLOOKUP(A181,'Actual Dates'!A4:AE308,8,),'Actual Dates'!#REF!,"")</f>
        <v>#REF!</v>
      </c>
      <c r="H181" s="137" t="e">
        <f t="shared" si="31"/>
        <v>#REF!</v>
      </c>
      <c r="I181" s="137" t="e">
        <f>IF(VLOOKUP(A181,'Actual Dates'!A4:AE303,25,),'Actual Dates'!#REF!,"")</f>
        <v>#REF!</v>
      </c>
      <c r="J181" s="137" t="e">
        <f t="shared" si="32"/>
        <v>#REF!</v>
      </c>
      <c r="K181" s="137" t="e">
        <f>IF(VLOOKUP(A181,'Actual Dates'!A4:AE331,26,),'Actual Dates'!#REF!,"")</f>
        <v>#REF!</v>
      </c>
      <c r="L181" s="137" t="e">
        <f>IF(VLOOKUP(A181,'Actual Dates'!A4:AE331,21,),'Actual Dates'!#REF!,"")</f>
        <v>#REF!</v>
      </c>
      <c r="M181" s="137" t="e">
        <f>'Date Calcs'!#REF!</f>
        <v>#REF!</v>
      </c>
      <c r="N181" s="137" t="e">
        <f>IF(VLOOKUP(A181,'Actual Dates'!A4:AE331,27,),'Actual Dates'!#REF!,"")</f>
        <v>#REF!</v>
      </c>
      <c r="O181" s="138" t="e">
        <f t="shared" si="28"/>
        <v>#REF!</v>
      </c>
      <c r="P181" s="139" t="e">
        <f t="shared" si="33"/>
        <v>#REF!</v>
      </c>
      <c r="Q181" s="139" t="e">
        <f t="shared" si="34"/>
        <v>#REF!</v>
      </c>
      <c r="R181" s="170"/>
      <c r="S181" s="170"/>
      <c r="T181" s="142"/>
      <c r="U181" s="142"/>
      <c r="V181" s="142"/>
      <c r="W181" s="142"/>
      <c r="X181" s="142"/>
      <c r="Y181" s="142"/>
      <c r="Z181" s="142"/>
      <c r="AA181" s="142"/>
      <c r="AB181" s="142"/>
    </row>
    <row r="182" spans="1:28" x14ac:dyDescent="0.25">
      <c r="A182" s="134" t="e">
        <f>'Date Calcs'!#REF!</f>
        <v>#REF!</v>
      </c>
      <c r="B182" s="135" t="e">
        <f>'Date Calcs'!#REF!</f>
        <v>#REF!</v>
      </c>
      <c r="C182" s="136" t="e">
        <f>'Date Calcs'!#REF!</f>
        <v>#REF!</v>
      </c>
      <c r="D182" s="137" t="e">
        <f t="shared" si="30"/>
        <v>#REF!</v>
      </c>
      <c r="E182" s="143">
        <v>43967</v>
      </c>
      <c r="F182" s="137" t="e">
        <f>'Date Calcs'!#REF!</f>
        <v>#REF!</v>
      </c>
      <c r="G182" s="137" t="e">
        <f>IF(VLOOKUP(A182,'Actual Dates'!A4:AE309,8,),'Actual Dates'!#REF!,"")</f>
        <v>#REF!</v>
      </c>
      <c r="H182" s="137" t="e">
        <f t="shared" si="31"/>
        <v>#REF!</v>
      </c>
      <c r="I182" s="137" t="e">
        <f>IF(VLOOKUP(A182,'Actual Dates'!A4:AE304,25,),'Actual Dates'!#REF!,"")</f>
        <v>#REF!</v>
      </c>
      <c r="J182" s="137" t="e">
        <f t="shared" si="32"/>
        <v>#REF!</v>
      </c>
      <c r="K182" s="137" t="e">
        <f>IF(VLOOKUP(A182,'Actual Dates'!A4:AE332,26,),'Actual Dates'!#REF!,"")</f>
        <v>#REF!</v>
      </c>
      <c r="L182" s="137" t="e">
        <f>IF(VLOOKUP(A182,'Actual Dates'!A4:AE332,21,),'Actual Dates'!#REF!,"")</f>
        <v>#REF!</v>
      </c>
      <c r="M182" s="137" t="e">
        <f>'Date Calcs'!#REF!</f>
        <v>#REF!</v>
      </c>
      <c r="N182" s="137" t="e">
        <f>IF(VLOOKUP(A182,'Actual Dates'!A4:AE332,27,),'Actual Dates'!#REF!,"")</f>
        <v>#REF!</v>
      </c>
      <c r="O182" s="138" t="e">
        <f t="shared" si="28"/>
        <v>#REF!</v>
      </c>
      <c r="P182" s="139" t="e">
        <f t="shared" si="33"/>
        <v>#REF!</v>
      </c>
      <c r="Q182" s="139" t="e">
        <f t="shared" si="34"/>
        <v>#REF!</v>
      </c>
      <c r="R182" s="170"/>
      <c r="S182" s="170"/>
      <c r="T182" s="142"/>
      <c r="U182" s="142"/>
      <c r="V182" s="142"/>
      <c r="W182" s="142"/>
      <c r="X182" s="142"/>
      <c r="Y182" s="142"/>
      <c r="Z182" s="142"/>
      <c r="AA182" s="142"/>
      <c r="AB182" s="142"/>
    </row>
    <row r="183" spans="1:28" x14ac:dyDescent="0.25">
      <c r="A183" s="134" t="e">
        <f>'Date Calcs'!#REF!</f>
        <v>#REF!</v>
      </c>
      <c r="B183" s="135" t="e">
        <f>'Date Calcs'!#REF!</f>
        <v>#REF!</v>
      </c>
      <c r="C183" s="136" t="e">
        <f>'Date Calcs'!#REF!</f>
        <v>#REF!</v>
      </c>
      <c r="D183" s="137" t="e">
        <f t="shared" si="30"/>
        <v>#REF!</v>
      </c>
      <c r="E183" s="143">
        <v>43968</v>
      </c>
      <c r="F183" s="137" t="e">
        <f>'Date Calcs'!#REF!</f>
        <v>#REF!</v>
      </c>
      <c r="G183" s="137" t="e">
        <f>IF(VLOOKUP(A183,'Actual Dates'!A4:AE310,8,),'Actual Dates'!#REF!,"")</f>
        <v>#REF!</v>
      </c>
      <c r="H183" s="137" t="e">
        <f t="shared" si="31"/>
        <v>#REF!</v>
      </c>
      <c r="I183" s="137" t="e">
        <f>IF(VLOOKUP(A183,'Actual Dates'!A4:AE305,25,),'Actual Dates'!#REF!,"")</f>
        <v>#REF!</v>
      </c>
      <c r="J183" s="137" t="e">
        <f t="shared" si="32"/>
        <v>#REF!</v>
      </c>
      <c r="K183" s="137" t="e">
        <f>IF(VLOOKUP(A183,'Actual Dates'!A4:AE333,26,),'Actual Dates'!#REF!,"")</f>
        <v>#REF!</v>
      </c>
      <c r="L183" s="137" t="e">
        <f>IF(VLOOKUP(A183,'Actual Dates'!A4:AE333,21,),'Actual Dates'!#REF!,"")</f>
        <v>#REF!</v>
      </c>
      <c r="M183" s="137" t="e">
        <f>'Date Calcs'!#REF!</f>
        <v>#REF!</v>
      </c>
      <c r="N183" s="137" t="e">
        <f>IF(VLOOKUP(A183,'Actual Dates'!A4:AE333,27,),'Actual Dates'!#REF!,"")</f>
        <v>#REF!</v>
      </c>
      <c r="O183" s="138" t="e">
        <f t="shared" si="28"/>
        <v>#REF!</v>
      </c>
      <c r="P183" s="139" t="e">
        <f t="shared" si="33"/>
        <v>#REF!</v>
      </c>
      <c r="Q183" s="139" t="e">
        <f t="shared" si="34"/>
        <v>#REF!</v>
      </c>
      <c r="R183" s="170"/>
      <c r="S183" s="170"/>
      <c r="T183" s="142"/>
      <c r="U183" s="142"/>
      <c r="V183" s="142"/>
      <c r="W183" s="142"/>
      <c r="X183" s="142"/>
      <c r="Y183" s="142"/>
      <c r="Z183" s="142"/>
      <c r="AA183" s="142"/>
      <c r="AB183" s="142"/>
    </row>
    <row r="184" spans="1:28" x14ac:dyDescent="0.25">
      <c r="A184" s="134" t="e">
        <f>'Date Calcs'!#REF!</f>
        <v>#REF!</v>
      </c>
      <c r="B184" s="135" t="e">
        <f>'Date Calcs'!#REF!</f>
        <v>#REF!</v>
      </c>
      <c r="C184" s="136" t="e">
        <f>'Date Calcs'!#REF!</f>
        <v>#REF!</v>
      </c>
      <c r="D184" s="137" t="e">
        <f t="shared" si="30"/>
        <v>#REF!</v>
      </c>
      <c r="E184" s="143">
        <v>43969</v>
      </c>
      <c r="F184" s="137" t="e">
        <f>'Date Calcs'!#REF!</f>
        <v>#REF!</v>
      </c>
      <c r="G184" s="137" t="e">
        <f>IF(VLOOKUP(A184,'Actual Dates'!A4:AE311,8,),'Actual Dates'!#REF!,"")</f>
        <v>#REF!</v>
      </c>
      <c r="H184" s="137" t="e">
        <f t="shared" si="31"/>
        <v>#REF!</v>
      </c>
      <c r="I184" s="137" t="e">
        <f>IF(VLOOKUP(A184,'Actual Dates'!A4:AE306,25,),'Actual Dates'!#REF!,"")</f>
        <v>#REF!</v>
      </c>
      <c r="J184" s="137" t="e">
        <f t="shared" si="32"/>
        <v>#REF!</v>
      </c>
      <c r="K184" s="137" t="e">
        <f>IF(VLOOKUP(A184,'Actual Dates'!A4:AE334,26,),'Actual Dates'!#REF!,"")</f>
        <v>#REF!</v>
      </c>
      <c r="L184" s="137" t="e">
        <f>IF(VLOOKUP(A184,'Actual Dates'!A4:AE334,21,),'Actual Dates'!#REF!,"")</f>
        <v>#REF!</v>
      </c>
      <c r="M184" s="137" t="e">
        <f>'Date Calcs'!#REF!</f>
        <v>#REF!</v>
      </c>
      <c r="N184" s="137" t="e">
        <f>IF(VLOOKUP(A184,'Actual Dates'!A4:AE334,27,),'Actual Dates'!#REF!,"")</f>
        <v>#REF!</v>
      </c>
      <c r="O184" s="138" t="e">
        <f t="shared" si="28"/>
        <v>#REF!</v>
      </c>
      <c r="P184" s="139" t="e">
        <f t="shared" si="33"/>
        <v>#REF!</v>
      </c>
      <c r="Q184" s="139" t="e">
        <f t="shared" si="34"/>
        <v>#REF!</v>
      </c>
      <c r="R184" s="170"/>
      <c r="S184" s="170"/>
      <c r="T184" s="142"/>
      <c r="U184" s="142"/>
      <c r="V184" s="142"/>
      <c r="W184" s="142"/>
      <c r="X184" s="142"/>
      <c r="Y184" s="142"/>
      <c r="Z184" s="142"/>
      <c r="AA184" s="142"/>
      <c r="AB184" s="142"/>
    </row>
    <row r="185" spans="1:28" x14ac:dyDescent="0.25">
      <c r="A185" s="134" t="e">
        <f>'Date Calcs'!#REF!</f>
        <v>#REF!</v>
      </c>
      <c r="B185" s="135" t="e">
        <f>'Date Calcs'!#REF!</f>
        <v>#REF!</v>
      </c>
      <c r="C185" s="136" t="e">
        <f>'Date Calcs'!#REF!</f>
        <v>#REF!</v>
      </c>
      <c r="D185" s="137" t="e">
        <f t="shared" si="30"/>
        <v>#REF!</v>
      </c>
      <c r="E185" s="143">
        <v>43970</v>
      </c>
      <c r="F185" s="137" t="e">
        <f>'Date Calcs'!#REF!</f>
        <v>#REF!</v>
      </c>
      <c r="G185" s="137" t="e">
        <f>IF(VLOOKUP(A185,'Actual Dates'!A4:AE312,8,),'Actual Dates'!#REF!,"")</f>
        <v>#REF!</v>
      </c>
      <c r="H185" s="137" t="e">
        <f t="shared" si="31"/>
        <v>#REF!</v>
      </c>
      <c r="I185" s="137" t="e">
        <f>IF(VLOOKUP(A185,'Actual Dates'!A4:AE307,25,),'Actual Dates'!#REF!,"")</f>
        <v>#REF!</v>
      </c>
      <c r="J185" s="137" t="e">
        <f t="shared" si="32"/>
        <v>#REF!</v>
      </c>
      <c r="K185" s="137" t="e">
        <f>IF(VLOOKUP(A185,'Actual Dates'!A4:AE335,26,),'Actual Dates'!#REF!,"")</f>
        <v>#REF!</v>
      </c>
      <c r="L185" s="137" t="e">
        <f>IF(VLOOKUP(A185,'Actual Dates'!A4:AE335,21,),'Actual Dates'!#REF!,"")</f>
        <v>#REF!</v>
      </c>
      <c r="M185" s="137" t="e">
        <f>'Date Calcs'!#REF!</f>
        <v>#REF!</v>
      </c>
      <c r="N185" s="137" t="e">
        <f>IF(VLOOKUP(A185,'Actual Dates'!A4:AE335,27,),'Actual Dates'!#REF!,"")</f>
        <v>#REF!</v>
      </c>
      <c r="O185" s="138" t="e">
        <f t="shared" si="28"/>
        <v>#REF!</v>
      </c>
      <c r="P185" s="139" t="e">
        <f t="shared" si="33"/>
        <v>#REF!</v>
      </c>
      <c r="Q185" s="139" t="e">
        <f t="shared" si="34"/>
        <v>#REF!</v>
      </c>
      <c r="R185" s="170"/>
      <c r="S185" s="170"/>
      <c r="T185" s="142"/>
      <c r="U185" s="142"/>
      <c r="V185" s="142"/>
      <c r="W185" s="142"/>
      <c r="X185" s="142"/>
      <c r="Y185" s="142"/>
      <c r="Z185" s="142"/>
      <c r="AA185" s="142"/>
      <c r="AB185" s="142"/>
    </row>
    <row r="186" spans="1:28" x14ac:dyDescent="0.25">
      <c r="A186" s="134" t="e">
        <f>'Date Calcs'!#REF!</f>
        <v>#REF!</v>
      </c>
      <c r="B186" s="135" t="e">
        <f>'Date Calcs'!#REF!</f>
        <v>#REF!</v>
      </c>
      <c r="C186" s="136" t="e">
        <f>'Date Calcs'!#REF!</f>
        <v>#REF!</v>
      </c>
      <c r="D186" s="137" t="e">
        <f t="shared" si="30"/>
        <v>#REF!</v>
      </c>
      <c r="E186" s="143">
        <v>43971</v>
      </c>
      <c r="F186" s="137" t="e">
        <f>'Date Calcs'!#REF!</f>
        <v>#REF!</v>
      </c>
      <c r="G186" s="137" t="e">
        <f>IF(VLOOKUP(A186,'Actual Dates'!A4:AE313,8,),'Actual Dates'!#REF!,"")</f>
        <v>#REF!</v>
      </c>
      <c r="H186" s="137" t="e">
        <f t="shared" si="31"/>
        <v>#REF!</v>
      </c>
      <c r="I186" s="137" t="e">
        <f>IF(VLOOKUP(A186,'Actual Dates'!A4:AE308,25,),'Actual Dates'!#REF!,"")</f>
        <v>#REF!</v>
      </c>
      <c r="J186" s="137" t="e">
        <f t="shared" si="32"/>
        <v>#REF!</v>
      </c>
      <c r="K186" s="137" t="e">
        <f>IF(VLOOKUP(A186,'Actual Dates'!A4:AE336,26,),'Actual Dates'!#REF!,"")</f>
        <v>#REF!</v>
      </c>
      <c r="L186" s="137" t="e">
        <f>IF(VLOOKUP(A186,'Actual Dates'!A4:AE336,21,),'Actual Dates'!#REF!,"")</f>
        <v>#REF!</v>
      </c>
      <c r="M186" s="137" t="e">
        <f>'Date Calcs'!#REF!</f>
        <v>#REF!</v>
      </c>
      <c r="N186" s="137" t="e">
        <f>IF(VLOOKUP(A186,'Actual Dates'!A4:AE336,27,),'Actual Dates'!#REF!,"")</f>
        <v>#REF!</v>
      </c>
      <c r="O186" s="138" t="e">
        <f t="shared" si="28"/>
        <v>#REF!</v>
      </c>
      <c r="P186" s="139" t="e">
        <f t="shared" si="33"/>
        <v>#REF!</v>
      </c>
      <c r="Q186" s="139" t="e">
        <f t="shared" si="34"/>
        <v>#REF!</v>
      </c>
      <c r="R186" s="170"/>
      <c r="S186" s="170"/>
      <c r="T186" s="142"/>
      <c r="U186" s="142"/>
      <c r="V186" s="142"/>
      <c r="W186" s="142"/>
      <c r="X186" s="142"/>
      <c r="Y186" s="142"/>
      <c r="Z186" s="142"/>
      <c r="AA186" s="142"/>
      <c r="AB186" s="142"/>
    </row>
    <row r="187" spans="1:28" x14ac:dyDescent="0.25">
      <c r="A187" s="134" t="e">
        <f>'Date Calcs'!#REF!</f>
        <v>#REF!</v>
      </c>
      <c r="B187" s="135" t="e">
        <f>'Date Calcs'!#REF!</f>
        <v>#REF!</v>
      </c>
      <c r="C187" s="136" t="e">
        <f>'Date Calcs'!#REF!</f>
        <v>#REF!</v>
      </c>
      <c r="D187" s="137" t="e">
        <f t="shared" si="30"/>
        <v>#REF!</v>
      </c>
      <c r="E187" s="143">
        <v>43972</v>
      </c>
      <c r="F187" s="137" t="e">
        <f>'Date Calcs'!#REF!</f>
        <v>#REF!</v>
      </c>
      <c r="G187" s="137" t="e">
        <f>IF(VLOOKUP(A187,'Actual Dates'!A4:AE314,8,),'Actual Dates'!#REF!,"")</f>
        <v>#REF!</v>
      </c>
      <c r="H187" s="137" t="e">
        <f t="shared" si="31"/>
        <v>#REF!</v>
      </c>
      <c r="I187" s="137" t="e">
        <f>IF(VLOOKUP(A187,'Actual Dates'!A4:AE309,25,),'Actual Dates'!#REF!,"")</f>
        <v>#REF!</v>
      </c>
      <c r="J187" s="137" t="e">
        <f t="shared" si="32"/>
        <v>#REF!</v>
      </c>
      <c r="K187" s="137" t="e">
        <f>IF(VLOOKUP(A187,'Actual Dates'!A4:AE337,26,),'Actual Dates'!#REF!,"")</f>
        <v>#REF!</v>
      </c>
      <c r="L187" s="137" t="e">
        <f>IF(VLOOKUP(A187,'Actual Dates'!A4:AE337,21,),'Actual Dates'!#REF!,"")</f>
        <v>#REF!</v>
      </c>
      <c r="M187" s="137" t="e">
        <f>'Date Calcs'!#REF!</f>
        <v>#REF!</v>
      </c>
      <c r="N187" s="137" t="e">
        <f>IF(VLOOKUP(A187,'Actual Dates'!A4:AE337,27,),'Actual Dates'!#REF!,"")</f>
        <v>#REF!</v>
      </c>
      <c r="O187" s="138" t="e">
        <f t="shared" si="28"/>
        <v>#REF!</v>
      </c>
      <c r="P187" s="139" t="e">
        <f t="shared" si="33"/>
        <v>#REF!</v>
      </c>
      <c r="Q187" s="139" t="e">
        <f t="shared" si="34"/>
        <v>#REF!</v>
      </c>
      <c r="R187" s="170"/>
      <c r="S187" s="170"/>
      <c r="T187" s="142"/>
      <c r="U187" s="142"/>
      <c r="V187" s="142"/>
      <c r="W187" s="142"/>
      <c r="X187" s="142"/>
      <c r="Y187" s="142"/>
      <c r="Z187" s="142"/>
      <c r="AA187" s="142"/>
      <c r="AB187" s="142"/>
    </row>
    <row r="188" spans="1:28" x14ac:dyDescent="0.25">
      <c r="A188" s="134" t="e">
        <f>'Date Calcs'!#REF!</f>
        <v>#REF!</v>
      </c>
      <c r="B188" s="135" t="e">
        <f>'Date Calcs'!#REF!</f>
        <v>#REF!</v>
      </c>
      <c r="C188" s="136" t="e">
        <f>'Date Calcs'!#REF!</f>
        <v>#REF!</v>
      </c>
      <c r="D188" s="137" t="e">
        <f t="shared" si="30"/>
        <v>#REF!</v>
      </c>
      <c r="E188" s="143">
        <v>43973</v>
      </c>
      <c r="F188" s="137" t="e">
        <f>'Date Calcs'!#REF!</f>
        <v>#REF!</v>
      </c>
      <c r="G188" s="137" t="e">
        <f>IF(VLOOKUP(A188,'Actual Dates'!A4:AE315,8,),'Actual Dates'!#REF!,"")</f>
        <v>#REF!</v>
      </c>
      <c r="H188" s="137" t="e">
        <f t="shared" si="31"/>
        <v>#REF!</v>
      </c>
      <c r="I188" s="137" t="e">
        <f>IF(VLOOKUP(A188,'Actual Dates'!A4:AE310,25,),'Actual Dates'!#REF!,"")</f>
        <v>#REF!</v>
      </c>
      <c r="J188" s="137" t="e">
        <f t="shared" si="32"/>
        <v>#REF!</v>
      </c>
      <c r="K188" s="137" t="e">
        <f>IF(VLOOKUP(A188,'Actual Dates'!A4:AE338,26,),'Actual Dates'!#REF!,"")</f>
        <v>#REF!</v>
      </c>
      <c r="L188" s="137" t="e">
        <f>IF(VLOOKUP(A188,'Actual Dates'!A4:AE338,21,),'Actual Dates'!#REF!,"")</f>
        <v>#REF!</v>
      </c>
      <c r="M188" s="137" t="e">
        <f>'Date Calcs'!#REF!</f>
        <v>#REF!</v>
      </c>
      <c r="N188" s="137" t="e">
        <f>IF(VLOOKUP(A188,'Actual Dates'!A4:AE338,27,),'Actual Dates'!#REF!,"")</f>
        <v>#REF!</v>
      </c>
      <c r="O188" s="138" t="e">
        <f t="shared" si="28"/>
        <v>#REF!</v>
      </c>
      <c r="P188" s="139" t="e">
        <f t="shared" si="33"/>
        <v>#REF!</v>
      </c>
      <c r="Q188" s="139" t="e">
        <f t="shared" si="34"/>
        <v>#REF!</v>
      </c>
      <c r="R188" s="170"/>
      <c r="S188" s="170"/>
      <c r="T188" s="142"/>
      <c r="U188" s="142"/>
      <c r="V188" s="142"/>
      <c r="W188" s="142"/>
      <c r="X188" s="142"/>
      <c r="Y188" s="142"/>
      <c r="Z188" s="142"/>
      <c r="AA188" s="142"/>
      <c r="AB188" s="142"/>
    </row>
    <row r="189" spans="1:28" x14ac:dyDescent="0.25">
      <c r="A189" s="134" t="e">
        <f>'Date Calcs'!#REF!</f>
        <v>#REF!</v>
      </c>
      <c r="B189" s="135" t="e">
        <f>'Date Calcs'!#REF!</f>
        <v>#REF!</v>
      </c>
      <c r="C189" s="136" t="e">
        <f>'Date Calcs'!#REF!</f>
        <v>#REF!</v>
      </c>
      <c r="D189" s="137" t="e">
        <f t="shared" si="30"/>
        <v>#REF!</v>
      </c>
      <c r="E189" s="143">
        <v>43974</v>
      </c>
      <c r="F189" s="137" t="e">
        <f>'Date Calcs'!#REF!</f>
        <v>#REF!</v>
      </c>
      <c r="G189" s="137" t="e">
        <f>IF(VLOOKUP(A189,'Actual Dates'!A4:AE316,8,),'Actual Dates'!#REF!,"")</f>
        <v>#REF!</v>
      </c>
      <c r="H189" s="137" t="e">
        <f t="shared" si="31"/>
        <v>#REF!</v>
      </c>
      <c r="I189" s="137" t="e">
        <f>IF(VLOOKUP(A189,'Actual Dates'!A4:AE311,25,),'Actual Dates'!#REF!,"")</f>
        <v>#REF!</v>
      </c>
      <c r="J189" s="137" t="e">
        <f t="shared" si="32"/>
        <v>#REF!</v>
      </c>
      <c r="K189" s="137" t="e">
        <f>IF(VLOOKUP(A189,'Actual Dates'!A4:AE339,26,),'Actual Dates'!#REF!,"")</f>
        <v>#REF!</v>
      </c>
      <c r="L189" s="137" t="e">
        <f>IF(VLOOKUP(A189,'Actual Dates'!A4:AE339,21,),'Actual Dates'!#REF!,"")</f>
        <v>#REF!</v>
      </c>
      <c r="M189" s="137" t="e">
        <f>'Date Calcs'!#REF!</f>
        <v>#REF!</v>
      </c>
      <c r="N189" s="137" t="e">
        <f>IF(VLOOKUP(A189,'Actual Dates'!A4:AE339,27,),'Actual Dates'!#REF!,"")</f>
        <v>#REF!</v>
      </c>
      <c r="O189" s="138" t="e">
        <f t="shared" si="28"/>
        <v>#REF!</v>
      </c>
      <c r="P189" s="139" t="e">
        <f t="shared" si="33"/>
        <v>#REF!</v>
      </c>
      <c r="Q189" s="139" t="e">
        <f t="shared" si="34"/>
        <v>#REF!</v>
      </c>
      <c r="R189" s="170"/>
      <c r="S189" s="170"/>
      <c r="T189" s="142"/>
      <c r="U189" s="142"/>
      <c r="V189" s="142"/>
      <c r="W189" s="142"/>
      <c r="X189" s="142"/>
      <c r="Y189" s="142"/>
      <c r="Z189" s="142"/>
      <c r="AA189" s="142"/>
      <c r="AB189" s="142"/>
    </row>
    <row r="190" spans="1:28" x14ac:dyDescent="0.25">
      <c r="A190" s="134" t="e">
        <f>'Date Calcs'!#REF!</f>
        <v>#REF!</v>
      </c>
      <c r="B190" s="135" t="e">
        <f>'Date Calcs'!#REF!</f>
        <v>#REF!</v>
      </c>
      <c r="C190" s="136" t="e">
        <f>'Date Calcs'!#REF!</f>
        <v>#REF!</v>
      </c>
      <c r="D190" s="137" t="e">
        <f t="shared" si="30"/>
        <v>#REF!</v>
      </c>
      <c r="E190" s="143">
        <v>43975</v>
      </c>
      <c r="F190" s="137" t="e">
        <f>'Date Calcs'!#REF!</f>
        <v>#REF!</v>
      </c>
      <c r="G190" s="137" t="e">
        <f>IF(VLOOKUP(A190,'Actual Dates'!A4:AE317,8,),'Actual Dates'!#REF!,"")</f>
        <v>#REF!</v>
      </c>
      <c r="H190" s="137" t="e">
        <f t="shared" si="31"/>
        <v>#REF!</v>
      </c>
      <c r="I190" s="137" t="e">
        <f>IF(VLOOKUP(A190,'Actual Dates'!A4:AE312,25,),'Actual Dates'!#REF!,"")</f>
        <v>#REF!</v>
      </c>
      <c r="J190" s="137" t="e">
        <f t="shared" si="32"/>
        <v>#REF!</v>
      </c>
      <c r="K190" s="137" t="e">
        <f>IF(VLOOKUP(A190,'Actual Dates'!A4:AE340,26,),'Actual Dates'!#REF!,"")</f>
        <v>#REF!</v>
      </c>
      <c r="L190" s="137" t="e">
        <f>IF(VLOOKUP(A190,'Actual Dates'!A4:AE340,21,),'Actual Dates'!#REF!,"")</f>
        <v>#REF!</v>
      </c>
      <c r="M190" s="137" t="e">
        <f>'Date Calcs'!#REF!</f>
        <v>#REF!</v>
      </c>
      <c r="N190" s="137" t="e">
        <f>IF(VLOOKUP(A190,'Actual Dates'!A4:AE340,27,),'Actual Dates'!#REF!,"")</f>
        <v>#REF!</v>
      </c>
      <c r="O190" s="138" t="e">
        <f t="shared" si="28"/>
        <v>#REF!</v>
      </c>
      <c r="P190" s="139" t="e">
        <f t="shared" si="33"/>
        <v>#REF!</v>
      </c>
      <c r="Q190" s="139" t="e">
        <f t="shared" si="34"/>
        <v>#REF!</v>
      </c>
      <c r="R190" s="170"/>
      <c r="S190" s="170"/>
      <c r="T190" s="142"/>
      <c r="U190" s="142"/>
      <c r="V190" s="142"/>
      <c r="W190" s="142"/>
      <c r="X190" s="142"/>
      <c r="Y190" s="142"/>
      <c r="Z190" s="142"/>
      <c r="AA190" s="142"/>
      <c r="AB190" s="142"/>
    </row>
    <row r="191" spans="1:28" x14ac:dyDescent="0.25">
      <c r="A191" s="134" t="e">
        <f>'Date Calcs'!#REF!</f>
        <v>#REF!</v>
      </c>
      <c r="B191" s="135" t="e">
        <f>'Date Calcs'!#REF!</f>
        <v>#REF!</v>
      </c>
      <c r="C191" s="136" t="e">
        <f>'Date Calcs'!#REF!</f>
        <v>#REF!</v>
      </c>
      <c r="D191" s="137" t="e">
        <f t="shared" si="30"/>
        <v>#REF!</v>
      </c>
      <c r="E191" s="143">
        <v>43976</v>
      </c>
      <c r="F191" s="137" t="e">
        <f>'Date Calcs'!#REF!</f>
        <v>#REF!</v>
      </c>
      <c r="G191" s="137" t="e">
        <f>IF(VLOOKUP(A191,'Actual Dates'!A4:AE318,8,),'Actual Dates'!#REF!,"")</f>
        <v>#REF!</v>
      </c>
      <c r="H191" s="137" t="e">
        <f t="shared" si="31"/>
        <v>#REF!</v>
      </c>
      <c r="I191" s="137" t="e">
        <f>IF(VLOOKUP(A191,'Actual Dates'!A4:AE313,25,),'Actual Dates'!#REF!,"")</f>
        <v>#REF!</v>
      </c>
      <c r="J191" s="137" t="e">
        <f t="shared" si="32"/>
        <v>#REF!</v>
      </c>
      <c r="K191" s="137" t="e">
        <f>IF(VLOOKUP(A191,'Actual Dates'!A4:AE341,26,),'Actual Dates'!#REF!,"")</f>
        <v>#REF!</v>
      </c>
      <c r="L191" s="137" t="e">
        <f>IF(VLOOKUP(A191,'Actual Dates'!A4:AE341,21,),'Actual Dates'!#REF!,"")</f>
        <v>#REF!</v>
      </c>
      <c r="M191" s="137" t="e">
        <f>'Date Calcs'!#REF!</f>
        <v>#REF!</v>
      </c>
      <c r="N191" s="137" t="e">
        <f>IF(VLOOKUP(A191,'Actual Dates'!A4:AE341,27,),'Actual Dates'!#REF!,"")</f>
        <v>#REF!</v>
      </c>
      <c r="O191" s="138" t="e">
        <f t="shared" si="28"/>
        <v>#REF!</v>
      </c>
      <c r="P191" s="139" t="e">
        <f t="shared" si="33"/>
        <v>#REF!</v>
      </c>
      <c r="Q191" s="139" t="e">
        <f t="shared" si="34"/>
        <v>#REF!</v>
      </c>
      <c r="R191" s="170"/>
      <c r="S191" s="170"/>
      <c r="T191" s="142"/>
      <c r="U191" s="142"/>
      <c r="V191" s="142"/>
      <c r="W191" s="142"/>
      <c r="X191" s="142"/>
      <c r="Y191" s="142"/>
      <c r="Z191" s="142"/>
      <c r="AA191" s="142"/>
      <c r="AB191" s="142"/>
    </row>
    <row r="192" spans="1:28" x14ac:dyDescent="0.25">
      <c r="A192" s="134" t="e">
        <f>'Date Calcs'!#REF!</f>
        <v>#REF!</v>
      </c>
      <c r="B192" s="135" t="e">
        <f>'Date Calcs'!#REF!</f>
        <v>#REF!</v>
      </c>
      <c r="C192" s="136" t="e">
        <f>'Date Calcs'!#REF!</f>
        <v>#REF!</v>
      </c>
      <c r="D192" s="137" t="e">
        <f t="shared" si="30"/>
        <v>#REF!</v>
      </c>
      <c r="E192" s="143">
        <v>43977</v>
      </c>
      <c r="F192" s="137" t="e">
        <f>'Date Calcs'!#REF!</f>
        <v>#REF!</v>
      </c>
      <c r="G192" s="137" t="e">
        <f>IF(VLOOKUP(A192,'Actual Dates'!A4:AE319,8,),'Actual Dates'!#REF!,"")</f>
        <v>#REF!</v>
      </c>
      <c r="H192" s="137" t="e">
        <f t="shared" si="31"/>
        <v>#REF!</v>
      </c>
      <c r="I192" s="137" t="e">
        <f>IF(VLOOKUP(A192,'Actual Dates'!A4:AE314,25,),'Actual Dates'!#REF!,"")</f>
        <v>#REF!</v>
      </c>
      <c r="J192" s="137" t="e">
        <f t="shared" si="32"/>
        <v>#REF!</v>
      </c>
      <c r="K192" s="137" t="e">
        <f>IF(VLOOKUP(A192,'Actual Dates'!A4:AE342,26,),'Actual Dates'!#REF!,"")</f>
        <v>#REF!</v>
      </c>
      <c r="L192" s="137" t="e">
        <f>IF(VLOOKUP(A192,'Actual Dates'!A4:AE342,21,),'Actual Dates'!#REF!,"")</f>
        <v>#REF!</v>
      </c>
      <c r="M192" s="137" t="e">
        <f>'Date Calcs'!#REF!</f>
        <v>#REF!</v>
      </c>
      <c r="N192" s="137" t="e">
        <f>IF(VLOOKUP(A192,'Actual Dates'!A4:AE342,27,),'Actual Dates'!#REF!,"")</f>
        <v>#REF!</v>
      </c>
      <c r="O192" s="138" t="e">
        <f t="shared" si="28"/>
        <v>#REF!</v>
      </c>
      <c r="P192" s="139" t="e">
        <f t="shared" si="33"/>
        <v>#REF!</v>
      </c>
      <c r="Q192" s="139" t="e">
        <f t="shared" si="34"/>
        <v>#REF!</v>
      </c>
      <c r="R192" s="170"/>
      <c r="S192" s="170"/>
      <c r="T192" s="142"/>
      <c r="U192" s="142"/>
      <c r="V192" s="142"/>
      <c r="W192" s="142"/>
      <c r="X192" s="142"/>
      <c r="Y192" s="142"/>
      <c r="Z192" s="142"/>
      <c r="AA192" s="142"/>
      <c r="AB192" s="142"/>
    </row>
    <row r="193" spans="1:28" x14ac:dyDescent="0.25">
      <c r="A193" s="134" t="e">
        <f>'Date Calcs'!#REF!</f>
        <v>#REF!</v>
      </c>
      <c r="B193" s="135" t="e">
        <f>'Date Calcs'!#REF!</f>
        <v>#REF!</v>
      </c>
      <c r="C193" s="136" t="e">
        <f>'Date Calcs'!#REF!</f>
        <v>#REF!</v>
      </c>
      <c r="D193" s="137" t="e">
        <f t="shared" si="30"/>
        <v>#REF!</v>
      </c>
      <c r="E193" s="143">
        <v>43978</v>
      </c>
      <c r="F193" s="137" t="e">
        <f>'Date Calcs'!#REF!</f>
        <v>#REF!</v>
      </c>
      <c r="G193" s="137" t="e">
        <f>IF(VLOOKUP(A193,'Actual Dates'!A4:AE320,8,),'Actual Dates'!#REF!,"")</f>
        <v>#REF!</v>
      </c>
      <c r="H193" s="137" t="e">
        <f t="shared" si="31"/>
        <v>#REF!</v>
      </c>
      <c r="I193" s="137" t="e">
        <f>IF(VLOOKUP(A193,'Actual Dates'!A4:AE315,25,),'Actual Dates'!#REF!,"")</f>
        <v>#REF!</v>
      </c>
      <c r="J193" s="137" t="e">
        <f t="shared" si="32"/>
        <v>#REF!</v>
      </c>
      <c r="K193" s="137" t="e">
        <f>IF(VLOOKUP(A193,'Actual Dates'!A4:AE343,26,),'Actual Dates'!#REF!,"")</f>
        <v>#REF!</v>
      </c>
      <c r="L193" s="137" t="e">
        <f>IF(VLOOKUP(A193,'Actual Dates'!A4:AE343,21,),'Actual Dates'!#REF!,"")</f>
        <v>#REF!</v>
      </c>
      <c r="M193" s="137" t="e">
        <f>'Date Calcs'!#REF!</f>
        <v>#REF!</v>
      </c>
      <c r="N193" s="137" t="e">
        <f>IF(VLOOKUP(A193,'Actual Dates'!A4:AE343,27,),'Actual Dates'!#REF!,"")</f>
        <v>#REF!</v>
      </c>
      <c r="O193" s="138" t="e">
        <f t="shared" si="28"/>
        <v>#REF!</v>
      </c>
      <c r="P193" s="139" t="e">
        <f t="shared" si="33"/>
        <v>#REF!</v>
      </c>
      <c r="Q193" s="139" t="e">
        <f t="shared" si="34"/>
        <v>#REF!</v>
      </c>
      <c r="R193" s="170"/>
      <c r="S193" s="170"/>
      <c r="T193" s="142"/>
      <c r="U193" s="142"/>
      <c r="V193" s="142"/>
      <c r="W193" s="142"/>
      <c r="X193" s="142"/>
      <c r="Y193" s="142"/>
      <c r="Z193" s="142"/>
      <c r="AA193" s="142"/>
      <c r="AB193" s="142"/>
    </row>
    <row r="194" spans="1:28" x14ac:dyDescent="0.25">
      <c r="A194" s="134" t="e">
        <f>'Date Calcs'!#REF!</f>
        <v>#REF!</v>
      </c>
      <c r="B194" s="135" t="e">
        <f>'Date Calcs'!#REF!</f>
        <v>#REF!</v>
      </c>
      <c r="C194" s="136" t="e">
        <f>'Date Calcs'!#REF!</f>
        <v>#REF!</v>
      </c>
      <c r="D194" s="137" t="e">
        <f t="shared" si="30"/>
        <v>#REF!</v>
      </c>
      <c r="E194" s="143">
        <v>43979</v>
      </c>
      <c r="F194" s="137" t="e">
        <f>'Date Calcs'!#REF!</f>
        <v>#REF!</v>
      </c>
      <c r="G194" s="137" t="e">
        <f>IF(VLOOKUP(A194,'Actual Dates'!A4:AE321,8,),'Actual Dates'!#REF!,"")</f>
        <v>#REF!</v>
      </c>
      <c r="H194" s="137" t="e">
        <f t="shared" si="31"/>
        <v>#REF!</v>
      </c>
      <c r="I194" s="137" t="e">
        <f>IF(VLOOKUP(A194,'Actual Dates'!A4:AE316,25,),'Actual Dates'!#REF!,"")</f>
        <v>#REF!</v>
      </c>
      <c r="J194" s="137" t="e">
        <f t="shared" si="32"/>
        <v>#REF!</v>
      </c>
      <c r="K194" s="137" t="e">
        <f>IF(VLOOKUP(A194,'Actual Dates'!A4:AE344,26,),'Actual Dates'!#REF!,"")</f>
        <v>#REF!</v>
      </c>
      <c r="L194" s="137" t="e">
        <f>IF(VLOOKUP(A194,'Actual Dates'!A4:AE344,21,),'Actual Dates'!#REF!,"")</f>
        <v>#REF!</v>
      </c>
      <c r="M194" s="137" t="e">
        <f>'Date Calcs'!#REF!</f>
        <v>#REF!</v>
      </c>
      <c r="N194" s="137" t="e">
        <f>IF(VLOOKUP(A194,'Actual Dates'!A4:AE344,27,),'Actual Dates'!#REF!,"")</f>
        <v>#REF!</v>
      </c>
      <c r="O194" s="138" t="e">
        <f t="shared" si="28"/>
        <v>#REF!</v>
      </c>
      <c r="P194" s="139" t="e">
        <f t="shared" si="33"/>
        <v>#REF!</v>
      </c>
      <c r="Q194" s="139" t="e">
        <f t="shared" si="34"/>
        <v>#REF!</v>
      </c>
      <c r="R194" s="170"/>
      <c r="S194" s="170"/>
      <c r="T194" s="142"/>
      <c r="U194" s="142"/>
      <c r="V194" s="142"/>
      <c r="W194" s="142"/>
      <c r="X194" s="142"/>
      <c r="Y194" s="142"/>
      <c r="Z194" s="142"/>
      <c r="AA194" s="142"/>
      <c r="AB194" s="142"/>
    </row>
    <row r="195" spans="1:28" x14ac:dyDescent="0.25">
      <c r="A195" s="134" t="e">
        <f>'Date Calcs'!#REF!</f>
        <v>#REF!</v>
      </c>
      <c r="B195" s="135" t="e">
        <f>'Date Calcs'!#REF!</f>
        <v>#REF!</v>
      </c>
      <c r="C195" s="136" t="e">
        <f>'Date Calcs'!#REF!</f>
        <v>#REF!</v>
      </c>
      <c r="D195" s="137" t="e">
        <f t="shared" si="30"/>
        <v>#REF!</v>
      </c>
      <c r="E195" s="143">
        <v>43980</v>
      </c>
      <c r="F195" s="137" t="e">
        <f>'Date Calcs'!#REF!</f>
        <v>#REF!</v>
      </c>
      <c r="G195" s="137" t="e">
        <f>IF(VLOOKUP(A195,'Actual Dates'!A4:AE322,8,),'Actual Dates'!#REF!,"")</f>
        <v>#REF!</v>
      </c>
      <c r="H195" s="137" t="e">
        <f t="shared" si="31"/>
        <v>#REF!</v>
      </c>
      <c r="I195" s="137" t="e">
        <f>IF(VLOOKUP(A195,'Actual Dates'!A4:AE317,25,),'Actual Dates'!#REF!,"")</f>
        <v>#REF!</v>
      </c>
      <c r="J195" s="137" t="e">
        <f t="shared" si="32"/>
        <v>#REF!</v>
      </c>
      <c r="K195" s="137" t="e">
        <f>IF(VLOOKUP(A195,'Actual Dates'!A4:AE345,26,),'Actual Dates'!#REF!,"")</f>
        <v>#REF!</v>
      </c>
      <c r="L195" s="137" t="e">
        <f>IF(VLOOKUP(A195,'Actual Dates'!A4:AE345,21,),'Actual Dates'!#REF!,"")</f>
        <v>#REF!</v>
      </c>
      <c r="M195" s="137" t="e">
        <f>'Date Calcs'!#REF!</f>
        <v>#REF!</v>
      </c>
      <c r="N195" s="137" t="e">
        <f>IF(VLOOKUP(A195,'Actual Dates'!A4:AE345,27,),'Actual Dates'!#REF!,"")</f>
        <v>#REF!</v>
      </c>
      <c r="O195" s="138" t="e">
        <f t="shared" si="28"/>
        <v>#REF!</v>
      </c>
      <c r="P195" s="139" t="e">
        <f t="shared" si="33"/>
        <v>#REF!</v>
      </c>
      <c r="Q195" s="139" t="e">
        <f t="shared" si="34"/>
        <v>#REF!</v>
      </c>
      <c r="R195" s="170"/>
      <c r="S195" s="170"/>
      <c r="T195" s="142"/>
      <c r="U195" s="142"/>
      <c r="V195" s="142"/>
      <c r="W195" s="142"/>
      <c r="X195" s="142"/>
      <c r="Y195" s="142"/>
      <c r="Z195" s="142"/>
      <c r="AA195" s="142"/>
      <c r="AB195" s="142"/>
    </row>
    <row r="196" spans="1:28" x14ac:dyDescent="0.25">
      <c r="A196" s="134" t="e">
        <f>'Date Calcs'!#REF!</f>
        <v>#REF!</v>
      </c>
      <c r="B196" s="135" t="e">
        <f>'Date Calcs'!#REF!</f>
        <v>#REF!</v>
      </c>
      <c r="C196" s="136" t="e">
        <f>'Date Calcs'!#REF!</f>
        <v>#REF!</v>
      </c>
      <c r="D196" s="137" t="e">
        <f t="shared" si="30"/>
        <v>#REF!</v>
      </c>
      <c r="E196" s="143">
        <v>43981</v>
      </c>
      <c r="F196" s="137" t="e">
        <f>'Date Calcs'!#REF!</f>
        <v>#REF!</v>
      </c>
      <c r="G196" s="137" t="e">
        <f>IF(VLOOKUP(A196,'Actual Dates'!A4:AE323,8,),'Actual Dates'!#REF!,"")</f>
        <v>#REF!</v>
      </c>
      <c r="H196" s="137" t="e">
        <f t="shared" si="31"/>
        <v>#REF!</v>
      </c>
      <c r="I196" s="137" t="e">
        <f>IF(VLOOKUP(A196,'Actual Dates'!A4:AE318,25,),'Actual Dates'!#REF!,"")</f>
        <v>#REF!</v>
      </c>
      <c r="J196" s="137" t="e">
        <f t="shared" si="32"/>
        <v>#REF!</v>
      </c>
      <c r="K196" s="137" t="e">
        <f>IF(VLOOKUP(A196,'Actual Dates'!A4:AE346,26,),'Actual Dates'!#REF!,"")</f>
        <v>#REF!</v>
      </c>
      <c r="L196" s="137" t="e">
        <f>IF(VLOOKUP(A196,'Actual Dates'!A4:AE346,21,),'Actual Dates'!#REF!,"")</f>
        <v>#REF!</v>
      </c>
      <c r="M196" s="137" t="e">
        <f>'Date Calcs'!#REF!</f>
        <v>#REF!</v>
      </c>
      <c r="N196" s="137" t="e">
        <f>IF(VLOOKUP(A196,'Actual Dates'!A4:AE346,27,),'Actual Dates'!#REF!,"")</f>
        <v>#REF!</v>
      </c>
      <c r="O196" s="138" t="e">
        <f t="shared" si="28"/>
        <v>#REF!</v>
      </c>
      <c r="P196" s="139" t="e">
        <f t="shared" si="33"/>
        <v>#REF!</v>
      </c>
      <c r="Q196" s="139" t="e">
        <f t="shared" si="34"/>
        <v>#REF!</v>
      </c>
      <c r="R196" s="170"/>
      <c r="S196" s="170"/>
      <c r="T196" s="142"/>
      <c r="U196" s="142"/>
      <c r="V196" s="142"/>
      <c r="W196" s="142"/>
      <c r="X196" s="142"/>
      <c r="Y196" s="142"/>
      <c r="Z196" s="142"/>
      <c r="AA196" s="142"/>
      <c r="AB196" s="142"/>
    </row>
    <row r="197" spans="1:28" x14ac:dyDescent="0.25">
      <c r="A197" s="134" t="e">
        <f>'Date Calcs'!#REF!</f>
        <v>#REF!</v>
      </c>
      <c r="B197" s="135" t="e">
        <f>'Date Calcs'!#REF!</f>
        <v>#REF!</v>
      </c>
      <c r="C197" s="136" t="e">
        <f>'Date Calcs'!#REF!</f>
        <v>#REF!</v>
      </c>
      <c r="D197" s="137" t="e">
        <f t="shared" si="30"/>
        <v>#REF!</v>
      </c>
      <c r="E197" s="143">
        <v>43982</v>
      </c>
      <c r="F197" s="137" t="e">
        <f>'Date Calcs'!#REF!</f>
        <v>#REF!</v>
      </c>
      <c r="G197" s="137" t="e">
        <f>IF(VLOOKUP(A197,'Actual Dates'!A4:AE324,8,),'Actual Dates'!#REF!,"")</f>
        <v>#REF!</v>
      </c>
      <c r="H197" s="137" t="e">
        <f t="shared" si="31"/>
        <v>#REF!</v>
      </c>
      <c r="I197" s="137" t="e">
        <f>IF(VLOOKUP(A197,'Actual Dates'!A4:AE319,25,),'Actual Dates'!#REF!,"")</f>
        <v>#REF!</v>
      </c>
      <c r="J197" s="137" t="e">
        <f t="shared" si="32"/>
        <v>#REF!</v>
      </c>
      <c r="K197" s="137" t="e">
        <f>IF(VLOOKUP(A197,'Actual Dates'!A4:AE347,26,),'Actual Dates'!#REF!,"")</f>
        <v>#REF!</v>
      </c>
      <c r="L197" s="137" t="e">
        <f>IF(VLOOKUP(A197,'Actual Dates'!A4:AE347,21,),'Actual Dates'!#REF!,"")</f>
        <v>#REF!</v>
      </c>
      <c r="M197" s="137" t="e">
        <f>'Date Calcs'!#REF!</f>
        <v>#REF!</v>
      </c>
      <c r="N197" s="137" t="e">
        <f>IF(VLOOKUP(A197,'Actual Dates'!A4:AE347,27,),'Actual Dates'!#REF!,"")</f>
        <v>#REF!</v>
      </c>
      <c r="O197" s="138" t="e">
        <f t="shared" si="28"/>
        <v>#REF!</v>
      </c>
      <c r="P197" s="139" t="e">
        <f t="shared" si="33"/>
        <v>#REF!</v>
      </c>
      <c r="Q197" s="139" t="e">
        <f t="shared" si="34"/>
        <v>#REF!</v>
      </c>
      <c r="R197" s="170"/>
      <c r="S197" s="170"/>
      <c r="T197" s="142"/>
      <c r="U197" s="142"/>
      <c r="V197" s="142"/>
      <c r="W197" s="142"/>
      <c r="X197" s="142"/>
      <c r="Y197" s="142"/>
      <c r="Z197" s="142"/>
      <c r="AA197" s="142"/>
      <c r="AB197" s="142"/>
    </row>
    <row r="198" spans="1:28" x14ac:dyDescent="0.25">
      <c r="A198" s="134" t="e">
        <f>'Date Calcs'!#REF!</f>
        <v>#REF!</v>
      </c>
      <c r="B198" s="135" t="e">
        <f>'Date Calcs'!#REF!</f>
        <v>#REF!</v>
      </c>
      <c r="C198" s="136" t="e">
        <f>'Date Calcs'!#REF!</f>
        <v>#REF!</v>
      </c>
      <c r="D198" s="137" t="e">
        <f t="shared" si="30"/>
        <v>#REF!</v>
      </c>
      <c r="E198" s="143">
        <v>43983</v>
      </c>
      <c r="F198" s="137" t="e">
        <f>'Date Calcs'!#REF!</f>
        <v>#REF!</v>
      </c>
      <c r="G198" s="137" t="e">
        <f>IF(VLOOKUP(A198,'Actual Dates'!A4:AE325,8,),'Actual Dates'!#REF!,"")</f>
        <v>#REF!</v>
      </c>
      <c r="H198" s="137" t="e">
        <f t="shared" si="31"/>
        <v>#REF!</v>
      </c>
      <c r="I198" s="137" t="e">
        <f>IF(VLOOKUP(A198,'Actual Dates'!A4:AE320,25,),'Actual Dates'!#REF!,"")</f>
        <v>#REF!</v>
      </c>
      <c r="J198" s="137" t="e">
        <f t="shared" si="32"/>
        <v>#REF!</v>
      </c>
      <c r="K198" s="137" t="e">
        <f>IF(VLOOKUP(A198,'Actual Dates'!A4:AE348,26,),'Actual Dates'!#REF!,"")</f>
        <v>#REF!</v>
      </c>
      <c r="L198" s="137" t="e">
        <f>IF(VLOOKUP(A198,'Actual Dates'!A4:AE348,21,),'Actual Dates'!#REF!,"")</f>
        <v>#REF!</v>
      </c>
      <c r="M198" s="137" t="e">
        <f>'Date Calcs'!#REF!</f>
        <v>#REF!</v>
      </c>
      <c r="N198" s="137" t="e">
        <f>IF(VLOOKUP(A198,'Actual Dates'!A4:AE348,27,),'Actual Dates'!#REF!,"")</f>
        <v>#REF!</v>
      </c>
      <c r="O198" s="138" t="e">
        <f t="shared" si="28"/>
        <v>#REF!</v>
      </c>
      <c r="P198" s="139" t="e">
        <f t="shared" si="33"/>
        <v>#REF!</v>
      </c>
      <c r="Q198" s="139" t="e">
        <f t="shared" si="34"/>
        <v>#REF!</v>
      </c>
      <c r="R198" s="170"/>
      <c r="S198" s="170"/>
      <c r="T198" s="142"/>
      <c r="U198" s="142"/>
      <c r="V198" s="142"/>
      <c r="W198" s="142"/>
      <c r="X198" s="142"/>
      <c r="Y198" s="142"/>
      <c r="Z198" s="142"/>
      <c r="AA198" s="142"/>
      <c r="AB198" s="142"/>
    </row>
    <row r="199" spans="1:28" x14ac:dyDescent="0.25">
      <c r="A199" s="134" t="e">
        <f>'Date Calcs'!#REF!</f>
        <v>#REF!</v>
      </c>
      <c r="B199" s="135" t="e">
        <f>'Date Calcs'!#REF!</f>
        <v>#REF!</v>
      </c>
      <c r="C199" s="136" t="e">
        <f>'Date Calcs'!#REF!</f>
        <v>#REF!</v>
      </c>
      <c r="D199" s="137" t="e">
        <f t="shared" si="30"/>
        <v>#REF!</v>
      </c>
      <c r="E199" s="143">
        <v>43984</v>
      </c>
      <c r="F199" s="137" t="e">
        <f>'Date Calcs'!#REF!</f>
        <v>#REF!</v>
      </c>
      <c r="G199" s="137" t="e">
        <f>IF(VLOOKUP(A199,'Actual Dates'!A4:AE326,8,),'Actual Dates'!#REF!,"")</f>
        <v>#REF!</v>
      </c>
      <c r="H199" s="137" t="e">
        <f t="shared" si="31"/>
        <v>#REF!</v>
      </c>
      <c r="I199" s="137" t="e">
        <f>IF(VLOOKUP(A199,'Actual Dates'!A4:AE321,25,),'Actual Dates'!#REF!,"")</f>
        <v>#REF!</v>
      </c>
      <c r="J199" s="137" t="e">
        <f t="shared" si="32"/>
        <v>#REF!</v>
      </c>
      <c r="K199" s="137" t="e">
        <f>IF(VLOOKUP(A199,'Actual Dates'!A4:AE349,26,),'Actual Dates'!#REF!,"")</f>
        <v>#REF!</v>
      </c>
      <c r="L199" s="137" t="e">
        <f>IF(VLOOKUP(A199,'Actual Dates'!A4:AE349,21,),'Actual Dates'!#REF!,"")</f>
        <v>#REF!</v>
      </c>
      <c r="M199" s="137" t="e">
        <f>'Date Calcs'!#REF!</f>
        <v>#REF!</v>
      </c>
      <c r="N199" s="137" t="e">
        <f>IF(VLOOKUP(A199,'Actual Dates'!A4:AE349,27,),'Actual Dates'!#REF!,"")</f>
        <v>#REF!</v>
      </c>
      <c r="O199" s="138" t="e">
        <f t="shared" si="28"/>
        <v>#REF!</v>
      </c>
      <c r="P199" s="139" t="e">
        <f t="shared" si="33"/>
        <v>#REF!</v>
      </c>
      <c r="Q199" s="139" t="e">
        <f t="shared" si="34"/>
        <v>#REF!</v>
      </c>
      <c r="R199" s="170"/>
      <c r="S199" s="170"/>
      <c r="T199" s="142"/>
      <c r="U199" s="142"/>
      <c r="V199" s="142"/>
      <c r="W199" s="142"/>
      <c r="X199" s="142"/>
      <c r="Y199" s="142"/>
      <c r="Z199" s="142"/>
      <c r="AA199" s="142"/>
      <c r="AB199" s="142"/>
    </row>
    <row r="200" spans="1:28" x14ac:dyDescent="0.25">
      <c r="A200" s="134" t="e">
        <f>'Date Calcs'!#REF!</f>
        <v>#REF!</v>
      </c>
      <c r="B200" s="135" t="e">
        <f>'Date Calcs'!#REF!</f>
        <v>#REF!</v>
      </c>
      <c r="C200" s="136" t="e">
        <f>'Date Calcs'!#REF!</f>
        <v>#REF!</v>
      </c>
      <c r="D200" s="137" t="e">
        <f t="shared" si="30"/>
        <v>#REF!</v>
      </c>
      <c r="E200" s="143">
        <v>43985</v>
      </c>
      <c r="F200" s="137" t="e">
        <f>'Date Calcs'!#REF!</f>
        <v>#REF!</v>
      </c>
      <c r="G200" s="137" t="e">
        <f>IF(VLOOKUP(A200,'Actual Dates'!A4:AE327,8,),'Actual Dates'!#REF!,"")</f>
        <v>#REF!</v>
      </c>
      <c r="H200" s="137" t="e">
        <f t="shared" si="31"/>
        <v>#REF!</v>
      </c>
      <c r="I200" s="137" t="e">
        <f>IF(VLOOKUP(A200,'Actual Dates'!A4:AE322,25,),'Actual Dates'!#REF!,"")</f>
        <v>#REF!</v>
      </c>
      <c r="J200" s="137" t="e">
        <f t="shared" si="32"/>
        <v>#REF!</v>
      </c>
      <c r="K200" s="137" t="e">
        <f>IF(VLOOKUP(A200,'Actual Dates'!A4:AE350,26,),'Actual Dates'!#REF!,"")</f>
        <v>#REF!</v>
      </c>
      <c r="L200" s="137" t="e">
        <f>IF(VLOOKUP(A200,'Actual Dates'!A4:AE350,21,),'Actual Dates'!#REF!,"")</f>
        <v>#REF!</v>
      </c>
      <c r="M200" s="137" t="e">
        <f>'Date Calcs'!#REF!</f>
        <v>#REF!</v>
      </c>
      <c r="N200" s="137" t="e">
        <f>IF(VLOOKUP(A200,'Actual Dates'!A4:AE350,27,),'Actual Dates'!#REF!,"")</f>
        <v>#REF!</v>
      </c>
      <c r="O200" s="138" t="e">
        <f t="shared" si="28"/>
        <v>#REF!</v>
      </c>
      <c r="P200" s="139" t="e">
        <f t="shared" si="33"/>
        <v>#REF!</v>
      </c>
      <c r="Q200" s="139" t="e">
        <f t="shared" si="34"/>
        <v>#REF!</v>
      </c>
      <c r="R200" s="170"/>
      <c r="S200" s="170"/>
      <c r="T200" s="142"/>
      <c r="U200" s="142"/>
      <c r="V200" s="142"/>
      <c r="W200" s="142"/>
      <c r="X200" s="142"/>
      <c r="Y200" s="142"/>
      <c r="Z200" s="142"/>
      <c r="AA200" s="142"/>
      <c r="AB200" s="142"/>
    </row>
    <row r="201" spans="1:28" x14ac:dyDescent="0.25">
      <c r="A201" s="134" t="e">
        <f>'Date Calcs'!#REF!</f>
        <v>#REF!</v>
      </c>
      <c r="B201" s="135" t="e">
        <f>'Date Calcs'!#REF!</f>
        <v>#REF!</v>
      </c>
      <c r="C201" s="136" t="e">
        <f>'Date Calcs'!#REF!</f>
        <v>#REF!</v>
      </c>
      <c r="D201" s="137" t="e">
        <f t="shared" si="30"/>
        <v>#REF!</v>
      </c>
      <c r="E201" s="143">
        <v>43986</v>
      </c>
      <c r="F201" s="137" t="e">
        <f>'Date Calcs'!#REF!</f>
        <v>#REF!</v>
      </c>
      <c r="G201" s="137" t="e">
        <f>IF(VLOOKUP(A201,'Actual Dates'!A4:AE328,8,),'Actual Dates'!#REF!,"")</f>
        <v>#REF!</v>
      </c>
      <c r="H201" s="137" t="e">
        <f t="shared" si="31"/>
        <v>#REF!</v>
      </c>
      <c r="I201" s="137" t="e">
        <f>IF(VLOOKUP(A201,'Actual Dates'!A4:AE323,25,),'Actual Dates'!#REF!,"")</f>
        <v>#REF!</v>
      </c>
      <c r="J201" s="137" t="e">
        <f t="shared" si="32"/>
        <v>#REF!</v>
      </c>
      <c r="K201" s="137" t="e">
        <f>IF(VLOOKUP(A201,'Actual Dates'!A4:AE351,26,),'Actual Dates'!#REF!,"")</f>
        <v>#REF!</v>
      </c>
      <c r="L201" s="137" t="e">
        <f>IF(VLOOKUP(A201,'Actual Dates'!A4:AE351,21,),'Actual Dates'!#REF!,"")</f>
        <v>#REF!</v>
      </c>
      <c r="M201" s="137" t="e">
        <f>'Date Calcs'!#REF!</f>
        <v>#REF!</v>
      </c>
      <c r="N201" s="137" t="e">
        <f>IF(VLOOKUP(A201,'Actual Dates'!A4:AE351,27,),'Actual Dates'!#REF!,"")</f>
        <v>#REF!</v>
      </c>
      <c r="O201" s="138" t="e">
        <f t="shared" si="28"/>
        <v>#REF!</v>
      </c>
      <c r="P201" s="139" t="e">
        <f t="shared" si="33"/>
        <v>#REF!</v>
      </c>
      <c r="Q201" s="139" t="e">
        <f t="shared" si="34"/>
        <v>#REF!</v>
      </c>
      <c r="R201" s="170"/>
      <c r="S201" s="170"/>
      <c r="T201" s="142"/>
      <c r="U201" s="142"/>
      <c r="V201" s="142"/>
      <c r="W201" s="142"/>
      <c r="X201" s="142"/>
      <c r="Y201" s="142"/>
      <c r="Z201" s="142"/>
      <c r="AA201" s="142"/>
      <c r="AB201" s="142"/>
    </row>
    <row r="202" spans="1:28" x14ac:dyDescent="0.25">
      <c r="A202" s="134" t="e">
        <f>'Date Calcs'!#REF!</f>
        <v>#REF!</v>
      </c>
      <c r="B202" s="135" t="e">
        <f>'Date Calcs'!#REF!</f>
        <v>#REF!</v>
      </c>
      <c r="C202" s="136" t="e">
        <f>'Date Calcs'!#REF!</f>
        <v>#REF!</v>
      </c>
      <c r="D202" s="137" t="e">
        <f t="shared" si="30"/>
        <v>#REF!</v>
      </c>
      <c r="E202" s="143">
        <v>43987</v>
      </c>
      <c r="F202" s="137" t="e">
        <f>'Date Calcs'!#REF!</f>
        <v>#REF!</v>
      </c>
      <c r="G202" s="137" t="e">
        <f>IF(VLOOKUP(A202,'Actual Dates'!A4:AE329,8,),'Actual Dates'!#REF!,"")</f>
        <v>#REF!</v>
      </c>
      <c r="H202" s="137" t="e">
        <f t="shared" si="31"/>
        <v>#REF!</v>
      </c>
      <c r="I202" s="137" t="e">
        <f>IF(VLOOKUP(A202,'Actual Dates'!A4:AE324,25,),'Actual Dates'!#REF!,"")</f>
        <v>#REF!</v>
      </c>
      <c r="J202" s="137" t="e">
        <f t="shared" si="32"/>
        <v>#REF!</v>
      </c>
      <c r="K202" s="137" t="e">
        <f>IF(VLOOKUP(A202,'Actual Dates'!A4:AE352,26,),'Actual Dates'!#REF!,"")</f>
        <v>#REF!</v>
      </c>
      <c r="L202" s="137" t="e">
        <f>IF(VLOOKUP(A202,'Actual Dates'!A4:AE352,21,),'Actual Dates'!#REF!,"")</f>
        <v>#REF!</v>
      </c>
      <c r="M202" s="137" t="e">
        <f>'Date Calcs'!#REF!</f>
        <v>#REF!</v>
      </c>
      <c r="N202" s="137" t="e">
        <f>IF(VLOOKUP(A202,'Actual Dates'!A4:AE352,27,),'Actual Dates'!#REF!,"")</f>
        <v>#REF!</v>
      </c>
      <c r="O202" s="138" t="e">
        <f t="shared" si="28"/>
        <v>#REF!</v>
      </c>
      <c r="P202" s="139" t="e">
        <f t="shared" si="33"/>
        <v>#REF!</v>
      </c>
      <c r="Q202" s="139" t="e">
        <f t="shared" si="34"/>
        <v>#REF!</v>
      </c>
      <c r="R202" s="170"/>
      <c r="S202" s="170"/>
      <c r="T202" s="142"/>
      <c r="U202" s="142"/>
      <c r="V202" s="142"/>
      <c r="W202" s="142"/>
      <c r="X202" s="142"/>
      <c r="Y202" s="142"/>
      <c r="Z202" s="142"/>
      <c r="AA202" s="142"/>
      <c r="AB202" s="142"/>
    </row>
    <row r="203" spans="1:28" x14ac:dyDescent="0.25">
      <c r="A203" s="134" t="e">
        <f>'Date Calcs'!#REF!</f>
        <v>#REF!</v>
      </c>
      <c r="B203" s="135" t="e">
        <f>'Date Calcs'!#REF!</f>
        <v>#REF!</v>
      </c>
      <c r="C203" s="136" t="e">
        <f>'Date Calcs'!#REF!</f>
        <v>#REF!</v>
      </c>
      <c r="D203" s="137" t="e">
        <f t="shared" si="30"/>
        <v>#REF!</v>
      </c>
      <c r="E203" s="143">
        <v>43988</v>
      </c>
      <c r="F203" s="137" t="e">
        <f>'Date Calcs'!#REF!</f>
        <v>#REF!</v>
      </c>
      <c r="G203" s="137" t="e">
        <f>IF(VLOOKUP(A203,'Actual Dates'!A4:AE330,8,),'Actual Dates'!#REF!,"")</f>
        <v>#REF!</v>
      </c>
      <c r="H203" s="137" t="e">
        <f t="shared" si="31"/>
        <v>#REF!</v>
      </c>
      <c r="I203" s="137" t="e">
        <f>IF(VLOOKUP(A203,'Actual Dates'!A4:AE325,25,),'Actual Dates'!#REF!,"")</f>
        <v>#REF!</v>
      </c>
      <c r="J203" s="137" t="e">
        <f t="shared" si="32"/>
        <v>#REF!</v>
      </c>
      <c r="K203" s="137" t="e">
        <f>IF(VLOOKUP(A203,'Actual Dates'!A4:AE353,26,),'Actual Dates'!#REF!,"")</f>
        <v>#REF!</v>
      </c>
      <c r="L203" s="137" t="e">
        <f>IF(VLOOKUP(A203,'Actual Dates'!A4:AE353,21,),'Actual Dates'!#REF!,"")</f>
        <v>#REF!</v>
      </c>
      <c r="M203" s="137" t="e">
        <f>'Date Calcs'!#REF!</f>
        <v>#REF!</v>
      </c>
      <c r="N203" s="137" t="e">
        <f>IF(VLOOKUP(A203,'Actual Dates'!A4:AE353,27,),'Actual Dates'!#REF!,"")</f>
        <v>#REF!</v>
      </c>
      <c r="O203" s="138" t="e">
        <f t="shared" ref="O203:O266" si="35">N203-C203</f>
        <v>#REF!</v>
      </c>
      <c r="P203" s="139" t="e">
        <f t="shared" si="33"/>
        <v>#REF!</v>
      </c>
      <c r="Q203" s="139" t="e">
        <f t="shared" si="34"/>
        <v>#REF!</v>
      </c>
      <c r="R203" s="170"/>
      <c r="S203" s="170"/>
      <c r="T203" s="142"/>
      <c r="U203" s="142"/>
      <c r="V203" s="142"/>
      <c r="W203" s="142"/>
      <c r="X203" s="142"/>
      <c r="Y203" s="142"/>
      <c r="Z203" s="142"/>
      <c r="AA203" s="142"/>
      <c r="AB203" s="142"/>
    </row>
    <row r="204" spans="1:28" x14ac:dyDescent="0.25">
      <c r="A204" s="134" t="e">
        <f>'Date Calcs'!#REF!</f>
        <v>#REF!</v>
      </c>
      <c r="B204" s="135" t="e">
        <f>'Date Calcs'!#REF!</f>
        <v>#REF!</v>
      </c>
      <c r="C204" s="136" t="e">
        <f>'Date Calcs'!#REF!</f>
        <v>#REF!</v>
      </c>
      <c r="D204" s="137" t="e">
        <f t="shared" si="30"/>
        <v>#REF!</v>
      </c>
      <c r="E204" s="143">
        <v>43989</v>
      </c>
      <c r="F204" s="137" t="e">
        <f>'Date Calcs'!#REF!</f>
        <v>#REF!</v>
      </c>
      <c r="G204" s="137" t="e">
        <f>IF(VLOOKUP(A204,'Actual Dates'!A4:AE331,8,),'Actual Dates'!#REF!,"")</f>
        <v>#REF!</v>
      </c>
      <c r="H204" s="137" t="e">
        <f t="shared" si="31"/>
        <v>#REF!</v>
      </c>
      <c r="I204" s="137" t="e">
        <f>IF(VLOOKUP(A204,'Actual Dates'!A4:AE326,25,),'Actual Dates'!#REF!,"")</f>
        <v>#REF!</v>
      </c>
      <c r="J204" s="137" t="e">
        <f t="shared" si="32"/>
        <v>#REF!</v>
      </c>
      <c r="K204" s="137" t="e">
        <f>IF(VLOOKUP(A204,'Actual Dates'!A4:AE354,26,),'Actual Dates'!#REF!,"")</f>
        <v>#REF!</v>
      </c>
      <c r="L204" s="137" t="e">
        <f>IF(VLOOKUP(A204,'Actual Dates'!A4:AE354,21,),'Actual Dates'!#REF!,"")</f>
        <v>#REF!</v>
      </c>
      <c r="M204" s="137" t="e">
        <f>'Date Calcs'!#REF!</f>
        <v>#REF!</v>
      </c>
      <c r="N204" s="137" t="e">
        <f>IF(VLOOKUP(A204,'Actual Dates'!A4:AE354,27,),'Actual Dates'!#REF!,"")</f>
        <v>#REF!</v>
      </c>
      <c r="O204" s="138" t="e">
        <f t="shared" si="35"/>
        <v>#REF!</v>
      </c>
      <c r="P204" s="139" t="e">
        <f t="shared" si="33"/>
        <v>#REF!</v>
      </c>
      <c r="Q204" s="139" t="e">
        <f t="shared" si="34"/>
        <v>#REF!</v>
      </c>
      <c r="R204" s="170"/>
      <c r="S204" s="170"/>
      <c r="T204" s="142"/>
      <c r="U204" s="142"/>
      <c r="V204" s="142"/>
      <c r="W204" s="142"/>
      <c r="X204" s="142"/>
      <c r="Y204" s="142"/>
      <c r="Z204" s="142"/>
      <c r="AA204" s="142"/>
      <c r="AB204" s="142"/>
    </row>
    <row r="205" spans="1:28" x14ac:dyDescent="0.25">
      <c r="A205" s="134" t="e">
        <f>'Date Calcs'!#REF!</f>
        <v>#REF!</v>
      </c>
      <c r="B205" s="135" t="e">
        <f>'Date Calcs'!#REF!</f>
        <v>#REF!</v>
      </c>
      <c r="C205" s="136" t="e">
        <f>'Date Calcs'!#REF!</f>
        <v>#REF!</v>
      </c>
      <c r="D205" s="137" t="e">
        <f t="shared" si="30"/>
        <v>#REF!</v>
      </c>
      <c r="E205" s="143">
        <v>43990</v>
      </c>
      <c r="F205" s="137" t="e">
        <f>'Date Calcs'!#REF!</f>
        <v>#REF!</v>
      </c>
      <c r="G205" s="137" t="e">
        <f>IF(VLOOKUP(A205,'Actual Dates'!A4:AE332,8,),'Actual Dates'!#REF!,"")</f>
        <v>#REF!</v>
      </c>
      <c r="H205" s="137" t="e">
        <f t="shared" si="31"/>
        <v>#REF!</v>
      </c>
      <c r="I205" s="137" t="e">
        <f>IF(VLOOKUP(A205,'Actual Dates'!A4:AE327,25,),'Actual Dates'!#REF!,"")</f>
        <v>#REF!</v>
      </c>
      <c r="J205" s="137" t="e">
        <f t="shared" si="32"/>
        <v>#REF!</v>
      </c>
      <c r="K205" s="137" t="e">
        <f>IF(VLOOKUP(A205,'Actual Dates'!A4:AE355,26,),'Actual Dates'!#REF!,"")</f>
        <v>#REF!</v>
      </c>
      <c r="L205" s="137" t="e">
        <f>IF(VLOOKUP(A205,'Actual Dates'!A4:AE355,21,),'Actual Dates'!#REF!,"")</f>
        <v>#REF!</v>
      </c>
      <c r="M205" s="137" t="e">
        <f>'Date Calcs'!#REF!</f>
        <v>#REF!</v>
      </c>
      <c r="N205" s="137" t="e">
        <f>IF(VLOOKUP(A205,'Actual Dates'!A4:AE355,27,),'Actual Dates'!#REF!,"")</f>
        <v>#REF!</v>
      </c>
      <c r="O205" s="138" t="e">
        <f t="shared" si="35"/>
        <v>#REF!</v>
      </c>
      <c r="P205" s="139" t="e">
        <f t="shared" si="33"/>
        <v>#REF!</v>
      </c>
      <c r="Q205" s="139" t="e">
        <f t="shared" si="34"/>
        <v>#REF!</v>
      </c>
      <c r="R205" s="170"/>
      <c r="S205" s="170"/>
      <c r="T205" s="142"/>
      <c r="U205" s="142"/>
      <c r="V205" s="142"/>
      <c r="W205" s="142"/>
      <c r="X205" s="142"/>
      <c r="Y205" s="142"/>
      <c r="Z205" s="142"/>
      <c r="AA205" s="142"/>
      <c r="AB205" s="142"/>
    </row>
    <row r="206" spans="1:28" x14ac:dyDescent="0.25">
      <c r="A206" s="134" t="e">
        <f>'Date Calcs'!#REF!</f>
        <v>#REF!</v>
      </c>
      <c r="B206" s="135" t="e">
        <f>'Date Calcs'!#REF!</f>
        <v>#REF!</v>
      </c>
      <c r="C206" s="136" t="e">
        <f>'Date Calcs'!#REF!</f>
        <v>#REF!</v>
      </c>
      <c r="D206" s="137" t="e">
        <f t="shared" si="30"/>
        <v>#REF!</v>
      </c>
      <c r="E206" s="143">
        <v>43991</v>
      </c>
      <c r="F206" s="137" t="e">
        <f>'Date Calcs'!#REF!</f>
        <v>#REF!</v>
      </c>
      <c r="G206" s="137" t="e">
        <f>IF(VLOOKUP(A206,'Actual Dates'!A4:AE333,8,),'Actual Dates'!#REF!,"")</f>
        <v>#REF!</v>
      </c>
      <c r="H206" s="137" t="e">
        <f t="shared" si="31"/>
        <v>#REF!</v>
      </c>
      <c r="I206" s="137" t="e">
        <f>IF(VLOOKUP(A206,'Actual Dates'!A4:AE328,25,),'Actual Dates'!#REF!,"")</f>
        <v>#REF!</v>
      </c>
      <c r="J206" s="137" t="e">
        <f t="shared" si="32"/>
        <v>#REF!</v>
      </c>
      <c r="K206" s="137" t="e">
        <f>IF(VLOOKUP(A206,'Actual Dates'!A4:AE356,26,),'Actual Dates'!#REF!,"")</f>
        <v>#REF!</v>
      </c>
      <c r="L206" s="137" t="e">
        <f>IF(VLOOKUP(A206,'Actual Dates'!A4:AE356,21,),'Actual Dates'!#REF!,"")</f>
        <v>#REF!</v>
      </c>
      <c r="M206" s="137" t="e">
        <f>'Date Calcs'!#REF!</f>
        <v>#REF!</v>
      </c>
      <c r="N206" s="137" t="e">
        <f>IF(VLOOKUP(A206,'Actual Dates'!A4:AE356,27,),'Actual Dates'!#REF!,"")</f>
        <v>#REF!</v>
      </c>
      <c r="O206" s="138" t="e">
        <f t="shared" si="35"/>
        <v>#REF!</v>
      </c>
      <c r="P206" s="139" t="e">
        <f t="shared" si="33"/>
        <v>#REF!</v>
      </c>
      <c r="Q206" s="139" t="e">
        <f t="shared" si="34"/>
        <v>#REF!</v>
      </c>
      <c r="R206" s="170"/>
      <c r="S206" s="170"/>
      <c r="T206" s="142"/>
      <c r="U206" s="142"/>
      <c r="V206" s="142"/>
      <c r="W206" s="142"/>
      <c r="X206" s="142"/>
      <c r="Y206" s="142"/>
      <c r="Z206" s="142"/>
      <c r="AA206" s="142"/>
      <c r="AB206" s="142"/>
    </row>
    <row r="207" spans="1:28" x14ac:dyDescent="0.25">
      <c r="A207" s="134" t="e">
        <f>'Date Calcs'!#REF!</f>
        <v>#REF!</v>
      </c>
      <c r="B207" s="135" t="e">
        <f>'Date Calcs'!#REF!</f>
        <v>#REF!</v>
      </c>
      <c r="C207" s="136" t="e">
        <f>'Date Calcs'!#REF!</f>
        <v>#REF!</v>
      </c>
      <c r="D207" s="137" t="e">
        <f t="shared" si="30"/>
        <v>#REF!</v>
      </c>
      <c r="E207" s="143">
        <v>43992</v>
      </c>
      <c r="F207" s="137" t="e">
        <f>'Date Calcs'!#REF!</f>
        <v>#REF!</v>
      </c>
      <c r="G207" s="137" t="e">
        <f>IF(VLOOKUP(A207,'Actual Dates'!A4:AE334,8,),'Actual Dates'!#REF!,"")</f>
        <v>#REF!</v>
      </c>
      <c r="H207" s="137" t="e">
        <f t="shared" si="31"/>
        <v>#REF!</v>
      </c>
      <c r="I207" s="137" t="e">
        <f>IF(VLOOKUP(A207,'Actual Dates'!A4:AE329,25,),'Actual Dates'!#REF!,"")</f>
        <v>#REF!</v>
      </c>
      <c r="J207" s="137" t="e">
        <f t="shared" si="32"/>
        <v>#REF!</v>
      </c>
      <c r="K207" s="137" t="e">
        <f>IF(VLOOKUP(A207,'Actual Dates'!A4:AE357,26,),'Actual Dates'!#REF!,"")</f>
        <v>#REF!</v>
      </c>
      <c r="L207" s="137" t="e">
        <f>IF(VLOOKUP(A207,'Actual Dates'!A4:AE357,21,),'Actual Dates'!#REF!,"")</f>
        <v>#REF!</v>
      </c>
      <c r="M207" s="137" t="e">
        <f>'Date Calcs'!#REF!</f>
        <v>#REF!</v>
      </c>
      <c r="N207" s="137" t="e">
        <f>IF(VLOOKUP(A207,'Actual Dates'!A4:AE357,27,),'Actual Dates'!#REF!,"")</f>
        <v>#REF!</v>
      </c>
      <c r="O207" s="138" t="e">
        <f t="shared" si="35"/>
        <v>#REF!</v>
      </c>
      <c r="P207" s="139" t="e">
        <f t="shared" si="33"/>
        <v>#REF!</v>
      </c>
      <c r="Q207" s="139" t="e">
        <f t="shared" si="34"/>
        <v>#REF!</v>
      </c>
      <c r="R207" s="170"/>
      <c r="S207" s="170"/>
      <c r="T207" s="142"/>
      <c r="U207" s="142"/>
      <c r="V207" s="142"/>
      <c r="W207" s="142"/>
      <c r="X207" s="142"/>
      <c r="Y207" s="142"/>
      <c r="Z207" s="142"/>
      <c r="AA207" s="142"/>
      <c r="AB207" s="142"/>
    </row>
    <row r="208" spans="1:28" x14ac:dyDescent="0.25">
      <c r="A208" s="134" t="e">
        <f>'Date Calcs'!#REF!</f>
        <v>#REF!</v>
      </c>
      <c r="B208" s="135" t="e">
        <f>'Date Calcs'!#REF!</f>
        <v>#REF!</v>
      </c>
      <c r="C208" s="136" t="e">
        <f>'Date Calcs'!#REF!</f>
        <v>#REF!</v>
      </c>
      <c r="D208" s="137" t="e">
        <f t="shared" si="30"/>
        <v>#REF!</v>
      </c>
      <c r="E208" s="143">
        <v>43993</v>
      </c>
      <c r="F208" s="137" t="e">
        <f>'Date Calcs'!#REF!</f>
        <v>#REF!</v>
      </c>
      <c r="G208" s="137" t="e">
        <f>IF(VLOOKUP(A208,'Actual Dates'!A4:AE335,8,),'Actual Dates'!#REF!,"")</f>
        <v>#REF!</v>
      </c>
      <c r="H208" s="137" t="e">
        <f t="shared" si="31"/>
        <v>#REF!</v>
      </c>
      <c r="I208" s="137" t="e">
        <f>IF(VLOOKUP(A208,'Actual Dates'!A4:AE330,25,),'Actual Dates'!#REF!,"")</f>
        <v>#REF!</v>
      </c>
      <c r="J208" s="137" t="e">
        <f t="shared" si="32"/>
        <v>#REF!</v>
      </c>
      <c r="K208" s="137" t="e">
        <f>IF(VLOOKUP(A208,'Actual Dates'!A4:AE358,26,),'Actual Dates'!#REF!,"")</f>
        <v>#REF!</v>
      </c>
      <c r="L208" s="137" t="e">
        <f>IF(VLOOKUP(A208,'Actual Dates'!A4:AE358,21,),'Actual Dates'!#REF!,"")</f>
        <v>#REF!</v>
      </c>
      <c r="M208" s="137" t="e">
        <f>'Date Calcs'!#REF!</f>
        <v>#REF!</v>
      </c>
      <c r="N208" s="137" t="e">
        <f>IF(VLOOKUP(A208,'Actual Dates'!A4:AE358,27,),'Actual Dates'!#REF!,"")</f>
        <v>#REF!</v>
      </c>
      <c r="O208" s="138" t="e">
        <f t="shared" si="35"/>
        <v>#REF!</v>
      </c>
      <c r="P208" s="139" t="e">
        <f t="shared" si="33"/>
        <v>#REF!</v>
      </c>
      <c r="Q208" s="139" t="e">
        <f t="shared" si="34"/>
        <v>#REF!</v>
      </c>
      <c r="R208" s="170"/>
      <c r="S208" s="170"/>
      <c r="T208" s="142"/>
      <c r="U208" s="142"/>
      <c r="V208" s="142"/>
      <c r="W208" s="142"/>
      <c r="X208" s="142"/>
      <c r="Y208" s="142"/>
      <c r="Z208" s="142"/>
      <c r="AA208" s="142"/>
      <c r="AB208" s="142"/>
    </row>
    <row r="209" spans="1:28" x14ac:dyDescent="0.25">
      <c r="A209" s="134" t="e">
        <f>'Date Calcs'!#REF!</f>
        <v>#REF!</v>
      </c>
      <c r="B209" s="135" t="e">
        <f>'Date Calcs'!#REF!</f>
        <v>#REF!</v>
      </c>
      <c r="C209" s="136" t="e">
        <f>'Date Calcs'!#REF!</f>
        <v>#REF!</v>
      </c>
      <c r="D209" s="137" t="e">
        <f t="shared" si="30"/>
        <v>#REF!</v>
      </c>
      <c r="E209" s="143">
        <v>43994</v>
      </c>
      <c r="F209" s="137" t="e">
        <f>'Date Calcs'!#REF!</f>
        <v>#REF!</v>
      </c>
      <c r="G209" s="137" t="e">
        <f>IF(VLOOKUP(A209,'Actual Dates'!A4:AE336,8,),'Actual Dates'!#REF!,"")</f>
        <v>#REF!</v>
      </c>
      <c r="H209" s="137" t="e">
        <f t="shared" si="31"/>
        <v>#REF!</v>
      </c>
      <c r="I209" s="137" t="e">
        <f>IF(VLOOKUP(A209,'Actual Dates'!A4:AE331,25,),'Actual Dates'!#REF!,"")</f>
        <v>#REF!</v>
      </c>
      <c r="J209" s="137" t="e">
        <f t="shared" si="32"/>
        <v>#REF!</v>
      </c>
      <c r="K209" s="137" t="e">
        <f>IF(VLOOKUP(A209,'Actual Dates'!A4:AE359,26,),'Actual Dates'!#REF!,"")</f>
        <v>#REF!</v>
      </c>
      <c r="L209" s="137" t="e">
        <f>IF(VLOOKUP(A209,'Actual Dates'!A4:AE359,21,),'Actual Dates'!#REF!,"")</f>
        <v>#REF!</v>
      </c>
      <c r="M209" s="137" t="e">
        <f>'Date Calcs'!#REF!</f>
        <v>#REF!</v>
      </c>
      <c r="N209" s="137" t="e">
        <f>IF(VLOOKUP(A209,'Actual Dates'!A4:AE359,27,),'Actual Dates'!#REF!,"")</f>
        <v>#REF!</v>
      </c>
      <c r="O209" s="138" t="e">
        <f t="shared" si="35"/>
        <v>#REF!</v>
      </c>
      <c r="P209" s="139" t="e">
        <f t="shared" si="33"/>
        <v>#REF!</v>
      </c>
      <c r="Q209" s="139" t="e">
        <f t="shared" si="34"/>
        <v>#REF!</v>
      </c>
      <c r="R209" s="170"/>
      <c r="S209" s="170"/>
      <c r="T209" s="142"/>
      <c r="U209" s="142"/>
      <c r="V209" s="142"/>
      <c r="W209" s="142"/>
      <c r="X209" s="142"/>
      <c r="Y209" s="142"/>
      <c r="Z209" s="142"/>
      <c r="AA209" s="142"/>
      <c r="AB209" s="142"/>
    </row>
    <row r="210" spans="1:28" x14ac:dyDescent="0.25">
      <c r="A210" s="134" t="e">
        <f>'Date Calcs'!#REF!</f>
        <v>#REF!</v>
      </c>
      <c r="B210" s="135" t="e">
        <f>'Date Calcs'!#REF!</f>
        <v>#REF!</v>
      </c>
      <c r="C210" s="136" t="e">
        <f>'Date Calcs'!#REF!</f>
        <v>#REF!</v>
      </c>
      <c r="D210" s="137" t="e">
        <f t="shared" si="30"/>
        <v>#REF!</v>
      </c>
      <c r="E210" s="143">
        <v>43995</v>
      </c>
      <c r="F210" s="137" t="e">
        <f>'Date Calcs'!#REF!</f>
        <v>#REF!</v>
      </c>
      <c r="G210" s="137" t="e">
        <f>IF(VLOOKUP(A210,'Actual Dates'!A4:AE337,8,),'Actual Dates'!#REF!,"")</f>
        <v>#REF!</v>
      </c>
      <c r="H210" s="137" t="e">
        <f t="shared" si="31"/>
        <v>#REF!</v>
      </c>
      <c r="I210" s="137" t="e">
        <f>IF(VLOOKUP(A210,'Actual Dates'!A4:AE332,25,),'Actual Dates'!#REF!,"")</f>
        <v>#REF!</v>
      </c>
      <c r="J210" s="137" t="e">
        <f t="shared" si="32"/>
        <v>#REF!</v>
      </c>
      <c r="K210" s="137" t="e">
        <f>IF(VLOOKUP(A210,'Actual Dates'!A4:AE360,26,),'Actual Dates'!#REF!,"")</f>
        <v>#REF!</v>
      </c>
      <c r="L210" s="137" t="e">
        <f>IF(VLOOKUP(A210,'Actual Dates'!A4:AE360,21,),'Actual Dates'!#REF!,"")</f>
        <v>#REF!</v>
      </c>
      <c r="M210" s="137" t="e">
        <f>'Date Calcs'!#REF!</f>
        <v>#REF!</v>
      </c>
      <c r="N210" s="137" t="e">
        <f>IF(VLOOKUP(A210,'Actual Dates'!A4:AE360,27,),'Actual Dates'!#REF!,"")</f>
        <v>#REF!</v>
      </c>
      <c r="O210" s="138" t="e">
        <f t="shared" si="35"/>
        <v>#REF!</v>
      </c>
      <c r="P210" s="139" t="e">
        <f t="shared" si="33"/>
        <v>#REF!</v>
      </c>
      <c r="Q210" s="139" t="e">
        <f t="shared" si="34"/>
        <v>#REF!</v>
      </c>
      <c r="R210" s="170"/>
      <c r="S210" s="170"/>
      <c r="T210" s="142"/>
      <c r="U210" s="142"/>
      <c r="V210" s="142"/>
      <c r="W210" s="142"/>
      <c r="X210" s="142"/>
      <c r="Y210" s="142"/>
      <c r="Z210" s="142"/>
      <c r="AA210" s="142"/>
      <c r="AB210" s="142"/>
    </row>
    <row r="211" spans="1:28" x14ac:dyDescent="0.25">
      <c r="A211" s="134" t="e">
        <f>'Date Calcs'!#REF!</f>
        <v>#REF!</v>
      </c>
      <c r="B211" s="135" t="e">
        <f>'Date Calcs'!#REF!</f>
        <v>#REF!</v>
      </c>
      <c r="C211" s="136" t="e">
        <f>'Date Calcs'!#REF!</f>
        <v>#REF!</v>
      </c>
      <c r="D211" s="137" t="e">
        <f t="shared" si="30"/>
        <v>#REF!</v>
      </c>
      <c r="E211" s="143">
        <v>43996</v>
      </c>
      <c r="F211" s="137" t="e">
        <f>'Date Calcs'!#REF!</f>
        <v>#REF!</v>
      </c>
      <c r="G211" s="137" t="e">
        <f>IF(VLOOKUP(A211,'Actual Dates'!A4:AE338,8,),'Actual Dates'!#REF!,"")</f>
        <v>#REF!</v>
      </c>
      <c r="H211" s="137" t="e">
        <f t="shared" si="31"/>
        <v>#REF!</v>
      </c>
      <c r="I211" s="137" t="e">
        <f>IF(VLOOKUP(A211,'Actual Dates'!A4:AE333,25,),'Actual Dates'!#REF!,"")</f>
        <v>#REF!</v>
      </c>
      <c r="J211" s="137" t="e">
        <f t="shared" si="32"/>
        <v>#REF!</v>
      </c>
      <c r="K211" s="137" t="e">
        <f>IF(VLOOKUP(A211,'Actual Dates'!A4:AE361,26,),'Actual Dates'!#REF!,"")</f>
        <v>#REF!</v>
      </c>
      <c r="L211" s="137" t="e">
        <f>IF(VLOOKUP(A211,'Actual Dates'!A4:AE361,21,),'Actual Dates'!#REF!,"")</f>
        <v>#REF!</v>
      </c>
      <c r="M211" s="137" t="e">
        <f>'Date Calcs'!#REF!</f>
        <v>#REF!</v>
      </c>
      <c r="N211" s="137" t="e">
        <f>IF(VLOOKUP(A211,'Actual Dates'!A4:AE361,27,),'Actual Dates'!#REF!,"")</f>
        <v>#REF!</v>
      </c>
      <c r="O211" s="138" t="e">
        <f t="shared" si="35"/>
        <v>#REF!</v>
      </c>
      <c r="P211" s="139" t="e">
        <f t="shared" si="33"/>
        <v>#REF!</v>
      </c>
      <c r="Q211" s="139" t="e">
        <f t="shared" si="34"/>
        <v>#REF!</v>
      </c>
      <c r="R211" s="170"/>
      <c r="S211" s="170"/>
      <c r="T211" s="142"/>
      <c r="U211" s="142"/>
      <c r="V211" s="142"/>
      <c r="W211" s="142"/>
      <c r="X211" s="142"/>
      <c r="Y211" s="142"/>
      <c r="Z211" s="142"/>
      <c r="AA211" s="142"/>
      <c r="AB211" s="142"/>
    </row>
    <row r="212" spans="1:28" x14ac:dyDescent="0.25">
      <c r="A212" s="134" t="e">
        <f>'Date Calcs'!#REF!</f>
        <v>#REF!</v>
      </c>
      <c r="B212" s="135" t="e">
        <f>'Date Calcs'!#REF!</f>
        <v>#REF!</v>
      </c>
      <c r="C212" s="136" t="e">
        <f>'Date Calcs'!#REF!</f>
        <v>#REF!</v>
      </c>
      <c r="D212" s="137" t="e">
        <f t="shared" si="30"/>
        <v>#REF!</v>
      </c>
      <c r="E212" s="143">
        <v>43997</v>
      </c>
      <c r="F212" s="137" t="e">
        <f>'Date Calcs'!#REF!</f>
        <v>#REF!</v>
      </c>
      <c r="G212" s="137" t="e">
        <f>IF(VLOOKUP(A212,'Actual Dates'!A4:AE339,8,),'Actual Dates'!#REF!,"")</f>
        <v>#REF!</v>
      </c>
      <c r="H212" s="137" t="e">
        <f t="shared" si="31"/>
        <v>#REF!</v>
      </c>
      <c r="I212" s="137" t="e">
        <f>IF(VLOOKUP(A212,'Actual Dates'!A4:AE334,25,),'Actual Dates'!#REF!,"")</f>
        <v>#REF!</v>
      </c>
      <c r="J212" s="137" t="e">
        <f t="shared" si="32"/>
        <v>#REF!</v>
      </c>
      <c r="K212" s="137" t="e">
        <f>IF(VLOOKUP(A212,'Actual Dates'!A4:AE362,26,),'Actual Dates'!#REF!,"")</f>
        <v>#REF!</v>
      </c>
      <c r="L212" s="137" t="e">
        <f>IF(VLOOKUP(A212,'Actual Dates'!A4:AE362,21,),'Actual Dates'!#REF!,"")</f>
        <v>#REF!</v>
      </c>
      <c r="M212" s="137" t="e">
        <f>'Date Calcs'!#REF!</f>
        <v>#REF!</v>
      </c>
      <c r="N212" s="137" t="e">
        <f>IF(VLOOKUP(A212,'Actual Dates'!A4:AE362,27,),'Actual Dates'!#REF!,"")</f>
        <v>#REF!</v>
      </c>
      <c r="O212" s="138" t="e">
        <f t="shared" si="35"/>
        <v>#REF!</v>
      </c>
      <c r="P212" s="139" t="e">
        <f t="shared" si="33"/>
        <v>#REF!</v>
      </c>
      <c r="Q212" s="139" t="e">
        <f t="shared" si="34"/>
        <v>#REF!</v>
      </c>
      <c r="R212" s="170"/>
      <c r="S212" s="170"/>
      <c r="T212" s="142"/>
      <c r="U212" s="142"/>
      <c r="V212" s="142"/>
      <c r="W212" s="142"/>
      <c r="X212" s="142"/>
      <c r="Y212" s="142"/>
      <c r="Z212" s="142"/>
      <c r="AA212" s="142"/>
      <c r="AB212" s="142"/>
    </row>
    <row r="213" spans="1:28" x14ac:dyDescent="0.25">
      <c r="A213" s="134" t="e">
        <f>'Date Calcs'!#REF!</f>
        <v>#REF!</v>
      </c>
      <c r="B213" s="135" t="e">
        <f>'Date Calcs'!#REF!</f>
        <v>#REF!</v>
      </c>
      <c r="C213" s="136" t="e">
        <f>'Date Calcs'!#REF!</f>
        <v>#REF!</v>
      </c>
      <c r="D213" s="137" t="e">
        <f t="shared" si="30"/>
        <v>#REF!</v>
      </c>
      <c r="E213" s="143">
        <v>43998</v>
      </c>
      <c r="F213" s="137" t="e">
        <f>'Date Calcs'!#REF!</f>
        <v>#REF!</v>
      </c>
      <c r="G213" s="137" t="e">
        <f>IF(VLOOKUP(A213,'Actual Dates'!A4:AE340,8,),'Actual Dates'!#REF!,"")</f>
        <v>#REF!</v>
      </c>
      <c r="H213" s="137" t="e">
        <f t="shared" si="31"/>
        <v>#REF!</v>
      </c>
      <c r="I213" s="137" t="e">
        <f>IF(VLOOKUP(A213,'Actual Dates'!A4:AE335,25,),'Actual Dates'!#REF!,"")</f>
        <v>#REF!</v>
      </c>
      <c r="J213" s="137" t="e">
        <f t="shared" si="32"/>
        <v>#REF!</v>
      </c>
      <c r="K213" s="137" t="e">
        <f>IF(VLOOKUP(A213,'Actual Dates'!A4:AE363,26,),'Actual Dates'!#REF!,"")</f>
        <v>#REF!</v>
      </c>
      <c r="L213" s="137" t="e">
        <f>IF(VLOOKUP(A213,'Actual Dates'!A4:AE363,21,),'Actual Dates'!#REF!,"")</f>
        <v>#REF!</v>
      </c>
      <c r="M213" s="137" t="e">
        <f>'Date Calcs'!#REF!</f>
        <v>#REF!</v>
      </c>
      <c r="N213" s="137" t="e">
        <f>IF(VLOOKUP(A213,'Actual Dates'!A4:AE363,27,),'Actual Dates'!#REF!,"")</f>
        <v>#REF!</v>
      </c>
      <c r="O213" s="138" t="e">
        <f t="shared" si="35"/>
        <v>#REF!</v>
      </c>
      <c r="P213" s="139" t="e">
        <f t="shared" si="33"/>
        <v>#REF!</v>
      </c>
      <c r="Q213" s="139" t="e">
        <f t="shared" si="34"/>
        <v>#REF!</v>
      </c>
      <c r="R213" s="170"/>
      <c r="S213" s="170"/>
      <c r="T213" s="142"/>
      <c r="U213" s="142"/>
      <c r="V213" s="142"/>
      <c r="W213" s="142"/>
      <c r="X213" s="142"/>
      <c r="Y213" s="142"/>
      <c r="Z213" s="142"/>
      <c r="AA213" s="142"/>
      <c r="AB213" s="142"/>
    </row>
    <row r="214" spans="1:28" x14ac:dyDescent="0.25">
      <c r="A214" s="134" t="e">
        <f>'Date Calcs'!#REF!</f>
        <v>#REF!</v>
      </c>
      <c r="B214" s="135" t="e">
        <f>'Date Calcs'!#REF!</f>
        <v>#REF!</v>
      </c>
      <c r="C214" s="136" t="e">
        <f>'Date Calcs'!#REF!</f>
        <v>#REF!</v>
      </c>
      <c r="D214" s="137" t="e">
        <f t="shared" si="30"/>
        <v>#REF!</v>
      </c>
      <c r="E214" s="143">
        <v>43999</v>
      </c>
      <c r="F214" s="137" t="e">
        <f>'Date Calcs'!#REF!</f>
        <v>#REF!</v>
      </c>
      <c r="G214" s="137" t="e">
        <f>IF(VLOOKUP(A214,'Actual Dates'!A4:AE341,8,),'Actual Dates'!#REF!,"")</f>
        <v>#REF!</v>
      </c>
      <c r="H214" s="137" t="e">
        <f t="shared" si="31"/>
        <v>#REF!</v>
      </c>
      <c r="I214" s="137" t="e">
        <f>IF(VLOOKUP(A214,'Actual Dates'!A4:AE336,25,),'Actual Dates'!#REF!,"")</f>
        <v>#REF!</v>
      </c>
      <c r="J214" s="137" t="e">
        <f t="shared" si="32"/>
        <v>#REF!</v>
      </c>
      <c r="K214" s="137" t="e">
        <f>IF(VLOOKUP(A214,'Actual Dates'!A4:AE364,26,),'Actual Dates'!#REF!,"")</f>
        <v>#REF!</v>
      </c>
      <c r="L214" s="137" t="e">
        <f>IF(VLOOKUP(A214,'Actual Dates'!A4:AE364,21,),'Actual Dates'!#REF!,"")</f>
        <v>#REF!</v>
      </c>
      <c r="M214" s="137" t="e">
        <f>'Date Calcs'!#REF!</f>
        <v>#REF!</v>
      </c>
      <c r="N214" s="137" t="e">
        <f>IF(VLOOKUP(A214,'Actual Dates'!A4:AE364,27,),'Actual Dates'!#REF!,"")</f>
        <v>#REF!</v>
      </c>
      <c r="O214" s="138" t="e">
        <f t="shared" si="35"/>
        <v>#REF!</v>
      </c>
      <c r="P214" s="139" t="e">
        <f t="shared" si="33"/>
        <v>#REF!</v>
      </c>
      <c r="Q214" s="139" t="e">
        <f t="shared" si="34"/>
        <v>#REF!</v>
      </c>
      <c r="R214" s="170"/>
      <c r="S214" s="170"/>
      <c r="T214" s="142"/>
      <c r="U214" s="142"/>
      <c r="V214" s="142"/>
      <c r="W214" s="142"/>
      <c r="X214" s="142"/>
      <c r="Y214" s="142"/>
      <c r="Z214" s="142"/>
      <c r="AA214" s="142"/>
      <c r="AB214" s="142"/>
    </row>
    <row r="215" spans="1:28" x14ac:dyDescent="0.25">
      <c r="A215" s="134" t="e">
        <f>'Date Calcs'!#REF!</f>
        <v>#REF!</v>
      </c>
      <c r="B215" s="135" t="e">
        <f>'Date Calcs'!#REF!</f>
        <v>#REF!</v>
      </c>
      <c r="C215" s="136" t="e">
        <f>'Date Calcs'!#REF!</f>
        <v>#REF!</v>
      </c>
      <c r="D215" s="137" t="s">
        <v>377</v>
      </c>
      <c r="E215" s="143" t="s">
        <v>377</v>
      </c>
      <c r="F215" s="137" t="s">
        <v>377</v>
      </c>
      <c r="G215" s="137" t="s">
        <v>377</v>
      </c>
      <c r="H215" s="137" t="e">
        <f t="shared" si="31"/>
        <v>#REF!</v>
      </c>
      <c r="I215" s="137" t="e">
        <f>IF(VLOOKUP(A215,'Actual Dates'!A4:AE337,25,),'Actual Dates'!#REF!,"")</f>
        <v>#REF!</v>
      </c>
      <c r="J215" s="137" t="e">
        <f t="shared" si="32"/>
        <v>#REF!</v>
      </c>
      <c r="K215" s="137" t="e">
        <f>IF(VLOOKUP(A215,'Actual Dates'!A4:AE365,26,),'Actual Dates'!#REF!,"")</f>
        <v>#REF!</v>
      </c>
      <c r="L215" s="137" t="e">
        <f>IF(VLOOKUP(A215,'Actual Dates'!A4:AE365,21,),'Actual Dates'!#REF!,"")</f>
        <v>#REF!</v>
      </c>
      <c r="M215" s="137" t="e">
        <f>'Date Calcs'!#REF!</f>
        <v>#REF!</v>
      </c>
      <c r="N215" s="137" t="e">
        <f>IF(VLOOKUP(A215,'Actual Dates'!A4:AE365,27,),'Actual Dates'!#REF!,"")</f>
        <v>#REF!</v>
      </c>
      <c r="O215" s="138" t="e">
        <f t="shared" si="35"/>
        <v>#REF!</v>
      </c>
      <c r="P215" s="139" t="e">
        <f t="shared" si="33"/>
        <v>#VALUE!</v>
      </c>
      <c r="Q215" s="139" t="e">
        <f t="shared" si="34"/>
        <v>#REF!</v>
      </c>
      <c r="R215" s="170"/>
      <c r="S215" s="170"/>
      <c r="T215" s="142"/>
      <c r="U215" s="142"/>
      <c r="V215" s="142"/>
      <c r="W215" s="142"/>
      <c r="X215" s="142"/>
      <c r="Y215" s="142"/>
      <c r="Z215" s="142"/>
      <c r="AA215" s="142"/>
      <c r="AB215" s="142"/>
    </row>
    <row r="216" spans="1:28" x14ac:dyDescent="0.25">
      <c r="A216" s="134" t="e">
        <f>'Date Calcs'!#REF!</f>
        <v>#REF!</v>
      </c>
      <c r="B216" s="135" t="e">
        <f>'Date Calcs'!#REF!</f>
        <v>#REF!</v>
      </c>
      <c r="C216" s="136" t="e">
        <f>'Date Calcs'!#REF!</f>
        <v>#REF!</v>
      </c>
      <c r="D216" s="137" t="e">
        <f t="shared" ref="D216:D279" si="36">WORKDAY(F216,-1,)</f>
        <v>#REF!</v>
      </c>
      <c r="E216" s="143">
        <v>44084</v>
      </c>
      <c r="F216" s="137" t="e">
        <f>'Date Calcs'!#REF!</f>
        <v>#REF!</v>
      </c>
      <c r="G216" s="137" t="e">
        <f>IF(VLOOKUP(A216,'Actual Dates'!A4:AE343,8,),'Actual Dates'!#REF!,"")</f>
        <v>#REF!</v>
      </c>
      <c r="H216" s="137" t="e">
        <f t="shared" si="31"/>
        <v>#REF!</v>
      </c>
      <c r="I216" s="137" t="e">
        <f>IF(VLOOKUP(A216,'Actual Dates'!A4:AE338,25,),'Actual Dates'!#REF!,"")</f>
        <v>#REF!</v>
      </c>
      <c r="J216" s="137" t="e">
        <f t="shared" si="32"/>
        <v>#REF!</v>
      </c>
      <c r="K216" s="137" t="e">
        <f>IF(VLOOKUP(A216,'Actual Dates'!A4:AE366,26,),'Actual Dates'!#REF!,"")</f>
        <v>#REF!</v>
      </c>
      <c r="L216" s="137" t="e">
        <f>IF(VLOOKUP(A216,'Actual Dates'!A4:AE366,21,),'Actual Dates'!#REF!,"")</f>
        <v>#REF!</v>
      </c>
      <c r="M216" s="137" t="e">
        <f>'Date Calcs'!#REF!</f>
        <v>#REF!</v>
      </c>
      <c r="N216" s="137" t="e">
        <f>IF(VLOOKUP(A216,'Actual Dates'!A4:AE366,27,),'Actual Dates'!#REF!,"")</f>
        <v>#REF!</v>
      </c>
      <c r="O216" s="138" t="e">
        <f t="shared" si="35"/>
        <v>#REF!</v>
      </c>
      <c r="P216" s="139" t="e">
        <f t="shared" si="33"/>
        <v>#REF!</v>
      </c>
      <c r="Q216" s="139" t="e">
        <f t="shared" si="34"/>
        <v>#REF!</v>
      </c>
      <c r="R216" s="170"/>
      <c r="S216" s="170"/>
      <c r="T216" s="142"/>
      <c r="U216" s="142"/>
      <c r="V216" s="142"/>
      <c r="W216" s="142"/>
      <c r="X216" s="142"/>
      <c r="Y216" s="142"/>
      <c r="Z216" s="142"/>
      <c r="AA216" s="142"/>
      <c r="AB216" s="142"/>
    </row>
    <row r="217" spans="1:28" x14ac:dyDescent="0.25">
      <c r="A217" s="134" t="e">
        <f>'Date Calcs'!#REF!</f>
        <v>#REF!</v>
      </c>
      <c r="B217" s="135" t="e">
        <f>'Date Calcs'!#REF!</f>
        <v>#REF!</v>
      </c>
      <c r="C217" s="136" t="e">
        <f>'Date Calcs'!#REF!</f>
        <v>#REF!</v>
      </c>
      <c r="D217" s="137" t="e">
        <f t="shared" si="36"/>
        <v>#REF!</v>
      </c>
      <c r="E217" s="143">
        <v>44102</v>
      </c>
      <c r="F217" s="137" t="e">
        <f>'Date Calcs'!#REF!</f>
        <v>#REF!</v>
      </c>
      <c r="G217" s="137" t="e">
        <f>IF(VLOOKUP(A217,'Actual Dates'!A4:AE344,8,),'Actual Dates'!#REF!,"")</f>
        <v>#REF!</v>
      </c>
      <c r="H217" s="137" t="e">
        <f t="shared" si="31"/>
        <v>#REF!</v>
      </c>
      <c r="I217" s="137" t="e">
        <f>IF(VLOOKUP(A217,'Actual Dates'!A4:AE339,25,),'Actual Dates'!#REF!,"")</f>
        <v>#REF!</v>
      </c>
      <c r="J217" s="137" t="e">
        <f t="shared" si="32"/>
        <v>#REF!</v>
      </c>
      <c r="K217" s="137" t="e">
        <f>IF(VLOOKUP(A217,'Actual Dates'!A4:AE367,26,),'Actual Dates'!#REF!,"")</f>
        <v>#REF!</v>
      </c>
      <c r="L217" s="137" t="e">
        <f>IF(VLOOKUP(A217,'Actual Dates'!A4:AE367,21,),'Actual Dates'!#REF!,"")</f>
        <v>#REF!</v>
      </c>
      <c r="M217" s="137" t="e">
        <f>'Date Calcs'!#REF!</f>
        <v>#REF!</v>
      </c>
      <c r="N217" s="137" t="e">
        <f>IF(VLOOKUP(A217,'Actual Dates'!A4:AE367,27,),'Actual Dates'!#REF!,"")</f>
        <v>#REF!</v>
      </c>
      <c r="O217" s="138" t="e">
        <f t="shared" si="35"/>
        <v>#REF!</v>
      </c>
      <c r="P217" s="139" t="e">
        <f t="shared" si="33"/>
        <v>#REF!</v>
      </c>
      <c r="Q217" s="139" t="e">
        <f t="shared" si="34"/>
        <v>#REF!</v>
      </c>
      <c r="R217" s="170"/>
      <c r="S217" s="170"/>
      <c r="T217" s="142"/>
      <c r="U217" s="142"/>
      <c r="V217" s="142"/>
      <c r="W217" s="142"/>
      <c r="X217" s="142"/>
      <c r="Y217" s="142"/>
      <c r="Z217" s="142"/>
      <c r="AA217" s="142"/>
      <c r="AB217" s="142"/>
    </row>
    <row r="218" spans="1:28" x14ac:dyDescent="0.25">
      <c r="A218" s="134" t="e">
        <f>'Date Calcs'!#REF!</f>
        <v>#REF!</v>
      </c>
      <c r="B218" s="135" t="e">
        <f>'Date Calcs'!#REF!</f>
        <v>#REF!</v>
      </c>
      <c r="C218" s="136" t="e">
        <f>'Date Calcs'!#REF!</f>
        <v>#REF!</v>
      </c>
      <c r="D218" s="137" t="e">
        <f t="shared" si="36"/>
        <v>#REF!</v>
      </c>
      <c r="E218" s="143">
        <v>44102</v>
      </c>
      <c r="F218" s="137" t="e">
        <f>'Date Calcs'!#REF!</f>
        <v>#REF!</v>
      </c>
      <c r="G218" s="137" t="e">
        <f>IF(VLOOKUP(A218,'Actual Dates'!A4:AE345,8,),'Actual Dates'!#REF!,"")</f>
        <v>#REF!</v>
      </c>
      <c r="H218" s="137" t="e">
        <f t="shared" si="31"/>
        <v>#REF!</v>
      </c>
      <c r="I218" s="137" t="e">
        <f>IF(VLOOKUP(A218,'Actual Dates'!A4:AE340,25,),'Actual Dates'!#REF!,"")</f>
        <v>#REF!</v>
      </c>
      <c r="J218" s="137" t="e">
        <f t="shared" si="32"/>
        <v>#REF!</v>
      </c>
      <c r="K218" s="137" t="e">
        <f>IF(VLOOKUP(A218,'Actual Dates'!A4:AE368,26,),'Actual Dates'!#REF!,"")</f>
        <v>#REF!</v>
      </c>
      <c r="L218" s="137" t="e">
        <f>IF(VLOOKUP(A218,'Actual Dates'!A4:AE368,21,),'Actual Dates'!#REF!,"")</f>
        <v>#REF!</v>
      </c>
      <c r="M218" s="137" t="e">
        <f>'Date Calcs'!#REF!</f>
        <v>#REF!</v>
      </c>
      <c r="N218" s="137" t="e">
        <f>IF(VLOOKUP(A218,'Actual Dates'!A4:AE368,27,),'Actual Dates'!#REF!,"")</f>
        <v>#REF!</v>
      </c>
      <c r="O218" s="138" t="e">
        <f t="shared" si="35"/>
        <v>#REF!</v>
      </c>
      <c r="P218" s="139" t="e">
        <f t="shared" si="33"/>
        <v>#REF!</v>
      </c>
      <c r="Q218" s="139" t="e">
        <f t="shared" si="34"/>
        <v>#REF!</v>
      </c>
      <c r="R218" s="170"/>
      <c r="S218" s="170"/>
      <c r="T218" s="142"/>
      <c r="U218" s="142"/>
      <c r="V218" s="142"/>
      <c r="W218" s="142"/>
      <c r="X218" s="142"/>
      <c r="Y218" s="142"/>
      <c r="Z218" s="142"/>
      <c r="AA218" s="142"/>
      <c r="AB218" s="142"/>
    </row>
    <row r="219" spans="1:28" x14ac:dyDescent="0.25">
      <c r="A219" s="134" t="e">
        <f>'Date Calcs'!#REF!</f>
        <v>#REF!</v>
      </c>
      <c r="B219" s="135" t="e">
        <f>'Date Calcs'!#REF!</f>
        <v>#REF!</v>
      </c>
      <c r="C219" s="136" t="e">
        <f>'Date Calcs'!#REF!</f>
        <v>#REF!</v>
      </c>
      <c r="D219" s="137" t="e">
        <f t="shared" si="36"/>
        <v>#REF!</v>
      </c>
      <c r="E219" s="143">
        <v>44090</v>
      </c>
      <c r="F219" s="137" t="e">
        <f>'Date Calcs'!#REF!</f>
        <v>#REF!</v>
      </c>
      <c r="G219" s="137" t="e">
        <f>IF(VLOOKUP(A219,'Actual Dates'!A4:AE346,8,),'Actual Dates'!#REF!,"")</f>
        <v>#REF!</v>
      </c>
      <c r="H219" s="137" t="e">
        <f t="shared" si="31"/>
        <v>#REF!</v>
      </c>
      <c r="I219" s="137" t="e">
        <f>IF(VLOOKUP(A219,'Actual Dates'!A4:AE341,25,),'Actual Dates'!#REF!,"")</f>
        <v>#REF!</v>
      </c>
      <c r="J219" s="137" t="e">
        <f t="shared" si="32"/>
        <v>#REF!</v>
      </c>
      <c r="K219" s="137" t="e">
        <f>IF(VLOOKUP(A219,'Actual Dates'!A4:AE369,26,),'Actual Dates'!#REF!,"")</f>
        <v>#REF!</v>
      </c>
      <c r="L219" s="137" t="e">
        <f>IF(VLOOKUP(A219,'Actual Dates'!A4:AE369,21,),'Actual Dates'!#REF!,"")</f>
        <v>#REF!</v>
      </c>
      <c r="M219" s="137" t="e">
        <f>'Date Calcs'!#REF!</f>
        <v>#REF!</v>
      </c>
      <c r="N219" s="137" t="e">
        <f>IF(VLOOKUP(A219,'Actual Dates'!A4:AE369,27,),'Actual Dates'!#REF!,"")</f>
        <v>#REF!</v>
      </c>
      <c r="O219" s="138" t="e">
        <f t="shared" si="35"/>
        <v>#REF!</v>
      </c>
      <c r="P219" s="139" t="e">
        <f t="shared" si="33"/>
        <v>#REF!</v>
      </c>
      <c r="Q219" s="139" t="e">
        <f t="shared" si="34"/>
        <v>#REF!</v>
      </c>
      <c r="R219" s="170"/>
      <c r="S219" s="170"/>
      <c r="T219" s="142"/>
      <c r="U219" s="142"/>
      <c r="V219" s="142"/>
      <c r="W219" s="142"/>
      <c r="X219" s="142"/>
      <c r="Y219" s="142"/>
      <c r="Z219" s="142"/>
      <c r="AA219" s="142"/>
      <c r="AB219" s="142"/>
    </row>
    <row r="220" spans="1:28" x14ac:dyDescent="0.25">
      <c r="A220" s="134" t="e">
        <f>'Date Calcs'!#REF!</f>
        <v>#REF!</v>
      </c>
      <c r="B220" s="135" t="e">
        <f>'Date Calcs'!#REF!</f>
        <v>#REF!</v>
      </c>
      <c r="C220" s="136" t="e">
        <f>'Date Calcs'!#REF!</f>
        <v>#REF!</v>
      </c>
      <c r="D220" s="137" t="e">
        <f t="shared" si="36"/>
        <v>#REF!</v>
      </c>
      <c r="E220" s="143">
        <v>44104</v>
      </c>
      <c r="F220" s="137" t="e">
        <f>'Date Calcs'!#REF!</f>
        <v>#REF!</v>
      </c>
      <c r="G220" s="137" t="e">
        <f>IF(VLOOKUP(A220,'Actual Dates'!A4:AE347,8,),'Actual Dates'!#REF!,"")</f>
        <v>#REF!</v>
      </c>
      <c r="H220" s="137" t="e">
        <f t="shared" si="31"/>
        <v>#REF!</v>
      </c>
      <c r="I220" s="137" t="e">
        <f>IF(VLOOKUP(A220,'Actual Dates'!A4:AE342,25,),'Actual Dates'!#REF!,"")</f>
        <v>#REF!</v>
      </c>
      <c r="J220" s="137" t="e">
        <f t="shared" si="32"/>
        <v>#REF!</v>
      </c>
      <c r="K220" s="137" t="e">
        <f>IF(VLOOKUP(A220,'Actual Dates'!A4:AE370,26,),'Actual Dates'!#REF!,"")</f>
        <v>#REF!</v>
      </c>
      <c r="L220" s="137" t="e">
        <f>IF(VLOOKUP(A220,'Actual Dates'!A4:AE370,21,),'Actual Dates'!#REF!,"")</f>
        <v>#REF!</v>
      </c>
      <c r="M220" s="137" t="e">
        <f>'Date Calcs'!#REF!</f>
        <v>#REF!</v>
      </c>
      <c r="N220" s="137" t="e">
        <f>IF(VLOOKUP(A220,'Actual Dates'!A4:AE370,27,),'Actual Dates'!#REF!,"")</f>
        <v>#REF!</v>
      </c>
      <c r="O220" s="138" t="e">
        <f t="shared" si="35"/>
        <v>#REF!</v>
      </c>
      <c r="P220" s="139" t="e">
        <f t="shared" si="33"/>
        <v>#REF!</v>
      </c>
      <c r="Q220" s="139" t="e">
        <f t="shared" si="34"/>
        <v>#REF!</v>
      </c>
      <c r="R220" s="170"/>
      <c r="S220" s="170"/>
      <c r="T220" s="142"/>
      <c r="U220" s="142"/>
      <c r="V220" s="142"/>
      <c r="W220" s="142"/>
      <c r="X220" s="142"/>
      <c r="Y220" s="142"/>
      <c r="Z220" s="142"/>
      <c r="AA220" s="142"/>
      <c r="AB220" s="142"/>
    </row>
    <row r="221" spans="1:28" x14ac:dyDescent="0.25">
      <c r="A221" s="134" t="e">
        <f>'Date Calcs'!#REF!</f>
        <v>#REF!</v>
      </c>
      <c r="B221" s="135" t="e">
        <f>'Date Calcs'!#REF!</f>
        <v>#REF!</v>
      </c>
      <c r="C221" s="136" t="e">
        <f>'Date Calcs'!#REF!</f>
        <v>#REF!</v>
      </c>
      <c r="D221" s="137" t="e">
        <f t="shared" si="36"/>
        <v>#REF!</v>
      </c>
      <c r="E221" s="143">
        <v>44104</v>
      </c>
      <c r="F221" s="137" t="e">
        <f>'Date Calcs'!#REF!</f>
        <v>#REF!</v>
      </c>
      <c r="G221" s="137" t="e">
        <f>IF(VLOOKUP(A221,'Actual Dates'!A4:AE348,8,),'Actual Dates'!#REF!,"")</f>
        <v>#REF!</v>
      </c>
      <c r="H221" s="137" t="e">
        <f t="shared" si="31"/>
        <v>#REF!</v>
      </c>
      <c r="I221" s="137" t="e">
        <f>IF(VLOOKUP(A221,'Actual Dates'!A4:AE343,25,),'Actual Dates'!#REF!,"")</f>
        <v>#REF!</v>
      </c>
      <c r="J221" s="137" t="e">
        <f t="shared" si="32"/>
        <v>#REF!</v>
      </c>
      <c r="K221" s="137" t="e">
        <f>IF(VLOOKUP(A221,'Actual Dates'!A4:AE371,26,),'Actual Dates'!#REF!,"")</f>
        <v>#REF!</v>
      </c>
      <c r="L221" s="137" t="e">
        <f>IF(VLOOKUP(A221,'Actual Dates'!A4:AE371,21,),'Actual Dates'!#REF!,"")</f>
        <v>#REF!</v>
      </c>
      <c r="M221" s="137" t="e">
        <f>'Date Calcs'!#REF!</f>
        <v>#REF!</v>
      </c>
      <c r="N221" s="137" t="e">
        <f>IF(VLOOKUP(A221,'Actual Dates'!A4:AE371,27,),'Actual Dates'!#REF!,"")</f>
        <v>#REF!</v>
      </c>
      <c r="O221" s="138" t="e">
        <f t="shared" si="35"/>
        <v>#REF!</v>
      </c>
      <c r="P221" s="139" t="e">
        <f t="shared" si="33"/>
        <v>#REF!</v>
      </c>
      <c r="Q221" s="139" t="e">
        <f t="shared" si="34"/>
        <v>#REF!</v>
      </c>
      <c r="R221" s="170"/>
      <c r="S221" s="170"/>
      <c r="T221" s="142"/>
      <c r="U221" s="142"/>
      <c r="V221" s="142"/>
      <c r="W221" s="142"/>
      <c r="X221" s="142"/>
      <c r="Y221" s="142"/>
      <c r="Z221" s="142"/>
      <c r="AA221" s="142"/>
      <c r="AB221" s="142"/>
    </row>
    <row r="222" spans="1:28" x14ac:dyDescent="0.25">
      <c r="A222" s="134" t="e">
        <f>'Date Calcs'!#REF!</f>
        <v>#REF!</v>
      </c>
      <c r="B222" s="135" t="e">
        <f>'Date Calcs'!#REF!</f>
        <v>#REF!</v>
      </c>
      <c r="C222" s="136" t="e">
        <f>'Date Calcs'!#REF!</f>
        <v>#REF!</v>
      </c>
      <c r="D222" s="137" t="e">
        <f t="shared" si="36"/>
        <v>#REF!</v>
      </c>
      <c r="E222" s="143">
        <v>44116</v>
      </c>
      <c r="F222" s="137" t="e">
        <f>'Date Calcs'!#REF!</f>
        <v>#REF!</v>
      </c>
      <c r="G222" s="137" t="e">
        <f>IF(VLOOKUP(A222,'Actual Dates'!A4:AE349,8,),'Actual Dates'!#REF!,"")</f>
        <v>#REF!</v>
      </c>
      <c r="H222" s="137" t="e">
        <f t="shared" si="31"/>
        <v>#REF!</v>
      </c>
      <c r="I222" s="137" t="e">
        <f>IF(VLOOKUP(A222,'Actual Dates'!A4:AE344,25,),'Actual Dates'!#REF!,"")</f>
        <v>#REF!</v>
      </c>
      <c r="J222" s="137" t="e">
        <f t="shared" si="32"/>
        <v>#REF!</v>
      </c>
      <c r="K222" s="137" t="e">
        <f>IF(VLOOKUP(A222,'Actual Dates'!A4:AE372,26,),'Actual Dates'!#REF!,"")</f>
        <v>#REF!</v>
      </c>
      <c r="L222" s="137" t="e">
        <f>IF(VLOOKUP(A222,'Actual Dates'!A4:AE372,21,),'Actual Dates'!#REF!,"")</f>
        <v>#REF!</v>
      </c>
      <c r="M222" s="137" t="e">
        <f>'Date Calcs'!#REF!</f>
        <v>#REF!</v>
      </c>
      <c r="N222" s="137" t="e">
        <f>IF(VLOOKUP(A222,'Actual Dates'!A4:AE372,27,),'Actual Dates'!#REF!,"")</f>
        <v>#REF!</v>
      </c>
      <c r="O222" s="138" t="e">
        <f t="shared" si="35"/>
        <v>#REF!</v>
      </c>
      <c r="P222" s="139" t="e">
        <f t="shared" si="33"/>
        <v>#REF!</v>
      </c>
      <c r="Q222" s="139" t="e">
        <f t="shared" si="34"/>
        <v>#REF!</v>
      </c>
      <c r="R222" s="170"/>
      <c r="S222" s="170"/>
      <c r="T222" s="142"/>
      <c r="U222" s="142"/>
      <c r="V222" s="142"/>
      <c r="W222" s="142"/>
      <c r="X222" s="142"/>
      <c r="Y222" s="142"/>
      <c r="Z222" s="142"/>
      <c r="AA222" s="142"/>
      <c r="AB222" s="142"/>
    </row>
    <row r="223" spans="1:28" x14ac:dyDescent="0.25">
      <c r="A223" s="134" t="e">
        <f>'Date Calcs'!#REF!</f>
        <v>#REF!</v>
      </c>
      <c r="B223" s="135" t="e">
        <f>'Date Calcs'!#REF!</f>
        <v>#REF!</v>
      </c>
      <c r="C223" s="136" t="e">
        <f>'Date Calcs'!#REF!</f>
        <v>#REF!</v>
      </c>
      <c r="D223" s="137" t="e">
        <f t="shared" si="36"/>
        <v>#REF!</v>
      </c>
      <c r="E223" s="143">
        <v>44116</v>
      </c>
      <c r="F223" s="137" t="e">
        <f>'Date Calcs'!#REF!</f>
        <v>#REF!</v>
      </c>
      <c r="G223" s="137" t="e">
        <f>IF(VLOOKUP(A223,'Actual Dates'!A4:AE350,8,),'Actual Dates'!#REF!,"")</f>
        <v>#REF!</v>
      </c>
      <c r="H223" s="137" t="e">
        <f t="shared" si="31"/>
        <v>#REF!</v>
      </c>
      <c r="I223" s="137" t="e">
        <f>IF(VLOOKUP(A223,'Actual Dates'!A4:AE345,25,),'Actual Dates'!#REF!,"")</f>
        <v>#REF!</v>
      </c>
      <c r="J223" s="137" t="e">
        <f t="shared" si="32"/>
        <v>#REF!</v>
      </c>
      <c r="K223" s="137" t="e">
        <f>IF(VLOOKUP(A223,'Actual Dates'!A4:AE373,26,),'Actual Dates'!#REF!,"")</f>
        <v>#REF!</v>
      </c>
      <c r="L223" s="137" t="e">
        <f>IF(VLOOKUP(A223,'Actual Dates'!A4:AE373,21,),'Actual Dates'!#REF!,"")</f>
        <v>#REF!</v>
      </c>
      <c r="M223" s="137" t="e">
        <f>'Date Calcs'!#REF!</f>
        <v>#REF!</v>
      </c>
      <c r="N223" s="137" t="e">
        <f>IF(VLOOKUP(A223,'Actual Dates'!A4:AE373,27,),'Actual Dates'!#REF!,"")</f>
        <v>#REF!</v>
      </c>
      <c r="O223" s="138" t="e">
        <f t="shared" si="35"/>
        <v>#REF!</v>
      </c>
      <c r="P223" s="139" t="e">
        <f t="shared" si="33"/>
        <v>#REF!</v>
      </c>
      <c r="Q223" s="139" t="e">
        <f t="shared" si="34"/>
        <v>#REF!</v>
      </c>
      <c r="R223" s="170"/>
      <c r="S223" s="170"/>
      <c r="T223" s="142"/>
      <c r="U223" s="142"/>
      <c r="V223" s="142"/>
      <c r="W223" s="142"/>
      <c r="X223" s="142"/>
      <c r="Y223" s="142"/>
      <c r="Z223" s="142"/>
      <c r="AA223" s="142"/>
      <c r="AB223" s="142"/>
    </row>
    <row r="224" spans="1:28" x14ac:dyDescent="0.25">
      <c r="A224" s="134" t="e">
        <f>'Date Calcs'!#REF!</f>
        <v>#REF!</v>
      </c>
      <c r="B224" s="135" t="e">
        <f>'Date Calcs'!#REF!</f>
        <v>#REF!</v>
      </c>
      <c r="C224" s="136" t="e">
        <f>'Date Calcs'!#REF!</f>
        <v>#REF!</v>
      </c>
      <c r="D224" s="137" t="e">
        <f t="shared" si="36"/>
        <v>#REF!</v>
      </c>
      <c r="E224" s="143">
        <v>44130</v>
      </c>
      <c r="F224" s="137" t="e">
        <f>'Date Calcs'!#REF!</f>
        <v>#REF!</v>
      </c>
      <c r="G224" s="137" t="e">
        <f>IF(VLOOKUP(A224,'Actual Dates'!A4:AE351,8,),'Actual Dates'!#REF!,"")</f>
        <v>#REF!</v>
      </c>
      <c r="H224" s="137" t="e">
        <f t="shared" si="31"/>
        <v>#REF!</v>
      </c>
      <c r="I224" s="137" t="e">
        <f>IF(VLOOKUP(A224,'Actual Dates'!A4:AE346,25,),'Actual Dates'!#REF!,"")</f>
        <v>#REF!</v>
      </c>
      <c r="J224" s="137" t="e">
        <f t="shared" si="32"/>
        <v>#REF!</v>
      </c>
      <c r="K224" s="137" t="e">
        <f>IF(VLOOKUP(A224,'Actual Dates'!A4:AE374,26,),'Actual Dates'!#REF!,"")</f>
        <v>#REF!</v>
      </c>
      <c r="L224" s="137" t="e">
        <f>IF(VLOOKUP(A224,'Actual Dates'!A4:AE374,21,),'Actual Dates'!#REF!,"")</f>
        <v>#REF!</v>
      </c>
      <c r="M224" s="137" t="e">
        <f>'Date Calcs'!#REF!</f>
        <v>#REF!</v>
      </c>
      <c r="N224" s="137" t="e">
        <f>IF(VLOOKUP(A224,'Actual Dates'!A4:AE374,27,),'Actual Dates'!#REF!,"")</f>
        <v>#REF!</v>
      </c>
      <c r="O224" s="138" t="e">
        <f t="shared" si="35"/>
        <v>#REF!</v>
      </c>
      <c r="P224" s="139" t="e">
        <f t="shared" si="33"/>
        <v>#REF!</v>
      </c>
      <c r="Q224" s="139" t="e">
        <f t="shared" si="34"/>
        <v>#REF!</v>
      </c>
      <c r="R224" s="170"/>
      <c r="S224" s="170"/>
      <c r="T224" s="142"/>
      <c r="U224" s="142"/>
      <c r="V224" s="142"/>
      <c r="W224" s="142"/>
      <c r="X224" s="142"/>
      <c r="Y224" s="142"/>
      <c r="Z224" s="142"/>
      <c r="AA224" s="142"/>
      <c r="AB224" s="142"/>
    </row>
    <row r="225" spans="1:33" x14ac:dyDescent="0.25">
      <c r="A225" s="134" t="e">
        <f>'Date Calcs'!#REF!</f>
        <v>#REF!</v>
      </c>
      <c r="B225" s="135" t="e">
        <f>'Date Calcs'!#REF!</f>
        <v>#REF!</v>
      </c>
      <c r="C225" s="136" t="e">
        <f>'Date Calcs'!#REF!</f>
        <v>#REF!</v>
      </c>
      <c r="D225" s="137" t="e">
        <f t="shared" si="36"/>
        <v>#REF!</v>
      </c>
      <c r="E225" s="143">
        <v>44138</v>
      </c>
      <c r="F225" s="137" t="e">
        <f>'Date Calcs'!#REF!</f>
        <v>#REF!</v>
      </c>
      <c r="G225" s="137" t="e">
        <f>IF(VLOOKUP(A225,'Actual Dates'!A4:AE352,8,),'Actual Dates'!#REF!,"")</f>
        <v>#REF!</v>
      </c>
      <c r="H225" s="137" t="e">
        <f t="shared" si="31"/>
        <v>#REF!</v>
      </c>
      <c r="I225" s="137" t="e">
        <f>IF(VLOOKUP(A225,'Actual Dates'!A4:AE347,25,),'Actual Dates'!#REF!,"")</f>
        <v>#REF!</v>
      </c>
      <c r="J225" s="137" t="e">
        <f t="shared" si="32"/>
        <v>#REF!</v>
      </c>
      <c r="K225" s="137" t="e">
        <f>IF(VLOOKUP(A225,'Actual Dates'!A4:AE375,26,),'Actual Dates'!#REF!,"")</f>
        <v>#REF!</v>
      </c>
      <c r="L225" s="137" t="e">
        <f>IF(VLOOKUP(A225,'Actual Dates'!A4:AE375,21,),'Actual Dates'!#REF!,"")</f>
        <v>#REF!</v>
      </c>
      <c r="M225" s="137" t="e">
        <f>'Date Calcs'!#REF!</f>
        <v>#REF!</v>
      </c>
      <c r="N225" s="137" t="e">
        <f>IF(VLOOKUP(A225,'Actual Dates'!A4:AE375,27,),'Actual Dates'!#REF!,"")</f>
        <v>#REF!</v>
      </c>
      <c r="O225" s="138" t="e">
        <f t="shared" si="35"/>
        <v>#REF!</v>
      </c>
      <c r="P225" s="139" t="e">
        <f t="shared" si="33"/>
        <v>#REF!</v>
      </c>
      <c r="Q225" s="139" t="e">
        <f t="shared" si="34"/>
        <v>#REF!</v>
      </c>
      <c r="R225" s="170"/>
      <c r="S225" s="170"/>
    </row>
    <row r="226" spans="1:33" x14ac:dyDescent="0.25">
      <c r="A226" s="134" t="e">
        <f>'Date Calcs'!#REF!</f>
        <v>#REF!</v>
      </c>
      <c r="B226" s="135" t="e">
        <f>'Date Calcs'!#REF!</f>
        <v>#REF!</v>
      </c>
      <c r="C226" s="136" t="e">
        <f>'Date Calcs'!#REF!</f>
        <v>#REF!</v>
      </c>
      <c r="D226" s="137" t="e">
        <f t="shared" si="36"/>
        <v>#REF!</v>
      </c>
      <c r="E226" s="143">
        <v>44130</v>
      </c>
      <c r="F226" s="137" t="e">
        <f>'Date Calcs'!#REF!</f>
        <v>#REF!</v>
      </c>
      <c r="G226" s="137" t="e">
        <f>IF(VLOOKUP(A226,'Actual Dates'!A4:AE353,8,),'Actual Dates'!#REF!,"")</f>
        <v>#REF!</v>
      </c>
      <c r="H226" s="137" t="e">
        <f t="shared" si="31"/>
        <v>#REF!</v>
      </c>
      <c r="I226" s="137" t="e">
        <f>IF(VLOOKUP(A226,'Actual Dates'!A4:AE348,25,),'Actual Dates'!#REF!,"")</f>
        <v>#REF!</v>
      </c>
      <c r="J226" s="137" t="e">
        <f t="shared" si="32"/>
        <v>#REF!</v>
      </c>
      <c r="K226" s="137" t="e">
        <f>IF(VLOOKUP(A226,'Actual Dates'!A4:AE376,26,),'Actual Dates'!#REF!,"")</f>
        <v>#REF!</v>
      </c>
      <c r="L226" s="137" t="e">
        <f>IF(VLOOKUP(A226,'Actual Dates'!A4:AE376,21,),'Actual Dates'!#REF!,"")</f>
        <v>#REF!</v>
      </c>
      <c r="M226" s="137" t="e">
        <f>'Date Calcs'!#REF!</f>
        <v>#REF!</v>
      </c>
      <c r="N226" s="137" t="e">
        <f>IF(VLOOKUP(A226,'Actual Dates'!A4:AE376,27,),'Actual Dates'!#REF!,"")</f>
        <v>#REF!</v>
      </c>
      <c r="O226" s="138" t="e">
        <f t="shared" si="35"/>
        <v>#REF!</v>
      </c>
      <c r="P226" s="139" t="e">
        <f t="shared" si="33"/>
        <v>#REF!</v>
      </c>
      <c r="Q226" s="139" t="e">
        <f t="shared" si="34"/>
        <v>#REF!</v>
      </c>
      <c r="R226" s="170"/>
      <c r="S226" s="170"/>
    </row>
    <row r="227" spans="1:33" x14ac:dyDescent="0.25">
      <c r="A227" s="134" t="e">
        <f>'Date Calcs'!#REF!</f>
        <v>#REF!</v>
      </c>
      <c r="B227" s="135" t="e">
        <f>'Date Calcs'!#REF!</f>
        <v>#REF!</v>
      </c>
      <c r="C227" s="136" t="e">
        <f>'Date Calcs'!#REF!</f>
        <v>#REF!</v>
      </c>
      <c r="D227" s="137" t="e">
        <f t="shared" si="36"/>
        <v>#REF!</v>
      </c>
      <c r="E227" s="143"/>
      <c r="F227" s="137" t="e">
        <f>'Date Calcs'!#REF!</f>
        <v>#REF!</v>
      </c>
      <c r="G227" s="137" t="e">
        <f>IF(VLOOKUP(A227,'Actual Dates'!A4:AE354,8,),'Actual Dates'!#REF!,"")</f>
        <v>#REF!</v>
      </c>
      <c r="H227" s="137" t="e">
        <f t="shared" si="31"/>
        <v>#REF!</v>
      </c>
      <c r="I227" s="137" t="e">
        <f>IF(VLOOKUP(A227,'Actual Dates'!A4:AE349,25,),'Actual Dates'!#REF!,"")</f>
        <v>#REF!</v>
      </c>
      <c r="J227" s="137" t="e">
        <f t="shared" si="32"/>
        <v>#REF!</v>
      </c>
      <c r="K227" s="137" t="e">
        <f>IF(VLOOKUP(A227,'Actual Dates'!A4:AE377,26,),'Actual Dates'!#REF!,"")</f>
        <v>#REF!</v>
      </c>
      <c r="L227" s="137" t="e">
        <f>IF(VLOOKUP(A227,'Actual Dates'!A4:AE377,21,),'Actual Dates'!#REF!,"")</f>
        <v>#REF!</v>
      </c>
      <c r="M227" s="137" t="e">
        <f>'Date Calcs'!#REF!</f>
        <v>#REF!</v>
      </c>
      <c r="N227" s="137" t="e">
        <f>IF(VLOOKUP(A227,'Actual Dates'!A4:AE377,27,),'Actual Dates'!#REF!,"")</f>
        <v>#REF!</v>
      </c>
      <c r="O227" s="138" t="e">
        <f t="shared" si="35"/>
        <v>#REF!</v>
      </c>
      <c r="P227" s="139" t="e">
        <f t="shared" si="33"/>
        <v>#REF!</v>
      </c>
      <c r="Q227" s="139" t="e">
        <f t="shared" si="34"/>
        <v>#REF!</v>
      </c>
      <c r="R227" s="170"/>
      <c r="S227" s="170"/>
    </row>
    <row r="228" spans="1:33" x14ac:dyDescent="0.25">
      <c r="A228" s="134" t="e">
        <f>'Date Calcs'!#REF!</f>
        <v>#REF!</v>
      </c>
      <c r="B228" s="135" t="e">
        <f>'Date Calcs'!#REF!</f>
        <v>#REF!</v>
      </c>
      <c r="C228" s="136" t="e">
        <f>'Date Calcs'!#REF!</f>
        <v>#REF!</v>
      </c>
      <c r="D228" s="137" t="e">
        <f t="shared" si="36"/>
        <v>#REF!</v>
      </c>
      <c r="E228" s="143"/>
      <c r="F228" s="137" t="e">
        <f>'Date Calcs'!#REF!</f>
        <v>#REF!</v>
      </c>
      <c r="G228" s="137" t="e">
        <f>IF(VLOOKUP(A228,'Actual Dates'!A4:AE355,8,),'Actual Dates'!#REF!,"")</f>
        <v>#REF!</v>
      </c>
      <c r="H228" s="137" t="e">
        <f t="shared" si="31"/>
        <v>#REF!</v>
      </c>
      <c r="I228" s="137" t="e">
        <f>IF(VLOOKUP(A228,'Actual Dates'!A4:AE350,25,),'Actual Dates'!#REF!,"")</f>
        <v>#REF!</v>
      </c>
      <c r="J228" s="137" t="e">
        <f t="shared" si="32"/>
        <v>#REF!</v>
      </c>
      <c r="K228" s="137" t="e">
        <f>IF(VLOOKUP(A228,'Actual Dates'!A4:AE378,26,),'Actual Dates'!#REF!,"")</f>
        <v>#REF!</v>
      </c>
      <c r="L228" s="137" t="e">
        <f>IF(VLOOKUP(A228,'Actual Dates'!A4:AE378,21,),'Actual Dates'!#REF!,"")</f>
        <v>#REF!</v>
      </c>
      <c r="M228" s="137" t="e">
        <f>'Date Calcs'!#REF!</f>
        <v>#REF!</v>
      </c>
      <c r="N228" s="137" t="e">
        <f>IF(VLOOKUP(A228,'Actual Dates'!A4:AE378,27,),'Actual Dates'!#REF!,"")</f>
        <v>#REF!</v>
      </c>
      <c r="O228" s="138" t="e">
        <f t="shared" si="35"/>
        <v>#REF!</v>
      </c>
      <c r="P228" s="139" t="e">
        <f t="shared" si="33"/>
        <v>#REF!</v>
      </c>
      <c r="Q228" s="139" t="e">
        <f t="shared" si="34"/>
        <v>#REF!</v>
      </c>
      <c r="R228" s="170"/>
      <c r="S228" s="170"/>
    </row>
    <row r="229" spans="1:33" x14ac:dyDescent="0.25">
      <c r="A229" s="134" t="e">
        <f>'Date Calcs'!#REF!</f>
        <v>#REF!</v>
      </c>
      <c r="B229" s="135" t="e">
        <f>'Date Calcs'!#REF!</f>
        <v>#REF!</v>
      </c>
      <c r="C229" s="136" t="e">
        <f>'Date Calcs'!#REF!</f>
        <v>#REF!</v>
      </c>
      <c r="D229" s="137" t="e">
        <f t="shared" si="36"/>
        <v>#REF!</v>
      </c>
      <c r="E229" s="143">
        <v>44166</v>
      </c>
      <c r="F229" s="137" t="e">
        <f>'Date Calcs'!#REF!</f>
        <v>#REF!</v>
      </c>
      <c r="G229" s="137" t="e">
        <f>IF(VLOOKUP(A229,'Actual Dates'!A4:AE356,8,),'Actual Dates'!#REF!,"")</f>
        <v>#REF!</v>
      </c>
      <c r="H229" s="137" t="e">
        <f t="shared" si="31"/>
        <v>#REF!</v>
      </c>
      <c r="I229" s="137" t="e">
        <f>IF(VLOOKUP(A229,'Actual Dates'!A4:AE351,25,),'Actual Dates'!#REF!,"")</f>
        <v>#REF!</v>
      </c>
      <c r="J229" s="137" t="e">
        <f t="shared" si="32"/>
        <v>#REF!</v>
      </c>
      <c r="K229" s="137" t="e">
        <f>IF(VLOOKUP(A229,'Actual Dates'!A4:AE379,26,),'Actual Dates'!#REF!,"")</f>
        <v>#REF!</v>
      </c>
      <c r="L229" s="137" t="e">
        <f>IF(VLOOKUP(A229,'Actual Dates'!A4:AE379,21,),'Actual Dates'!#REF!,"")</f>
        <v>#REF!</v>
      </c>
      <c r="M229" s="137" t="e">
        <f>'Date Calcs'!#REF!</f>
        <v>#REF!</v>
      </c>
      <c r="N229" s="137" t="e">
        <f>IF(VLOOKUP(A229,'Actual Dates'!A4:AE379,27,),'Actual Dates'!#REF!,"")</f>
        <v>#REF!</v>
      </c>
      <c r="O229" s="138" t="e">
        <f t="shared" si="35"/>
        <v>#REF!</v>
      </c>
      <c r="P229" s="139" t="e">
        <f t="shared" si="33"/>
        <v>#REF!</v>
      </c>
      <c r="Q229" s="139" t="e">
        <f t="shared" si="34"/>
        <v>#REF!</v>
      </c>
      <c r="R229" s="170"/>
      <c r="S229" s="170"/>
    </row>
    <row r="230" spans="1:33" x14ac:dyDescent="0.25">
      <c r="A230" s="134" t="e">
        <f>'Date Calcs'!#REF!</f>
        <v>#REF!</v>
      </c>
      <c r="B230" s="135" t="e">
        <f>'Date Calcs'!#REF!</f>
        <v>#REF!</v>
      </c>
      <c r="C230" s="136" t="e">
        <f>'Date Calcs'!#REF!</f>
        <v>#REF!</v>
      </c>
      <c r="D230" s="137" t="e">
        <f t="shared" si="36"/>
        <v>#REF!</v>
      </c>
      <c r="E230" s="143">
        <v>44166</v>
      </c>
      <c r="F230" s="137" t="e">
        <f>'Date Calcs'!#REF!</f>
        <v>#REF!</v>
      </c>
      <c r="G230" s="137" t="e">
        <f>IF(VLOOKUP(A230,'Actual Dates'!A4:AE357,8,),'Actual Dates'!#REF!,"")</f>
        <v>#REF!</v>
      </c>
      <c r="H230" s="137" t="e">
        <f t="shared" si="31"/>
        <v>#REF!</v>
      </c>
      <c r="I230" s="137" t="e">
        <f>IF(VLOOKUP(A230,'Actual Dates'!A4:AE352,25,),'Actual Dates'!#REF!,"")</f>
        <v>#REF!</v>
      </c>
      <c r="J230" s="137" t="e">
        <f t="shared" si="32"/>
        <v>#REF!</v>
      </c>
      <c r="K230" s="137" t="e">
        <f>IF(VLOOKUP(A230,'Actual Dates'!A4:AE380,26,),'Actual Dates'!#REF!,"")</f>
        <v>#REF!</v>
      </c>
      <c r="L230" s="137" t="e">
        <f>IF(VLOOKUP(A230,'Actual Dates'!A4:AE380,21,),'Actual Dates'!#REF!,"")</f>
        <v>#REF!</v>
      </c>
      <c r="M230" s="137" t="e">
        <f>'Date Calcs'!#REF!</f>
        <v>#REF!</v>
      </c>
      <c r="N230" s="137" t="e">
        <f>IF(VLOOKUP(A230,'Actual Dates'!A4:AE380,27,),'Actual Dates'!#REF!,"")</f>
        <v>#REF!</v>
      </c>
      <c r="O230" s="138" t="e">
        <f t="shared" si="35"/>
        <v>#REF!</v>
      </c>
      <c r="P230" s="139" t="e">
        <f t="shared" si="33"/>
        <v>#REF!</v>
      </c>
      <c r="Q230" s="139" t="e">
        <f t="shared" si="34"/>
        <v>#REF!</v>
      </c>
      <c r="R230" s="170"/>
      <c r="S230" s="170"/>
    </row>
    <row r="231" spans="1:33" x14ac:dyDescent="0.25">
      <c r="A231" s="134" t="e">
        <f>'Date Calcs'!#REF!</f>
        <v>#REF!</v>
      </c>
      <c r="B231" s="135" t="e">
        <f>'Date Calcs'!#REF!</f>
        <v>#REF!</v>
      </c>
      <c r="C231" s="136" t="e">
        <f>'Date Calcs'!#REF!</f>
        <v>#REF!</v>
      </c>
      <c r="D231" s="137" t="e">
        <f t="shared" si="36"/>
        <v>#REF!</v>
      </c>
      <c r="E231" s="143">
        <v>44166</v>
      </c>
      <c r="F231" s="137" t="e">
        <f>'Date Calcs'!#REF!</f>
        <v>#REF!</v>
      </c>
      <c r="G231" s="137" t="e">
        <f>IF(VLOOKUP(A231,'Actual Dates'!A4:AE358,8,),'Actual Dates'!#REF!,"")</f>
        <v>#REF!</v>
      </c>
      <c r="H231" s="137" t="e">
        <f t="shared" si="31"/>
        <v>#REF!</v>
      </c>
      <c r="I231" s="137" t="e">
        <f>IF(VLOOKUP(A231,'Actual Dates'!A4:AE353,25,),'Actual Dates'!#REF!,"")</f>
        <v>#REF!</v>
      </c>
      <c r="J231" s="137" t="e">
        <f t="shared" si="32"/>
        <v>#REF!</v>
      </c>
      <c r="K231" s="137" t="e">
        <f>IF(VLOOKUP(A231,'Actual Dates'!A4:AE381,26,),'Actual Dates'!#REF!,"")</f>
        <v>#REF!</v>
      </c>
      <c r="L231" s="137" t="e">
        <f>IF(VLOOKUP(A231,'Actual Dates'!A4:AE381,21,),'Actual Dates'!#REF!,"")</f>
        <v>#REF!</v>
      </c>
      <c r="M231" s="137" t="e">
        <f>'Date Calcs'!#REF!</f>
        <v>#REF!</v>
      </c>
      <c r="N231" s="137" t="e">
        <f>IF(VLOOKUP(A231,'Actual Dates'!A4:AE381,27,),'Actual Dates'!#REF!,"")</f>
        <v>#REF!</v>
      </c>
      <c r="O231" s="138" t="e">
        <f t="shared" si="35"/>
        <v>#REF!</v>
      </c>
      <c r="P231" s="139" t="e">
        <f t="shared" si="33"/>
        <v>#REF!</v>
      </c>
      <c r="Q231" s="139" t="e">
        <f t="shared" si="34"/>
        <v>#REF!</v>
      </c>
      <c r="R231" s="170"/>
      <c r="S231" s="170"/>
    </row>
    <row r="232" spans="1:33" x14ac:dyDescent="0.25">
      <c r="A232" s="134" t="e">
        <f>'Date Calcs'!#REF!</f>
        <v>#REF!</v>
      </c>
      <c r="B232" s="135" t="e">
        <f>'Date Calcs'!#REF!</f>
        <v>#REF!</v>
      </c>
      <c r="C232" s="136" t="e">
        <f>'Date Calcs'!#REF!</f>
        <v>#REF!</v>
      </c>
      <c r="D232" s="137" t="e">
        <f t="shared" si="36"/>
        <v>#REF!</v>
      </c>
      <c r="E232" s="143">
        <v>44166</v>
      </c>
      <c r="F232" s="137" t="e">
        <f>'Date Calcs'!#REF!</f>
        <v>#REF!</v>
      </c>
      <c r="G232" s="137" t="e">
        <f>IF(VLOOKUP(A232,'Actual Dates'!A4:AE359,8,),'Actual Dates'!#REF!,"")</f>
        <v>#REF!</v>
      </c>
      <c r="H232" s="137" t="e">
        <f t="shared" si="31"/>
        <v>#REF!</v>
      </c>
      <c r="I232" s="137" t="e">
        <f>IF(VLOOKUP(A232,'Actual Dates'!A4:AE354,25,),'Actual Dates'!#REF!,"")</f>
        <v>#REF!</v>
      </c>
      <c r="J232" s="137" t="e">
        <f t="shared" si="32"/>
        <v>#REF!</v>
      </c>
      <c r="K232" s="137" t="e">
        <f>IF(VLOOKUP(A232,'Actual Dates'!A4:AE382,26,),'Actual Dates'!#REF!,"")</f>
        <v>#REF!</v>
      </c>
      <c r="L232" s="137" t="e">
        <f>IF(VLOOKUP(A232,'Actual Dates'!A4:AE382,21,),'Actual Dates'!#REF!,"")</f>
        <v>#REF!</v>
      </c>
      <c r="M232" s="137" t="e">
        <f>'Date Calcs'!#REF!</f>
        <v>#REF!</v>
      </c>
      <c r="N232" s="137" t="e">
        <f>IF(VLOOKUP(A232,'Actual Dates'!A4:AE382,27,),'Actual Dates'!#REF!,"")</f>
        <v>#REF!</v>
      </c>
      <c r="O232" s="138" t="e">
        <f t="shared" si="35"/>
        <v>#REF!</v>
      </c>
      <c r="P232" s="139" t="e">
        <f t="shared" si="33"/>
        <v>#REF!</v>
      </c>
      <c r="Q232" s="139" t="e">
        <f t="shared" si="34"/>
        <v>#REF!</v>
      </c>
      <c r="R232" s="170"/>
      <c r="S232" s="170"/>
    </row>
    <row r="233" spans="1:33" x14ac:dyDescent="0.25">
      <c r="A233" s="134" t="e">
        <f>'Date Calcs'!#REF!</f>
        <v>#REF!</v>
      </c>
      <c r="B233" s="135" t="e">
        <f>'Date Calcs'!#REF!</f>
        <v>#REF!</v>
      </c>
      <c r="C233" s="136" t="e">
        <f>'Date Calcs'!#REF!</f>
        <v>#REF!</v>
      </c>
      <c r="D233" s="137" t="e">
        <f t="shared" si="36"/>
        <v>#REF!</v>
      </c>
      <c r="E233" s="143">
        <v>44166</v>
      </c>
      <c r="F233" s="137" t="e">
        <f>'Date Calcs'!#REF!</f>
        <v>#REF!</v>
      </c>
      <c r="G233" s="137" t="e">
        <f>IF(VLOOKUP(A233,'Actual Dates'!A4:AE360,8,),'Actual Dates'!#REF!,"")</f>
        <v>#REF!</v>
      </c>
      <c r="H233" s="137" t="e">
        <f t="shared" si="31"/>
        <v>#REF!</v>
      </c>
      <c r="I233" s="137" t="e">
        <f>IF(VLOOKUP(A233,'Actual Dates'!A4:AE355,25,),'Actual Dates'!#REF!,"")</f>
        <v>#REF!</v>
      </c>
      <c r="J233" s="137" t="e">
        <f t="shared" si="32"/>
        <v>#REF!</v>
      </c>
      <c r="K233" s="137" t="e">
        <f>IF(VLOOKUP(A233,'Actual Dates'!A4:AE383,26,),'Actual Dates'!#REF!,"")</f>
        <v>#REF!</v>
      </c>
      <c r="L233" s="137" t="e">
        <f>IF(VLOOKUP(A233,'Actual Dates'!A4:AE383,21,),'Actual Dates'!#REF!,"")</f>
        <v>#REF!</v>
      </c>
      <c r="M233" s="137" t="e">
        <f>'Date Calcs'!#REF!</f>
        <v>#REF!</v>
      </c>
      <c r="N233" s="137" t="e">
        <f>IF(VLOOKUP(A233,'Actual Dates'!A4:AE383,27,),'Actual Dates'!#REF!,"")</f>
        <v>#REF!</v>
      </c>
      <c r="O233" s="138" t="e">
        <f t="shared" si="35"/>
        <v>#REF!</v>
      </c>
      <c r="P233" s="139" t="e">
        <f t="shared" si="33"/>
        <v>#REF!</v>
      </c>
      <c r="Q233" s="139" t="e">
        <f t="shared" si="34"/>
        <v>#REF!</v>
      </c>
      <c r="R233" s="170"/>
      <c r="S233" s="170"/>
    </row>
    <row r="234" spans="1:33" x14ac:dyDescent="0.25">
      <c r="A234" s="134" t="e">
        <f>'Date Calcs'!#REF!</f>
        <v>#REF!</v>
      </c>
      <c r="B234" s="135" t="e">
        <f>'Date Calcs'!#REF!</f>
        <v>#REF!</v>
      </c>
      <c r="C234" s="136" t="e">
        <f>'Date Calcs'!#REF!</f>
        <v>#REF!</v>
      </c>
      <c r="D234" s="137" t="e">
        <f t="shared" si="36"/>
        <v>#REF!</v>
      </c>
      <c r="E234" s="143">
        <v>44166</v>
      </c>
      <c r="F234" s="137" t="e">
        <f>'Date Calcs'!#REF!</f>
        <v>#REF!</v>
      </c>
      <c r="G234" s="137" t="e">
        <f>IF(VLOOKUP(A234,'Actual Dates'!A4:AE361,8,),'Actual Dates'!#REF!,"")</f>
        <v>#REF!</v>
      </c>
      <c r="H234" s="137" t="e">
        <f t="shared" si="31"/>
        <v>#REF!</v>
      </c>
      <c r="I234" s="137" t="e">
        <f>IF(VLOOKUP(A234,'Actual Dates'!A4:AE356,25,),'Actual Dates'!#REF!,"")</f>
        <v>#REF!</v>
      </c>
      <c r="J234" s="137" t="e">
        <f t="shared" si="32"/>
        <v>#REF!</v>
      </c>
      <c r="K234" s="137" t="e">
        <f>IF(VLOOKUP(A234,'Actual Dates'!A4:AE384,26,),'Actual Dates'!#REF!,"")</f>
        <v>#REF!</v>
      </c>
      <c r="L234" s="137" t="e">
        <f>IF(VLOOKUP(A234,'Actual Dates'!A4:AE384,21,),'Actual Dates'!#REF!,"")</f>
        <v>#REF!</v>
      </c>
      <c r="M234" s="137" t="e">
        <f>'Date Calcs'!#REF!</f>
        <v>#REF!</v>
      </c>
      <c r="N234" s="137" t="e">
        <f>IF(VLOOKUP(A234,'Actual Dates'!A4:AE384,27,),'Actual Dates'!#REF!,"")</f>
        <v>#REF!</v>
      </c>
      <c r="O234" s="138" t="e">
        <f t="shared" si="35"/>
        <v>#REF!</v>
      </c>
      <c r="P234" s="139" t="e">
        <f t="shared" si="33"/>
        <v>#REF!</v>
      </c>
      <c r="Q234" s="139" t="e">
        <f t="shared" si="34"/>
        <v>#REF!</v>
      </c>
      <c r="R234" s="170"/>
      <c r="S234" s="170"/>
    </row>
    <row r="235" spans="1:33" x14ac:dyDescent="0.25">
      <c r="A235" s="134" t="e">
        <f>'Date Calcs'!#REF!</f>
        <v>#REF!</v>
      </c>
      <c r="B235" s="135" t="e">
        <f>'Date Calcs'!#REF!</f>
        <v>#REF!</v>
      </c>
      <c r="C235" s="136" t="e">
        <f>'Date Calcs'!#REF!</f>
        <v>#REF!</v>
      </c>
      <c r="D235" s="137" t="e">
        <f t="shared" si="36"/>
        <v>#REF!</v>
      </c>
      <c r="E235" s="143"/>
      <c r="F235" s="137" t="e">
        <f>'Date Calcs'!#REF!</f>
        <v>#REF!</v>
      </c>
      <c r="G235" s="137" t="e">
        <f>IF(VLOOKUP(A235,'Actual Dates'!A4:AE362,8,),'Actual Dates'!#REF!,"")</f>
        <v>#REF!</v>
      </c>
      <c r="H235" s="137" t="e">
        <f t="shared" si="31"/>
        <v>#REF!</v>
      </c>
      <c r="I235" s="137" t="e">
        <f>IF(VLOOKUP(A235,'Actual Dates'!A4:AE357,25,),'Actual Dates'!#REF!,"")</f>
        <v>#REF!</v>
      </c>
      <c r="J235" s="137" t="e">
        <f t="shared" si="32"/>
        <v>#REF!</v>
      </c>
      <c r="K235" s="137" t="e">
        <f>IF(VLOOKUP(A235,'Actual Dates'!A4:AE385,26,),'Actual Dates'!#REF!,"")</f>
        <v>#REF!</v>
      </c>
      <c r="L235" s="137" t="e">
        <f>IF(VLOOKUP(A235,'Actual Dates'!A4:AE385,21,),'Actual Dates'!#REF!,"")</f>
        <v>#REF!</v>
      </c>
      <c r="M235" s="137" t="e">
        <f>'Date Calcs'!#REF!</f>
        <v>#REF!</v>
      </c>
      <c r="N235" s="137" t="e">
        <f>IF(VLOOKUP(A235,'Actual Dates'!A4:AE385,27,),'Actual Dates'!#REF!,"")</f>
        <v>#REF!</v>
      </c>
      <c r="O235" s="138" t="e">
        <f t="shared" si="35"/>
        <v>#REF!</v>
      </c>
      <c r="P235" s="139" t="e">
        <f t="shared" si="33"/>
        <v>#REF!</v>
      </c>
      <c r="Q235" s="139" t="e">
        <f t="shared" si="34"/>
        <v>#REF!</v>
      </c>
      <c r="R235" s="170"/>
      <c r="S235" s="170"/>
    </row>
    <row r="236" spans="1:33" x14ac:dyDescent="0.25">
      <c r="A236" s="134" t="e">
        <f>'Date Calcs'!#REF!</f>
        <v>#REF!</v>
      </c>
      <c r="B236" s="135" t="e">
        <f>'Date Calcs'!#REF!</f>
        <v>#REF!</v>
      </c>
      <c r="C236" s="136" t="e">
        <f>'Date Calcs'!#REF!</f>
        <v>#REF!</v>
      </c>
      <c r="D236" s="137" t="e">
        <f t="shared" si="36"/>
        <v>#REF!</v>
      </c>
      <c r="E236" s="143"/>
      <c r="F236" s="137" t="e">
        <f>'Date Calcs'!#REF!</f>
        <v>#REF!</v>
      </c>
      <c r="G236" s="137" t="e">
        <f>IF(VLOOKUP(A236,'Actual Dates'!A4:AE363,8,),'Actual Dates'!#REF!,"")</f>
        <v>#REF!</v>
      </c>
      <c r="H236" s="137" t="e">
        <f t="shared" si="31"/>
        <v>#REF!</v>
      </c>
      <c r="I236" s="137" t="e">
        <f>IF(VLOOKUP(A236,'Actual Dates'!A4:AE358,25,),'Actual Dates'!#REF!,"")</f>
        <v>#REF!</v>
      </c>
      <c r="J236" s="137" t="e">
        <f t="shared" si="32"/>
        <v>#REF!</v>
      </c>
      <c r="K236" s="137" t="e">
        <f>IF(VLOOKUP(A236,'Actual Dates'!A4:AE386,26,),'Actual Dates'!#REF!,"")</f>
        <v>#REF!</v>
      </c>
      <c r="L236" s="137" t="e">
        <f>IF(VLOOKUP(A236,'Actual Dates'!A4:AE386,21,),'Actual Dates'!#REF!,"")</f>
        <v>#REF!</v>
      </c>
      <c r="M236" s="137" t="e">
        <f>'Date Calcs'!#REF!</f>
        <v>#REF!</v>
      </c>
      <c r="N236" s="137" t="e">
        <f>IF(VLOOKUP(A236,'Actual Dates'!A4:AE386,27,),'Actual Dates'!#REF!,"")</f>
        <v>#REF!</v>
      </c>
      <c r="O236" s="138" t="e">
        <f t="shared" si="35"/>
        <v>#REF!</v>
      </c>
      <c r="P236" s="139" t="e">
        <f t="shared" si="33"/>
        <v>#REF!</v>
      </c>
      <c r="Q236" s="139" t="e">
        <f t="shared" si="34"/>
        <v>#REF!</v>
      </c>
      <c r="R236" s="170"/>
      <c r="S236" s="170"/>
    </row>
    <row r="237" spans="1:33" x14ac:dyDescent="0.25">
      <c r="A237" s="134" t="e">
        <f>'Date Calcs'!#REF!</f>
        <v>#REF!</v>
      </c>
      <c r="B237" s="135" t="e">
        <f>'Date Calcs'!#REF!</f>
        <v>#REF!</v>
      </c>
      <c r="C237" s="136" t="e">
        <f>'Date Calcs'!#REF!</f>
        <v>#REF!</v>
      </c>
      <c r="D237" s="137" t="e">
        <f t="shared" si="36"/>
        <v>#REF!</v>
      </c>
      <c r="E237" s="143"/>
      <c r="F237" s="137" t="e">
        <f>'Date Calcs'!#REF!</f>
        <v>#REF!</v>
      </c>
      <c r="G237" s="137" t="e">
        <f>IF(VLOOKUP(A237,'Actual Dates'!A4:AE364,8,),'Actual Dates'!#REF!,"")</f>
        <v>#REF!</v>
      </c>
      <c r="H237" s="137" t="e">
        <f t="shared" si="31"/>
        <v>#REF!</v>
      </c>
      <c r="I237" s="137" t="e">
        <f>IF(VLOOKUP(A237,'Actual Dates'!A4:AE359,25,),'Actual Dates'!#REF!,"")</f>
        <v>#REF!</v>
      </c>
      <c r="J237" s="137" t="e">
        <f t="shared" si="32"/>
        <v>#REF!</v>
      </c>
      <c r="K237" s="137" t="e">
        <f>IF(VLOOKUP(A237,'Actual Dates'!A4:AE387,26,),'Actual Dates'!#REF!,"")</f>
        <v>#REF!</v>
      </c>
      <c r="L237" s="137" t="e">
        <f>IF(VLOOKUP(A237,'Actual Dates'!A4:AE387,21,),'Actual Dates'!#REF!,"")</f>
        <v>#REF!</v>
      </c>
      <c r="M237" s="137" t="e">
        <f>'Date Calcs'!#REF!</f>
        <v>#REF!</v>
      </c>
      <c r="N237" s="137" t="e">
        <f>IF(VLOOKUP(A237,'Actual Dates'!A4:AE387,27,),'Actual Dates'!#REF!,"")</f>
        <v>#REF!</v>
      </c>
      <c r="O237" s="138" t="e">
        <f t="shared" si="35"/>
        <v>#REF!</v>
      </c>
      <c r="P237" s="139" t="e">
        <f t="shared" si="33"/>
        <v>#REF!</v>
      </c>
      <c r="Q237" s="139" t="e">
        <f t="shared" si="34"/>
        <v>#REF!</v>
      </c>
      <c r="R237" s="170"/>
      <c r="S237" s="170"/>
    </row>
    <row r="238" spans="1:33" x14ac:dyDescent="0.25">
      <c r="A238" s="134" t="e">
        <f>'Date Calcs'!#REF!</f>
        <v>#REF!</v>
      </c>
      <c r="B238" s="135" t="e">
        <f>'Date Calcs'!#REF!</f>
        <v>#REF!</v>
      </c>
      <c r="C238" s="136" t="e">
        <f>'Date Calcs'!#REF!</f>
        <v>#REF!</v>
      </c>
      <c r="D238" s="137" t="e">
        <f t="shared" si="36"/>
        <v>#REF!</v>
      </c>
      <c r="E238" s="143">
        <v>44186</v>
      </c>
      <c r="F238" s="137" t="e">
        <f>'Date Calcs'!#REF!</f>
        <v>#REF!</v>
      </c>
      <c r="G238" s="137" t="e">
        <f>IF(VLOOKUP(A238,'Actual Dates'!A4:AE365,8,),'Actual Dates'!#REF!,"")</f>
        <v>#REF!</v>
      </c>
      <c r="H238" s="137" t="e">
        <f t="shared" si="31"/>
        <v>#REF!</v>
      </c>
      <c r="I238" s="137" t="e">
        <f>IF(VLOOKUP(A238,'Actual Dates'!A4:AE360,25,),'Actual Dates'!#REF!,"")</f>
        <v>#REF!</v>
      </c>
      <c r="J238" s="137" t="e">
        <f t="shared" si="32"/>
        <v>#REF!</v>
      </c>
      <c r="K238" s="137" t="e">
        <f>IF(VLOOKUP(A238,'Actual Dates'!A4:AE388,26,),'Actual Dates'!#REF!,"")</f>
        <v>#REF!</v>
      </c>
      <c r="L238" s="137" t="e">
        <f>IF(VLOOKUP(A238,'Actual Dates'!A4:AE388,21,),'Actual Dates'!#REF!,"")</f>
        <v>#REF!</v>
      </c>
      <c r="M238" s="137" t="e">
        <f>'Date Calcs'!#REF!</f>
        <v>#REF!</v>
      </c>
      <c r="N238" s="137" t="e">
        <f>IF(VLOOKUP(A238,'Actual Dates'!A4:AE388,27,),'Actual Dates'!#REF!,"")</f>
        <v>#REF!</v>
      </c>
      <c r="O238" s="138" t="e">
        <f t="shared" si="35"/>
        <v>#REF!</v>
      </c>
      <c r="P238" s="139" t="e">
        <f t="shared" si="33"/>
        <v>#REF!</v>
      </c>
      <c r="Q238" s="139" t="e">
        <f t="shared" si="34"/>
        <v>#REF!</v>
      </c>
      <c r="R238" s="170"/>
      <c r="S238" s="170"/>
    </row>
    <row r="239" spans="1:33" x14ac:dyDescent="0.25">
      <c r="A239" s="134" t="e">
        <f>'Date Calcs'!#REF!</f>
        <v>#REF!</v>
      </c>
      <c r="B239" s="135" t="e">
        <f>'Date Calcs'!#REF!</f>
        <v>#REF!</v>
      </c>
      <c r="C239" s="136" t="e">
        <f>'Date Calcs'!#REF!</f>
        <v>#REF!</v>
      </c>
      <c r="D239" s="137" t="e">
        <f t="shared" si="36"/>
        <v>#REF!</v>
      </c>
      <c r="E239" s="143">
        <v>44186</v>
      </c>
      <c r="F239" s="137" t="e">
        <f>'Date Calcs'!#REF!</f>
        <v>#REF!</v>
      </c>
      <c r="G239" s="137" t="e">
        <f>IF(VLOOKUP(A239,'Actual Dates'!A4:AE366,8,),'Actual Dates'!#REF!,"")</f>
        <v>#REF!</v>
      </c>
      <c r="H239" s="137" t="e">
        <f t="shared" si="31"/>
        <v>#REF!</v>
      </c>
      <c r="I239" s="137" t="e">
        <f>IF(VLOOKUP(A239,'Actual Dates'!A4:AE361,25,),'Actual Dates'!#REF!,"")</f>
        <v>#REF!</v>
      </c>
      <c r="J239" s="137" t="e">
        <f t="shared" si="32"/>
        <v>#REF!</v>
      </c>
      <c r="K239" s="137" t="e">
        <f>IF(VLOOKUP(A239,'Actual Dates'!A4:AE389,26,),'Actual Dates'!#REF!,"")</f>
        <v>#REF!</v>
      </c>
      <c r="L239" s="137" t="e">
        <f>IF(VLOOKUP(A239,'Actual Dates'!A4:AE389,21,),'Actual Dates'!#REF!,"")</f>
        <v>#REF!</v>
      </c>
      <c r="M239" s="137" t="e">
        <f>'Date Calcs'!#REF!</f>
        <v>#REF!</v>
      </c>
      <c r="N239" s="137" t="e">
        <f>IF(VLOOKUP(A239,'Actual Dates'!A4:AE389,27,),'Actual Dates'!#REF!,"")</f>
        <v>#REF!</v>
      </c>
      <c r="O239" s="138" t="e">
        <f t="shared" si="35"/>
        <v>#REF!</v>
      </c>
      <c r="P239" s="139" t="e">
        <f t="shared" si="33"/>
        <v>#REF!</v>
      </c>
      <c r="Q239" s="139" t="e">
        <f t="shared" si="34"/>
        <v>#REF!</v>
      </c>
      <c r="R239" s="170"/>
      <c r="S239" s="170"/>
    </row>
    <row r="240" spans="1:33" x14ac:dyDescent="0.25">
      <c r="A240" s="134" t="e">
        <f>'Date Calcs'!#REF!</f>
        <v>#REF!</v>
      </c>
      <c r="B240" s="135" t="e">
        <f>'Date Calcs'!#REF!</f>
        <v>#REF!</v>
      </c>
      <c r="C240" s="136" t="e">
        <f>'Date Calcs'!#REF!</f>
        <v>#REF!</v>
      </c>
      <c r="D240" s="137" t="e">
        <f t="shared" si="36"/>
        <v>#REF!</v>
      </c>
      <c r="E240" s="143">
        <v>44186</v>
      </c>
      <c r="F240" s="137" t="e">
        <f>'Date Calcs'!#REF!</f>
        <v>#REF!</v>
      </c>
      <c r="G240" s="137" t="e">
        <f>IF(VLOOKUP(A240,'Actual Dates'!A4:AE367,8,),'Actual Dates'!#REF!,"")</f>
        <v>#REF!</v>
      </c>
      <c r="H240" s="137" t="e">
        <f t="shared" si="31"/>
        <v>#REF!</v>
      </c>
      <c r="I240" s="137" t="e">
        <f>IF(VLOOKUP(A240,'Actual Dates'!A4:AE362,25,),'Actual Dates'!#REF!,"")</f>
        <v>#REF!</v>
      </c>
      <c r="J240" s="137" t="e">
        <f t="shared" si="32"/>
        <v>#REF!</v>
      </c>
      <c r="K240" s="137" t="e">
        <f>IF(VLOOKUP(A240,'Actual Dates'!A4:AE390,26,),'Actual Dates'!#REF!,"")</f>
        <v>#REF!</v>
      </c>
      <c r="L240" s="137" t="e">
        <f>IF(VLOOKUP(A240,'Actual Dates'!A4:AE390,21,),'Actual Dates'!#REF!,"")</f>
        <v>#REF!</v>
      </c>
      <c r="M240" s="137" t="e">
        <f>'Date Calcs'!#REF!</f>
        <v>#REF!</v>
      </c>
      <c r="N240" s="137" t="e">
        <f>IF(VLOOKUP(A240,'Actual Dates'!A4:AE390,27,),'Actual Dates'!#REF!,"")</f>
        <v>#REF!</v>
      </c>
      <c r="O240" s="138" t="e">
        <f t="shared" si="35"/>
        <v>#REF!</v>
      </c>
      <c r="P240" s="139" t="e">
        <f t="shared" si="33"/>
        <v>#REF!</v>
      </c>
      <c r="Q240" s="139" t="e">
        <f t="shared" si="34"/>
        <v>#REF!</v>
      </c>
      <c r="R240" s="170"/>
      <c r="S240" s="170"/>
      <c r="AC240" t="e">
        <f t="shared" ref="AC240:AC245" si="37">IF(G240&lt;=F240,1,0)</f>
        <v>#REF!</v>
      </c>
      <c r="AD240" s="173" t="s">
        <v>409</v>
      </c>
      <c r="AE240" s="174" t="e">
        <f>SUM(AC240:AC245)</f>
        <v>#REF!</v>
      </c>
      <c r="AF240" s="174">
        <v>6</v>
      </c>
      <c r="AG240" s="171" t="e">
        <f>AF240/AE240</f>
        <v>#REF!</v>
      </c>
    </row>
    <row r="241" spans="1:33" x14ac:dyDescent="0.25">
      <c r="A241" s="134" t="e">
        <f>'Date Calcs'!#REF!</f>
        <v>#REF!</v>
      </c>
      <c r="B241" s="135" t="e">
        <f>'Date Calcs'!#REF!</f>
        <v>#REF!</v>
      </c>
      <c r="C241" s="136" t="e">
        <f>'Date Calcs'!#REF!</f>
        <v>#REF!</v>
      </c>
      <c r="D241" s="137" t="e">
        <f t="shared" si="36"/>
        <v>#REF!</v>
      </c>
      <c r="E241" s="143">
        <v>44186</v>
      </c>
      <c r="F241" s="137" t="e">
        <f>'Date Calcs'!#REF!</f>
        <v>#REF!</v>
      </c>
      <c r="G241" s="137" t="e">
        <f>IF(VLOOKUP(A241,'Actual Dates'!A4:AE368,8,),'Actual Dates'!#REF!,"")</f>
        <v>#REF!</v>
      </c>
      <c r="H241" s="137" t="e">
        <f t="shared" si="31"/>
        <v>#REF!</v>
      </c>
      <c r="I241" s="137" t="e">
        <f>IF(VLOOKUP(A241,'Actual Dates'!A4:AE363,25,),'Actual Dates'!#REF!,"")</f>
        <v>#REF!</v>
      </c>
      <c r="J241" s="137" t="e">
        <f t="shared" si="32"/>
        <v>#REF!</v>
      </c>
      <c r="K241" s="137" t="e">
        <f>IF(VLOOKUP(A241,'Actual Dates'!A4:AE391,26,),'Actual Dates'!#REF!,"")</f>
        <v>#REF!</v>
      </c>
      <c r="L241" s="137" t="e">
        <f>IF(VLOOKUP(A241,'Actual Dates'!A4:AE391,21,),'Actual Dates'!#REF!,"")</f>
        <v>#REF!</v>
      </c>
      <c r="M241" s="137" t="e">
        <f>'Date Calcs'!#REF!</f>
        <v>#REF!</v>
      </c>
      <c r="N241" s="137" t="e">
        <f>IF(VLOOKUP(A241,'Actual Dates'!A4:AE391,27,),'Actual Dates'!#REF!,"")</f>
        <v>#REF!</v>
      </c>
      <c r="O241" s="138" t="e">
        <f t="shared" si="35"/>
        <v>#REF!</v>
      </c>
      <c r="P241" s="139" t="e">
        <f t="shared" si="33"/>
        <v>#REF!</v>
      </c>
      <c r="Q241" s="139" t="e">
        <f t="shared" si="34"/>
        <v>#REF!</v>
      </c>
      <c r="R241" s="170"/>
      <c r="S241" s="170"/>
      <c r="AC241" t="e">
        <f t="shared" si="37"/>
        <v>#REF!</v>
      </c>
      <c r="AD241" s="173"/>
      <c r="AE241" s="174"/>
      <c r="AF241" s="174"/>
      <c r="AG241" s="171"/>
    </row>
    <row r="242" spans="1:33" x14ac:dyDescent="0.25">
      <c r="A242" s="134" t="e">
        <f>'Date Calcs'!#REF!</f>
        <v>#REF!</v>
      </c>
      <c r="B242" s="135" t="e">
        <f>'Date Calcs'!#REF!</f>
        <v>#REF!</v>
      </c>
      <c r="C242" s="136" t="e">
        <f>'Date Calcs'!#REF!</f>
        <v>#REF!</v>
      </c>
      <c r="D242" s="137" t="e">
        <f t="shared" si="36"/>
        <v>#REF!</v>
      </c>
      <c r="E242" s="143" t="s">
        <v>377</v>
      </c>
      <c r="F242" s="137" t="e">
        <f>'Date Calcs'!#REF!</f>
        <v>#REF!</v>
      </c>
      <c r="G242" s="137" t="e">
        <f>IF(VLOOKUP(A242,'Actual Dates'!A4:AE369,8,),'Actual Dates'!#REF!,"")</f>
        <v>#REF!</v>
      </c>
      <c r="H242" s="137" t="e">
        <f t="shared" si="31"/>
        <v>#REF!</v>
      </c>
      <c r="I242" s="137" t="e">
        <f>IF(VLOOKUP(A242,'Actual Dates'!A4:AE364,25,),'Actual Dates'!#REF!,"")</f>
        <v>#REF!</v>
      </c>
      <c r="J242" s="137" t="e">
        <f t="shared" si="32"/>
        <v>#REF!</v>
      </c>
      <c r="K242" s="137" t="e">
        <f>IF(VLOOKUP(A242,'Actual Dates'!A4:AE392,26,),'Actual Dates'!#REF!,"")</f>
        <v>#REF!</v>
      </c>
      <c r="L242" s="137" t="e">
        <f>IF(VLOOKUP(A242,'Actual Dates'!A4:AE392,21,),'Actual Dates'!#REF!,"")</f>
        <v>#REF!</v>
      </c>
      <c r="M242" s="137" t="e">
        <f>'Date Calcs'!#REF!</f>
        <v>#REF!</v>
      </c>
      <c r="N242" s="137" t="e">
        <f>IF(VLOOKUP(A242,'Actual Dates'!A4:AE392,27,),'Actual Dates'!#REF!,"")</f>
        <v>#REF!</v>
      </c>
      <c r="O242" s="138" t="e">
        <f t="shared" si="35"/>
        <v>#REF!</v>
      </c>
      <c r="P242" s="139" t="e">
        <f t="shared" si="33"/>
        <v>#REF!</v>
      </c>
      <c r="Q242" s="139" t="e">
        <f t="shared" si="34"/>
        <v>#REF!</v>
      </c>
      <c r="R242" s="170"/>
      <c r="S242" s="170"/>
      <c r="AC242" t="e">
        <f t="shared" si="37"/>
        <v>#REF!</v>
      </c>
      <c r="AD242" s="173"/>
      <c r="AE242" s="174"/>
      <c r="AF242" s="174"/>
      <c r="AG242" s="171"/>
    </row>
    <row r="243" spans="1:33" x14ac:dyDescent="0.25">
      <c r="A243" s="134" t="e">
        <f>'Date Calcs'!#REF!</f>
        <v>#REF!</v>
      </c>
      <c r="B243" s="135" t="e">
        <f>'Date Calcs'!#REF!</f>
        <v>#REF!</v>
      </c>
      <c r="C243" s="136" t="e">
        <f>'Date Calcs'!#REF!</f>
        <v>#REF!</v>
      </c>
      <c r="D243" s="137" t="e">
        <f t="shared" si="36"/>
        <v>#REF!</v>
      </c>
      <c r="E243" s="143" t="s">
        <v>377</v>
      </c>
      <c r="F243" s="137" t="e">
        <f>'Date Calcs'!#REF!</f>
        <v>#REF!</v>
      </c>
      <c r="G243" s="137" t="e">
        <f>IF(VLOOKUP(A243,'Actual Dates'!A4:AE370,8,),'Actual Dates'!#REF!,"")</f>
        <v>#REF!</v>
      </c>
      <c r="H243" s="137" t="e">
        <f t="shared" ref="H243:H306" si="38">WORKDAY(L243,3,)</f>
        <v>#REF!</v>
      </c>
      <c r="I243" s="137" t="e">
        <f>IF(VLOOKUP(A243,'Actual Dates'!A4:AE365,25,),'Actual Dates'!#REF!,"")</f>
        <v>#REF!</v>
      </c>
      <c r="J243" s="137" t="e">
        <f t="shared" ref="J243:J306" si="39">WORKDAY(L243,4,)</f>
        <v>#REF!</v>
      </c>
      <c r="K243" s="137" t="e">
        <f>IF(VLOOKUP(A243,'Actual Dates'!A4:AE393,26,),'Actual Dates'!#REF!,"")</f>
        <v>#REF!</v>
      </c>
      <c r="L243" s="137" t="e">
        <f>IF(VLOOKUP(A243,'Actual Dates'!A4:AE393,21,),'Actual Dates'!#REF!,"")</f>
        <v>#REF!</v>
      </c>
      <c r="M243" s="137" t="e">
        <f>'Date Calcs'!#REF!</f>
        <v>#REF!</v>
      </c>
      <c r="N243" s="137" t="e">
        <f>IF(VLOOKUP(A243,'Actual Dates'!A4:AE393,27,),'Actual Dates'!#REF!,"")</f>
        <v>#REF!</v>
      </c>
      <c r="O243" s="138" t="e">
        <f t="shared" si="35"/>
        <v>#REF!</v>
      </c>
      <c r="P243" s="139" t="e">
        <f t="shared" ref="P243:P306" si="40">F243-G243</f>
        <v>#REF!</v>
      </c>
      <c r="Q243" s="139" t="e">
        <f t="shared" ref="Q243:Q306" si="41">M243-N243</f>
        <v>#REF!</v>
      </c>
      <c r="R243" s="170"/>
      <c r="S243" s="170"/>
      <c r="AC243" t="e">
        <f t="shared" si="37"/>
        <v>#REF!</v>
      </c>
      <c r="AD243" s="173"/>
      <c r="AE243" s="174"/>
      <c r="AF243" s="174"/>
      <c r="AG243" s="171"/>
    </row>
    <row r="244" spans="1:33" x14ac:dyDescent="0.25">
      <c r="A244" s="134" t="e">
        <f>'Date Calcs'!#REF!</f>
        <v>#REF!</v>
      </c>
      <c r="B244" s="135" t="e">
        <f>'Date Calcs'!#REF!</f>
        <v>#REF!</v>
      </c>
      <c r="C244" s="136" t="e">
        <f>'Date Calcs'!#REF!</f>
        <v>#REF!</v>
      </c>
      <c r="D244" s="137" t="e">
        <f t="shared" si="36"/>
        <v>#REF!</v>
      </c>
      <c r="E244" s="143" t="s">
        <v>377</v>
      </c>
      <c r="F244" s="137" t="e">
        <f>'Date Calcs'!#REF!</f>
        <v>#REF!</v>
      </c>
      <c r="G244" s="137" t="e">
        <f>IF(VLOOKUP(A244,'Actual Dates'!A4:AE371,8,),'Actual Dates'!#REF!,"")</f>
        <v>#REF!</v>
      </c>
      <c r="H244" s="137" t="e">
        <f t="shared" si="38"/>
        <v>#REF!</v>
      </c>
      <c r="I244" s="137" t="e">
        <f>IF(VLOOKUP(A244,'Actual Dates'!A4:AE366,25,),'Actual Dates'!#REF!,"")</f>
        <v>#REF!</v>
      </c>
      <c r="J244" s="137" t="e">
        <f t="shared" si="39"/>
        <v>#REF!</v>
      </c>
      <c r="K244" s="137" t="e">
        <f>IF(VLOOKUP(A244,'Actual Dates'!A4:AE394,26,),'Actual Dates'!#REF!,"")</f>
        <v>#REF!</v>
      </c>
      <c r="L244" s="137" t="e">
        <f>IF(VLOOKUP(A244,'Actual Dates'!A4:AE394,21,),'Actual Dates'!#REF!,"")</f>
        <v>#REF!</v>
      </c>
      <c r="M244" s="137" t="e">
        <f>'Date Calcs'!#REF!</f>
        <v>#REF!</v>
      </c>
      <c r="N244" s="137" t="e">
        <f>IF(VLOOKUP(A244,'Actual Dates'!A4:AE394,27,),'Actual Dates'!#REF!,"")</f>
        <v>#REF!</v>
      </c>
      <c r="O244" s="138" t="e">
        <f t="shared" si="35"/>
        <v>#REF!</v>
      </c>
      <c r="P244" s="139" t="e">
        <f t="shared" si="40"/>
        <v>#REF!</v>
      </c>
      <c r="Q244" s="139" t="e">
        <f t="shared" si="41"/>
        <v>#REF!</v>
      </c>
      <c r="R244" s="170"/>
      <c r="S244" s="170"/>
      <c r="AC244" t="e">
        <f t="shared" si="37"/>
        <v>#REF!</v>
      </c>
      <c r="AD244" s="173"/>
      <c r="AE244" s="174"/>
      <c r="AF244" s="174"/>
      <c r="AG244" s="171"/>
    </row>
    <row r="245" spans="1:33" x14ac:dyDescent="0.25">
      <c r="A245" s="134" t="e">
        <f>'Date Calcs'!#REF!</f>
        <v>#REF!</v>
      </c>
      <c r="B245" s="135" t="e">
        <f>'Date Calcs'!#REF!</f>
        <v>#REF!</v>
      </c>
      <c r="C245" s="136" t="e">
        <f>'Date Calcs'!#REF!</f>
        <v>#REF!</v>
      </c>
      <c r="D245" s="137" t="e">
        <f t="shared" si="36"/>
        <v>#REF!</v>
      </c>
      <c r="E245" s="143" t="s">
        <v>377</v>
      </c>
      <c r="F245" s="137" t="e">
        <f>'Date Calcs'!#REF!</f>
        <v>#REF!</v>
      </c>
      <c r="G245" s="137" t="e">
        <f>IF(VLOOKUP(A245,'Actual Dates'!A4:AE372,8,),'Actual Dates'!#REF!,"")</f>
        <v>#REF!</v>
      </c>
      <c r="H245" s="137" t="e">
        <f t="shared" si="38"/>
        <v>#REF!</v>
      </c>
      <c r="I245" s="137" t="e">
        <f>IF(VLOOKUP(A245,'Actual Dates'!A4:AE367,25,),'Actual Dates'!#REF!,"")</f>
        <v>#REF!</v>
      </c>
      <c r="J245" s="137" t="e">
        <f t="shared" si="39"/>
        <v>#REF!</v>
      </c>
      <c r="K245" s="137" t="e">
        <f>IF(VLOOKUP(A245,'Actual Dates'!A4:AE395,26,),'Actual Dates'!#REF!,"")</f>
        <v>#REF!</v>
      </c>
      <c r="L245" s="137" t="e">
        <f>IF(VLOOKUP(A245,'Actual Dates'!A4:AE395,21,),'Actual Dates'!#REF!,"")</f>
        <v>#REF!</v>
      </c>
      <c r="M245" s="137" t="e">
        <f>'Date Calcs'!#REF!</f>
        <v>#REF!</v>
      </c>
      <c r="N245" s="137" t="e">
        <f>IF(VLOOKUP(A245,'Actual Dates'!A4:AE395,27,),'Actual Dates'!#REF!,"")</f>
        <v>#REF!</v>
      </c>
      <c r="O245" s="138" t="e">
        <f t="shared" si="35"/>
        <v>#REF!</v>
      </c>
      <c r="P245" s="139" t="e">
        <f t="shared" si="40"/>
        <v>#REF!</v>
      </c>
      <c r="Q245" s="139" t="e">
        <f t="shared" si="41"/>
        <v>#REF!</v>
      </c>
      <c r="R245" s="170"/>
      <c r="S245" s="170"/>
      <c r="AC245" t="e">
        <f t="shared" si="37"/>
        <v>#REF!</v>
      </c>
      <c r="AD245" s="173"/>
      <c r="AE245" s="174"/>
      <c r="AF245" s="174"/>
      <c r="AG245" s="171"/>
    </row>
    <row r="246" spans="1:33" x14ac:dyDescent="0.25">
      <c r="A246" s="134" t="e">
        <f>'Date Calcs'!#REF!</f>
        <v>#REF!</v>
      </c>
      <c r="B246" s="135" t="e">
        <f>'Date Calcs'!#REF!</f>
        <v>#REF!</v>
      </c>
      <c r="C246" s="136" t="e">
        <f>'Date Calcs'!#REF!</f>
        <v>#REF!</v>
      </c>
      <c r="D246" s="137" t="e">
        <f t="shared" si="36"/>
        <v>#REF!</v>
      </c>
      <c r="E246" s="143" t="s">
        <v>377</v>
      </c>
      <c r="F246" s="137" t="e">
        <f>'Date Calcs'!#REF!</f>
        <v>#REF!</v>
      </c>
      <c r="G246" s="137" t="e">
        <f>IF(VLOOKUP(A246,'Actual Dates'!A4:AE373,8,),'Actual Dates'!#REF!,"")</f>
        <v>#REF!</v>
      </c>
      <c r="H246" s="137" t="e">
        <f t="shared" si="38"/>
        <v>#REF!</v>
      </c>
      <c r="I246" s="137" t="e">
        <f>IF(VLOOKUP(A246,'Actual Dates'!A4:AE368,25,),'Actual Dates'!#REF!,"")</f>
        <v>#REF!</v>
      </c>
      <c r="J246" s="137" t="e">
        <f t="shared" si="39"/>
        <v>#REF!</v>
      </c>
      <c r="K246" s="137" t="e">
        <f>IF(VLOOKUP(A246,'Actual Dates'!A4:AE396,26,),'Actual Dates'!#REF!,"")</f>
        <v>#REF!</v>
      </c>
      <c r="L246" s="137" t="e">
        <f>IF(VLOOKUP(A246,'Actual Dates'!A4:AE396,21,),'Actual Dates'!#REF!,"")</f>
        <v>#REF!</v>
      </c>
      <c r="M246" s="137" t="e">
        <f>'Date Calcs'!#REF!</f>
        <v>#REF!</v>
      </c>
      <c r="N246" s="137" t="e">
        <f>IF(VLOOKUP(A246,'Actual Dates'!A4:AE396,27,),'Actual Dates'!#REF!,"")</f>
        <v>#REF!</v>
      </c>
      <c r="O246" s="138" t="e">
        <f t="shared" si="35"/>
        <v>#REF!</v>
      </c>
      <c r="P246" s="139" t="e">
        <f t="shared" si="40"/>
        <v>#REF!</v>
      </c>
      <c r="Q246" s="139" t="e">
        <f t="shared" si="41"/>
        <v>#REF!</v>
      </c>
      <c r="R246" s="170"/>
      <c r="S246" s="170"/>
      <c r="AD246" s="17" t="s">
        <v>410</v>
      </c>
      <c r="AE246" s="145" t="e">
        <f>SUM(AC247,AC249)</f>
        <v>#REF!</v>
      </c>
      <c r="AF246" s="145">
        <v>2</v>
      </c>
      <c r="AG246" s="172" t="e">
        <f>AF246/AE246</f>
        <v>#REF!</v>
      </c>
    </row>
    <row r="247" spans="1:33" x14ac:dyDescent="0.25">
      <c r="A247" s="134" t="e">
        <f>'Date Calcs'!#REF!</f>
        <v>#REF!</v>
      </c>
      <c r="B247" s="135" t="e">
        <f>'Date Calcs'!#REF!</f>
        <v>#REF!</v>
      </c>
      <c r="C247" s="136" t="e">
        <f>'Date Calcs'!#REF!</f>
        <v>#REF!</v>
      </c>
      <c r="D247" s="137" t="e">
        <f t="shared" si="36"/>
        <v>#REF!</v>
      </c>
      <c r="E247" s="143" t="s">
        <v>377</v>
      </c>
      <c r="F247" s="137" t="e">
        <f>'Date Calcs'!#REF!</f>
        <v>#REF!</v>
      </c>
      <c r="G247" s="137" t="e">
        <f>IF(VLOOKUP(A247,'Actual Dates'!A4:AE374,8,),'Actual Dates'!#REF!,"")</f>
        <v>#REF!</v>
      </c>
      <c r="H247" s="137" t="e">
        <f t="shared" si="38"/>
        <v>#REF!</v>
      </c>
      <c r="I247" s="137" t="e">
        <f>IF(VLOOKUP(A247,'Actual Dates'!A4:AE369,25,),'Actual Dates'!#REF!,"")</f>
        <v>#REF!</v>
      </c>
      <c r="J247" s="137" t="e">
        <f t="shared" si="39"/>
        <v>#REF!</v>
      </c>
      <c r="K247" s="137" t="e">
        <f>IF(VLOOKUP(A247,'Actual Dates'!A4:AE397,26,),'Actual Dates'!#REF!,"")</f>
        <v>#REF!</v>
      </c>
      <c r="L247" s="137" t="e">
        <f>IF(VLOOKUP(A247,'Actual Dates'!A4:AE397,21,),'Actual Dates'!#REF!,"")</f>
        <v>#REF!</v>
      </c>
      <c r="M247" s="137" t="e">
        <f>'Date Calcs'!#REF!</f>
        <v>#REF!</v>
      </c>
      <c r="N247" s="137" t="e">
        <f>IF(VLOOKUP(A247,'Actual Dates'!A4:AE397,27,),'Actual Dates'!#REF!,"")</f>
        <v>#REF!</v>
      </c>
      <c r="O247" s="138" t="e">
        <f t="shared" si="35"/>
        <v>#REF!</v>
      </c>
      <c r="P247" s="139" t="e">
        <f t="shared" si="40"/>
        <v>#REF!</v>
      </c>
      <c r="Q247" s="139" t="e">
        <f t="shared" si="41"/>
        <v>#REF!</v>
      </c>
      <c r="R247" s="170"/>
      <c r="S247" s="170"/>
      <c r="AC247" t="e">
        <f>IF(G247&lt;=F247,1,0)</f>
        <v>#REF!</v>
      </c>
      <c r="AD247" s="17" t="s">
        <v>410</v>
      </c>
      <c r="AE247" s="145"/>
      <c r="AF247" s="145"/>
      <c r="AG247" s="172"/>
    </row>
    <row r="248" spans="1:33" x14ac:dyDescent="0.25">
      <c r="A248" s="134" t="e">
        <f>'Date Calcs'!#REF!</f>
        <v>#REF!</v>
      </c>
      <c r="B248" s="135" t="e">
        <f>'Date Calcs'!#REF!</f>
        <v>#REF!</v>
      </c>
      <c r="C248" s="136" t="e">
        <f>'Date Calcs'!#REF!</f>
        <v>#REF!</v>
      </c>
      <c r="D248" s="137" t="e">
        <f t="shared" si="36"/>
        <v>#REF!</v>
      </c>
      <c r="E248" s="143"/>
      <c r="F248" s="137" t="e">
        <f>'Date Calcs'!#REF!</f>
        <v>#REF!</v>
      </c>
      <c r="G248" s="137" t="e">
        <f>IF(VLOOKUP(A248,'Actual Dates'!A4:AE375,8,),'Actual Dates'!#REF!,"")</f>
        <v>#REF!</v>
      </c>
      <c r="H248" s="137" t="e">
        <f t="shared" si="38"/>
        <v>#REF!</v>
      </c>
      <c r="I248" s="137" t="e">
        <f>IF(VLOOKUP(A248,'Actual Dates'!A4:AE370,25,),'Actual Dates'!#REF!,"")</f>
        <v>#REF!</v>
      </c>
      <c r="J248" s="137" t="e">
        <f t="shared" si="39"/>
        <v>#REF!</v>
      </c>
      <c r="K248" s="137" t="e">
        <f>IF(VLOOKUP(A248,'Actual Dates'!A4:AE398,26,),'Actual Dates'!#REF!,"")</f>
        <v>#REF!</v>
      </c>
      <c r="L248" s="137" t="e">
        <f>IF(VLOOKUP(A248,'Actual Dates'!A4:AE398,21,),'Actual Dates'!#REF!,"")</f>
        <v>#REF!</v>
      </c>
      <c r="M248" s="137" t="e">
        <f>'Date Calcs'!#REF!</f>
        <v>#REF!</v>
      </c>
      <c r="N248" s="137" t="e">
        <f>IF(VLOOKUP(A248,'Actual Dates'!A4:AE398,27,),'Actual Dates'!#REF!,"")</f>
        <v>#REF!</v>
      </c>
      <c r="O248" s="138" t="e">
        <f t="shared" si="35"/>
        <v>#REF!</v>
      </c>
      <c r="P248" s="139" t="e">
        <f t="shared" si="40"/>
        <v>#REF!</v>
      </c>
      <c r="Q248" s="139" t="e">
        <f t="shared" si="41"/>
        <v>#REF!</v>
      </c>
      <c r="R248" s="170"/>
      <c r="S248" s="170"/>
      <c r="AC248" t="e">
        <f>IF(G248&lt;=F248,1,0)</f>
        <v>#REF!</v>
      </c>
      <c r="AD248" s="17" t="s">
        <v>411</v>
      </c>
      <c r="AE248" s="145" t="e">
        <f>AC248</f>
        <v>#REF!</v>
      </c>
      <c r="AF248" s="145">
        <v>1</v>
      </c>
      <c r="AG248" s="147" t="e">
        <f>AF248/AE248</f>
        <v>#REF!</v>
      </c>
    </row>
    <row r="249" spans="1:33" x14ac:dyDescent="0.25">
      <c r="A249" s="134" t="e">
        <f>'Date Calcs'!#REF!</f>
        <v>#REF!</v>
      </c>
      <c r="B249" s="135" t="e">
        <f>'Date Calcs'!#REF!</f>
        <v>#REF!</v>
      </c>
      <c r="C249" s="136" t="e">
        <f>'Date Calcs'!#REF!</f>
        <v>#REF!</v>
      </c>
      <c r="D249" s="137" t="e">
        <f t="shared" si="36"/>
        <v>#REF!</v>
      </c>
      <c r="E249" s="143"/>
      <c r="F249" s="137" t="e">
        <f>'Date Calcs'!#REF!</f>
        <v>#REF!</v>
      </c>
      <c r="G249" s="137" t="e">
        <f>IF(VLOOKUP(A249,'Actual Dates'!A4:AE376,8,),'Actual Dates'!#REF!,"")</f>
        <v>#REF!</v>
      </c>
      <c r="H249" s="137" t="e">
        <f t="shared" si="38"/>
        <v>#REF!</v>
      </c>
      <c r="I249" s="137" t="e">
        <f>IF(VLOOKUP(A249,'Actual Dates'!A4:AE371,25,),'Actual Dates'!#REF!,"")</f>
        <v>#REF!</v>
      </c>
      <c r="J249" s="137" t="e">
        <f t="shared" si="39"/>
        <v>#REF!</v>
      </c>
      <c r="K249" s="137" t="e">
        <f>IF(VLOOKUP(A249,'Actual Dates'!A4:AE399,26,),'Actual Dates'!#REF!,"")</f>
        <v>#REF!</v>
      </c>
      <c r="L249" s="137" t="e">
        <f>IF(VLOOKUP(A249,'Actual Dates'!A4:AE399,21,),'Actual Dates'!#REF!,"")</f>
        <v>#REF!</v>
      </c>
      <c r="M249" s="137" t="e">
        <f>'Date Calcs'!#REF!</f>
        <v>#REF!</v>
      </c>
      <c r="N249" s="137" t="e">
        <f>IF(VLOOKUP(A249,'Actual Dates'!A4:AE399,27,),'Actual Dates'!#REF!,"")</f>
        <v>#REF!</v>
      </c>
      <c r="O249" s="138" t="e">
        <f t="shared" si="35"/>
        <v>#REF!</v>
      </c>
      <c r="P249" s="139" t="e">
        <f t="shared" si="40"/>
        <v>#REF!</v>
      </c>
      <c r="Q249" s="139" t="e">
        <f t="shared" si="41"/>
        <v>#REF!</v>
      </c>
      <c r="R249" s="170"/>
      <c r="S249" s="170"/>
      <c r="AC249" t="e">
        <f>IF(G249&lt;=F249,1,0)</f>
        <v>#REF!</v>
      </c>
      <c r="AD249" s="17" t="s">
        <v>410</v>
      </c>
      <c r="AE249" s="145"/>
      <c r="AF249" s="145"/>
      <c r="AG249" s="148"/>
    </row>
    <row r="250" spans="1:33" x14ac:dyDescent="0.25">
      <c r="A250" s="134" t="e">
        <f>'Date Calcs'!#REF!</f>
        <v>#REF!</v>
      </c>
      <c r="B250" s="135" t="e">
        <f>'Date Calcs'!#REF!</f>
        <v>#REF!</v>
      </c>
      <c r="C250" s="136" t="e">
        <f>'Date Calcs'!#REF!</f>
        <v>#REF!</v>
      </c>
      <c r="D250" s="137" t="e">
        <f t="shared" si="36"/>
        <v>#REF!</v>
      </c>
      <c r="E250" s="143">
        <v>44279</v>
      </c>
      <c r="F250" s="137" t="e">
        <f>'Date Calcs'!#REF!</f>
        <v>#REF!</v>
      </c>
      <c r="G250" s="137" t="e">
        <f>IF(VLOOKUP(A250,'Actual Dates'!A4:AE377,8,),'Actual Dates'!#REF!,"")</f>
        <v>#REF!</v>
      </c>
      <c r="H250" s="137" t="e">
        <f t="shared" si="38"/>
        <v>#REF!</v>
      </c>
      <c r="I250" s="137" t="e">
        <f>IF(VLOOKUP(A250,'Actual Dates'!A4:AE372,25,),'Actual Dates'!#REF!,"")</f>
        <v>#REF!</v>
      </c>
      <c r="J250" s="137" t="e">
        <f t="shared" si="39"/>
        <v>#REF!</v>
      </c>
      <c r="K250" s="137" t="e">
        <f>IF(VLOOKUP(A250,'Actual Dates'!A4:AE400,26,),'Actual Dates'!#REF!,"")</f>
        <v>#REF!</v>
      </c>
      <c r="L250" s="137" t="e">
        <f>IF(VLOOKUP(A250,'Actual Dates'!A4:AE400,21,),'Actual Dates'!#REF!,"")</f>
        <v>#REF!</v>
      </c>
      <c r="M250" s="137" t="e">
        <f>'Date Calcs'!#REF!</f>
        <v>#REF!</v>
      </c>
      <c r="N250" s="137" t="e">
        <f>IF(VLOOKUP(A250,'Actual Dates'!A4:AE400,27,),'Actual Dates'!#REF!,"")</f>
        <v>#REF!</v>
      </c>
      <c r="O250" s="138" t="e">
        <f t="shared" si="35"/>
        <v>#REF!</v>
      </c>
      <c r="P250" s="139" t="e">
        <f t="shared" si="40"/>
        <v>#REF!</v>
      </c>
      <c r="Q250" s="139" t="e">
        <f t="shared" si="41"/>
        <v>#REF!</v>
      </c>
      <c r="R250" s="170"/>
      <c r="S250" s="170"/>
      <c r="AC250" t="e">
        <f>IF(G250&lt;=F250,1,0)</f>
        <v>#REF!</v>
      </c>
      <c r="AD250" s="17" t="s">
        <v>411</v>
      </c>
      <c r="AE250" s="145">
        <v>1</v>
      </c>
      <c r="AF250" s="145">
        <v>1</v>
      </c>
      <c r="AG250" s="147"/>
    </row>
    <row r="251" spans="1:33" x14ac:dyDescent="0.25">
      <c r="A251" s="134" t="e">
        <f>'Date Calcs'!#REF!</f>
        <v>#REF!</v>
      </c>
      <c r="B251" s="135" t="e">
        <f>'Date Calcs'!#REF!</f>
        <v>#REF!</v>
      </c>
      <c r="C251" s="136" t="e">
        <f>'Date Calcs'!#REF!</f>
        <v>#REF!</v>
      </c>
      <c r="D251" s="137" t="e">
        <f t="shared" si="36"/>
        <v>#REF!</v>
      </c>
      <c r="E251" s="143"/>
      <c r="F251" s="137" t="e">
        <f>'Date Calcs'!#REF!</f>
        <v>#REF!</v>
      </c>
      <c r="G251" s="137" t="e">
        <f>IF(VLOOKUP(A251,'Actual Dates'!A4:AE378,8,),'Actual Dates'!#REF!,"")</f>
        <v>#REF!</v>
      </c>
      <c r="H251" s="137" t="e">
        <f t="shared" si="38"/>
        <v>#REF!</v>
      </c>
      <c r="I251" s="137" t="e">
        <f>IF(VLOOKUP(A251,'Actual Dates'!A4:AE373,25,),'Actual Dates'!#REF!,"")</f>
        <v>#REF!</v>
      </c>
      <c r="J251" s="137" t="e">
        <f t="shared" si="39"/>
        <v>#REF!</v>
      </c>
      <c r="K251" s="137" t="e">
        <f>IF(VLOOKUP(A251,'Actual Dates'!A4:AE401,26,),'Actual Dates'!#REF!,"")</f>
        <v>#REF!</v>
      </c>
      <c r="L251" s="137" t="e">
        <f>IF(VLOOKUP(A251,'Actual Dates'!A4:AE401,21,),'Actual Dates'!#REF!,"")</f>
        <v>#REF!</v>
      </c>
      <c r="M251" s="137" t="e">
        <f>'Date Calcs'!#REF!</f>
        <v>#REF!</v>
      </c>
      <c r="N251" s="137" t="e">
        <f>IF(VLOOKUP(A251,'Actual Dates'!A4:AE401,27,),'Actual Dates'!#REF!,"")</f>
        <v>#REF!</v>
      </c>
      <c r="O251" s="138" t="e">
        <f t="shared" si="35"/>
        <v>#REF!</v>
      </c>
      <c r="P251" s="139" t="e">
        <f t="shared" si="40"/>
        <v>#REF!</v>
      </c>
      <c r="Q251" s="139" t="e">
        <f t="shared" si="41"/>
        <v>#REF!</v>
      </c>
      <c r="R251" s="170"/>
      <c r="S251" s="170"/>
    </row>
    <row r="252" spans="1:33" x14ac:dyDescent="0.25">
      <c r="A252" s="134" t="e">
        <f>'Date Calcs'!#REF!</f>
        <v>#REF!</v>
      </c>
      <c r="B252" s="135" t="e">
        <f>'Date Calcs'!#REF!</f>
        <v>#REF!</v>
      </c>
      <c r="C252" s="136" t="e">
        <f>'Date Calcs'!#REF!</f>
        <v>#REF!</v>
      </c>
      <c r="D252" s="137" t="e">
        <f t="shared" si="36"/>
        <v>#REF!</v>
      </c>
      <c r="E252" s="143"/>
      <c r="F252" s="137" t="e">
        <f>'Date Calcs'!#REF!</f>
        <v>#REF!</v>
      </c>
      <c r="G252" s="137" t="e">
        <f>IF(VLOOKUP(A252,'Actual Dates'!A4:AE379,8,),'Actual Dates'!#REF!,"")</f>
        <v>#REF!</v>
      </c>
      <c r="H252" s="137" t="e">
        <f t="shared" si="38"/>
        <v>#REF!</v>
      </c>
      <c r="I252" s="137" t="e">
        <f>IF(VLOOKUP(A252,'Actual Dates'!A4:AE374,25,),'Actual Dates'!#REF!,"")</f>
        <v>#REF!</v>
      </c>
      <c r="J252" s="137" t="e">
        <f t="shared" si="39"/>
        <v>#REF!</v>
      </c>
      <c r="K252" s="137" t="e">
        <f>IF(VLOOKUP(A252,'Actual Dates'!A4:AE402,26,),'Actual Dates'!#REF!,"")</f>
        <v>#REF!</v>
      </c>
      <c r="L252" s="137" t="e">
        <f>IF(VLOOKUP(A252,'Actual Dates'!A4:AE402,21,),'Actual Dates'!#REF!,"")</f>
        <v>#REF!</v>
      </c>
      <c r="M252" s="137" t="e">
        <f>'Date Calcs'!#REF!</f>
        <v>#REF!</v>
      </c>
      <c r="N252" s="137" t="e">
        <f>IF(VLOOKUP(A252,'Actual Dates'!A4:AE402,27,),'Actual Dates'!#REF!,"")</f>
        <v>#REF!</v>
      </c>
      <c r="O252" s="138" t="e">
        <f t="shared" si="35"/>
        <v>#REF!</v>
      </c>
      <c r="P252" s="139" t="e">
        <f t="shared" si="40"/>
        <v>#REF!</v>
      </c>
      <c r="Q252" s="139" t="e">
        <f t="shared" si="41"/>
        <v>#REF!</v>
      </c>
      <c r="R252" s="170"/>
      <c r="S252" s="170"/>
    </row>
    <row r="253" spans="1:33" x14ac:dyDescent="0.25">
      <c r="A253" s="134" t="e">
        <f>'Date Calcs'!#REF!</f>
        <v>#REF!</v>
      </c>
      <c r="B253" s="135" t="e">
        <f>'Date Calcs'!#REF!</f>
        <v>#REF!</v>
      </c>
      <c r="C253" s="136" t="e">
        <f>'Date Calcs'!#REF!</f>
        <v>#REF!</v>
      </c>
      <c r="D253" s="137" t="e">
        <f t="shared" si="36"/>
        <v>#REF!</v>
      </c>
      <c r="E253" s="143">
        <v>44280</v>
      </c>
      <c r="F253" s="137" t="e">
        <f>'Date Calcs'!#REF!</f>
        <v>#REF!</v>
      </c>
      <c r="G253" s="137" t="e">
        <f>IF(VLOOKUP(A253,'Actual Dates'!A4:AE380,8,),'Actual Dates'!#REF!,"")</f>
        <v>#REF!</v>
      </c>
      <c r="H253" s="137" t="e">
        <f t="shared" si="38"/>
        <v>#REF!</v>
      </c>
      <c r="I253" s="137" t="e">
        <f>IF(VLOOKUP(A253,'Actual Dates'!A4:AE375,25,),'Actual Dates'!#REF!,"")</f>
        <v>#REF!</v>
      </c>
      <c r="J253" s="137" t="e">
        <f t="shared" si="39"/>
        <v>#REF!</v>
      </c>
      <c r="K253" s="137" t="e">
        <f>IF(VLOOKUP(A253,'Actual Dates'!A4:AE403,26,),'Actual Dates'!#REF!,"")</f>
        <v>#REF!</v>
      </c>
      <c r="L253" s="137" t="e">
        <f>IF(VLOOKUP(A253,'Actual Dates'!A4:AE403,21,),'Actual Dates'!#REF!,"")</f>
        <v>#REF!</v>
      </c>
      <c r="M253" s="137" t="e">
        <f>'Date Calcs'!#REF!</f>
        <v>#REF!</v>
      </c>
      <c r="N253" s="137" t="e">
        <f>IF(VLOOKUP(A253,'Actual Dates'!A4:AE403,27,),'Actual Dates'!#REF!,"")</f>
        <v>#REF!</v>
      </c>
      <c r="O253" s="138" t="e">
        <f t="shared" si="35"/>
        <v>#REF!</v>
      </c>
      <c r="P253" s="139" t="e">
        <f t="shared" si="40"/>
        <v>#REF!</v>
      </c>
      <c r="Q253" s="139" t="e">
        <f t="shared" si="41"/>
        <v>#REF!</v>
      </c>
      <c r="R253" s="170"/>
      <c r="S253" s="170"/>
    </row>
    <row r="254" spans="1:33" x14ac:dyDescent="0.25">
      <c r="A254" s="134" t="e">
        <f>'Date Calcs'!#REF!</f>
        <v>#REF!</v>
      </c>
      <c r="B254" s="135" t="e">
        <f>'Date Calcs'!#REF!</f>
        <v>#REF!</v>
      </c>
      <c r="C254" s="136" t="e">
        <f>'Date Calcs'!#REF!</f>
        <v>#REF!</v>
      </c>
      <c r="D254" s="137" t="e">
        <f t="shared" si="36"/>
        <v>#REF!</v>
      </c>
      <c r="E254" s="143"/>
      <c r="F254" s="137" t="e">
        <f>'Date Calcs'!#REF!</f>
        <v>#REF!</v>
      </c>
      <c r="G254" s="137" t="e">
        <f>IF(VLOOKUP(A254,'Actual Dates'!A4:AE381,8,),'Actual Dates'!#REF!,"")</f>
        <v>#REF!</v>
      </c>
      <c r="H254" s="137" t="e">
        <f t="shared" si="38"/>
        <v>#REF!</v>
      </c>
      <c r="I254" s="137" t="e">
        <f>IF(VLOOKUP(A254,'Actual Dates'!A4:AE376,25,),'Actual Dates'!#REF!,"")</f>
        <v>#REF!</v>
      </c>
      <c r="J254" s="137" t="e">
        <f t="shared" si="39"/>
        <v>#REF!</v>
      </c>
      <c r="K254" s="137" t="e">
        <f>IF(VLOOKUP(A254,'Actual Dates'!A4:AE404,26,),'Actual Dates'!#REF!,"")</f>
        <v>#REF!</v>
      </c>
      <c r="L254" s="137" t="e">
        <f>IF(VLOOKUP(A254,'Actual Dates'!A4:AE404,21,),'Actual Dates'!#REF!,"")</f>
        <v>#REF!</v>
      </c>
      <c r="M254" s="137" t="e">
        <f>'Date Calcs'!#REF!</f>
        <v>#REF!</v>
      </c>
      <c r="N254" s="137" t="e">
        <f>IF(VLOOKUP(A254,'Actual Dates'!A4:AE404,27,),'Actual Dates'!#REF!,"")</f>
        <v>#REF!</v>
      </c>
      <c r="O254" s="138" t="e">
        <f t="shared" si="35"/>
        <v>#REF!</v>
      </c>
      <c r="P254" s="139" t="e">
        <f t="shared" si="40"/>
        <v>#REF!</v>
      </c>
      <c r="Q254" s="139" t="e">
        <f t="shared" si="41"/>
        <v>#REF!</v>
      </c>
      <c r="R254" s="170"/>
      <c r="S254" s="170"/>
    </row>
    <row r="255" spans="1:33" x14ac:dyDescent="0.25">
      <c r="A255" s="134" t="e">
        <f>'Date Calcs'!#REF!</f>
        <v>#REF!</v>
      </c>
      <c r="B255" s="135" t="e">
        <f>'Date Calcs'!#REF!</f>
        <v>#REF!</v>
      </c>
      <c r="C255" s="136" t="e">
        <f>'Date Calcs'!#REF!</f>
        <v>#REF!</v>
      </c>
      <c r="D255" s="137" t="e">
        <f t="shared" si="36"/>
        <v>#REF!</v>
      </c>
      <c r="E255" s="143">
        <v>44303</v>
      </c>
      <c r="F255" s="137" t="e">
        <f>'Date Calcs'!#REF!</f>
        <v>#REF!</v>
      </c>
      <c r="G255" s="137" t="e">
        <f>IF(VLOOKUP(A255,'Actual Dates'!A4:AE382,8,),'Actual Dates'!#REF!,"")</f>
        <v>#REF!</v>
      </c>
      <c r="H255" s="137" t="e">
        <f t="shared" si="38"/>
        <v>#REF!</v>
      </c>
      <c r="I255" s="137" t="e">
        <f>IF(VLOOKUP(A255,'Actual Dates'!A4:AE377,25,),'Actual Dates'!#REF!,"")</f>
        <v>#REF!</v>
      </c>
      <c r="J255" s="137" t="e">
        <f t="shared" si="39"/>
        <v>#REF!</v>
      </c>
      <c r="K255" s="137" t="e">
        <f>IF(VLOOKUP(A255,'Actual Dates'!A4:AE405,26,),'Actual Dates'!#REF!,"")</f>
        <v>#REF!</v>
      </c>
      <c r="L255" s="137" t="e">
        <f>IF(VLOOKUP(A255,'Actual Dates'!A4:AE405,21,),'Actual Dates'!#REF!,"")</f>
        <v>#REF!</v>
      </c>
      <c r="M255" s="137" t="e">
        <f>'Date Calcs'!#REF!</f>
        <v>#REF!</v>
      </c>
      <c r="N255" s="137" t="e">
        <f>IF(VLOOKUP(A255,'Actual Dates'!A4:AE405,27,),'Actual Dates'!#REF!,"")</f>
        <v>#REF!</v>
      </c>
      <c r="O255" s="138" t="e">
        <f t="shared" si="35"/>
        <v>#REF!</v>
      </c>
      <c r="P255" s="139" t="e">
        <f t="shared" si="40"/>
        <v>#REF!</v>
      </c>
      <c r="Q255" s="139" t="e">
        <f t="shared" si="41"/>
        <v>#REF!</v>
      </c>
      <c r="R255" s="170"/>
      <c r="S255" s="170"/>
    </row>
    <row r="256" spans="1:33" x14ac:dyDescent="0.25">
      <c r="A256" s="134" t="e">
        <f>'Date Calcs'!#REF!</f>
        <v>#REF!</v>
      </c>
      <c r="B256" s="135" t="e">
        <f>'Date Calcs'!#REF!</f>
        <v>#REF!</v>
      </c>
      <c r="C256" s="136" t="e">
        <f>'Date Calcs'!#REF!</f>
        <v>#REF!</v>
      </c>
      <c r="D256" s="137" t="e">
        <f t="shared" si="36"/>
        <v>#REF!</v>
      </c>
      <c r="E256" s="143">
        <v>44281</v>
      </c>
      <c r="F256" s="137" t="e">
        <f>'Date Calcs'!#REF!</f>
        <v>#REF!</v>
      </c>
      <c r="G256" s="137" t="e">
        <f>IF(VLOOKUP(A256,'Actual Dates'!A4:AE383,8,),'Actual Dates'!#REF!,"")</f>
        <v>#REF!</v>
      </c>
      <c r="H256" s="137" t="e">
        <f t="shared" si="38"/>
        <v>#REF!</v>
      </c>
      <c r="I256" s="137" t="e">
        <f>IF(VLOOKUP(A256,'Actual Dates'!A4:AE378,25,),'Actual Dates'!#REF!,"")</f>
        <v>#REF!</v>
      </c>
      <c r="J256" s="137" t="e">
        <f t="shared" si="39"/>
        <v>#REF!</v>
      </c>
      <c r="K256" s="137" t="e">
        <f>IF(VLOOKUP(A256,'Actual Dates'!A4:AE406,26,),'Actual Dates'!#REF!,"")</f>
        <v>#REF!</v>
      </c>
      <c r="L256" s="137" t="e">
        <f>IF(VLOOKUP(A256,'Actual Dates'!A4:AE406,21,),'Actual Dates'!#REF!,"")</f>
        <v>#REF!</v>
      </c>
      <c r="M256" s="137" t="e">
        <f>'Date Calcs'!#REF!</f>
        <v>#REF!</v>
      </c>
      <c r="N256" s="137" t="e">
        <f>IF(VLOOKUP(A256,'Actual Dates'!A4:AE406,27,),'Actual Dates'!#REF!,"")</f>
        <v>#REF!</v>
      </c>
      <c r="O256" s="138" t="e">
        <f t="shared" si="35"/>
        <v>#REF!</v>
      </c>
      <c r="P256" s="139" t="e">
        <f t="shared" si="40"/>
        <v>#REF!</v>
      </c>
      <c r="Q256" s="139" t="e">
        <f t="shared" si="41"/>
        <v>#REF!</v>
      </c>
      <c r="R256" s="170"/>
      <c r="S256" s="170"/>
    </row>
    <row r="257" spans="1:19" x14ac:dyDescent="0.25">
      <c r="A257" s="134" t="e">
        <f>'Date Calcs'!#REF!</f>
        <v>#REF!</v>
      </c>
      <c r="B257" s="135" t="e">
        <f>'Date Calcs'!#REF!</f>
        <v>#REF!</v>
      </c>
      <c r="C257" s="136" t="e">
        <f>'Date Calcs'!#REF!</f>
        <v>#REF!</v>
      </c>
      <c r="D257" s="137" t="e">
        <f t="shared" si="36"/>
        <v>#REF!</v>
      </c>
      <c r="E257" s="143"/>
      <c r="F257" s="137" t="e">
        <f>'Date Calcs'!#REF!</f>
        <v>#REF!</v>
      </c>
      <c r="G257" s="137" t="e">
        <f>IF(VLOOKUP(A257,'Actual Dates'!A4:AE384,8,),'Actual Dates'!#REF!,"")</f>
        <v>#REF!</v>
      </c>
      <c r="H257" s="137" t="e">
        <f t="shared" si="38"/>
        <v>#REF!</v>
      </c>
      <c r="I257" s="137" t="e">
        <f>IF(VLOOKUP(A257,'Actual Dates'!A4:AE379,25,),'Actual Dates'!#REF!,"")</f>
        <v>#REF!</v>
      </c>
      <c r="J257" s="137" t="e">
        <f t="shared" si="39"/>
        <v>#REF!</v>
      </c>
      <c r="K257" s="137" t="e">
        <f>IF(VLOOKUP(A257,'Actual Dates'!A4:AE407,26,),'Actual Dates'!#REF!,"")</f>
        <v>#REF!</v>
      </c>
      <c r="L257" s="137" t="e">
        <f>IF(VLOOKUP(A257,'Actual Dates'!A4:AE407,21,),'Actual Dates'!#REF!,"")</f>
        <v>#REF!</v>
      </c>
      <c r="M257" s="137" t="e">
        <f>'Date Calcs'!#REF!</f>
        <v>#REF!</v>
      </c>
      <c r="N257" s="137" t="e">
        <f>IF(VLOOKUP(A257,'Actual Dates'!A4:AE407,27,),'Actual Dates'!#REF!,"")</f>
        <v>#REF!</v>
      </c>
      <c r="O257" s="138" t="e">
        <f t="shared" si="35"/>
        <v>#REF!</v>
      </c>
      <c r="P257" s="139" t="e">
        <f t="shared" si="40"/>
        <v>#REF!</v>
      </c>
      <c r="Q257" s="139" t="e">
        <f t="shared" si="41"/>
        <v>#REF!</v>
      </c>
      <c r="R257" s="170"/>
      <c r="S257" s="170"/>
    </row>
    <row r="258" spans="1:19" x14ac:dyDescent="0.25">
      <c r="A258" s="134" t="e">
        <f>'Date Calcs'!#REF!</f>
        <v>#REF!</v>
      </c>
      <c r="B258" s="135" t="e">
        <f>'Date Calcs'!#REF!</f>
        <v>#REF!</v>
      </c>
      <c r="C258" s="136" t="e">
        <f>'Date Calcs'!#REF!</f>
        <v>#REF!</v>
      </c>
      <c r="D258" s="137" t="e">
        <f t="shared" si="36"/>
        <v>#REF!</v>
      </c>
      <c r="E258" s="143">
        <v>44333</v>
      </c>
      <c r="F258" s="137" t="e">
        <f>'Date Calcs'!#REF!</f>
        <v>#REF!</v>
      </c>
      <c r="G258" s="137" t="e">
        <f>IF(VLOOKUP(A258,'Actual Dates'!A4:AE385,8,),'Actual Dates'!#REF!,"")</f>
        <v>#REF!</v>
      </c>
      <c r="H258" s="137" t="e">
        <f t="shared" si="38"/>
        <v>#REF!</v>
      </c>
      <c r="I258" s="137" t="e">
        <f>IF(VLOOKUP(A258,'Actual Dates'!A4:AE380,25,),'Actual Dates'!#REF!,"")</f>
        <v>#REF!</v>
      </c>
      <c r="J258" s="137" t="e">
        <f t="shared" si="39"/>
        <v>#REF!</v>
      </c>
      <c r="K258" s="137" t="e">
        <f>IF(VLOOKUP(A258,'Actual Dates'!A4:AE408,26,),'Actual Dates'!#REF!,"")</f>
        <v>#REF!</v>
      </c>
      <c r="L258" s="137" t="e">
        <f>IF(VLOOKUP(A258,'Actual Dates'!A4:AE408,21,),'Actual Dates'!#REF!,"")</f>
        <v>#REF!</v>
      </c>
      <c r="M258" s="137" t="e">
        <f>'Date Calcs'!#REF!</f>
        <v>#REF!</v>
      </c>
      <c r="N258" s="137" t="e">
        <f>IF(VLOOKUP(A258,'Actual Dates'!A4:AE408,27,),'Actual Dates'!#REF!,"")</f>
        <v>#REF!</v>
      </c>
      <c r="O258" s="138" t="e">
        <f t="shared" si="35"/>
        <v>#REF!</v>
      </c>
      <c r="P258" s="139" t="e">
        <f t="shared" si="40"/>
        <v>#REF!</v>
      </c>
      <c r="Q258" s="139" t="e">
        <f t="shared" si="41"/>
        <v>#REF!</v>
      </c>
      <c r="R258" s="170"/>
      <c r="S258" s="170"/>
    </row>
    <row r="259" spans="1:19" x14ac:dyDescent="0.25">
      <c r="A259" s="134" t="e">
        <f>'Date Calcs'!#REF!</f>
        <v>#REF!</v>
      </c>
      <c r="B259" s="135" t="e">
        <f>'Date Calcs'!#REF!</f>
        <v>#REF!</v>
      </c>
      <c r="C259" s="136" t="e">
        <f>'Date Calcs'!#REF!</f>
        <v>#REF!</v>
      </c>
      <c r="D259" s="137" t="e">
        <f t="shared" si="36"/>
        <v>#REF!</v>
      </c>
      <c r="E259" s="143">
        <v>44282</v>
      </c>
      <c r="F259" s="137" t="e">
        <f>'Date Calcs'!#REF!</f>
        <v>#REF!</v>
      </c>
      <c r="G259" s="137" t="e">
        <f>IF(VLOOKUP(A259,'Actual Dates'!A4:AE386,8,),'Actual Dates'!#REF!,"")</f>
        <v>#REF!</v>
      </c>
      <c r="H259" s="137" t="e">
        <f t="shared" si="38"/>
        <v>#REF!</v>
      </c>
      <c r="I259" s="137" t="e">
        <f>IF(VLOOKUP(A259,'Actual Dates'!A4:AE381,25,),'Actual Dates'!#REF!,"")</f>
        <v>#REF!</v>
      </c>
      <c r="J259" s="137" t="e">
        <f t="shared" si="39"/>
        <v>#REF!</v>
      </c>
      <c r="K259" s="137" t="e">
        <f>IF(VLOOKUP(A259,'Actual Dates'!A4:AE409,26,),'Actual Dates'!#REF!,"")</f>
        <v>#REF!</v>
      </c>
      <c r="L259" s="137" t="e">
        <f>IF(VLOOKUP(A259,'Actual Dates'!A4:AE409,21,),'Actual Dates'!#REF!,"")</f>
        <v>#REF!</v>
      </c>
      <c r="M259" s="137" t="e">
        <f>'Date Calcs'!#REF!</f>
        <v>#REF!</v>
      </c>
      <c r="N259" s="137" t="e">
        <f>IF(VLOOKUP(A259,'Actual Dates'!A4:AE409,27,),'Actual Dates'!#REF!,"")</f>
        <v>#REF!</v>
      </c>
      <c r="O259" s="138" t="e">
        <f t="shared" si="35"/>
        <v>#REF!</v>
      </c>
      <c r="P259" s="139" t="e">
        <f t="shared" si="40"/>
        <v>#REF!</v>
      </c>
      <c r="Q259" s="139" t="e">
        <f t="shared" si="41"/>
        <v>#REF!</v>
      </c>
      <c r="R259" s="170"/>
      <c r="S259" s="170"/>
    </row>
    <row r="260" spans="1:19" x14ac:dyDescent="0.25">
      <c r="A260" s="134" t="e">
        <f>'Date Calcs'!#REF!</f>
        <v>#REF!</v>
      </c>
      <c r="B260" s="135" t="e">
        <f>'Date Calcs'!#REF!</f>
        <v>#REF!</v>
      </c>
      <c r="C260" s="136" t="e">
        <f>'Date Calcs'!#REF!</f>
        <v>#REF!</v>
      </c>
      <c r="D260" s="137" t="e">
        <f t="shared" si="36"/>
        <v>#REF!</v>
      </c>
      <c r="E260" s="143">
        <v>44283</v>
      </c>
      <c r="F260" s="137" t="e">
        <f>'Date Calcs'!#REF!</f>
        <v>#REF!</v>
      </c>
      <c r="G260" s="137" t="e">
        <f>IF(VLOOKUP(A260,'Actual Dates'!A4:AE387,8,),'Actual Dates'!#REF!,"")</f>
        <v>#REF!</v>
      </c>
      <c r="H260" s="137" t="e">
        <f t="shared" si="38"/>
        <v>#REF!</v>
      </c>
      <c r="I260" s="137" t="e">
        <f>IF(VLOOKUP(A260,'Actual Dates'!A4:AE382,25,),'Actual Dates'!#REF!,"")</f>
        <v>#REF!</v>
      </c>
      <c r="J260" s="137" t="e">
        <f t="shared" si="39"/>
        <v>#REF!</v>
      </c>
      <c r="K260" s="137" t="e">
        <f>IF(VLOOKUP(A260,'Actual Dates'!A4:AE410,26,),'Actual Dates'!#REF!,"")</f>
        <v>#REF!</v>
      </c>
      <c r="L260" s="137" t="e">
        <f>IF(VLOOKUP(A260,'Actual Dates'!A4:AE410,21,),'Actual Dates'!#REF!,"")</f>
        <v>#REF!</v>
      </c>
      <c r="M260" s="137" t="e">
        <f>'Date Calcs'!#REF!</f>
        <v>#REF!</v>
      </c>
      <c r="N260" s="137" t="e">
        <f>IF(VLOOKUP(A260,'Actual Dates'!A4:AE410,27,),'Actual Dates'!#REF!,"")</f>
        <v>#REF!</v>
      </c>
      <c r="O260" s="138" t="e">
        <f t="shared" si="35"/>
        <v>#REF!</v>
      </c>
      <c r="P260" s="139" t="e">
        <f t="shared" si="40"/>
        <v>#REF!</v>
      </c>
      <c r="Q260" s="139" t="e">
        <f t="shared" si="41"/>
        <v>#REF!</v>
      </c>
      <c r="R260" s="170"/>
      <c r="S260" s="170"/>
    </row>
    <row r="261" spans="1:19" x14ac:dyDescent="0.25">
      <c r="A261" s="134" t="e">
        <f>'Date Calcs'!#REF!</f>
        <v>#REF!</v>
      </c>
      <c r="B261" s="135" t="e">
        <f>'Date Calcs'!#REF!</f>
        <v>#REF!</v>
      </c>
      <c r="C261" s="136" t="e">
        <f>'Date Calcs'!#REF!</f>
        <v>#REF!</v>
      </c>
      <c r="D261" s="137" t="e">
        <f t="shared" si="36"/>
        <v>#REF!</v>
      </c>
      <c r="E261" s="143">
        <v>44284</v>
      </c>
      <c r="F261" s="137" t="e">
        <f>'Date Calcs'!#REF!</f>
        <v>#REF!</v>
      </c>
      <c r="G261" s="137" t="e">
        <f>IF(VLOOKUP(A261,'Actual Dates'!A4:AE388,8,),'Actual Dates'!#REF!,"")</f>
        <v>#REF!</v>
      </c>
      <c r="H261" s="137" t="e">
        <f t="shared" si="38"/>
        <v>#REF!</v>
      </c>
      <c r="I261" s="137" t="e">
        <f>IF(VLOOKUP(A261,'Actual Dates'!A4:AE383,25,),'Actual Dates'!#REF!,"")</f>
        <v>#REF!</v>
      </c>
      <c r="J261" s="137" t="e">
        <f t="shared" si="39"/>
        <v>#REF!</v>
      </c>
      <c r="K261" s="137" t="e">
        <f>IF(VLOOKUP(A261,'Actual Dates'!A4:AE411,26,),'Actual Dates'!#REF!,"")</f>
        <v>#REF!</v>
      </c>
      <c r="L261" s="137" t="e">
        <f>IF(VLOOKUP(A261,'Actual Dates'!A4:AE411,21,),'Actual Dates'!#REF!,"")</f>
        <v>#REF!</v>
      </c>
      <c r="M261" s="137" t="e">
        <f>'Date Calcs'!#REF!</f>
        <v>#REF!</v>
      </c>
      <c r="N261" s="137" t="e">
        <f>IF(VLOOKUP(A261,'Actual Dates'!A4:AE411,27,),'Actual Dates'!#REF!,"")</f>
        <v>#REF!</v>
      </c>
      <c r="O261" s="138" t="e">
        <f t="shared" si="35"/>
        <v>#REF!</v>
      </c>
      <c r="P261" s="139" t="e">
        <f t="shared" si="40"/>
        <v>#REF!</v>
      </c>
      <c r="Q261" s="139" t="e">
        <f t="shared" si="41"/>
        <v>#REF!</v>
      </c>
      <c r="R261" s="170"/>
      <c r="S261" s="170"/>
    </row>
    <row r="262" spans="1:19" x14ac:dyDescent="0.25">
      <c r="A262" s="134" t="e">
        <f>'Date Calcs'!#REF!</f>
        <v>#REF!</v>
      </c>
      <c r="B262" s="135" t="e">
        <f>'Date Calcs'!#REF!</f>
        <v>#REF!</v>
      </c>
      <c r="C262" s="136" t="e">
        <f>'Date Calcs'!#REF!</f>
        <v>#REF!</v>
      </c>
      <c r="D262" s="137" t="e">
        <f t="shared" si="36"/>
        <v>#REF!</v>
      </c>
      <c r="E262" s="143">
        <v>44285</v>
      </c>
      <c r="F262" s="137" t="e">
        <f>'Date Calcs'!#REF!</f>
        <v>#REF!</v>
      </c>
      <c r="G262" s="137" t="e">
        <f>IF(VLOOKUP(A262,'Actual Dates'!A4:AE389,8,),'Actual Dates'!#REF!,"")</f>
        <v>#REF!</v>
      </c>
      <c r="H262" s="137" t="e">
        <f t="shared" si="38"/>
        <v>#REF!</v>
      </c>
      <c r="I262" s="137" t="e">
        <f>IF(VLOOKUP(A262,'Actual Dates'!A4:AE384,25,),'Actual Dates'!#REF!,"")</f>
        <v>#REF!</v>
      </c>
      <c r="J262" s="137" t="e">
        <f t="shared" si="39"/>
        <v>#REF!</v>
      </c>
      <c r="K262" s="137" t="e">
        <f>IF(VLOOKUP(A262,'Actual Dates'!A4:AE412,26,),'Actual Dates'!#REF!,"")</f>
        <v>#REF!</v>
      </c>
      <c r="L262" s="137" t="e">
        <f>IF(VLOOKUP(A262,'Actual Dates'!A4:AE412,21,),'Actual Dates'!#REF!,"")</f>
        <v>#REF!</v>
      </c>
      <c r="M262" s="137" t="e">
        <f>'Date Calcs'!#REF!</f>
        <v>#REF!</v>
      </c>
      <c r="N262" s="137" t="e">
        <f>IF(VLOOKUP(A262,'Actual Dates'!A4:AE412,27,),'Actual Dates'!#REF!,"")</f>
        <v>#REF!</v>
      </c>
      <c r="O262" s="138" t="e">
        <f t="shared" si="35"/>
        <v>#REF!</v>
      </c>
      <c r="P262" s="139" t="e">
        <f t="shared" si="40"/>
        <v>#REF!</v>
      </c>
      <c r="Q262" s="139" t="e">
        <f t="shared" si="41"/>
        <v>#REF!</v>
      </c>
      <c r="R262" s="170"/>
      <c r="S262" s="170"/>
    </row>
    <row r="263" spans="1:19" x14ac:dyDescent="0.25">
      <c r="A263" s="134" t="e">
        <f>'Date Calcs'!#REF!</f>
        <v>#REF!</v>
      </c>
      <c r="B263" s="135" t="e">
        <f>'Date Calcs'!#REF!</f>
        <v>#REF!</v>
      </c>
      <c r="C263" s="136" t="e">
        <f>'Date Calcs'!#REF!</f>
        <v>#REF!</v>
      </c>
      <c r="D263" s="137" t="e">
        <f t="shared" si="36"/>
        <v>#REF!</v>
      </c>
      <c r="E263" s="143">
        <v>44286</v>
      </c>
      <c r="F263" s="137" t="e">
        <f>'Date Calcs'!#REF!</f>
        <v>#REF!</v>
      </c>
      <c r="G263" s="137" t="e">
        <f>IF(VLOOKUP(A263,'Actual Dates'!A4:AE390,8,),'Actual Dates'!#REF!,"")</f>
        <v>#REF!</v>
      </c>
      <c r="H263" s="137" t="e">
        <f t="shared" si="38"/>
        <v>#REF!</v>
      </c>
      <c r="I263" s="137" t="e">
        <f>IF(VLOOKUP(A263,'Actual Dates'!A4:AE385,25,),'Actual Dates'!#REF!,"")</f>
        <v>#REF!</v>
      </c>
      <c r="J263" s="137" t="e">
        <f t="shared" si="39"/>
        <v>#REF!</v>
      </c>
      <c r="K263" s="137" t="e">
        <f>IF(VLOOKUP(A263,'Actual Dates'!A4:AE413,26,),'Actual Dates'!#REF!,"")</f>
        <v>#REF!</v>
      </c>
      <c r="L263" s="137" t="e">
        <f>IF(VLOOKUP(A263,'Actual Dates'!A4:AE413,21,),'Actual Dates'!#REF!,"")</f>
        <v>#REF!</v>
      </c>
      <c r="M263" s="137" t="e">
        <f>'Date Calcs'!#REF!</f>
        <v>#REF!</v>
      </c>
      <c r="N263" s="137" t="e">
        <f>IF(VLOOKUP(A263,'Actual Dates'!A4:AE413,27,),'Actual Dates'!#REF!,"")</f>
        <v>#REF!</v>
      </c>
      <c r="O263" s="138" t="e">
        <f t="shared" si="35"/>
        <v>#REF!</v>
      </c>
      <c r="P263" s="139" t="e">
        <f t="shared" si="40"/>
        <v>#REF!</v>
      </c>
      <c r="Q263" s="139" t="e">
        <f t="shared" si="41"/>
        <v>#REF!</v>
      </c>
      <c r="R263" s="170"/>
      <c r="S263" s="170"/>
    </row>
    <row r="264" spans="1:19" x14ac:dyDescent="0.25">
      <c r="A264" s="134" t="e">
        <f>'Date Calcs'!#REF!</f>
        <v>#REF!</v>
      </c>
      <c r="B264" s="135" t="e">
        <f>'Date Calcs'!#REF!</f>
        <v>#REF!</v>
      </c>
      <c r="C264" s="136" t="e">
        <f>'Date Calcs'!#REF!</f>
        <v>#REF!</v>
      </c>
      <c r="D264" s="137" t="e">
        <f t="shared" si="36"/>
        <v>#REF!</v>
      </c>
      <c r="E264" s="143">
        <v>44287</v>
      </c>
      <c r="F264" s="137" t="e">
        <f>'Date Calcs'!#REF!</f>
        <v>#REF!</v>
      </c>
      <c r="G264" s="137" t="e">
        <f>IF(VLOOKUP(A264,'Actual Dates'!A4:AE391,8,),'Actual Dates'!#REF!,"")</f>
        <v>#REF!</v>
      </c>
      <c r="H264" s="137" t="e">
        <f t="shared" si="38"/>
        <v>#REF!</v>
      </c>
      <c r="I264" s="137" t="e">
        <f>IF(VLOOKUP(A264,'Actual Dates'!A4:AE386,25,),'Actual Dates'!#REF!,"")</f>
        <v>#REF!</v>
      </c>
      <c r="J264" s="137" t="e">
        <f t="shared" si="39"/>
        <v>#REF!</v>
      </c>
      <c r="K264" s="137" t="e">
        <f>IF(VLOOKUP(A264,'Actual Dates'!A4:AE414,26,),'Actual Dates'!#REF!,"")</f>
        <v>#REF!</v>
      </c>
      <c r="L264" s="137" t="e">
        <f>IF(VLOOKUP(A264,'Actual Dates'!A4:AE414,21,),'Actual Dates'!#REF!,"")</f>
        <v>#REF!</v>
      </c>
      <c r="M264" s="137" t="e">
        <f>'Date Calcs'!#REF!</f>
        <v>#REF!</v>
      </c>
      <c r="N264" s="137" t="e">
        <f>IF(VLOOKUP(A264,'Actual Dates'!A4:AE414,27,),'Actual Dates'!#REF!,"")</f>
        <v>#REF!</v>
      </c>
      <c r="O264" s="138" t="e">
        <f t="shared" si="35"/>
        <v>#REF!</v>
      </c>
      <c r="P264" s="139" t="e">
        <f t="shared" si="40"/>
        <v>#REF!</v>
      </c>
      <c r="Q264" s="139" t="e">
        <f t="shared" si="41"/>
        <v>#REF!</v>
      </c>
      <c r="R264" s="170"/>
      <c r="S264" s="170"/>
    </row>
    <row r="265" spans="1:19" x14ac:dyDescent="0.25">
      <c r="A265" s="134" t="e">
        <f>'Date Calcs'!#REF!</f>
        <v>#REF!</v>
      </c>
      <c r="B265" s="135" t="e">
        <f>'Date Calcs'!#REF!</f>
        <v>#REF!</v>
      </c>
      <c r="C265" s="136" t="e">
        <f>'Date Calcs'!#REF!</f>
        <v>#REF!</v>
      </c>
      <c r="D265" s="137" t="e">
        <f t="shared" si="36"/>
        <v>#REF!</v>
      </c>
      <c r="E265" s="143">
        <v>44288</v>
      </c>
      <c r="F265" s="137" t="e">
        <f>'Date Calcs'!#REF!</f>
        <v>#REF!</v>
      </c>
      <c r="G265" s="137" t="e">
        <f>IF(VLOOKUP(A265,'Actual Dates'!A4:AE392,8,),'Actual Dates'!#REF!,"")</f>
        <v>#REF!</v>
      </c>
      <c r="H265" s="137" t="e">
        <f t="shared" si="38"/>
        <v>#REF!</v>
      </c>
      <c r="I265" s="137" t="e">
        <f>IF(VLOOKUP(A265,'Actual Dates'!A4:AE387,25,),'Actual Dates'!#REF!,"")</f>
        <v>#REF!</v>
      </c>
      <c r="J265" s="137" t="e">
        <f t="shared" si="39"/>
        <v>#REF!</v>
      </c>
      <c r="K265" s="137" t="e">
        <f>IF(VLOOKUP(A265,'Actual Dates'!A4:AE415,26,),'Actual Dates'!#REF!,"")</f>
        <v>#REF!</v>
      </c>
      <c r="L265" s="137" t="e">
        <f>IF(VLOOKUP(A265,'Actual Dates'!A4:AE415,21,),'Actual Dates'!#REF!,"")</f>
        <v>#REF!</v>
      </c>
      <c r="M265" s="137" t="e">
        <f>'Date Calcs'!#REF!</f>
        <v>#REF!</v>
      </c>
      <c r="N265" s="137" t="e">
        <f>IF(VLOOKUP(A265,'Actual Dates'!A4:AE415,27,),'Actual Dates'!#REF!,"")</f>
        <v>#REF!</v>
      </c>
      <c r="O265" s="138" t="e">
        <f t="shared" si="35"/>
        <v>#REF!</v>
      </c>
      <c r="P265" s="139" t="e">
        <f t="shared" si="40"/>
        <v>#REF!</v>
      </c>
      <c r="Q265" s="139" t="e">
        <f t="shared" si="41"/>
        <v>#REF!</v>
      </c>
      <c r="R265" s="170"/>
      <c r="S265" s="170"/>
    </row>
    <row r="266" spans="1:19" x14ac:dyDescent="0.25">
      <c r="A266" s="134" t="e">
        <f>'Date Calcs'!#REF!</f>
        <v>#REF!</v>
      </c>
      <c r="B266" s="135" t="e">
        <f>'Date Calcs'!#REF!</f>
        <v>#REF!</v>
      </c>
      <c r="C266" s="136" t="e">
        <f>'Date Calcs'!#REF!</f>
        <v>#REF!</v>
      </c>
      <c r="D266" s="137" t="e">
        <f t="shared" si="36"/>
        <v>#REF!</v>
      </c>
      <c r="E266" s="143">
        <v>44289</v>
      </c>
      <c r="F266" s="137" t="e">
        <f>'Date Calcs'!#REF!</f>
        <v>#REF!</v>
      </c>
      <c r="G266" s="137" t="e">
        <f>IF(VLOOKUP(A266,'Actual Dates'!A4:AE393,8,),'Actual Dates'!#REF!,"")</f>
        <v>#REF!</v>
      </c>
      <c r="H266" s="137" t="e">
        <f t="shared" si="38"/>
        <v>#REF!</v>
      </c>
      <c r="I266" s="137" t="e">
        <f>IF(VLOOKUP(A266,'Actual Dates'!A4:AE388,25,),'Actual Dates'!#REF!,"")</f>
        <v>#REF!</v>
      </c>
      <c r="J266" s="137" t="e">
        <f t="shared" si="39"/>
        <v>#REF!</v>
      </c>
      <c r="K266" s="137" t="e">
        <f>IF(VLOOKUP(A266,'Actual Dates'!A4:AE416,26,),'Actual Dates'!#REF!,"")</f>
        <v>#REF!</v>
      </c>
      <c r="L266" s="137" t="e">
        <f>IF(VLOOKUP(A266,'Actual Dates'!A4:AE416,21,),'Actual Dates'!#REF!,"")</f>
        <v>#REF!</v>
      </c>
      <c r="M266" s="137" t="e">
        <f>'Date Calcs'!#REF!</f>
        <v>#REF!</v>
      </c>
      <c r="N266" s="137" t="e">
        <f>IF(VLOOKUP(A266,'Actual Dates'!A4:AE416,27,),'Actual Dates'!#REF!,"")</f>
        <v>#REF!</v>
      </c>
      <c r="O266" s="138" t="e">
        <f t="shared" si="35"/>
        <v>#REF!</v>
      </c>
      <c r="P266" s="139" t="e">
        <f t="shared" si="40"/>
        <v>#REF!</v>
      </c>
      <c r="Q266" s="139" t="e">
        <f t="shared" si="41"/>
        <v>#REF!</v>
      </c>
      <c r="R266" s="170"/>
      <c r="S266" s="170"/>
    </row>
    <row r="267" spans="1:19" x14ac:dyDescent="0.25">
      <c r="A267" s="134" t="e">
        <f>'Date Calcs'!#REF!</f>
        <v>#REF!</v>
      </c>
      <c r="B267" s="135" t="e">
        <f>'Date Calcs'!#REF!</f>
        <v>#REF!</v>
      </c>
      <c r="C267" s="136" t="e">
        <f>'Date Calcs'!#REF!</f>
        <v>#REF!</v>
      </c>
      <c r="D267" s="137" t="e">
        <f t="shared" si="36"/>
        <v>#REF!</v>
      </c>
      <c r="E267" s="143">
        <v>44290</v>
      </c>
      <c r="F267" s="137" t="e">
        <f>'Date Calcs'!#REF!</f>
        <v>#REF!</v>
      </c>
      <c r="G267" s="137" t="e">
        <f>IF(VLOOKUP(A267,'Actual Dates'!A4:AE394,8,),'Actual Dates'!#REF!,"")</f>
        <v>#REF!</v>
      </c>
      <c r="H267" s="137" t="e">
        <f t="shared" si="38"/>
        <v>#REF!</v>
      </c>
      <c r="I267" s="137" t="e">
        <f>IF(VLOOKUP(A267,'Actual Dates'!A4:AE389,25,),'Actual Dates'!#REF!,"")</f>
        <v>#REF!</v>
      </c>
      <c r="J267" s="137" t="e">
        <f t="shared" si="39"/>
        <v>#REF!</v>
      </c>
      <c r="K267" s="137" t="e">
        <f>IF(VLOOKUP(A267,'Actual Dates'!A4:AE417,26,),'Actual Dates'!#REF!,"")</f>
        <v>#REF!</v>
      </c>
      <c r="L267" s="137" t="e">
        <f>IF(VLOOKUP(A267,'Actual Dates'!A4:AE417,21,),'Actual Dates'!#REF!,"")</f>
        <v>#REF!</v>
      </c>
      <c r="M267" s="137" t="e">
        <f>'Date Calcs'!#REF!</f>
        <v>#REF!</v>
      </c>
      <c r="N267" s="137" t="e">
        <f>IF(VLOOKUP(A267,'Actual Dates'!A4:AE417,27,),'Actual Dates'!#REF!,"")</f>
        <v>#REF!</v>
      </c>
      <c r="O267" s="138" t="e">
        <f t="shared" ref="O267:O330" si="42">N267-C267</f>
        <v>#REF!</v>
      </c>
      <c r="P267" s="139" t="e">
        <f t="shared" si="40"/>
        <v>#REF!</v>
      </c>
      <c r="Q267" s="139" t="e">
        <f t="shared" si="41"/>
        <v>#REF!</v>
      </c>
      <c r="R267" s="170"/>
      <c r="S267" s="170"/>
    </row>
    <row r="268" spans="1:19" x14ac:dyDescent="0.25">
      <c r="A268" s="134" t="e">
        <f>'Date Calcs'!#REF!</f>
        <v>#REF!</v>
      </c>
      <c r="B268" s="135" t="e">
        <f>'Date Calcs'!#REF!</f>
        <v>#REF!</v>
      </c>
      <c r="C268" s="136" t="e">
        <f>'Date Calcs'!#REF!</f>
        <v>#REF!</v>
      </c>
      <c r="D268" s="137" t="e">
        <f t="shared" si="36"/>
        <v>#REF!</v>
      </c>
      <c r="E268" s="143">
        <v>44291</v>
      </c>
      <c r="F268" s="137" t="e">
        <f>'Date Calcs'!#REF!</f>
        <v>#REF!</v>
      </c>
      <c r="G268" s="137" t="e">
        <f>IF(VLOOKUP(A268,'Actual Dates'!A4:AE395,8,),'Actual Dates'!#REF!,"")</f>
        <v>#REF!</v>
      </c>
      <c r="H268" s="137" t="e">
        <f t="shared" si="38"/>
        <v>#REF!</v>
      </c>
      <c r="I268" s="137" t="e">
        <f>IF(VLOOKUP(A268,'Actual Dates'!A4:AE390,25,),'Actual Dates'!#REF!,"")</f>
        <v>#REF!</v>
      </c>
      <c r="J268" s="137" t="e">
        <f t="shared" si="39"/>
        <v>#REF!</v>
      </c>
      <c r="K268" s="137" t="e">
        <f>IF(VLOOKUP(A268,'Actual Dates'!A4:AE418,26,),'Actual Dates'!#REF!,"")</f>
        <v>#REF!</v>
      </c>
      <c r="L268" s="137" t="e">
        <f>IF(VLOOKUP(A268,'Actual Dates'!A4:AE418,21,),'Actual Dates'!#REF!,"")</f>
        <v>#REF!</v>
      </c>
      <c r="M268" s="137" t="e">
        <f>'Date Calcs'!#REF!</f>
        <v>#REF!</v>
      </c>
      <c r="N268" s="137" t="e">
        <f>IF(VLOOKUP(A268,'Actual Dates'!A4:AE418,27,),'Actual Dates'!#REF!,"")</f>
        <v>#REF!</v>
      </c>
      <c r="O268" s="138" t="e">
        <f t="shared" si="42"/>
        <v>#REF!</v>
      </c>
      <c r="P268" s="139" t="e">
        <f t="shared" si="40"/>
        <v>#REF!</v>
      </c>
      <c r="Q268" s="139" t="e">
        <f t="shared" si="41"/>
        <v>#REF!</v>
      </c>
      <c r="R268" s="170"/>
      <c r="S268" s="170"/>
    </row>
    <row r="269" spans="1:19" x14ac:dyDescent="0.25">
      <c r="A269" s="134" t="e">
        <f>'Date Calcs'!#REF!</f>
        <v>#REF!</v>
      </c>
      <c r="B269" s="135" t="e">
        <f>'Date Calcs'!#REF!</f>
        <v>#REF!</v>
      </c>
      <c r="C269" s="136" t="e">
        <f>'Date Calcs'!#REF!</f>
        <v>#REF!</v>
      </c>
      <c r="D269" s="137" t="e">
        <f t="shared" si="36"/>
        <v>#REF!</v>
      </c>
      <c r="E269" s="143">
        <v>44292</v>
      </c>
      <c r="F269" s="137" t="e">
        <f>'Date Calcs'!#REF!</f>
        <v>#REF!</v>
      </c>
      <c r="G269" s="137" t="e">
        <f>IF(VLOOKUP(A269,'Actual Dates'!A4:AE396,8,),'Actual Dates'!#REF!,"")</f>
        <v>#REF!</v>
      </c>
      <c r="H269" s="137" t="e">
        <f t="shared" si="38"/>
        <v>#REF!</v>
      </c>
      <c r="I269" s="137" t="e">
        <f>IF(VLOOKUP(A269,'Actual Dates'!A4:AE391,25,),'Actual Dates'!#REF!,"")</f>
        <v>#REF!</v>
      </c>
      <c r="J269" s="137" t="e">
        <f t="shared" si="39"/>
        <v>#REF!</v>
      </c>
      <c r="K269" s="137" t="e">
        <f>IF(VLOOKUP(A269,'Actual Dates'!A4:AE419,26,),'Actual Dates'!#REF!,"")</f>
        <v>#REF!</v>
      </c>
      <c r="L269" s="137" t="e">
        <f>IF(VLOOKUP(A269,'Actual Dates'!A4:AE419,21,),'Actual Dates'!#REF!,"")</f>
        <v>#REF!</v>
      </c>
      <c r="M269" s="137" t="e">
        <f>'Date Calcs'!#REF!</f>
        <v>#REF!</v>
      </c>
      <c r="N269" s="137" t="e">
        <f>IF(VLOOKUP(A269,'Actual Dates'!A4:AE419,27,),'Actual Dates'!#REF!,"")</f>
        <v>#REF!</v>
      </c>
      <c r="O269" s="138" t="e">
        <f t="shared" si="42"/>
        <v>#REF!</v>
      </c>
      <c r="P269" s="139" t="e">
        <f t="shared" si="40"/>
        <v>#REF!</v>
      </c>
      <c r="Q269" s="139" t="e">
        <f t="shared" si="41"/>
        <v>#REF!</v>
      </c>
      <c r="R269" s="170"/>
      <c r="S269" s="170"/>
    </row>
    <row r="270" spans="1:19" x14ac:dyDescent="0.25">
      <c r="A270" s="134" t="e">
        <f>'Date Calcs'!#REF!</f>
        <v>#REF!</v>
      </c>
      <c r="B270" s="135" t="e">
        <f>'Date Calcs'!#REF!</f>
        <v>#REF!</v>
      </c>
      <c r="C270" s="136" t="e">
        <f>'Date Calcs'!#REF!</f>
        <v>#REF!</v>
      </c>
      <c r="D270" s="137" t="e">
        <f t="shared" si="36"/>
        <v>#REF!</v>
      </c>
      <c r="E270" s="143">
        <v>44293</v>
      </c>
      <c r="F270" s="137" t="e">
        <f>'Date Calcs'!#REF!</f>
        <v>#REF!</v>
      </c>
      <c r="G270" s="137" t="e">
        <f>IF(VLOOKUP(A270,'Actual Dates'!A4:AE397,8,),'Actual Dates'!#REF!,"")</f>
        <v>#REF!</v>
      </c>
      <c r="H270" s="137" t="e">
        <f t="shared" si="38"/>
        <v>#REF!</v>
      </c>
      <c r="I270" s="137" t="e">
        <f>IF(VLOOKUP(A270,'Actual Dates'!A4:AE392,25,),'Actual Dates'!#REF!,"")</f>
        <v>#REF!</v>
      </c>
      <c r="J270" s="137" t="e">
        <f t="shared" si="39"/>
        <v>#REF!</v>
      </c>
      <c r="K270" s="137" t="e">
        <f>IF(VLOOKUP(A270,'Actual Dates'!A4:AE420,26,),'Actual Dates'!#REF!,"")</f>
        <v>#REF!</v>
      </c>
      <c r="L270" s="137" t="e">
        <f>IF(VLOOKUP(A270,'Actual Dates'!A4:AE420,21,),'Actual Dates'!#REF!,"")</f>
        <v>#REF!</v>
      </c>
      <c r="M270" s="137" t="e">
        <f>'Date Calcs'!#REF!</f>
        <v>#REF!</v>
      </c>
      <c r="N270" s="137" t="e">
        <f>IF(VLOOKUP(A270,'Actual Dates'!A4:AE420,27,),'Actual Dates'!#REF!,"")</f>
        <v>#REF!</v>
      </c>
      <c r="O270" s="138" t="e">
        <f t="shared" si="42"/>
        <v>#REF!</v>
      </c>
      <c r="P270" s="139" t="e">
        <f t="shared" si="40"/>
        <v>#REF!</v>
      </c>
      <c r="Q270" s="139" t="e">
        <f t="shared" si="41"/>
        <v>#REF!</v>
      </c>
      <c r="R270" s="170"/>
      <c r="S270" s="170"/>
    </row>
    <row r="271" spans="1:19" x14ac:dyDescent="0.25">
      <c r="A271" s="134" t="e">
        <f>'Date Calcs'!#REF!</f>
        <v>#REF!</v>
      </c>
      <c r="B271" s="135" t="e">
        <f>'Date Calcs'!#REF!</f>
        <v>#REF!</v>
      </c>
      <c r="C271" s="136" t="e">
        <f>'Date Calcs'!#REF!</f>
        <v>#REF!</v>
      </c>
      <c r="D271" s="137" t="e">
        <f t="shared" si="36"/>
        <v>#REF!</v>
      </c>
      <c r="E271" s="143">
        <v>44294</v>
      </c>
      <c r="F271" s="137" t="e">
        <f>'Date Calcs'!#REF!</f>
        <v>#REF!</v>
      </c>
      <c r="G271" s="137" t="e">
        <f>IF(VLOOKUP(A271,'Actual Dates'!A4:AE398,8,),'Actual Dates'!#REF!,"")</f>
        <v>#REF!</v>
      </c>
      <c r="H271" s="137" t="e">
        <f t="shared" si="38"/>
        <v>#REF!</v>
      </c>
      <c r="I271" s="137" t="e">
        <f>IF(VLOOKUP(A271,'Actual Dates'!A4:AE393,25,),'Actual Dates'!#REF!,"")</f>
        <v>#REF!</v>
      </c>
      <c r="J271" s="137" t="e">
        <f t="shared" si="39"/>
        <v>#REF!</v>
      </c>
      <c r="K271" s="137" t="e">
        <f>IF(VLOOKUP(A271,'Actual Dates'!A4:AE421,26,),'Actual Dates'!#REF!,"")</f>
        <v>#REF!</v>
      </c>
      <c r="L271" s="137" t="e">
        <f>IF(VLOOKUP(A271,'Actual Dates'!A4:AE421,21,),'Actual Dates'!#REF!,"")</f>
        <v>#REF!</v>
      </c>
      <c r="M271" s="137" t="e">
        <f>'Date Calcs'!#REF!</f>
        <v>#REF!</v>
      </c>
      <c r="N271" s="137" t="e">
        <f>IF(VLOOKUP(A271,'Actual Dates'!A4:AE421,27,),'Actual Dates'!#REF!,"")</f>
        <v>#REF!</v>
      </c>
      <c r="O271" s="138" t="e">
        <f t="shared" si="42"/>
        <v>#REF!</v>
      </c>
      <c r="P271" s="139" t="e">
        <f t="shared" si="40"/>
        <v>#REF!</v>
      </c>
      <c r="Q271" s="139" t="e">
        <f t="shared" si="41"/>
        <v>#REF!</v>
      </c>
      <c r="R271" s="170"/>
      <c r="S271" s="170"/>
    </row>
    <row r="272" spans="1:19" x14ac:dyDescent="0.25">
      <c r="A272" s="134" t="e">
        <f>'Date Calcs'!#REF!</f>
        <v>#REF!</v>
      </c>
      <c r="B272" s="135" t="e">
        <f>'Date Calcs'!#REF!</f>
        <v>#REF!</v>
      </c>
      <c r="C272" s="136" t="e">
        <f>'Date Calcs'!#REF!</f>
        <v>#REF!</v>
      </c>
      <c r="D272" s="137" t="e">
        <f t="shared" si="36"/>
        <v>#REF!</v>
      </c>
      <c r="E272" s="143">
        <v>44295</v>
      </c>
      <c r="F272" s="137" t="e">
        <f>'Date Calcs'!#REF!</f>
        <v>#REF!</v>
      </c>
      <c r="G272" s="137" t="e">
        <f>IF(VLOOKUP(A272,'Actual Dates'!A4:AE399,8,),'Actual Dates'!#REF!,"")</f>
        <v>#REF!</v>
      </c>
      <c r="H272" s="137" t="e">
        <f t="shared" si="38"/>
        <v>#REF!</v>
      </c>
      <c r="I272" s="137" t="e">
        <f>IF(VLOOKUP(A272,'Actual Dates'!A4:AE394,25,),'Actual Dates'!#REF!,"")</f>
        <v>#REF!</v>
      </c>
      <c r="J272" s="137" t="e">
        <f t="shared" si="39"/>
        <v>#REF!</v>
      </c>
      <c r="K272" s="137" t="e">
        <f>IF(VLOOKUP(A272,'Actual Dates'!A4:AE422,26,),'Actual Dates'!#REF!,"")</f>
        <v>#REF!</v>
      </c>
      <c r="L272" s="137" t="e">
        <f>IF(VLOOKUP(A272,'Actual Dates'!A4:AE422,21,),'Actual Dates'!#REF!,"")</f>
        <v>#REF!</v>
      </c>
      <c r="M272" s="137" t="e">
        <f>'Date Calcs'!#REF!</f>
        <v>#REF!</v>
      </c>
      <c r="N272" s="137" t="e">
        <f>IF(VLOOKUP(A272,'Actual Dates'!A4:AE422,27,),'Actual Dates'!#REF!,"")</f>
        <v>#REF!</v>
      </c>
      <c r="O272" s="138" t="e">
        <f t="shared" si="42"/>
        <v>#REF!</v>
      </c>
      <c r="P272" s="139" t="e">
        <f t="shared" si="40"/>
        <v>#REF!</v>
      </c>
      <c r="Q272" s="139" t="e">
        <f t="shared" si="41"/>
        <v>#REF!</v>
      </c>
      <c r="R272" s="170"/>
      <c r="S272" s="170"/>
    </row>
    <row r="273" spans="1:19" x14ac:dyDescent="0.25">
      <c r="A273" s="134" t="e">
        <f>'Date Calcs'!#REF!</f>
        <v>#REF!</v>
      </c>
      <c r="B273" s="135" t="e">
        <f>'Date Calcs'!#REF!</f>
        <v>#REF!</v>
      </c>
      <c r="C273" s="136" t="e">
        <f>'Date Calcs'!#REF!</f>
        <v>#REF!</v>
      </c>
      <c r="D273" s="137" t="e">
        <f t="shared" si="36"/>
        <v>#REF!</v>
      </c>
      <c r="E273" s="143">
        <v>44296</v>
      </c>
      <c r="F273" s="137" t="e">
        <f>'Date Calcs'!#REF!</f>
        <v>#REF!</v>
      </c>
      <c r="G273" s="137" t="e">
        <f>IF(VLOOKUP(A273,'Actual Dates'!A4:AE400,8,),'Actual Dates'!#REF!,"")</f>
        <v>#REF!</v>
      </c>
      <c r="H273" s="137" t="e">
        <f t="shared" si="38"/>
        <v>#REF!</v>
      </c>
      <c r="I273" s="137" t="e">
        <f>IF(VLOOKUP(A273,'Actual Dates'!A4:AE395,25,),'Actual Dates'!#REF!,"")</f>
        <v>#REF!</v>
      </c>
      <c r="J273" s="137" t="e">
        <f t="shared" si="39"/>
        <v>#REF!</v>
      </c>
      <c r="K273" s="137" t="e">
        <f>IF(VLOOKUP(A273,'Actual Dates'!A4:AE423,26,),'Actual Dates'!#REF!,"")</f>
        <v>#REF!</v>
      </c>
      <c r="L273" s="137" t="e">
        <f>IF(VLOOKUP(A273,'Actual Dates'!A4:AE423,21,),'Actual Dates'!#REF!,"")</f>
        <v>#REF!</v>
      </c>
      <c r="M273" s="137" t="e">
        <f>'Date Calcs'!#REF!</f>
        <v>#REF!</v>
      </c>
      <c r="N273" s="137" t="e">
        <f>IF(VLOOKUP(A273,'Actual Dates'!A4:AE423,27,),'Actual Dates'!#REF!,"")</f>
        <v>#REF!</v>
      </c>
      <c r="O273" s="138" t="e">
        <f t="shared" si="42"/>
        <v>#REF!</v>
      </c>
      <c r="P273" s="139" t="e">
        <f t="shared" si="40"/>
        <v>#REF!</v>
      </c>
      <c r="Q273" s="139" t="e">
        <f t="shared" si="41"/>
        <v>#REF!</v>
      </c>
      <c r="R273" s="170"/>
      <c r="S273" s="170"/>
    </row>
    <row r="274" spans="1:19" x14ac:dyDescent="0.25">
      <c r="A274" s="134" t="e">
        <f>'Date Calcs'!#REF!</f>
        <v>#REF!</v>
      </c>
      <c r="B274" s="135" t="e">
        <f>'Date Calcs'!#REF!</f>
        <v>#REF!</v>
      </c>
      <c r="C274" s="136" t="e">
        <f>'Date Calcs'!#REF!</f>
        <v>#REF!</v>
      </c>
      <c r="D274" s="137" t="e">
        <f t="shared" si="36"/>
        <v>#REF!</v>
      </c>
      <c r="E274" s="143">
        <v>44297</v>
      </c>
      <c r="F274" s="137" t="e">
        <f>'Date Calcs'!#REF!</f>
        <v>#REF!</v>
      </c>
      <c r="G274" s="137" t="e">
        <f>IF(VLOOKUP(A274,'Actual Dates'!A4:AE401,8,),'Actual Dates'!#REF!,"")</f>
        <v>#REF!</v>
      </c>
      <c r="H274" s="137" t="e">
        <f t="shared" si="38"/>
        <v>#REF!</v>
      </c>
      <c r="I274" s="137" t="e">
        <f>IF(VLOOKUP(A274,'Actual Dates'!A4:AE396,25,),'Actual Dates'!#REF!,"")</f>
        <v>#REF!</v>
      </c>
      <c r="J274" s="137" t="e">
        <f t="shared" si="39"/>
        <v>#REF!</v>
      </c>
      <c r="K274" s="137" t="e">
        <f>IF(VLOOKUP(A274,'Actual Dates'!A4:AE424,26,),'Actual Dates'!#REF!,"")</f>
        <v>#REF!</v>
      </c>
      <c r="L274" s="137" t="e">
        <f>IF(VLOOKUP(A274,'Actual Dates'!A4:AE424,21,),'Actual Dates'!#REF!,"")</f>
        <v>#REF!</v>
      </c>
      <c r="M274" s="137" t="e">
        <f>'Date Calcs'!#REF!</f>
        <v>#REF!</v>
      </c>
      <c r="N274" s="137" t="e">
        <f>IF(VLOOKUP(A274,'Actual Dates'!A4:AE424,27,),'Actual Dates'!#REF!,"")</f>
        <v>#REF!</v>
      </c>
      <c r="O274" s="138" t="e">
        <f t="shared" si="42"/>
        <v>#REF!</v>
      </c>
      <c r="P274" s="139" t="e">
        <f t="shared" si="40"/>
        <v>#REF!</v>
      </c>
      <c r="Q274" s="139" t="e">
        <f t="shared" si="41"/>
        <v>#REF!</v>
      </c>
      <c r="R274" s="170"/>
      <c r="S274" s="170"/>
    </row>
    <row r="275" spans="1:19" x14ac:dyDescent="0.25">
      <c r="A275" s="134" t="e">
        <f>'Date Calcs'!#REF!</f>
        <v>#REF!</v>
      </c>
      <c r="B275" s="135" t="e">
        <f>'Date Calcs'!#REF!</f>
        <v>#REF!</v>
      </c>
      <c r="C275" s="136" t="e">
        <f>'Date Calcs'!#REF!</f>
        <v>#REF!</v>
      </c>
      <c r="D275" s="137" t="e">
        <f t="shared" si="36"/>
        <v>#REF!</v>
      </c>
      <c r="E275" s="143">
        <v>44298</v>
      </c>
      <c r="F275" s="137" t="e">
        <f>'Date Calcs'!#REF!</f>
        <v>#REF!</v>
      </c>
      <c r="G275" s="137" t="e">
        <f>IF(VLOOKUP(A275,'Actual Dates'!A4:AE402,8,),'Actual Dates'!#REF!,"")</f>
        <v>#REF!</v>
      </c>
      <c r="H275" s="137" t="e">
        <f t="shared" si="38"/>
        <v>#REF!</v>
      </c>
      <c r="I275" s="137" t="e">
        <f>IF(VLOOKUP(A275,'Actual Dates'!A4:AE397,25,),'Actual Dates'!#REF!,"")</f>
        <v>#REF!</v>
      </c>
      <c r="J275" s="137" t="e">
        <f t="shared" si="39"/>
        <v>#REF!</v>
      </c>
      <c r="K275" s="137" t="e">
        <f>IF(VLOOKUP(A275,'Actual Dates'!A4:AE425,26,),'Actual Dates'!#REF!,"")</f>
        <v>#REF!</v>
      </c>
      <c r="L275" s="137" t="e">
        <f>IF(VLOOKUP(A275,'Actual Dates'!A4:AE425,21,),'Actual Dates'!#REF!,"")</f>
        <v>#REF!</v>
      </c>
      <c r="M275" s="137" t="e">
        <f>'Date Calcs'!#REF!</f>
        <v>#REF!</v>
      </c>
      <c r="N275" s="137" t="e">
        <f>IF(VLOOKUP(A275,'Actual Dates'!A4:AE425,27,),'Actual Dates'!#REF!,"")</f>
        <v>#REF!</v>
      </c>
      <c r="O275" s="138" t="e">
        <f t="shared" si="42"/>
        <v>#REF!</v>
      </c>
      <c r="P275" s="139" t="e">
        <f t="shared" si="40"/>
        <v>#REF!</v>
      </c>
      <c r="Q275" s="139" t="e">
        <f t="shared" si="41"/>
        <v>#REF!</v>
      </c>
      <c r="R275" s="170"/>
      <c r="S275" s="170"/>
    </row>
    <row r="276" spans="1:19" x14ac:dyDescent="0.25">
      <c r="A276" s="134" t="e">
        <f>'Date Calcs'!#REF!</f>
        <v>#REF!</v>
      </c>
      <c r="B276" s="135" t="e">
        <f>'Date Calcs'!#REF!</f>
        <v>#REF!</v>
      </c>
      <c r="C276" s="136" t="e">
        <f>'Date Calcs'!#REF!</f>
        <v>#REF!</v>
      </c>
      <c r="D276" s="137" t="e">
        <f t="shared" si="36"/>
        <v>#REF!</v>
      </c>
      <c r="E276" s="143">
        <v>44299</v>
      </c>
      <c r="F276" s="137" t="e">
        <f>'Date Calcs'!#REF!</f>
        <v>#REF!</v>
      </c>
      <c r="G276" s="137" t="e">
        <f>IF(VLOOKUP(A276,'Actual Dates'!A4:AE403,8,),'Actual Dates'!#REF!,"")</f>
        <v>#REF!</v>
      </c>
      <c r="H276" s="137" t="e">
        <f t="shared" si="38"/>
        <v>#REF!</v>
      </c>
      <c r="I276" s="137" t="e">
        <f>IF(VLOOKUP(A276,'Actual Dates'!A4:AE398,25,),'Actual Dates'!#REF!,"")</f>
        <v>#REF!</v>
      </c>
      <c r="J276" s="137" t="e">
        <f t="shared" si="39"/>
        <v>#REF!</v>
      </c>
      <c r="K276" s="137" t="e">
        <f>IF(VLOOKUP(A276,'Actual Dates'!A4:AE426,26,),'Actual Dates'!#REF!,"")</f>
        <v>#REF!</v>
      </c>
      <c r="L276" s="137" t="e">
        <f>IF(VLOOKUP(A276,'Actual Dates'!A4:AE426,21,),'Actual Dates'!#REF!,"")</f>
        <v>#REF!</v>
      </c>
      <c r="M276" s="137" t="e">
        <f>'Date Calcs'!#REF!</f>
        <v>#REF!</v>
      </c>
      <c r="N276" s="137" t="e">
        <f>IF(VLOOKUP(A276,'Actual Dates'!A4:AE426,27,),'Actual Dates'!#REF!,"")</f>
        <v>#REF!</v>
      </c>
      <c r="O276" s="138" t="e">
        <f t="shared" si="42"/>
        <v>#REF!</v>
      </c>
      <c r="P276" s="139" t="e">
        <f t="shared" si="40"/>
        <v>#REF!</v>
      </c>
      <c r="Q276" s="139" t="e">
        <f t="shared" si="41"/>
        <v>#REF!</v>
      </c>
      <c r="R276" s="170"/>
      <c r="S276" s="170"/>
    </row>
    <row r="277" spans="1:19" x14ac:dyDescent="0.25">
      <c r="A277" s="134" t="e">
        <f>'Date Calcs'!#REF!</f>
        <v>#REF!</v>
      </c>
      <c r="B277" s="135" t="e">
        <f>'Date Calcs'!#REF!</f>
        <v>#REF!</v>
      </c>
      <c r="C277" s="136" t="e">
        <f>'Date Calcs'!#REF!</f>
        <v>#REF!</v>
      </c>
      <c r="D277" s="137" t="e">
        <f t="shared" si="36"/>
        <v>#REF!</v>
      </c>
      <c r="E277" s="143">
        <v>44300</v>
      </c>
      <c r="F277" s="137" t="e">
        <f>'Date Calcs'!#REF!</f>
        <v>#REF!</v>
      </c>
      <c r="G277" s="137" t="e">
        <f>IF(VLOOKUP(A277,'Actual Dates'!A4:AE404,8,),'Actual Dates'!#REF!,"")</f>
        <v>#REF!</v>
      </c>
      <c r="H277" s="137" t="e">
        <f t="shared" si="38"/>
        <v>#REF!</v>
      </c>
      <c r="I277" s="137" t="e">
        <f>IF(VLOOKUP(A277,'Actual Dates'!A4:AE399,25,),'Actual Dates'!#REF!,"")</f>
        <v>#REF!</v>
      </c>
      <c r="J277" s="137" t="e">
        <f t="shared" si="39"/>
        <v>#REF!</v>
      </c>
      <c r="K277" s="137" t="e">
        <f>IF(VLOOKUP(A277,'Actual Dates'!A4:AE427,26,),'Actual Dates'!#REF!,"")</f>
        <v>#REF!</v>
      </c>
      <c r="L277" s="137" t="e">
        <f>IF(VLOOKUP(A277,'Actual Dates'!A4:AE427,21,),'Actual Dates'!#REF!,"")</f>
        <v>#REF!</v>
      </c>
      <c r="M277" s="137" t="e">
        <f>'Date Calcs'!#REF!</f>
        <v>#REF!</v>
      </c>
      <c r="N277" s="137" t="e">
        <f>IF(VLOOKUP(A277,'Actual Dates'!A4:AE427,27,),'Actual Dates'!#REF!,"")</f>
        <v>#REF!</v>
      </c>
      <c r="O277" s="138" t="e">
        <f t="shared" si="42"/>
        <v>#REF!</v>
      </c>
      <c r="P277" s="139" t="e">
        <f t="shared" si="40"/>
        <v>#REF!</v>
      </c>
      <c r="Q277" s="139" t="e">
        <f t="shared" si="41"/>
        <v>#REF!</v>
      </c>
      <c r="R277" s="170"/>
      <c r="S277" s="170"/>
    </row>
    <row r="278" spans="1:19" x14ac:dyDescent="0.25">
      <c r="A278" s="134" t="e">
        <f>'Date Calcs'!#REF!</f>
        <v>#REF!</v>
      </c>
      <c r="B278" s="135" t="e">
        <f>'Date Calcs'!#REF!</f>
        <v>#REF!</v>
      </c>
      <c r="C278" s="136" t="e">
        <f>'Date Calcs'!#REF!</f>
        <v>#REF!</v>
      </c>
      <c r="D278" s="137" t="e">
        <f t="shared" si="36"/>
        <v>#REF!</v>
      </c>
      <c r="E278" s="143">
        <v>44301</v>
      </c>
      <c r="F278" s="137" t="e">
        <f>'Date Calcs'!#REF!</f>
        <v>#REF!</v>
      </c>
      <c r="G278" s="137" t="e">
        <f>IF(VLOOKUP(A278,'Actual Dates'!A4:AE405,8,),'Actual Dates'!#REF!,"")</f>
        <v>#REF!</v>
      </c>
      <c r="H278" s="137" t="e">
        <f t="shared" si="38"/>
        <v>#REF!</v>
      </c>
      <c r="I278" s="137" t="e">
        <f>IF(VLOOKUP(A278,'Actual Dates'!A4:AE400,25,),'Actual Dates'!#REF!,"")</f>
        <v>#REF!</v>
      </c>
      <c r="J278" s="137" t="e">
        <f t="shared" si="39"/>
        <v>#REF!</v>
      </c>
      <c r="K278" s="137" t="e">
        <f>IF(VLOOKUP(A278,'Actual Dates'!A4:AE428,26,),'Actual Dates'!#REF!,"")</f>
        <v>#REF!</v>
      </c>
      <c r="L278" s="137" t="e">
        <f>IF(VLOOKUP(A278,'Actual Dates'!A4:AE428,21,),'Actual Dates'!#REF!,"")</f>
        <v>#REF!</v>
      </c>
      <c r="M278" s="137" t="e">
        <f>'Date Calcs'!#REF!</f>
        <v>#REF!</v>
      </c>
      <c r="N278" s="137" t="e">
        <f>IF(VLOOKUP(A278,'Actual Dates'!A4:AE428,27,),'Actual Dates'!#REF!,"")</f>
        <v>#REF!</v>
      </c>
      <c r="O278" s="138" t="e">
        <f t="shared" si="42"/>
        <v>#REF!</v>
      </c>
      <c r="P278" s="139" t="e">
        <f t="shared" si="40"/>
        <v>#REF!</v>
      </c>
      <c r="Q278" s="139" t="e">
        <f t="shared" si="41"/>
        <v>#REF!</v>
      </c>
      <c r="R278" s="170"/>
      <c r="S278" s="170"/>
    </row>
    <row r="279" spans="1:19" x14ac:dyDescent="0.25">
      <c r="A279" s="134" t="e">
        <f>'Date Calcs'!#REF!</f>
        <v>#REF!</v>
      </c>
      <c r="B279" s="135" t="e">
        <f>'Date Calcs'!#REF!</f>
        <v>#REF!</v>
      </c>
      <c r="C279" s="136" t="e">
        <f>'Date Calcs'!#REF!</f>
        <v>#REF!</v>
      </c>
      <c r="D279" s="137" t="e">
        <f t="shared" si="36"/>
        <v>#REF!</v>
      </c>
      <c r="E279" s="143">
        <v>44302</v>
      </c>
      <c r="F279" s="137" t="e">
        <f>'Date Calcs'!#REF!</f>
        <v>#REF!</v>
      </c>
      <c r="G279" s="137" t="e">
        <f>IF(VLOOKUP(A279,'Actual Dates'!A4:AE406,8,),'Actual Dates'!#REF!,"")</f>
        <v>#REF!</v>
      </c>
      <c r="H279" s="137" t="e">
        <f t="shared" si="38"/>
        <v>#REF!</v>
      </c>
      <c r="I279" s="137" t="e">
        <f>IF(VLOOKUP(A279,'Actual Dates'!A4:AE401,25,),'Actual Dates'!#REF!,"")</f>
        <v>#REF!</v>
      </c>
      <c r="J279" s="137" t="e">
        <f t="shared" si="39"/>
        <v>#REF!</v>
      </c>
      <c r="K279" s="137" t="e">
        <f>IF(VLOOKUP(A279,'Actual Dates'!A4:AE429,26,),'Actual Dates'!#REF!,"")</f>
        <v>#REF!</v>
      </c>
      <c r="L279" s="137" t="e">
        <f>IF(VLOOKUP(A279,'Actual Dates'!A4:AE429,21,),'Actual Dates'!#REF!,"")</f>
        <v>#REF!</v>
      </c>
      <c r="M279" s="137" t="e">
        <f>'Date Calcs'!#REF!</f>
        <v>#REF!</v>
      </c>
      <c r="N279" s="137" t="e">
        <f>IF(VLOOKUP(A279,'Actual Dates'!A4:AE429,27,),'Actual Dates'!#REF!,"")</f>
        <v>#REF!</v>
      </c>
      <c r="O279" s="138" t="e">
        <f t="shared" si="42"/>
        <v>#REF!</v>
      </c>
      <c r="P279" s="139" t="e">
        <f t="shared" si="40"/>
        <v>#REF!</v>
      </c>
      <c r="Q279" s="139" t="e">
        <f t="shared" si="41"/>
        <v>#REF!</v>
      </c>
      <c r="R279" s="170"/>
      <c r="S279" s="170"/>
    </row>
    <row r="280" spans="1:19" x14ac:dyDescent="0.25">
      <c r="A280" s="134" t="e">
        <f>'Date Calcs'!#REF!</f>
        <v>#REF!</v>
      </c>
      <c r="B280" s="135" t="e">
        <f>'Date Calcs'!#REF!</f>
        <v>#REF!</v>
      </c>
      <c r="C280" s="136" t="e">
        <f>'Date Calcs'!#REF!</f>
        <v>#REF!</v>
      </c>
      <c r="D280" s="137" t="e">
        <f t="shared" ref="D280:D343" si="43">WORKDAY(F280,-1,)</f>
        <v>#REF!</v>
      </c>
      <c r="E280" s="143">
        <v>44303</v>
      </c>
      <c r="F280" s="137" t="e">
        <f>'Date Calcs'!#REF!</f>
        <v>#REF!</v>
      </c>
      <c r="G280" s="137" t="e">
        <f>IF(VLOOKUP(A280,'Actual Dates'!A4:AE407,8,),'Actual Dates'!#REF!,"")</f>
        <v>#REF!</v>
      </c>
      <c r="H280" s="137" t="e">
        <f t="shared" si="38"/>
        <v>#REF!</v>
      </c>
      <c r="I280" s="137" t="e">
        <f>IF(VLOOKUP(A280,'Actual Dates'!A4:AE402,25,),'Actual Dates'!#REF!,"")</f>
        <v>#REF!</v>
      </c>
      <c r="J280" s="137" t="e">
        <f t="shared" si="39"/>
        <v>#REF!</v>
      </c>
      <c r="K280" s="137" t="e">
        <f>IF(VLOOKUP(A280,'Actual Dates'!A4:AE430,26,),'Actual Dates'!#REF!,"")</f>
        <v>#REF!</v>
      </c>
      <c r="L280" s="137" t="e">
        <f>IF(VLOOKUP(A280,'Actual Dates'!A4:AE430,21,),'Actual Dates'!#REF!,"")</f>
        <v>#REF!</v>
      </c>
      <c r="M280" s="137" t="e">
        <f>'Date Calcs'!#REF!</f>
        <v>#REF!</v>
      </c>
      <c r="N280" s="137" t="e">
        <f>IF(VLOOKUP(A280,'Actual Dates'!A4:AE430,27,),'Actual Dates'!#REF!,"")</f>
        <v>#REF!</v>
      </c>
      <c r="O280" s="138" t="e">
        <f t="shared" si="42"/>
        <v>#REF!</v>
      </c>
      <c r="P280" s="139" t="e">
        <f t="shared" si="40"/>
        <v>#REF!</v>
      </c>
      <c r="Q280" s="139" t="e">
        <f t="shared" si="41"/>
        <v>#REF!</v>
      </c>
      <c r="R280" s="170"/>
      <c r="S280" s="170"/>
    </row>
    <row r="281" spans="1:19" x14ac:dyDescent="0.25">
      <c r="A281" s="134" t="e">
        <f>'Date Calcs'!#REF!</f>
        <v>#REF!</v>
      </c>
      <c r="B281" s="135" t="e">
        <f>'Date Calcs'!#REF!</f>
        <v>#REF!</v>
      </c>
      <c r="C281" s="136" t="e">
        <f>'Date Calcs'!#REF!</f>
        <v>#REF!</v>
      </c>
      <c r="D281" s="137" t="e">
        <f t="shared" si="43"/>
        <v>#REF!</v>
      </c>
      <c r="E281" s="143">
        <v>44304</v>
      </c>
      <c r="F281" s="137" t="e">
        <f>'Date Calcs'!#REF!</f>
        <v>#REF!</v>
      </c>
      <c r="G281" s="137" t="e">
        <f>IF(VLOOKUP(A281,'Actual Dates'!A4:AE408,8,),'Actual Dates'!#REF!,"")</f>
        <v>#REF!</v>
      </c>
      <c r="H281" s="137" t="e">
        <f t="shared" si="38"/>
        <v>#REF!</v>
      </c>
      <c r="I281" s="137" t="e">
        <f>IF(VLOOKUP(A281,'Actual Dates'!A4:AE403,25,),'Actual Dates'!#REF!,"")</f>
        <v>#REF!</v>
      </c>
      <c r="J281" s="137" t="e">
        <f t="shared" si="39"/>
        <v>#REF!</v>
      </c>
      <c r="K281" s="137" t="e">
        <f>IF(VLOOKUP(A281,'Actual Dates'!A4:AE431,26,),'Actual Dates'!#REF!,"")</f>
        <v>#REF!</v>
      </c>
      <c r="L281" s="137" t="e">
        <f>IF(VLOOKUP(A281,'Actual Dates'!A4:AE431,21,),'Actual Dates'!#REF!,"")</f>
        <v>#REF!</v>
      </c>
      <c r="M281" s="137" t="e">
        <f>'Date Calcs'!#REF!</f>
        <v>#REF!</v>
      </c>
      <c r="N281" s="137" t="e">
        <f>IF(VLOOKUP(A281,'Actual Dates'!A4:AE431,27,),'Actual Dates'!#REF!,"")</f>
        <v>#REF!</v>
      </c>
      <c r="O281" s="138" t="e">
        <f t="shared" si="42"/>
        <v>#REF!</v>
      </c>
      <c r="P281" s="139" t="e">
        <f t="shared" si="40"/>
        <v>#REF!</v>
      </c>
      <c r="Q281" s="139" t="e">
        <f t="shared" si="41"/>
        <v>#REF!</v>
      </c>
      <c r="R281" s="170"/>
      <c r="S281" s="170"/>
    </row>
    <row r="282" spans="1:19" x14ac:dyDescent="0.25">
      <c r="A282" s="134" t="e">
        <f>'Date Calcs'!#REF!</f>
        <v>#REF!</v>
      </c>
      <c r="B282" s="135" t="e">
        <f>'Date Calcs'!#REF!</f>
        <v>#REF!</v>
      </c>
      <c r="C282" s="136" t="e">
        <f>'Date Calcs'!#REF!</f>
        <v>#REF!</v>
      </c>
      <c r="D282" s="137" t="e">
        <f t="shared" si="43"/>
        <v>#REF!</v>
      </c>
      <c r="E282" s="143">
        <v>44305</v>
      </c>
      <c r="F282" s="137" t="e">
        <f>'Date Calcs'!#REF!</f>
        <v>#REF!</v>
      </c>
      <c r="G282" s="137" t="e">
        <f>IF(VLOOKUP(A282,'Actual Dates'!A4:AE409,8,),'Actual Dates'!#REF!,"")</f>
        <v>#REF!</v>
      </c>
      <c r="H282" s="137" t="e">
        <f t="shared" si="38"/>
        <v>#REF!</v>
      </c>
      <c r="I282" s="137" t="e">
        <f>IF(VLOOKUP(A282,'Actual Dates'!A4:AE404,25,),'Actual Dates'!#REF!,"")</f>
        <v>#REF!</v>
      </c>
      <c r="J282" s="137" t="e">
        <f t="shared" si="39"/>
        <v>#REF!</v>
      </c>
      <c r="K282" s="137" t="e">
        <f>IF(VLOOKUP(A282,'Actual Dates'!A4:AE432,26,),'Actual Dates'!#REF!,"")</f>
        <v>#REF!</v>
      </c>
      <c r="L282" s="137" t="e">
        <f>IF(VLOOKUP(A282,'Actual Dates'!A4:AE432,21,),'Actual Dates'!#REF!,"")</f>
        <v>#REF!</v>
      </c>
      <c r="M282" s="137" t="e">
        <f>'Date Calcs'!#REF!</f>
        <v>#REF!</v>
      </c>
      <c r="N282" s="137" t="e">
        <f>IF(VLOOKUP(A282,'Actual Dates'!A4:AE432,27,),'Actual Dates'!#REF!,"")</f>
        <v>#REF!</v>
      </c>
      <c r="O282" s="138" t="e">
        <f t="shared" si="42"/>
        <v>#REF!</v>
      </c>
      <c r="P282" s="139" t="e">
        <f t="shared" si="40"/>
        <v>#REF!</v>
      </c>
      <c r="Q282" s="139" t="e">
        <f t="shared" si="41"/>
        <v>#REF!</v>
      </c>
      <c r="R282" s="170"/>
      <c r="S282" s="170"/>
    </row>
    <row r="283" spans="1:19" x14ac:dyDescent="0.25">
      <c r="A283" s="134" t="e">
        <f>'Date Calcs'!#REF!</f>
        <v>#REF!</v>
      </c>
      <c r="B283" s="135" t="e">
        <f>'Date Calcs'!#REF!</f>
        <v>#REF!</v>
      </c>
      <c r="C283" s="136" t="e">
        <f>'Date Calcs'!#REF!</f>
        <v>#REF!</v>
      </c>
      <c r="D283" s="137" t="e">
        <f t="shared" si="43"/>
        <v>#REF!</v>
      </c>
      <c r="E283" s="143">
        <v>44306</v>
      </c>
      <c r="F283" s="137" t="e">
        <f>'Date Calcs'!#REF!</f>
        <v>#REF!</v>
      </c>
      <c r="G283" s="137" t="e">
        <f>IF(VLOOKUP(A283,'Actual Dates'!A4:AE410,8,),'Actual Dates'!#REF!,"")</f>
        <v>#REF!</v>
      </c>
      <c r="H283" s="137" t="e">
        <f t="shared" si="38"/>
        <v>#REF!</v>
      </c>
      <c r="I283" s="137" t="e">
        <f>IF(VLOOKUP(A283,'Actual Dates'!A4:AE405,25,),'Actual Dates'!#REF!,"")</f>
        <v>#REF!</v>
      </c>
      <c r="J283" s="137" t="e">
        <f t="shared" si="39"/>
        <v>#REF!</v>
      </c>
      <c r="K283" s="137" t="e">
        <f>IF(VLOOKUP(A283,'Actual Dates'!A4:AE433,26,),'Actual Dates'!#REF!,"")</f>
        <v>#REF!</v>
      </c>
      <c r="L283" s="137" t="e">
        <f>IF(VLOOKUP(A283,'Actual Dates'!A4:AE433,21,),'Actual Dates'!#REF!,"")</f>
        <v>#REF!</v>
      </c>
      <c r="M283" s="137" t="e">
        <f>'Date Calcs'!#REF!</f>
        <v>#REF!</v>
      </c>
      <c r="N283" s="137" t="e">
        <f>IF(VLOOKUP(A283,'Actual Dates'!A4:AE433,27,),'Actual Dates'!#REF!,"")</f>
        <v>#REF!</v>
      </c>
      <c r="O283" s="138" t="e">
        <f t="shared" si="42"/>
        <v>#REF!</v>
      </c>
      <c r="P283" s="139" t="e">
        <f t="shared" si="40"/>
        <v>#REF!</v>
      </c>
      <c r="Q283" s="139" t="e">
        <f t="shared" si="41"/>
        <v>#REF!</v>
      </c>
      <c r="R283" s="170"/>
      <c r="S283" s="170"/>
    </row>
    <row r="284" spans="1:19" x14ac:dyDescent="0.25">
      <c r="A284" s="134" t="e">
        <f>'Date Calcs'!#REF!</f>
        <v>#REF!</v>
      </c>
      <c r="B284" s="135" t="e">
        <f>'Date Calcs'!#REF!</f>
        <v>#REF!</v>
      </c>
      <c r="C284" s="136" t="e">
        <f>'Date Calcs'!#REF!</f>
        <v>#REF!</v>
      </c>
      <c r="D284" s="137" t="e">
        <f t="shared" si="43"/>
        <v>#REF!</v>
      </c>
      <c r="E284" s="143">
        <v>44307</v>
      </c>
      <c r="F284" s="137" t="e">
        <f>'Date Calcs'!#REF!</f>
        <v>#REF!</v>
      </c>
      <c r="G284" s="137" t="e">
        <f>IF(VLOOKUP(A284,'Actual Dates'!A4:AE411,8,),'Actual Dates'!#REF!,"")</f>
        <v>#REF!</v>
      </c>
      <c r="H284" s="137" t="e">
        <f t="shared" si="38"/>
        <v>#REF!</v>
      </c>
      <c r="I284" s="137" t="e">
        <f>IF(VLOOKUP(A284,'Actual Dates'!A4:AE406,25,),'Actual Dates'!#REF!,"")</f>
        <v>#REF!</v>
      </c>
      <c r="J284" s="137" t="e">
        <f t="shared" si="39"/>
        <v>#REF!</v>
      </c>
      <c r="K284" s="137" t="e">
        <f>IF(VLOOKUP(A284,'Actual Dates'!A4:AE434,26,),'Actual Dates'!#REF!,"")</f>
        <v>#REF!</v>
      </c>
      <c r="L284" s="137" t="e">
        <f>IF(VLOOKUP(A284,'Actual Dates'!A4:AE434,21,),'Actual Dates'!#REF!,"")</f>
        <v>#REF!</v>
      </c>
      <c r="M284" s="137" t="e">
        <f>'Date Calcs'!#REF!</f>
        <v>#REF!</v>
      </c>
      <c r="N284" s="137" t="e">
        <f>IF(VLOOKUP(A284,'Actual Dates'!A4:AE434,27,),'Actual Dates'!#REF!,"")</f>
        <v>#REF!</v>
      </c>
      <c r="O284" s="138" t="e">
        <f t="shared" si="42"/>
        <v>#REF!</v>
      </c>
      <c r="P284" s="139" t="e">
        <f t="shared" si="40"/>
        <v>#REF!</v>
      </c>
      <c r="Q284" s="139" t="e">
        <f t="shared" si="41"/>
        <v>#REF!</v>
      </c>
      <c r="R284" s="170"/>
      <c r="S284" s="170"/>
    </row>
    <row r="285" spans="1:19" x14ac:dyDescent="0.25">
      <c r="A285" s="134" t="e">
        <f>'Date Calcs'!#REF!</f>
        <v>#REF!</v>
      </c>
      <c r="B285" s="135" t="e">
        <f>'Date Calcs'!#REF!</f>
        <v>#REF!</v>
      </c>
      <c r="C285" s="136" t="e">
        <f>'Date Calcs'!#REF!</f>
        <v>#REF!</v>
      </c>
      <c r="D285" s="137" t="e">
        <f t="shared" si="43"/>
        <v>#REF!</v>
      </c>
      <c r="E285" s="143">
        <v>44308</v>
      </c>
      <c r="F285" s="137" t="e">
        <f>'Date Calcs'!#REF!</f>
        <v>#REF!</v>
      </c>
      <c r="G285" s="137" t="e">
        <f>IF(VLOOKUP(A285,'Actual Dates'!A4:AE412,8,),'Actual Dates'!#REF!,"")</f>
        <v>#REF!</v>
      </c>
      <c r="H285" s="137" t="e">
        <f t="shared" si="38"/>
        <v>#REF!</v>
      </c>
      <c r="I285" s="137" t="e">
        <f>IF(VLOOKUP(A285,'Actual Dates'!A4:AE407,25,),'Actual Dates'!#REF!,"")</f>
        <v>#REF!</v>
      </c>
      <c r="J285" s="137" t="e">
        <f t="shared" si="39"/>
        <v>#REF!</v>
      </c>
      <c r="K285" s="137" t="e">
        <f>IF(VLOOKUP(A285,'Actual Dates'!A4:AE435,26,),'Actual Dates'!#REF!,"")</f>
        <v>#REF!</v>
      </c>
      <c r="L285" s="137" t="e">
        <f>IF(VLOOKUP(A285,'Actual Dates'!A4:AE435,21,),'Actual Dates'!#REF!,"")</f>
        <v>#REF!</v>
      </c>
      <c r="M285" s="137" t="e">
        <f>'Date Calcs'!#REF!</f>
        <v>#REF!</v>
      </c>
      <c r="N285" s="137" t="e">
        <f>IF(VLOOKUP(A285,'Actual Dates'!A4:AE435,27,),'Actual Dates'!#REF!,"")</f>
        <v>#REF!</v>
      </c>
      <c r="O285" s="138" t="e">
        <f t="shared" si="42"/>
        <v>#REF!</v>
      </c>
      <c r="P285" s="139" t="e">
        <f t="shared" si="40"/>
        <v>#REF!</v>
      </c>
      <c r="Q285" s="139" t="e">
        <f t="shared" si="41"/>
        <v>#REF!</v>
      </c>
      <c r="R285" s="170"/>
      <c r="S285" s="170"/>
    </row>
    <row r="286" spans="1:19" x14ac:dyDescent="0.25">
      <c r="A286" s="134" t="e">
        <f>'Date Calcs'!#REF!</f>
        <v>#REF!</v>
      </c>
      <c r="B286" s="135" t="e">
        <f>'Date Calcs'!#REF!</f>
        <v>#REF!</v>
      </c>
      <c r="C286" s="136" t="e">
        <f>'Date Calcs'!#REF!</f>
        <v>#REF!</v>
      </c>
      <c r="D286" s="137" t="e">
        <f t="shared" si="43"/>
        <v>#REF!</v>
      </c>
      <c r="E286" s="143">
        <v>44309</v>
      </c>
      <c r="F286" s="137" t="e">
        <f>'Date Calcs'!#REF!</f>
        <v>#REF!</v>
      </c>
      <c r="G286" s="137" t="e">
        <f>IF(VLOOKUP(A286,'Actual Dates'!A4:AE413,8,),'Actual Dates'!#REF!,"")</f>
        <v>#REF!</v>
      </c>
      <c r="H286" s="137" t="e">
        <f t="shared" si="38"/>
        <v>#REF!</v>
      </c>
      <c r="I286" s="137" t="e">
        <f>IF(VLOOKUP(A286,'Actual Dates'!A4:AE408,25,),'Actual Dates'!#REF!,"")</f>
        <v>#REF!</v>
      </c>
      <c r="J286" s="137" t="e">
        <f t="shared" si="39"/>
        <v>#REF!</v>
      </c>
      <c r="K286" s="137" t="e">
        <f>IF(VLOOKUP(A286,'Actual Dates'!A4:AE436,26,),'Actual Dates'!#REF!,"")</f>
        <v>#REF!</v>
      </c>
      <c r="L286" s="137" t="e">
        <f>IF(VLOOKUP(A286,'Actual Dates'!A4:AE436,21,),'Actual Dates'!#REF!,"")</f>
        <v>#REF!</v>
      </c>
      <c r="M286" s="137" t="e">
        <f>'Date Calcs'!#REF!</f>
        <v>#REF!</v>
      </c>
      <c r="N286" s="137" t="e">
        <f>IF(VLOOKUP(A286,'Actual Dates'!A4:AE436,27,),'Actual Dates'!#REF!,"")</f>
        <v>#REF!</v>
      </c>
      <c r="O286" s="138" t="e">
        <f t="shared" si="42"/>
        <v>#REF!</v>
      </c>
      <c r="P286" s="139" t="e">
        <f t="shared" si="40"/>
        <v>#REF!</v>
      </c>
      <c r="Q286" s="139" t="e">
        <f t="shared" si="41"/>
        <v>#REF!</v>
      </c>
      <c r="R286" s="170"/>
      <c r="S286" s="170"/>
    </row>
    <row r="287" spans="1:19" x14ac:dyDescent="0.25">
      <c r="A287" s="134" t="e">
        <f>'Date Calcs'!#REF!</f>
        <v>#REF!</v>
      </c>
      <c r="B287" s="135" t="e">
        <f>'Date Calcs'!#REF!</f>
        <v>#REF!</v>
      </c>
      <c r="C287" s="136" t="e">
        <f>'Date Calcs'!#REF!</f>
        <v>#REF!</v>
      </c>
      <c r="D287" s="137" t="e">
        <f t="shared" si="43"/>
        <v>#REF!</v>
      </c>
      <c r="E287" s="143">
        <v>44310</v>
      </c>
      <c r="F287" s="137" t="e">
        <f>'Date Calcs'!#REF!</f>
        <v>#REF!</v>
      </c>
      <c r="G287" s="137" t="e">
        <f>IF(VLOOKUP(A287,'Actual Dates'!A4:AE414,8,),'Actual Dates'!#REF!,"")</f>
        <v>#REF!</v>
      </c>
      <c r="H287" s="137" t="e">
        <f t="shared" si="38"/>
        <v>#REF!</v>
      </c>
      <c r="I287" s="137" t="e">
        <f>IF(VLOOKUP(A287,'Actual Dates'!A4:AE409,25,),'Actual Dates'!#REF!,"")</f>
        <v>#REF!</v>
      </c>
      <c r="J287" s="137" t="e">
        <f t="shared" si="39"/>
        <v>#REF!</v>
      </c>
      <c r="K287" s="137" t="e">
        <f>IF(VLOOKUP(A287,'Actual Dates'!A4:AE437,26,),'Actual Dates'!#REF!,"")</f>
        <v>#REF!</v>
      </c>
      <c r="L287" s="137" t="e">
        <f>IF(VLOOKUP(A287,'Actual Dates'!A4:AE437,21,),'Actual Dates'!#REF!,"")</f>
        <v>#REF!</v>
      </c>
      <c r="M287" s="137" t="e">
        <f>'Date Calcs'!#REF!</f>
        <v>#REF!</v>
      </c>
      <c r="N287" s="137" t="e">
        <f>IF(VLOOKUP(A287,'Actual Dates'!A4:AE437,27,),'Actual Dates'!#REF!,"")</f>
        <v>#REF!</v>
      </c>
      <c r="O287" s="138" t="e">
        <f t="shared" si="42"/>
        <v>#REF!</v>
      </c>
      <c r="P287" s="139" t="e">
        <f t="shared" si="40"/>
        <v>#REF!</v>
      </c>
      <c r="Q287" s="139" t="e">
        <f t="shared" si="41"/>
        <v>#REF!</v>
      </c>
      <c r="R287" s="170"/>
      <c r="S287" s="170"/>
    </row>
    <row r="288" spans="1:19" x14ac:dyDescent="0.25">
      <c r="A288" s="134" t="e">
        <f>'Date Calcs'!#REF!</f>
        <v>#REF!</v>
      </c>
      <c r="B288" s="135" t="e">
        <f>'Date Calcs'!#REF!</f>
        <v>#REF!</v>
      </c>
      <c r="C288" s="136" t="e">
        <f>'Date Calcs'!#REF!</f>
        <v>#REF!</v>
      </c>
      <c r="D288" s="137" t="e">
        <f t="shared" si="43"/>
        <v>#REF!</v>
      </c>
      <c r="E288" s="143">
        <v>44311</v>
      </c>
      <c r="F288" s="137" t="e">
        <f>'Date Calcs'!#REF!</f>
        <v>#REF!</v>
      </c>
      <c r="G288" s="137" t="e">
        <f>IF(VLOOKUP(A288,'Actual Dates'!A4:AE415,8,),'Actual Dates'!#REF!,"")</f>
        <v>#REF!</v>
      </c>
      <c r="H288" s="137" t="e">
        <f t="shared" si="38"/>
        <v>#REF!</v>
      </c>
      <c r="I288" s="137" t="e">
        <f>IF(VLOOKUP(A288,'Actual Dates'!A4:AE410,25,),'Actual Dates'!#REF!,"")</f>
        <v>#REF!</v>
      </c>
      <c r="J288" s="137" t="e">
        <f t="shared" si="39"/>
        <v>#REF!</v>
      </c>
      <c r="K288" s="137" t="e">
        <f>IF(VLOOKUP(A288,'Actual Dates'!A4:AE438,26,),'Actual Dates'!#REF!,"")</f>
        <v>#REF!</v>
      </c>
      <c r="L288" s="137" t="e">
        <f>IF(VLOOKUP(A288,'Actual Dates'!A4:AE438,21,),'Actual Dates'!#REF!,"")</f>
        <v>#REF!</v>
      </c>
      <c r="M288" s="137" t="e">
        <f>'Date Calcs'!#REF!</f>
        <v>#REF!</v>
      </c>
      <c r="N288" s="137" t="e">
        <f>IF(VLOOKUP(A288,'Actual Dates'!A4:AE438,27,),'Actual Dates'!#REF!,"")</f>
        <v>#REF!</v>
      </c>
      <c r="O288" s="138" t="e">
        <f t="shared" si="42"/>
        <v>#REF!</v>
      </c>
      <c r="P288" s="139" t="e">
        <f t="shared" si="40"/>
        <v>#REF!</v>
      </c>
      <c r="Q288" s="139" t="e">
        <f t="shared" si="41"/>
        <v>#REF!</v>
      </c>
      <c r="R288" s="170"/>
      <c r="S288" s="170"/>
    </row>
    <row r="289" spans="1:19" x14ac:dyDescent="0.25">
      <c r="A289" s="134" t="e">
        <f>'Date Calcs'!#REF!</f>
        <v>#REF!</v>
      </c>
      <c r="B289" s="135" t="e">
        <f>'Date Calcs'!#REF!</f>
        <v>#REF!</v>
      </c>
      <c r="C289" s="136" t="e">
        <f>'Date Calcs'!#REF!</f>
        <v>#REF!</v>
      </c>
      <c r="D289" s="137" t="e">
        <f t="shared" si="43"/>
        <v>#REF!</v>
      </c>
      <c r="E289" s="143">
        <v>44312</v>
      </c>
      <c r="F289" s="137" t="e">
        <f>'Date Calcs'!#REF!</f>
        <v>#REF!</v>
      </c>
      <c r="G289" s="137" t="e">
        <f>IF(VLOOKUP(A289,'Actual Dates'!A4:AE416,8,),'Actual Dates'!#REF!,"")</f>
        <v>#REF!</v>
      </c>
      <c r="H289" s="137" t="e">
        <f t="shared" si="38"/>
        <v>#REF!</v>
      </c>
      <c r="I289" s="137" t="e">
        <f>IF(VLOOKUP(A289,'Actual Dates'!A4:AE411,25,),'Actual Dates'!#REF!,"")</f>
        <v>#REF!</v>
      </c>
      <c r="J289" s="137" t="e">
        <f t="shared" si="39"/>
        <v>#REF!</v>
      </c>
      <c r="K289" s="137" t="e">
        <f>IF(VLOOKUP(A289,'Actual Dates'!A4:AE439,26,),'Actual Dates'!#REF!,"")</f>
        <v>#REF!</v>
      </c>
      <c r="L289" s="137" t="e">
        <f>IF(VLOOKUP(A289,'Actual Dates'!A4:AE439,21,),'Actual Dates'!#REF!,"")</f>
        <v>#REF!</v>
      </c>
      <c r="M289" s="137" t="e">
        <f>'Date Calcs'!#REF!</f>
        <v>#REF!</v>
      </c>
      <c r="N289" s="137" t="e">
        <f>IF(VLOOKUP(A289,'Actual Dates'!A4:AE439,27,),'Actual Dates'!#REF!,"")</f>
        <v>#REF!</v>
      </c>
      <c r="O289" s="138" t="e">
        <f t="shared" si="42"/>
        <v>#REF!</v>
      </c>
      <c r="P289" s="139" t="e">
        <f t="shared" si="40"/>
        <v>#REF!</v>
      </c>
      <c r="Q289" s="139" t="e">
        <f t="shared" si="41"/>
        <v>#REF!</v>
      </c>
      <c r="R289" s="170"/>
      <c r="S289" s="170"/>
    </row>
    <row r="290" spans="1:19" x14ac:dyDescent="0.25">
      <c r="A290" s="134" t="e">
        <f>'Date Calcs'!#REF!</f>
        <v>#REF!</v>
      </c>
      <c r="B290" s="135" t="e">
        <f>'Date Calcs'!#REF!</f>
        <v>#REF!</v>
      </c>
      <c r="C290" s="136" t="e">
        <f>'Date Calcs'!#REF!</f>
        <v>#REF!</v>
      </c>
      <c r="D290" s="137" t="e">
        <f t="shared" si="43"/>
        <v>#REF!</v>
      </c>
      <c r="E290" s="143">
        <v>44313</v>
      </c>
      <c r="F290" s="137" t="e">
        <f>'Date Calcs'!#REF!</f>
        <v>#REF!</v>
      </c>
      <c r="G290" s="137" t="e">
        <f>IF(VLOOKUP(A290,'Actual Dates'!A4:AE417,8,),'Actual Dates'!#REF!,"")</f>
        <v>#REF!</v>
      </c>
      <c r="H290" s="137" t="e">
        <f t="shared" si="38"/>
        <v>#REF!</v>
      </c>
      <c r="I290" s="137" t="e">
        <f>IF(VLOOKUP(A290,'Actual Dates'!A4:AE412,25,),'Actual Dates'!#REF!,"")</f>
        <v>#REF!</v>
      </c>
      <c r="J290" s="137" t="e">
        <f t="shared" si="39"/>
        <v>#REF!</v>
      </c>
      <c r="K290" s="137" t="e">
        <f>IF(VLOOKUP(A290,'Actual Dates'!A4:AE440,26,),'Actual Dates'!#REF!,"")</f>
        <v>#REF!</v>
      </c>
      <c r="L290" s="137" t="e">
        <f>IF(VLOOKUP(A290,'Actual Dates'!A4:AE440,21,),'Actual Dates'!#REF!,"")</f>
        <v>#REF!</v>
      </c>
      <c r="M290" s="137" t="e">
        <f>'Date Calcs'!#REF!</f>
        <v>#REF!</v>
      </c>
      <c r="N290" s="137" t="e">
        <f>IF(VLOOKUP(A290,'Actual Dates'!A4:AE440,27,),'Actual Dates'!#REF!,"")</f>
        <v>#REF!</v>
      </c>
      <c r="O290" s="138" t="e">
        <f t="shared" si="42"/>
        <v>#REF!</v>
      </c>
      <c r="P290" s="139" t="e">
        <f t="shared" si="40"/>
        <v>#REF!</v>
      </c>
      <c r="Q290" s="139" t="e">
        <f t="shared" si="41"/>
        <v>#REF!</v>
      </c>
      <c r="R290" s="170"/>
      <c r="S290" s="170"/>
    </row>
    <row r="291" spans="1:19" x14ac:dyDescent="0.25">
      <c r="A291" s="134" t="e">
        <f>'Date Calcs'!#REF!</f>
        <v>#REF!</v>
      </c>
      <c r="B291" s="135" t="e">
        <f>'Date Calcs'!#REF!</f>
        <v>#REF!</v>
      </c>
      <c r="C291" s="136" t="e">
        <f>'Date Calcs'!#REF!</f>
        <v>#REF!</v>
      </c>
      <c r="D291" s="137" t="e">
        <f t="shared" si="43"/>
        <v>#REF!</v>
      </c>
      <c r="E291" s="143">
        <v>44314</v>
      </c>
      <c r="F291" s="137" t="e">
        <f>'Date Calcs'!#REF!</f>
        <v>#REF!</v>
      </c>
      <c r="G291" s="137" t="e">
        <f>IF(VLOOKUP(A291,'Actual Dates'!A4:AE418,8,),'Actual Dates'!#REF!,"")</f>
        <v>#REF!</v>
      </c>
      <c r="H291" s="137" t="e">
        <f t="shared" si="38"/>
        <v>#REF!</v>
      </c>
      <c r="I291" s="137" t="e">
        <f>IF(VLOOKUP(A291,'Actual Dates'!A4:AE413,25,),'Actual Dates'!#REF!,"")</f>
        <v>#REF!</v>
      </c>
      <c r="J291" s="137" t="e">
        <f t="shared" si="39"/>
        <v>#REF!</v>
      </c>
      <c r="K291" s="137" t="e">
        <f>IF(VLOOKUP(A291,'Actual Dates'!A4:AE441,26,),'Actual Dates'!#REF!,"")</f>
        <v>#REF!</v>
      </c>
      <c r="L291" s="137" t="e">
        <f>IF(VLOOKUP(A291,'Actual Dates'!A4:AE441,21,),'Actual Dates'!#REF!,"")</f>
        <v>#REF!</v>
      </c>
      <c r="M291" s="137" t="e">
        <f>'Date Calcs'!#REF!</f>
        <v>#REF!</v>
      </c>
      <c r="N291" s="137" t="e">
        <f>IF(VLOOKUP(A291,'Actual Dates'!A4:AE441,27,),'Actual Dates'!#REF!,"")</f>
        <v>#REF!</v>
      </c>
      <c r="O291" s="138" t="e">
        <f t="shared" si="42"/>
        <v>#REF!</v>
      </c>
      <c r="P291" s="139" t="e">
        <f t="shared" si="40"/>
        <v>#REF!</v>
      </c>
      <c r="Q291" s="139" t="e">
        <f t="shared" si="41"/>
        <v>#REF!</v>
      </c>
      <c r="R291" s="170"/>
      <c r="S291" s="170"/>
    </row>
    <row r="292" spans="1:19" x14ac:dyDescent="0.25">
      <c r="A292" s="134" t="e">
        <f>'Date Calcs'!#REF!</f>
        <v>#REF!</v>
      </c>
      <c r="B292" s="135" t="e">
        <f>'Date Calcs'!#REF!</f>
        <v>#REF!</v>
      </c>
      <c r="C292" s="136" t="e">
        <f>'Date Calcs'!#REF!</f>
        <v>#REF!</v>
      </c>
      <c r="D292" s="137" t="e">
        <f t="shared" si="43"/>
        <v>#REF!</v>
      </c>
      <c r="E292" s="143">
        <v>44315</v>
      </c>
      <c r="F292" s="137" t="e">
        <f>'Date Calcs'!#REF!</f>
        <v>#REF!</v>
      </c>
      <c r="G292" s="137" t="e">
        <f>IF(VLOOKUP(A292,'Actual Dates'!A4:AE419,8,),'Actual Dates'!#REF!,"")</f>
        <v>#REF!</v>
      </c>
      <c r="H292" s="137" t="e">
        <f t="shared" si="38"/>
        <v>#REF!</v>
      </c>
      <c r="I292" s="137" t="e">
        <f>IF(VLOOKUP(A292,'Actual Dates'!A4:AE414,25,),'Actual Dates'!#REF!,"")</f>
        <v>#REF!</v>
      </c>
      <c r="J292" s="137" t="e">
        <f t="shared" si="39"/>
        <v>#REF!</v>
      </c>
      <c r="K292" s="137" t="e">
        <f>IF(VLOOKUP(A292,'Actual Dates'!A4:AE442,26,),'Actual Dates'!#REF!,"")</f>
        <v>#REF!</v>
      </c>
      <c r="L292" s="137" t="e">
        <f>IF(VLOOKUP(A292,'Actual Dates'!A4:AE442,21,),'Actual Dates'!#REF!,"")</f>
        <v>#REF!</v>
      </c>
      <c r="M292" s="137" t="e">
        <f>'Date Calcs'!#REF!</f>
        <v>#REF!</v>
      </c>
      <c r="N292" s="137" t="e">
        <f>IF(VLOOKUP(A292,'Actual Dates'!A4:AE442,27,),'Actual Dates'!#REF!,"")</f>
        <v>#REF!</v>
      </c>
      <c r="O292" s="138" t="e">
        <f t="shared" si="42"/>
        <v>#REF!</v>
      </c>
      <c r="P292" s="139" t="e">
        <f t="shared" si="40"/>
        <v>#REF!</v>
      </c>
      <c r="Q292" s="139" t="e">
        <f t="shared" si="41"/>
        <v>#REF!</v>
      </c>
      <c r="R292" s="170"/>
      <c r="S292" s="170"/>
    </row>
    <row r="293" spans="1:19" x14ac:dyDescent="0.25">
      <c r="A293" s="134" t="e">
        <f>'Date Calcs'!#REF!</f>
        <v>#REF!</v>
      </c>
      <c r="B293" s="135" t="e">
        <f>'Date Calcs'!#REF!</f>
        <v>#REF!</v>
      </c>
      <c r="C293" s="136" t="e">
        <f>'Date Calcs'!#REF!</f>
        <v>#REF!</v>
      </c>
      <c r="D293" s="137" t="e">
        <f t="shared" si="43"/>
        <v>#REF!</v>
      </c>
      <c r="E293" s="143">
        <v>44316</v>
      </c>
      <c r="F293" s="137" t="e">
        <f>'Date Calcs'!#REF!</f>
        <v>#REF!</v>
      </c>
      <c r="G293" s="137" t="e">
        <f>IF(VLOOKUP(A293,'Actual Dates'!A4:AE420,8,),'Actual Dates'!#REF!,"")</f>
        <v>#REF!</v>
      </c>
      <c r="H293" s="137" t="e">
        <f t="shared" si="38"/>
        <v>#REF!</v>
      </c>
      <c r="I293" s="137" t="e">
        <f>IF(VLOOKUP(A293,'Actual Dates'!A4:AE415,25,),'Actual Dates'!#REF!,"")</f>
        <v>#REF!</v>
      </c>
      <c r="J293" s="137" t="e">
        <f t="shared" si="39"/>
        <v>#REF!</v>
      </c>
      <c r="K293" s="137" t="e">
        <f>IF(VLOOKUP(A293,'Actual Dates'!A4:AE443,26,),'Actual Dates'!#REF!,"")</f>
        <v>#REF!</v>
      </c>
      <c r="L293" s="137" t="e">
        <f>IF(VLOOKUP(A293,'Actual Dates'!A4:AE443,21,),'Actual Dates'!#REF!,"")</f>
        <v>#REF!</v>
      </c>
      <c r="M293" s="137" t="e">
        <f>'Date Calcs'!#REF!</f>
        <v>#REF!</v>
      </c>
      <c r="N293" s="137" t="e">
        <f>IF(VLOOKUP(A293,'Actual Dates'!A4:AE443,27,),'Actual Dates'!#REF!,"")</f>
        <v>#REF!</v>
      </c>
      <c r="O293" s="138" t="e">
        <f t="shared" si="42"/>
        <v>#REF!</v>
      </c>
      <c r="P293" s="139" t="e">
        <f t="shared" si="40"/>
        <v>#REF!</v>
      </c>
      <c r="Q293" s="139" t="e">
        <f t="shared" si="41"/>
        <v>#REF!</v>
      </c>
      <c r="R293" s="170"/>
      <c r="S293" s="170"/>
    </row>
    <row r="294" spans="1:19" x14ac:dyDescent="0.25">
      <c r="A294" s="134" t="e">
        <f>'Date Calcs'!#REF!</f>
        <v>#REF!</v>
      </c>
      <c r="B294" s="135" t="e">
        <f>'Date Calcs'!#REF!</f>
        <v>#REF!</v>
      </c>
      <c r="C294" s="136" t="e">
        <f>'Date Calcs'!#REF!</f>
        <v>#REF!</v>
      </c>
      <c r="D294" s="137" t="e">
        <f t="shared" si="43"/>
        <v>#REF!</v>
      </c>
      <c r="E294" s="143">
        <v>44317</v>
      </c>
      <c r="F294" s="137" t="e">
        <f>'Date Calcs'!#REF!</f>
        <v>#REF!</v>
      </c>
      <c r="G294" s="137" t="e">
        <f>IF(VLOOKUP(A294,'Actual Dates'!A4:AE421,8,),'Actual Dates'!#REF!,"")</f>
        <v>#REF!</v>
      </c>
      <c r="H294" s="137" t="e">
        <f t="shared" si="38"/>
        <v>#REF!</v>
      </c>
      <c r="I294" s="137" t="e">
        <f>IF(VLOOKUP(A294,'Actual Dates'!A4:AE416,25,),'Actual Dates'!#REF!,"")</f>
        <v>#REF!</v>
      </c>
      <c r="J294" s="137" t="e">
        <f t="shared" si="39"/>
        <v>#REF!</v>
      </c>
      <c r="K294" s="137" t="e">
        <f>IF(VLOOKUP(A294,'Actual Dates'!A4:AE444,26,),'Actual Dates'!#REF!,"")</f>
        <v>#REF!</v>
      </c>
      <c r="L294" s="137" t="e">
        <f>IF(VLOOKUP(A294,'Actual Dates'!A4:AE444,21,),'Actual Dates'!#REF!,"")</f>
        <v>#REF!</v>
      </c>
      <c r="M294" s="137" t="e">
        <f>'Date Calcs'!#REF!</f>
        <v>#REF!</v>
      </c>
      <c r="N294" s="137" t="e">
        <f>IF(VLOOKUP(A294,'Actual Dates'!A4:AE444,27,),'Actual Dates'!#REF!,"")</f>
        <v>#REF!</v>
      </c>
      <c r="O294" s="138" t="e">
        <f t="shared" si="42"/>
        <v>#REF!</v>
      </c>
      <c r="P294" s="139" t="e">
        <f t="shared" si="40"/>
        <v>#REF!</v>
      </c>
      <c r="Q294" s="139" t="e">
        <f t="shared" si="41"/>
        <v>#REF!</v>
      </c>
      <c r="R294" s="170"/>
      <c r="S294" s="170"/>
    </row>
    <row r="295" spans="1:19" x14ac:dyDescent="0.25">
      <c r="A295" s="134" t="e">
        <f>'Date Calcs'!#REF!</f>
        <v>#REF!</v>
      </c>
      <c r="B295" s="135" t="e">
        <f>'Date Calcs'!#REF!</f>
        <v>#REF!</v>
      </c>
      <c r="C295" s="136" t="e">
        <f>'Date Calcs'!#REF!</f>
        <v>#REF!</v>
      </c>
      <c r="D295" s="137" t="e">
        <f t="shared" si="43"/>
        <v>#REF!</v>
      </c>
      <c r="E295" s="143">
        <v>44318</v>
      </c>
      <c r="F295" s="137" t="e">
        <f>'Date Calcs'!#REF!</f>
        <v>#REF!</v>
      </c>
      <c r="G295" s="137" t="e">
        <f>IF(VLOOKUP(A295,'Actual Dates'!A4:AE422,8,),'Actual Dates'!#REF!,"")</f>
        <v>#REF!</v>
      </c>
      <c r="H295" s="137" t="e">
        <f t="shared" si="38"/>
        <v>#REF!</v>
      </c>
      <c r="I295" s="137" t="e">
        <f>IF(VLOOKUP(A295,'Actual Dates'!A4:AE417,25,),'Actual Dates'!#REF!,"")</f>
        <v>#REF!</v>
      </c>
      <c r="J295" s="137" t="e">
        <f t="shared" si="39"/>
        <v>#REF!</v>
      </c>
      <c r="K295" s="137" t="e">
        <f>IF(VLOOKUP(A295,'Actual Dates'!A4:AE445,26,),'Actual Dates'!#REF!,"")</f>
        <v>#REF!</v>
      </c>
      <c r="L295" s="137" t="e">
        <f>IF(VLOOKUP(A295,'Actual Dates'!A4:AE445,21,),'Actual Dates'!#REF!,"")</f>
        <v>#REF!</v>
      </c>
      <c r="M295" s="137" t="e">
        <f>'Date Calcs'!#REF!</f>
        <v>#REF!</v>
      </c>
      <c r="N295" s="137" t="e">
        <f>IF(VLOOKUP(A295,'Actual Dates'!A4:AE445,27,),'Actual Dates'!#REF!,"")</f>
        <v>#REF!</v>
      </c>
      <c r="O295" s="138" t="e">
        <f t="shared" si="42"/>
        <v>#REF!</v>
      </c>
      <c r="P295" s="139" t="e">
        <f t="shared" si="40"/>
        <v>#REF!</v>
      </c>
      <c r="Q295" s="139" t="e">
        <f t="shared" si="41"/>
        <v>#REF!</v>
      </c>
      <c r="R295" s="170"/>
      <c r="S295" s="170"/>
    </row>
    <row r="296" spans="1:19" x14ac:dyDescent="0.25">
      <c r="A296" s="134" t="e">
        <f>'Date Calcs'!#REF!</f>
        <v>#REF!</v>
      </c>
      <c r="B296" s="135" t="e">
        <f>'Date Calcs'!#REF!</f>
        <v>#REF!</v>
      </c>
      <c r="C296" s="136" t="e">
        <f>'Date Calcs'!#REF!</f>
        <v>#REF!</v>
      </c>
      <c r="D296" s="137" t="e">
        <f t="shared" si="43"/>
        <v>#REF!</v>
      </c>
      <c r="E296" s="143">
        <v>44319</v>
      </c>
      <c r="F296" s="137" t="e">
        <f>'Date Calcs'!#REF!</f>
        <v>#REF!</v>
      </c>
      <c r="G296" s="137" t="e">
        <f>IF(VLOOKUP(A296,'Actual Dates'!A4:AE423,8,),'Actual Dates'!#REF!,"")</f>
        <v>#REF!</v>
      </c>
      <c r="H296" s="137" t="e">
        <f t="shared" si="38"/>
        <v>#REF!</v>
      </c>
      <c r="I296" s="137" t="e">
        <f>IF(VLOOKUP(A296,'Actual Dates'!A4:AE418,25,),'Actual Dates'!#REF!,"")</f>
        <v>#REF!</v>
      </c>
      <c r="J296" s="137" t="e">
        <f t="shared" si="39"/>
        <v>#REF!</v>
      </c>
      <c r="K296" s="137" t="e">
        <f>IF(VLOOKUP(A296,'Actual Dates'!A4:AE446,26,),'Actual Dates'!#REF!,"")</f>
        <v>#REF!</v>
      </c>
      <c r="L296" s="137" t="e">
        <f>IF(VLOOKUP(A296,'Actual Dates'!A4:AE446,21,),'Actual Dates'!#REF!,"")</f>
        <v>#REF!</v>
      </c>
      <c r="M296" s="137" t="e">
        <f>'Date Calcs'!#REF!</f>
        <v>#REF!</v>
      </c>
      <c r="N296" s="137" t="e">
        <f>IF(VLOOKUP(A296,'Actual Dates'!A4:AE446,27,),'Actual Dates'!#REF!,"")</f>
        <v>#REF!</v>
      </c>
      <c r="O296" s="138" t="e">
        <f t="shared" si="42"/>
        <v>#REF!</v>
      </c>
      <c r="P296" s="139" t="e">
        <f t="shared" si="40"/>
        <v>#REF!</v>
      </c>
      <c r="Q296" s="139" t="e">
        <f t="shared" si="41"/>
        <v>#REF!</v>
      </c>
      <c r="R296" s="170"/>
      <c r="S296" s="170"/>
    </row>
    <row r="297" spans="1:19" x14ac:dyDescent="0.25">
      <c r="A297" s="134" t="e">
        <f>'Date Calcs'!#REF!</f>
        <v>#REF!</v>
      </c>
      <c r="B297" s="135" t="e">
        <f>'Date Calcs'!#REF!</f>
        <v>#REF!</v>
      </c>
      <c r="C297" s="136" t="e">
        <f>'Date Calcs'!#REF!</f>
        <v>#REF!</v>
      </c>
      <c r="D297" s="137" t="e">
        <f t="shared" si="43"/>
        <v>#REF!</v>
      </c>
      <c r="E297" s="143">
        <v>44320</v>
      </c>
      <c r="F297" s="137" t="e">
        <f>'Date Calcs'!#REF!</f>
        <v>#REF!</v>
      </c>
      <c r="G297" s="137" t="e">
        <f>IF(VLOOKUP(A297,'Actual Dates'!A4:AE424,8,),'Actual Dates'!#REF!,"")</f>
        <v>#REF!</v>
      </c>
      <c r="H297" s="137" t="e">
        <f t="shared" si="38"/>
        <v>#REF!</v>
      </c>
      <c r="I297" s="137" t="e">
        <f>IF(VLOOKUP(A297,'Actual Dates'!A4:AE419,25,),'Actual Dates'!#REF!,"")</f>
        <v>#REF!</v>
      </c>
      <c r="J297" s="137" t="e">
        <f t="shared" si="39"/>
        <v>#REF!</v>
      </c>
      <c r="K297" s="137" t="e">
        <f>IF(VLOOKUP(A297,'Actual Dates'!A4:AE447,26,),'Actual Dates'!#REF!,"")</f>
        <v>#REF!</v>
      </c>
      <c r="L297" s="137" t="e">
        <f>IF(VLOOKUP(A297,'Actual Dates'!A4:AE447,21,),'Actual Dates'!#REF!,"")</f>
        <v>#REF!</v>
      </c>
      <c r="M297" s="137" t="e">
        <f>'Date Calcs'!#REF!</f>
        <v>#REF!</v>
      </c>
      <c r="N297" s="137" t="e">
        <f>IF(VLOOKUP(A297,'Actual Dates'!A4:AE447,27,),'Actual Dates'!#REF!,"")</f>
        <v>#REF!</v>
      </c>
      <c r="O297" s="138" t="e">
        <f t="shared" si="42"/>
        <v>#REF!</v>
      </c>
      <c r="P297" s="139" t="e">
        <f t="shared" si="40"/>
        <v>#REF!</v>
      </c>
      <c r="Q297" s="139" t="e">
        <f t="shared" si="41"/>
        <v>#REF!</v>
      </c>
      <c r="R297" s="170"/>
      <c r="S297" s="170"/>
    </row>
    <row r="298" spans="1:19" x14ac:dyDescent="0.25">
      <c r="A298" s="134" t="e">
        <f>'Date Calcs'!#REF!</f>
        <v>#REF!</v>
      </c>
      <c r="B298" s="135" t="e">
        <f>'Date Calcs'!#REF!</f>
        <v>#REF!</v>
      </c>
      <c r="C298" s="136" t="e">
        <f>'Date Calcs'!#REF!</f>
        <v>#REF!</v>
      </c>
      <c r="D298" s="137" t="e">
        <f t="shared" si="43"/>
        <v>#REF!</v>
      </c>
      <c r="E298" s="143">
        <v>44321</v>
      </c>
      <c r="F298" s="137" t="e">
        <f>'Date Calcs'!#REF!</f>
        <v>#REF!</v>
      </c>
      <c r="G298" s="137" t="e">
        <f>IF(VLOOKUP(A298,'Actual Dates'!A4:AE425,8,),'Actual Dates'!#REF!,"")</f>
        <v>#REF!</v>
      </c>
      <c r="H298" s="137" t="e">
        <f t="shared" si="38"/>
        <v>#REF!</v>
      </c>
      <c r="I298" s="137" t="e">
        <f>IF(VLOOKUP(A298,'Actual Dates'!A4:AE420,25,),'Actual Dates'!#REF!,"")</f>
        <v>#REF!</v>
      </c>
      <c r="J298" s="137" t="e">
        <f t="shared" si="39"/>
        <v>#REF!</v>
      </c>
      <c r="K298" s="137" t="e">
        <f>IF(VLOOKUP(A298,'Actual Dates'!A4:AE448,26,),'Actual Dates'!#REF!,"")</f>
        <v>#REF!</v>
      </c>
      <c r="L298" s="137" t="e">
        <f>IF(VLOOKUP(A298,'Actual Dates'!A4:AE448,21,),'Actual Dates'!#REF!,"")</f>
        <v>#REF!</v>
      </c>
      <c r="M298" s="137" t="e">
        <f>'Date Calcs'!#REF!</f>
        <v>#REF!</v>
      </c>
      <c r="N298" s="137" t="e">
        <f>IF(VLOOKUP(A298,'Actual Dates'!A4:AE448,27,),'Actual Dates'!#REF!,"")</f>
        <v>#REF!</v>
      </c>
      <c r="O298" s="138" t="e">
        <f t="shared" si="42"/>
        <v>#REF!</v>
      </c>
      <c r="P298" s="139" t="e">
        <f t="shared" si="40"/>
        <v>#REF!</v>
      </c>
      <c r="Q298" s="139" t="e">
        <f t="shared" si="41"/>
        <v>#REF!</v>
      </c>
      <c r="R298" s="170"/>
      <c r="S298" s="170"/>
    </row>
    <row r="299" spans="1:19" x14ac:dyDescent="0.25">
      <c r="A299" s="134" t="e">
        <f>'Date Calcs'!#REF!</f>
        <v>#REF!</v>
      </c>
      <c r="B299" s="135" t="e">
        <f>'Date Calcs'!#REF!</f>
        <v>#REF!</v>
      </c>
      <c r="C299" s="136" t="e">
        <f>'Date Calcs'!#REF!</f>
        <v>#REF!</v>
      </c>
      <c r="D299" s="137" t="e">
        <f t="shared" si="43"/>
        <v>#REF!</v>
      </c>
      <c r="E299" s="143">
        <v>44322</v>
      </c>
      <c r="F299" s="137" t="e">
        <f>'Date Calcs'!#REF!</f>
        <v>#REF!</v>
      </c>
      <c r="G299" s="137" t="e">
        <f>IF(VLOOKUP(A299,'Actual Dates'!A4:AE426,8,),'Actual Dates'!#REF!,"")</f>
        <v>#REF!</v>
      </c>
      <c r="H299" s="137" t="e">
        <f t="shared" si="38"/>
        <v>#REF!</v>
      </c>
      <c r="I299" s="137" t="e">
        <f>IF(VLOOKUP(A299,'Actual Dates'!A4:AE421,25,),'Actual Dates'!#REF!,"")</f>
        <v>#REF!</v>
      </c>
      <c r="J299" s="137" t="e">
        <f t="shared" si="39"/>
        <v>#REF!</v>
      </c>
      <c r="K299" s="137" t="e">
        <f>IF(VLOOKUP(A299,'Actual Dates'!A4:AE449,26,),'Actual Dates'!#REF!,"")</f>
        <v>#REF!</v>
      </c>
      <c r="L299" s="137" t="e">
        <f>IF(VLOOKUP(A299,'Actual Dates'!A4:AE449,21,),'Actual Dates'!#REF!,"")</f>
        <v>#REF!</v>
      </c>
      <c r="M299" s="137" t="e">
        <f>'Date Calcs'!#REF!</f>
        <v>#REF!</v>
      </c>
      <c r="N299" s="137" t="e">
        <f>IF(VLOOKUP(A299,'Actual Dates'!A4:AE449,27,),'Actual Dates'!#REF!,"")</f>
        <v>#REF!</v>
      </c>
      <c r="O299" s="138" t="e">
        <f t="shared" si="42"/>
        <v>#REF!</v>
      </c>
      <c r="P299" s="139" t="e">
        <f t="shared" si="40"/>
        <v>#REF!</v>
      </c>
      <c r="Q299" s="139" t="e">
        <f t="shared" si="41"/>
        <v>#REF!</v>
      </c>
      <c r="R299" s="170"/>
      <c r="S299" s="170"/>
    </row>
    <row r="300" spans="1:19" x14ac:dyDescent="0.25">
      <c r="A300" s="134" t="e">
        <f>'Date Calcs'!#REF!</f>
        <v>#REF!</v>
      </c>
      <c r="B300" s="135" t="e">
        <f>'Date Calcs'!#REF!</f>
        <v>#REF!</v>
      </c>
      <c r="C300" s="136" t="e">
        <f>'Date Calcs'!#REF!</f>
        <v>#REF!</v>
      </c>
      <c r="D300" s="137" t="e">
        <f t="shared" si="43"/>
        <v>#REF!</v>
      </c>
      <c r="E300" s="143">
        <v>44323</v>
      </c>
      <c r="F300" s="137" t="e">
        <f>'Date Calcs'!#REF!</f>
        <v>#REF!</v>
      </c>
      <c r="G300" s="137" t="e">
        <f>IF(VLOOKUP(A300,'Actual Dates'!A4:AE427,8,),'Actual Dates'!#REF!,"")</f>
        <v>#REF!</v>
      </c>
      <c r="H300" s="137" t="e">
        <f t="shared" si="38"/>
        <v>#REF!</v>
      </c>
      <c r="I300" s="137" t="e">
        <f>IF(VLOOKUP(A300,'Actual Dates'!A4:AE422,25,),'Actual Dates'!#REF!,"")</f>
        <v>#REF!</v>
      </c>
      <c r="J300" s="137" t="e">
        <f t="shared" si="39"/>
        <v>#REF!</v>
      </c>
      <c r="K300" s="137" t="e">
        <f>IF(VLOOKUP(A300,'Actual Dates'!A4:AE450,26,),'Actual Dates'!#REF!,"")</f>
        <v>#REF!</v>
      </c>
      <c r="L300" s="137" t="e">
        <f>IF(VLOOKUP(A300,'Actual Dates'!A4:AE450,21,),'Actual Dates'!#REF!,"")</f>
        <v>#REF!</v>
      </c>
      <c r="M300" s="137" t="e">
        <f>'Date Calcs'!#REF!</f>
        <v>#REF!</v>
      </c>
      <c r="N300" s="137" t="e">
        <f>IF(VLOOKUP(A300,'Actual Dates'!A4:AE450,27,),'Actual Dates'!#REF!,"")</f>
        <v>#REF!</v>
      </c>
      <c r="O300" s="138" t="e">
        <f t="shared" si="42"/>
        <v>#REF!</v>
      </c>
      <c r="P300" s="139" t="e">
        <f t="shared" si="40"/>
        <v>#REF!</v>
      </c>
      <c r="Q300" s="139" t="e">
        <f t="shared" si="41"/>
        <v>#REF!</v>
      </c>
      <c r="R300" s="170"/>
      <c r="S300" s="170"/>
    </row>
    <row r="301" spans="1:19" x14ac:dyDescent="0.25">
      <c r="A301" s="134" t="e">
        <f>'Date Calcs'!#REF!</f>
        <v>#REF!</v>
      </c>
      <c r="B301" s="135" t="e">
        <f>'Date Calcs'!#REF!</f>
        <v>#REF!</v>
      </c>
      <c r="C301" s="136" t="e">
        <f>'Date Calcs'!#REF!</f>
        <v>#REF!</v>
      </c>
      <c r="D301" s="137" t="e">
        <f t="shared" si="43"/>
        <v>#REF!</v>
      </c>
      <c r="E301" s="143">
        <v>44324</v>
      </c>
      <c r="F301" s="137" t="e">
        <f>'Date Calcs'!#REF!</f>
        <v>#REF!</v>
      </c>
      <c r="G301" s="137" t="e">
        <f>IF(VLOOKUP(A301,'Actual Dates'!A4:AE428,8,),'Actual Dates'!#REF!,"")</f>
        <v>#REF!</v>
      </c>
      <c r="H301" s="137" t="e">
        <f t="shared" si="38"/>
        <v>#REF!</v>
      </c>
      <c r="I301" s="137" t="e">
        <f>IF(VLOOKUP(A301,'Actual Dates'!A4:AE423,25,),'Actual Dates'!#REF!,"")</f>
        <v>#REF!</v>
      </c>
      <c r="J301" s="137" t="e">
        <f t="shared" si="39"/>
        <v>#REF!</v>
      </c>
      <c r="K301" s="137" t="e">
        <f>IF(VLOOKUP(A301,'Actual Dates'!A4:AE451,26,),'Actual Dates'!#REF!,"")</f>
        <v>#REF!</v>
      </c>
      <c r="L301" s="137" t="e">
        <f>IF(VLOOKUP(A301,'Actual Dates'!A4:AE451,21,),'Actual Dates'!#REF!,"")</f>
        <v>#REF!</v>
      </c>
      <c r="M301" s="137" t="e">
        <f>'Date Calcs'!#REF!</f>
        <v>#REF!</v>
      </c>
      <c r="N301" s="137" t="e">
        <f>IF(VLOOKUP(A301,'Actual Dates'!A4:AE451,27,),'Actual Dates'!#REF!,"")</f>
        <v>#REF!</v>
      </c>
      <c r="O301" s="138" t="e">
        <f t="shared" si="42"/>
        <v>#REF!</v>
      </c>
      <c r="P301" s="139" t="e">
        <f t="shared" si="40"/>
        <v>#REF!</v>
      </c>
      <c r="Q301" s="139" t="e">
        <f t="shared" si="41"/>
        <v>#REF!</v>
      </c>
      <c r="R301" s="170"/>
      <c r="S301" s="170"/>
    </row>
    <row r="302" spans="1:19" x14ac:dyDescent="0.25">
      <c r="A302" s="134" t="e">
        <f>'Date Calcs'!#REF!</f>
        <v>#REF!</v>
      </c>
      <c r="B302" s="135" t="e">
        <f>'Date Calcs'!#REF!</f>
        <v>#REF!</v>
      </c>
      <c r="C302" s="136" t="e">
        <f>'Date Calcs'!#REF!</f>
        <v>#REF!</v>
      </c>
      <c r="D302" s="137" t="e">
        <f t="shared" si="43"/>
        <v>#REF!</v>
      </c>
      <c r="E302" s="143">
        <v>44325</v>
      </c>
      <c r="F302" s="137" t="e">
        <f>'Date Calcs'!#REF!</f>
        <v>#REF!</v>
      </c>
      <c r="G302" s="137" t="e">
        <f>IF(VLOOKUP(A302,'Actual Dates'!A4:AE429,8,),'Actual Dates'!#REF!,"")</f>
        <v>#REF!</v>
      </c>
      <c r="H302" s="137" t="e">
        <f t="shared" si="38"/>
        <v>#REF!</v>
      </c>
      <c r="I302" s="137" t="e">
        <f>IF(VLOOKUP(A302,'Actual Dates'!A4:AE424,25,),'Actual Dates'!#REF!,"")</f>
        <v>#REF!</v>
      </c>
      <c r="J302" s="137" t="e">
        <f t="shared" si="39"/>
        <v>#REF!</v>
      </c>
      <c r="K302" s="137" t="e">
        <f>IF(VLOOKUP(A302,'Actual Dates'!A4:AE452,26,),'Actual Dates'!#REF!,"")</f>
        <v>#REF!</v>
      </c>
      <c r="L302" s="137" t="e">
        <f>IF(VLOOKUP(A302,'Actual Dates'!A4:AE452,21,),'Actual Dates'!#REF!,"")</f>
        <v>#REF!</v>
      </c>
      <c r="M302" s="137" t="e">
        <f>'Date Calcs'!#REF!</f>
        <v>#REF!</v>
      </c>
      <c r="N302" s="137" t="e">
        <f>IF(VLOOKUP(A302,'Actual Dates'!A4:AE452,27,),'Actual Dates'!#REF!,"")</f>
        <v>#REF!</v>
      </c>
      <c r="O302" s="138" t="e">
        <f t="shared" si="42"/>
        <v>#REF!</v>
      </c>
      <c r="P302" s="139" t="e">
        <f t="shared" si="40"/>
        <v>#REF!</v>
      </c>
      <c r="Q302" s="139" t="e">
        <f t="shared" si="41"/>
        <v>#REF!</v>
      </c>
      <c r="R302" s="170"/>
      <c r="S302" s="170"/>
    </row>
    <row r="303" spans="1:19" x14ac:dyDescent="0.25">
      <c r="A303" s="134" t="e">
        <f>'Date Calcs'!#REF!</f>
        <v>#REF!</v>
      </c>
      <c r="B303" s="135" t="e">
        <f>'Date Calcs'!#REF!</f>
        <v>#REF!</v>
      </c>
      <c r="C303" s="136" t="e">
        <f>'Date Calcs'!#REF!</f>
        <v>#REF!</v>
      </c>
      <c r="D303" s="137" t="e">
        <f t="shared" si="43"/>
        <v>#REF!</v>
      </c>
      <c r="E303" s="143">
        <v>44326</v>
      </c>
      <c r="F303" s="137" t="e">
        <f>'Date Calcs'!#REF!</f>
        <v>#REF!</v>
      </c>
      <c r="G303" s="137" t="e">
        <f>IF(VLOOKUP(A303,'Actual Dates'!A4:AE430,8,),'Actual Dates'!#REF!,"")</f>
        <v>#REF!</v>
      </c>
      <c r="H303" s="137" t="e">
        <f t="shared" si="38"/>
        <v>#REF!</v>
      </c>
      <c r="I303" s="137" t="e">
        <f>IF(VLOOKUP(A303,'Actual Dates'!A4:AE425,25,),'Actual Dates'!#REF!,"")</f>
        <v>#REF!</v>
      </c>
      <c r="J303" s="137" t="e">
        <f t="shared" si="39"/>
        <v>#REF!</v>
      </c>
      <c r="K303" s="137" t="e">
        <f>IF(VLOOKUP(A303,'Actual Dates'!A4:AE453,26,),'Actual Dates'!#REF!,"")</f>
        <v>#REF!</v>
      </c>
      <c r="L303" s="137" t="e">
        <f>IF(VLOOKUP(A303,'Actual Dates'!A4:AE453,21,),'Actual Dates'!#REF!,"")</f>
        <v>#REF!</v>
      </c>
      <c r="M303" s="137" t="e">
        <f>'Date Calcs'!#REF!</f>
        <v>#REF!</v>
      </c>
      <c r="N303" s="137" t="e">
        <f>IF(VLOOKUP(A303,'Actual Dates'!A4:AE453,27,),'Actual Dates'!#REF!,"")</f>
        <v>#REF!</v>
      </c>
      <c r="O303" s="138" t="e">
        <f t="shared" si="42"/>
        <v>#REF!</v>
      </c>
      <c r="P303" s="139" t="e">
        <f t="shared" si="40"/>
        <v>#REF!</v>
      </c>
      <c r="Q303" s="139" t="e">
        <f t="shared" si="41"/>
        <v>#REF!</v>
      </c>
      <c r="R303" s="170"/>
      <c r="S303" s="170"/>
    </row>
    <row r="304" spans="1:19" x14ac:dyDescent="0.25">
      <c r="A304" s="134" t="e">
        <f>'Date Calcs'!#REF!</f>
        <v>#REF!</v>
      </c>
      <c r="B304" s="135" t="e">
        <f>'Date Calcs'!#REF!</f>
        <v>#REF!</v>
      </c>
      <c r="C304" s="136" t="e">
        <f>'Date Calcs'!#REF!</f>
        <v>#REF!</v>
      </c>
      <c r="D304" s="137" t="e">
        <f t="shared" si="43"/>
        <v>#REF!</v>
      </c>
      <c r="E304" s="143">
        <v>44327</v>
      </c>
      <c r="F304" s="137" t="e">
        <f>'Date Calcs'!#REF!</f>
        <v>#REF!</v>
      </c>
      <c r="G304" s="137" t="e">
        <f>IF(VLOOKUP(A304,'Actual Dates'!A4:AE431,8,),'Actual Dates'!#REF!,"")</f>
        <v>#REF!</v>
      </c>
      <c r="H304" s="137" t="e">
        <f t="shared" si="38"/>
        <v>#REF!</v>
      </c>
      <c r="I304" s="137" t="e">
        <f>IF(VLOOKUP(A304,'Actual Dates'!A4:AE426,25,),'Actual Dates'!#REF!,"")</f>
        <v>#REF!</v>
      </c>
      <c r="J304" s="137" t="e">
        <f t="shared" si="39"/>
        <v>#REF!</v>
      </c>
      <c r="K304" s="137" t="e">
        <f>IF(VLOOKUP(A304,'Actual Dates'!A4:AE454,26,),'Actual Dates'!#REF!,"")</f>
        <v>#REF!</v>
      </c>
      <c r="L304" s="137" t="e">
        <f>IF(VLOOKUP(A304,'Actual Dates'!A4:AE454,21,),'Actual Dates'!#REF!,"")</f>
        <v>#REF!</v>
      </c>
      <c r="M304" s="137" t="e">
        <f>'Date Calcs'!#REF!</f>
        <v>#REF!</v>
      </c>
      <c r="N304" s="137" t="e">
        <f>IF(VLOOKUP(A304,'Actual Dates'!A4:AE454,27,),'Actual Dates'!#REF!,"")</f>
        <v>#REF!</v>
      </c>
      <c r="O304" s="138" t="e">
        <f t="shared" si="42"/>
        <v>#REF!</v>
      </c>
      <c r="P304" s="139" t="e">
        <f t="shared" si="40"/>
        <v>#REF!</v>
      </c>
      <c r="Q304" s="139" t="e">
        <f t="shared" si="41"/>
        <v>#REF!</v>
      </c>
      <c r="R304" s="170"/>
      <c r="S304" s="170"/>
    </row>
    <row r="305" spans="1:19" x14ac:dyDescent="0.25">
      <c r="A305" s="134" t="e">
        <f>'Date Calcs'!#REF!</f>
        <v>#REF!</v>
      </c>
      <c r="B305" s="135" t="e">
        <f>'Date Calcs'!#REF!</f>
        <v>#REF!</v>
      </c>
      <c r="C305" s="136" t="e">
        <f>'Date Calcs'!#REF!</f>
        <v>#REF!</v>
      </c>
      <c r="D305" s="137" t="e">
        <f t="shared" si="43"/>
        <v>#REF!</v>
      </c>
      <c r="E305" s="143">
        <v>44328</v>
      </c>
      <c r="F305" s="137" t="e">
        <f>'Date Calcs'!#REF!</f>
        <v>#REF!</v>
      </c>
      <c r="G305" s="137" t="e">
        <f>IF(VLOOKUP(A305,'Actual Dates'!A4:AE432,8,),'Actual Dates'!#REF!,"")</f>
        <v>#REF!</v>
      </c>
      <c r="H305" s="137" t="e">
        <f t="shared" si="38"/>
        <v>#REF!</v>
      </c>
      <c r="I305" s="137" t="e">
        <f>IF(VLOOKUP(A305,'Actual Dates'!A4:AE427,25,),'Actual Dates'!#REF!,"")</f>
        <v>#REF!</v>
      </c>
      <c r="J305" s="137" t="e">
        <f t="shared" si="39"/>
        <v>#REF!</v>
      </c>
      <c r="K305" s="137" t="e">
        <f>IF(VLOOKUP(A305,'Actual Dates'!A4:AE455,26,),'Actual Dates'!#REF!,"")</f>
        <v>#REF!</v>
      </c>
      <c r="L305" s="137" t="e">
        <f>IF(VLOOKUP(A305,'Actual Dates'!A4:AE455,21,),'Actual Dates'!#REF!,"")</f>
        <v>#REF!</v>
      </c>
      <c r="M305" s="137" t="e">
        <f>'Date Calcs'!#REF!</f>
        <v>#REF!</v>
      </c>
      <c r="N305" s="137" t="e">
        <f>IF(VLOOKUP(A305,'Actual Dates'!A4:AE455,27,),'Actual Dates'!#REF!,"")</f>
        <v>#REF!</v>
      </c>
      <c r="O305" s="138" t="e">
        <f t="shared" si="42"/>
        <v>#REF!</v>
      </c>
      <c r="P305" s="139" t="e">
        <f t="shared" si="40"/>
        <v>#REF!</v>
      </c>
      <c r="Q305" s="139" t="e">
        <f t="shared" si="41"/>
        <v>#REF!</v>
      </c>
      <c r="R305" s="170"/>
      <c r="S305" s="170"/>
    </row>
    <row r="306" spans="1:19" x14ac:dyDescent="0.25">
      <c r="A306" s="134" t="e">
        <f>'Date Calcs'!#REF!</f>
        <v>#REF!</v>
      </c>
      <c r="B306" s="135" t="e">
        <f>'Date Calcs'!#REF!</f>
        <v>#REF!</v>
      </c>
      <c r="C306" s="136" t="e">
        <f>'Date Calcs'!#REF!</f>
        <v>#REF!</v>
      </c>
      <c r="D306" s="137" t="e">
        <f t="shared" si="43"/>
        <v>#REF!</v>
      </c>
      <c r="E306" s="143">
        <v>44329</v>
      </c>
      <c r="F306" s="137" t="e">
        <f>'Date Calcs'!#REF!</f>
        <v>#REF!</v>
      </c>
      <c r="G306" s="137" t="e">
        <f>IF(VLOOKUP(A306,'Actual Dates'!A4:AE433,8,),'Actual Dates'!#REF!,"")</f>
        <v>#REF!</v>
      </c>
      <c r="H306" s="137" t="e">
        <f t="shared" si="38"/>
        <v>#REF!</v>
      </c>
      <c r="I306" s="137" t="e">
        <f>IF(VLOOKUP(A306,'Actual Dates'!A4:AE428,25,),'Actual Dates'!#REF!,"")</f>
        <v>#REF!</v>
      </c>
      <c r="J306" s="137" t="e">
        <f t="shared" si="39"/>
        <v>#REF!</v>
      </c>
      <c r="K306" s="137" t="e">
        <f>IF(VLOOKUP(A306,'Actual Dates'!A4:AE456,26,),'Actual Dates'!#REF!,"")</f>
        <v>#REF!</v>
      </c>
      <c r="L306" s="137" t="e">
        <f>IF(VLOOKUP(A306,'Actual Dates'!A4:AE456,21,),'Actual Dates'!#REF!,"")</f>
        <v>#REF!</v>
      </c>
      <c r="M306" s="137" t="e">
        <f>'Date Calcs'!#REF!</f>
        <v>#REF!</v>
      </c>
      <c r="N306" s="137" t="e">
        <f>IF(VLOOKUP(A306,'Actual Dates'!A4:AE456,27,),'Actual Dates'!#REF!,"")</f>
        <v>#REF!</v>
      </c>
      <c r="O306" s="138" t="e">
        <f t="shared" si="42"/>
        <v>#REF!</v>
      </c>
      <c r="P306" s="139" t="e">
        <f t="shared" si="40"/>
        <v>#REF!</v>
      </c>
      <c r="Q306" s="139" t="e">
        <f t="shared" si="41"/>
        <v>#REF!</v>
      </c>
      <c r="R306" s="170"/>
      <c r="S306" s="170"/>
    </row>
    <row r="307" spans="1:19" x14ac:dyDescent="0.25">
      <c r="A307" s="134" t="e">
        <f>'Date Calcs'!#REF!</f>
        <v>#REF!</v>
      </c>
      <c r="B307" s="135" t="e">
        <f>'Date Calcs'!#REF!</f>
        <v>#REF!</v>
      </c>
      <c r="C307" s="136" t="e">
        <f>'Date Calcs'!#REF!</f>
        <v>#REF!</v>
      </c>
      <c r="D307" s="137" t="e">
        <f t="shared" si="43"/>
        <v>#REF!</v>
      </c>
      <c r="E307" s="143">
        <v>44330</v>
      </c>
      <c r="F307" s="137" t="e">
        <f>'Date Calcs'!#REF!</f>
        <v>#REF!</v>
      </c>
      <c r="G307" s="137" t="e">
        <f>IF(VLOOKUP(A307,'Actual Dates'!A4:AE434,8,),'Actual Dates'!#REF!,"")</f>
        <v>#REF!</v>
      </c>
      <c r="H307" s="137" t="e">
        <f t="shared" ref="H307:H370" si="44">WORKDAY(L307,3,)</f>
        <v>#REF!</v>
      </c>
      <c r="I307" s="137" t="e">
        <f>IF(VLOOKUP(A307,'Actual Dates'!A4:AE429,25,),'Actual Dates'!#REF!,"")</f>
        <v>#REF!</v>
      </c>
      <c r="J307" s="137" t="e">
        <f t="shared" ref="J307:J370" si="45">WORKDAY(L307,4,)</f>
        <v>#REF!</v>
      </c>
      <c r="K307" s="137" t="e">
        <f>IF(VLOOKUP(A307,'Actual Dates'!A4:AE457,26,),'Actual Dates'!#REF!,"")</f>
        <v>#REF!</v>
      </c>
      <c r="L307" s="137" t="e">
        <f>IF(VLOOKUP(A307,'Actual Dates'!A4:AE457,21,),'Actual Dates'!#REF!,"")</f>
        <v>#REF!</v>
      </c>
      <c r="M307" s="137" t="e">
        <f>'Date Calcs'!#REF!</f>
        <v>#REF!</v>
      </c>
      <c r="N307" s="137" t="e">
        <f>IF(VLOOKUP(A307,'Actual Dates'!A4:AE457,27,),'Actual Dates'!#REF!,"")</f>
        <v>#REF!</v>
      </c>
      <c r="O307" s="138" t="e">
        <f t="shared" si="42"/>
        <v>#REF!</v>
      </c>
      <c r="P307" s="139" t="e">
        <f t="shared" ref="P307:P370" si="46">F307-G307</f>
        <v>#REF!</v>
      </c>
      <c r="Q307" s="139" t="e">
        <f t="shared" ref="Q307:Q370" si="47">M307-N307</f>
        <v>#REF!</v>
      </c>
      <c r="R307" s="170"/>
      <c r="S307" s="170"/>
    </row>
    <row r="308" spans="1:19" x14ac:dyDescent="0.25">
      <c r="A308" s="134" t="e">
        <f>'Date Calcs'!#REF!</f>
        <v>#REF!</v>
      </c>
      <c r="B308" s="135" t="e">
        <f>'Date Calcs'!#REF!</f>
        <v>#REF!</v>
      </c>
      <c r="C308" s="136" t="e">
        <f>'Date Calcs'!#REF!</f>
        <v>#REF!</v>
      </c>
      <c r="D308" s="137" t="e">
        <f t="shared" si="43"/>
        <v>#REF!</v>
      </c>
      <c r="E308" s="143">
        <v>44331</v>
      </c>
      <c r="F308" s="137" t="e">
        <f>'Date Calcs'!#REF!</f>
        <v>#REF!</v>
      </c>
      <c r="G308" s="137" t="e">
        <f>IF(VLOOKUP(A308,'Actual Dates'!A4:AE435,8,),'Actual Dates'!#REF!,"")</f>
        <v>#REF!</v>
      </c>
      <c r="H308" s="137" t="e">
        <f t="shared" si="44"/>
        <v>#REF!</v>
      </c>
      <c r="I308" s="137" t="e">
        <f>IF(VLOOKUP(A308,'Actual Dates'!A4:AE430,25,),'Actual Dates'!#REF!,"")</f>
        <v>#REF!</v>
      </c>
      <c r="J308" s="137" t="e">
        <f t="shared" si="45"/>
        <v>#REF!</v>
      </c>
      <c r="K308" s="137" t="e">
        <f>IF(VLOOKUP(A308,'Actual Dates'!A4:AE458,26,),'Actual Dates'!#REF!,"")</f>
        <v>#REF!</v>
      </c>
      <c r="L308" s="137" t="e">
        <f>IF(VLOOKUP(A308,'Actual Dates'!A4:AE458,21,),'Actual Dates'!#REF!,"")</f>
        <v>#REF!</v>
      </c>
      <c r="M308" s="137" t="e">
        <f>'Date Calcs'!#REF!</f>
        <v>#REF!</v>
      </c>
      <c r="N308" s="137" t="e">
        <f>IF(VLOOKUP(A308,'Actual Dates'!A4:AE458,27,),'Actual Dates'!#REF!,"")</f>
        <v>#REF!</v>
      </c>
      <c r="O308" s="138" t="e">
        <f t="shared" si="42"/>
        <v>#REF!</v>
      </c>
      <c r="P308" s="139" t="e">
        <f t="shared" si="46"/>
        <v>#REF!</v>
      </c>
      <c r="Q308" s="139" t="e">
        <f t="shared" si="47"/>
        <v>#REF!</v>
      </c>
      <c r="R308" s="170"/>
      <c r="S308" s="170"/>
    </row>
    <row r="309" spans="1:19" x14ac:dyDescent="0.25">
      <c r="A309" s="134" t="e">
        <f>'Date Calcs'!#REF!</f>
        <v>#REF!</v>
      </c>
      <c r="B309" s="135" t="e">
        <f>'Date Calcs'!#REF!</f>
        <v>#REF!</v>
      </c>
      <c r="C309" s="136" t="e">
        <f>'Date Calcs'!#REF!</f>
        <v>#REF!</v>
      </c>
      <c r="D309" s="137" t="e">
        <f t="shared" si="43"/>
        <v>#REF!</v>
      </c>
      <c r="E309" s="143">
        <v>44332</v>
      </c>
      <c r="F309" s="137" t="e">
        <f>'Date Calcs'!#REF!</f>
        <v>#REF!</v>
      </c>
      <c r="G309" s="137" t="e">
        <f>IF(VLOOKUP(A309,'Actual Dates'!A4:AE436,8,),'Actual Dates'!#REF!,"")</f>
        <v>#REF!</v>
      </c>
      <c r="H309" s="137" t="e">
        <f t="shared" si="44"/>
        <v>#REF!</v>
      </c>
      <c r="I309" s="137" t="e">
        <f>IF(VLOOKUP(A309,'Actual Dates'!A4:AE431,25,),'Actual Dates'!#REF!,"")</f>
        <v>#REF!</v>
      </c>
      <c r="J309" s="137" t="e">
        <f t="shared" si="45"/>
        <v>#REF!</v>
      </c>
      <c r="K309" s="137" t="e">
        <f>IF(VLOOKUP(A309,'Actual Dates'!A4:AE459,26,),'Actual Dates'!#REF!,"")</f>
        <v>#REF!</v>
      </c>
      <c r="L309" s="137" t="e">
        <f>IF(VLOOKUP(A309,'Actual Dates'!A4:AE459,21,),'Actual Dates'!#REF!,"")</f>
        <v>#REF!</v>
      </c>
      <c r="M309" s="137" t="e">
        <f>'Date Calcs'!#REF!</f>
        <v>#REF!</v>
      </c>
      <c r="N309" s="137" t="e">
        <f>IF(VLOOKUP(A309,'Actual Dates'!A4:AE459,27,),'Actual Dates'!#REF!,"")</f>
        <v>#REF!</v>
      </c>
      <c r="O309" s="138" t="e">
        <f t="shared" si="42"/>
        <v>#REF!</v>
      </c>
      <c r="P309" s="139" t="e">
        <f t="shared" si="46"/>
        <v>#REF!</v>
      </c>
      <c r="Q309" s="139" t="e">
        <f t="shared" si="47"/>
        <v>#REF!</v>
      </c>
      <c r="R309" s="170"/>
      <c r="S309" s="170"/>
    </row>
    <row r="310" spans="1:19" x14ac:dyDescent="0.25">
      <c r="A310" s="134" t="e">
        <f>'Date Calcs'!#REF!</f>
        <v>#REF!</v>
      </c>
      <c r="B310" s="135" t="e">
        <f>'Date Calcs'!#REF!</f>
        <v>#REF!</v>
      </c>
      <c r="C310" s="136" t="e">
        <f>'Date Calcs'!#REF!</f>
        <v>#REF!</v>
      </c>
      <c r="D310" s="137" t="e">
        <f t="shared" si="43"/>
        <v>#REF!</v>
      </c>
      <c r="E310" s="143">
        <v>44333</v>
      </c>
      <c r="F310" s="137" t="e">
        <f>'Date Calcs'!#REF!</f>
        <v>#REF!</v>
      </c>
      <c r="G310" s="137" t="e">
        <f>IF(VLOOKUP(A310,'Actual Dates'!A4:AE437,8,),'Actual Dates'!#REF!,"")</f>
        <v>#REF!</v>
      </c>
      <c r="H310" s="137" t="e">
        <f t="shared" si="44"/>
        <v>#REF!</v>
      </c>
      <c r="I310" s="137" t="e">
        <f>IF(VLOOKUP(A310,'Actual Dates'!A4:AE432,25,),'Actual Dates'!#REF!,"")</f>
        <v>#REF!</v>
      </c>
      <c r="J310" s="137" t="e">
        <f t="shared" si="45"/>
        <v>#REF!</v>
      </c>
      <c r="K310" s="137" t="e">
        <f>IF(VLOOKUP(A310,'Actual Dates'!A4:AE460,26,),'Actual Dates'!#REF!,"")</f>
        <v>#REF!</v>
      </c>
      <c r="L310" s="137" t="e">
        <f>IF(VLOOKUP(A310,'Actual Dates'!A4:AE460,21,),'Actual Dates'!#REF!,"")</f>
        <v>#REF!</v>
      </c>
      <c r="M310" s="137" t="e">
        <f>'Date Calcs'!#REF!</f>
        <v>#REF!</v>
      </c>
      <c r="N310" s="137" t="e">
        <f>IF(VLOOKUP(A310,'Actual Dates'!A4:AE460,27,),'Actual Dates'!#REF!,"")</f>
        <v>#REF!</v>
      </c>
      <c r="O310" s="138" t="e">
        <f t="shared" si="42"/>
        <v>#REF!</v>
      </c>
      <c r="P310" s="139" t="e">
        <f t="shared" si="46"/>
        <v>#REF!</v>
      </c>
      <c r="Q310" s="139" t="e">
        <f t="shared" si="47"/>
        <v>#REF!</v>
      </c>
      <c r="R310" s="170"/>
      <c r="S310" s="170"/>
    </row>
    <row r="311" spans="1:19" x14ac:dyDescent="0.25">
      <c r="A311" s="134" t="e">
        <f>'Date Calcs'!#REF!</f>
        <v>#REF!</v>
      </c>
      <c r="B311" s="135" t="e">
        <f>'Date Calcs'!#REF!</f>
        <v>#REF!</v>
      </c>
      <c r="C311" s="136" t="e">
        <f>'Date Calcs'!#REF!</f>
        <v>#REF!</v>
      </c>
      <c r="D311" s="137" t="e">
        <f t="shared" si="43"/>
        <v>#REF!</v>
      </c>
      <c r="E311" s="143">
        <v>44334</v>
      </c>
      <c r="F311" s="137" t="e">
        <f>'Date Calcs'!#REF!</f>
        <v>#REF!</v>
      </c>
      <c r="G311" s="137" t="e">
        <f>IF(VLOOKUP(A311,'Actual Dates'!A4:AE438,8,),'Actual Dates'!#REF!,"")</f>
        <v>#REF!</v>
      </c>
      <c r="H311" s="137" t="e">
        <f t="shared" si="44"/>
        <v>#REF!</v>
      </c>
      <c r="I311" s="137" t="e">
        <f>IF(VLOOKUP(A311,'Actual Dates'!A4:AE433,25,),'Actual Dates'!#REF!,"")</f>
        <v>#REF!</v>
      </c>
      <c r="J311" s="137" t="e">
        <f t="shared" si="45"/>
        <v>#REF!</v>
      </c>
      <c r="K311" s="137" t="e">
        <f>IF(VLOOKUP(A311,'Actual Dates'!A4:AE461,26,),'Actual Dates'!#REF!,"")</f>
        <v>#REF!</v>
      </c>
      <c r="L311" s="137" t="e">
        <f>IF(VLOOKUP(A311,'Actual Dates'!A4:AE461,21,),'Actual Dates'!#REF!,"")</f>
        <v>#REF!</v>
      </c>
      <c r="M311" s="137" t="e">
        <f>'Date Calcs'!#REF!</f>
        <v>#REF!</v>
      </c>
      <c r="N311" s="137" t="e">
        <f>IF(VLOOKUP(A311,'Actual Dates'!A4:AE461,27,),'Actual Dates'!#REF!,"")</f>
        <v>#REF!</v>
      </c>
      <c r="O311" s="138" t="e">
        <f t="shared" si="42"/>
        <v>#REF!</v>
      </c>
      <c r="P311" s="139" t="e">
        <f t="shared" si="46"/>
        <v>#REF!</v>
      </c>
      <c r="Q311" s="139" t="e">
        <f t="shared" si="47"/>
        <v>#REF!</v>
      </c>
      <c r="R311" s="170"/>
      <c r="S311" s="170"/>
    </row>
    <row r="312" spans="1:19" x14ac:dyDescent="0.25">
      <c r="A312" s="134" t="e">
        <f>'Date Calcs'!#REF!</f>
        <v>#REF!</v>
      </c>
      <c r="B312" s="135" t="e">
        <f>'Date Calcs'!#REF!</f>
        <v>#REF!</v>
      </c>
      <c r="C312" s="136" t="e">
        <f>'Date Calcs'!#REF!</f>
        <v>#REF!</v>
      </c>
      <c r="D312" s="137" t="e">
        <f t="shared" si="43"/>
        <v>#REF!</v>
      </c>
      <c r="E312" s="143">
        <v>44335</v>
      </c>
      <c r="F312" s="137" t="e">
        <f>'Date Calcs'!#REF!</f>
        <v>#REF!</v>
      </c>
      <c r="G312" s="137" t="e">
        <f>IF(VLOOKUP(A312,'Actual Dates'!A4:AE439,8,),'Actual Dates'!#REF!,"")</f>
        <v>#REF!</v>
      </c>
      <c r="H312" s="137" t="e">
        <f t="shared" si="44"/>
        <v>#REF!</v>
      </c>
      <c r="I312" s="137" t="e">
        <f>IF(VLOOKUP(A312,'Actual Dates'!A4:AE434,25,),'Actual Dates'!#REF!,"")</f>
        <v>#REF!</v>
      </c>
      <c r="J312" s="137" t="e">
        <f t="shared" si="45"/>
        <v>#REF!</v>
      </c>
      <c r="K312" s="137" t="e">
        <f>IF(VLOOKUP(A312,'Actual Dates'!A4:AE462,26,),'Actual Dates'!#REF!,"")</f>
        <v>#REF!</v>
      </c>
      <c r="L312" s="137" t="e">
        <f>IF(VLOOKUP(A312,'Actual Dates'!A4:AE462,21,),'Actual Dates'!#REF!,"")</f>
        <v>#REF!</v>
      </c>
      <c r="M312" s="137" t="e">
        <f>'Date Calcs'!#REF!</f>
        <v>#REF!</v>
      </c>
      <c r="N312" s="137" t="e">
        <f>IF(VLOOKUP(A312,'Actual Dates'!A4:AE462,27,),'Actual Dates'!#REF!,"")</f>
        <v>#REF!</v>
      </c>
      <c r="O312" s="138" t="e">
        <f t="shared" si="42"/>
        <v>#REF!</v>
      </c>
      <c r="P312" s="139" t="e">
        <f t="shared" si="46"/>
        <v>#REF!</v>
      </c>
      <c r="Q312" s="139" t="e">
        <f t="shared" si="47"/>
        <v>#REF!</v>
      </c>
      <c r="R312" s="170"/>
      <c r="S312" s="170"/>
    </row>
    <row r="313" spans="1:19" x14ac:dyDescent="0.25">
      <c r="A313" s="134" t="e">
        <f>'Date Calcs'!#REF!</f>
        <v>#REF!</v>
      </c>
      <c r="B313" s="135" t="e">
        <f>'Date Calcs'!#REF!</f>
        <v>#REF!</v>
      </c>
      <c r="C313" s="136" t="e">
        <f>'Date Calcs'!#REF!</f>
        <v>#REF!</v>
      </c>
      <c r="D313" s="137" t="e">
        <f t="shared" si="43"/>
        <v>#REF!</v>
      </c>
      <c r="E313" s="143">
        <v>44336</v>
      </c>
      <c r="F313" s="137" t="e">
        <f>'Date Calcs'!#REF!</f>
        <v>#REF!</v>
      </c>
      <c r="G313" s="137" t="e">
        <f>IF(VLOOKUP(A313,'Actual Dates'!A4:AE440,8,),'Actual Dates'!#REF!,"")</f>
        <v>#REF!</v>
      </c>
      <c r="H313" s="137" t="e">
        <f t="shared" si="44"/>
        <v>#REF!</v>
      </c>
      <c r="I313" s="137" t="e">
        <f>IF(VLOOKUP(A313,'Actual Dates'!A4:AE435,25,),'Actual Dates'!#REF!,"")</f>
        <v>#REF!</v>
      </c>
      <c r="J313" s="137" t="e">
        <f t="shared" si="45"/>
        <v>#REF!</v>
      </c>
      <c r="K313" s="137" t="e">
        <f>IF(VLOOKUP(A313,'Actual Dates'!A4:AE463,26,),'Actual Dates'!#REF!,"")</f>
        <v>#REF!</v>
      </c>
      <c r="L313" s="137" t="e">
        <f>IF(VLOOKUP(A313,'Actual Dates'!A4:AE463,21,),'Actual Dates'!#REF!,"")</f>
        <v>#REF!</v>
      </c>
      <c r="M313" s="137" t="e">
        <f>'Date Calcs'!#REF!</f>
        <v>#REF!</v>
      </c>
      <c r="N313" s="137" t="e">
        <f>IF(VLOOKUP(A313,'Actual Dates'!A4:AE463,27,),'Actual Dates'!#REF!,"")</f>
        <v>#REF!</v>
      </c>
      <c r="O313" s="138" t="e">
        <f t="shared" si="42"/>
        <v>#REF!</v>
      </c>
      <c r="P313" s="139" t="e">
        <f t="shared" si="46"/>
        <v>#REF!</v>
      </c>
      <c r="Q313" s="139" t="e">
        <f t="shared" si="47"/>
        <v>#REF!</v>
      </c>
      <c r="R313" s="170"/>
      <c r="S313" s="170"/>
    </row>
    <row r="314" spans="1:19" x14ac:dyDescent="0.25">
      <c r="A314" s="134" t="e">
        <f>'Date Calcs'!#REF!</f>
        <v>#REF!</v>
      </c>
      <c r="B314" s="135" t="e">
        <f>'Date Calcs'!#REF!</f>
        <v>#REF!</v>
      </c>
      <c r="C314" s="136" t="e">
        <f>'Date Calcs'!#REF!</f>
        <v>#REF!</v>
      </c>
      <c r="D314" s="137" t="e">
        <f t="shared" si="43"/>
        <v>#REF!</v>
      </c>
      <c r="E314" s="143">
        <v>44337</v>
      </c>
      <c r="F314" s="137" t="e">
        <f>'Date Calcs'!#REF!</f>
        <v>#REF!</v>
      </c>
      <c r="G314" s="137" t="e">
        <f>IF(VLOOKUP(A314,'Actual Dates'!A4:AE441,8,),'Actual Dates'!#REF!,"")</f>
        <v>#REF!</v>
      </c>
      <c r="H314" s="137" t="e">
        <f t="shared" si="44"/>
        <v>#REF!</v>
      </c>
      <c r="I314" s="137" t="e">
        <f>IF(VLOOKUP(A314,'Actual Dates'!A4:AE436,25,),'Actual Dates'!#REF!,"")</f>
        <v>#REF!</v>
      </c>
      <c r="J314" s="137" t="e">
        <f t="shared" si="45"/>
        <v>#REF!</v>
      </c>
      <c r="K314" s="137" t="e">
        <f>IF(VLOOKUP(A314,'Actual Dates'!A4:AE464,26,),'Actual Dates'!#REF!,"")</f>
        <v>#REF!</v>
      </c>
      <c r="L314" s="137" t="e">
        <f>IF(VLOOKUP(A314,'Actual Dates'!A4:AE464,21,),'Actual Dates'!#REF!,"")</f>
        <v>#REF!</v>
      </c>
      <c r="M314" s="137" t="e">
        <f>'Date Calcs'!#REF!</f>
        <v>#REF!</v>
      </c>
      <c r="N314" s="137" t="e">
        <f>IF(VLOOKUP(A314,'Actual Dates'!A4:AE464,27,),'Actual Dates'!#REF!,"")</f>
        <v>#REF!</v>
      </c>
      <c r="O314" s="138" t="e">
        <f t="shared" si="42"/>
        <v>#REF!</v>
      </c>
      <c r="P314" s="139" t="e">
        <f t="shared" si="46"/>
        <v>#REF!</v>
      </c>
      <c r="Q314" s="139" t="e">
        <f t="shared" si="47"/>
        <v>#REF!</v>
      </c>
      <c r="R314" s="170"/>
      <c r="S314" s="170"/>
    </row>
    <row r="315" spans="1:19" x14ac:dyDescent="0.25">
      <c r="A315" s="134" t="e">
        <f>'Date Calcs'!#REF!</f>
        <v>#REF!</v>
      </c>
      <c r="B315" s="135" t="e">
        <f>'Date Calcs'!#REF!</f>
        <v>#REF!</v>
      </c>
      <c r="C315" s="136" t="e">
        <f>'Date Calcs'!#REF!</f>
        <v>#REF!</v>
      </c>
      <c r="D315" s="137" t="e">
        <f t="shared" si="43"/>
        <v>#REF!</v>
      </c>
      <c r="E315" s="143">
        <v>44338</v>
      </c>
      <c r="F315" s="137" t="e">
        <f>'Date Calcs'!#REF!</f>
        <v>#REF!</v>
      </c>
      <c r="G315" s="137" t="e">
        <f>IF(VLOOKUP(A315,'Actual Dates'!A4:AE442,8,),'Actual Dates'!#REF!,"")</f>
        <v>#REF!</v>
      </c>
      <c r="H315" s="137" t="e">
        <f t="shared" si="44"/>
        <v>#REF!</v>
      </c>
      <c r="I315" s="137" t="e">
        <f>IF(VLOOKUP(A315,'Actual Dates'!A4:AE437,25,),'Actual Dates'!#REF!,"")</f>
        <v>#REF!</v>
      </c>
      <c r="J315" s="137" t="e">
        <f t="shared" si="45"/>
        <v>#REF!</v>
      </c>
      <c r="K315" s="137" t="e">
        <f>IF(VLOOKUP(A315,'Actual Dates'!A4:AE465,26,),'Actual Dates'!#REF!,"")</f>
        <v>#REF!</v>
      </c>
      <c r="L315" s="137" t="e">
        <f>IF(VLOOKUP(A315,'Actual Dates'!A4:AE465,21,),'Actual Dates'!#REF!,"")</f>
        <v>#REF!</v>
      </c>
      <c r="M315" s="137" t="e">
        <f>'Date Calcs'!#REF!</f>
        <v>#REF!</v>
      </c>
      <c r="N315" s="137" t="e">
        <f>IF(VLOOKUP(A315,'Actual Dates'!A4:AE465,27,),'Actual Dates'!#REF!,"")</f>
        <v>#REF!</v>
      </c>
      <c r="O315" s="138" t="e">
        <f t="shared" si="42"/>
        <v>#REF!</v>
      </c>
      <c r="P315" s="139" t="e">
        <f t="shared" si="46"/>
        <v>#REF!</v>
      </c>
      <c r="Q315" s="139" t="e">
        <f t="shared" si="47"/>
        <v>#REF!</v>
      </c>
      <c r="R315" s="170"/>
      <c r="S315" s="170"/>
    </row>
    <row r="316" spans="1:19" x14ac:dyDescent="0.25">
      <c r="A316" s="134" t="e">
        <f>'Date Calcs'!#REF!</f>
        <v>#REF!</v>
      </c>
      <c r="B316" s="135" t="e">
        <f>'Date Calcs'!#REF!</f>
        <v>#REF!</v>
      </c>
      <c r="C316" s="136" t="e">
        <f>'Date Calcs'!#REF!</f>
        <v>#REF!</v>
      </c>
      <c r="D316" s="137" t="e">
        <f t="shared" si="43"/>
        <v>#REF!</v>
      </c>
      <c r="E316" s="143">
        <v>44339</v>
      </c>
      <c r="F316" s="137" t="e">
        <f>'Date Calcs'!#REF!</f>
        <v>#REF!</v>
      </c>
      <c r="G316" s="137" t="e">
        <f>IF(VLOOKUP(A316,'Actual Dates'!A4:AE443,8,),'Actual Dates'!#REF!,"")</f>
        <v>#REF!</v>
      </c>
      <c r="H316" s="137" t="e">
        <f t="shared" si="44"/>
        <v>#REF!</v>
      </c>
      <c r="I316" s="137" t="e">
        <f>IF(VLOOKUP(A316,'Actual Dates'!A4:AE438,25,),'Actual Dates'!#REF!,"")</f>
        <v>#REF!</v>
      </c>
      <c r="J316" s="137" t="e">
        <f t="shared" si="45"/>
        <v>#REF!</v>
      </c>
      <c r="K316" s="137" t="e">
        <f>IF(VLOOKUP(A316,'Actual Dates'!A4:AE466,26,),'Actual Dates'!#REF!,"")</f>
        <v>#REF!</v>
      </c>
      <c r="L316" s="137" t="e">
        <f>IF(VLOOKUP(A316,'Actual Dates'!A4:AE466,21,),'Actual Dates'!#REF!,"")</f>
        <v>#REF!</v>
      </c>
      <c r="M316" s="137" t="e">
        <f>'Date Calcs'!#REF!</f>
        <v>#REF!</v>
      </c>
      <c r="N316" s="137" t="e">
        <f>IF(VLOOKUP(A316,'Actual Dates'!A4:AE466,27,),'Actual Dates'!#REF!,"")</f>
        <v>#REF!</v>
      </c>
      <c r="O316" s="138" t="e">
        <f t="shared" si="42"/>
        <v>#REF!</v>
      </c>
      <c r="P316" s="139" t="e">
        <f t="shared" si="46"/>
        <v>#REF!</v>
      </c>
      <c r="Q316" s="139" t="e">
        <f t="shared" si="47"/>
        <v>#REF!</v>
      </c>
      <c r="R316" s="170"/>
      <c r="S316" s="170"/>
    </row>
    <row r="317" spans="1:19" x14ac:dyDescent="0.25">
      <c r="A317" s="134" t="e">
        <f>'Date Calcs'!#REF!</f>
        <v>#REF!</v>
      </c>
      <c r="B317" s="135" t="e">
        <f>'Date Calcs'!#REF!</f>
        <v>#REF!</v>
      </c>
      <c r="C317" s="136" t="e">
        <f>'Date Calcs'!#REF!</f>
        <v>#REF!</v>
      </c>
      <c r="D317" s="137" t="e">
        <f t="shared" si="43"/>
        <v>#REF!</v>
      </c>
      <c r="E317" s="143">
        <v>44340</v>
      </c>
      <c r="F317" s="137" t="e">
        <f>'Date Calcs'!#REF!</f>
        <v>#REF!</v>
      </c>
      <c r="G317" s="137" t="e">
        <f>IF(VLOOKUP(A317,'Actual Dates'!A4:AE444,8,),'Actual Dates'!#REF!,"")</f>
        <v>#REF!</v>
      </c>
      <c r="H317" s="137" t="e">
        <f t="shared" si="44"/>
        <v>#REF!</v>
      </c>
      <c r="I317" s="137" t="e">
        <f>IF(VLOOKUP(A317,'Actual Dates'!A4:AE439,25,),'Actual Dates'!#REF!,"")</f>
        <v>#REF!</v>
      </c>
      <c r="J317" s="137" t="e">
        <f t="shared" si="45"/>
        <v>#REF!</v>
      </c>
      <c r="K317" s="137" t="e">
        <f>IF(VLOOKUP(A317,'Actual Dates'!A4:AE467,26,),'Actual Dates'!#REF!,"")</f>
        <v>#REF!</v>
      </c>
      <c r="L317" s="137" t="e">
        <f>IF(VLOOKUP(A317,'Actual Dates'!A4:AE467,21,),'Actual Dates'!#REF!,"")</f>
        <v>#REF!</v>
      </c>
      <c r="M317" s="137" t="e">
        <f>'Date Calcs'!#REF!</f>
        <v>#REF!</v>
      </c>
      <c r="N317" s="137" t="e">
        <f>IF(VLOOKUP(A317,'Actual Dates'!A4:AE467,27,),'Actual Dates'!#REF!,"")</f>
        <v>#REF!</v>
      </c>
      <c r="O317" s="138" t="e">
        <f t="shared" si="42"/>
        <v>#REF!</v>
      </c>
      <c r="P317" s="139" t="e">
        <f t="shared" si="46"/>
        <v>#REF!</v>
      </c>
      <c r="Q317" s="139" t="e">
        <f t="shared" si="47"/>
        <v>#REF!</v>
      </c>
      <c r="R317" s="170"/>
      <c r="S317" s="170"/>
    </row>
    <row r="318" spans="1:19" x14ac:dyDescent="0.25">
      <c r="A318" s="134" t="e">
        <f>'Date Calcs'!#REF!</f>
        <v>#REF!</v>
      </c>
      <c r="B318" s="135" t="e">
        <f>'Date Calcs'!#REF!</f>
        <v>#REF!</v>
      </c>
      <c r="C318" s="136" t="e">
        <f>'Date Calcs'!#REF!</f>
        <v>#REF!</v>
      </c>
      <c r="D318" s="137" t="e">
        <f t="shared" si="43"/>
        <v>#REF!</v>
      </c>
      <c r="E318" s="143">
        <v>44341</v>
      </c>
      <c r="F318" s="137" t="e">
        <f>'Date Calcs'!#REF!</f>
        <v>#REF!</v>
      </c>
      <c r="G318" s="137" t="e">
        <f>IF(VLOOKUP(A318,'Actual Dates'!A4:AE445,8,),'Actual Dates'!#REF!,"")</f>
        <v>#REF!</v>
      </c>
      <c r="H318" s="137" t="e">
        <f t="shared" si="44"/>
        <v>#REF!</v>
      </c>
      <c r="I318" s="137" t="e">
        <f>IF(VLOOKUP(A318,'Actual Dates'!A4:AE440,25,),'Actual Dates'!#REF!,"")</f>
        <v>#REF!</v>
      </c>
      <c r="J318" s="137" t="e">
        <f t="shared" si="45"/>
        <v>#REF!</v>
      </c>
      <c r="K318" s="137" t="e">
        <f>IF(VLOOKUP(A318,'Actual Dates'!A4:AE468,26,),'Actual Dates'!#REF!,"")</f>
        <v>#REF!</v>
      </c>
      <c r="L318" s="137" t="e">
        <f>IF(VLOOKUP(A318,'Actual Dates'!A4:AE468,21,),'Actual Dates'!#REF!,"")</f>
        <v>#REF!</v>
      </c>
      <c r="M318" s="137" t="e">
        <f>'Date Calcs'!#REF!</f>
        <v>#REF!</v>
      </c>
      <c r="N318" s="137" t="e">
        <f>IF(VLOOKUP(A318,'Actual Dates'!A4:AE468,27,),'Actual Dates'!#REF!,"")</f>
        <v>#REF!</v>
      </c>
      <c r="O318" s="138" t="e">
        <f t="shared" si="42"/>
        <v>#REF!</v>
      </c>
      <c r="P318" s="139" t="e">
        <f t="shared" si="46"/>
        <v>#REF!</v>
      </c>
      <c r="Q318" s="139" t="e">
        <f t="shared" si="47"/>
        <v>#REF!</v>
      </c>
      <c r="R318" s="170"/>
      <c r="S318" s="170"/>
    </row>
    <row r="319" spans="1:19" x14ac:dyDescent="0.25">
      <c r="A319" s="134" t="e">
        <f>'Date Calcs'!#REF!</f>
        <v>#REF!</v>
      </c>
      <c r="B319" s="135" t="e">
        <f>'Date Calcs'!#REF!</f>
        <v>#REF!</v>
      </c>
      <c r="C319" s="136" t="e">
        <f>'Date Calcs'!#REF!</f>
        <v>#REF!</v>
      </c>
      <c r="D319" s="137" t="e">
        <f t="shared" si="43"/>
        <v>#REF!</v>
      </c>
      <c r="E319" s="143">
        <v>44342</v>
      </c>
      <c r="F319" s="137" t="e">
        <f>'Date Calcs'!#REF!</f>
        <v>#REF!</v>
      </c>
      <c r="G319" s="137" t="e">
        <f>IF(VLOOKUP(A319,'Actual Dates'!A4:AE446,8,),'Actual Dates'!#REF!,"")</f>
        <v>#REF!</v>
      </c>
      <c r="H319" s="137" t="e">
        <f t="shared" si="44"/>
        <v>#REF!</v>
      </c>
      <c r="I319" s="137" t="e">
        <f>IF(VLOOKUP(A319,'Actual Dates'!A4:AE441,25,),'Actual Dates'!#REF!,"")</f>
        <v>#REF!</v>
      </c>
      <c r="J319" s="137" t="e">
        <f t="shared" si="45"/>
        <v>#REF!</v>
      </c>
      <c r="K319" s="137" t="e">
        <f>IF(VLOOKUP(A319,'Actual Dates'!A4:AE469,26,),'Actual Dates'!#REF!,"")</f>
        <v>#REF!</v>
      </c>
      <c r="L319" s="137" t="e">
        <f>IF(VLOOKUP(A319,'Actual Dates'!A4:AE469,21,),'Actual Dates'!#REF!,"")</f>
        <v>#REF!</v>
      </c>
      <c r="M319" s="137" t="e">
        <f>'Date Calcs'!#REF!</f>
        <v>#REF!</v>
      </c>
      <c r="N319" s="137" t="e">
        <f>IF(VLOOKUP(A319,'Actual Dates'!A4:AE469,27,),'Actual Dates'!#REF!,"")</f>
        <v>#REF!</v>
      </c>
      <c r="O319" s="138" t="e">
        <f t="shared" si="42"/>
        <v>#REF!</v>
      </c>
      <c r="P319" s="139" t="e">
        <f t="shared" si="46"/>
        <v>#REF!</v>
      </c>
      <c r="Q319" s="139" t="e">
        <f t="shared" si="47"/>
        <v>#REF!</v>
      </c>
      <c r="R319" s="170"/>
      <c r="S319" s="170"/>
    </row>
    <row r="320" spans="1:19" x14ac:dyDescent="0.25">
      <c r="A320" s="134" t="e">
        <f>'Date Calcs'!#REF!</f>
        <v>#REF!</v>
      </c>
      <c r="B320" s="135" t="e">
        <f>'Date Calcs'!#REF!</f>
        <v>#REF!</v>
      </c>
      <c r="C320" s="136" t="e">
        <f>'Date Calcs'!#REF!</f>
        <v>#REF!</v>
      </c>
      <c r="D320" s="137" t="e">
        <f t="shared" si="43"/>
        <v>#REF!</v>
      </c>
      <c r="E320" s="143">
        <v>44343</v>
      </c>
      <c r="F320" s="137" t="e">
        <f>'Date Calcs'!#REF!</f>
        <v>#REF!</v>
      </c>
      <c r="G320" s="137" t="e">
        <f>IF(VLOOKUP(A320,'Actual Dates'!A4:AE447,8,),'Actual Dates'!#REF!,"")</f>
        <v>#REF!</v>
      </c>
      <c r="H320" s="137" t="e">
        <f t="shared" si="44"/>
        <v>#REF!</v>
      </c>
      <c r="I320" s="137" t="e">
        <f>IF(VLOOKUP(A320,'Actual Dates'!A4:AE442,25,),'Actual Dates'!#REF!,"")</f>
        <v>#REF!</v>
      </c>
      <c r="J320" s="137" t="e">
        <f t="shared" si="45"/>
        <v>#REF!</v>
      </c>
      <c r="K320" s="137" t="e">
        <f>IF(VLOOKUP(A320,'Actual Dates'!A4:AE470,26,),'Actual Dates'!#REF!,"")</f>
        <v>#REF!</v>
      </c>
      <c r="L320" s="137" t="e">
        <f>IF(VLOOKUP(A320,'Actual Dates'!A4:AE470,21,),'Actual Dates'!#REF!,"")</f>
        <v>#REF!</v>
      </c>
      <c r="M320" s="137" t="e">
        <f>'Date Calcs'!#REF!</f>
        <v>#REF!</v>
      </c>
      <c r="N320" s="137" t="e">
        <f>IF(VLOOKUP(A320,'Actual Dates'!A4:AE470,27,),'Actual Dates'!#REF!,"")</f>
        <v>#REF!</v>
      </c>
      <c r="O320" s="138" t="e">
        <f t="shared" si="42"/>
        <v>#REF!</v>
      </c>
      <c r="P320" s="139" t="e">
        <f t="shared" si="46"/>
        <v>#REF!</v>
      </c>
      <c r="Q320" s="139" t="e">
        <f t="shared" si="47"/>
        <v>#REF!</v>
      </c>
      <c r="R320" s="170"/>
      <c r="S320" s="170"/>
    </row>
    <row r="321" spans="1:19" x14ac:dyDescent="0.25">
      <c r="A321" s="134" t="e">
        <f>'Date Calcs'!#REF!</f>
        <v>#REF!</v>
      </c>
      <c r="B321" s="135" t="e">
        <f>'Date Calcs'!#REF!</f>
        <v>#REF!</v>
      </c>
      <c r="C321" s="136" t="e">
        <f>'Date Calcs'!#REF!</f>
        <v>#REF!</v>
      </c>
      <c r="D321" s="137" t="e">
        <f t="shared" si="43"/>
        <v>#REF!</v>
      </c>
      <c r="E321" s="143">
        <v>44344</v>
      </c>
      <c r="F321" s="137" t="e">
        <f>'Date Calcs'!#REF!</f>
        <v>#REF!</v>
      </c>
      <c r="G321" s="137" t="e">
        <f>IF(VLOOKUP(A321,'Actual Dates'!A4:AE448,8,),'Actual Dates'!#REF!,"")</f>
        <v>#REF!</v>
      </c>
      <c r="H321" s="137" t="e">
        <f t="shared" si="44"/>
        <v>#REF!</v>
      </c>
      <c r="I321" s="137" t="e">
        <f>IF(VLOOKUP(A321,'Actual Dates'!A4:AE443,25,),'Actual Dates'!#REF!,"")</f>
        <v>#REF!</v>
      </c>
      <c r="J321" s="137" t="e">
        <f t="shared" si="45"/>
        <v>#REF!</v>
      </c>
      <c r="K321" s="137" t="e">
        <f>IF(VLOOKUP(A321,'Actual Dates'!A4:AE471,26,),'Actual Dates'!#REF!,"")</f>
        <v>#REF!</v>
      </c>
      <c r="L321" s="137" t="e">
        <f>IF(VLOOKUP(A321,'Actual Dates'!A4:AE471,21,),'Actual Dates'!#REF!,"")</f>
        <v>#REF!</v>
      </c>
      <c r="M321" s="137" t="e">
        <f>'Date Calcs'!#REF!</f>
        <v>#REF!</v>
      </c>
      <c r="N321" s="137" t="e">
        <f>IF(VLOOKUP(A321,'Actual Dates'!A4:AE471,27,),'Actual Dates'!#REF!,"")</f>
        <v>#REF!</v>
      </c>
      <c r="O321" s="138" t="e">
        <f t="shared" si="42"/>
        <v>#REF!</v>
      </c>
      <c r="P321" s="139" t="e">
        <f t="shared" si="46"/>
        <v>#REF!</v>
      </c>
      <c r="Q321" s="139" t="e">
        <f t="shared" si="47"/>
        <v>#REF!</v>
      </c>
      <c r="R321" s="170"/>
      <c r="S321" s="170"/>
    </row>
    <row r="322" spans="1:19" x14ac:dyDescent="0.25">
      <c r="A322" s="134" t="e">
        <f>'Date Calcs'!#REF!</f>
        <v>#REF!</v>
      </c>
      <c r="B322" s="135" t="e">
        <f>'Date Calcs'!#REF!</f>
        <v>#REF!</v>
      </c>
      <c r="C322" s="136" t="e">
        <f>'Date Calcs'!#REF!</f>
        <v>#REF!</v>
      </c>
      <c r="D322" s="137" t="e">
        <f t="shared" si="43"/>
        <v>#REF!</v>
      </c>
      <c r="E322" s="143">
        <v>44345</v>
      </c>
      <c r="F322" s="137" t="e">
        <f>'Date Calcs'!#REF!</f>
        <v>#REF!</v>
      </c>
      <c r="G322" s="137" t="e">
        <f>IF(VLOOKUP(A322,'Actual Dates'!A4:AE449,8,),'Actual Dates'!#REF!,"")</f>
        <v>#REF!</v>
      </c>
      <c r="H322" s="137" t="e">
        <f t="shared" si="44"/>
        <v>#REF!</v>
      </c>
      <c r="I322" s="137" t="e">
        <f>IF(VLOOKUP(A322,'Actual Dates'!A4:AE444,25,),'Actual Dates'!#REF!,"")</f>
        <v>#REF!</v>
      </c>
      <c r="J322" s="137" t="e">
        <f t="shared" si="45"/>
        <v>#REF!</v>
      </c>
      <c r="K322" s="137" t="e">
        <f>IF(VLOOKUP(A322,'Actual Dates'!A4:AE472,26,),'Actual Dates'!#REF!,"")</f>
        <v>#REF!</v>
      </c>
      <c r="L322" s="137" t="e">
        <f>IF(VLOOKUP(A322,'Actual Dates'!A4:AE472,21,),'Actual Dates'!#REF!,"")</f>
        <v>#REF!</v>
      </c>
      <c r="M322" s="137" t="e">
        <f>'Date Calcs'!#REF!</f>
        <v>#REF!</v>
      </c>
      <c r="N322" s="137" t="e">
        <f>IF(VLOOKUP(A322,'Actual Dates'!A4:AE472,27,),'Actual Dates'!#REF!,"")</f>
        <v>#REF!</v>
      </c>
      <c r="O322" s="138" t="e">
        <f t="shared" si="42"/>
        <v>#REF!</v>
      </c>
      <c r="P322" s="139" t="e">
        <f t="shared" si="46"/>
        <v>#REF!</v>
      </c>
      <c r="Q322" s="139" t="e">
        <f t="shared" si="47"/>
        <v>#REF!</v>
      </c>
      <c r="R322" s="170"/>
      <c r="S322" s="170"/>
    </row>
    <row r="323" spans="1:19" x14ac:dyDescent="0.25">
      <c r="A323" s="134" t="e">
        <f>'Date Calcs'!#REF!</f>
        <v>#REF!</v>
      </c>
      <c r="B323" s="135" t="e">
        <f>'Date Calcs'!#REF!</f>
        <v>#REF!</v>
      </c>
      <c r="C323" s="136" t="e">
        <f>'Date Calcs'!#REF!</f>
        <v>#REF!</v>
      </c>
      <c r="D323" s="137" t="e">
        <f t="shared" si="43"/>
        <v>#REF!</v>
      </c>
      <c r="E323" s="143">
        <v>44346</v>
      </c>
      <c r="F323" s="137" t="e">
        <f>'Date Calcs'!#REF!</f>
        <v>#REF!</v>
      </c>
      <c r="G323" s="137" t="e">
        <f>IF(VLOOKUP(A323,'Actual Dates'!A4:AE450,8,),'Actual Dates'!#REF!,"")</f>
        <v>#REF!</v>
      </c>
      <c r="H323" s="137" t="e">
        <f t="shared" si="44"/>
        <v>#REF!</v>
      </c>
      <c r="I323" s="137" t="e">
        <f>IF(VLOOKUP(A323,'Actual Dates'!A4:AE445,25,),'Actual Dates'!#REF!,"")</f>
        <v>#REF!</v>
      </c>
      <c r="J323" s="137" t="e">
        <f t="shared" si="45"/>
        <v>#REF!</v>
      </c>
      <c r="K323" s="137" t="e">
        <f>IF(VLOOKUP(A323,'Actual Dates'!A4:AE473,26,),'Actual Dates'!#REF!,"")</f>
        <v>#REF!</v>
      </c>
      <c r="L323" s="137" t="e">
        <f>IF(VLOOKUP(A323,'Actual Dates'!A4:AE473,21,),'Actual Dates'!#REF!,"")</f>
        <v>#REF!</v>
      </c>
      <c r="M323" s="137" t="e">
        <f>'Date Calcs'!#REF!</f>
        <v>#REF!</v>
      </c>
      <c r="N323" s="137" t="e">
        <f>IF(VLOOKUP(A323,'Actual Dates'!A4:AE473,27,),'Actual Dates'!#REF!,"")</f>
        <v>#REF!</v>
      </c>
      <c r="O323" s="138" t="e">
        <f t="shared" si="42"/>
        <v>#REF!</v>
      </c>
      <c r="P323" s="139" t="e">
        <f t="shared" si="46"/>
        <v>#REF!</v>
      </c>
      <c r="Q323" s="139" t="e">
        <f t="shared" si="47"/>
        <v>#REF!</v>
      </c>
      <c r="R323" s="170"/>
      <c r="S323" s="170"/>
    </row>
    <row r="324" spans="1:19" x14ac:dyDescent="0.25">
      <c r="A324" s="134" t="e">
        <f>'Date Calcs'!#REF!</f>
        <v>#REF!</v>
      </c>
      <c r="B324" s="135" t="e">
        <f>'Date Calcs'!#REF!</f>
        <v>#REF!</v>
      </c>
      <c r="C324" s="136" t="e">
        <f>'Date Calcs'!#REF!</f>
        <v>#REF!</v>
      </c>
      <c r="D324" s="137" t="e">
        <f t="shared" si="43"/>
        <v>#REF!</v>
      </c>
      <c r="E324" s="143">
        <v>44347</v>
      </c>
      <c r="F324" s="137" t="e">
        <f>'Date Calcs'!#REF!</f>
        <v>#REF!</v>
      </c>
      <c r="G324" s="137" t="e">
        <f>IF(VLOOKUP(A324,'Actual Dates'!A4:AE451,8,),'Actual Dates'!#REF!,"")</f>
        <v>#REF!</v>
      </c>
      <c r="H324" s="137" t="e">
        <f t="shared" si="44"/>
        <v>#REF!</v>
      </c>
      <c r="I324" s="137" t="e">
        <f>IF(VLOOKUP(A324,'Actual Dates'!A4:AE446,25,),'Actual Dates'!#REF!,"")</f>
        <v>#REF!</v>
      </c>
      <c r="J324" s="137" t="e">
        <f t="shared" si="45"/>
        <v>#REF!</v>
      </c>
      <c r="K324" s="137" t="e">
        <f>IF(VLOOKUP(A324,'Actual Dates'!A4:AE474,26,),'Actual Dates'!#REF!,"")</f>
        <v>#REF!</v>
      </c>
      <c r="L324" s="137" t="e">
        <f>IF(VLOOKUP(A324,'Actual Dates'!A4:AE474,21,),'Actual Dates'!#REF!,"")</f>
        <v>#REF!</v>
      </c>
      <c r="M324" s="137" t="e">
        <f>'Date Calcs'!#REF!</f>
        <v>#REF!</v>
      </c>
      <c r="N324" s="137" t="e">
        <f>IF(VLOOKUP(A324,'Actual Dates'!A4:AE474,27,),'Actual Dates'!#REF!,"")</f>
        <v>#REF!</v>
      </c>
      <c r="O324" s="138" t="e">
        <f t="shared" si="42"/>
        <v>#REF!</v>
      </c>
      <c r="P324" s="139" t="e">
        <f t="shared" si="46"/>
        <v>#REF!</v>
      </c>
      <c r="Q324" s="139" t="e">
        <f t="shared" si="47"/>
        <v>#REF!</v>
      </c>
      <c r="R324" s="170"/>
      <c r="S324" s="170"/>
    </row>
    <row r="325" spans="1:19" x14ac:dyDescent="0.25">
      <c r="A325" s="134" t="e">
        <f>'Date Calcs'!#REF!</f>
        <v>#REF!</v>
      </c>
      <c r="B325" s="135" t="e">
        <f>'Date Calcs'!#REF!</f>
        <v>#REF!</v>
      </c>
      <c r="C325" s="136" t="e">
        <f>'Date Calcs'!#REF!</f>
        <v>#REF!</v>
      </c>
      <c r="D325" s="137" t="e">
        <f t="shared" si="43"/>
        <v>#REF!</v>
      </c>
      <c r="E325" s="143">
        <v>44348</v>
      </c>
      <c r="F325" s="137" t="e">
        <f>'Date Calcs'!#REF!</f>
        <v>#REF!</v>
      </c>
      <c r="G325" s="137" t="e">
        <f>IF(VLOOKUP(A325,'Actual Dates'!A4:AE452,8,),'Actual Dates'!#REF!,"")</f>
        <v>#REF!</v>
      </c>
      <c r="H325" s="137" t="e">
        <f t="shared" si="44"/>
        <v>#REF!</v>
      </c>
      <c r="I325" s="137" t="e">
        <f>IF(VLOOKUP(A325,'Actual Dates'!A4:AE447,25,),'Actual Dates'!#REF!,"")</f>
        <v>#REF!</v>
      </c>
      <c r="J325" s="137" t="e">
        <f t="shared" si="45"/>
        <v>#REF!</v>
      </c>
      <c r="K325" s="137" t="e">
        <f>IF(VLOOKUP(A325,'Actual Dates'!A4:AE475,26,),'Actual Dates'!#REF!,"")</f>
        <v>#REF!</v>
      </c>
      <c r="L325" s="137" t="e">
        <f>IF(VLOOKUP(A325,'Actual Dates'!A4:AE475,21,),'Actual Dates'!#REF!,"")</f>
        <v>#REF!</v>
      </c>
      <c r="M325" s="137" t="e">
        <f>'Date Calcs'!#REF!</f>
        <v>#REF!</v>
      </c>
      <c r="N325" s="137" t="e">
        <f>IF(VLOOKUP(A325,'Actual Dates'!A4:AE475,27,),'Actual Dates'!#REF!,"")</f>
        <v>#REF!</v>
      </c>
      <c r="O325" s="138" t="e">
        <f t="shared" si="42"/>
        <v>#REF!</v>
      </c>
      <c r="P325" s="139" t="e">
        <f t="shared" si="46"/>
        <v>#REF!</v>
      </c>
      <c r="Q325" s="139" t="e">
        <f t="shared" si="47"/>
        <v>#REF!</v>
      </c>
      <c r="R325" s="170"/>
      <c r="S325" s="170"/>
    </row>
    <row r="326" spans="1:19" x14ac:dyDescent="0.25">
      <c r="A326" s="134" t="e">
        <f>'Date Calcs'!#REF!</f>
        <v>#REF!</v>
      </c>
      <c r="B326" s="135" t="e">
        <f>'Date Calcs'!#REF!</f>
        <v>#REF!</v>
      </c>
      <c r="C326" s="136" t="e">
        <f>'Date Calcs'!#REF!</f>
        <v>#REF!</v>
      </c>
      <c r="D326" s="137" t="e">
        <f t="shared" si="43"/>
        <v>#REF!</v>
      </c>
      <c r="E326" s="143">
        <v>44349</v>
      </c>
      <c r="F326" s="137" t="e">
        <f>'Date Calcs'!#REF!</f>
        <v>#REF!</v>
      </c>
      <c r="G326" s="137" t="e">
        <f>IF(VLOOKUP(A326,'Actual Dates'!A4:AE453,8,),'Actual Dates'!#REF!,"")</f>
        <v>#REF!</v>
      </c>
      <c r="H326" s="137" t="e">
        <f t="shared" si="44"/>
        <v>#REF!</v>
      </c>
      <c r="I326" s="137" t="e">
        <f>IF(VLOOKUP(A326,'Actual Dates'!A4:AE448,25,),'Actual Dates'!#REF!,"")</f>
        <v>#REF!</v>
      </c>
      <c r="J326" s="137" t="e">
        <f t="shared" si="45"/>
        <v>#REF!</v>
      </c>
      <c r="K326" s="137" t="e">
        <f>IF(VLOOKUP(A326,'Actual Dates'!A4:AE476,26,),'Actual Dates'!#REF!,"")</f>
        <v>#REF!</v>
      </c>
      <c r="L326" s="137" t="e">
        <f>IF(VLOOKUP(A326,'Actual Dates'!A4:AE476,21,),'Actual Dates'!#REF!,"")</f>
        <v>#REF!</v>
      </c>
      <c r="M326" s="137" t="e">
        <f>'Date Calcs'!#REF!</f>
        <v>#REF!</v>
      </c>
      <c r="N326" s="137" t="e">
        <f>IF(VLOOKUP(A326,'Actual Dates'!A4:AE476,27,),'Actual Dates'!#REF!,"")</f>
        <v>#REF!</v>
      </c>
      <c r="O326" s="138" t="e">
        <f t="shared" si="42"/>
        <v>#REF!</v>
      </c>
      <c r="P326" s="139" t="e">
        <f t="shared" si="46"/>
        <v>#REF!</v>
      </c>
      <c r="Q326" s="139" t="e">
        <f t="shared" si="47"/>
        <v>#REF!</v>
      </c>
      <c r="R326" s="170"/>
      <c r="S326" s="170"/>
    </row>
    <row r="327" spans="1:19" x14ac:dyDescent="0.25">
      <c r="A327" s="134" t="e">
        <f>'Date Calcs'!#REF!</f>
        <v>#REF!</v>
      </c>
      <c r="B327" s="135" t="e">
        <f>'Date Calcs'!#REF!</f>
        <v>#REF!</v>
      </c>
      <c r="C327" s="136" t="e">
        <f>'Date Calcs'!#REF!</f>
        <v>#REF!</v>
      </c>
      <c r="D327" s="137" t="e">
        <f t="shared" si="43"/>
        <v>#REF!</v>
      </c>
      <c r="E327" s="143">
        <v>44350</v>
      </c>
      <c r="F327" s="137" t="e">
        <f>'Date Calcs'!#REF!</f>
        <v>#REF!</v>
      </c>
      <c r="G327" s="137" t="e">
        <f>IF(VLOOKUP(A327,'Actual Dates'!A4:AE454,8,),'Actual Dates'!#REF!,"")</f>
        <v>#REF!</v>
      </c>
      <c r="H327" s="137" t="e">
        <f t="shared" si="44"/>
        <v>#REF!</v>
      </c>
      <c r="I327" s="137" t="e">
        <f>IF(VLOOKUP(A327,'Actual Dates'!A4:AE449,25,),'Actual Dates'!#REF!,"")</f>
        <v>#REF!</v>
      </c>
      <c r="J327" s="137" t="e">
        <f t="shared" si="45"/>
        <v>#REF!</v>
      </c>
      <c r="K327" s="137" t="e">
        <f>IF(VLOOKUP(A327,'Actual Dates'!A4:AE477,26,),'Actual Dates'!#REF!,"")</f>
        <v>#REF!</v>
      </c>
      <c r="L327" s="137" t="e">
        <f>IF(VLOOKUP(A327,'Actual Dates'!A4:AE477,21,),'Actual Dates'!#REF!,"")</f>
        <v>#REF!</v>
      </c>
      <c r="M327" s="137" t="e">
        <f>'Date Calcs'!#REF!</f>
        <v>#REF!</v>
      </c>
      <c r="N327" s="137" t="e">
        <f>IF(VLOOKUP(A327,'Actual Dates'!A4:AE477,27,),'Actual Dates'!#REF!,"")</f>
        <v>#REF!</v>
      </c>
      <c r="O327" s="138" t="e">
        <f t="shared" si="42"/>
        <v>#REF!</v>
      </c>
      <c r="P327" s="139" t="e">
        <f t="shared" si="46"/>
        <v>#REF!</v>
      </c>
      <c r="Q327" s="139" t="e">
        <f t="shared" si="47"/>
        <v>#REF!</v>
      </c>
      <c r="R327" s="170"/>
      <c r="S327" s="170"/>
    </row>
    <row r="328" spans="1:19" x14ac:dyDescent="0.25">
      <c r="A328" s="134" t="e">
        <f>'Date Calcs'!#REF!</f>
        <v>#REF!</v>
      </c>
      <c r="B328" s="135" t="e">
        <f>'Date Calcs'!#REF!</f>
        <v>#REF!</v>
      </c>
      <c r="C328" s="136" t="e">
        <f>'Date Calcs'!#REF!</f>
        <v>#REF!</v>
      </c>
      <c r="D328" s="137" t="e">
        <f t="shared" si="43"/>
        <v>#REF!</v>
      </c>
      <c r="E328" s="143">
        <v>44351</v>
      </c>
      <c r="F328" s="137" t="e">
        <f>'Date Calcs'!#REF!</f>
        <v>#REF!</v>
      </c>
      <c r="G328" s="137" t="e">
        <f>IF(VLOOKUP(A328,'Actual Dates'!A4:AE455,8,),'Actual Dates'!#REF!,"")</f>
        <v>#REF!</v>
      </c>
      <c r="H328" s="137" t="e">
        <f t="shared" si="44"/>
        <v>#REF!</v>
      </c>
      <c r="I328" s="137" t="e">
        <f>IF(VLOOKUP(A328,'Actual Dates'!A4:AE450,25,),'Actual Dates'!#REF!,"")</f>
        <v>#REF!</v>
      </c>
      <c r="J328" s="137" t="e">
        <f t="shared" si="45"/>
        <v>#REF!</v>
      </c>
      <c r="K328" s="137" t="e">
        <f>IF(VLOOKUP(A328,'Actual Dates'!A4:AE478,26,),'Actual Dates'!#REF!,"")</f>
        <v>#REF!</v>
      </c>
      <c r="L328" s="137" t="e">
        <f>IF(VLOOKUP(A328,'Actual Dates'!A4:AE478,21,),'Actual Dates'!#REF!,"")</f>
        <v>#REF!</v>
      </c>
      <c r="M328" s="137" t="e">
        <f>'Date Calcs'!#REF!</f>
        <v>#REF!</v>
      </c>
      <c r="N328" s="137" t="e">
        <f>IF(VLOOKUP(A328,'Actual Dates'!A4:AE478,27,),'Actual Dates'!#REF!,"")</f>
        <v>#REF!</v>
      </c>
      <c r="O328" s="138" t="e">
        <f t="shared" si="42"/>
        <v>#REF!</v>
      </c>
      <c r="P328" s="139" t="e">
        <f t="shared" si="46"/>
        <v>#REF!</v>
      </c>
      <c r="Q328" s="139" t="e">
        <f t="shared" si="47"/>
        <v>#REF!</v>
      </c>
      <c r="R328" s="170"/>
      <c r="S328" s="170"/>
    </row>
    <row r="329" spans="1:19" x14ac:dyDescent="0.25">
      <c r="A329" s="134" t="e">
        <f>'Date Calcs'!#REF!</f>
        <v>#REF!</v>
      </c>
      <c r="B329" s="135" t="e">
        <f>'Date Calcs'!#REF!</f>
        <v>#REF!</v>
      </c>
      <c r="C329" s="136" t="e">
        <f>'Date Calcs'!#REF!</f>
        <v>#REF!</v>
      </c>
      <c r="D329" s="137" t="e">
        <f t="shared" si="43"/>
        <v>#REF!</v>
      </c>
      <c r="E329" s="143">
        <v>44352</v>
      </c>
      <c r="F329" s="137" t="e">
        <f>'Date Calcs'!#REF!</f>
        <v>#REF!</v>
      </c>
      <c r="G329" s="137" t="e">
        <f>IF(VLOOKUP(A329,'Actual Dates'!A4:AE456,8,),'Actual Dates'!#REF!,"")</f>
        <v>#REF!</v>
      </c>
      <c r="H329" s="137" t="e">
        <f t="shared" si="44"/>
        <v>#REF!</v>
      </c>
      <c r="I329" s="137" t="e">
        <f>IF(VLOOKUP(A329,'Actual Dates'!A4:AE451,25,),'Actual Dates'!#REF!,"")</f>
        <v>#REF!</v>
      </c>
      <c r="J329" s="137" t="e">
        <f t="shared" si="45"/>
        <v>#REF!</v>
      </c>
      <c r="K329" s="137" t="e">
        <f>IF(VLOOKUP(A329,'Actual Dates'!A4:AE479,26,),'Actual Dates'!#REF!,"")</f>
        <v>#REF!</v>
      </c>
      <c r="L329" s="137" t="e">
        <f>IF(VLOOKUP(A329,'Actual Dates'!A4:AE479,21,),'Actual Dates'!#REF!,"")</f>
        <v>#REF!</v>
      </c>
      <c r="M329" s="137" t="e">
        <f>'Date Calcs'!#REF!</f>
        <v>#REF!</v>
      </c>
      <c r="N329" s="137" t="e">
        <f>IF(VLOOKUP(A329,'Actual Dates'!A4:AE479,27,),'Actual Dates'!#REF!,"")</f>
        <v>#REF!</v>
      </c>
      <c r="O329" s="138" t="e">
        <f t="shared" si="42"/>
        <v>#REF!</v>
      </c>
      <c r="P329" s="139" t="e">
        <f t="shared" si="46"/>
        <v>#REF!</v>
      </c>
      <c r="Q329" s="139" t="e">
        <f t="shared" si="47"/>
        <v>#REF!</v>
      </c>
      <c r="R329" s="170"/>
      <c r="S329" s="170"/>
    </row>
    <row r="330" spans="1:19" x14ac:dyDescent="0.25">
      <c r="A330" s="134" t="e">
        <f>'Date Calcs'!#REF!</f>
        <v>#REF!</v>
      </c>
      <c r="B330" s="135" t="e">
        <f>'Date Calcs'!#REF!</f>
        <v>#REF!</v>
      </c>
      <c r="C330" s="136" t="e">
        <f>'Date Calcs'!#REF!</f>
        <v>#REF!</v>
      </c>
      <c r="D330" s="137" t="e">
        <f t="shared" si="43"/>
        <v>#REF!</v>
      </c>
      <c r="E330" s="143">
        <v>44353</v>
      </c>
      <c r="F330" s="137" t="e">
        <f>'Date Calcs'!#REF!</f>
        <v>#REF!</v>
      </c>
      <c r="G330" s="137" t="e">
        <f>IF(VLOOKUP(A330,'Actual Dates'!A4:AE457,8,),'Actual Dates'!#REF!,"")</f>
        <v>#REF!</v>
      </c>
      <c r="H330" s="137" t="e">
        <f t="shared" si="44"/>
        <v>#REF!</v>
      </c>
      <c r="I330" s="137" t="e">
        <f>IF(VLOOKUP(A330,'Actual Dates'!A4:AE452,25,),'Actual Dates'!#REF!,"")</f>
        <v>#REF!</v>
      </c>
      <c r="J330" s="137" t="e">
        <f t="shared" si="45"/>
        <v>#REF!</v>
      </c>
      <c r="K330" s="137" t="e">
        <f>IF(VLOOKUP(A330,'Actual Dates'!A4:AE480,26,),'Actual Dates'!#REF!,"")</f>
        <v>#REF!</v>
      </c>
      <c r="L330" s="137" t="e">
        <f>IF(VLOOKUP(A330,'Actual Dates'!A4:AE480,21,),'Actual Dates'!#REF!,"")</f>
        <v>#REF!</v>
      </c>
      <c r="M330" s="137" t="e">
        <f>'Date Calcs'!#REF!</f>
        <v>#REF!</v>
      </c>
      <c r="N330" s="137" t="e">
        <f>IF(VLOOKUP(A330,'Actual Dates'!A4:AE480,27,),'Actual Dates'!#REF!,"")</f>
        <v>#REF!</v>
      </c>
      <c r="O330" s="138" t="e">
        <f t="shared" si="42"/>
        <v>#REF!</v>
      </c>
      <c r="P330" s="139" t="e">
        <f t="shared" si="46"/>
        <v>#REF!</v>
      </c>
      <c r="Q330" s="139" t="e">
        <f t="shared" si="47"/>
        <v>#REF!</v>
      </c>
      <c r="R330" s="170"/>
      <c r="S330" s="170"/>
    </row>
    <row r="331" spans="1:19" x14ac:dyDescent="0.25">
      <c r="A331" s="134" t="e">
        <f>'Date Calcs'!#REF!</f>
        <v>#REF!</v>
      </c>
      <c r="B331" s="135" t="e">
        <f>'Date Calcs'!#REF!</f>
        <v>#REF!</v>
      </c>
      <c r="C331" s="136" t="e">
        <f>'Date Calcs'!#REF!</f>
        <v>#REF!</v>
      </c>
      <c r="D331" s="137" t="e">
        <f t="shared" si="43"/>
        <v>#REF!</v>
      </c>
      <c r="E331" s="143">
        <v>44354</v>
      </c>
      <c r="F331" s="137" t="e">
        <f>'Date Calcs'!#REF!</f>
        <v>#REF!</v>
      </c>
      <c r="G331" s="137" t="e">
        <f>IF(VLOOKUP(A331,'Actual Dates'!A4:AE458,8,),'Actual Dates'!#REF!,"")</f>
        <v>#REF!</v>
      </c>
      <c r="H331" s="137" t="e">
        <f t="shared" si="44"/>
        <v>#REF!</v>
      </c>
      <c r="I331" s="137" t="e">
        <f>IF(VLOOKUP(A331,'Actual Dates'!A4:AE453,25,),'Actual Dates'!#REF!,"")</f>
        <v>#REF!</v>
      </c>
      <c r="J331" s="137" t="e">
        <f t="shared" si="45"/>
        <v>#REF!</v>
      </c>
      <c r="K331" s="137" t="e">
        <f>IF(VLOOKUP(A331,'Actual Dates'!A4:AE481,26,),'Actual Dates'!#REF!,"")</f>
        <v>#REF!</v>
      </c>
      <c r="L331" s="137" t="e">
        <f>IF(VLOOKUP(A331,'Actual Dates'!A4:AE481,21,),'Actual Dates'!#REF!,"")</f>
        <v>#REF!</v>
      </c>
      <c r="M331" s="137" t="e">
        <f>'Date Calcs'!#REF!</f>
        <v>#REF!</v>
      </c>
      <c r="N331" s="137" t="e">
        <f>IF(VLOOKUP(A331,'Actual Dates'!A4:AE481,27,),'Actual Dates'!#REF!,"")</f>
        <v>#REF!</v>
      </c>
      <c r="O331" s="138" t="e">
        <f t="shared" ref="O331:O394" si="48">N331-C331</f>
        <v>#REF!</v>
      </c>
      <c r="P331" s="139" t="e">
        <f t="shared" si="46"/>
        <v>#REF!</v>
      </c>
      <c r="Q331" s="139" t="e">
        <f t="shared" si="47"/>
        <v>#REF!</v>
      </c>
      <c r="R331" s="170"/>
      <c r="S331" s="170"/>
    </row>
    <row r="332" spans="1:19" x14ac:dyDescent="0.25">
      <c r="A332" s="134" t="e">
        <f>'Date Calcs'!#REF!</f>
        <v>#REF!</v>
      </c>
      <c r="B332" s="135" t="e">
        <f>'Date Calcs'!#REF!</f>
        <v>#REF!</v>
      </c>
      <c r="C332" s="136" t="e">
        <f>'Date Calcs'!#REF!</f>
        <v>#REF!</v>
      </c>
      <c r="D332" s="137" t="e">
        <f t="shared" si="43"/>
        <v>#REF!</v>
      </c>
      <c r="E332" s="143">
        <v>44355</v>
      </c>
      <c r="F332" s="137" t="e">
        <f>'Date Calcs'!#REF!</f>
        <v>#REF!</v>
      </c>
      <c r="G332" s="137" t="e">
        <f>IF(VLOOKUP(A332,'Actual Dates'!A4:AE459,8,),'Actual Dates'!#REF!,"")</f>
        <v>#REF!</v>
      </c>
      <c r="H332" s="137" t="e">
        <f t="shared" si="44"/>
        <v>#REF!</v>
      </c>
      <c r="I332" s="137" t="e">
        <f>IF(VLOOKUP(A332,'Actual Dates'!A4:AE454,25,),'Actual Dates'!#REF!,"")</f>
        <v>#REF!</v>
      </c>
      <c r="J332" s="137" t="e">
        <f t="shared" si="45"/>
        <v>#REF!</v>
      </c>
      <c r="K332" s="137" t="e">
        <f>IF(VLOOKUP(A332,'Actual Dates'!A4:AE482,26,),'Actual Dates'!#REF!,"")</f>
        <v>#REF!</v>
      </c>
      <c r="L332" s="137" t="e">
        <f>IF(VLOOKUP(A332,'Actual Dates'!A4:AE482,21,),'Actual Dates'!#REF!,"")</f>
        <v>#REF!</v>
      </c>
      <c r="M332" s="137" t="e">
        <f>'Date Calcs'!#REF!</f>
        <v>#REF!</v>
      </c>
      <c r="N332" s="137" t="e">
        <f>IF(VLOOKUP(A332,'Actual Dates'!A4:AE482,27,),'Actual Dates'!#REF!,"")</f>
        <v>#REF!</v>
      </c>
      <c r="O332" s="138" t="e">
        <f t="shared" si="48"/>
        <v>#REF!</v>
      </c>
      <c r="P332" s="139" t="e">
        <f t="shared" si="46"/>
        <v>#REF!</v>
      </c>
      <c r="Q332" s="139" t="e">
        <f t="shared" si="47"/>
        <v>#REF!</v>
      </c>
      <c r="R332" s="170"/>
      <c r="S332" s="170"/>
    </row>
    <row r="333" spans="1:19" x14ac:dyDescent="0.25">
      <c r="A333" s="134" t="e">
        <f>'Date Calcs'!#REF!</f>
        <v>#REF!</v>
      </c>
      <c r="B333" s="135" t="e">
        <f>'Date Calcs'!#REF!</f>
        <v>#REF!</v>
      </c>
      <c r="C333" s="136" t="e">
        <f>'Date Calcs'!#REF!</f>
        <v>#REF!</v>
      </c>
      <c r="D333" s="137" t="e">
        <f t="shared" si="43"/>
        <v>#REF!</v>
      </c>
      <c r="E333" s="143">
        <v>44356</v>
      </c>
      <c r="F333" s="137" t="e">
        <f>'Date Calcs'!#REF!</f>
        <v>#REF!</v>
      </c>
      <c r="G333" s="137" t="e">
        <f>IF(VLOOKUP(A333,'Actual Dates'!A4:AE460,8,),'Actual Dates'!#REF!,"")</f>
        <v>#REF!</v>
      </c>
      <c r="H333" s="137" t="e">
        <f t="shared" si="44"/>
        <v>#REF!</v>
      </c>
      <c r="I333" s="137" t="e">
        <f>IF(VLOOKUP(A333,'Actual Dates'!A4:AE455,25,),'Actual Dates'!#REF!,"")</f>
        <v>#REF!</v>
      </c>
      <c r="J333" s="137" t="e">
        <f t="shared" si="45"/>
        <v>#REF!</v>
      </c>
      <c r="K333" s="137" t="e">
        <f>IF(VLOOKUP(A333,'Actual Dates'!A4:AE483,26,),'Actual Dates'!#REF!,"")</f>
        <v>#REF!</v>
      </c>
      <c r="L333" s="137" t="e">
        <f>IF(VLOOKUP(A333,'Actual Dates'!A4:AE483,21,),'Actual Dates'!#REF!,"")</f>
        <v>#REF!</v>
      </c>
      <c r="M333" s="137" t="e">
        <f>'Date Calcs'!#REF!</f>
        <v>#REF!</v>
      </c>
      <c r="N333" s="137" t="e">
        <f>IF(VLOOKUP(A333,'Actual Dates'!A4:AE483,27,),'Actual Dates'!#REF!,"")</f>
        <v>#REF!</v>
      </c>
      <c r="O333" s="138" t="e">
        <f t="shared" si="48"/>
        <v>#REF!</v>
      </c>
      <c r="P333" s="139" t="e">
        <f t="shared" si="46"/>
        <v>#REF!</v>
      </c>
      <c r="Q333" s="139" t="e">
        <f t="shared" si="47"/>
        <v>#REF!</v>
      </c>
      <c r="R333" s="170"/>
      <c r="S333" s="170"/>
    </row>
    <row r="334" spans="1:19" x14ac:dyDescent="0.25">
      <c r="A334" s="134" t="e">
        <f>'Date Calcs'!#REF!</f>
        <v>#REF!</v>
      </c>
      <c r="B334" s="135" t="e">
        <f>'Date Calcs'!#REF!</f>
        <v>#REF!</v>
      </c>
      <c r="C334" s="136" t="e">
        <f>'Date Calcs'!#REF!</f>
        <v>#REF!</v>
      </c>
      <c r="D334" s="137" t="e">
        <f t="shared" si="43"/>
        <v>#REF!</v>
      </c>
      <c r="E334" s="143">
        <v>44357</v>
      </c>
      <c r="F334" s="137" t="e">
        <f>'Date Calcs'!#REF!</f>
        <v>#REF!</v>
      </c>
      <c r="G334" s="137" t="e">
        <f>IF(VLOOKUP(A334,'Actual Dates'!A4:AE461,8,),'Actual Dates'!#REF!,"")</f>
        <v>#REF!</v>
      </c>
      <c r="H334" s="137" t="e">
        <f t="shared" si="44"/>
        <v>#REF!</v>
      </c>
      <c r="I334" s="137" t="e">
        <f>IF(VLOOKUP(A334,'Actual Dates'!A4:AE456,25,),'Actual Dates'!#REF!,"")</f>
        <v>#REF!</v>
      </c>
      <c r="J334" s="137" t="e">
        <f t="shared" si="45"/>
        <v>#REF!</v>
      </c>
      <c r="K334" s="137" t="e">
        <f>IF(VLOOKUP(A334,'Actual Dates'!A4:AE484,26,),'Actual Dates'!#REF!,"")</f>
        <v>#REF!</v>
      </c>
      <c r="L334" s="137" t="e">
        <f>IF(VLOOKUP(A334,'Actual Dates'!A4:AE484,21,),'Actual Dates'!#REF!,"")</f>
        <v>#REF!</v>
      </c>
      <c r="M334" s="137" t="e">
        <f>'Date Calcs'!#REF!</f>
        <v>#REF!</v>
      </c>
      <c r="N334" s="137" t="e">
        <f>IF(VLOOKUP(A334,'Actual Dates'!A4:AE484,27,),'Actual Dates'!#REF!,"")</f>
        <v>#REF!</v>
      </c>
      <c r="O334" s="138" t="e">
        <f t="shared" si="48"/>
        <v>#REF!</v>
      </c>
      <c r="P334" s="139" t="e">
        <f t="shared" si="46"/>
        <v>#REF!</v>
      </c>
      <c r="Q334" s="139" t="e">
        <f t="shared" si="47"/>
        <v>#REF!</v>
      </c>
      <c r="R334" s="170"/>
      <c r="S334" s="170"/>
    </row>
    <row r="335" spans="1:19" x14ac:dyDescent="0.25">
      <c r="A335" s="134" t="e">
        <f>'Date Calcs'!#REF!</f>
        <v>#REF!</v>
      </c>
      <c r="B335" s="135" t="e">
        <f>'Date Calcs'!#REF!</f>
        <v>#REF!</v>
      </c>
      <c r="C335" s="136" t="e">
        <f>'Date Calcs'!#REF!</f>
        <v>#REF!</v>
      </c>
      <c r="D335" s="137" t="e">
        <f t="shared" si="43"/>
        <v>#REF!</v>
      </c>
      <c r="E335" s="143">
        <v>44358</v>
      </c>
      <c r="F335" s="137" t="e">
        <f>'Date Calcs'!#REF!</f>
        <v>#REF!</v>
      </c>
      <c r="G335" s="137" t="e">
        <f>IF(VLOOKUP(A335,'Actual Dates'!A4:AE462,8,),'Actual Dates'!#REF!,"")</f>
        <v>#REF!</v>
      </c>
      <c r="H335" s="137" t="e">
        <f t="shared" si="44"/>
        <v>#REF!</v>
      </c>
      <c r="I335" s="137" t="e">
        <f>IF(VLOOKUP(A335,'Actual Dates'!A4:AE457,25,),'Actual Dates'!#REF!,"")</f>
        <v>#REF!</v>
      </c>
      <c r="J335" s="137" t="e">
        <f t="shared" si="45"/>
        <v>#REF!</v>
      </c>
      <c r="K335" s="137" t="e">
        <f>IF(VLOOKUP(A335,'Actual Dates'!A4:AE485,26,),'Actual Dates'!#REF!,"")</f>
        <v>#REF!</v>
      </c>
      <c r="L335" s="137" t="e">
        <f>IF(VLOOKUP(A335,'Actual Dates'!A4:AE485,21,),'Actual Dates'!#REF!,"")</f>
        <v>#REF!</v>
      </c>
      <c r="M335" s="137" t="e">
        <f>'Date Calcs'!#REF!</f>
        <v>#REF!</v>
      </c>
      <c r="N335" s="137" t="e">
        <f>IF(VLOOKUP(A335,'Actual Dates'!A4:AE485,27,),'Actual Dates'!#REF!,"")</f>
        <v>#REF!</v>
      </c>
      <c r="O335" s="138" t="e">
        <f t="shared" si="48"/>
        <v>#REF!</v>
      </c>
      <c r="P335" s="139" t="e">
        <f t="shared" si="46"/>
        <v>#REF!</v>
      </c>
      <c r="Q335" s="139" t="e">
        <f t="shared" si="47"/>
        <v>#REF!</v>
      </c>
      <c r="R335" s="170"/>
      <c r="S335" s="170"/>
    </row>
    <row r="336" spans="1:19" x14ac:dyDescent="0.25">
      <c r="A336" s="134" t="e">
        <f>'Date Calcs'!#REF!</f>
        <v>#REF!</v>
      </c>
      <c r="B336" s="135" t="e">
        <f>'Date Calcs'!#REF!</f>
        <v>#REF!</v>
      </c>
      <c r="C336" s="136" t="e">
        <f>'Date Calcs'!#REF!</f>
        <v>#REF!</v>
      </c>
      <c r="D336" s="137" t="e">
        <f t="shared" si="43"/>
        <v>#REF!</v>
      </c>
      <c r="E336" s="143">
        <v>44359</v>
      </c>
      <c r="F336" s="137" t="e">
        <f>'Date Calcs'!#REF!</f>
        <v>#REF!</v>
      </c>
      <c r="G336" s="137" t="e">
        <f>IF(VLOOKUP(A336,'Actual Dates'!A4:AE463,8,),'Actual Dates'!#REF!,"")</f>
        <v>#REF!</v>
      </c>
      <c r="H336" s="137" t="e">
        <f t="shared" si="44"/>
        <v>#REF!</v>
      </c>
      <c r="I336" s="137" t="e">
        <f>IF(VLOOKUP(A336,'Actual Dates'!A4:AE458,25,),'Actual Dates'!#REF!,"")</f>
        <v>#REF!</v>
      </c>
      <c r="J336" s="137" t="e">
        <f t="shared" si="45"/>
        <v>#REF!</v>
      </c>
      <c r="K336" s="137" t="e">
        <f>IF(VLOOKUP(A336,'Actual Dates'!A4:AE486,26,),'Actual Dates'!#REF!,"")</f>
        <v>#REF!</v>
      </c>
      <c r="L336" s="137" t="e">
        <f>IF(VLOOKUP(A336,'Actual Dates'!A4:AE486,21,),'Actual Dates'!#REF!,"")</f>
        <v>#REF!</v>
      </c>
      <c r="M336" s="137" t="e">
        <f>'Date Calcs'!#REF!</f>
        <v>#REF!</v>
      </c>
      <c r="N336" s="137" t="e">
        <f>IF(VLOOKUP(A336,'Actual Dates'!A4:AE486,27,),'Actual Dates'!#REF!,"")</f>
        <v>#REF!</v>
      </c>
      <c r="O336" s="138" t="e">
        <f t="shared" si="48"/>
        <v>#REF!</v>
      </c>
      <c r="P336" s="139" t="e">
        <f t="shared" si="46"/>
        <v>#REF!</v>
      </c>
      <c r="Q336" s="139" t="e">
        <f t="shared" si="47"/>
        <v>#REF!</v>
      </c>
      <c r="R336" s="170"/>
      <c r="S336" s="170"/>
    </row>
    <row r="337" spans="1:19" x14ac:dyDescent="0.25">
      <c r="A337" s="134" t="e">
        <f>'Date Calcs'!#REF!</f>
        <v>#REF!</v>
      </c>
      <c r="B337" s="135" t="e">
        <f>'Date Calcs'!#REF!</f>
        <v>#REF!</v>
      </c>
      <c r="C337" s="136" t="e">
        <f>'Date Calcs'!#REF!</f>
        <v>#REF!</v>
      </c>
      <c r="D337" s="137" t="e">
        <f t="shared" si="43"/>
        <v>#REF!</v>
      </c>
      <c r="E337" s="143">
        <v>44360</v>
      </c>
      <c r="F337" s="137" t="e">
        <f>'Date Calcs'!#REF!</f>
        <v>#REF!</v>
      </c>
      <c r="G337" s="137" t="e">
        <f>IF(VLOOKUP(A337,'Actual Dates'!A4:AE464,8,),'Actual Dates'!#REF!,"")</f>
        <v>#REF!</v>
      </c>
      <c r="H337" s="137" t="e">
        <f t="shared" si="44"/>
        <v>#REF!</v>
      </c>
      <c r="I337" s="137" t="e">
        <f>IF(VLOOKUP(A337,'Actual Dates'!A4:AE459,25,),'Actual Dates'!#REF!,"")</f>
        <v>#REF!</v>
      </c>
      <c r="J337" s="137" t="e">
        <f t="shared" si="45"/>
        <v>#REF!</v>
      </c>
      <c r="K337" s="137" t="e">
        <f>IF(VLOOKUP(A337,'Actual Dates'!A4:AE487,26,),'Actual Dates'!#REF!,"")</f>
        <v>#REF!</v>
      </c>
      <c r="L337" s="137" t="e">
        <f>IF(VLOOKUP(A337,'Actual Dates'!A4:AE487,21,),'Actual Dates'!#REF!,"")</f>
        <v>#REF!</v>
      </c>
      <c r="M337" s="137" t="e">
        <f>'Date Calcs'!#REF!</f>
        <v>#REF!</v>
      </c>
      <c r="N337" s="137" t="e">
        <f>IF(VLOOKUP(A337,'Actual Dates'!A4:AE487,27,),'Actual Dates'!#REF!,"")</f>
        <v>#REF!</v>
      </c>
      <c r="O337" s="138" t="e">
        <f t="shared" si="48"/>
        <v>#REF!</v>
      </c>
      <c r="P337" s="139" t="e">
        <f t="shared" si="46"/>
        <v>#REF!</v>
      </c>
      <c r="Q337" s="139" t="e">
        <f t="shared" si="47"/>
        <v>#REF!</v>
      </c>
      <c r="R337" s="170"/>
      <c r="S337" s="170"/>
    </row>
    <row r="338" spans="1:19" x14ac:dyDescent="0.25">
      <c r="A338" s="134" t="e">
        <f>'Date Calcs'!#REF!</f>
        <v>#REF!</v>
      </c>
      <c r="B338" s="135" t="e">
        <f>'Date Calcs'!#REF!</f>
        <v>#REF!</v>
      </c>
      <c r="C338" s="136" t="e">
        <f>'Date Calcs'!#REF!</f>
        <v>#REF!</v>
      </c>
      <c r="D338" s="137" t="e">
        <f t="shared" si="43"/>
        <v>#REF!</v>
      </c>
      <c r="E338" s="143">
        <v>44361</v>
      </c>
      <c r="F338" s="137" t="e">
        <f>'Date Calcs'!#REF!</f>
        <v>#REF!</v>
      </c>
      <c r="G338" s="137" t="e">
        <f>IF(VLOOKUP(A338,'Actual Dates'!A4:AE465,8,),'Actual Dates'!#REF!,"")</f>
        <v>#REF!</v>
      </c>
      <c r="H338" s="137" t="e">
        <f t="shared" si="44"/>
        <v>#REF!</v>
      </c>
      <c r="I338" s="137" t="e">
        <f>IF(VLOOKUP(A338,'Actual Dates'!A4:AE460,25,),'Actual Dates'!#REF!,"")</f>
        <v>#REF!</v>
      </c>
      <c r="J338" s="137" t="e">
        <f t="shared" si="45"/>
        <v>#REF!</v>
      </c>
      <c r="K338" s="137" t="e">
        <f>IF(VLOOKUP(A338,'Actual Dates'!A4:AE488,26,),'Actual Dates'!#REF!,"")</f>
        <v>#REF!</v>
      </c>
      <c r="L338" s="137" t="e">
        <f>IF(VLOOKUP(A338,'Actual Dates'!A4:AE488,21,),'Actual Dates'!#REF!,"")</f>
        <v>#REF!</v>
      </c>
      <c r="M338" s="137" t="e">
        <f>'Date Calcs'!#REF!</f>
        <v>#REF!</v>
      </c>
      <c r="N338" s="137" t="e">
        <f>IF(VLOOKUP(A338,'Actual Dates'!A4:AE488,27,),'Actual Dates'!#REF!,"")</f>
        <v>#REF!</v>
      </c>
      <c r="O338" s="138" t="e">
        <f t="shared" si="48"/>
        <v>#REF!</v>
      </c>
      <c r="P338" s="139" t="e">
        <f t="shared" si="46"/>
        <v>#REF!</v>
      </c>
      <c r="Q338" s="139" t="e">
        <f t="shared" si="47"/>
        <v>#REF!</v>
      </c>
      <c r="R338" s="170"/>
      <c r="S338" s="170"/>
    </row>
    <row r="339" spans="1:19" x14ac:dyDescent="0.25">
      <c r="A339" s="134" t="e">
        <f>'Date Calcs'!#REF!</f>
        <v>#REF!</v>
      </c>
      <c r="B339" s="135" t="e">
        <f>'Date Calcs'!#REF!</f>
        <v>#REF!</v>
      </c>
      <c r="C339" s="136" t="e">
        <f>'Date Calcs'!#REF!</f>
        <v>#REF!</v>
      </c>
      <c r="D339" s="137" t="e">
        <f t="shared" si="43"/>
        <v>#REF!</v>
      </c>
      <c r="E339" s="143">
        <v>44362</v>
      </c>
      <c r="F339" s="137" t="e">
        <f>'Date Calcs'!#REF!</f>
        <v>#REF!</v>
      </c>
      <c r="G339" s="137" t="e">
        <f>IF(VLOOKUP(A339,'Actual Dates'!A4:AE466,8,),'Actual Dates'!#REF!,"")</f>
        <v>#REF!</v>
      </c>
      <c r="H339" s="137" t="e">
        <f t="shared" si="44"/>
        <v>#REF!</v>
      </c>
      <c r="I339" s="137" t="e">
        <f>IF(VLOOKUP(A339,'Actual Dates'!A4:AE461,25,),'Actual Dates'!#REF!,"")</f>
        <v>#REF!</v>
      </c>
      <c r="J339" s="137" t="e">
        <f t="shared" si="45"/>
        <v>#REF!</v>
      </c>
      <c r="K339" s="137" t="e">
        <f>IF(VLOOKUP(A339,'Actual Dates'!A4:AE489,26,),'Actual Dates'!#REF!,"")</f>
        <v>#REF!</v>
      </c>
      <c r="L339" s="137" t="e">
        <f>IF(VLOOKUP(A339,'Actual Dates'!A4:AE489,21,),'Actual Dates'!#REF!,"")</f>
        <v>#REF!</v>
      </c>
      <c r="M339" s="137" t="e">
        <f>'Date Calcs'!#REF!</f>
        <v>#REF!</v>
      </c>
      <c r="N339" s="137" t="e">
        <f>IF(VLOOKUP(A339,'Actual Dates'!A4:AE489,27,),'Actual Dates'!#REF!,"")</f>
        <v>#REF!</v>
      </c>
      <c r="O339" s="138" t="e">
        <f t="shared" si="48"/>
        <v>#REF!</v>
      </c>
      <c r="P339" s="139" t="e">
        <f t="shared" si="46"/>
        <v>#REF!</v>
      </c>
      <c r="Q339" s="139" t="e">
        <f t="shared" si="47"/>
        <v>#REF!</v>
      </c>
      <c r="R339" s="170"/>
      <c r="S339" s="170"/>
    </row>
    <row r="340" spans="1:19" x14ac:dyDescent="0.25">
      <c r="A340" s="134" t="e">
        <f>'Date Calcs'!#REF!</f>
        <v>#REF!</v>
      </c>
      <c r="B340" s="135" t="e">
        <f>'Date Calcs'!#REF!</f>
        <v>#REF!</v>
      </c>
      <c r="C340" s="136" t="e">
        <f>'Date Calcs'!#REF!</f>
        <v>#REF!</v>
      </c>
      <c r="D340" s="137" t="e">
        <f t="shared" si="43"/>
        <v>#REF!</v>
      </c>
      <c r="E340" s="143">
        <v>44363</v>
      </c>
      <c r="F340" s="137" t="e">
        <f>'Date Calcs'!#REF!</f>
        <v>#REF!</v>
      </c>
      <c r="G340" s="137" t="e">
        <f>IF(VLOOKUP(A340,'Actual Dates'!A4:AE467,8,),'Actual Dates'!#REF!,"")</f>
        <v>#REF!</v>
      </c>
      <c r="H340" s="137" t="e">
        <f t="shared" si="44"/>
        <v>#REF!</v>
      </c>
      <c r="I340" s="137" t="e">
        <f>IF(VLOOKUP(A340,'Actual Dates'!A4:AE462,25,),'Actual Dates'!#REF!,"")</f>
        <v>#REF!</v>
      </c>
      <c r="J340" s="137" t="e">
        <f t="shared" si="45"/>
        <v>#REF!</v>
      </c>
      <c r="K340" s="137" t="e">
        <f>IF(VLOOKUP(A340,'Actual Dates'!A4:AE490,26,),'Actual Dates'!#REF!,"")</f>
        <v>#REF!</v>
      </c>
      <c r="L340" s="137" t="e">
        <f>IF(VLOOKUP(A340,'Actual Dates'!A4:AE490,21,),'Actual Dates'!#REF!,"")</f>
        <v>#REF!</v>
      </c>
      <c r="M340" s="137" t="e">
        <f>'Date Calcs'!#REF!</f>
        <v>#REF!</v>
      </c>
      <c r="N340" s="137" t="e">
        <f>IF(VLOOKUP(A340,'Actual Dates'!A4:AE490,27,),'Actual Dates'!#REF!,"")</f>
        <v>#REF!</v>
      </c>
      <c r="O340" s="138" t="e">
        <f t="shared" si="48"/>
        <v>#REF!</v>
      </c>
      <c r="P340" s="139" t="e">
        <f t="shared" si="46"/>
        <v>#REF!</v>
      </c>
      <c r="Q340" s="139" t="e">
        <f t="shared" si="47"/>
        <v>#REF!</v>
      </c>
      <c r="R340" s="170"/>
      <c r="S340" s="170"/>
    </row>
    <row r="341" spans="1:19" x14ac:dyDescent="0.25">
      <c r="A341" s="134" t="e">
        <f>'Date Calcs'!#REF!</f>
        <v>#REF!</v>
      </c>
      <c r="B341" s="135" t="e">
        <f>'Date Calcs'!#REF!</f>
        <v>#REF!</v>
      </c>
      <c r="C341" s="136" t="e">
        <f>'Date Calcs'!#REF!</f>
        <v>#REF!</v>
      </c>
      <c r="D341" s="137" t="e">
        <f t="shared" si="43"/>
        <v>#REF!</v>
      </c>
      <c r="E341" s="143">
        <v>44364</v>
      </c>
      <c r="F341" s="137" t="e">
        <f>'Date Calcs'!#REF!</f>
        <v>#REF!</v>
      </c>
      <c r="G341" s="137" t="e">
        <f>IF(VLOOKUP(A341,'Actual Dates'!A4:AE468,8,),'Actual Dates'!#REF!,"")</f>
        <v>#REF!</v>
      </c>
      <c r="H341" s="137" t="e">
        <f t="shared" si="44"/>
        <v>#REF!</v>
      </c>
      <c r="I341" s="137" t="e">
        <f>IF(VLOOKUP(A341,'Actual Dates'!A4:AE463,25,),'Actual Dates'!#REF!,"")</f>
        <v>#REF!</v>
      </c>
      <c r="J341" s="137" t="e">
        <f t="shared" si="45"/>
        <v>#REF!</v>
      </c>
      <c r="K341" s="137" t="e">
        <f>IF(VLOOKUP(A341,'Actual Dates'!A4:AE491,26,),'Actual Dates'!#REF!,"")</f>
        <v>#REF!</v>
      </c>
      <c r="L341" s="137" t="e">
        <f>IF(VLOOKUP(A341,'Actual Dates'!A4:AE491,21,),'Actual Dates'!#REF!,"")</f>
        <v>#REF!</v>
      </c>
      <c r="M341" s="137" t="e">
        <f>'Date Calcs'!#REF!</f>
        <v>#REF!</v>
      </c>
      <c r="N341" s="137" t="e">
        <f>IF(VLOOKUP(A341,'Actual Dates'!A4:AE491,27,),'Actual Dates'!#REF!,"")</f>
        <v>#REF!</v>
      </c>
      <c r="O341" s="138" t="e">
        <f t="shared" si="48"/>
        <v>#REF!</v>
      </c>
      <c r="P341" s="139" t="e">
        <f t="shared" si="46"/>
        <v>#REF!</v>
      </c>
      <c r="Q341" s="139" t="e">
        <f t="shared" si="47"/>
        <v>#REF!</v>
      </c>
      <c r="R341" s="170"/>
      <c r="S341" s="170"/>
    </row>
    <row r="342" spans="1:19" x14ac:dyDescent="0.25">
      <c r="A342" s="134" t="e">
        <f>'Date Calcs'!#REF!</f>
        <v>#REF!</v>
      </c>
      <c r="B342" s="135" t="e">
        <f>'Date Calcs'!#REF!</f>
        <v>#REF!</v>
      </c>
      <c r="C342" s="136" t="e">
        <f>'Date Calcs'!#REF!</f>
        <v>#REF!</v>
      </c>
      <c r="D342" s="137" t="e">
        <f t="shared" si="43"/>
        <v>#REF!</v>
      </c>
      <c r="E342" s="143">
        <v>44365</v>
      </c>
      <c r="F342" s="137" t="e">
        <f>'Date Calcs'!#REF!</f>
        <v>#REF!</v>
      </c>
      <c r="G342" s="137" t="e">
        <f>IF(VLOOKUP(A342,'Actual Dates'!A4:AE469,8,),'Actual Dates'!#REF!,"")</f>
        <v>#REF!</v>
      </c>
      <c r="H342" s="137" t="e">
        <f t="shared" si="44"/>
        <v>#REF!</v>
      </c>
      <c r="I342" s="137" t="e">
        <f>IF(VLOOKUP(A342,'Actual Dates'!A4:AE464,25,),'Actual Dates'!#REF!,"")</f>
        <v>#REF!</v>
      </c>
      <c r="J342" s="137" t="e">
        <f t="shared" si="45"/>
        <v>#REF!</v>
      </c>
      <c r="K342" s="137" t="e">
        <f>IF(VLOOKUP(A342,'Actual Dates'!A4:AE492,26,),'Actual Dates'!#REF!,"")</f>
        <v>#REF!</v>
      </c>
      <c r="L342" s="137" t="e">
        <f>IF(VLOOKUP(A342,'Actual Dates'!A4:AE492,21,),'Actual Dates'!#REF!,"")</f>
        <v>#REF!</v>
      </c>
      <c r="M342" s="137" t="e">
        <f>'Date Calcs'!#REF!</f>
        <v>#REF!</v>
      </c>
      <c r="N342" s="137" t="e">
        <f>IF(VLOOKUP(A342,'Actual Dates'!A4:AE492,27,),'Actual Dates'!#REF!,"")</f>
        <v>#REF!</v>
      </c>
      <c r="O342" s="138" t="e">
        <f t="shared" si="48"/>
        <v>#REF!</v>
      </c>
      <c r="P342" s="139" t="e">
        <f t="shared" si="46"/>
        <v>#REF!</v>
      </c>
      <c r="Q342" s="139" t="e">
        <f t="shared" si="47"/>
        <v>#REF!</v>
      </c>
      <c r="R342" s="170"/>
      <c r="S342" s="170"/>
    </row>
    <row r="343" spans="1:19" x14ac:dyDescent="0.25">
      <c r="A343" s="134" t="e">
        <f>'Date Calcs'!#REF!</f>
        <v>#REF!</v>
      </c>
      <c r="B343" s="135" t="e">
        <f>'Date Calcs'!#REF!</f>
        <v>#REF!</v>
      </c>
      <c r="C343" s="136" t="e">
        <f>'Date Calcs'!#REF!</f>
        <v>#REF!</v>
      </c>
      <c r="D343" s="137" t="e">
        <f t="shared" si="43"/>
        <v>#REF!</v>
      </c>
      <c r="E343" s="143">
        <v>44366</v>
      </c>
      <c r="F343" s="137" t="e">
        <f>'Date Calcs'!#REF!</f>
        <v>#REF!</v>
      </c>
      <c r="G343" s="137" t="e">
        <f>IF(VLOOKUP(A343,'Actual Dates'!A4:AE470,8,),'Actual Dates'!#REF!,"")</f>
        <v>#REF!</v>
      </c>
      <c r="H343" s="137" t="e">
        <f t="shared" si="44"/>
        <v>#REF!</v>
      </c>
      <c r="I343" s="137" t="e">
        <f>IF(VLOOKUP(A343,'Actual Dates'!A4:AE465,25,),'Actual Dates'!#REF!,"")</f>
        <v>#REF!</v>
      </c>
      <c r="J343" s="137" t="e">
        <f t="shared" si="45"/>
        <v>#REF!</v>
      </c>
      <c r="K343" s="137" t="e">
        <f>IF(VLOOKUP(A343,'Actual Dates'!A4:AE493,26,),'Actual Dates'!#REF!,"")</f>
        <v>#REF!</v>
      </c>
      <c r="L343" s="137" t="e">
        <f>IF(VLOOKUP(A343,'Actual Dates'!A4:AE493,21,),'Actual Dates'!#REF!,"")</f>
        <v>#REF!</v>
      </c>
      <c r="M343" s="137" t="e">
        <f>'Date Calcs'!#REF!</f>
        <v>#REF!</v>
      </c>
      <c r="N343" s="137" t="e">
        <f>IF(VLOOKUP(A343,'Actual Dates'!A4:AE493,27,),'Actual Dates'!#REF!,"")</f>
        <v>#REF!</v>
      </c>
      <c r="O343" s="138" t="e">
        <f t="shared" si="48"/>
        <v>#REF!</v>
      </c>
      <c r="P343" s="139" t="e">
        <f t="shared" si="46"/>
        <v>#REF!</v>
      </c>
      <c r="Q343" s="139" t="e">
        <f t="shared" si="47"/>
        <v>#REF!</v>
      </c>
      <c r="R343" s="170"/>
      <c r="S343" s="170"/>
    </row>
    <row r="344" spans="1:19" x14ac:dyDescent="0.25">
      <c r="A344" s="134" t="e">
        <f>'Date Calcs'!#REF!</f>
        <v>#REF!</v>
      </c>
      <c r="B344" s="135" t="e">
        <f>'Date Calcs'!#REF!</f>
        <v>#REF!</v>
      </c>
      <c r="C344" s="136" t="e">
        <f>'Date Calcs'!#REF!</f>
        <v>#REF!</v>
      </c>
      <c r="D344" s="137" t="e">
        <f t="shared" ref="D344:D407" si="49">WORKDAY(F344,-1,)</f>
        <v>#REF!</v>
      </c>
      <c r="E344" s="143">
        <v>44367</v>
      </c>
      <c r="F344" s="137" t="e">
        <f>'Date Calcs'!#REF!</f>
        <v>#REF!</v>
      </c>
      <c r="G344" s="137" t="e">
        <f>IF(VLOOKUP(A344,'Actual Dates'!A4:AE471,8,),'Actual Dates'!#REF!,"")</f>
        <v>#REF!</v>
      </c>
      <c r="H344" s="137" t="e">
        <f t="shared" si="44"/>
        <v>#REF!</v>
      </c>
      <c r="I344" s="137" t="e">
        <f>IF(VLOOKUP(A344,'Actual Dates'!A4:AE466,25,),'Actual Dates'!#REF!,"")</f>
        <v>#REF!</v>
      </c>
      <c r="J344" s="137" t="e">
        <f t="shared" si="45"/>
        <v>#REF!</v>
      </c>
      <c r="K344" s="137" t="e">
        <f>IF(VLOOKUP(A344,'Actual Dates'!A4:AE494,26,),'Actual Dates'!#REF!,"")</f>
        <v>#REF!</v>
      </c>
      <c r="L344" s="137" t="e">
        <f>IF(VLOOKUP(A344,'Actual Dates'!A4:AE494,21,),'Actual Dates'!#REF!,"")</f>
        <v>#REF!</v>
      </c>
      <c r="M344" s="137" t="e">
        <f>'Date Calcs'!#REF!</f>
        <v>#REF!</v>
      </c>
      <c r="N344" s="137" t="e">
        <f>IF(VLOOKUP(A344,'Actual Dates'!A4:AE494,27,),'Actual Dates'!#REF!,"")</f>
        <v>#REF!</v>
      </c>
      <c r="O344" s="138" t="e">
        <f t="shared" si="48"/>
        <v>#REF!</v>
      </c>
      <c r="P344" s="139" t="e">
        <f t="shared" si="46"/>
        <v>#REF!</v>
      </c>
      <c r="Q344" s="139" t="e">
        <f t="shared" si="47"/>
        <v>#REF!</v>
      </c>
      <c r="R344" s="170"/>
      <c r="S344" s="170"/>
    </row>
    <row r="345" spans="1:19" x14ac:dyDescent="0.25">
      <c r="A345" s="134" t="e">
        <f>'Date Calcs'!#REF!</f>
        <v>#REF!</v>
      </c>
      <c r="B345" s="135" t="e">
        <f>'Date Calcs'!#REF!</f>
        <v>#REF!</v>
      </c>
      <c r="C345" s="136" t="e">
        <f>'Date Calcs'!#REF!</f>
        <v>#REF!</v>
      </c>
      <c r="D345" s="137" t="e">
        <f t="shared" si="49"/>
        <v>#REF!</v>
      </c>
      <c r="E345" s="143">
        <v>44368</v>
      </c>
      <c r="F345" s="137" t="e">
        <f>'Date Calcs'!#REF!</f>
        <v>#REF!</v>
      </c>
      <c r="G345" s="137" t="e">
        <f>IF(VLOOKUP(A345,'Actual Dates'!A4:AE472,8,),'Actual Dates'!#REF!,"")</f>
        <v>#REF!</v>
      </c>
      <c r="H345" s="137" t="e">
        <f t="shared" si="44"/>
        <v>#REF!</v>
      </c>
      <c r="I345" s="137" t="e">
        <f>IF(VLOOKUP(A345,'Actual Dates'!A4:AE467,25,),'Actual Dates'!#REF!,"")</f>
        <v>#REF!</v>
      </c>
      <c r="J345" s="137" t="e">
        <f t="shared" si="45"/>
        <v>#REF!</v>
      </c>
      <c r="K345" s="137" t="e">
        <f>IF(VLOOKUP(A345,'Actual Dates'!A4:AE495,26,),'Actual Dates'!#REF!,"")</f>
        <v>#REF!</v>
      </c>
      <c r="L345" s="137" t="e">
        <f>IF(VLOOKUP(A345,'Actual Dates'!A4:AE495,21,),'Actual Dates'!#REF!,"")</f>
        <v>#REF!</v>
      </c>
      <c r="M345" s="137" t="e">
        <f>'Date Calcs'!#REF!</f>
        <v>#REF!</v>
      </c>
      <c r="N345" s="137" t="e">
        <f>IF(VLOOKUP(A345,'Actual Dates'!A4:AE495,27,),'Actual Dates'!#REF!,"")</f>
        <v>#REF!</v>
      </c>
      <c r="O345" s="138" t="e">
        <f t="shared" si="48"/>
        <v>#REF!</v>
      </c>
      <c r="P345" s="139" t="e">
        <f t="shared" si="46"/>
        <v>#REF!</v>
      </c>
      <c r="Q345" s="139" t="e">
        <f t="shared" si="47"/>
        <v>#REF!</v>
      </c>
      <c r="R345" s="170"/>
      <c r="S345" s="170"/>
    </row>
    <row r="346" spans="1:19" x14ac:dyDescent="0.25">
      <c r="A346" s="134" t="e">
        <f>'Date Calcs'!#REF!</f>
        <v>#REF!</v>
      </c>
      <c r="B346" s="135" t="e">
        <f>'Date Calcs'!#REF!</f>
        <v>#REF!</v>
      </c>
      <c r="C346" s="136" t="e">
        <f>'Date Calcs'!#REF!</f>
        <v>#REF!</v>
      </c>
      <c r="D346" s="137" t="e">
        <f t="shared" si="49"/>
        <v>#REF!</v>
      </c>
      <c r="E346" s="143">
        <v>44369</v>
      </c>
      <c r="F346" s="137" t="e">
        <f>'Date Calcs'!#REF!</f>
        <v>#REF!</v>
      </c>
      <c r="G346" s="137" t="e">
        <f>IF(VLOOKUP(A346,'Actual Dates'!A4:AE473,8,),'Actual Dates'!#REF!,"")</f>
        <v>#REF!</v>
      </c>
      <c r="H346" s="137" t="e">
        <f t="shared" si="44"/>
        <v>#REF!</v>
      </c>
      <c r="I346" s="137" t="e">
        <f>IF(VLOOKUP(A346,'Actual Dates'!A4:AE468,25,),'Actual Dates'!#REF!,"")</f>
        <v>#REF!</v>
      </c>
      <c r="J346" s="137" t="e">
        <f t="shared" si="45"/>
        <v>#REF!</v>
      </c>
      <c r="K346" s="137" t="e">
        <f>IF(VLOOKUP(A346,'Actual Dates'!A4:AE496,26,),'Actual Dates'!#REF!,"")</f>
        <v>#REF!</v>
      </c>
      <c r="L346" s="137" t="e">
        <f>IF(VLOOKUP(A346,'Actual Dates'!A4:AE496,21,),'Actual Dates'!#REF!,"")</f>
        <v>#REF!</v>
      </c>
      <c r="M346" s="137" t="e">
        <f>'Date Calcs'!#REF!</f>
        <v>#REF!</v>
      </c>
      <c r="N346" s="137" t="e">
        <f>IF(VLOOKUP(A346,'Actual Dates'!A4:AE496,27,),'Actual Dates'!#REF!,"")</f>
        <v>#REF!</v>
      </c>
      <c r="O346" s="138" t="e">
        <f t="shared" si="48"/>
        <v>#REF!</v>
      </c>
      <c r="P346" s="139" t="e">
        <f t="shared" si="46"/>
        <v>#REF!</v>
      </c>
      <c r="Q346" s="139" t="e">
        <f t="shared" si="47"/>
        <v>#REF!</v>
      </c>
      <c r="R346" s="170"/>
      <c r="S346" s="170"/>
    </row>
    <row r="347" spans="1:19" x14ac:dyDescent="0.25">
      <c r="A347" s="134" t="e">
        <f>'Date Calcs'!#REF!</f>
        <v>#REF!</v>
      </c>
      <c r="B347" s="135" t="e">
        <f>'Date Calcs'!#REF!</f>
        <v>#REF!</v>
      </c>
      <c r="C347" s="136" t="e">
        <f>'Date Calcs'!#REF!</f>
        <v>#REF!</v>
      </c>
      <c r="D347" s="137" t="e">
        <f t="shared" si="49"/>
        <v>#REF!</v>
      </c>
      <c r="E347" s="143">
        <v>44370</v>
      </c>
      <c r="F347" s="137" t="e">
        <f>'Date Calcs'!#REF!</f>
        <v>#REF!</v>
      </c>
      <c r="G347" s="137" t="e">
        <f>IF(VLOOKUP(A347,'Actual Dates'!A4:AE474,8,),'Actual Dates'!#REF!,"")</f>
        <v>#REF!</v>
      </c>
      <c r="H347" s="137" t="e">
        <f t="shared" si="44"/>
        <v>#REF!</v>
      </c>
      <c r="I347" s="137" t="e">
        <f>IF(VLOOKUP(A347,'Actual Dates'!A4:AE469,25,),'Actual Dates'!#REF!,"")</f>
        <v>#REF!</v>
      </c>
      <c r="J347" s="137" t="e">
        <f t="shared" si="45"/>
        <v>#REF!</v>
      </c>
      <c r="K347" s="137" t="e">
        <f>IF(VLOOKUP(A347,'Actual Dates'!A4:AE497,26,),'Actual Dates'!#REF!,"")</f>
        <v>#REF!</v>
      </c>
      <c r="L347" s="137" t="e">
        <f>IF(VLOOKUP(A347,'Actual Dates'!A4:AE497,21,),'Actual Dates'!#REF!,"")</f>
        <v>#REF!</v>
      </c>
      <c r="M347" s="137" t="e">
        <f>'Date Calcs'!#REF!</f>
        <v>#REF!</v>
      </c>
      <c r="N347" s="137" t="e">
        <f>IF(VLOOKUP(A347,'Actual Dates'!A4:AE497,27,),'Actual Dates'!#REF!,"")</f>
        <v>#REF!</v>
      </c>
      <c r="O347" s="138" t="e">
        <f t="shared" si="48"/>
        <v>#REF!</v>
      </c>
      <c r="P347" s="139" t="e">
        <f t="shared" si="46"/>
        <v>#REF!</v>
      </c>
      <c r="Q347" s="139" t="e">
        <f t="shared" si="47"/>
        <v>#REF!</v>
      </c>
      <c r="R347" s="170"/>
      <c r="S347" s="170"/>
    </row>
    <row r="348" spans="1:19" x14ac:dyDescent="0.25">
      <c r="A348" s="134" t="e">
        <f>'Date Calcs'!#REF!</f>
        <v>#REF!</v>
      </c>
      <c r="B348" s="135" t="e">
        <f>'Date Calcs'!#REF!</f>
        <v>#REF!</v>
      </c>
      <c r="C348" s="136" t="e">
        <f>'Date Calcs'!#REF!</f>
        <v>#REF!</v>
      </c>
      <c r="D348" s="137" t="e">
        <f t="shared" si="49"/>
        <v>#REF!</v>
      </c>
      <c r="E348" s="143">
        <v>44371</v>
      </c>
      <c r="F348" s="137" t="e">
        <f>'Date Calcs'!#REF!</f>
        <v>#REF!</v>
      </c>
      <c r="G348" s="137" t="e">
        <f>IF(VLOOKUP(A348,'Actual Dates'!A4:AE475,8,),'Actual Dates'!#REF!,"")</f>
        <v>#REF!</v>
      </c>
      <c r="H348" s="137" t="e">
        <f t="shared" si="44"/>
        <v>#REF!</v>
      </c>
      <c r="I348" s="137" t="e">
        <f>IF(VLOOKUP(A348,'Actual Dates'!A4:AE470,25,),'Actual Dates'!#REF!,"")</f>
        <v>#REF!</v>
      </c>
      <c r="J348" s="137" t="e">
        <f t="shared" si="45"/>
        <v>#REF!</v>
      </c>
      <c r="K348" s="137" t="e">
        <f>IF(VLOOKUP(A348,'Actual Dates'!A4:AE498,26,),'Actual Dates'!#REF!,"")</f>
        <v>#REF!</v>
      </c>
      <c r="L348" s="137" t="e">
        <f>IF(VLOOKUP(A348,'Actual Dates'!A4:AE498,21,),'Actual Dates'!#REF!,"")</f>
        <v>#REF!</v>
      </c>
      <c r="M348" s="137" t="e">
        <f>'Date Calcs'!#REF!</f>
        <v>#REF!</v>
      </c>
      <c r="N348" s="137" t="e">
        <f>IF(VLOOKUP(A348,'Actual Dates'!A4:AE498,27,),'Actual Dates'!#REF!,"")</f>
        <v>#REF!</v>
      </c>
      <c r="O348" s="138" t="e">
        <f t="shared" si="48"/>
        <v>#REF!</v>
      </c>
      <c r="P348" s="139" t="e">
        <f t="shared" si="46"/>
        <v>#REF!</v>
      </c>
      <c r="Q348" s="139" t="e">
        <f t="shared" si="47"/>
        <v>#REF!</v>
      </c>
      <c r="R348" s="170"/>
      <c r="S348" s="170"/>
    </row>
    <row r="349" spans="1:19" x14ac:dyDescent="0.25">
      <c r="A349" s="134" t="e">
        <f>'Date Calcs'!#REF!</f>
        <v>#REF!</v>
      </c>
      <c r="B349" s="135" t="e">
        <f>'Date Calcs'!#REF!</f>
        <v>#REF!</v>
      </c>
      <c r="C349" s="136" t="e">
        <f>'Date Calcs'!#REF!</f>
        <v>#REF!</v>
      </c>
      <c r="D349" s="137" t="e">
        <f t="shared" si="49"/>
        <v>#REF!</v>
      </c>
      <c r="E349" s="143">
        <v>44372</v>
      </c>
      <c r="F349" s="137" t="e">
        <f>'Date Calcs'!#REF!</f>
        <v>#REF!</v>
      </c>
      <c r="G349" s="137" t="e">
        <f>IF(VLOOKUP(A349,'Actual Dates'!A4:AE476,8,),'Actual Dates'!#REF!,"")</f>
        <v>#REF!</v>
      </c>
      <c r="H349" s="137" t="e">
        <f t="shared" si="44"/>
        <v>#REF!</v>
      </c>
      <c r="I349" s="137" t="e">
        <f>IF(VLOOKUP(A349,'Actual Dates'!A4:AE471,25,),'Actual Dates'!#REF!,"")</f>
        <v>#REF!</v>
      </c>
      <c r="J349" s="137" t="e">
        <f t="shared" si="45"/>
        <v>#REF!</v>
      </c>
      <c r="K349" s="137" t="e">
        <f>IF(VLOOKUP(A349,'Actual Dates'!A4:AE499,26,),'Actual Dates'!#REF!,"")</f>
        <v>#REF!</v>
      </c>
      <c r="L349" s="137" t="e">
        <f>IF(VLOOKUP(A349,'Actual Dates'!A4:AE499,21,),'Actual Dates'!#REF!,"")</f>
        <v>#REF!</v>
      </c>
      <c r="M349" s="137" t="e">
        <f>'Date Calcs'!#REF!</f>
        <v>#REF!</v>
      </c>
      <c r="N349" s="137" t="e">
        <f>IF(VLOOKUP(A349,'Actual Dates'!A4:AE499,27,),'Actual Dates'!#REF!,"")</f>
        <v>#REF!</v>
      </c>
      <c r="O349" s="138" t="e">
        <f t="shared" si="48"/>
        <v>#REF!</v>
      </c>
      <c r="P349" s="139" t="e">
        <f t="shared" si="46"/>
        <v>#REF!</v>
      </c>
      <c r="Q349" s="139" t="e">
        <f t="shared" si="47"/>
        <v>#REF!</v>
      </c>
      <c r="R349" s="170"/>
      <c r="S349" s="170"/>
    </row>
    <row r="350" spans="1:19" x14ac:dyDescent="0.25">
      <c r="A350" s="134" t="e">
        <f>'Date Calcs'!#REF!</f>
        <v>#REF!</v>
      </c>
      <c r="B350" s="135" t="e">
        <f>'Date Calcs'!#REF!</f>
        <v>#REF!</v>
      </c>
      <c r="C350" s="136" t="e">
        <f>'Date Calcs'!#REF!</f>
        <v>#REF!</v>
      </c>
      <c r="D350" s="137" t="e">
        <f t="shared" si="49"/>
        <v>#REF!</v>
      </c>
      <c r="E350" s="143">
        <v>44373</v>
      </c>
      <c r="F350" s="137" t="e">
        <f>'Date Calcs'!#REF!</f>
        <v>#REF!</v>
      </c>
      <c r="G350" s="137" t="e">
        <f>IF(VLOOKUP(A350,'Actual Dates'!A4:AE477,8,),'Actual Dates'!#REF!,"")</f>
        <v>#REF!</v>
      </c>
      <c r="H350" s="137" t="e">
        <f t="shared" si="44"/>
        <v>#REF!</v>
      </c>
      <c r="I350" s="137" t="e">
        <f>IF(VLOOKUP(A350,'Actual Dates'!A4:AE472,25,),'Actual Dates'!#REF!,"")</f>
        <v>#REF!</v>
      </c>
      <c r="J350" s="137" t="e">
        <f t="shared" si="45"/>
        <v>#REF!</v>
      </c>
      <c r="K350" s="137" t="e">
        <f>IF(VLOOKUP(A350,'Actual Dates'!A4:AE500,26,),'Actual Dates'!#REF!,"")</f>
        <v>#REF!</v>
      </c>
      <c r="L350" s="137" t="e">
        <f>IF(VLOOKUP(A350,'Actual Dates'!A4:AE500,21,),'Actual Dates'!#REF!,"")</f>
        <v>#REF!</v>
      </c>
      <c r="M350" s="137" t="e">
        <f>'Date Calcs'!#REF!</f>
        <v>#REF!</v>
      </c>
      <c r="N350" s="137" t="e">
        <f>IF(VLOOKUP(A350,'Actual Dates'!A4:AE500,27,),'Actual Dates'!#REF!,"")</f>
        <v>#REF!</v>
      </c>
      <c r="O350" s="138" t="e">
        <f t="shared" si="48"/>
        <v>#REF!</v>
      </c>
      <c r="P350" s="139" t="e">
        <f t="shared" si="46"/>
        <v>#REF!</v>
      </c>
      <c r="Q350" s="139" t="e">
        <f t="shared" si="47"/>
        <v>#REF!</v>
      </c>
      <c r="R350" s="170"/>
      <c r="S350" s="170"/>
    </row>
    <row r="351" spans="1:19" x14ac:dyDescent="0.25">
      <c r="A351" s="134" t="e">
        <f>'Date Calcs'!#REF!</f>
        <v>#REF!</v>
      </c>
      <c r="B351" s="135" t="e">
        <f>'Date Calcs'!#REF!</f>
        <v>#REF!</v>
      </c>
      <c r="C351" s="136" t="e">
        <f>'Date Calcs'!#REF!</f>
        <v>#REF!</v>
      </c>
      <c r="D351" s="137" t="e">
        <f t="shared" si="49"/>
        <v>#REF!</v>
      </c>
      <c r="E351" s="143">
        <v>44374</v>
      </c>
      <c r="F351" s="137" t="e">
        <f>'Date Calcs'!#REF!</f>
        <v>#REF!</v>
      </c>
      <c r="G351" s="137" t="e">
        <f>IF(VLOOKUP(A351,'Actual Dates'!A4:AE478,8,),'Actual Dates'!#REF!,"")</f>
        <v>#REF!</v>
      </c>
      <c r="H351" s="137" t="e">
        <f t="shared" si="44"/>
        <v>#REF!</v>
      </c>
      <c r="I351" s="137" t="e">
        <f>IF(VLOOKUP(A351,'Actual Dates'!A4:AE473,25,),'Actual Dates'!#REF!,"")</f>
        <v>#REF!</v>
      </c>
      <c r="J351" s="137" t="e">
        <f t="shared" si="45"/>
        <v>#REF!</v>
      </c>
      <c r="K351" s="137" t="e">
        <f>IF(VLOOKUP(A351,'Actual Dates'!A4:AE501,26,),'Actual Dates'!#REF!,"")</f>
        <v>#REF!</v>
      </c>
      <c r="L351" s="137" t="e">
        <f>IF(VLOOKUP(A351,'Actual Dates'!A4:AE501,21,),'Actual Dates'!#REF!,"")</f>
        <v>#REF!</v>
      </c>
      <c r="M351" s="137" t="e">
        <f>'Date Calcs'!#REF!</f>
        <v>#REF!</v>
      </c>
      <c r="N351" s="137" t="e">
        <f>IF(VLOOKUP(A351,'Actual Dates'!A4:AE501,27,),'Actual Dates'!#REF!,"")</f>
        <v>#REF!</v>
      </c>
      <c r="O351" s="138" t="e">
        <f t="shared" si="48"/>
        <v>#REF!</v>
      </c>
      <c r="P351" s="139" t="e">
        <f t="shared" si="46"/>
        <v>#REF!</v>
      </c>
      <c r="Q351" s="139" t="e">
        <f t="shared" si="47"/>
        <v>#REF!</v>
      </c>
      <c r="R351" s="170"/>
      <c r="S351" s="170"/>
    </row>
    <row r="352" spans="1:19" x14ac:dyDescent="0.25">
      <c r="A352" s="134" t="e">
        <f>'Date Calcs'!#REF!</f>
        <v>#REF!</v>
      </c>
      <c r="B352" s="135" t="e">
        <f>'Date Calcs'!#REF!</f>
        <v>#REF!</v>
      </c>
      <c r="C352" s="136" t="e">
        <f>'Date Calcs'!#REF!</f>
        <v>#REF!</v>
      </c>
      <c r="D352" s="137" t="e">
        <f t="shared" si="49"/>
        <v>#REF!</v>
      </c>
      <c r="E352" s="143">
        <v>44375</v>
      </c>
      <c r="F352" s="137" t="e">
        <f>'Date Calcs'!#REF!</f>
        <v>#REF!</v>
      </c>
      <c r="G352" s="137" t="e">
        <f>IF(VLOOKUP(A352,'Actual Dates'!A4:AE479,8,),'Actual Dates'!#REF!,"")</f>
        <v>#REF!</v>
      </c>
      <c r="H352" s="137" t="e">
        <f t="shared" si="44"/>
        <v>#REF!</v>
      </c>
      <c r="I352" s="137" t="e">
        <f>IF(VLOOKUP(A352,'Actual Dates'!A4:AE474,25,),'Actual Dates'!#REF!,"")</f>
        <v>#REF!</v>
      </c>
      <c r="J352" s="137" t="e">
        <f t="shared" si="45"/>
        <v>#REF!</v>
      </c>
      <c r="K352" s="137" t="e">
        <f>IF(VLOOKUP(A352,'Actual Dates'!A4:AE502,26,),'Actual Dates'!#REF!,"")</f>
        <v>#REF!</v>
      </c>
      <c r="L352" s="137" t="e">
        <f>IF(VLOOKUP(A352,'Actual Dates'!A4:AE502,21,),'Actual Dates'!#REF!,"")</f>
        <v>#REF!</v>
      </c>
      <c r="M352" s="137" t="e">
        <f>'Date Calcs'!#REF!</f>
        <v>#REF!</v>
      </c>
      <c r="N352" s="137" t="e">
        <f>IF(VLOOKUP(A352,'Actual Dates'!A4:AE502,27,),'Actual Dates'!#REF!,"")</f>
        <v>#REF!</v>
      </c>
      <c r="O352" s="138" t="e">
        <f t="shared" si="48"/>
        <v>#REF!</v>
      </c>
      <c r="P352" s="139" t="e">
        <f t="shared" si="46"/>
        <v>#REF!</v>
      </c>
      <c r="Q352" s="139" t="e">
        <f t="shared" si="47"/>
        <v>#REF!</v>
      </c>
      <c r="R352" s="170"/>
      <c r="S352" s="170"/>
    </row>
    <row r="353" spans="1:19" x14ac:dyDescent="0.25">
      <c r="A353" s="134" t="e">
        <f>'Date Calcs'!#REF!</f>
        <v>#REF!</v>
      </c>
      <c r="B353" s="135" t="e">
        <f>'Date Calcs'!#REF!</f>
        <v>#REF!</v>
      </c>
      <c r="C353" s="136" t="e">
        <f>'Date Calcs'!#REF!</f>
        <v>#REF!</v>
      </c>
      <c r="D353" s="137" t="e">
        <f t="shared" si="49"/>
        <v>#REF!</v>
      </c>
      <c r="E353" s="143">
        <v>44376</v>
      </c>
      <c r="F353" s="137" t="e">
        <f>'Date Calcs'!#REF!</f>
        <v>#REF!</v>
      </c>
      <c r="G353" s="137" t="e">
        <f>IF(VLOOKUP(A353,'Actual Dates'!A4:AE480,8,),'Actual Dates'!#REF!,"")</f>
        <v>#REF!</v>
      </c>
      <c r="H353" s="137" t="e">
        <f t="shared" si="44"/>
        <v>#REF!</v>
      </c>
      <c r="I353" s="137" t="e">
        <f>IF(VLOOKUP(A353,'Actual Dates'!A4:AE475,25,),'Actual Dates'!#REF!,"")</f>
        <v>#REF!</v>
      </c>
      <c r="J353" s="137" t="e">
        <f t="shared" si="45"/>
        <v>#REF!</v>
      </c>
      <c r="K353" s="137" t="e">
        <f>IF(VLOOKUP(A353,'Actual Dates'!A4:AE503,26,),'Actual Dates'!#REF!,"")</f>
        <v>#REF!</v>
      </c>
      <c r="L353" s="137" t="e">
        <f>IF(VLOOKUP(A353,'Actual Dates'!A4:AE503,21,),'Actual Dates'!#REF!,"")</f>
        <v>#REF!</v>
      </c>
      <c r="M353" s="137" t="e">
        <f>'Date Calcs'!#REF!</f>
        <v>#REF!</v>
      </c>
      <c r="N353" s="137" t="e">
        <f>IF(VLOOKUP(A353,'Actual Dates'!A4:AE503,27,),'Actual Dates'!#REF!,"")</f>
        <v>#REF!</v>
      </c>
      <c r="O353" s="138" t="e">
        <f t="shared" si="48"/>
        <v>#REF!</v>
      </c>
      <c r="P353" s="139" t="e">
        <f t="shared" si="46"/>
        <v>#REF!</v>
      </c>
      <c r="Q353" s="139" t="e">
        <f t="shared" si="47"/>
        <v>#REF!</v>
      </c>
      <c r="R353" s="170"/>
      <c r="S353" s="170"/>
    </row>
    <row r="354" spans="1:19" x14ac:dyDescent="0.25">
      <c r="A354" s="134" t="e">
        <f>'Date Calcs'!#REF!</f>
        <v>#REF!</v>
      </c>
      <c r="B354" s="135" t="e">
        <f>'Date Calcs'!#REF!</f>
        <v>#REF!</v>
      </c>
      <c r="C354" s="136" t="e">
        <f>'Date Calcs'!#REF!</f>
        <v>#REF!</v>
      </c>
      <c r="D354" s="137" t="e">
        <f t="shared" si="49"/>
        <v>#REF!</v>
      </c>
      <c r="E354" s="143">
        <v>44377</v>
      </c>
      <c r="F354" s="137" t="e">
        <f>'Date Calcs'!#REF!</f>
        <v>#REF!</v>
      </c>
      <c r="G354" s="137" t="e">
        <f>IF(VLOOKUP(A354,'Actual Dates'!A4:AE481,8,),'Actual Dates'!#REF!,"")</f>
        <v>#REF!</v>
      </c>
      <c r="H354" s="137" t="e">
        <f t="shared" si="44"/>
        <v>#REF!</v>
      </c>
      <c r="I354" s="137" t="e">
        <f>IF(VLOOKUP(A354,'Actual Dates'!A4:AE476,25,),'Actual Dates'!#REF!,"")</f>
        <v>#REF!</v>
      </c>
      <c r="J354" s="137" t="e">
        <f t="shared" si="45"/>
        <v>#REF!</v>
      </c>
      <c r="K354" s="137" t="e">
        <f>IF(VLOOKUP(A354,'Actual Dates'!A4:AE504,26,),'Actual Dates'!#REF!,"")</f>
        <v>#REF!</v>
      </c>
      <c r="L354" s="137" t="e">
        <f>IF(VLOOKUP(A354,'Actual Dates'!A4:AE504,21,),'Actual Dates'!#REF!,"")</f>
        <v>#REF!</v>
      </c>
      <c r="M354" s="137" t="e">
        <f>'Date Calcs'!#REF!</f>
        <v>#REF!</v>
      </c>
      <c r="N354" s="137" t="e">
        <f>IF(VLOOKUP(A354,'Actual Dates'!A4:AE504,27,),'Actual Dates'!#REF!,"")</f>
        <v>#REF!</v>
      </c>
      <c r="O354" s="138" t="e">
        <f t="shared" si="48"/>
        <v>#REF!</v>
      </c>
      <c r="P354" s="139" t="e">
        <f t="shared" si="46"/>
        <v>#REF!</v>
      </c>
      <c r="Q354" s="139" t="e">
        <f t="shared" si="47"/>
        <v>#REF!</v>
      </c>
      <c r="R354" s="170"/>
      <c r="S354" s="170"/>
    </row>
    <row r="355" spans="1:19" x14ac:dyDescent="0.25">
      <c r="A355" s="134" t="e">
        <f>'Date Calcs'!#REF!</f>
        <v>#REF!</v>
      </c>
      <c r="B355" s="135" t="e">
        <f>'Date Calcs'!#REF!</f>
        <v>#REF!</v>
      </c>
      <c r="C355" s="136" t="e">
        <f>'Date Calcs'!#REF!</f>
        <v>#REF!</v>
      </c>
      <c r="D355" s="137" t="e">
        <f t="shared" si="49"/>
        <v>#REF!</v>
      </c>
      <c r="E355" s="143">
        <v>44378</v>
      </c>
      <c r="F355" s="137" t="e">
        <f>'Date Calcs'!#REF!</f>
        <v>#REF!</v>
      </c>
      <c r="G355" s="137" t="e">
        <f>IF(VLOOKUP(A355,'Actual Dates'!A4:AE482,8,),'Actual Dates'!#REF!,"")</f>
        <v>#REF!</v>
      </c>
      <c r="H355" s="137" t="e">
        <f t="shared" si="44"/>
        <v>#REF!</v>
      </c>
      <c r="I355" s="137" t="e">
        <f>IF(VLOOKUP(A355,'Actual Dates'!A4:AE477,25,),'Actual Dates'!#REF!,"")</f>
        <v>#REF!</v>
      </c>
      <c r="J355" s="137" t="e">
        <f t="shared" si="45"/>
        <v>#REF!</v>
      </c>
      <c r="K355" s="137" t="e">
        <f>IF(VLOOKUP(A355,'Actual Dates'!A4:AE505,26,),'Actual Dates'!#REF!,"")</f>
        <v>#REF!</v>
      </c>
      <c r="L355" s="137" t="e">
        <f>IF(VLOOKUP(A355,'Actual Dates'!A4:AE505,21,),'Actual Dates'!#REF!,"")</f>
        <v>#REF!</v>
      </c>
      <c r="M355" s="137" t="e">
        <f>'Date Calcs'!#REF!</f>
        <v>#REF!</v>
      </c>
      <c r="N355" s="137" t="e">
        <f>IF(VLOOKUP(A355,'Actual Dates'!A4:AE505,27,),'Actual Dates'!#REF!,"")</f>
        <v>#REF!</v>
      </c>
      <c r="O355" s="138" t="e">
        <f t="shared" si="48"/>
        <v>#REF!</v>
      </c>
      <c r="P355" s="139" t="e">
        <f t="shared" si="46"/>
        <v>#REF!</v>
      </c>
      <c r="Q355" s="139" t="e">
        <f t="shared" si="47"/>
        <v>#REF!</v>
      </c>
      <c r="R355" s="170"/>
      <c r="S355" s="170"/>
    </row>
    <row r="356" spans="1:19" x14ac:dyDescent="0.25">
      <c r="A356" s="134" t="e">
        <f>'Date Calcs'!#REF!</f>
        <v>#REF!</v>
      </c>
      <c r="B356" s="135" t="e">
        <f>'Date Calcs'!#REF!</f>
        <v>#REF!</v>
      </c>
      <c r="C356" s="136" t="e">
        <f>'Date Calcs'!#REF!</f>
        <v>#REF!</v>
      </c>
      <c r="D356" s="137" t="e">
        <f t="shared" si="49"/>
        <v>#REF!</v>
      </c>
      <c r="E356" s="143">
        <v>44379</v>
      </c>
      <c r="F356" s="137" t="e">
        <f>'Date Calcs'!#REF!</f>
        <v>#REF!</v>
      </c>
      <c r="G356" s="137" t="e">
        <f>IF(VLOOKUP(A356,'Actual Dates'!A4:AE483,8,),'Actual Dates'!#REF!,"")</f>
        <v>#REF!</v>
      </c>
      <c r="H356" s="137" t="e">
        <f t="shared" si="44"/>
        <v>#REF!</v>
      </c>
      <c r="I356" s="137" t="e">
        <f>IF(VLOOKUP(A356,'Actual Dates'!A4:AE478,25,),'Actual Dates'!#REF!,"")</f>
        <v>#REF!</v>
      </c>
      <c r="J356" s="137" t="e">
        <f t="shared" si="45"/>
        <v>#REF!</v>
      </c>
      <c r="K356" s="137" t="e">
        <f>IF(VLOOKUP(A356,'Actual Dates'!A4:AE506,26,),'Actual Dates'!#REF!,"")</f>
        <v>#REF!</v>
      </c>
      <c r="L356" s="137" t="e">
        <f>IF(VLOOKUP(A356,'Actual Dates'!A4:AE506,21,),'Actual Dates'!#REF!,"")</f>
        <v>#REF!</v>
      </c>
      <c r="M356" s="137" t="e">
        <f>'Date Calcs'!#REF!</f>
        <v>#REF!</v>
      </c>
      <c r="N356" s="137" t="e">
        <f>IF(VLOOKUP(A356,'Actual Dates'!A4:AE506,27,),'Actual Dates'!#REF!,"")</f>
        <v>#REF!</v>
      </c>
      <c r="O356" s="138" t="e">
        <f t="shared" si="48"/>
        <v>#REF!</v>
      </c>
      <c r="P356" s="139" t="e">
        <f t="shared" si="46"/>
        <v>#REF!</v>
      </c>
      <c r="Q356" s="139" t="e">
        <f t="shared" si="47"/>
        <v>#REF!</v>
      </c>
      <c r="R356" s="170"/>
      <c r="S356" s="170"/>
    </row>
    <row r="357" spans="1:19" x14ac:dyDescent="0.25">
      <c r="A357" s="134" t="e">
        <f>'Date Calcs'!#REF!</f>
        <v>#REF!</v>
      </c>
      <c r="B357" s="135" t="e">
        <f>'Date Calcs'!#REF!</f>
        <v>#REF!</v>
      </c>
      <c r="C357" s="136" t="e">
        <f>'Date Calcs'!#REF!</f>
        <v>#REF!</v>
      </c>
      <c r="D357" s="137" t="e">
        <f t="shared" si="49"/>
        <v>#REF!</v>
      </c>
      <c r="E357" s="143">
        <v>44380</v>
      </c>
      <c r="F357" s="137" t="e">
        <f>'Date Calcs'!#REF!</f>
        <v>#REF!</v>
      </c>
      <c r="G357" s="137" t="e">
        <f>IF(VLOOKUP(A357,'Actual Dates'!A4:AE484,8,),'Actual Dates'!#REF!,"")</f>
        <v>#REF!</v>
      </c>
      <c r="H357" s="137" t="e">
        <f t="shared" si="44"/>
        <v>#REF!</v>
      </c>
      <c r="I357" s="137" t="e">
        <f>IF(VLOOKUP(A357,'Actual Dates'!A4:AE479,25,),'Actual Dates'!#REF!,"")</f>
        <v>#REF!</v>
      </c>
      <c r="J357" s="137" t="e">
        <f t="shared" si="45"/>
        <v>#REF!</v>
      </c>
      <c r="K357" s="137" t="e">
        <f>IF(VLOOKUP(A357,'Actual Dates'!A4:AE507,26,),'Actual Dates'!#REF!,"")</f>
        <v>#REF!</v>
      </c>
      <c r="L357" s="137" t="e">
        <f>IF(VLOOKUP(A357,'Actual Dates'!A4:AE507,21,),'Actual Dates'!#REF!,"")</f>
        <v>#REF!</v>
      </c>
      <c r="M357" s="137" t="e">
        <f>'Date Calcs'!#REF!</f>
        <v>#REF!</v>
      </c>
      <c r="N357" s="137" t="e">
        <f>IF(VLOOKUP(A357,'Actual Dates'!A4:AE507,27,),'Actual Dates'!#REF!,"")</f>
        <v>#REF!</v>
      </c>
      <c r="O357" s="138" t="e">
        <f t="shared" si="48"/>
        <v>#REF!</v>
      </c>
      <c r="P357" s="139" t="e">
        <f t="shared" si="46"/>
        <v>#REF!</v>
      </c>
      <c r="Q357" s="139" t="e">
        <f t="shared" si="47"/>
        <v>#REF!</v>
      </c>
      <c r="R357" s="170"/>
      <c r="S357" s="170"/>
    </row>
    <row r="358" spans="1:19" x14ac:dyDescent="0.25">
      <c r="A358" s="134" t="e">
        <f>'Date Calcs'!#REF!</f>
        <v>#REF!</v>
      </c>
      <c r="B358" s="135" t="e">
        <f>'Date Calcs'!#REF!</f>
        <v>#REF!</v>
      </c>
      <c r="C358" s="136" t="e">
        <f>'Date Calcs'!#REF!</f>
        <v>#REF!</v>
      </c>
      <c r="D358" s="137" t="e">
        <f t="shared" si="49"/>
        <v>#REF!</v>
      </c>
      <c r="E358" s="143">
        <v>44381</v>
      </c>
      <c r="F358" s="137" t="e">
        <f>'Date Calcs'!#REF!</f>
        <v>#REF!</v>
      </c>
      <c r="G358" s="137" t="e">
        <f>IF(VLOOKUP(A358,'Actual Dates'!A4:AE485,8,),'Actual Dates'!#REF!,"")</f>
        <v>#REF!</v>
      </c>
      <c r="H358" s="137" t="e">
        <f t="shared" si="44"/>
        <v>#REF!</v>
      </c>
      <c r="I358" s="137" t="e">
        <f>IF(VLOOKUP(A358,'Actual Dates'!A4:AE480,25,),'Actual Dates'!#REF!,"")</f>
        <v>#REF!</v>
      </c>
      <c r="J358" s="137" t="e">
        <f t="shared" si="45"/>
        <v>#REF!</v>
      </c>
      <c r="K358" s="137" t="e">
        <f>IF(VLOOKUP(A358,'Actual Dates'!A4:AE508,26,),'Actual Dates'!#REF!,"")</f>
        <v>#REF!</v>
      </c>
      <c r="L358" s="137" t="e">
        <f>IF(VLOOKUP(A358,'Actual Dates'!A4:AE508,21,),'Actual Dates'!#REF!,"")</f>
        <v>#REF!</v>
      </c>
      <c r="M358" s="137" t="e">
        <f>'Date Calcs'!#REF!</f>
        <v>#REF!</v>
      </c>
      <c r="N358" s="137" t="e">
        <f>IF(VLOOKUP(A358,'Actual Dates'!A4:AE508,27,),'Actual Dates'!#REF!,"")</f>
        <v>#REF!</v>
      </c>
      <c r="O358" s="138" t="e">
        <f t="shared" si="48"/>
        <v>#REF!</v>
      </c>
      <c r="P358" s="139" t="e">
        <f t="shared" si="46"/>
        <v>#REF!</v>
      </c>
      <c r="Q358" s="139" t="e">
        <f t="shared" si="47"/>
        <v>#REF!</v>
      </c>
      <c r="R358" s="170"/>
      <c r="S358" s="170"/>
    </row>
    <row r="359" spans="1:19" x14ac:dyDescent="0.25">
      <c r="A359" s="134" t="e">
        <f>'Date Calcs'!#REF!</f>
        <v>#REF!</v>
      </c>
      <c r="B359" s="135" t="e">
        <f>'Date Calcs'!#REF!</f>
        <v>#REF!</v>
      </c>
      <c r="C359" s="136" t="e">
        <f>'Date Calcs'!#REF!</f>
        <v>#REF!</v>
      </c>
      <c r="D359" s="137" t="e">
        <f t="shared" si="49"/>
        <v>#REF!</v>
      </c>
      <c r="E359" s="143">
        <v>44382</v>
      </c>
      <c r="F359" s="137" t="e">
        <f>'Date Calcs'!#REF!</f>
        <v>#REF!</v>
      </c>
      <c r="G359" s="137" t="e">
        <f>IF(VLOOKUP(A359,'Actual Dates'!A4:AE486,8,),'Actual Dates'!#REF!,"")</f>
        <v>#REF!</v>
      </c>
      <c r="H359" s="137" t="e">
        <f t="shared" si="44"/>
        <v>#REF!</v>
      </c>
      <c r="I359" s="137" t="e">
        <f>IF(VLOOKUP(A359,'Actual Dates'!A4:AE481,25,),'Actual Dates'!#REF!,"")</f>
        <v>#REF!</v>
      </c>
      <c r="J359" s="137" t="e">
        <f t="shared" si="45"/>
        <v>#REF!</v>
      </c>
      <c r="K359" s="137" t="e">
        <f>IF(VLOOKUP(A359,'Actual Dates'!A4:AE509,26,),'Actual Dates'!#REF!,"")</f>
        <v>#REF!</v>
      </c>
      <c r="L359" s="137" t="e">
        <f>IF(VLOOKUP(A359,'Actual Dates'!A4:AE509,21,),'Actual Dates'!#REF!,"")</f>
        <v>#REF!</v>
      </c>
      <c r="M359" s="137" t="e">
        <f>'Date Calcs'!#REF!</f>
        <v>#REF!</v>
      </c>
      <c r="N359" s="137" t="e">
        <f>IF(VLOOKUP(A359,'Actual Dates'!A4:AE509,27,),'Actual Dates'!#REF!,"")</f>
        <v>#REF!</v>
      </c>
      <c r="O359" s="138" t="e">
        <f t="shared" si="48"/>
        <v>#REF!</v>
      </c>
      <c r="P359" s="139" t="e">
        <f t="shared" si="46"/>
        <v>#REF!</v>
      </c>
      <c r="Q359" s="139" t="e">
        <f t="shared" si="47"/>
        <v>#REF!</v>
      </c>
      <c r="R359" s="170"/>
      <c r="S359" s="170"/>
    </row>
    <row r="360" spans="1:19" x14ac:dyDescent="0.25">
      <c r="A360" s="134" t="e">
        <f>'Date Calcs'!#REF!</f>
        <v>#REF!</v>
      </c>
      <c r="B360" s="135" t="e">
        <f>'Date Calcs'!#REF!</f>
        <v>#REF!</v>
      </c>
      <c r="C360" s="136" t="e">
        <f>'Date Calcs'!#REF!</f>
        <v>#REF!</v>
      </c>
      <c r="D360" s="137" t="e">
        <f t="shared" si="49"/>
        <v>#REF!</v>
      </c>
      <c r="E360" s="143">
        <v>44383</v>
      </c>
      <c r="F360" s="137" t="e">
        <f>'Date Calcs'!#REF!</f>
        <v>#REF!</v>
      </c>
      <c r="G360" s="137" t="e">
        <f>IF(VLOOKUP(A360,'Actual Dates'!A4:AE487,8,),'Actual Dates'!#REF!,"")</f>
        <v>#REF!</v>
      </c>
      <c r="H360" s="137" t="e">
        <f t="shared" si="44"/>
        <v>#REF!</v>
      </c>
      <c r="I360" s="137" t="e">
        <f>IF(VLOOKUP(A360,'Actual Dates'!A4:AE482,25,),'Actual Dates'!#REF!,"")</f>
        <v>#REF!</v>
      </c>
      <c r="J360" s="137" t="e">
        <f t="shared" si="45"/>
        <v>#REF!</v>
      </c>
      <c r="K360" s="137" t="e">
        <f>IF(VLOOKUP(A360,'Actual Dates'!A4:AE510,26,),'Actual Dates'!#REF!,"")</f>
        <v>#REF!</v>
      </c>
      <c r="L360" s="137" t="e">
        <f>IF(VLOOKUP(A360,'Actual Dates'!A4:AE510,21,),'Actual Dates'!#REF!,"")</f>
        <v>#REF!</v>
      </c>
      <c r="M360" s="137" t="e">
        <f>'Date Calcs'!#REF!</f>
        <v>#REF!</v>
      </c>
      <c r="N360" s="137" t="e">
        <f>IF(VLOOKUP(A360,'Actual Dates'!A4:AE510,27,),'Actual Dates'!#REF!,"")</f>
        <v>#REF!</v>
      </c>
      <c r="O360" s="138" t="e">
        <f t="shared" si="48"/>
        <v>#REF!</v>
      </c>
      <c r="P360" s="139" t="e">
        <f t="shared" si="46"/>
        <v>#REF!</v>
      </c>
      <c r="Q360" s="139" t="e">
        <f t="shared" si="47"/>
        <v>#REF!</v>
      </c>
      <c r="R360" s="170"/>
      <c r="S360" s="170"/>
    </row>
    <row r="361" spans="1:19" x14ac:dyDescent="0.25">
      <c r="A361" s="134" t="e">
        <f>'Date Calcs'!#REF!</f>
        <v>#REF!</v>
      </c>
      <c r="B361" s="135" t="e">
        <f>'Date Calcs'!#REF!</f>
        <v>#REF!</v>
      </c>
      <c r="C361" s="136" t="e">
        <f>'Date Calcs'!#REF!</f>
        <v>#REF!</v>
      </c>
      <c r="D361" s="137" t="e">
        <f t="shared" si="49"/>
        <v>#REF!</v>
      </c>
      <c r="E361" s="143">
        <v>44384</v>
      </c>
      <c r="F361" s="137" t="e">
        <f>'Date Calcs'!#REF!</f>
        <v>#REF!</v>
      </c>
      <c r="G361" s="137" t="e">
        <f>IF(VLOOKUP(A361,'Actual Dates'!A4:AE488,8,),'Actual Dates'!#REF!,"")</f>
        <v>#REF!</v>
      </c>
      <c r="H361" s="137" t="e">
        <f t="shared" si="44"/>
        <v>#REF!</v>
      </c>
      <c r="I361" s="137" t="e">
        <f>IF(VLOOKUP(A361,'Actual Dates'!A4:AE483,25,),'Actual Dates'!#REF!,"")</f>
        <v>#REF!</v>
      </c>
      <c r="J361" s="137" t="e">
        <f t="shared" si="45"/>
        <v>#REF!</v>
      </c>
      <c r="K361" s="137" t="e">
        <f>IF(VLOOKUP(A361,'Actual Dates'!A4:AE511,26,),'Actual Dates'!#REF!,"")</f>
        <v>#REF!</v>
      </c>
      <c r="L361" s="137" t="e">
        <f>IF(VLOOKUP(A361,'Actual Dates'!A4:AE511,21,),'Actual Dates'!#REF!,"")</f>
        <v>#REF!</v>
      </c>
      <c r="M361" s="137" t="e">
        <f>'Date Calcs'!#REF!</f>
        <v>#REF!</v>
      </c>
      <c r="N361" s="137" t="e">
        <f>IF(VLOOKUP(A361,'Actual Dates'!A4:AE511,27,),'Actual Dates'!#REF!,"")</f>
        <v>#REF!</v>
      </c>
      <c r="O361" s="138" t="e">
        <f t="shared" si="48"/>
        <v>#REF!</v>
      </c>
      <c r="P361" s="139" t="e">
        <f t="shared" si="46"/>
        <v>#REF!</v>
      </c>
      <c r="Q361" s="139" t="e">
        <f t="shared" si="47"/>
        <v>#REF!</v>
      </c>
      <c r="R361" s="170"/>
      <c r="S361" s="170"/>
    </row>
    <row r="362" spans="1:19" x14ac:dyDescent="0.25">
      <c r="A362" s="134" t="e">
        <f>'Date Calcs'!#REF!</f>
        <v>#REF!</v>
      </c>
      <c r="B362" s="135" t="e">
        <f>'Date Calcs'!#REF!</f>
        <v>#REF!</v>
      </c>
      <c r="C362" s="136" t="e">
        <f>'Date Calcs'!#REF!</f>
        <v>#REF!</v>
      </c>
      <c r="D362" s="137" t="e">
        <f t="shared" si="49"/>
        <v>#REF!</v>
      </c>
      <c r="E362" s="143">
        <v>44385</v>
      </c>
      <c r="F362" s="137" t="e">
        <f>'Date Calcs'!#REF!</f>
        <v>#REF!</v>
      </c>
      <c r="G362" s="137" t="e">
        <f>IF(VLOOKUP(A362,'Actual Dates'!A4:AE489,8,),'Actual Dates'!#REF!,"")</f>
        <v>#REF!</v>
      </c>
      <c r="H362" s="137" t="e">
        <f t="shared" si="44"/>
        <v>#REF!</v>
      </c>
      <c r="I362" s="137" t="e">
        <f>IF(VLOOKUP(A362,'Actual Dates'!A4:AE484,25,),'Actual Dates'!#REF!,"")</f>
        <v>#REF!</v>
      </c>
      <c r="J362" s="137" t="e">
        <f t="shared" si="45"/>
        <v>#REF!</v>
      </c>
      <c r="K362" s="137" t="e">
        <f>IF(VLOOKUP(A362,'Actual Dates'!A4:AE512,26,),'Actual Dates'!#REF!,"")</f>
        <v>#REF!</v>
      </c>
      <c r="L362" s="137" t="e">
        <f>IF(VLOOKUP(A362,'Actual Dates'!A4:AE512,21,),'Actual Dates'!#REF!,"")</f>
        <v>#REF!</v>
      </c>
      <c r="M362" s="137" t="e">
        <f>'Date Calcs'!#REF!</f>
        <v>#REF!</v>
      </c>
      <c r="N362" s="137" t="e">
        <f>IF(VLOOKUP(A362,'Actual Dates'!A4:AE512,27,),'Actual Dates'!#REF!,"")</f>
        <v>#REF!</v>
      </c>
      <c r="O362" s="138" t="e">
        <f t="shared" si="48"/>
        <v>#REF!</v>
      </c>
      <c r="P362" s="139" t="e">
        <f t="shared" si="46"/>
        <v>#REF!</v>
      </c>
      <c r="Q362" s="139" t="e">
        <f t="shared" si="47"/>
        <v>#REF!</v>
      </c>
      <c r="R362" s="170"/>
      <c r="S362" s="170"/>
    </row>
    <row r="363" spans="1:19" x14ac:dyDescent="0.25">
      <c r="A363" s="134" t="e">
        <f>'Date Calcs'!#REF!</f>
        <v>#REF!</v>
      </c>
      <c r="B363" s="135" t="e">
        <f>'Date Calcs'!#REF!</f>
        <v>#REF!</v>
      </c>
      <c r="C363" s="136" t="e">
        <f>'Date Calcs'!#REF!</f>
        <v>#REF!</v>
      </c>
      <c r="D363" s="137" t="e">
        <f t="shared" si="49"/>
        <v>#REF!</v>
      </c>
      <c r="E363" s="143">
        <v>44386</v>
      </c>
      <c r="F363" s="137" t="e">
        <f>'Date Calcs'!#REF!</f>
        <v>#REF!</v>
      </c>
      <c r="G363" s="137" t="e">
        <f>IF(VLOOKUP(A363,'Actual Dates'!A4:AE490,8,),'Actual Dates'!#REF!,"")</f>
        <v>#REF!</v>
      </c>
      <c r="H363" s="137" t="e">
        <f t="shared" si="44"/>
        <v>#REF!</v>
      </c>
      <c r="I363" s="137" t="e">
        <f>IF(VLOOKUP(A363,'Actual Dates'!A4:AE485,25,),'Actual Dates'!#REF!,"")</f>
        <v>#REF!</v>
      </c>
      <c r="J363" s="137" t="e">
        <f t="shared" si="45"/>
        <v>#REF!</v>
      </c>
      <c r="K363" s="137" t="e">
        <f>IF(VLOOKUP(A363,'Actual Dates'!A4:AE513,26,),'Actual Dates'!#REF!,"")</f>
        <v>#REF!</v>
      </c>
      <c r="L363" s="137" t="e">
        <f>IF(VLOOKUP(A363,'Actual Dates'!A4:AE513,21,),'Actual Dates'!#REF!,"")</f>
        <v>#REF!</v>
      </c>
      <c r="M363" s="137" t="e">
        <f>'Date Calcs'!#REF!</f>
        <v>#REF!</v>
      </c>
      <c r="N363" s="137" t="e">
        <f>IF(VLOOKUP(A363,'Actual Dates'!A4:AE513,27,),'Actual Dates'!#REF!,"")</f>
        <v>#REF!</v>
      </c>
      <c r="O363" s="138" t="e">
        <f t="shared" si="48"/>
        <v>#REF!</v>
      </c>
      <c r="P363" s="139" t="e">
        <f t="shared" si="46"/>
        <v>#REF!</v>
      </c>
      <c r="Q363" s="139" t="e">
        <f t="shared" si="47"/>
        <v>#REF!</v>
      </c>
      <c r="R363" s="170"/>
      <c r="S363" s="170"/>
    </row>
    <row r="364" spans="1:19" x14ac:dyDescent="0.25">
      <c r="A364" s="134" t="e">
        <f>'Date Calcs'!#REF!</f>
        <v>#REF!</v>
      </c>
      <c r="B364" s="135" t="e">
        <f>'Date Calcs'!#REF!</f>
        <v>#REF!</v>
      </c>
      <c r="C364" s="136" t="e">
        <f>'Date Calcs'!#REF!</f>
        <v>#REF!</v>
      </c>
      <c r="D364" s="137" t="e">
        <f t="shared" si="49"/>
        <v>#REF!</v>
      </c>
      <c r="E364" s="143">
        <v>44387</v>
      </c>
      <c r="F364" s="137" t="e">
        <f>'Date Calcs'!#REF!</f>
        <v>#REF!</v>
      </c>
      <c r="G364" s="137" t="e">
        <f>IF(VLOOKUP(A364,'Actual Dates'!A4:AE491,8,),'Actual Dates'!#REF!,"")</f>
        <v>#REF!</v>
      </c>
      <c r="H364" s="137" t="e">
        <f t="shared" si="44"/>
        <v>#REF!</v>
      </c>
      <c r="I364" s="137" t="e">
        <f>IF(VLOOKUP(A364,'Actual Dates'!A4:AE486,25,),'Actual Dates'!#REF!,"")</f>
        <v>#REF!</v>
      </c>
      <c r="J364" s="137" t="e">
        <f t="shared" si="45"/>
        <v>#REF!</v>
      </c>
      <c r="K364" s="137" t="e">
        <f>IF(VLOOKUP(A364,'Actual Dates'!A4:AE514,26,),'Actual Dates'!#REF!,"")</f>
        <v>#REF!</v>
      </c>
      <c r="L364" s="137" t="e">
        <f>IF(VLOOKUP(A364,'Actual Dates'!A4:AE514,21,),'Actual Dates'!#REF!,"")</f>
        <v>#REF!</v>
      </c>
      <c r="M364" s="137" t="e">
        <f>'Date Calcs'!#REF!</f>
        <v>#REF!</v>
      </c>
      <c r="N364" s="137" t="e">
        <f>IF(VLOOKUP(A364,'Actual Dates'!A4:AE514,27,),'Actual Dates'!#REF!,"")</f>
        <v>#REF!</v>
      </c>
      <c r="O364" s="138" t="e">
        <f t="shared" si="48"/>
        <v>#REF!</v>
      </c>
      <c r="P364" s="139" t="e">
        <f t="shared" si="46"/>
        <v>#REF!</v>
      </c>
      <c r="Q364" s="139" t="e">
        <f t="shared" si="47"/>
        <v>#REF!</v>
      </c>
      <c r="R364" s="170"/>
      <c r="S364" s="170"/>
    </row>
    <row r="365" spans="1:19" x14ac:dyDescent="0.25">
      <c r="A365" s="134" t="e">
        <f>'Date Calcs'!#REF!</f>
        <v>#REF!</v>
      </c>
      <c r="B365" s="135" t="e">
        <f>'Date Calcs'!#REF!</f>
        <v>#REF!</v>
      </c>
      <c r="C365" s="136" t="e">
        <f>'Date Calcs'!#REF!</f>
        <v>#REF!</v>
      </c>
      <c r="D365" s="137" t="e">
        <f t="shared" si="49"/>
        <v>#REF!</v>
      </c>
      <c r="E365" s="143">
        <v>44388</v>
      </c>
      <c r="F365" s="137" t="e">
        <f>'Date Calcs'!#REF!</f>
        <v>#REF!</v>
      </c>
      <c r="G365" s="137" t="e">
        <f>IF(VLOOKUP(A365,'Actual Dates'!A4:AE492,8,),'Actual Dates'!#REF!,"")</f>
        <v>#REF!</v>
      </c>
      <c r="H365" s="137" t="e">
        <f t="shared" si="44"/>
        <v>#REF!</v>
      </c>
      <c r="I365" s="137" t="e">
        <f>IF(VLOOKUP(A365,'Actual Dates'!A4:AE487,25,),'Actual Dates'!#REF!,"")</f>
        <v>#REF!</v>
      </c>
      <c r="J365" s="137" t="e">
        <f t="shared" si="45"/>
        <v>#REF!</v>
      </c>
      <c r="K365" s="137" t="e">
        <f>IF(VLOOKUP(A365,'Actual Dates'!A4:AE515,26,),'Actual Dates'!#REF!,"")</f>
        <v>#REF!</v>
      </c>
      <c r="L365" s="137" t="e">
        <f>IF(VLOOKUP(A365,'Actual Dates'!A4:AE515,21,),'Actual Dates'!#REF!,"")</f>
        <v>#REF!</v>
      </c>
      <c r="M365" s="137" t="e">
        <f>'Date Calcs'!#REF!</f>
        <v>#REF!</v>
      </c>
      <c r="N365" s="137" t="e">
        <f>IF(VLOOKUP(A365,'Actual Dates'!A4:AE515,27,),'Actual Dates'!#REF!,"")</f>
        <v>#REF!</v>
      </c>
      <c r="O365" s="138" t="e">
        <f t="shared" si="48"/>
        <v>#REF!</v>
      </c>
      <c r="P365" s="139" t="e">
        <f t="shared" si="46"/>
        <v>#REF!</v>
      </c>
      <c r="Q365" s="139" t="e">
        <f t="shared" si="47"/>
        <v>#REF!</v>
      </c>
      <c r="R365" s="170"/>
      <c r="S365" s="170"/>
    </row>
    <row r="366" spans="1:19" x14ac:dyDescent="0.25">
      <c r="A366" s="134" t="e">
        <f>'Date Calcs'!#REF!</f>
        <v>#REF!</v>
      </c>
      <c r="B366" s="135" t="e">
        <f>'Date Calcs'!#REF!</f>
        <v>#REF!</v>
      </c>
      <c r="C366" s="136" t="e">
        <f>'Date Calcs'!#REF!</f>
        <v>#REF!</v>
      </c>
      <c r="D366" s="137" t="e">
        <f t="shared" si="49"/>
        <v>#REF!</v>
      </c>
      <c r="E366" s="143">
        <v>44389</v>
      </c>
      <c r="F366" s="137" t="e">
        <f>'Date Calcs'!#REF!</f>
        <v>#REF!</v>
      </c>
      <c r="G366" s="137" t="e">
        <f>IF(VLOOKUP(A366,'Actual Dates'!A4:AE493,8,),'Actual Dates'!#REF!,"")</f>
        <v>#REF!</v>
      </c>
      <c r="H366" s="137" t="e">
        <f t="shared" si="44"/>
        <v>#REF!</v>
      </c>
      <c r="I366" s="137" t="e">
        <f>IF(VLOOKUP(A366,'Actual Dates'!A4:AE488,25,),'Actual Dates'!#REF!,"")</f>
        <v>#REF!</v>
      </c>
      <c r="J366" s="137" t="e">
        <f t="shared" si="45"/>
        <v>#REF!</v>
      </c>
      <c r="K366" s="137" t="e">
        <f>IF(VLOOKUP(A366,'Actual Dates'!A4:AE516,26,),'Actual Dates'!#REF!,"")</f>
        <v>#REF!</v>
      </c>
      <c r="L366" s="137" t="e">
        <f>IF(VLOOKUP(A366,'Actual Dates'!A4:AE516,21,),'Actual Dates'!#REF!,"")</f>
        <v>#REF!</v>
      </c>
      <c r="M366" s="137" t="e">
        <f>'Date Calcs'!#REF!</f>
        <v>#REF!</v>
      </c>
      <c r="N366" s="137" t="e">
        <f>IF(VLOOKUP(A366,'Actual Dates'!A4:AE516,27,),'Actual Dates'!#REF!,"")</f>
        <v>#REF!</v>
      </c>
      <c r="O366" s="138" t="e">
        <f t="shared" si="48"/>
        <v>#REF!</v>
      </c>
      <c r="P366" s="139" t="e">
        <f t="shared" si="46"/>
        <v>#REF!</v>
      </c>
      <c r="Q366" s="139" t="e">
        <f t="shared" si="47"/>
        <v>#REF!</v>
      </c>
      <c r="R366" s="170"/>
      <c r="S366" s="170"/>
    </row>
    <row r="367" spans="1:19" x14ac:dyDescent="0.25">
      <c r="A367" s="134" t="e">
        <f>'Date Calcs'!#REF!</f>
        <v>#REF!</v>
      </c>
      <c r="B367" s="135" t="e">
        <f>'Date Calcs'!#REF!</f>
        <v>#REF!</v>
      </c>
      <c r="C367" s="136" t="e">
        <f>'Date Calcs'!#REF!</f>
        <v>#REF!</v>
      </c>
      <c r="D367" s="137" t="e">
        <f t="shared" si="49"/>
        <v>#REF!</v>
      </c>
      <c r="E367" s="143">
        <v>44390</v>
      </c>
      <c r="F367" s="137" t="e">
        <f>'Date Calcs'!#REF!</f>
        <v>#REF!</v>
      </c>
      <c r="G367" s="137" t="e">
        <f>IF(VLOOKUP(A367,'Actual Dates'!A4:AE494,8,),'Actual Dates'!#REF!,"")</f>
        <v>#REF!</v>
      </c>
      <c r="H367" s="137" t="e">
        <f t="shared" si="44"/>
        <v>#REF!</v>
      </c>
      <c r="I367" s="137" t="e">
        <f>IF(VLOOKUP(A367,'Actual Dates'!A4:AE489,25,),'Actual Dates'!#REF!,"")</f>
        <v>#REF!</v>
      </c>
      <c r="J367" s="137" t="e">
        <f t="shared" si="45"/>
        <v>#REF!</v>
      </c>
      <c r="K367" s="137" t="e">
        <f>IF(VLOOKUP(A367,'Actual Dates'!A4:AE517,26,),'Actual Dates'!#REF!,"")</f>
        <v>#REF!</v>
      </c>
      <c r="L367" s="137" t="e">
        <f>IF(VLOOKUP(A367,'Actual Dates'!A4:AE517,21,),'Actual Dates'!#REF!,"")</f>
        <v>#REF!</v>
      </c>
      <c r="M367" s="137" t="e">
        <f>'Date Calcs'!#REF!</f>
        <v>#REF!</v>
      </c>
      <c r="N367" s="137" t="e">
        <f>IF(VLOOKUP(A367,'Actual Dates'!A4:AE517,27,),'Actual Dates'!#REF!,"")</f>
        <v>#REF!</v>
      </c>
      <c r="O367" s="138" t="e">
        <f t="shared" si="48"/>
        <v>#REF!</v>
      </c>
      <c r="P367" s="139" t="e">
        <f t="shared" si="46"/>
        <v>#REF!</v>
      </c>
      <c r="Q367" s="139" t="e">
        <f t="shared" si="47"/>
        <v>#REF!</v>
      </c>
      <c r="R367" s="170"/>
      <c r="S367" s="170"/>
    </row>
    <row r="368" spans="1:19" x14ac:dyDescent="0.25">
      <c r="A368" s="134" t="e">
        <f>'Date Calcs'!#REF!</f>
        <v>#REF!</v>
      </c>
      <c r="B368" s="135" t="e">
        <f>'Date Calcs'!#REF!</f>
        <v>#REF!</v>
      </c>
      <c r="C368" s="136" t="e">
        <f>'Date Calcs'!#REF!</f>
        <v>#REF!</v>
      </c>
      <c r="D368" s="137" t="e">
        <f t="shared" si="49"/>
        <v>#REF!</v>
      </c>
      <c r="E368" s="143">
        <v>44391</v>
      </c>
      <c r="F368" s="137" t="e">
        <f>'Date Calcs'!#REF!</f>
        <v>#REF!</v>
      </c>
      <c r="G368" s="137" t="e">
        <f>IF(VLOOKUP(A368,'Actual Dates'!A4:AE495,8,),'Actual Dates'!#REF!,"")</f>
        <v>#REF!</v>
      </c>
      <c r="H368" s="137" t="e">
        <f t="shared" si="44"/>
        <v>#REF!</v>
      </c>
      <c r="I368" s="137" t="e">
        <f>IF(VLOOKUP(A368,'Actual Dates'!A4:AE490,25,),'Actual Dates'!#REF!,"")</f>
        <v>#REF!</v>
      </c>
      <c r="J368" s="137" t="e">
        <f t="shared" si="45"/>
        <v>#REF!</v>
      </c>
      <c r="K368" s="137" t="e">
        <f>IF(VLOOKUP(A368,'Actual Dates'!A4:AE518,26,),'Actual Dates'!#REF!,"")</f>
        <v>#REF!</v>
      </c>
      <c r="L368" s="137" t="e">
        <f>IF(VLOOKUP(A368,'Actual Dates'!A4:AE518,21,),'Actual Dates'!#REF!,"")</f>
        <v>#REF!</v>
      </c>
      <c r="M368" s="137" t="e">
        <f>'Date Calcs'!#REF!</f>
        <v>#REF!</v>
      </c>
      <c r="N368" s="137" t="e">
        <f>IF(VLOOKUP(A368,'Actual Dates'!A4:AE518,27,),'Actual Dates'!#REF!,"")</f>
        <v>#REF!</v>
      </c>
      <c r="O368" s="138" t="e">
        <f t="shared" si="48"/>
        <v>#REF!</v>
      </c>
      <c r="P368" s="139" t="e">
        <f t="shared" si="46"/>
        <v>#REF!</v>
      </c>
      <c r="Q368" s="139" t="e">
        <f t="shared" si="47"/>
        <v>#REF!</v>
      </c>
      <c r="R368" s="170"/>
      <c r="S368" s="170"/>
    </row>
    <row r="369" spans="1:19" x14ac:dyDescent="0.25">
      <c r="A369" s="134" t="e">
        <f>'Date Calcs'!#REF!</f>
        <v>#REF!</v>
      </c>
      <c r="B369" s="135" t="e">
        <f>'Date Calcs'!#REF!</f>
        <v>#REF!</v>
      </c>
      <c r="C369" s="136" t="e">
        <f>'Date Calcs'!#REF!</f>
        <v>#REF!</v>
      </c>
      <c r="D369" s="137" t="e">
        <f t="shared" si="49"/>
        <v>#REF!</v>
      </c>
      <c r="E369" s="143">
        <v>44392</v>
      </c>
      <c r="F369" s="137" t="e">
        <f>'Date Calcs'!#REF!</f>
        <v>#REF!</v>
      </c>
      <c r="G369" s="137" t="e">
        <f>IF(VLOOKUP(A369,'Actual Dates'!A4:AE496,8,),'Actual Dates'!#REF!,"")</f>
        <v>#REF!</v>
      </c>
      <c r="H369" s="137" t="e">
        <f t="shared" si="44"/>
        <v>#REF!</v>
      </c>
      <c r="I369" s="137" t="e">
        <f>IF(VLOOKUP(A369,'Actual Dates'!A4:AE491,25,),'Actual Dates'!#REF!,"")</f>
        <v>#REF!</v>
      </c>
      <c r="J369" s="137" t="e">
        <f t="shared" si="45"/>
        <v>#REF!</v>
      </c>
      <c r="K369" s="137" t="e">
        <f>IF(VLOOKUP(A369,'Actual Dates'!A4:AE519,26,),'Actual Dates'!#REF!,"")</f>
        <v>#REF!</v>
      </c>
      <c r="L369" s="137" t="e">
        <f>IF(VLOOKUP(A369,'Actual Dates'!A4:AE519,21,),'Actual Dates'!#REF!,"")</f>
        <v>#REF!</v>
      </c>
      <c r="M369" s="137" t="e">
        <f>'Date Calcs'!#REF!</f>
        <v>#REF!</v>
      </c>
      <c r="N369" s="137" t="e">
        <f>IF(VLOOKUP(A369,'Actual Dates'!A4:AE519,27,),'Actual Dates'!#REF!,"")</f>
        <v>#REF!</v>
      </c>
      <c r="O369" s="138" t="e">
        <f t="shared" si="48"/>
        <v>#REF!</v>
      </c>
      <c r="P369" s="139" t="e">
        <f t="shared" si="46"/>
        <v>#REF!</v>
      </c>
      <c r="Q369" s="139" t="e">
        <f t="shared" si="47"/>
        <v>#REF!</v>
      </c>
      <c r="R369" s="170"/>
      <c r="S369" s="170"/>
    </row>
    <row r="370" spans="1:19" x14ac:dyDescent="0.25">
      <c r="A370" s="134" t="e">
        <f>'Date Calcs'!#REF!</f>
        <v>#REF!</v>
      </c>
      <c r="B370" s="135" t="e">
        <f>'Date Calcs'!#REF!</f>
        <v>#REF!</v>
      </c>
      <c r="C370" s="136" t="e">
        <f>'Date Calcs'!#REF!</f>
        <v>#REF!</v>
      </c>
      <c r="D370" s="137" t="e">
        <f t="shared" si="49"/>
        <v>#REF!</v>
      </c>
      <c r="E370" s="143">
        <v>44393</v>
      </c>
      <c r="F370" s="137" t="e">
        <f>'Date Calcs'!#REF!</f>
        <v>#REF!</v>
      </c>
      <c r="G370" s="137" t="e">
        <f>IF(VLOOKUP(A370,'Actual Dates'!A4:AE497,8,),'Actual Dates'!#REF!,"")</f>
        <v>#REF!</v>
      </c>
      <c r="H370" s="137" t="e">
        <f t="shared" si="44"/>
        <v>#REF!</v>
      </c>
      <c r="I370" s="137" t="e">
        <f>IF(VLOOKUP(A370,'Actual Dates'!A4:AE492,25,),'Actual Dates'!#REF!,"")</f>
        <v>#REF!</v>
      </c>
      <c r="J370" s="137" t="e">
        <f t="shared" si="45"/>
        <v>#REF!</v>
      </c>
      <c r="K370" s="137" t="e">
        <f>IF(VLOOKUP(A370,'Actual Dates'!A4:AE520,26,),'Actual Dates'!#REF!,"")</f>
        <v>#REF!</v>
      </c>
      <c r="L370" s="137" t="e">
        <f>IF(VLOOKUP(A370,'Actual Dates'!A4:AE520,21,),'Actual Dates'!#REF!,"")</f>
        <v>#REF!</v>
      </c>
      <c r="M370" s="137" t="e">
        <f>'Date Calcs'!#REF!</f>
        <v>#REF!</v>
      </c>
      <c r="N370" s="137" t="e">
        <f>IF(VLOOKUP(A370,'Actual Dates'!A4:AE520,27,),'Actual Dates'!#REF!,"")</f>
        <v>#REF!</v>
      </c>
      <c r="O370" s="138" t="e">
        <f t="shared" si="48"/>
        <v>#REF!</v>
      </c>
      <c r="P370" s="139" t="e">
        <f t="shared" si="46"/>
        <v>#REF!</v>
      </c>
      <c r="Q370" s="139" t="e">
        <f t="shared" si="47"/>
        <v>#REF!</v>
      </c>
      <c r="R370" s="170"/>
      <c r="S370" s="170"/>
    </row>
    <row r="371" spans="1:19" x14ac:dyDescent="0.25">
      <c r="A371" s="134" t="e">
        <f>'Date Calcs'!#REF!</f>
        <v>#REF!</v>
      </c>
      <c r="B371" s="135" t="e">
        <f>'Date Calcs'!#REF!</f>
        <v>#REF!</v>
      </c>
      <c r="C371" s="136" t="e">
        <f>'Date Calcs'!#REF!</f>
        <v>#REF!</v>
      </c>
      <c r="D371" s="137" t="e">
        <f t="shared" si="49"/>
        <v>#REF!</v>
      </c>
      <c r="E371" s="143">
        <v>44394</v>
      </c>
      <c r="F371" s="137" t="e">
        <f>'Date Calcs'!#REF!</f>
        <v>#REF!</v>
      </c>
      <c r="G371" s="137" t="e">
        <f>IF(VLOOKUP(A371,'Actual Dates'!A4:AE498,8,),'Actual Dates'!#REF!,"")</f>
        <v>#REF!</v>
      </c>
      <c r="H371" s="137" t="e">
        <f t="shared" ref="H371:H434" si="50">WORKDAY(L371,3,)</f>
        <v>#REF!</v>
      </c>
      <c r="I371" s="137" t="e">
        <f>IF(VLOOKUP(A371,'Actual Dates'!A4:AE493,25,),'Actual Dates'!#REF!,"")</f>
        <v>#REF!</v>
      </c>
      <c r="J371" s="137" t="e">
        <f t="shared" ref="J371:J434" si="51">WORKDAY(L371,4,)</f>
        <v>#REF!</v>
      </c>
      <c r="K371" s="137" t="e">
        <f>IF(VLOOKUP(A371,'Actual Dates'!A4:AE521,26,),'Actual Dates'!#REF!,"")</f>
        <v>#REF!</v>
      </c>
      <c r="L371" s="137" t="e">
        <f>IF(VLOOKUP(A371,'Actual Dates'!A4:AE521,21,),'Actual Dates'!#REF!,"")</f>
        <v>#REF!</v>
      </c>
      <c r="M371" s="137" t="e">
        <f>'Date Calcs'!#REF!</f>
        <v>#REF!</v>
      </c>
      <c r="N371" s="137" t="e">
        <f>IF(VLOOKUP(A371,'Actual Dates'!A4:AE521,27,),'Actual Dates'!#REF!,"")</f>
        <v>#REF!</v>
      </c>
      <c r="O371" s="138" t="e">
        <f t="shared" si="48"/>
        <v>#REF!</v>
      </c>
      <c r="P371" s="139" t="e">
        <f t="shared" ref="P371:P434" si="52">F371-G371</f>
        <v>#REF!</v>
      </c>
      <c r="Q371" s="139" t="e">
        <f t="shared" ref="Q371:Q434" si="53">M371-N371</f>
        <v>#REF!</v>
      </c>
      <c r="R371" s="170"/>
      <c r="S371" s="170"/>
    </row>
    <row r="372" spans="1:19" x14ac:dyDescent="0.25">
      <c r="A372" s="134" t="e">
        <f>'Date Calcs'!#REF!</f>
        <v>#REF!</v>
      </c>
      <c r="B372" s="135" t="e">
        <f>'Date Calcs'!#REF!</f>
        <v>#REF!</v>
      </c>
      <c r="C372" s="136" t="e">
        <f>'Date Calcs'!#REF!</f>
        <v>#REF!</v>
      </c>
      <c r="D372" s="137" t="e">
        <f t="shared" si="49"/>
        <v>#REF!</v>
      </c>
      <c r="E372" s="143">
        <v>44395</v>
      </c>
      <c r="F372" s="137" t="e">
        <f>'Date Calcs'!#REF!</f>
        <v>#REF!</v>
      </c>
      <c r="G372" s="137" t="e">
        <f>IF(VLOOKUP(A372,'Actual Dates'!A4:AE499,8,),'Actual Dates'!#REF!,"")</f>
        <v>#REF!</v>
      </c>
      <c r="H372" s="137" t="e">
        <f t="shared" si="50"/>
        <v>#REF!</v>
      </c>
      <c r="I372" s="137" t="e">
        <f>IF(VLOOKUP(A372,'Actual Dates'!A4:AE494,25,),'Actual Dates'!#REF!,"")</f>
        <v>#REF!</v>
      </c>
      <c r="J372" s="137" t="e">
        <f t="shared" si="51"/>
        <v>#REF!</v>
      </c>
      <c r="K372" s="137" t="e">
        <f>IF(VLOOKUP(A372,'Actual Dates'!A4:AE522,26,),'Actual Dates'!#REF!,"")</f>
        <v>#REF!</v>
      </c>
      <c r="L372" s="137" t="e">
        <f>IF(VLOOKUP(A372,'Actual Dates'!A4:AE522,21,),'Actual Dates'!#REF!,"")</f>
        <v>#REF!</v>
      </c>
      <c r="M372" s="137" t="e">
        <f>'Date Calcs'!#REF!</f>
        <v>#REF!</v>
      </c>
      <c r="N372" s="137" t="e">
        <f>IF(VLOOKUP(A372,'Actual Dates'!A4:AE522,27,),'Actual Dates'!#REF!,"")</f>
        <v>#REF!</v>
      </c>
      <c r="O372" s="138" t="e">
        <f t="shared" si="48"/>
        <v>#REF!</v>
      </c>
      <c r="P372" s="139" t="e">
        <f t="shared" si="52"/>
        <v>#REF!</v>
      </c>
      <c r="Q372" s="139" t="e">
        <f t="shared" si="53"/>
        <v>#REF!</v>
      </c>
      <c r="R372" s="170"/>
      <c r="S372" s="170"/>
    </row>
    <row r="373" spans="1:19" x14ac:dyDescent="0.25">
      <c r="A373" s="134" t="e">
        <f>'Date Calcs'!#REF!</f>
        <v>#REF!</v>
      </c>
      <c r="B373" s="135" t="e">
        <f>'Date Calcs'!#REF!</f>
        <v>#REF!</v>
      </c>
      <c r="C373" s="136" t="e">
        <f>'Date Calcs'!#REF!</f>
        <v>#REF!</v>
      </c>
      <c r="D373" s="137" t="e">
        <f t="shared" si="49"/>
        <v>#REF!</v>
      </c>
      <c r="E373" s="143">
        <v>44396</v>
      </c>
      <c r="F373" s="137" t="e">
        <f>'Date Calcs'!#REF!</f>
        <v>#REF!</v>
      </c>
      <c r="G373" s="137" t="e">
        <f>IF(VLOOKUP(A373,'Actual Dates'!A4:AE500,8,),'Actual Dates'!#REF!,"")</f>
        <v>#REF!</v>
      </c>
      <c r="H373" s="137" t="e">
        <f t="shared" si="50"/>
        <v>#REF!</v>
      </c>
      <c r="I373" s="137" t="e">
        <f>IF(VLOOKUP(A373,'Actual Dates'!A4:AE495,25,),'Actual Dates'!#REF!,"")</f>
        <v>#REF!</v>
      </c>
      <c r="J373" s="137" t="e">
        <f t="shared" si="51"/>
        <v>#REF!</v>
      </c>
      <c r="K373" s="137" t="e">
        <f>IF(VLOOKUP(A373,'Actual Dates'!A4:AE523,26,),'Actual Dates'!#REF!,"")</f>
        <v>#REF!</v>
      </c>
      <c r="L373" s="137" t="e">
        <f>IF(VLOOKUP(A373,'Actual Dates'!A4:AE523,21,),'Actual Dates'!#REF!,"")</f>
        <v>#REF!</v>
      </c>
      <c r="M373" s="137" t="e">
        <f>'Date Calcs'!#REF!</f>
        <v>#REF!</v>
      </c>
      <c r="N373" s="137" t="e">
        <f>IF(VLOOKUP(A373,'Actual Dates'!A4:AE523,27,),'Actual Dates'!#REF!,"")</f>
        <v>#REF!</v>
      </c>
      <c r="O373" s="138" t="e">
        <f t="shared" si="48"/>
        <v>#REF!</v>
      </c>
      <c r="P373" s="139" t="e">
        <f t="shared" si="52"/>
        <v>#REF!</v>
      </c>
      <c r="Q373" s="139" t="e">
        <f t="shared" si="53"/>
        <v>#REF!</v>
      </c>
      <c r="R373" s="170"/>
      <c r="S373" s="170"/>
    </row>
    <row r="374" spans="1:19" x14ac:dyDescent="0.25">
      <c r="A374" s="134" t="e">
        <f>'Date Calcs'!#REF!</f>
        <v>#REF!</v>
      </c>
      <c r="B374" s="135" t="e">
        <f>'Date Calcs'!#REF!</f>
        <v>#REF!</v>
      </c>
      <c r="C374" s="136" t="e">
        <f>'Date Calcs'!#REF!</f>
        <v>#REF!</v>
      </c>
      <c r="D374" s="137" t="e">
        <f t="shared" si="49"/>
        <v>#REF!</v>
      </c>
      <c r="E374" s="143">
        <v>44397</v>
      </c>
      <c r="F374" s="137" t="e">
        <f>'Date Calcs'!#REF!</f>
        <v>#REF!</v>
      </c>
      <c r="G374" s="137" t="e">
        <f>IF(VLOOKUP(A374,'Actual Dates'!A4:AE501,8,),'Actual Dates'!#REF!,"")</f>
        <v>#REF!</v>
      </c>
      <c r="H374" s="137" t="e">
        <f t="shared" si="50"/>
        <v>#REF!</v>
      </c>
      <c r="I374" s="137" t="e">
        <f>IF(VLOOKUP(A374,'Actual Dates'!A4:AE496,25,),'Actual Dates'!#REF!,"")</f>
        <v>#REF!</v>
      </c>
      <c r="J374" s="137" t="e">
        <f t="shared" si="51"/>
        <v>#REF!</v>
      </c>
      <c r="K374" s="137" t="e">
        <f>IF(VLOOKUP(A374,'Actual Dates'!A4:AE524,26,),'Actual Dates'!#REF!,"")</f>
        <v>#REF!</v>
      </c>
      <c r="L374" s="137" t="e">
        <f>IF(VLOOKUP(A374,'Actual Dates'!A4:AE524,21,),'Actual Dates'!#REF!,"")</f>
        <v>#REF!</v>
      </c>
      <c r="M374" s="137" t="e">
        <f>'Date Calcs'!#REF!</f>
        <v>#REF!</v>
      </c>
      <c r="N374" s="137" t="e">
        <f>IF(VLOOKUP(A374,'Actual Dates'!A4:AE524,27,),'Actual Dates'!#REF!,"")</f>
        <v>#REF!</v>
      </c>
      <c r="O374" s="138" t="e">
        <f t="shared" si="48"/>
        <v>#REF!</v>
      </c>
      <c r="P374" s="139" t="e">
        <f t="shared" si="52"/>
        <v>#REF!</v>
      </c>
      <c r="Q374" s="139" t="e">
        <f t="shared" si="53"/>
        <v>#REF!</v>
      </c>
      <c r="R374" s="170"/>
      <c r="S374" s="170"/>
    </row>
    <row r="375" spans="1:19" x14ac:dyDescent="0.25">
      <c r="A375" s="134" t="e">
        <f>'Date Calcs'!#REF!</f>
        <v>#REF!</v>
      </c>
      <c r="B375" s="135" t="e">
        <f>'Date Calcs'!#REF!</f>
        <v>#REF!</v>
      </c>
      <c r="C375" s="136" t="e">
        <f>'Date Calcs'!#REF!</f>
        <v>#REF!</v>
      </c>
      <c r="D375" s="137" t="e">
        <f t="shared" si="49"/>
        <v>#REF!</v>
      </c>
      <c r="E375" s="143">
        <v>44398</v>
      </c>
      <c r="F375" s="137" t="e">
        <f>'Date Calcs'!#REF!</f>
        <v>#REF!</v>
      </c>
      <c r="G375" s="137" t="e">
        <f>IF(VLOOKUP(A375,'Actual Dates'!A4:AE502,8,),'Actual Dates'!#REF!,"")</f>
        <v>#REF!</v>
      </c>
      <c r="H375" s="137" t="e">
        <f t="shared" si="50"/>
        <v>#REF!</v>
      </c>
      <c r="I375" s="137" t="e">
        <f>IF(VLOOKUP(A375,'Actual Dates'!A4:AE497,25,),'Actual Dates'!#REF!,"")</f>
        <v>#REF!</v>
      </c>
      <c r="J375" s="137" t="e">
        <f t="shared" si="51"/>
        <v>#REF!</v>
      </c>
      <c r="K375" s="137" t="e">
        <f>IF(VLOOKUP(A375,'Actual Dates'!A4:AE525,26,),'Actual Dates'!#REF!,"")</f>
        <v>#REF!</v>
      </c>
      <c r="L375" s="137" t="e">
        <f>IF(VLOOKUP(A375,'Actual Dates'!A4:AE525,21,),'Actual Dates'!#REF!,"")</f>
        <v>#REF!</v>
      </c>
      <c r="M375" s="137" t="e">
        <f>'Date Calcs'!#REF!</f>
        <v>#REF!</v>
      </c>
      <c r="N375" s="137" t="e">
        <f>IF(VLOOKUP(A375,'Actual Dates'!A4:AE525,27,),'Actual Dates'!#REF!,"")</f>
        <v>#REF!</v>
      </c>
      <c r="O375" s="138" t="e">
        <f t="shared" si="48"/>
        <v>#REF!</v>
      </c>
      <c r="P375" s="139" t="e">
        <f t="shared" si="52"/>
        <v>#REF!</v>
      </c>
      <c r="Q375" s="139" t="e">
        <f t="shared" si="53"/>
        <v>#REF!</v>
      </c>
      <c r="R375" s="170"/>
      <c r="S375" s="170"/>
    </row>
    <row r="376" spans="1:19" x14ac:dyDescent="0.25">
      <c r="A376" s="134" t="e">
        <f>'Date Calcs'!#REF!</f>
        <v>#REF!</v>
      </c>
      <c r="B376" s="135" t="e">
        <f>'Date Calcs'!#REF!</f>
        <v>#REF!</v>
      </c>
      <c r="C376" s="136" t="e">
        <f>'Date Calcs'!#REF!</f>
        <v>#REF!</v>
      </c>
      <c r="D376" s="137" t="e">
        <f t="shared" si="49"/>
        <v>#REF!</v>
      </c>
      <c r="E376" s="143">
        <v>44399</v>
      </c>
      <c r="F376" s="137" t="e">
        <f>'Date Calcs'!#REF!</f>
        <v>#REF!</v>
      </c>
      <c r="G376" s="137" t="e">
        <f>IF(VLOOKUP(A376,'Actual Dates'!A4:AE503,8,),'Actual Dates'!#REF!,"")</f>
        <v>#REF!</v>
      </c>
      <c r="H376" s="137" t="e">
        <f t="shared" si="50"/>
        <v>#REF!</v>
      </c>
      <c r="I376" s="137" t="e">
        <f>IF(VLOOKUP(A376,'Actual Dates'!A4:AE498,25,),'Actual Dates'!#REF!,"")</f>
        <v>#REF!</v>
      </c>
      <c r="J376" s="137" t="e">
        <f t="shared" si="51"/>
        <v>#REF!</v>
      </c>
      <c r="K376" s="137" t="e">
        <f>IF(VLOOKUP(A376,'Actual Dates'!A4:AE526,26,),'Actual Dates'!#REF!,"")</f>
        <v>#REF!</v>
      </c>
      <c r="L376" s="137" t="e">
        <f>IF(VLOOKUP(A376,'Actual Dates'!A4:AE526,21,),'Actual Dates'!#REF!,"")</f>
        <v>#REF!</v>
      </c>
      <c r="M376" s="137" t="e">
        <f>'Date Calcs'!#REF!</f>
        <v>#REF!</v>
      </c>
      <c r="N376" s="137" t="e">
        <f>IF(VLOOKUP(A376,'Actual Dates'!A4:AE526,27,),'Actual Dates'!#REF!,"")</f>
        <v>#REF!</v>
      </c>
      <c r="O376" s="138" t="e">
        <f t="shared" si="48"/>
        <v>#REF!</v>
      </c>
      <c r="P376" s="139" t="e">
        <f t="shared" si="52"/>
        <v>#REF!</v>
      </c>
      <c r="Q376" s="139" t="e">
        <f t="shared" si="53"/>
        <v>#REF!</v>
      </c>
      <c r="R376" s="170"/>
      <c r="S376" s="170"/>
    </row>
    <row r="377" spans="1:19" x14ac:dyDescent="0.25">
      <c r="A377" s="134" t="e">
        <f>'Date Calcs'!#REF!</f>
        <v>#REF!</v>
      </c>
      <c r="B377" s="135" t="e">
        <f>'Date Calcs'!#REF!</f>
        <v>#REF!</v>
      </c>
      <c r="C377" s="136" t="e">
        <f>'Date Calcs'!#REF!</f>
        <v>#REF!</v>
      </c>
      <c r="D377" s="137" t="e">
        <f t="shared" si="49"/>
        <v>#REF!</v>
      </c>
      <c r="E377" s="143">
        <v>44400</v>
      </c>
      <c r="F377" s="137" t="e">
        <f>'Date Calcs'!#REF!</f>
        <v>#REF!</v>
      </c>
      <c r="G377" s="137" t="e">
        <f>IF(VLOOKUP(A377,'Actual Dates'!A4:AE504,8,),'Actual Dates'!#REF!,"")</f>
        <v>#REF!</v>
      </c>
      <c r="H377" s="137" t="e">
        <f t="shared" si="50"/>
        <v>#REF!</v>
      </c>
      <c r="I377" s="137" t="e">
        <f>IF(VLOOKUP(A377,'Actual Dates'!A4:AE499,25,),'Actual Dates'!#REF!,"")</f>
        <v>#REF!</v>
      </c>
      <c r="J377" s="137" t="e">
        <f t="shared" si="51"/>
        <v>#REF!</v>
      </c>
      <c r="K377" s="137" t="e">
        <f>IF(VLOOKUP(A377,'Actual Dates'!A4:AE527,26,),'Actual Dates'!#REF!,"")</f>
        <v>#REF!</v>
      </c>
      <c r="L377" s="137" t="e">
        <f>IF(VLOOKUP(A377,'Actual Dates'!A4:AE527,21,),'Actual Dates'!#REF!,"")</f>
        <v>#REF!</v>
      </c>
      <c r="M377" s="137" t="e">
        <f>'Date Calcs'!#REF!</f>
        <v>#REF!</v>
      </c>
      <c r="N377" s="137" t="e">
        <f>IF(VLOOKUP(A377,'Actual Dates'!A4:AE527,27,),'Actual Dates'!#REF!,"")</f>
        <v>#REF!</v>
      </c>
      <c r="O377" s="138" t="e">
        <f t="shared" si="48"/>
        <v>#REF!</v>
      </c>
      <c r="P377" s="139" t="e">
        <f t="shared" si="52"/>
        <v>#REF!</v>
      </c>
      <c r="Q377" s="139" t="e">
        <f t="shared" si="53"/>
        <v>#REF!</v>
      </c>
      <c r="R377" s="170"/>
      <c r="S377" s="170"/>
    </row>
    <row r="378" spans="1:19" x14ac:dyDescent="0.25">
      <c r="A378" s="134" t="e">
        <f>'Date Calcs'!#REF!</f>
        <v>#REF!</v>
      </c>
      <c r="B378" s="135" t="e">
        <f>'Date Calcs'!#REF!</f>
        <v>#REF!</v>
      </c>
      <c r="C378" s="136" t="e">
        <f>'Date Calcs'!#REF!</f>
        <v>#REF!</v>
      </c>
      <c r="D378" s="137" t="e">
        <f t="shared" si="49"/>
        <v>#REF!</v>
      </c>
      <c r="E378" s="143">
        <v>44401</v>
      </c>
      <c r="F378" s="137" t="e">
        <f>'Date Calcs'!#REF!</f>
        <v>#REF!</v>
      </c>
      <c r="G378" s="137" t="e">
        <f>IF(VLOOKUP(A378,'Actual Dates'!A4:AE505,8,),'Actual Dates'!#REF!,"")</f>
        <v>#REF!</v>
      </c>
      <c r="H378" s="137" t="e">
        <f t="shared" si="50"/>
        <v>#REF!</v>
      </c>
      <c r="I378" s="137" t="e">
        <f>IF(VLOOKUP(A378,'Actual Dates'!A4:AE500,25,),'Actual Dates'!#REF!,"")</f>
        <v>#REF!</v>
      </c>
      <c r="J378" s="137" t="e">
        <f t="shared" si="51"/>
        <v>#REF!</v>
      </c>
      <c r="K378" s="137" t="e">
        <f>IF(VLOOKUP(A378,'Actual Dates'!A4:AE528,26,),'Actual Dates'!#REF!,"")</f>
        <v>#REF!</v>
      </c>
      <c r="L378" s="137" t="e">
        <f>IF(VLOOKUP(A378,'Actual Dates'!A4:AE528,21,),'Actual Dates'!#REF!,"")</f>
        <v>#REF!</v>
      </c>
      <c r="M378" s="137" t="e">
        <f>'Date Calcs'!#REF!</f>
        <v>#REF!</v>
      </c>
      <c r="N378" s="137" t="e">
        <f>IF(VLOOKUP(A378,'Actual Dates'!A4:AE528,27,),'Actual Dates'!#REF!,"")</f>
        <v>#REF!</v>
      </c>
      <c r="O378" s="138" t="e">
        <f t="shared" si="48"/>
        <v>#REF!</v>
      </c>
      <c r="P378" s="139" t="e">
        <f t="shared" si="52"/>
        <v>#REF!</v>
      </c>
      <c r="Q378" s="139" t="e">
        <f t="shared" si="53"/>
        <v>#REF!</v>
      </c>
      <c r="R378" s="170"/>
      <c r="S378" s="170"/>
    </row>
    <row r="379" spans="1:19" x14ac:dyDescent="0.25">
      <c r="A379" s="134" t="e">
        <f>'Date Calcs'!#REF!</f>
        <v>#REF!</v>
      </c>
      <c r="B379" s="135" t="e">
        <f>'Date Calcs'!#REF!</f>
        <v>#REF!</v>
      </c>
      <c r="C379" s="136" t="e">
        <f>'Date Calcs'!#REF!</f>
        <v>#REF!</v>
      </c>
      <c r="D379" s="137" t="e">
        <f t="shared" si="49"/>
        <v>#REF!</v>
      </c>
      <c r="E379" s="143">
        <v>44402</v>
      </c>
      <c r="F379" s="137" t="e">
        <f>'Date Calcs'!#REF!</f>
        <v>#REF!</v>
      </c>
      <c r="G379" s="137" t="e">
        <f>IF(VLOOKUP(A379,'Actual Dates'!A4:AE506,8,),'Actual Dates'!#REF!,"")</f>
        <v>#REF!</v>
      </c>
      <c r="H379" s="137" t="e">
        <f t="shared" si="50"/>
        <v>#REF!</v>
      </c>
      <c r="I379" s="137" t="e">
        <f>IF(VLOOKUP(A379,'Actual Dates'!A4:AE501,25,),'Actual Dates'!#REF!,"")</f>
        <v>#REF!</v>
      </c>
      <c r="J379" s="137" t="e">
        <f t="shared" si="51"/>
        <v>#REF!</v>
      </c>
      <c r="K379" s="137" t="e">
        <f>IF(VLOOKUP(A379,'Actual Dates'!A4:AE529,26,),'Actual Dates'!#REF!,"")</f>
        <v>#REF!</v>
      </c>
      <c r="L379" s="137" t="e">
        <f>IF(VLOOKUP(A379,'Actual Dates'!A4:AE529,21,),'Actual Dates'!#REF!,"")</f>
        <v>#REF!</v>
      </c>
      <c r="M379" s="137" t="e">
        <f>'Date Calcs'!#REF!</f>
        <v>#REF!</v>
      </c>
      <c r="N379" s="137" t="e">
        <f>IF(VLOOKUP(A379,'Actual Dates'!A4:AE529,27,),'Actual Dates'!#REF!,"")</f>
        <v>#REF!</v>
      </c>
      <c r="O379" s="138" t="e">
        <f t="shared" si="48"/>
        <v>#REF!</v>
      </c>
      <c r="P379" s="139" t="e">
        <f t="shared" si="52"/>
        <v>#REF!</v>
      </c>
      <c r="Q379" s="139" t="e">
        <f t="shared" si="53"/>
        <v>#REF!</v>
      </c>
      <c r="R379" s="170"/>
      <c r="S379" s="170"/>
    </row>
    <row r="380" spans="1:19" x14ac:dyDescent="0.25">
      <c r="A380" s="134" t="e">
        <f>'Date Calcs'!#REF!</f>
        <v>#REF!</v>
      </c>
      <c r="B380" s="135" t="e">
        <f>'Date Calcs'!#REF!</f>
        <v>#REF!</v>
      </c>
      <c r="C380" s="136" t="e">
        <f>'Date Calcs'!#REF!</f>
        <v>#REF!</v>
      </c>
      <c r="D380" s="137" t="e">
        <f t="shared" si="49"/>
        <v>#REF!</v>
      </c>
      <c r="E380" s="143">
        <v>44403</v>
      </c>
      <c r="F380" s="137" t="e">
        <f>'Date Calcs'!#REF!</f>
        <v>#REF!</v>
      </c>
      <c r="G380" s="137" t="e">
        <f>IF(VLOOKUP(A380,'Actual Dates'!A4:AE507,8,),'Actual Dates'!#REF!,"")</f>
        <v>#REF!</v>
      </c>
      <c r="H380" s="137" t="e">
        <f t="shared" si="50"/>
        <v>#REF!</v>
      </c>
      <c r="I380" s="137" t="e">
        <f>IF(VLOOKUP(A380,'Actual Dates'!A4:AE502,25,),'Actual Dates'!#REF!,"")</f>
        <v>#REF!</v>
      </c>
      <c r="J380" s="137" t="e">
        <f t="shared" si="51"/>
        <v>#REF!</v>
      </c>
      <c r="K380" s="137" t="e">
        <f>IF(VLOOKUP(A380,'Actual Dates'!A4:AE530,26,),'Actual Dates'!#REF!,"")</f>
        <v>#REF!</v>
      </c>
      <c r="L380" s="137" t="e">
        <f>IF(VLOOKUP(A380,'Actual Dates'!A4:AE530,21,),'Actual Dates'!#REF!,"")</f>
        <v>#REF!</v>
      </c>
      <c r="M380" s="137" t="e">
        <f>'Date Calcs'!#REF!</f>
        <v>#REF!</v>
      </c>
      <c r="N380" s="137" t="e">
        <f>IF(VLOOKUP(A380,'Actual Dates'!A4:AE530,27,),'Actual Dates'!#REF!,"")</f>
        <v>#REF!</v>
      </c>
      <c r="O380" s="138" t="e">
        <f t="shared" si="48"/>
        <v>#REF!</v>
      </c>
      <c r="P380" s="139" t="e">
        <f t="shared" si="52"/>
        <v>#REF!</v>
      </c>
      <c r="Q380" s="139" t="e">
        <f t="shared" si="53"/>
        <v>#REF!</v>
      </c>
      <c r="R380" s="170"/>
      <c r="S380" s="170"/>
    </row>
    <row r="381" spans="1:19" x14ac:dyDescent="0.25">
      <c r="A381" s="134" t="e">
        <f>'Date Calcs'!#REF!</f>
        <v>#REF!</v>
      </c>
      <c r="B381" s="135" t="e">
        <f>'Date Calcs'!#REF!</f>
        <v>#REF!</v>
      </c>
      <c r="C381" s="136" t="e">
        <f>'Date Calcs'!#REF!</f>
        <v>#REF!</v>
      </c>
      <c r="D381" s="137" t="e">
        <f t="shared" si="49"/>
        <v>#REF!</v>
      </c>
      <c r="E381" s="143">
        <v>44404</v>
      </c>
      <c r="F381" s="137" t="e">
        <f>'Date Calcs'!#REF!</f>
        <v>#REF!</v>
      </c>
      <c r="G381" s="137" t="e">
        <f>IF(VLOOKUP(A381,'Actual Dates'!A4:AE508,8,),'Actual Dates'!#REF!,"")</f>
        <v>#REF!</v>
      </c>
      <c r="H381" s="137" t="e">
        <f t="shared" si="50"/>
        <v>#REF!</v>
      </c>
      <c r="I381" s="137" t="e">
        <f>IF(VLOOKUP(A381,'Actual Dates'!A4:AE503,25,),'Actual Dates'!#REF!,"")</f>
        <v>#REF!</v>
      </c>
      <c r="J381" s="137" t="e">
        <f t="shared" si="51"/>
        <v>#REF!</v>
      </c>
      <c r="K381" s="137" t="e">
        <f>IF(VLOOKUP(A381,'Actual Dates'!A4:AE531,26,),'Actual Dates'!#REF!,"")</f>
        <v>#REF!</v>
      </c>
      <c r="L381" s="137" t="e">
        <f>IF(VLOOKUP(A381,'Actual Dates'!A4:AE531,21,),'Actual Dates'!#REF!,"")</f>
        <v>#REF!</v>
      </c>
      <c r="M381" s="137" t="e">
        <f>'Date Calcs'!#REF!</f>
        <v>#REF!</v>
      </c>
      <c r="N381" s="137" t="e">
        <f>IF(VLOOKUP(A381,'Actual Dates'!A4:AE531,27,),'Actual Dates'!#REF!,"")</f>
        <v>#REF!</v>
      </c>
      <c r="O381" s="138" t="e">
        <f t="shared" si="48"/>
        <v>#REF!</v>
      </c>
      <c r="P381" s="139" t="e">
        <f t="shared" si="52"/>
        <v>#REF!</v>
      </c>
      <c r="Q381" s="139" t="e">
        <f t="shared" si="53"/>
        <v>#REF!</v>
      </c>
      <c r="R381" s="170"/>
      <c r="S381" s="170"/>
    </row>
    <row r="382" spans="1:19" x14ac:dyDescent="0.25">
      <c r="A382" s="134" t="e">
        <f>'Date Calcs'!#REF!</f>
        <v>#REF!</v>
      </c>
      <c r="B382" s="135" t="e">
        <f>'Date Calcs'!#REF!</f>
        <v>#REF!</v>
      </c>
      <c r="C382" s="136" t="e">
        <f>'Date Calcs'!#REF!</f>
        <v>#REF!</v>
      </c>
      <c r="D382" s="137" t="e">
        <f t="shared" si="49"/>
        <v>#REF!</v>
      </c>
      <c r="E382" s="143">
        <v>44405</v>
      </c>
      <c r="F382" s="137" t="e">
        <f>'Date Calcs'!#REF!</f>
        <v>#REF!</v>
      </c>
      <c r="G382" s="137" t="e">
        <f>IF(VLOOKUP(A382,'Actual Dates'!A4:AE509,8,),'Actual Dates'!#REF!,"")</f>
        <v>#REF!</v>
      </c>
      <c r="H382" s="137" t="e">
        <f t="shared" si="50"/>
        <v>#REF!</v>
      </c>
      <c r="I382" s="137" t="e">
        <f>IF(VLOOKUP(A382,'Actual Dates'!A4:AE504,25,),'Actual Dates'!#REF!,"")</f>
        <v>#REF!</v>
      </c>
      <c r="J382" s="137" t="e">
        <f t="shared" si="51"/>
        <v>#REF!</v>
      </c>
      <c r="K382" s="137" t="e">
        <f>IF(VLOOKUP(A382,'Actual Dates'!A4:AE532,26,),'Actual Dates'!#REF!,"")</f>
        <v>#REF!</v>
      </c>
      <c r="L382" s="137" t="e">
        <f>IF(VLOOKUP(A382,'Actual Dates'!A4:AE532,21,),'Actual Dates'!#REF!,"")</f>
        <v>#REF!</v>
      </c>
      <c r="M382" s="137" t="e">
        <f>'Date Calcs'!#REF!</f>
        <v>#REF!</v>
      </c>
      <c r="N382" s="137" t="e">
        <f>IF(VLOOKUP(A382,'Actual Dates'!A4:AE532,27,),'Actual Dates'!#REF!,"")</f>
        <v>#REF!</v>
      </c>
      <c r="O382" s="138" t="e">
        <f t="shared" si="48"/>
        <v>#REF!</v>
      </c>
      <c r="P382" s="139" t="e">
        <f t="shared" si="52"/>
        <v>#REF!</v>
      </c>
      <c r="Q382" s="139" t="e">
        <f t="shared" si="53"/>
        <v>#REF!</v>
      </c>
      <c r="R382" s="170"/>
      <c r="S382" s="170"/>
    </row>
    <row r="383" spans="1:19" x14ac:dyDescent="0.25">
      <c r="A383" s="134" t="e">
        <f>'Date Calcs'!#REF!</f>
        <v>#REF!</v>
      </c>
      <c r="B383" s="135" t="e">
        <f>'Date Calcs'!#REF!</f>
        <v>#REF!</v>
      </c>
      <c r="C383" s="136" t="e">
        <f>'Date Calcs'!#REF!</f>
        <v>#REF!</v>
      </c>
      <c r="D383" s="137" t="e">
        <f t="shared" si="49"/>
        <v>#REF!</v>
      </c>
      <c r="E383" s="143">
        <v>44406</v>
      </c>
      <c r="F383" s="137" t="e">
        <f>'Date Calcs'!#REF!</f>
        <v>#REF!</v>
      </c>
      <c r="G383" s="137" t="e">
        <f>IF(VLOOKUP(A383,'Actual Dates'!A4:AE510,8,),'Actual Dates'!#REF!,"")</f>
        <v>#REF!</v>
      </c>
      <c r="H383" s="137" t="e">
        <f t="shared" si="50"/>
        <v>#REF!</v>
      </c>
      <c r="I383" s="137" t="e">
        <f>IF(VLOOKUP(A383,'Actual Dates'!A4:AE505,25,),'Actual Dates'!#REF!,"")</f>
        <v>#REF!</v>
      </c>
      <c r="J383" s="137" t="e">
        <f t="shared" si="51"/>
        <v>#REF!</v>
      </c>
      <c r="K383" s="137" t="e">
        <f>IF(VLOOKUP(A383,'Actual Dates'!A4:AE533,26,),'Actual Dates'!#REF!,"")</f>
        <v>#REF!</v>
      </c>
      <c r="L383" s="137" t="e">
        <f>IF(VLOOKUP(A383,'Actual Dates'!A4:AE533,21,),'Actual Dates'!#REF!,"")</f>
        <v>#REF!</v>
      </c>
      <c r="M383" s="137" t="e">
        <f>'Date Calcs'!#REF!</f>
        <v>#REF!</v>
      </c>
      <c r="N383" s="137" t="e">
        <f>IF(VLOOKUP(A383,'Actual Dates'!A4:AE533,27,),'Actual Dates'!#REF!,"")</f>
        <v>#REF!</v>
      </c>
      <c r="O383" s="138" t="e">
        <f t="shared" si="48"/>
        <v>#REF!</v>
      </c>
      <c r="P383" s="139" t="e">
        <f t="shared" si="52"/>
        <v>#REF!</v>
      </c>
      <c r="Q383" s="139" t="e">
        <f t="shared" si="53"/>
        <v>#REF!</v>
      </c>
      <c r="R383" s="170"/>
      <c r="S383" s="170"/>
    </row>
    <row r="384" spans="1:19" x14ac:dyDescent="0.25">
      <c r="A384" s="134" t="e">
        <f>'Date Calcs'!#REF!</f>
        <v>#REF!</v>
      </c>
      <c r="B384" s="135" t="e">
        <f>'Date Calcs'!#REF!</f>
        <v>#REF!</v>
      </c>
      <c r="C384" s="136" t="e">
        <f>'Date Calcs'!#REF!</f>
        <v>#REF!</v>
      </c>
      <c r="D384" s="137" t="e">
        <f t="shared" si="49"/>
        <v>#REF!</v>
      </c>
      <c r="E384" s="143">
        <v>44407</v>
      </c>
      <c r="F384" s="137" t="e">
        <f>'Date Calcs'!#REF!</f>
        <v>#REF!</v>
      </c>
      <c r="G384" s="137" t="e">
        <f>IF(VLOOKUP(A384,'Actual Dates'!A4:AE511,8,),'Actual Dates'!#REF!,"")</f>
        <v>#REF!</v>
      </c>
      <c r="H384" s="137" t="e">
        <f t="shared" si="50"/>
        <v>#REF!</v>
      </c>
      <c r="I384" s="137" t="e">
        <f>IF(VLOOKUP(A384,'Actual Dates'!A4:AE506,25,),'Actual Dates'!#REF!,"")</f>
        <v>#REF!</v>
      </c>
      <c r="J384" s="137" t="e">
        <f t="shared" si="51"/>
        <v>#REF!</v>
      </c>
      <c r="K384" s="137" t="e">
        <f>IF(VLOOKUP(A384,'Actual Dates'!A4:AE534,26,),'Actual Dates'!#REF!,"")</f>
        <v>#REF!</v>
      </c>
      <c r="L384" s="137" t="e">
        <f>IF(VLOOKUP(A384,'Actual Dates'!A4:AE534,21,),'Actual Dates'!#REF!,"")</f>
        <v>#REF!</v>
      </c>
      <c r="M384" s="137" t="e">
        <f>'Date Calcs'!#REF!</f>
        <v>#REF!</v>
      </c>
      <c r="N384" s="137" t="e">
        <f>IF(VLOOKUP(A384,'Actual Dates'!A4:AE534,27,),'Actual Dates'!#REF!,"")</f>
        <v>#REF!</v>
      </c>
      <c r="O384" s="138" t="e">
        <f t="shared" si="48"/>
        <v>#REF!</v>
      </c>
      <c r="P384" s="139" t="e">
        <f t="shared" si="52"/>
        <v>#REF!</v>
      </c>
      <c r="Q384" s="139" t="e">
        <f t="shared" si="53"/>
        <v>#REF!</v>
      </c>
      <c r="R384" s="170"/>
      <c r="S384" s="170"/>
    </row>
    <row r="385" spans="1:19" x14ac:dyDescent="0.25">
      <c r="A385" s="134" t="e">
        <f>'Date Calcs'!#REF!</f>
        <v>#REF!</v>
      </c>
      <c r="B385" s="135" t="e">
        <f>'Date Calcs'!#REF!</f>
        <v>#REF!</v>
      </c>
      <c r="C385" s="136" t="e">
        <f>'Date Calcs'!#REF!</f>
        <v>#REF!</v>
      </c>
      <c r="D385" s="137" t="e">
        <f t="shared" si="49"/>
        <v>#REF!</v>
      </c>
      <c r="E385" s="143">
        <v>44408</v>
      </c>
      <c r="F385" s="137" t="e">
        <f>'Date Calcs'!#REF!</f>
        <v>#REF!</v>
      </c>
      <c r="G385" s="137" t="e">
        <f>IF(VLOOKUP(A385,'Actual Dates'!A4:AE512,8,),'Actual Dates'!#REF!,"")</f>
        <v>#REF!</v>
      </c>
      <c r="H385" s="137" t="e">
        <f t="shared" si="50"/>
        <v>#REF!</v>
      </c>
      <c r="I385" s="137" t="e">
        <f>IF(VLOOKUP(A385,'Actual Dates'!A4:AE507,25,),'Actual Dates'!#REF!,"")</f>
        <v>#REF!</v>
      </c>
      <c r="J385" s="137" t="e">
        <f t="shared" si="51"/>
        <v>#REF!</v>
      </c>
      <c r="K385" s="137" t="e">
        <f>IF(VLOOKUP(A385,'Actual Dates'!A4:AE535,26,),'Actual Dates'!#REF!,"")</f>
        <v>#REF!</v>
      </c>
      <c r="L385" s="137" t="e">
        <f>IF(VLOOKUP(A385,'Actual Dates'!A4:AE535,21,),'Actual Dates'!#REF!,"")</f>
        <v>#REF!</v>
      </c>
      <c r="M385" s="137" t="e">
        <f>'Date Calcs'!#REF!</f>
        <v>#REF!</v>
      </c>
      <c r="N385" s="137" t="e">
        <f>IF(VLOOKUP(A385,'Actual Dates'!A4:AE535,27,),'Actual Dates'!#REF!,"")</f>
        <v>#REF!</v>
      </c>
      <c r="O385" s="138" t="e">
        <f t="shared" si="48"/>
        <v>#REF!</v>
      </c>
      <c r="P385" s="139" t="e">
        <f t="shared" si="52"/>
        <v>#REF!</v>
      </c>
      <c r="Q385" s="139" t="e">
        <f t="shared" si="53"/>
        <v>#REF!</v>
      </c>
      <c r="R385" s="170"/>
      <c r="S385" s="170"/>
    </row>
    <row r="386" spans="1:19" x14ac:dyDescent="0.25">
      <c r="A386" s="134" t="e">
        <f>'Date Calcs'!#REF!</f>
        <v>#REF!</v>
      </c>
      <c r="B386" s="135" t="e">
        <f>'Date Calcs'!#REF!</f>
        <v>#REF!</v>
      </c>
      <c r="C386" s="136" t="e">
        <f>'Date Calcs'!#REF!</f>
        <v>#REF!</v>
      </c>
      <c r="D386" s="137" t="e">
        <f t="shared" si="49"/>
        <v>#REF!</v>
      </c>
      <c r="E386" s="143">
        <v>44409</v>
      </c>
      <c r="F386" s="137" t="e">
        <f>'Date Calcs'!#REF!</f>
        <v>#REF!</v>
      </c>
      <c r="G386" s="137" t="e">
        <f>IF(VLOOKUP(A386,'Actual Dates'!A4:AE513,8,),'Actual Dates'!#REF!,"")</f>
        <v>#REF!</v>
      </c>
      <c r="H386" s="137" t="e">
        <f t="shared" si="50"/>
        <v>#REF!</v>
      </c>
      <c r="I386" s="137" t="e">
        <f>IF(VLOOKUP(A386,'Actual Dates'!A4:AE508,25,),'Actual Dates'!#REF!,"")</f>
        <v>#REF!</v>
      </c>
      <c r="J386" s="137" t="e">
        <f t="shared" si="51"/>
        <v>#REF!</v>
      </c>
      <c r="K386" s="137" t="e">
        <f>IF(VLOOKUP(A386,'Actual Dates'!A4:AE536,26,),'Actual Dates'!#REF!,"")</f>
        <v>#REF!</v>
      </c>
      <c r="L386" s="137" t="e">
        <f>IF(VLOOKUP(A386,'Actual Dates'!A4:AE536,21,),'Actual Dates'!#REF!,"")</f>
        <v>#REF!</v>
      </c>
      <c r="M386" s="137" t="e">
        <f>'Date Calcs'!#REF!</f>
        <v>#REF!</v>
      </c>
      <c r="N386" s="137" t="e">
        <f>IF(VLOOKUP(A386,'Actual Dates'!A4:AE536,27,),'Actual Dates'!#REF!,"")</f>
        <v>#REF!</v>
      </c>
      <c r="O386" s="138" t="e">
        <f t="shared" si="48"/>
        <v>#REF!</v>
      </c>
      <c r="P386" s="139" t="e">
        <f t="shared" si="52"/>
        <v>#REF!</v>
      </c>
      <c r="Q386" s="139" t="e">
        <f t="shared" si="53"/>
        <v>#REF!</v>
      </c>
      <c r="R386" s="170"/>
      <c r="S386" s="170"/>
    </row>
    <row r="387" spans="1:19" x14ac:dyDescent="0.25">
      <c r="A387" s="134" t="e">
        <f>'Date Calcs'!#REF!</f>
        <v>#REF!</v>
      </c>
      <c r="B387" s="135" t="e">
        <f>'Date Calcs'!#REF!</f>
        <v>#REF!</v>
      </c>
      <c r="C387" s="136" t="e">
        <f>'Date Calcs'!#REF!</f>
        <v>#REF!</v>
      </c>
      <c r="D387" s="137" t="e">
        <f t="shared" si="49"/>
        <v>#REF!</v>
      </c>
      <c r="E387" s="143">
        <v>44410</v>
      </c>
      <c r="F387" s="137" t="e">
        <f>'Date Calcs'!#REF!</f>
        <v>#REF!</v>
      </c>
      <c r="G387" s="137" t="e">
        <f>IF(VLOOKUP(A387,'Actual Dates'!A4:AE514,8,),'Actual Dates'!#REF!,"")</f>
        <v>#REF!</v>
      </c>
      <c r="H387" s="137" t="e">
        <f t="shared" si="50"/>
        <v>#REF!</v>
      </c>
      <c r="I387" s="137" t="e">
        <f>IF(VLOOKUP(A387,'Actual Dates'!A4:AE509,25,),'Actual Dates'!#REF!,"")</f>
        <v>#REF!</v>
      </c>
      <c r="J387" s="137" t="e">
        <f t="shared" si="51"/>
        <v>#REF!</v>
      </c>
      <c r="K387" s="137" t="e">
        <f>IF(VLOOKUP(A387,'Actual Dates'!A4:AE537,26,),'Actual Dates'!#REF!,"")</f>
        <v>#REF!</v>
      </c>
      <c r="L387" s="137" t="e">
        <f>IF(VLOOKUP(A387,'Actual Dates'!A4:AE537,21,),'Actual Dates'!#REF!,"")</f>
        <v>#REF!</v>
      </c>
      <c r="M387" s="137" t="e">
        <f>'Date Calcs'!#REF!</f>
        <v>#REF!</v>
      </c>
      <c r="N387" s="137" t="e">
        <f>IF(VLOOKUP(A387,'Actual Dates'!A4:AE537,27,),'Actual Dates'!#REF!,"")</f>
        <v>#REF!</v>
      </c>
      <c r="O387" s="138" t="e">
        <f t="shared" si="48"/>
        <v>#REF!</v>
      </c>
      <c r="P387" s="139" t="e">
        <f t="shared" si="52"/>
        <v>#REF!</v>
      </c>
      <c r="Q387" s="139" t="e">
        <f t="shared" si="53"/>
        <v>#REF!</v>
      </c>
      <c r="R387" s="170"/>
      <c r="S387" s="170"/>
    </row>
    <row r="388" spans="1:19" x14ac:dyDescent="0.25">
      <c r="A388" s="134" t="e">
        <f>'Date Calcs'!#REF!</f>
        <v>#REF!</v>
      </c>
      <c r="B388" s="135" t="e">
        <f>'Date Calcs'!#REF!</f>
        <v>#REF!</v>
      </c>
      <c r="C388" s="136" t="e">
        <f>'Date Calcs'!#REF!</f>
        <v>#REF!</v>
      </c>
      <c r="D388" s="137" t="e">
        <f t="shared" si="49"/>
        <v>#REF!</v>
      </c>
      <c r="E388" s="143">
        <v>44411</v>
      </c>
      <c r="F388" s="137" t="e">
        <f>'Date Calcs'!#REF!</f>
        <v>#REF!</v>
      </c>
      <c r="G388" s="137" t="e">
        <f>IF(VLOOKUP(A388,'Actual Dates'!A4:AE515,8,),'Actual Dates'!#REF!,"")</f>
        <v>#REF!</v>
      </c>
      <c r="H388" s="137" t="e">
        <f t="shared" si="50"/>
        <v>#REF!</v>
      </c>
      <c r="I388" s="137" t="e">
        <f>IF(VLOOKUP(A388,'Actual Dates'!A4:AE510,25,),'Actual Dates'!#REF!,"")</f>
        <v>#REF!</v>
      </c>
      <c r="J388" s="137" t="e">
        <f t="shared" si="51"/>
        <v>#REF!</v>
      </c>
      <c r="K388" s="137" t="e">
        <f>IF(VLOOKUP(A388,'Actual Dates'!A4:AE538,26,),'Actual Dates'!#REF!,"")</f>
        <v>#REF!</v>
      </c>
      <c r="L388" s="137" t="e">
        <f>IF(VLOOKUP(A388,'Actual Dates'!A4:AE538,21,),'Actual Dates'!#REF!,"")</f>
        <v>#REF!</v>
      </c>
      <c r="M388" s="137" t="e">
        <f>'Date Calcs'!#REF!</f>
        <v>#REF!</v>
      </c>
      <c r="N388" s="137" t="e">
        <f>IF(VLOOKUP(A388,'Actual Dates'!A4:AE538,27,),'Actual Dates'!#REF!,"")</f>
        <v>#REF!</v>
      </c>
      <c r="O388" s="138" t="e">
        <f t="shared" si="48"/>
        <v>#REF!</v>
      </c>
      <c r="P388" s="139" t="e">
        <f t="shared" si="52"/>
        <v>#REF!</v>
      </c>
      <c r="Q388" s="139" t="e">
        <f t="shared" si="53"/>
        <v>#REF!</v>
      </c>
      <c r="R388" s="170"/>
      <c r="S388" s="170"/>
    </row>
    <row r="389" spans="1:19" x14ac:dyDescent="0.25">
      <c r="A389" s="134" t="e">
        <f>'Date Calcs'!#REF!</f>
        <v>#REF!</v>
      </c>
      <c r="B389" s="135" t="e">
        <f>'Date Calcs'!#REF!</f>
        <v>#REF!</v>
      </c>
      <c r="C389" s="136" t="e">
        <f>'Date Calcs'!#REF!</f>
        <v>#REF!</v>
      </c>
      <c r="D389" s="137" t="e">
        <f t="shared" si="49"/>
        <v>#REF!</v>
      </c>
      <c r="E389" s="143">
        <v>44412</v>
      </c>
      <c r="F389" s="137" t="e">
        <f>'Date Calcs'!#REF!</f>
        <v>#REF!</v>
      </c>
      <c r="G389" s="137" t="e">
        <f>IF(VLOOKUP(A389,'Actual Dates'!A4:AE516,8,),'Actual Dates'!#REF!,"")</f>
        <v>#REF!</v>
      </c>
      <c r="H389" s="137" t="e">
        <f t="shared" si="50"/>
        <v>#REF!</v>
      </c>
      <c r="I389" s="137" t="e">
        <f>IF(VLOOKUP(A389,'Actual Dates'!A4:AE511,25,),'Actual Dates'!#REF!,"")</f>
        <v>#REF!</v>
      </c>
      <c r="J389" s="137" t="e">
        <f t="shared" si="51"/>
        <v>#REF!</v>
      </c>
      <c r="K389" s="137" t="e">
        <f>IF(VLOOKUP(A389,'Actual Dates'!A4:AE539,26,),'Actual Dates'!#REF!,"")</f>
        <v>#REF!</v>
      </c>
      <c r="L389" s="137" t="e">
        <f>IF(VLOOKUP(A389,'Actual Dates'!A4:AE539,21,),'Actual Dates'!#REF!,"")</f>
        <v>#REF!</v>
      </c>
      <c r="M389" s="137" t="e">
        <f>'Date Calcs'!#REF!</f>
        <v>#REF!</v>
      </c>
      <c r="N389" s="137" t="e">
        <f>IF(VLOOKUP(A389,'Actual Dates'!A4:AE539,27,),'Actual Dates'!#REF!,"")</f>
        <v>#REF!</v>
      </c>
      <c r="O389" s="138" t="e">
        <f t="shared" si="48"/>
        <v>#REF!</v>
      </c>
      <c r="P389" s="139" t="e">
        <f t="shared" si="52"/>
        <v>#REF!</v>
      </c>
      <c r="Q389" s="139" t="e">
        <f t="shared" si="53"/>
        <v>#REF!</v>
      </c>
      <c r="R389" s="170"/>
      <c r="S389" s="170"/>
    </row>
    <row r="390" spans="1:19" x14ac:dyDescent="0.25">
      <c r="A390" s="134" t="e">
        <f>'Date Calcs'!#REF!</f>
        <v>#REF!</v>
      </c>
      <c r="B390" s="135" t="e">
        <f>'Date Calcs'!#REF!</f>
        <v>#REF!</v>
      </c>
      <c r="C390" s="136" t="e">
        <f>'Date Calcs'!#REF!</f>
        <v>#REF!</v>
      </c>
      <c r="D390" s="137" t="e">
        <f t="shared" si="49"/>
        <v>#REF!</v>
      </c>
      <c r="E390" s="143">
        <v>44413</v>
      </c>
      <c r="F390" s="137" t="e">
        <f>'Date Calcs'!#REF!</f>
        <v>#REF!</v>
      </c>
      <c r="G390" s="137" t="e">
        <f>IF(VLOOKUP(A390,'Actual Dates'!A4:AE517,8,),'Actual Dates'!#REF!,"")</f>
        <v>#REF!</v>
      </c>
      <c r="H390" s="137" t="e">
        <f t="shared" si="50"/>
        <v>#REF!</v>
      </c>
      <c r="I390" s="137" t="e">
        <f>IF(VLOOKUP(A390,'Actual Dates'!A4:AE512,25,),'Actual Dates'!#REF!,"")</f>
        <v>#REF!</v>
      </c>
      <c r="J390" s="137" t="e">
        <f t="shared" si="51"/>
        <v>#REF!</v>
      </c>
      <c r="K390" s="137" t="e">
        <f>IF(VLOOKUP(A390,'Actual Dates'!A4:AE540,26,),'Actual Dates'!#REF!,"")</f>
        <v>#REF!</v>
      </c>
      <c r="L390" s="137" t="e">
        <f>IF(VLOOKUP(A390,'Actual Dates'!A4:AE540,21,),'Actual Dates'!#REF!,"")</f>
        <v>#REF!</v>
      </c>
      <c r="M390" s="137" t="e">
        <f>'Date Calcs'!#REF!</f>
        <v>#REF!</v>
      </c>
      <c r="N390" s="137" t="e">
        <f>IF(VLOOKUP(A390,'Actual Dates'!A4:AE540,27,),'Actual Dates'!#REF!,"")</f>
        <v>#REF!</v>
      </c>
      <c r="O390" s="138" t="e">
        <f t="shared" si="48"/>
        <v>#REF!</v>
      </c>
      <c r="P390" s="139" t="e">
        <f t="shared" si="52"/>
        <v>#REF!</v>
      </c>
      <c r="Q390" s="139" t="e">
        <f t="shared" si="53"/>
        <v>#REF!</v>
      </c>
      <c r="R390" s="170"/>
      <c r="S390" s="170"/>
    </row>
    <row r="391" spans="1:19" x14ac:dyDescent="0.25">
      <c r="A391" s="134" t="e">
        <f>'Date Calcs'!#REF!</f>
        <v>#REF!</v>
      </c>
      <c r="B391" s="135" t="e">
        <f>'Date Calcs'!#REF!</f>
        <v>#REF!</v>
      </c>
      <c r="C391" s="136" t="e">
        <f>'Date Calcs'!#REF!</f>
        <v>#REF!</v>
      </c>
      <c r="D391" s="137" t="e">
        <f t="shared" si="49"/>
        <v>#REF!</v>
      </c>
      <c r="E391" s="143">
        <v>44414</v>
      </c>
      <c r="F391" s="137" t="e">
        <f>'Date Calcs'!#REF!</f>
        <v>#REF!</v>
      </c>
      <c r="G391" s="137" t="e">
        <f>IF(VLOOKUP(A391,'Actual Dates'!A4:AE518,8,),'Actual Dates'!#REF!,"")</f>
        <v>#REF!</v>
      </c>
      <c r="H391" s="137" t="e">
        <f t="shared" si="50"/>
        <v>#REF!</v>
      </c>
      <c r="I391" s="137" t="e">
        <f>IF(VLOOKUP(A391,'Actual Dates'!A4:AE513,25,),'Actual Dates'!#REF!,"")</f>
        <v>#REF!</v>
      </c>
      <c r="J391" s="137" t="e">
        <f t="shared" si="51"/>
        <v>#REF!</v>
      </c>
      <c r="K391" s="137" t="e">
        <f>IF(VLOOKUP(A391,'Actual Dates'!A4:AE541,26,),'Actual Dates'!#REF!,"")</f>
        <v>#REF!</v>
      </c>
      <c r="L391" s="137" t="e">
        <f>IF(VLOOKUP(A391,'Actual Dates'!A4:AE541,21,),'Actual Dates'!#REF!,"")</f>
        <v>#REF!</v>
      </c>
      <c r="M391" s="137" t="e">
        <f>'Date Calcs'!#REF!</f>
        <v>#REF!</v>
      </c>
      <c r="N391" s="137" t="e">
        <f>IF(VLOOKUP(A391,'Actual Dates'!A4:AE541,27,),'Actual Dates'!#REF!,"")</f>
        <v>#REF!</v>
      </c>
      <c r="O391" s="138" t="e">
        <f t="shared" si="48"/>
        <v>#REF!</v>
      </c>
      <c r="P391" s="139" t="e">
        <f t="shared" si="52"/>
        <v>#REF!</v>
      </c>
      <c r="Q391" s="139" t="e">
        <f t="shared" si="53"/>
        <v>#REF!</v>
      </c>
      <c r="R391" s="170"/>
      <c r="S391" s="170"/>
    </row>
    <row r="392" spans="1:19" x14ac:dyDescent="0.25">
      <c r="A392" s="134" t="e">
        <f>'Date Calcs'!#REF!</f>
        <v>#REF!</v>
      </c>
      <c r="B392" s="135" t="e">
        <f>'Date Calcs'!#REF!</f>
        <v>#REF!</v>
      </c>
      <c r="C392" s="136" t="e">
        <f>'Date Calcs'!#REF!</f>
        <v>#REF!</v>
      </c>
      <c r="D392" s="137" t="e">
        <f t="shared" si="49"/>
        <v>#REF!</v>
      </c>
      <c r="E392" s="143">
        <v>44415</v>
      </c>
      <c r="F392" s="137" t="e">
        <f>'Date Calcs'!#REF!</f>
        <v>#REF!</v>
      </c>
      <c r="G392" s="137" t="e">
        <f>IF(VLOOKUP(A392,'Actual Dates'!A4:AE519,8,),'Actual Dates'!#REF!,"")</f>
        <v>#REF!</v>
      </c>
      <c r="H392" s="137" t="e">
        <f t="shared" si="50"/>
        <v>#REF!</v>
      </c>
      <c r="I392" s="137" t="e">
        <f>IF(VLOOKUP(A392,'Actual Dates'!A4:AE514,25,),'Actual Dates'!#REF!,"")</f>
        <v>#REF!</v>
      </c>
      <c r="J392" s="137" t="e">
        <f t="shared" si="51"/>
        <v>#REF!</v>
      </c>
      <c r="K392" s="137" t="e">
        <f>IF(VLOOKUP(A392,'Actual Dates'!A4:AE542,26,),'Actual Dates'!#REF!,"")</f>
        <v>#REF!</v>
      </c>
      <c r="L392" s="137" t="e">
        <f>IF(VLOOKUP(A392,'Actual Dates'!A4:AE542,21,),'Actual Dates'!#REF!,"")</f>
        <v>#REF!</v>
      </c>
      <c r="M392" s="137" t="e">
        <f>'Date Calcs'!#REF!</f>
        <v>#REF!</v>
      </c>
      <c r="N392" s="137" t="e">
        <f>IF(VLOOKUP(A392,'Actual Dates'!A4:AE542,27,),'Actual Dates'!#REF!,"")</f>
        <v>#REF!</v>
      </c>
      <c r="O392" s="138" t="e">
        <f t="shared" si="48"/>
        <v>#REF!</v>
      </c>
      <c r="P392" s="139" t="e">
        <f t="shared" si="52"/>
        <v>#REF!</v>
      </c>
      <c r="Q392" s="139" t="e">
        <f t="shared" si="53"/>
        <v>#REF!</v>
      </c>
      <c r="R392" s="170"/>
      <c r="S392" s="170"/>
    </row>
    <row r="393" spans="1:19" x14ac:dyDescent="0.25">
      <c r="A393" s="134" t="e">
        <f>'Date Calcs'!#REF!</f>
        <v>#REF!</v>
      </c>
      <c r="B393" s="135" t="e">
        <f>'Date Calcs'!#REF!</f>
        <v>#REF!</v>
      </c>
      <c r="C393" s="136" t="e">
        <f>'Date Calcs'!#REF!</f>
        <v>#REF!</v>
      </c>
      <c r="D393" s="137" t="e">
        <f t="shared" si="49"/>
        <v>#REF!</v>
      </c>
      <c r="E393" s="143">
        <v>44416</v>
      </c>
      <c r="F393" s="137" t="e">
        <f>'Date Calcs'!#REF!</f>
        <v>#REF!</v>
      </c>
      <c r="G393" s="137" t="e">
        <f>IF(VLOOKUP(A393,'Actual Dates'!A4:AE520,8,),'Actual Dates'!#REF!,"")</f>
        <v>#REF!</v>
      </c>
      <c r="H393" s="137" t="e">
        <f t="shared" si="50"/>
        <v>#REF!</v>
      </c>
      <c r="I393" s="137" t="e">
        <f>IF(VLOOKUP(A393,'Actual Dates'!A4:AE515,25,),'Actual Dates'!#REF!,"")</f>
        <v>#REF!</v>
      </c>
      <c r="J393" s="137" t="e">
        <f t="shared" si="51"/>
        <v>#REF!</v>
      </c>
      <c r="K393" s="137" t="e">
        <f>IF(VLOOKUP(A393,'Actual Dates'!A4:AE543,26,),'Actual Dates'!#REF!,"")</f>
        <v>#REF!</v>
      </c>
      <c r="L393" s="137" t="e">
        <f>IF(VLOOKUP(A393,'Actual Dates'!A4:AE543,21,),'Actual Dates'!#REF!,"")</f>
        <v>#REF!</v>
      </c>
      <c r="M393" s="137" t="e">
        <f>'Date Calcs'!#REF!</f>
        <v>#REF!</v>
      </c>
      <c r="N393" s="137" t="e">
        <f>IF(VLOOKUP(A393,'Actual Dates'!A4:AE543,27,),'Actual Dates'!#REF!,"")</f>
        <v>#REF!</v>
      </c>
      <c r="O393" s="138" t="e">
        <f t="shared" si="48"/>
        <v>#REF!</v>
      </c>
      <c r="P393" s="139" t="e">
        <f t="shared" si="52"/>
        <v>#REF!</v>
      </c>
      <c r="Q393" s="139" t="e">
        <f t="shared" si="53"/>
        <v>#REF!</v>
      </c>
      <c r="R393" s="170"/>
      <c r="S393" s="170"/>
    </row>
    <row r="394" spans="1:19" x14ac:dyDescent="0.25">
      <c r="A394" s="134" t="e">
        <f>'Date Calcs'!#REF!</f>
        <v>#REF!</v>
      </c>
      <c r="B394" s="135" t="e">
        <f>'Date Calcs'!#REF!</f>
        <v>#REF!</v>
      </c>
      <c r="C394" s="136" t="e">
        <f>'Date Calcs'!#REF!</f>
        <v>#REF!</v>
      </c>
      <c r="D394" s="137" t="e">
        <f t="shared" si="49"/>
        <v>#REF!</v>
      </c>
      <c r="E394" s="143">
        <v>44417</v>
      </c>
      <c r="F394" s="137" t="e">
        <f>'Date Calcs'!#REF!</f>
        <v>#REF!</v>
      </c>
      <c r="G394" s="137" t="e">
        <f>IF(VLOOKUP(A394,'Actual Dates'!A4:AE521,8,),'Actual Dates'!#REF!,"")</f>
        <v>#REF!</v>
      </c>
      <c r="H394" s="137" t="e">
        <f t="shared" si="50"/>
        <v>#REF!</v>
      </c>
      <c r="I394" s="137" t="e">
        <f>IF(VLOOKUP(A394,'Actual Dates'!A4:AE516,25,),'Actual Dates'!#REF!,"")</f>
        <v>#REF!</v>
      </c>
      <c r="J394" s="137" t="e">
        <f t="shared" si="51"/>
        <v>#REF!</v>
      </c>
      <c r="K394" s="137" t="e">
        <f>IF(VLOOKUP(A394,'Actual Dates'!A4:AE544,26,),'Actual Dates'!#REF!,"")</f>
        <v>#REF!</v>
      </c>
      <c r="L394" s="137" t="e">
        <f>IF(VLOOKUP(A394,'Actual Dates'!A4:AE544,21,),'Actual Dates'!#REF!,"")</f>
        <v>#REF!</v>
      </c>
      <c r="M394" s="137" t="e">
        <f>'Date Calcs'!#REF!</f>
        <v>#REF!</v>
      </c>
      <c r="N394" s="137" t="e">
        <f>IF(VLOOKUP(A394,'Actual Dates'!A4:AE544,27,),'Actual Dates'!#REF!,"")</f>
        <v>#REF!</v>
      </c>
      <c r="O394" s="138" t="e">
        <f t="shared" si="48"/>
        <v>#REF!</v>
      </c>
      <c r="P394" s="139" t="e">
        <f t="shared" si="52"/>
        <v>#REF!</v>
      </c>
      <c r="Q394" s="139" t="e">
        <f t="shared" si="53"/>
        <v>#REF!</v>
      </c>
      <c r="R394" s="170"/>
      <c r="S394" s="170"/>
    </row>
    <row r="395" spans="1:19" x14ac:dyDescent="0.25">
      <c r="A395" s="134" t="e">
        <f>'Date Calcs'!#REF!</f>
        <v>#REF!</v>
      </c>
      <c r="B395" s="135" t="e">
        <f>'Date Calcs'!#REF!</f>
        <v>#REF!</v>
      </c>
      <c r="C395" s="136" t="e">
        <f>'Date Calcs'!#REF!</f>
        <v>#REF!</v>
      </c>
      <c r="D395" s="137" t="e">
        <f t="shared" si="49"/>
        <v>#REF!</v>
      </c>
      <c r="E395" s="143">
        <v>44418</v>
      </c>
      <c r="F395" s="137" t="e">
        <f>'Date Calcs'!#REF!</f>
        <v>#REF!</v>
      </c>
      <c r="G395" s="137" t="e">
        <f>IF(VLOOKUP(A395,'Actual Dates'!A4:AE522,8,),'Actual Dates'!#REF!,"")</f>
        <v>#REF!</v>
      </c>
      <c r="H395" s="137" t="e">
        <f t="shared" si="50"/>
        <v>#REF!</v>
      </c>
      <c r="I395" s="137" t="e">
        <f>IF(VLOOKUP(A395,'Actual Dates'!A4:AE517,25,),'Actual Dates'!#REF!,"")</f>
        <v>#REF!</v>
      </c>
      <c r="J395" s="137" t="e">
        <f t="shared" si="51"/>
        <v>#REF!</v>
      </c>
      <c r="K395" s="137" t="e">
        <f>IF(VLOOKUP(A395,'Actual Dates'!A4:AE545,26,),'Actual Dates'!#REF!,"")</f>
        <v>#REF!</v>
      </c>
      <c r="L395" s="137" t="e">
        <f>IF(VLOOKUP(A395,'Actual Dates'!A4:AE545,21,),'Actual Dates'!#REF!,"")</f>
        <v>#REF!</v>
      </c>
      <c r="M395" s="137" t="e">
        <f>'Date Calcs'!#REF!</f>
        <v>#REF!</v>
      </c>
      <c r="N395" s="137" t="e">
        <f>IF(VLOOKUP(A395,'Actual Dates'!A4:AE545,27,),'Actual Dates'!#REF!,"")</f>
        <v>#REF!</v>
      </c>
      <c r="O395" s="138" t="e">
        <f t="shared" ref="O395:O458" si="54">N395-C395</f>
        <v>#REF!</v>
      </c>
      <c r="P395" s="139" t="e">
        <f t="shared" si="52"/>
        <v>#REF!</v>
      </c>
      <c r="Q395" s="139" t="e">
        <f t="shared" si="53"/>
        <v>#REF!</v>
      </c>
      <c r="R395" s="170"/>
      <c r="S395" s="170"/>
    </row>
    <row r="396" spans="1:19" x14ac:dyDescent="0.25">
      <c r="A396" s="134" t="e">
        <f>'Date Calcs'!#REF!</f>
        <v>#REF!</v>
      </c>
      <c r="B396" s="135" t="e">
        <f>'Date Calcs'!#REF!</f>
        <v>#REF!</v>
      </c>
      <c r="C396" s="136" t="e">
        <f>'Date Calcs'!#REF!</f>
        <v>#REF!</v>
      </c>
      <c r="D396" s="137" t="e">
        <f t="shared" si="49"/>
        <v>#REF!</v>
      </c>
      <c r="E396" s="143">
        <v>44419</v>
      </c>
      <c r="F396" s="137" t="e">
        <f>'Date Calcs'!#REF!</f>
        <v>#REF!</v>
      </c>
      <c r="G396" s="137" t="e">
        <f>IF(VLOOKUP(A396,'Actual Dates'!A4:AE523,8,),'Actual Dates'!#REF!,"")</f>
        <v>#REF!</v>
      </c>
      <c r="H396" s="137" t="e">
        <f t="shared" si="50"/>
        <v>#REF!</v>
      </c>
      <c r="I396" s="137" t="e">
        <f>IF(VLOOKUP(A396,'Actual Dates'!A4:AE518,25,),'Actual Dates'!#REF!,"")</f>
        <v>#REF!</v>
      </c>
      <c r="J396" s="137" t="e">
        <f t="shared" si="51"/>
        <v>#REF!</v>
      </c>
      <c r="K396" s="137" t="e">
        <f>IF(VLOOKUP(A396,'Actual Dates'!A4:AE546,26,),'Actual Dates'!#REF!,"")</f>
        <v>#REF!</v>
      </c>
      <c r="L396" s="137" t="e">
        <f>IF(VLOOKUP(A396,'Actual Dates'!A4:AE546,21,),'Actual Dates'!#REF!,"")</f>
        <v>#REF!</v>
      </c>
      <c r="M396" s="137" t="e">
        <f>'Date Calcs'!#REF!</f>
        <v>#REF!</v>
      </c>
      <c r="N396" s="137" t="e">
        <f>IF(VLOOKUP(A396,'Actual Dates'!A4:AE546,27,),'Actual Dates'!#REF!,"")</f>
        <v>#REF!</v>
      </c>
      <c r="O396" s="138" t="e">
        <f t="shared" si="54"/>
        <v>#REF!</v>
      </c>
      <c r="P396" s="139" t="e">
        <f t="shared" si="52"/>
        <v>#REF!</v>
      </c>
      <c r="Q396" s="139" t="e">
        <f t="shared" si="53"/>
        <v>#REF!</v>
      </c>
      <c r="R396" s="170"/>
      <c r="S396" s="170"/>
    </row>
    <row r="397" spans="1:19" x14ac:dyDescent="0.25">
      <c r="A397" s="134" t="e">
        <f>'Date Calcs'!#REF!</f>
        <v>#REF!</v>
      </c>
      <c r="B397" s="135" t="e">
        <f>'Date Calcs'!#REF!</f>
        <v>#REF!</v>
      </c>
      <c r="C397" s="136" t="e">
        <f>'Date Calcs'!#REF!</f>
        <v>#REF!</v>
      </c>
      <c r="D397" s="137" t="e">
        <f t="shared" si="49"/>
        <v>#REF!</v>
      </c>
      <c r="E397" s="143">
        <v>44420</v>
      </c>
      <c r="F397" s="137" t="e">
        <f>'Date Calcs'!#REF!</f>
        <v>#REF!</v>
      </c>
      <c r="G397" s="137" t="e">
        <f>IF(VLOOKUP(A397,'Actual Dates'!A4:AE524,8,),'Actual Dates'!#REF!,"")</f>
        <v>#REF!</v>
      </c>
      <c r="H397" s="137" t="e">
        <f t="shared" si="50"/>
        <v>#REF!</v>
      </c>
      <c r="I397" s="137" t="e">
        <f>IF(VLOOKUP(A397,'Actual Dates'!A4:AE519,25,),'Actual Dates'!#REF!,"")</f>
        <v>#REF!</v>
      </c>
      <c r="J397" s="137" t="e">
        <f t="shared" si="51"/>
        <v>#REF!</v>
      </c>
      <c r="K397" s="137" t="e">
        <f>IF(VLOOKUP(A397,'Actual Dates'!A4:AE547,26,),'Actual Dates'!#REF!,"")</f>
        <v>#REF!</v>
      </c>
      <c r="L397" s="137" t="e">
        <f>IF(VLOOKUP(A397,'Actual Dates'!A4:AE547,21,),'Actual Dates'!#REF!,"")</f>
        <v>#REF!</v>
      </c>
      <c r="M397" s="137" t="e">
        <f>'Date Calcs'!#REF!</f>
        <v>#REF!</v>
      </c>
      <c r="N397" s="137" t="e">
        <f>IF(VLOOKUP(A397,'Actual Dates'!A4:AE547,27,),'Actual Dates'!#REF!,"")</f>
        <v>#REF!</v>
      </c>
      <c r="O397" s="138" t="e">
        <f t="shared" si="54"/>
        <v>#REF!</v>
      </c>
      <c r="P397" s="139" t="e">
        <f t="shared" si="52"/>
        <v>#REF!</v>
      </c>
      <c r="Q397" s="139" t="e">
        <f t="shared" si="53"/>
        <v>#REF!</v>
      </c>
      <c r="R397" s="170"/>
      <c r="S397" s="170"/>
    </row>
    <row r="398" spans="1:19" x14ac:dyDescent="0.25">
      <c r="A398" s="134" t="e">
        <f>'Date Calcs'!#REF!</f>
        <v>#REF!</v>
      </c>
      <c r="B398" s="135" t="e">
        <f>'Date Calcs'!#REF!</f>
        <v>#REF!</v>
      </c>
      <c r="C398" s="136" t="e">
        <f>'Date Calcs'!#REF!</f>
        <v>#REF!</v>
      </c>
      <c r="D398" s="137" t="e">
        <f t="shared" si="49"/>
        <v>#REF!</v>
      </c>
      <c r="E398" s="143">
        <v>44421</v>
      </c>
      <c r="F398" s="137" t="e">
        <f>'Date Calcs'!#REF!</f>
        <v>#REF!</v>
      </c>
      <c r="G398" s="137" t="e">
        <f>IF(VLOOKUP(A398,'Actual Dates'!A4:AE525,8,),'Actual Dates'!#REF!,"")</f>
        <v>#REF!</v>
      </c>
      <c r="H398" s="137" t="e">
        <f t="shared" si="50"/>
        <v>#REF!</v>
      </c>
      <c r="I398" s="137" t="e">
        <f>IF(VLOOKUP(A398,'Actual Dates'!A4:AE520,25,),'Actual Dates'!#REF!,"")</f>
        <v>#REF!</v>
      </c>
      <c r="J398" s="137" t="e">
        <f t="shared" si="51"/>
        <v>#REF!</v>
      </c>
      <c r="K398" s="137" t="e">
        <f>IF(VLOOKUP(A398,'Actual Dates'!A4:AE548,26,),'Actual Dates'!#REF!,"")</f>
        <v>#REF!</v>
      </c>
      <c r="L398" s="137" t="e">
        <f>IF(VLOOKUP(A398,'Actual Dates'!A4:AE548,21,),'Actual Dates'!#REF!,"")</f>
        <v>#REF!</v>
      </c>
      <c r="M398" s="137" t="e">
        <f>'Date Calcs'!#REF!</f>
        <v>#REF!</v>
      </c>
      <c r="N398" s="137" t="e">
        <f>IF(VLOOKUP(A398,'Actual Dates'!A4:AE548,27,),'Actual Dates'!#REF!,"")</f>
        <v>#REF!</v>
      </c>
      <c r="O398" s="138" t="e">
        <f t="shared" si="54"/>
        <v>#REF!</v>
      </c>
      <c r="P398" s="139" t="e">
        <f t="shared" si="52"/>
        <v>#REF!</v>
      </c>
      <c r="Q398" s="139" t="e">
        <f t="shared" si="53"/>
        <v>#REF!</v>
      </c>
      <c r="R398" s="170"/>
      <c r="S398" s="170"/>
    </row>
    <row r="399" spans="1:19" x14ac:dyDescent="0.25">
      <c r="A399" s="134" t="e">
        <f>'Date Calcs'!#REF!</f>
        <v>#REF!</v>
      </c>
      <c r="B399" s="135" t="e">
        <f>'Date Calcs'!#REF!</f>
        <v>#REF!</v>
      </c>
      <c r="C399" s="136" t="e">
        <f>'Date Calcs'!#REF!</f>
        <v>#REF!</v>
      </c>
      <c r="D399" s="137" t="e">
        <f t="shared" si="49"/>
        <v>#REF!</v>
      </c>
      <c r="E399" s="143">
        <v>44422</v>
      </c>
      <c r="F399" s="137" t="e">
        <f>'Date Calcs'!#REF!</f>
        <v>#REF!</v>
      </c>
      <c r="G399" s="137" t="e">
        <f>IF(VLOOKUP(A399,'Actual Dates'!A4:AE526,8,),'Actual Dates'!#REF!,"")</f>
        <v>#REF!</v>
      </c>
      <c r="H399" s="137" t="e">
        <f t="shared" si="50"/>
        <v>#REF!</v>
      </c>
      <c r="I399" s="137" t="e">
        <f>IF(VLOOKUP(A399,'Actual Dates'!A4:AE521,25,),'Actual Dates'!#REF!,"")</f>
        <v>#REF!</v>
      </c>
      <c r="J399" s="137" t="e">
        <f t="shared" si="51"/>
        <v>#REF!</v>
      </c>
      <c r="K399" s="137" t="e">
        <f>IF(VLOOKUP(A399,'Actual Dates'!A4:AE549,26,),'Actual Dates'!#REF!,"")</f>
        <v>#REF!</v>
      </c>
      <c r="L399" s="137" t="e">
        <f>IF(VLOOKUP(A399,'Actual Dates'!A4:AE549,21,),'Actual Dates'!#REF!,"")</f>
        <v>#REF!</v>
      </c>
      <c r="M399" s="137" t="e">
        <f>'Date Calcs'!#REF!</f>
        <v>#REF!</v>
      </c>
      <c r="N399" s="137" t="e">
        <f>IF(VLOOKUP(A399,'Actual Dates'!A4:AE549,27,),'Actual Dates'!#REF!,"")</f>
        <v>#REF!</v>
      </c>
      <c r="O399" s="138" t="e">
        <f t="shared" si="54"/>
        <v>#REF!</v>
      </c>
      <c r="P399" s="139" t="e">
        <f t="shared" si="52"/>
        <v>#REF!</v>
      </c>
      <c r="Q399" s="139" t="e">
        <f t="shared" si="53"/>
        <v>#REF!</v>
      </c>
      <c r="R399" s="170"/>
      <c r="S399" s="170"/>
    </row>
    <row r="400" spans="1:19" x14ac:dyDescent="0.25">
      <c r="A400" s="134" t="e">
        <f>'Date Calcs'!#REF!</f>
        <v>#REF!</v>
      </c>
      <c r="B400" s="135" t="e">
        <f>'Date Calcs'!#REF!</f>
        <v>#REF!</v>
      </c>
      <c r="C400" s="136" t="e">
        <f>'Date Calcs'!#REF!</f>
        <v>#REF!</v>
      </c>
      <c r="D400" s="137" t="e">
        <f t="shared" si="49"/>
        <v>#REF!</v>
      </c>
      <c r="E400" s="143">
        <v>44423</v>
      </c>
      <c r="F400" s="137" t="e">
        <f>'Date Calcs'!#REF!</f>
        <v>#REF!</v>
      </c>
      <c r="G400" s="137" t="e">
        <f>IF(VLOOKUP(A400,'Actual Dates'!A4:AE527,8,),'Actual Dates'!#REF!,"")</f>
        <v>#REF!</v>
      </c>
      <c r="H400" s="137" t="e">
        <f t="shared" si="50"/>
        <v>#REF!</v>
      </c>
      <c r="I400" s="137" t="e">
        <f>IF(VLOOKUP(A400,'Actual Dates'!A4:AE522,25,),'Actual Dates'!#REF!,"")</f>
        <v>#REF!</v>
      </c>
      <c r="J400" s="137" t="e">
        <f t="shared" si="51"/>
        <v>#REF!</v>
      </c>
      <c r="K400" s="137" t="e">
        <f>IF(VLOOKUP(A400,'Actual Dates'!A4:AE550,26,),'Actual Dates'!#REF!,"")</f>
        <v>#REF!</v>
      </c>
      <c r="L400" s="137" t="e">
        <f>IF(VLOOKUP(A400,'Actual Dates'!A4:AE550,21,),'Actual Dates'!#REF!,"")</f>
        <v>#REF!</v>
      </c>
      <c r="M400" s="137" t="e">
        <f>'Date Calcs'!#REF!</f>
        <v>#REF!</v>
      </c>
      <c r="N400" s="137" t="e">
        <f>IF(VLOOKUP(A400,'Actual Dates'!A4:AE550,27,),'Actual Dates'!#REF!,"")</f>
        <v>#REF!</v>
      </c>
      <c r="O400" s="138" t="e">
        <f t="shared" si="54"/>
        <v>#REF!</v>
      </c>
      <c r="P400" s="139" t="e">
        <f t="shared" si="52"/>
        <v>#REF!</v>
      </c>
      <c r="Q400" s="139" t="e">
        <f t="shared" si="53"/>
        <v>#REF!</v>
      </c>
      <c r="R400" s="170"/>
      <c r="S400" s="170"/>
    </row>
    <row r="401" spans="1:19" x14ac:dyDescent="0.25">
      <c r="A401" s="134" t="e">
        <f>'Date Calcs'!#REF!</f>
        <v>#REF!</v>
      </c>
      <c r="B401" s="135" t="e">
        <f>'Date Calcs'!#REF!</f>
        <v>#REF!</v>
      </c>
      <c r="C401" s="136" t="e">
        <f>'Date Calcs'!#REF!</f>
        <v>#REF!</v>
      </c>
      <c r="D401" s="137" t="e">
        <f t="shared" si="49"/>
        <v>#REF!</v>
      </c>
      <c r="E401" s="143">
        <v>44424</v>
      </c>
      <c r="F401" s="137" t="e">
        <f>'Date Calcs'!#REF!</f>
        <v>#REF!</v>
      </c>
      <c r="G401" s="137" t="e">
        <f>IF(VLOOKUP(A401,'Actual Dates'!A4:AE528,8,),'Actual Dates'!#REF!,"")</f>
        <v>#REF!</v>
      </c>
      <c r="H401" s="137" t="e">
        <f t="shared" si="50"/>
        <v>#REF!</v>
      </c>
      <c r="I401" s="137" t="e">
        <f>IF(VLOOKUP(A401,'Actual Dates'!A4:AE523,25,),'Actual Dates'!#REF!,"")</f>
        <v>#REF!</v>
      </c>
      <c r="J401" s="137" t="e">
        <f t="shared" si="51"/>
        <v>#REF!</v>
      </c>
      <c r="K401" s="137" t="e">
        <f>IF(VLOOKUP(A401,'Actual Dates'!A4:AE551,26,),'Actual Dates'!#REF!,"")</f>
        <v>#REF!</v>
      </c>
      <c r="L401" s="137" t="e">
        <f>IF(VLOOKUP(A401,'Actual Dates'!A4:AE551,21,),'Actual Dates'!#REF!,"")</f>
        <v>#REF!</v>
      </c>
      <c r="M401" s="137" t="e">
        <f>'Date Calcs'!#REF!</f>
        <v>#REF!</v>
      </c>
      <c r="N401" s="137" t="e">
        <f>IF(VLOOKUP(A401,'Actual Dates'!A4:AE551,27,),'Actual Dates'!#REF!,"")</f>
        <v>#REF!</v>
      </c>
      <c r="O401" s="138" t="e">
        <f t="shared" si="54"/>
        <v>#REF!</v>
      </c>
      <c r="P401" s="139" t="e">
        <f t="shared" si="52"/>
        <v>#REF!</v>
      </c>
      <c r="Q401" s="139" t="e">
        <f t="shared" si="53"/>
        <v>#REF!</v>
      </c>
      <c r="R401" s="170"/>
      <c r="S401" s="170"/>
    </row>
    <row r="402" spans="1:19" x14ac:dyDescent="0.25">
      <c r="A402" s="134" t="e">
        <f>'Date Calcs'!#REF!</f>
        <v>#REF!</v>
      </c>
      <c r="B402" s="135" t="e">
        <f>'Date Calcs'!#REF!</f>
        <v>#REF!</v>
      </c>
      <c r="C402" s="136" t="e">
        <f>'Date Calcs'!#REF!</f>
        <v>#REF!</v>
      </c>
      <c r="D402" s="137" t="e">
        <f t="shared" si="49"/>
        <v>#REF!</v>
      </c>
      <c r="E402" s="143">
        <v>44425</v>
      </c>
      <c r="F402" s="137" t="e">
        <f>'Date Calcs'!#REF!</f>
        <v>#REF!</v>
      </c>
      <c r="G402" s="137" t="e">
        <f>IF(VLOOKUP(A402,'Actual Dates'!A4:AE529,8,),'Actual Dates'!#REF!,"")</f>
        <v>#REF!</v>
      </c>
      <c r="H402" s="137" t="e">
        <f t="shared" si="50"/>
        <v>#REF!</v>
      </c>
      <c r="I402" s="137" t="e">
        <f>IF(VLOOKUP(A402,'Actual Dates'!A4:AE524,25,),'Actual Dates'!#REF!,"")</f>
        <v>#REF!</v>
      </c>
      <c r="J402" s="137" t="e">
        <f t="shared" si="51"/>
        <v>#REF!</v>
      </c>
      <c r="K402" s="137" t="e">
        <f>IF(VLOOKUP(A402,'Actual Dates'!A4:AE552,26,),'Actual Dates'!#REF!,"")</f>
        <v>#REF!</v>
      </c>
      <c r="L402" s="137" t="e">
        <f>IF(VLOOKUP(A402,'Actual Dates'!A4:AE552,21,),'Actual Dates'!#REF!,"")</f>
        <v>#REF!</v>
      </c>
      <c r="M402" s="137" t="e">
        <f>'Date Calcs'!#REF!</f>
        <v>#REF!</v>
      </c>
      <c r="N402" s="137" t="e">
        <f>IF(VLOOKUP(A402,'Actual Dates'!A4:AE552,27,),'Actual Dates'!#REF!,"")</f>
        <v>#REF!</v>
      </c>
      <c r="O402" s="138" t="e">
        <f t="shared" si="54"/>
        <v>#REF!</v>
      </c>
      <c r="P402" s="139" t="e">
        <f t="shared" si="52"/>
        <v>#REF!</v>
      </c>
      <c r="Q402" s="139" t="e">
        <f t="shared" si="53"/>
        <v>#REF!</v>
      </c>
      <c r="R402" s="170"/>
      <c r="S402" s="170"/>
    </row>
    <row r="403" spans="1:19" x14ac:dyDescent="0.25">
      <c r="A403" s="134" t="e">
        <f>'Date Calcs'!#REF!</f>
        <v>#REF!</v>
      </c>
      <c r="B403" s="135" t="e">
        <f>'Date Calcs'!#REF!</f>
        <v>#REF!</v>
      </c>
      <c r="C403" s="136" t="e">
        <f>'Date Calcs'!#REF!</f>
        <v>#REF!</v>
      </c>
      <c r="D403" s="137" t="e">
        <f t="shared" si="49"/>
        <v>#REF!</v>
      </c>
      <c r="E403" s="143">
        <v>44426</v>
      </c>
      <c r="F403" s="137" t="e">
        <f>'Date Calcs'!#REF!</f>
        <v>#REF!</v>
      </c>
      <c r="G403" s="137" t="e">
        <f>IF(VLOOKUP(A403,'Actual Dates'!A4:AE530,8,),'Actual Dates'!#REF!,"")</f>
        <v>#REF!</v>
      </c>
      <c r="H403" s="137" t="e">
        <f t="shared" si="50"/>
        <v>#REF!</v>
      </c>
      <c r="I403" s="137" t="e">
        <f>IF(VLOOKUP(A403,'Actual Dates'!A4:AE525,25,),'Actual Dates'!#REF!,"")</f>
        <v>#REF!</v>
      </c>
      <c r="J403" s="137" t="e">
        <f t="shared" si="51"/>
        <v>#REF!</v>
      </c>
      <c r="K403" s="137" t="e">
        <f>IF(VLOOKUP(A403,'Actual Dates'!A4:AE553,26,),'Actual Dates'!#REF!,"")</f>
        <v>#REF!</v>
      </c>
      <c r="L403" s="137" t="e">
        <f>IF(VLOOKUP(A403,'Actual Dates'!A4:AE553,21,),'Actual Dates'!#REF!,"")</f>
        <v>#REF!</v>
      </c>
      <c r="M403" s="137" t="e">
        <f>'Date Calcs'!#REF!</f>
        <v>#REF!</v>
      </c>
      <c r="N403" s="137" t="e">
        <f>IF(VLOOKUP(A403,'Actual Dates'!A4:AE553,27,),'Actual Dates'!#REF!,"")</f>
        <v>#REF!</v>
      </c>
      <c r="O403" s="138" t="e">
        <f t="shared" si="54"/>
        <v>#REF!</v>
      </c>
      <c r="P403" s="139" t="e">
        <f t="shared" si="52"/>
        <v>#REF!</v>
      </c>
      <c r="Q403" s="139" t="e">
        <f t="shared" si="53"/>
        <v>#REF!</v>
      </c>
      <c r="R403" s="170"/>
      <c r="S403" s="170"/>
    </row>
    <row r="404" spans="1:19" x14ac:dyDescent="0.25">
      <c r="A404" s="134" t="e">
        <f>'Date Calcs'!#REF!</f>
        <v>#REF!</v>
      </c>
      <c r="B404" s="135" t="e">
        <f>'Date Calcs'!#REF!</f>
        <v>#REF!</v>
      </c>
      <c r="C404" s="136" t="e">
        <f>'Date Calcs'!#REF!</f>
        <v>#REF!</v>
      </c>
      <c r="D404" s="137" t="e">
        <f t="shared" si="49"/>
        <v>#REF!</v>
      </c>
      <c r="E404" s="143">
        <v>44427</v>
      </c>
      <c r="F404" s="137" t="e">
        <f>'Date Calcs'!#REF!</f>
        <v>#REF!</v>
      </c>
      <c r="G404" s="137" t="e">
        <f>IF(VLOOKUP(A404,'Actual Dates'!A4:AE531,8,),'Actual Dates'!#REF!,"")</f>
        <v>#REF!</v>
      </c>
      <c r="H404" s="137" t="e">
        <f t="shared" si="50"/>
        <v>#REF!</v>
      </c>
      <c r="I404" s="137" t="e">
        <f>IF(VLOOKUP(A404,'Actual Dates'!A4:AE526,25,),'Actual Dates'!#REF!,"")</f>
        <v>#REF!</v>
      </c>
      <c r="J404" s="137" t="e">
        <f t="shared" si="51"/>
        <v>#REF!</v>
      </c>
      <c r="K404" s="137" t="e">
        <f>IF(VLOOKUP(A404,'Actual Dates'!A4:AE554,26,),'Actual Dates'!#REF!,"")</f>
        <v>#REF!</v>
      </c>
      <c r="L404" s="137" t="e">
        <f>IF(VLOOKUP(A404,'Actual Dates'!A4:AE554,21,),'Actual Dates'!#REF!,"")</f>
        <v>#REF!</v>
      </c>
      <c r="M404" s="137" t="e">
        <f>'Date Calcs'!#REF!</f>
        <v>#REF!</v>
      </c>
      <c r="N404" s="137" t="e">
        <f>IF(VLOOKUP(A404,'Actual Dates'!A4:AE554,27,),'Actual Dates'!#REF!,"")</f>
        <v>#REF!</v>
      </c>
      <c r="O404" s="138" t="e">
        <f t="shared" si="54"/>
        <v>#REF!</v>
      </c>
      <c r="P404" s="139" t="e">
        <f t="shared" si="52"/>
        <v>#REF!</v>
      </c>
      <c r="Q404" s="139" t="e">
        <f t="shared" si="53"/>
        <v>#REF!</v>
      </c>
      <c r="R404" s="170"/>
      <c r="S404" s="170"/>
    </row>
    <row r="405" spans="1:19" x14ac:dyDescent="0.25">
      <c r="A405" s="134" t="e">
        <f>'Date Calcs'!#REF!</f>
        <v>#REF!</v>
      </c>
      <c r="B405" s="135" t="e">
        <f>'Date Calcs'!#REF!</f>
        <v>#REF!</v>
      </c>
      <c r="C405" s="136" t="e">
        <f>'Date Calcs'!#REF!</f>
        <v>#REF!</v>
      </c>
      <c r="D405" s="137" t="e">
        <f t="shared" si="49"/>
        <v>#REF!</v>
      </c>
      <c r="E405" s="143">
        <v>44428</v>
      </c>
      <c r="F405" s="137" t="e">
        <f>'Date Calcs'!#REF!</f>
        <v>#REF!</v>
      </c>
      <c r="G405" s="137" t="e">
        <f>IF(VLOOKUP(A405,'Actual Dates'!A4:AE532,8,),'Actual Dates'!#REF!,"")</f>
        <v>#REF!</v>
      </c>
      <c r="H405" s="137" t="e">
        <f t="shared" si="50"/>
        <v>#REF!</v>
      </c>
      <c r="I405" s="137" t="e">
        <f>IF(VLOOKUP(A405,'Actual Dates'!A4:AE527,25,),'Actual Dates'!#REF!,"")</f>
        <v>#REF!</v>
      </c>
      <c r="J405" s="137" t="e">
        <f t="shared" si="51"/>
        <v>#REF!</v>
      </c>
      <c r="K405" s="137" t="e">
        <f>IF(VLOOKUP(A405,'Actual Dates'!A4:AE555,26,),'Actual Dates'!#REF!,"")</f>
        <v>#REF!</v>
      </c>
      <c r="L405" s="137" t="e">
        <f>IF(VLOOKUP(A405,'Actual Dates'!A4:AE555,21,),'Actual Dates'!#REF!,"")</f>
        <v>#REF!</v>
      </c>
      <c r="M405" s="137" t="e">
        <f>'Date Calcs'!#REF!</f>
        <v>#REF!</v>
      </c>
      <c r="N405" s="137" t="e">
        <f>IF(VLOOKUP(A405,'Actual Dates'!A4:AE555,27,),'Actual Dates'!#REF!,"")</f>
        <v>#REF!</v>
      </c>
      <c r="O405" s="138" t="e">
        <f t="shared" si="54"/>
        <v>#REF!</v>
      </c>
      <c r="P405" s="139" t="e">
        <f t="shared" si="52"/>
        <v>#REF!</v>
      </c>
      <c r="Q405" s="139" t="e">
        <f t="shared" si="53"/>
        <v>#REF!</v>
      </c>
      <c r="R405" s="170"/>
      <c r="S405" s="170"/>
    </row>
    <row r="406" spans="1:19" x14ac:dyDescent="0.25">
      <c r="A406" s="134" t="e">
        <f>'Date Calcs'!#REF!</f>
        <v>#REF!</v>
      </c>
      <c r="B406" s="135" t="e">
        <f>'Date Calcs'!#REF!</f>
        <v>#REF!</v>
      </c>
      <c r="C406" s="136" t="e">
        <f>'Date Calcs'!#REF!</f>
        <v>#REF!</v>
      </c>
      <c r="D406" s="137" t="e">
        <f t="shared" si="49"/>
        <v>#REF!</v>
      </c>
      <c r="E406" s="143">
        <v>44429</v>
      </c>
      <c r="F406" s="137" t="e">
        <f>'Date Calcs'!#REF!</f>
        <v>#REF!</v>
      </c>
      <c r="G406" s="137" t="e">
        <f>IF(VLOOKUP(A406,'Actual Dates'!A4:AE533,8,),'Actual Dates'!#REF!,"")</f>
        <v>#REF!</v>
      </c>
      <c r="H406" s="137" t="e">
        <f t="shared" si="50"/>
        <v>#REF!</v>
      </c>
      <c r="I406" s="137" t="e">
        <f>IF(VLOOKUP(A406,'Actual Dates'!A4:AE528,25,),'Actual Dates'!#REF!,"")</f>
        <v>#REF!</v>
      </c>
      <c r="J406" s="137" t="e">
        <f t="shared" si="51"/>
        <v>#REF!</v>
      </c>
      <c r="K406" s="137" t="e">
        <f>IF(VLOOKUP(A406,'Actual Dates'!A4:AE556,26,),'Actual Dates'!#REF!,"")</f>
        <v>#REF!</v>
      </c>
      <c r="L406" s="137" t="e">
        <f>IF(VLOOKUP(A406,'Actual Dates'!A4:AE556,21,),'Actual Dates'!#REF!,"")</f>
        <v>#REF!</v>
      </c>
      <c r="M406" s="137" t="e">
        <f>'Date Calcs'!#REF!</f>
        <v>#REF!</v>
      </c>
      <c r="N406" s="137" t="e">
        <f>IF(VLOOKUP(A406,'Actual Dates'!A4:AE556,27,),'Actual Dates'!#REF!,"")</f>
        <v>#REF!</v>
      </c>
      <c r="O406" s="138" t="e">
        <f t="shared" si="54"/>
        <v>#REF!</v>
      </c>
      <c r="P406" s="139" t="e">
        <f t="shared" si="52"/>
        <v>#REF!</v>
      </c>
      <c r="Q406" s="139" t="e">
        <f t="shared" si="53"/>
        <v>#REF!</v>
      </c>
      <c r="R406" s="170"/>
      <c r="S406" s="170"/>
    </row>
    <row r="407" spans="1:19" x14ac:dyDescent="0.25">
      <c r="A407" s="134" t="e">
        <f>'Date Calcs'!#REF!</f>
        <v>#REF!</v>
      </c>
      <c r="B407" s="135" t="e">
        <f>'Date Calcs'!#REF!</f>
        <v>#REF!</v>
      </c>
      <c r="C407" s="136" t="e">
        <f>'Date Calcs'!#REF!</f>
        <v>#REF!</v>
      </c>
      <c r="D407" s="137" t="e">
        <f t="shared" si="49"/>
        <v>#REF!</v>
      </c>
      <c r="E407" s="143">
        <v>44430</v>
      </c>
      <c r="F407" s="137" t="e">
        <f>'Date Calcs'!#REF!</f>
        <v>#REF!</v>
      </c>
      <c r="G407" s="137" t="e">
        <f>IF(VLOOKUP(A407,'Actual Dates'!A4:AE534,8,),'Actual Dates'!#REF!,"")</f>
        <v>#REF!</v>
      </c>
      <c r="H407" s="137" t="e">
        <f t="shared" si="50"/>
        <v>#REF!</v>
      </c>
      <c r="I407" s="137" t="e">
        <f>IF(VLOOKUP(A407,'Actual Dates'!A4:AE529,25,),'Actual Dates'!#REF!,"")</f>
        <v>#REF!</v>
      </c>
      <c r="J407" s="137" t="e">
        <f t="shared" si="51"/>
        <v>#REF!</v>
      </c>
      <c r="K407" s="137" t="e">
        <f>IF(VLOOKUP(A407,'Actual Dates'!A4:AE557,26,),'Actual Dates'!#REF!,"")</f>
        <v>#REF!</v>
      </c>
      <c r="L407" s="137" t="e">
        <f>IF(VLOOKUP(A407,'Actual Dates'!A4:AE557,21,),'Actual Dates'!#REF!,"")</f>
        <v>#REF!</v>
      </c>
      <c r="M407" s="137" t="e">
        <f>'Date Calcs'!#REF!</f>
        <v>#REF!</v>
      </c>
      <c r="N407" s="137" t="e">
        <f>IF(VLOOKUP(A407,'Actual Dates'!A4:AE557,27,),'Actual Dates'!#REF!,"")</f>
        <v>#REF!</v>
      </c>
      <c r="O407" s="138" t="e">
        <f t="shared" si="54"/>
        <v>#REF!</v>
      </c>
      <c r="P407" s="139" t="e">
        <f t="shared" si="52"/>
        <v>#REF!</v>
      </c>
      <c r="Q407" s="139" t="e">
        <f t="shared" si="53"/>
        <v>#REF!</v>
      </c>
      <c r="R407" s="170"/>
      <c r="S407" s="170"/>
    </row>
    <row r="408" spans="1:19" x14ac:dyDescent="0.25">
      <c r="A408" s="134" t="e">
        <f>'Date Calcs'!#REF!</f>
        <v>#REF!</v>
      </c>
      <c r="B408" s="135" t="e">
        <f>'Date Calcs'!#REF!</f>
        <v>#REF!</v>
      </c>
      <c r="C408" s="136" t="e">
        <f>'Date Calcs'!#REF!</f>
        <v>#REF!</v>
      </c>
      <c r="D408" s="137" t="e">
        <f t="shared" ref="D408:D471" si="55">WORKDAY(F408,-1,)</f>
        <v>#REF!</v>
      </c>
      <c r="E408" s="143">
        <v>44431</v>
      </c>
      <c r="F408" s="137" t="e">
        <f>'Date Calcs'!#REF!</f>
        <v>#REF!</v>
      </c>
      <c r="G408" s="137" t="e">
        <f>IF(VLOOKUP(A408,'Actual Dates'!A4:AE535,8,),'Actual Dates'!#REF!,"")</f>
        <v>#REF!</v>
      </c>
      <c r="H408" s="137" t="e">
        <f t="shared" si="50"/>
        <v>#REF!</v>
      </c>
      <c r="I408" s="137" t="e">
        <f>IF(VLOOKUP(A408,'Actual Dates'!A4:AE530,25,),'Actual Dates'!#REF!,"")</f>
        <v>#REF!</v>
      </c>
      <c r="J408" s="137" t="e">
        <f t="shared" si="51"/>
        <v>#REF!</v>
      </c>
      <c r="K408" s="137" t="e">
        <f>IF(VLOOKUP(A408,'Actual Dates'!A4:AE558,26,),'Actual Dates'!#REF!,"")</f>
        <v>#REF!</v>
      </c>
      <c r="L408" s="137" t="e">
        <f>IF(VLOOKUP(A408,'Actual Dates'!A4:AE558,21,),'Actual Dates'!#REF!,"")</f>
        <v>#REF!</v>
      </c>
      <c r="M408" s="137" t="e">
        <f>'Date Calcs'!#REF!</f>
        <v>#REF!</v>
      </c>
      <c r="N408" s="137" t="e">
        <f>IF(VLOOKUP(A408,'Actual Dates'!A4:AE558,27,),'Actual Dates'!#REF!,"")</f>
        <v>#REF!</v>
      </c>
      <c r="O408" s="138" t="e">
        <f t="shared" si="54"/>
        <v>#REF!</v>
      </c>
      <c r="P408" s="139" t="e">
        <f t="shared" si="52"/>
        <v>#REF!</v>
      </c>
      <c r="Q408" s="139" t="e">
        <f t="shared" si="53"/>
        <v>#REF!</v>
      </c>
      <c r="R408" s="170"/>
      <c r="S408" s="170"/>
    </row>
    <row r="409" spans="1:19" x14ac:dyDescent="0.25">
      <c r="A409" s="134" t="e">
        <f>'Date Calcs'!#REF!</f>
        <v>#REF!</v>
      </c>
      <c r="B409" s="135" t="e">
        <f>'Date Calcs'!#REF!</f>
        <v>#REF!</v>
      </c>
      <c r="C409" s="136" t="e">
        <f>'Date Calcs'!#REF!</f>
        <v>#REF!</v>
      </c>
      <c r="D409" s="137" t="e">
        <f t="shared" si="55"/>
        <v>#REF!</v>
      </c>
      <c r="E409" s="143">
        <v>44432</v>
      </c>
      <c r="F409" s="137" t="e">
        <f>'Date Calcs'!#REF!</f>
        <v>#REF!</v>
      </c>
      <c r="G409" s="137" t="e">
        <f>IF(VLOOKUP(A409,'Actual Dates'!A4:AE536,8,),'Actual Dates'!#REF!,"")</f>
        <v>#REF!</v>
      </c>
      <c r="H409" s="137" t="e">
        <f t="shared" si="50"/>
        <v>#REF!</v>
      </c>
      <c r="I409" s="137" t="e">
        <f>IF(VLOOKUP(A409,'Actual Dates'!A4:AE531,25,),'Actual Dates'!#REF!,"")</f>
        <v>#REF!</v>
      </c>
      <c r="J409" s="137" t="e">
        <f t="shared" si="51"/>
        <v>#REF!</v>
      </c>
      <c r="K409" s="137" t="e">
        <f>IF(VLOOKUP(A409,'Actual Dates'!A4:AE559,26,),'Actual Dates'!#REF!,"")</f>
        <v>#REF!</v>
      </c>
      <c r="L409" s="137" t="e">
        <f>IF(VLOOKUP(A409,'Actual Dates'!A4:AE559,21,),'Actual Dates'!#REF!,"")</f>
        <v>#REF!</v>
      </c>
      <c r="M409" s="137" t="e">
        <f>'Date Calcs'!#REF!</f>
        <v>#REF!</v>
      </c>
      <c r="N409" s="137" t="e">
        <f>IF(VLOOKUP(A409,'Actual Dates'!A4:AE559,27,),'Actual Dates'!#REF!,"")</f>
        <v>#REF!</v>
      </c>
      <c r="O409" s="138" t="e">
        <f t="shared" si="54"/>
        <v>#REF!</v>
      </c>
      <c r="P409" s="139" t="e">
        <f t="shared" si="52"/>
        <v>#REF!</v>
      </c>
      <c r="Q409" s="139" t="e">
        <f t="shared" si="53"/>
        <v>#REF!</v>
      </c>
      <c r="R409" s="170"/>
      <c r="S409" s="170"/>
    </row>
    <row r="410" spans="1:19" x14ac:dyDescent="0.25">
      <c r="A410" s="134" t="e">
        <f>'Date Calcs'!#REF!</f>
        <v>#REF!</v>
      </c>
      <c r="B410" s="135" t="e">
        <f>'Date Calcs'!#REF!</f>
        <v>#REF!</v>
      </c>
      <c r="C410" s="136" t="e">
        <f>'Date Calcs'!#REF!</f>
        <v>#REF!</v>
      </c>
      <c r="D410" s="137" t="e">
        <f t="shared" si="55"/>
        <v>#REF!</v>
      </c>
      <c r="E410" s="143">
        <v>44433</v>
      </c>
      <c r="F410" s="137" t="e">
        <f>'Date Calcs'!#REF!</f>
        <v>#REF!</v>
      </c>
      <c r="G410" s="137" t="e">
        <f>IF(VLOOKUP(A410,'Actual Dates'!A4:AE537,8,),'Actual Dates'!#REF!,"")</f>
        <v>#REF!</v>
      </c>
      <c r="H410" s="137" t="e">
        <f t="shared" si="50"/>
        <v>#REF!</v>
      </c>
      <c r="I410" s="137" t="e">
        <f>IF(VLOOKUP(A410,'Actual Dates'!A4:AE532,25,),'Actual Dates'!#REF!,"")</f>
        <v>#REF!</v>
      </c>
      <c r="J410" s="137" t="e">
        <f t="shared" si="51"/>
        <v>#REF!</v>
      </c>
      <c r="K410" s="137" t="e">
        <f>IF(VLOOKUP(A410,'Actual Dates'!A4:AE560,26,),'Actual Dates'!#REF!,"")</f>
        <v>#REF!</v>
      </c>
      <c r="L410" s="137" t="e">
        <f>IF(VLOOKUP(A410,'Actual Dates'!A4:AE560,21,),'Actual Dates'!#REF!,"")</f>
        <v>#REF!</v>
      </c>
      <c r="M410" s="137" t="e">
        <f>'Date Calcs'!#REF!</f>
        <v>#REF!</v>
      </c>
      <c r="N410" s="137" t="e">
        <f>IF(VLOOKUP(A410,'Actual Dates'!A4:AE560,27,),'Actual Dates'!#REF!,"")</f>
        <v>#REF!</v>
      </c>
      <c r="O410" s="138" t="e">
        <f t="shared" si="54"/>
        <v>#REF!</v>
      </c>
      <c r="P410" s="139" t="e">
        <f t="shared" si="52"/>
        <v>#REF!</v>
      </c>
      <c r="Q410" s="139" t="e">
        <f t="shared" si="53"/>
        <v>#REF!</v>
      </c>
      <c r="R410" s="170"/>
      <c r="S410" s="170"/>
    </row>
    <row r="411" spans="1:19" x14ac:dyDescent="0.25">
      <c r="A411" s="134" t="e">
        <f>'Date Calcs'!#REF!</f>
        <v>#REF!</v>
      </c>
      <c r="B411" s="135" t="e">
        <f>'Date Calcs'!#REF!</f>
        <v>#REF!</v>
      </c>
      <c r="C411" s="136" t="e">
        <f>'Date Calcs'!#REF!</f>
        <v>#REF!</v>
      </c>
      <c r="D411" s="137" t="e">
        <f t="shared" si="55"/>
        <v>#REF!</v>
      </c>
      <c r="E411" s="143">
        <v>44434</v>
      </c>
      <c r="F411" s="137" t="e">
        <f>'Date Calcs'!#REF!</f>
        <v>#REF!</v>
      </c>
      <c r="G411" s="137" t="e">
        <f>IF(VLOOKUP(A411,'Actual Dates'!A4:AE538,8,),'Actual Dates'!#REF!,"")</f>
        <v>#REF!</v>
      </c>
      <c r="H411" s="137" t="e">
        <f t="shared" si="50"/>
        <v>#REF!</v>
      </c>
      <c r="I411" s="137" t="e">
        <f>IF(VLOOKUP(A411,'Actual Dates'!A4:AE533,25,),'Actual Dates'!#REF!,"")</f>
        <v>#REF!</v>
      </c>
      <c r="J411" s="137" t="e">
        <f t="shared" si="51"/>
        <v>#REF!</v>
      </c>
      <c r="K411" s="137" t="e">
        <f>IF(VLOOKUP(A411,'Actual Dates'!A4:AE561,26,),'Actual Dates'!#REF!,"")</f>
        <v>#REF!</v>
      </c>
      <c r="L411" s="137" t="e">
        <f>IF(VLOOKUP(A411,'Actual Dates'!A4:AE561,21,),'Actual Dates'!#REF!,"")</f>
        <v>#REF!</v>
      </c>
      <c r="M411" s="137" t="e">
        <f>'Date Calcs'!#REF!</f>
        <v>#REF!</v>
      </c>
      <c r="N411" s="137" t="e">
        <f>IF(VLOOKUP(A411,'Actual Dates'!A4:AE561,27,),'Actual Dates'!#REF!,"")</f>
        <v>#REF!</v>
      </c>
      <c r="O411" s="138" t="e">
        <f t="shared" si="54"/>
        <v>#REF!</v>
      </c>
      <c r="P411" s="139" t="e">
        <f t="shared" si="52"/>
        <v>#REF!</v>
      </c>
      <c r="Q411" s="139" t="e">
        <f t="shared" si="53"/>
        <v>#REF!</v>
      </c>
      <c r="R411" s="170"/>
      <c r="S411" s="170"/>
    </row>
    <row r="412" spans="1:19" x14ac:dyDescent="0.25">
      <c r="A412" s="134" t="e">
        <f>'Date Calcs'!#REF!</f>
        <v>#REF!</v>
      </c>
      <c r="B412" s="135" t="e">
        <f>'Date Calcs'!#REF!</f>
        <v>#REF!</v>
      </c>
      <c r="C412" s="136" t="e">
        <f>'Date Calcs'!#REF!</f>
        <v>#REF!</v>
      </c>
      <c r="D412" s="137" t="e">
        <f t="shared" si="55"/>
        <v>#REF!</v>
      </c>
      <c r="E412" s="143">
        <v>44435</v>
      </c>
      <c r="F412" s="137" t="e">
        <f>'Date Calcs'!#REF!</f>
        <v>#REF!</v>
      </c>
      <c r="G412" s="137" t="e">
        <f>IF(VLOOKUP(A412,'Actual Dates'!A4:AE539,8,),'Actual Dates'!#REF!,"")</f>
        <v>#REF!</v>
      </c>
      <c r="H412" s="137" t="e">
        <f t="shared" si="50"/>
        <v>#REF!</v>
      </c>
      <c r="I412" s="137" t="e">
        <f>IF(VLOOKUP(A412,'Actual Dates'!A4:AE534,25,),'Actual Dates'!#REF!,"")</f>
        <v>#REF!</v>
      </c>
      <c r="J412" s="137" t="e">
        <f t="shared" si="51"/>
        <v>#REF!</v>
      </c>
      <c r="K412" s="137" t="e">
        <f>IF(VLOOKUP(A412,'Actual Dates'!A4:AE562,26,),'Actual Dates'!#REF!,"")</f>
        <v>#REF!</v>
      </c>
      <c r="L412" s="137" t="e">
        <f>IF(VLOOKUP(A412,'Actual Dates'!A4:AE562,21,),'Actual Dates'!#REF!,"")</f>
        <v>#REF!</v>
      </c>
      <c r="M412" s="137" t="e">
        <f>'Date Calcs'!#REF!</f>
        <v>#REF!</v>
      </c>
      <c r="N412" s="137" t="e">
        <f>IF(VLOOKUP(A412,'Actual Dates'!A4:AE562,27,),'Actual Dates'!#REF!,"")</f>
        <v>#REF!</v>
      </c>
      <c r="O412" s="138" t="e">
        <f t="shared" si="54"/>
        <v>#REF!</v>
      </c>
      <c r="P412" s="139" t="e">
        <f t="shared" si="52"/>
        <v>#REF!</v>
      </c>
      <c r="Q412" s="139" t="e">
        <f t="shared" si="53"/>
        <v>#REF!</v>
      </c>
      <c r="R412" s="170"/>
      <c r="S412" s="170"/>
    </row>
    <row r="413" spans="1:19" x14ac:dyDescent="0.25">
      <c r="A413" s="134" t="e">
        <f>'Date Calcs'!#REF!</f>
        <v>#REF!</v>
      </c>
      <c r="B413" s="135" t="e">
        <f>'Date Calcs'!#REF!</f>
        <v>#REF!</v>
      </c>
      <c r="C413" s="136" t="e">
        <f>'Date Calcs'!#REF!</f>
        <v>#REF!</v>
      </c>
      <c r="D413" s="137" t="e">
        <f t="shared" si="55"/>
        <v>#REF!</v>
      </c>
      <c r="E413" s="143">
        <v>44436</v>
      </c>
      <c r="F413" s="137" t="e">
        <f>'Date Calcs'!#REF!</f>
        <v>#REF!</v>
      </c>
      <c r="G413" s="137" t="e">
        <f>IF(VLOOKUP(A413,'Actual Dates'!A4:AE540,8,),'Actual Dates'!#REF!,"")</f>
        <v>#REF!</v>
      </c>
      <c r="H413" s="137" t="e">
        <f t="shared" si="50"/>
        <v>#REF!</v>
      </c>
      <c r="I413" s="137" t="e">
        <f>IF(VLOOKUP(A413,'Actual Dates'!A4:AE535,25,),'Actual Dates'!#REF!,"")</f>
        <v>#REF!</v>
      </c>
      <c r="J413" s="137" t="e">
        <f t="shared" si="51"/>
        <v>#REF!</v>
      </c>
      <c r="K413" s="137" t="e">
        <f>IF(VLOOKUP(A413,'Actual Dates'!A4:AE563,26,),'Actual Dates'!#REF!,"")</f>
        <v>#REF!</v>
      </c>
      <c r="L413" s="137" t="e">
        <f>IF(VLOOKUP(A413,'Actual Dates'!A4:AE563,21,),'Actual Dates'!#REF!,"")</f>
        <v>#REF!</v>
      </c>
      <c r="M413" s="137" t="e">
        <f>'Date Calcs'!#REF!</f>
        <v>#REF!</v>
      </c>
      <c r="N413" s="137" t="e">
        <f>IF(VLOOKUP(A413,'Actual Dates'!A4:AE563,27,),'Actual Dates'!#REF!,"")</f>
        <v>#REF!</v>
      </c>
      <c r="O413" s="138" t="e">
        <f t="shared" si="54"/>
        <v>#REF!</v>
      </c>
      <c r="P413" s="139" t="e">
        <f t="shared" si="52"/>
        <v>#REF!</v>
      </c>
      <c r="Q413" s="139" t="e">
        <f t="shared" si="53"/>
        <v>#REF!</v>
      </c>
      <c r="R413" s="170"/>
      <c r="S413" s="170"/>
    </row>
    <row r="414" spans="1:19" x14ac:dyDescent="0.25">
      <c r="A414" s="134" t="e">
        <f>'Date Calcs'!#REF!</f>
        <v>#REF!</v>
      </c>
      <c r="B414" s="135" t="e">
        <f>'Date Calcs'!#REF!</f>
        <v>#REF!</v>
      </c>
      <c r="C414" s="136" t="e">
        <f>'Date Calcs'!#REF!</f>
        <v>#REF!</v>
      </c>
      <c r="D414" s="137" t="e">
        <f t="shared" si="55"/>
        <v>#REF!</v>
      </c>
      <c r="E414" s="143">
        <v>44437</v>
      </c>
      <c r="F414" s="137" t="e">
        <f>'Date Calcs'!#REF!</f>
        <v>#REF!</v>
      </c>
      <c r="G414" s="137" t="e">
        <f>IF(VLOOKUP(A414,'Actual Dates'!A4:AE541,8,),'Actual Dates'!#REF!,"")</f>
        <v>#REF!</v>
      </c>
      <c r="H414" s="137" t="e">
        <f t="shared" si="50"/>
        <v>#REF!</v>
      </c>
      <c r="I414" s="137" t="e">
        <f>IF(VLOOKUP(A414,'Actual Dates'!A4:AE536,25,),'Actual Dates'!#REF!,"")</f>
        <v>#REF!</v>
      </c>
      <c r="J414" s="137" t="e">
        <f t="shared" si="51"/>
        <v>#REF!</v>
      </c>
      <c r="K414" s="137" t="e">
        <f>IF(VLOOKUP(A414,'Actual Dates'!A4:AE564,26,),'Actual Dates'!#REF!,"")</f>
        <v>#REF!</v>
      </c>
      <c r="L414" s="137" t="e">
        <f>IF(VLOOKUP(A414,'Actual Dates'!A4:AE564,21,),'Actual Dates'!#REF!,"")</f>
        <v>#REF!</v>
      </c>
      <c r="M414" s="137" t="e">
        <f>'Date Calcs'!#REF!</f>
        <v>#REF!</v>
      </c>
      <c r="N414" s="137" t="e">
        <f>IF(VLOOKUP(A414,'Actual Dates'!A4:AE564,27,),'Actual Dates'!#REF!,"")</f>
        <v>#REF!</v>
      </c>
      <c r="O414" s="138" t="e">
        <f t="shared" si="54"/>
        <v>#REF!</v>
      </c>
      <c r="P414" s="139" t="e">
        <f t="shared" si="52"/>
        <v>#REF!</v>
      </c>
      <c r="Q414" s="139" t="e">
        <f t="shared" si="53"/>
        <v>#REF!</v>
      </c>
      <c r="R414" s="170"/>
      <c r="S414" s="170"/>
    </row>
    <row r="415" spans="1:19" x14ac:dyDescent="0.25">
      <c r="A415" s="134" t="e">
        <f>'Date Calcs'!#REF!</f>
        <v>#REF!</v>
      </c>
      <c r="B415" s="135" t="e">
        <f>'Date Calcs'!#REF!</f>
        <v>#REF!</v>
      </c>
      <c r="C415" s="136" t="e">
        <f>'Date Calcs'!#REF!</f>
        <v>#REF!</v>
      </c>
      <c r="D415" s="137" t="e">
        <f t="shared" si="55"/>
        <v>#REF!</v>
      </c>
      <c r="E415" s="143">
        <v>44438</v>
      </c>
      <c r="F415" s="137" t="e">
        <f>'Date Calcs'!#REF!</f>
        <v>#REF!</v>
      </c>
      <c r="G415" s="137" t="e">
        <f>IF(VLOOKUP(A415,'Actual Dates'!A4:AE542,8,),'Actual Dates'!#REF!,"")</f>
        <v>#REF!</v>
      </c>
      <c r="H415" s="137" t="e">
        <f t="shared" si="50"/>
        <v>#REF!</v>
      </c>
      <c r="I415" s="137" t="e">
        <f>IF(VLOOKUP(A415,'Actual Dates'!A4:AE537,25,),'Actual Dates'!#REF!,"")</f>
        <v>#REF!</v>
      </c>
      <c r="J415" s="137" t="e">
        <f t="shared" si="51"/>
        <v>#REF!</v>
      </c>
      <c r="K415" s="137" t="e">
        <f>IF(VLOOKUP(A415,'Actual Dates'!A4:AE565,26,),'Actual Dates'!#REF!,"")</f>
        <v>#REF!</v>
      </c>
      <c r="L415" s="137" t="e">
        <f>IF(VLOOKUP(A415,'Actual Dates'!A4:AE565,21,),'Actual Dates'!#REF!,"")</f>
        <v>#REF!</v>
      </c>
      <c r="M415" s="137" t="e">
        <f>'Date Calcs'!#REF!</f>
        <v>#REF!</v>
      </c>
      <c r="N415" s="137" t="e">
        <f>IF(VLOOKUP(A415,'Actual Dates'!A4:AE565,27,),'Actual Dates'!#REF!,"")</f>
        <v>#REF!</v>
      </c>
      <c r="O415" s="138" t="e">
        <f t="shared" si="54"/>
        <v>#REF!</v>
      </c>
      <c r="P415" s="139" t="e">
        <f t="shared" si="52"/>
        <v>#REF!</v>
      </c>
      <c r="Q415" s="139" t="e">
        <f t="shared" si="53"/>
        <v>#REF!</v>
      </c>
      <c r="R415" s="170"/>
      <c r="S415" s="170"/>
    </row>
    <row r="416" spans="1:19" x14ac:dyDescent="0.25">
      <c r="A416" s="134" t="e">
        <f>'Date Calcs'!#REF!</f>
        <v>#REF!</v>
      </c>
      <c r="B416" s="135" t="e">
        <f>'Date Calcs'!#REF!</f>
        <v>#REF!</v>
      </c>
      <c r="C416" s="136" t="e">
        <f>'Date Calcs'!#REF!</f>
        <v>#REF!</v>
      </c>
      <c r="D416" s="137" t="e">
        <f t="shared" si="55"/>
        <v>#REF!</v>
      </c>
      <c r="E416" s="143">
        <v>44439</v>
      </c>
      <c r="F416" s="137" t="e">
        <f>'Date Calcs'!#REF!</f>
        <v>#REF!</v>
      </c>
      <c r="G416" s="137" t="e">
        <f>IF(VLOOKUP(A416,'Actual Dates'!A4:AE543,8,),'Actual Dates'!#REF!,"")</f>
        <v>#REF!</v>
      </c>
      <c r="H416" s="137" t="e">
        <f t="shared" si="50"/>
        <v>#REF!</v>
      </c>
      <c r="I416" s="137" t="e">
        <f>IF(VLOOKUP(A416,'Actual Dates'!A4:AE538,25,),'Actual Dates'!#REF!,"")</f>
        <v>#REF!</v>
      </c>
      <c r="J416" s="137" t="e">
        <f t="shared" si="51"/>
        <v>#REF!</v>
      </c>
      <c r="K416" s="137" t="e">
        <f>IF(VLOOKUP(A416,'Actual Dates'!A4:AE566,26,),'Actual Dates'!#REF!,"")</f>
        <v>#REF!</v>
      </c>
      <c r="L416" s="137" t="e">
        <f>IF(VLOOKUP(A416,'Actual Dates'!A4:AE566,21,),'Actual Dates'!#REF!,"")</f>
        <v>#REF!</v>
      </c>
      <c r="M416" s="137" t="e">
        <f>'Date Calcs'!#REF!</f>
        <v>#REF!</v>
      </c>
      <c r="N416" s="137" t="e">
        <f>IF(VLOOKUP(A416,'Actual Dates'!A4:AE566,27,),'Actual Dates'!#REF!,"")</f>
        <v>#REF!</v>
      </c>
      <c r="O416" s="138" t="e">
        <f t="shared" si="54"/>
        <v>#REF!</v>
      </c>
      <c r="P416" s="139" t="e">
        <f t="shared" si="52"/>
        <v>#REF!</v>
      </c>
      <c r="Q416" s="139" t="e">
        <f t="shared" si="53"/>
        <v>#REF!</v>
      </c>
      <c r="R416" s="170"/>
      <c r="S416" s="170"/>
    </row>
    <row r="417" spans="1:19" x14ac:dyDescent="0.25">
      <c r="A417" s="134" t="e">
        <f>'Date Calcs'!#REF!</f>
        <v>#REF!</v>
      </c>
      <c r="B417" s="135" t="e">
        <f>'Date Calcs'!#REF!</f>
        <v>#REF!</v>
      </c>
      <c r="C417" s="136" t="e">
        <f>'Date Calcs'!#REF!</f>
        <v>#REF!</v>
      </c>
      <c r="D417" s="137" t="e">
        <f t="shared" si="55"/>
        <v>#REF!</v>
      </c>
      <c r="E417" s="143">
        <v>44440</v>
      </c>
      <c r="F417" s="137" t="e">
        <f>'Date Calcs'!#REF!</f>
        <v>#REF!</v>
      </c>
      <c r="G417" s="137" t="e">
        <f>IF(VLOOKUP(A417,'Actual Dates'!A4:AE544,8,),'Actual Dates'!#REF!,"")</f>
        <v>#REF!</v>
      </c>
      <c r="H417" s="137" t="e">
        <f t="shared" si="50"/>
        <v>#REF!</v>
      </c>
      <c r="I417" s="137" t="e">
        <f>IF(VLOOKUP(A417,'Actual Dates'!A4:AE539,25,),'Actual Dates'!#REF!,"")</f>
        <v>#REF!</v>
      </c>
      <c r="J417" s="137" t="e">
        <f t="shared" si="51"/>
        <v>#REF!</v>
      </c>
      <c r="K417" s="137" t="e">
        <f>IF(VLOOKUP(A417,'Actual Dates'!A4:AE567,26,),'Actual Dates'!#REF!,"")</f>
        <v>#REF!</v>
      </c>
      <c r="L417" s="137" t="e">
        <f>IF(VLOOKUP(A417,'Actual Dates'!A4:AE567,21,),'Actual Dates'!#REF!,"")</f>
        <v>#REF!</v>
      </c>
      <c r="M417" s="137" t="e">
        <f>'Date Calcs'!#REF!</f>
        <v>#REF!</v>
      </c>
      <c r="N417" s="137" t="e">
        <f>IF(VLOOKUP(A417,'Actual Dates'!A4:AE567,27,),'Actual Dates'!#REF!,"")</f>
        <v>#REF!</v>
      </c>
      <c r="O417" s="138" t="e">
        <f t="shared" si="54"/>
        <v>#REF!</v>
      </c>
      <c r="P417" s="139" t="e">
        <f t="shared" si="52"/>
        <v>#REF!</v>
      </c>
      <c r="Q417" s="139" t="e">
        <f t="shared" si="53"/>
        <v>#REF!</v>
      </c>
      <c r="R417" s="170"/>
      <c r="S417" s="170"/>
    </row>
    <row r="418" spans="1:19" x14ac:dyDescent="0.25">
      <c r="A418" s="134" t="e">
        <f>'Date Calcs'!#REF!</f>
        <v>#REF!</v>
      </c>
      <c r="B418" s="135" t="e">
        <f>'Date Calcs'!#REF!</f>
        <v>#REF!</v>
      </c>
      <c r="C418" s="136" t="e">
        <f>'Date Calcs'!#REF!</f>
        <v>#REF!</v>
      </c>
      <c r="D418" s="137" t="e">
        <f t="shared" si="55"/>
        <v>#REF!</v>
      </c>
      <c r="E418" s="143">
        <v>44441</v>
      </c>
      <c r="F418" s="137" t="e">
        <f>'Date Calcs'!#REF!</f>
        <v>#REF!</v>
      </c>
      <c r="G418" s="137" t="e">
        <f>IF(VLOOKUP(A418,'Actual Dates'!A4:AE545,8,),'Actual Dates'!#REF!,"")</f>
        <v>#REF!</v>
      </c>
      <c r="H418" s="137" t="e">
        <f t="shared" si="50"/>
        <v>#REF!</v>
      </c>
      <c r="I418" s="137" t="e">
        <f>IF(VLOOKUP(A418,'Actual Dates'!A4:AE540,25,),'Actual Dates'!#REF!,"")</f>
        <v>#REF!</v>
      </c>
      <c r="J418" s="137" t="e">
        <f t="shared" si="51"/>
        <v>#REF!</v>
      </c>
      <c r="K418" s="137" t="e">
        <f>IF(VLOOKUP(A418,'Actual Dates'!A4:AE568,26,),'Actual Dates'!#REF!,"")</f>
        <v>#REF!</v>
      </c>
      <c r="L418" s="137" t="e">
        <f>IF(VLOOKUP(A418,'Actual Dates'!A4:AE568,21,),'Actual Dates'!#REF!,"")</f>
        <v>#REF!</v>
      </c>
      <c r="M418" s="137" t="e">
        <f>'Date Calcs'!#REF!</f>
        <v>#REF!</v>
      </c>
      <c r="N418" s="137" t="e">
        <f>IF(VLOOKUP(A418,'Actual Dates'!A4:AE568,27,),'Actual Dates'!#REF!,"")</f>
        <v>#REF!</v>
      </c>
      <c r="O418" s="138" t="e">
        <f t="shared" si="54"/>
        <v>#REF!</v>
      </c>
      <c r="P418" s="139" t="e">
        <f t="shared" si="52"/>
        <v>#REF!</v>
      </c>
      <c r="Q418" s="139" t="e">
        <f t="shared" si="53"/>
        <v>#REF!</v>
      </c>
      <c r="R418" s="170"/>
      <c r="S418" s="170"/>
    </row>
    <row r="419" spans="1:19" x14ac:dyDescent="0.25">
      <c r="A419" s="134" t="e">
        <f>'Date Calcs'!#REF!</f>
        <v>#REF!</v>
      </c>
      <c r="B419" s="135" t="e">
        <f>'Date Calcs'!#REF!</f>
        <v>#REF!</v>
      </c>
      <c r="C419" s="136" t="e">
        <f>'Date Calcs'!#REF!</f>
        <v>#REF!</v>
      </c>
      <c r="D419" s="137" t="e">
        <f t="shared" si="55"/>
        <v>#REF!</v>
      </c>
      <c r="E419" s="143">
        <v>44442</v>
      </c>
      <c r="F419" s="137" t="e">
        <f>'Date Calcs'!#REF!</f>
        <v>#REF!</v>
      </c>
      <c r="G419" s="137" t="e">
        <f>IF(VLOOKUP(A419,'Actual Dates'!A4:AE546,8,),'Actual Dates'!#REF!,"")</f>
        <v>#REF!</v>
      </c>
      <c r="H419" s="137" t="e">
        <f t="shared" si="50"/>
        <v>#REF!</v>
      </c>
      <c r="I419" s="137" t="e">
        <f>IF(VLOOKUP(A419,'Actual Dates'!A4:AE541,25,),'Actual Dates'!#REF!,"")</f>
        <v>#REF!</v>
      </c>
      <c r="J419" s="137" t="e">
        <f t="shared" si="51"/>
        <v>#REF!</v>
      </c>
      <c r="K419" s="137" t="e">
        <f>IF(VLOOKUP(A419,'Actual Dates'!A4:AE569,26,),'Actual Dates'!#REF!,"")</f>
        <v>#REF!</v>
      </c>
      <c r="L419" s="137" t="e">
        <f>IF(VLOOKUP(A419,'Actual Dates'!A4:AE569,21,),'Actual Dates'!#REF!,"")</f>
        <v>#REF!</v>
      </c>
      <c r="M419" s="137" t="e">
        <f>'Date Calcs'!#REF!</f>
        <v>#REF!</v>
      </c>
      <c r="N419" s="137" t="e">
        <f>IF(VLOOKUP(A419,'Actual Dates'!A4:AE569,27,),'Actual Dates'!#REF!,"")</f>
        <v>#REF!</v>
      </c>
      <c r="O419" s="138" t="e">
        <f t="shared" si="54"/>
        <v>#REF!</v>
      </c>
      <c r="P419" s="139" t="e">
        <f t="shared" si="52"/>
        <v>#REF!</v>
      </c>
      <c r="Q419" s="139" t="e">
        <f t="shared" si="53"/>
        <v>#REF!</v>
      </c>
      <c r="R419" s="170"/>
      <c r="S419" s="170"/>
    </row>
    <row r="420" spans="1:19" x14ac:dyDescent="0.25">
      <c r="A420" s="134" t="e">
        <f>'Date Calcs'!#REF!</f>
        <v>#REF!</v>
      </c>
      <c r="B420" s="135" t="e">
        <f>'Date Calcs'!#REF!</f>
        <v>#REF!</v>
      </c>
      <c r="C420" s="136" t="e">
        <f>'Date Calcs'!#REF!</f>
        <v>#REF!</v>
      </c>
      <c r="D420" s="137" t="e">
        <f t="shared" si="55"/>
        <v>#REF!</v>
      </c>
      <c r="E420" s="143">
        <v>44443</v>
      </c>
      <c r="F420" s="137" t="e">
        <f>'Date Calcs'!#REF!</f>
        <v>#REF!</v>
      </c>
      <c r="G420" s="137" t="e">
        <f>IF(VLOOKUP(A420,'Actual Dates'!A4:AE547,8,),'Actual Dates'!#REF!,"")</f>
        <v>#REF!</v>
      </c>
      <c r="H420" s="137" t="e">
        <f t="shared" si="50"/>
        <v>#REF!</v>
      </c>
      <c r="I420" s="137" t="e">
        <f>IF(VLOOKUP(A420,'Actual Dates'!A4:AE542,25,),'Actual Dates'!#REF!,"")</f>
        <v>#REF!</v>
      </c>
      <c r="J420" s="137" t="e">
        <f t="shared" si="51"/>
        <v>#REF!</v>
      </c>
      <c r="K420" s="137" t="e">
        <f>IF(VLOOKUP(A420,'Actual Dates'!A4:AE570,26,),'Actual Dates'!#REF!,"")</f>
        <v>#REF!</v>
      </c>
      <c r="L420" s="137" t="e">
        <f>IF(VLOOKUP(A420,'Actual Dates'!A4:AE570,21,),'Actual Dates'!#REF!,"")</f>
        <v>#REF!</v>
      </c>
      <c r="M420" s="137" t="e">
        <f>'Date Calcs'!#REF!</f>
        <v>#REF!</v>
      </c>
      <c r="N420" s="137" t="e">
        <f>IF(VLOOKUP(A420,'Actual Dates'!A4:AE570,27,),'Actual Dates'!#REF!,"")</f>
        <v>#REF!</v>
      </c>
      <c r="O420" s="138" t="e">
        <f t="shared" si="54"/>
        <v>#REF!</v>
      </c>
      <c r="P420" s="139" t="e">
        <f t="shared" si="52"/>
        <v>#REF!</v>
      </c>
      <c r="Q420" s="139" t="e">
        <f t="shared" si="53"/>
        <v>#REF!</v>
      </c>
      <c r="R420" s="170"/>
      <c r="S420" s="170"/>
    </row>
    <row r="421" spans="1:19" x14ac:dyDescent="0.25">
      <c r="A421" s="134" t="e">
        <f>'Date Calcs'!#REF!</f>
        <v>#REF!</v>
      </c>
      <c r="B421" s="135" t="e">
        <f>'Date Calcs'!#REF!</f>
        <v>#REF!</v>
      </c>
      <c r="C421" s="136" t="e">
        <f>'Date Calcs'!#REF!</f>
        <v>#REF!</v>
      </c>
      <c r="D421" s="137" t="e">
        <f t="shared" si="55"/>
        <v>#REF!</v>
      </c>
      <c r="E421" s="143">
        <v>44444</v>
      </c>
      <c r="F421" s="137" t="e">
        <f>'Date Calcs'!#REF!</f>
        <v>#REF!</v>
      </c>
      <c r="G421" s="137" t="e">
        <f>IF(VLOOKUP(A421,'Actual Dates'!A4:AE548,8,),'Actual Dates'!#REF!,"")</f>
        <v>#REF!</v>
      </c>
      <c r="H421" s="137" t="e">
        <f t="shared" si="50"/>
        <v>#REF!</v>
      </c>
      <c r="I421" s="137" t="e">
        <f>IF(VLOOKUP(A421,'Actual Dates'!A4:AE543,25,),'Actual Dates'!#REF!,"")</f>
        <v>#REF!</v>
      </c>
      <c r="J421" s="137" t="e">
        <f t="shared" si="51"/>
        <v>#REF!</v>
      </c>
      <c r="K421" s="137" t="e">
        <f>IF(VLOOKUP(A421,'Actual Dates'!A4:AE571,26,),'Actual Dates'!#REF!,"")</f>
        <v>#REF!</v>
      </c>
      <c r="L421" s="137" t="e">
        <f>IF(VLOOKUP(A421,'Actual Dates'!A4:AE571,21,),'Actual Dates'!#REF!,"")</f>
        <v>#REF!</v>
      </c>
      <c r="M421" s="137" t="e">
        <f>'Date Calcs'!#REF!</f>
        <v>#REF!</v>
      </c>
      <c r="N421" s="137" t="e">
        <f>IF(VLOOKUP(A421,'Actual Dates'!A4:AE571,27,),'Actual Dates'!#REF!,"")</f>
        <v>#REF!</v>
      </c>
      <c r="O421" s="138" t="e">
        <f t="shared" si="54"/>
        <v>#REF!</v>
      </c>
      <c r="P421" s="139" t="e">
        <f t="shared" si="52"/>
        <v>#REF!</v>
      </c>
      <c r="Q421" s="139" t="e">
        <f t="shared" si="53"/>
        <v>#REF!</v>
      </c>
      <c r="R421" s="170"/>
      <c r="S421" s="170"/>
    </row>
    <row r="422" spans="1:19" x14ac:dyDescent="0.25">
      <c r="A422" s="134" t="e">
        <f>'Date Calcs'!#REF!</f>
        <v>#REF!</v>
      </c>
      <c r="B422" s="135" t="e">
        <f>'Date Calcs'!#REF!</f>
        <v>#REF!</v>
      </c>
      <c r="C422" s="136" t="e">
        <f>'Date Calcs'!#REF!</f>
        <v>#REF!</v>
      </c>
      <c r="D422" s="137" t="e">
        <f t="shared" si="55"/>
        <v>#REF!</v>
      </c>
      <c r="E422" s="143">
        <v>44445</v>
      </c>
      <c r="F422" s="137" t="e">
        <f>'Date Calcs'!#REF!</f>
        <v>#REF!</v>
      </c>
      <c r="G422" s="137" t="e">
        <f>IF(VLOOKUP(A422,'Actual Dates'!A4:AE549,8,),'Actual Dates'!#REF!,"")</f>
        <v>#REF!</v>
      </c>
      <c r="H422" s="137" t="e">
        <f t="shared" si="50"/>
        <v>#REF!</v>
      </c>
      <c r="I422" s="137" t="e">
        <f>IF(VLOOKUP(A422,'Actual Dates'!A4:AE544,25,),'Actual Dates'!#REF!,"")</f>
        <v>#REF!</v>
      </c>
      <c r="J422" s="137" t="e">
        <f t="shared" si="51"/>
        <v>#REF!</v>
      </c>
      <c r="K422" s="137" t="e">
        <f>IF(VLOOKUP(A422,'Actual Dates'!A4:AE572,26,),'Actual Dates'!#REF!,"")</f>
        <v>#REF!</v>
      </c>
      <c r="L422" s="137" t="e">
        <f>IF(VLOOKUP(A422,'Actual Dates'!A4:AE572,21,),'Actual Dates'!#REF!,"")</f>
        <v>#REF!</v>
      </c>
      <c r="M422" s="137" t="e">
        <f>'Date Calcs'!#REF!</f>
        <v>#REF!</v>
      </c>
      <c r="N422" s="137" t="e">
        <f>IF(VLOOKUP(A422,'Actual Dates'!A4:AE572,27,),'Actual Dates'!#REF!,"")</f>
        <v>#REF!</v>
      </c>
      <c r="O422" s="138" t="e">
        <f t="shared" si="54"/>
        <v>#REF!</v>
      </c>
      <c r="P422" s="139" t="e">
        <f t="shared" si="52"/>
        <v>#REF!</v>
      </c>
      <c r="Q422" s="139" t="e">
        <f t="shared" si="53"/>
        <v>#REF!</v>
      </c>
      <c r="R422" s="170"/>
      <c r="S422" s="170"/>
    </row>
    <row r="423" spans="1:19" x14ac:dyDescent="0.25">
      <c r="A423" s="134" t="e">
        <f>'Date Calcs'!#REF!</f>
        <v>#REF!</v>
      </c>
      <c r="B423" s="135" t="e">
        <f>'Date Calcs'!#REF!</f>
        <v>#REF!</v>
      </c>
      <c r="C423" s="136" t="e">
        <f>'Date Calcs'!#REF!</f>
        <v>#REF!</v>
      </c>
      <c r="D423" s="137" t="e">
        <f t="shared" si="55"/>
        <v>#REF!</v>
      </c>
      <c r="E423" s="143">
        <v>44446</v>
      </c>
      <c r="F423" s="137" t="e">
        <f>'Date Calcs'!#REF!</f>
        <v>#REF!</v>
      </c>
      <c r="G423" s="137" t="e">
        <f>IF(VLOOKUP(A423,'Actual Dates'!A4:AE550,8,),'Actual Dates'!#REF!,"")</f>
        <v>#REF!</v>
      </c>
      <c r="H423" s="137" t="e">
        <f t="shared" si="50"/>
        <v>#REF!</v>
      </c>
      <c r="I423" s="137" t="e">
        <f>IF(VLOOKUP(A423,'Actual Dates'!A4:AE545,25,),'Actual Dates'!#REF!,"")</f>
        <v>#REF!</v>
      </c>
      <c r="J423" s="137" t="e">
        <f t="shared" si="51"/>
        <v>#REF!</v>
      </c>
      <c r="K423" s="137" t="e">
        <f>IF(VLOOKUP(A423,'Actual Dates'!A4:AE573,26,),'Actual Dates'!#REF!,"")</f>
        <v>#REF!</v>
      </c>
      <c r="L423" s="137" t="e">
        <f>IF(VLOOKUP(A423,'Actual Dates'!A4:AE573,21,),'Actual Dates'!#REF!,"")</f>
        <v>#REF!</v>
      </c>
      <c r="M423" s="137" t="e">
        <f>'Date Calcs'!#REF!</f>
        <v>#REF!</v>
      </c>
      <c r="N423" s="137" t="e">
        <f>IF(VLOOKUP(A423,'Actual Dates'!A4:AE573,27,),'Actual Dates'!#REF!,"")</f>
        <v>#REF!</v>
      </c>
      <c r="O423" s="138" t="e">
        <f t="shared" si="54"/>
        <v>#REF!</v>
      </c>
      <c r="P423" s="139" t="e">
        <f t="shared" si="52"/>
        <v>#REF!</v>
      </c>
      <c r="Q423" s="139" t="e">
        <f t="shared" si="53"/>
        <v>#REF!</v>
      </c>
      <c r="R423" s="170"/>
      <c r="S423" s="170"/>
    </row>
    <row r="424" spans="1:19" x14ac:dyDescent="0.25">
      <c r="A424" s="134" t="e">
        <f>'Date Calcs'!#REF!</f>
        <v>#REF!</v>
      </c>
      <c r="B424" s="135" t="e">
        <f>'Date Calcs'!#REF!</f>
        <v>#REF!</v>
      </c>
      <c r="C424" s="136" t="e">
        <f>'Date Calcs'!#REF!</f>
        <v>#REF!</v>
      </c>
      <c r="D424" s="137" t="e">
        <f t="shared" si="55"/>
        <v>#REF!</v>
      </c>
      <c r="E424" s="143">
        <v>44447</v>
      </c>
      <c r="F424" s="137" t="e">
        <f>'Date Calcs'!#REF!</f>
        <v>#REF!</v>
      </c>
      <c r="G424" s="137" t="e">
        <f>IF(VLOOKUP(A424,'Actual Dates'!A4:AE551,8,),'Actual Dates'!#REF!,"")</f>
        <v>#REF!</v>
      </c>
      <c r="H424" s="137" t="e">
        <f t="shared" si="50"/>
        <v>#REF!</v>
      </c>
      <c r="I424" s="137" t="e">
        <f>IF(VLOOKUP(A424,'Actual Dates'!A4:AE546,25,),'Actual Dates'!#REF!,"")</f>
        <v>#REF!</v>
      </c>
      <c r="J424" s="137" t="e">
        <f t="shared" si="51"/>
        <v>#REF!</v>
      </c>
      <c r="K424" s="137" t="e">
        <f>IF(VLOOKUP(A424,'Actual Dates'!A4:AE574,26,),'Actual Dates'!#REF!,"")</f>
        <v>#REF!</v>
      </c>
      <c r="L424" s="137" t="e">
        <f>IF(VLOOKUP(A424,'Actual Dates'!A4:AE574,21,),'Actual Dates'!#REF!,"")</f>
        <v>#REF!</v>
      </c>
      <c r="M424" s="137" t="e">
        <f>'Date Calcs'!#REF!</f>
        <v>#REF!</v>
      </c>
      <c r="N424" s="137" t="e">
        <f>IF(VLOOKUP(A424,'Actual Dates'!A4:AE574,27,),'Actual Dates'!#REF!,"")</f>
        <v>#REF!</v>
      </c>
      <c r="O424" s="138" t="e">
        <f t="shared" si="54"/>
        <v>#REF!</v>
      </c>
      <c r="P424" s="139" t="e">
        <f t="shared" si="52"/>
        <v>#REF!</v>
      </c>
      <c r="Q424" s="139" t="e">
        <f t="shared" si="53"/>
        <v>#REF!</v>
      </c>
      <c r="R424" s="170"/>
      <c r="S424" s="170"/>
    </row>
    <row r="425" spans="1:19" x14ac:dyDescent="0.25">
      <c r="A425" s="134" t="e">
        <f>'Date Calcs'!#REF!</f>
        <v>#REF!</v>
      </c>
      <c r="B425" s="135" t="e">
        <f>'Date Calcs'!#REF!</f>
        <v>#REF!</v>
      </c>
      <c r="C425" s="136" t="e">
        <f>'Date Calcs'!#REF!</f>
        <v>#REF!</v>
      </c>
      <c r="D425" s="137" t="e">
        <f t="shared" si="55"/>
        <v>#REF!</v>
      </c>
      <c r="E425" s="143">
        <v>44448</v>
      </c>
      <c r="F425" s="137" t="e">
        <f>'Date Calcs'!#REF!</f>
        <v>#REF!</v>
      </c>
      <c r="G425" s="137" t="e">
        <f>IF(VLOOKUP(A425,'Actual Dates'!A4:AE552,8,),'Actual Dates'!#REF!,"")</f>
        <v>#REF!</v>
      </c>
      <c r="H425" s="137" t="e">
        <f t="shared" si="50"/>
        <v>#REF!</v>
      </c>
      <c r="I425" s="137" t="e">
        <f>IF(VLOOKUP(A425,'Actual Dates'!A4:AE547,25,),'Actual Dates'!#REF!,"")</f>
        <v>#REF!</v>
      </c>
      <c r="J425" s="137" t="e">
        <f t="shared" si="51"/>
        <v>#REF!</v>
      </c>
      <c r="K425" s="137" t="e">
        <f>IF(VLOOKUP(A425,'Actual Dates'!A4:AE575,26,),'Actual Dates'!#REF!,"")</f>
        <v>#REF!</v>
      </c>
      <c r="L425" s="137" t="e">
        <f>IF(VLOOKUP(A425,'Actual Dates'!A4:AE575,21,),'Actual Dates'!#REF!,"")</f>
        <v>#REF!</v>
      </c>
      <c r="M425" s="137" t="e">
        <f>'Date Calcs'!#REF!</f>
        <v>#REF!</v>
      </c>
      <c r="N425" s="137" t="e">
        <f>IF(VLOOKUP(A425,'Actual Dates'!A4:AE575,27,),'Actual Dates'!#REF!,"")</f>
        <v>#REF!</v>
      </c>
      <c r="O425" s="138" t="e">
        <f t="shared" si="54"/>
        <v>#REF!</v>
      </c>
      <c r="P425" s="139" t="e">
        <f t="shared" si="52"/>
        <v>#REF!</v>
      </c>
      <c r="Q425" s="139" t="e">
        <f t="shared" si="53"/>
        <v>#REF!</v>
      </c>
      <c r="R425" s="170"/>
      <c r="S425" s="170"/>
    </row>
    <row r="426" spans="1:19" x14ac:dyDescent="0.25">
      <c r="A426" s="134" t="e">
        <f>'Date Calcs'!#REF!</f>
        <v>#REF!</v>
      </c>
      <c r="B426" s="135" t="e">
        <f>'Date Calcs'!#REF!</f>
        <v>#REF!</v>
      </c>
      <c r="C426" s="136" t="e">
        <f>'Date Calcs'!#REF!</f>
        <v>#REF!</v>
      </c>
      <c r="D426" s="137" t="e">
        <f t="shared" si="55"/>
        <v>#REF!</v>
      </c>
      <c r="E426" s="143">
        <v>44449</v>
      </c>
      <c r="F426" s="137" t="e">
        <f>'Date Calcs'!#REF!</f>
        <v>#REF!</v>
      </c>
      <c r="G426" s="137" t="e">
        <f>IF(VLOOKUP(A426,'Actual Dates'!A4:AE553,8,),'Actual Dates'!#REF!,"")</f>
        <v>#REF!</v>
      </c>
      <c r="H426" s="137" t="e">
        <f t="shared" si="50"/>
        <v>#REF!</v>
      </c>
      <c r="I426" s="137" t="e">
        <f>IF(VLOOKUP(A426,'Actual Dates'!A4:AE548,25,),'Actual Dates'!#REF!,"")</f>
        <v>#REF!</v>
      </c>
      <c r="J426" s="137" t="e">
        <f t="shared" si="51"/>
        <v>#REF!</v>
      </c>
      <c r="K426" s="137" t="e">
        <f>IF(VLOOKUP(A426,'Actual Dates'!A4:AE576,26,),'Actual Dates'!#REF!,"")</f>
        <v>#REF!</v>
      </c>
      <c r="L426" s="137" t="e">
        <f>IF(VLOOKUP(A426,'Actual Dates'!A4:AE576,21,),'Actual Dates'!#REF!,"")</f>
        <v>#REF!</v>
      </c>
      <c r="M426" s="137" t="e">
        <f>'Date Calcs'!#REF!</f>
        <v>#REF!</v>
      </c>
      <c r="N426" s="137" t="e">
        <f>IF(VLOOKUP(A426,'Actual Dates'!A4:AE576,27,),'Actual Dates'!#REF!,"")</f>
        <v>#REF!</v>
      </c>
      <c r="O426" s="138" t="e">
        <f t="shared" si="54"/>
        <v>#REF!</v>
      </c>
      <c r="P426" s="139" t="e">
        <f t="shared" si="52"/>
        <v>#REF!</v>
      </c>
      <c r="Q426" s="139" t="e">
        <f t="shared" si="53"/>
        <v>#REF!</v>
      </c>
      <c r="R426" s="170"/>
      <c r="S426" s="170"/>
    </row>
    <row r="427" spans="1:19" x14ac:dyDescent="0.25">
      <c r="A427" s="134" t="e">
        <f>'Date Calcs'!#REF!</f>
        <v>#REF!</v>
      </c>
      <c r="B427" s="135" t="e">
        <f>'Date Calcs'!#REF!</f>
        <v>#REF!</v>
      </c>
      <c r="C427" s="136" t="e">
        <f>'Date Calcs'!#REF!</f>
        <v>#REF!</v>
      </c>
      <c r="D427" s="137" t="e">
        <f t="shared" si="55"/>
        <v>#REF!</v>
      </c>
      <c r="E427" s="143">
        <v>44450</v>
      </c>
      <c r="F427" s="137" t="e">
        <f>'Date Calcs'!#REF!</f>
        <v>#REF!</v>
      </c>
      <c r="G427" s="137" t="e">
        <f>IF(VLOOKUP(A427,'Actual Dates'!A4:AE554,8,),'Actual Dates'!#REF!,"")</f>
        <v>#REF!</v>
      </c>
      <c r="H427" s="137" t="e">
        <f t="shared" si="50"/>
        <v>#REF!</v>
      </c>
      <c r="I427" s="137" t="e">
        <f>IF(VLOOKUP(A427,'Actual Dates'!A4:AE549,25,),'Actual Dates'!#REF!,"")</f>
        <v>#REF!</v>
      </c>
      <c r="J427" s="137" t="e">
        <f t="shared" si="51"/>
        <v>#REF!</v>
      </c>
      <c r="K427" s="137" t="e">
        <f>IF(VLOOKUP(A427,'Actual Dates'!A4:AE577,26,),'Actual Dates'!#REF!,"")</f>
        <v>#REF!</v>
      </c>
      <c r="L427" s="137" t="e">
        <f>IF(VLOOKUP(A427,'Actual Dates'!A4:AE577,21,),'Actual Dates'!#REF!,"")</f>
        <v>#REF!</v>
      </c>
      <c r="M427" s="137" t="e">
        <f>'Date Calcs'!#REF!</f>
        <v>#REF!</v>
      </c>
      <c r="N427" s="137" t="e">
        <f>IF(VLOOKUP(A427,'Actual Dates'!A4:AE577,27,),'Actual Dates'!#REF!,"")</f>
        <v>#REF!</v>
      </c>
      <c r="O427" s="138" t="e">
        <f t="shared" si="54"/>
        <v>#REF!</v>
      </c>
      <c r="P427" s="139" t="e">
        <f t="shared" si="52"/>
        <v>#REF!</v>
      </c>
      <c r="Q427" s="139" t="e">
        <f t="shared" si="53"/>
        <v>#REF!</v>
      </c>
      <c r="R427" s="170"/>
      <c r="S427" s="170"/>
    </row>
    <row r="428" spans="1:19" x14ac:dyDescent="0.25">
      <c r="A428" s="134" t="e">
        <f>'Date Calcs'!#REF!</f>
        <v>#REF!</v>
      </c>
      <c r="B428" s="135" t="e">
        <f>'Date Calcs'!#REF!</f>
        <v>#REF!</v>
      </c>
      <c r="C428" s="136" t="e">
        <f>'Date Calcs'!#REF!</f>
        <v>#REF!</v>
      </c>
      <c r="D428" s="137" t="e">
        <f t="shared" si="55"/>
        <v>#REF!</v>
      </c>
      <c r="E428" s="143">
        <v>44451</v>
      </c>
      <c r="F428" s="137" t="e">
        <f>'Date Calcs'!#REF!</f>
        <v>#REF!</v>
      </c>
      <c r="G428" s="137" t="e">
        <f>IF(VLOOKUP(A428,'Actual Dates'!A4:AE555,8,),'Actual Dates'!#REF!,"")</f>
        <v>#REF!</v>
      </c>
      <c r="H428" s="137" t="e">
        <f t="shared" si="50"/>
        <v>#REF!</v>
      </c>
      <c r="I428" s="137" t="e">
        <f>IF(VLOOKUP(A428,'Actual Dates'!A4:AE550,25,),'Actual Dates'!#REF!,"")</f>
        <v>#REF!</v>
      </c>
      <c r="J428" s="137" t="e">
        <f t="shared" si="51"/>
        <v>#REF!</v>
      </c>
      <c r="K428" s="137" t="e">
        <f>IF(VLOOKUP(A428,'Actual Dates'!A4:AE578,26,),'Actual Dates'!#REF!,"")</f>
        <v>#REF!</v>
      </c>
      <c r="L428" s="137" t="e">
        <f>IF(VLOOKUP(A428,'Actual Dates'!A4:AE578,21,),'Actual Dates'!#REF!,"")</f>
        <v>#REF!</v>
      </c>
      <c r="M428" s="137" t="e">
        <f>'Date Calcs'!#REF!</f>
        <v>#REF!</v>
      </c>
      <c r="N428" s="137" t="e">
        <f>IF(VLOOKUP(A428,'Actual Dates'!A4:AE578,27,),'Actual Dates'!#REF!,"")</f>
        <v>#REF!</v>
      </c>
      <c r="O428" s="138" t="e">
        <f t="shared" si="54"/>
        <v>#REF!</v>
      </c>
      <c r="P428" s="139" t="e">
        <f t="shared" si="52"/>
        <v>#REF!</v>
      </c>
      <c r="Q428" s="139" t="e">
        <f t="shared" si="53"/>
        <v>#REF!</v>
      </c>
      <c r="R428" s="170"/>
      <c r="S428" s="170"/>
    </row>
    <row r="429" spans="1:19" x14ac:dyDescent="0.25">
      <c r="A429" s="134" t="e">
        <f>'Date Calcs'!#REF!</f>
        <v>#REF!</v>
      </c>
      <c r="B429" s="135" t="e">
        <f>'Date Calcs'!#REF!</f>
        <v>#REF!</v>
      </c>
      <c r="C429" s="136" t="e">
        <f>'Date Calcs'!#REF!</f>
        <v>#REF!</v>
      </c>
      <c r="D429" s="137" t="e">
        <f t="shared" si="55"/>
        <v>#REF!</v>
      </c>
      <c r="E429" s="143">
        <v>44452</v>
      </c>
      <c r="F429" s="137" t="e">
        <f>'Date Calcs'!#REF!</f>
        <v>#REF!</v>
      </c>
      <c r="G429" s="137" t="e">
        <f>IF(VLOOKUP(A429,'Actual Dates'!A4:AE556,8,),'Actual Dates'!#REF!,"")</f>
        <v>#REF!</v>
      </c>
      <c r="H429" s="137" t="e">
        <f t="shared" si="50"/>
        <v>#REF!</v>
      </c>
      <c r="I429" s="137" t="e">
        <f>IF(VLOOKUP(A429,'Actual Dates'!A4:AE551,25,),'Actual Dates'!#REF!,"")</f>
        <v>#REF!</v>
      </c>
      <c r="J429" s="137" t="e">
        <f t="shared" si="51"/>
        <v>#REF!</v>
      </c>
      <c r="K429" s="137" t="e">
        <f>IF(VLOOKUP(A429,'Actual Dates'!A4:AE579,26,),'Actual Dates'!#REF!,"")</f>
        <v>#REF!</v>
      </c>
      <c r="L429" s="137" t="e">
        <f>IF(VLOOKUP(A429,'Actual Dates'!A4:AE579,21,),'Actual Dates'!#REF!,"")</f>
        <v>#REF!</v>
      </c>
      <c r="M429" s="137" t="e">
        <f>'Date Calcs'!#REF!</f>
        <v>#REF!</v>
      </c>
      <c r="N429" s="137" t="e">
        <f>IF(VLOOKUP(A429,'Actual Dates'!A4:AE579,27,),'Actual Dates'!#REF!,"")</f>
        <v>#REF!</v>
      </c>
      <c r="O429" s="138" t="e">
        <f t="shared" si="54"/>
        <v>#REF!</v>
      </c>
      <c r="P429" s="139" t="e">
        <f t="shared" si="52"/>
        <v>#REF!</v>
      </c>
      <c r="Q429" s="139" t="e">
        <f t="shared" si="53"/>
        <v>#REF!</v>
      </c>
      <c r="R429" s="170"/>
      <c r="S429" s="170"/>
    </row>
    <row r="430" spans="1:19" x14ac:dyDescent="0.25">
      <c r="A430" s="134" t="e">
        <f>'Date Calcs'!#REF!</f>
        <v>#REF!</v>
      </c>
      <c r="B430" s="135" t="e">
        <f>'Date Calcs'!#REF!</f>
        <v>#REF!</v>
      </c>
      <c r="C430" s="136" t="e">
        <f>'Date Calcs'!#REF!</f>
        <v>#REF!</v>
      </c>
      <c r="D430" s="137" t="e">
        <f t="shared" si="55"/>
        <v>#REF!</v>
      </c>
      <c r="E430" s="143">
        <v>44453</v>
      </c>
      <c r="F430" s="137" t="e">
        <f>'Date Calcs'!#REF!</f>
        <v>#REF!</v>
      </c>
      <c r="G430" s="137" t="e">
        <f>IF(VLOOKUP(A430,'Actual Dates'!A4:AE557,8,),'Actual Dates'!#REF!,"")</f>
        <v>#REF!</v>
      </c>
      <c r="H430" s="137" t="e">
        <f t="shared" si="50"/>
        <v>#REF!</v>
      </c>
      <c r="I430" s="137" t="e">
        <f>IF(VLOOKUP(A430,'Actual Dates'!A4:AE552,25,),'Actual Dates'!#REF!,"")</f>
        <v>#REF!</v>
      </c>
      <c r="J430" s="137" t="e">
        <f t="shared" si="51"/>
        <v>#REF!</v>
      </c>
      <c r="K430" s="137" t="e">
        <f>IF(VLOOKUP(A430,'Actual Dates'!A4:AE580,26,),'Actual Dates'!#REF!,"")</f>
        <v>#REF!</v>
      </c>
      <c r="L430" s="137" t="e">
        <f>IF(VLOOKUP(A430,'Actual Dates'!A4:AE580,21,),'Actual Dates'!#REF!,"")</f>
        <v>#REF!</v>
      </c>
      <c r="M430" s="137" t="e">
        <f>'Date Calcs'!#REF!</f>
        <v>#REF!</v>
      </c>
      <c r="N430" s="137" t="e">
        <f>IF(VLOOKUP(A430,'Actual Dates'!A4:AE580,27,),'Actual Dates'!#REF!,"")</f>
        <v>#REF!</v>
      </c>
      <c r="O430" s="138" t="e">
        <f t="shared" si="54"/>
        <v>#REF!</v>
      </c>
      <c r="P430" s="139" t="e">
        <f t="shared" si="52"/>
        <v>#REF!</v>
      </c>
      <c r="Q430" s="139" t="e">
        <f t="shared" si="53"/>
        <v>#REF!</v>
      </c>
      <c r="R430" s="170"/>
      <c r="S430" s="170"/>
    </row>
    <row r="431" spans="1:19" x14ac:dyDescent="0.25">
      <c r="A431" s="134" t="e">
        <f>'Date Calcs'!#REF!</f>
        <v>#REF!</v>
      </c>
      <c r="B431" s="135" t="e">
        <f>'Date Calcs'!#REF!</f>
        <v>#REF!</v>
      </c>
      <c r="C431" s="136" t="e">
        <f>'Date Calcs'!#REF!</f>
        <v>#REF!</v>
      </c>
      <c r="D431" s="137" t="e">
        <f t="shared" si="55"/>
        <v>#REF!</v>
      </c>
      <c r="E431" s="143">
        <v>44454</v>
      </c>
      <c r="F431" s="137" t="e">
        <f>'Date Calcs'!#REF!</f>
        <v>#REF!</v>
      </c>
      <c r="G431" s="137" t="e">
        <f>IF(VLOOKUP(A431,'Actual Dates'!A4:AE558,8,),'Actual Dates'!#REF!,"")</f>
        <v>#REF!</v>
      </c>
      <c r="H431" s="137" t="e">
        <f t="shared" si="50"/>
        <v>#REF!</v>
      </c>
      <c r="I431" s="137" t="e">
        <f>IF(VLOOKUP(A431,'Actual Dates'!A4:AE553,25,),'Actual Dates'!#REF!,"")</f>
        <v>#REF!</v>
      </c>
      <c r="J431" s="137" t="e">
        <f t="shared" si="51"/>
        <v>#REF!</v>
      </c>
      <c r="K431" s="137" t="e">
        <f>IF(VLOOKUP(A431,'Actual Dates'!A4:AE581,26,),'Actual Dates'!#REF!,"")</f>
        <v>#REF!</v>
      </c>
      <c r="L431" s="137" t="e">
        <f>IF(VLOOKUP(A431,'Actual Dates'!A4:AE581,21,),'Actual Dates'!#REF!,"")</f>
        <v>#REF!</v>
      </c>
      <c r="M431" s="137" t="e">
        <f>'Date Calcs'!#REF!</f>
        <v>#REF!</v>
      </c>
      <c r="N431" s="137" t="e">
        <f>IF(VLOOKUP(A431,'Actual Dates'!A4:AE581,27,),'Actual Dates'!#REF!,"")</f>
        <v>#REF!</v>
      </c>
      <c r="O431" s="138" t="e">
        <f t="shared" si="54"/>
        <v>#REF!</v>
      </c>
      <c r="P431" s="139" t="e">
        <f t="shared" si="52"/>
        <v>#REF!</v>
      </c>
      <c r="Q431" s="139" t="e">
        <f t="shared" si="53"/>
        <v>#REF!</v>
      </c>
      <c r="R431" s="170"/>
      <c r="S431" s="170"/>
    </row>
    <row r="432" spans="1:19" x14ac:dyDescent="0.25">
      <c r="A432" s="134" t="e">
        <f>'Date Calcs'!#REF!</f>
        <v>#REF!</v>
      </c>
      <c r="B432" s="135" t="e">
        <f>'Date Calcs'!#REF!</f>
        <v>#REF!</v>
      </c>
      <c r="C432" s="136" t="e">
        <f>'Date Calcs'!#REF!</f>
        <v>#REF!</v>
      </c>
      <c r="D432" s="137" t="e">
        <f t="shared" si="55"/>
        <v>#REF!</v>
      </c>
      <c r="E432" s="143">
        <v>44455</v>
      </c>
      <c r="F432" s="137" t="e">
        <f>'Date Calcs'!#REF!</f>
        <v>#REF!</v>
      </c>
      <c r="G432" s="137" t="e">
        <f>IF(VLOOKUP(A432,'Actual Dates'!A4:AE559,8,),'Actual Dates'!#REF!,"")</f>
        <v>#REF!</v>
      </c>
      <c r="H432" s="137" t="e">
        <f t="shared" si="50"/>
        <v>#REF!</v>
      </c>
      <c r="I432" s="137" t="e">
        <f>IF(VLOOKUP(A432,'Actual Dates'!A4:AE554,25,),'Actual Dates'!#REF!,"")</f>
        <v>#REF!</v>
      </c>
      <c r="J432" s="137" t="e">
        <f t="shared" si="51"/>
        <v>#REF!</v>
      </c>
      <c r="K432" s="137" t="e">
        <f>IF(VLOOKUP(A432,'Actual Dates'!A4:AE582,26,),'Actual Dates'!#REF!,"")</f>
        <v>#REF!</v>
      </c>
      <c r="L432" s="137" t="e">
        <f>IF(VLOOKUP(A432,'Actual Dates'!A4:AE582,21,),'Actual Dates'!#REF!,"")</f>
        <v>#REF!</v>
      </c>
      <c r="M432" s="137" t="e">
        <f>'Date Calcs'!#REF!</f>
        <v>#REF!</v>
      </c>
      <c r="N432" s="137" t="e">
        <f>IF(VLOOKUP(A432,'Actual Dates'!A4:AE582,27,),'Actual Dates'!#REF!,"")</f>
        <v>#REF!</v>
      </c>
      <c r="O432" s="138" t="e">
        <f t="shared" si="54"/>
        <v>#REF!</v>
      </c>
      <c r="P432" s="139" t="e">
        <f t="shared" si="52"/>
        <v>#REF!</v>
      </c>
      <c r="Q432" s="139" t="e">
        <f t="shared" si="53"/>
        <v>#REF!</v>
      </c>
      <c r="R432" s="170"/>
      <c r="S432" s="170"/>
    </row>
    <row r="433" spans="1:19" x14ac:dyDescent="0.25">
      <c r="A433" s="134" t="e">
        <f>'Date Calcs'!#REF!</f>
        <v>#REF!</v>
      </c>
      <c r="B433" s="135" t="e">
        <f>'Date Calcs'!#REF!</f>
        <v>#REF!</v>
      </c>
      <c r="C433" s="136" t="e">
        <f>'Date Calcs'!#REF!</f>
        <v>#REF!</v>
      </c>
      <c r="D433" s="137" t="e">
        <f t="shared" si="55"/>
        <v>#REF!</v>
      </c>
      <c r="E433" s="143">
        <v>44456</v>
      </c>
      <c r="F433" s="137" t="e">
        <f>'Date Calcs'!#REF!</f>
        <v>#REF!</v>
      </c>
      <c r="G433" s="137" t="e">
        <f>IF(VLOOKUP(A433,'Actual Dates'!A4:AE560,8,),'Actual Dates'!#REF!,"")</f>
        <v>#REF!</v>
      </c>
      <c r="H433" s="137" t="e">
        <f t="shared" si="50"/>
        <v>#REF!</v>
      </c>
      <c r="I433" s="137" t="e">
        <f>IF(VLOOKUP(A433,'Actual Dates'!A4:AE555,25,),'Actual Dates'!#REF!,"")</f>
        <v>#REF!</v>
      </c>
      <c r="J433" s="137" t="e">
        <f t="shared" si="51"/>
        <v>#REF!</v>
      </c>
      <c r="K433" s="137" t="e">
        <f>IF(VLOOKUP(A433,'Actual Dates'!A4:AE583,26,),'Actual Dates'!#REF!,"")</f>
        <v>#REF!</v>
      </c>
      <c r="L433" s="137" t="e">
        <f>IF(VLOOKUP(A433,'Actual Dates'!A4:AE583,21,),'Actual Dates'!#REF!,"")</f>
        <v>#REF!</v>
      </c>
      <c r="M433" s="137" t="e">
        <f>'Date Calcs'!#REF!</f>
        <v>#REF!</v>
      </c>
      <c r="N433" s="137" t="e">
        <f>IF(VLOOKUP(A433,'Actual Dates'!A4:AE583,27,),'Actual Dates'!#REF!,"")</f>
        <v>#REF!</v>
      </c>
      <c r="O433" s="138" t="e">
        <f t="shared" si="54"/>
        <v>#REF!</v>
      </c>
      <c r="P433" s="139" t="e">
        <f t="shared" si="52"/>
        <v>#REF!</v>
      </c>
      <c r="Q433" s="139" t="e">
        <f t="shared" si="53"/>
        <v>#REF!</v>
      </c>
      <c r="R433" s="170"/>
      <c r="S433" s="170"/>
    </row>
    <row r="434" spans="1:19" x14ac:dyDescent="0.25">
      <c r="A434" s="134" t="e">
        <f>'Date Calcs'!#REF!</f>
        <v>#REF!</v>
      </c>
      <c r="B434" s="135" t="e">
        <f>'Date Calcs'!#REF!</f>
        <v>#REF!</v>
      </c>
      <c r="C434" s="136" t="e">
        <f>'Date Calcs'!#REF!</f>
        <v>#REF!</v>
      </c>
      <c r="D434" s="137" t="e">
        <f t="shared" si="55"/>
        <v>#REF!</v>
      </c>
      <c r="E434" s="143">
        <v>44457</v>
      </c>
      <c r="F434" s="137" t="e">
        <f>'Date Calcs'!#REF!</f>
        <v>#REF!</v>
      </c>
      <c r="G434" s="137" t="e">
        <f>IF(VLOOKUP(A434,'Actual Dates'!A4:AE561,8,),'Actual Dates'!#REF!,"")</f>
        <v>#REF!</v>
      </c>
      <c r="H434" s="137" t="e">
        <f t="shared" si="50"/>
        <v>#REF!</v>
      </c>
      <c r="I434" s="137" t="e">
        <f>IF(VLOOKUP(A434,'Actual Dates'!A4:AE556,25,),'Actual Dates'!#REF!,"")</f>
        <v>#REF!</v>
      </c>
      <c r="J434" s="137" t="e">
        <f t="shared" si="51"/>
        <v>#REF!</v>
      </c>
      <c r="K434" s="137" t="e">
        <f>IF(VLOOKUP(A434,'Actual Dates'!A4:AE584,26,),'Actual Dates'!#REF!,"")</f>
        <v>#REF!</v>
      </c>
      <c r="L434" s="137" t="e">
        <f>IF(VLOOKUP(A434,'Actual Dates'!A4:AE584,21,),'Actual Dates'!#REF!,"")</f>
        <v>#REF!</v>
      </c>
      <c r="M434" s="137" t="e">
        <f>'Date Calcs'!#REF!</f>
        <v>#REF!</v>
      </c>
      <c r="N434" s="137" t="e">
        <f>IF(VLOOKUP(A434,'Actual Dates'!A4:AE584,27,),'Actual Dates'!#REF!,"")</f>
        <v>#REF!</v>
      </c>
      <c r="O434" s="138" t="e">
        <f t="shared" si="54"/>
        <v>#REF!</v>
      </c>
      <c r="P434" s="139" t="e">
        <f t="shared" si="52"/>
        <v>#REF!</v>
      </c>
      <c r="Q434" s="139" t="e">
        <f t="shared" si="53"/>
        <v>#REF!</v>
      </c>
      <c r="R434" s="170"/>
      <c r="S434" s="170"/>
    </row>
    <row r="435" spans="1:19" x14ac:dyDescent="0.25">
      <c r="A435" s="134" t="e">
        <f>'Date Calcs'!#REF!</f>
        <v>#REF!</v>
      </c>
      <c r="B435" s="135" t="e">
        <f>'Date Calcs'!#REF!</f>
        <v>#REF!</v>
      </c>
      <c r="C435" s="136" t="e">
        <f>'Date Calcs'!#REF!</f>
        <v>#REF!</v>
      </c>
      <c r="D435" s="137" t="e">
        <f t="shared" si="55"/>
        <v>#REF!</v>
      </c>
      <c r="E435" s="143">
        <v>44458</v>
      </c>
      <c r="F435" s="137" t="e">
        <f>'Date Calcs'!#REF!</f>
        <v>#REF!</v>
      </c>
      <c r="G435" s="137" t="e">
        <f>IF(VLOOKUP(A435,'Actual Dates'!A4:AE562,8,),'Actual Dates'!#REF!,"")</f>
        <v>#REF!</v>
      </c>
      <c r="H435" s="137" t="e">
        <f t="shared" ref="H435:H498" si="56">WORKDAY(L435,3,)</f>
        <v>#REF!</v>
      </c>
      <c r="I435" s="137" t="e">
        <f>IF(VLOOKUP(A435,'Actual Dates'!A4:AE557,25,),'Actual Dates'!#REF!,"")</f>
        <v>#REF!</v>
      </c>
      <c r="J435" s="137" t="e">
        <f t="shared" ref="J435:J498" si="57">WORKDAY(L435,4,)</f>
        <v>#REF!</v>
      </c>
      <c r="K435" s="137" t="e">
        <f>IF(VLOOKUP(A435,'Actual Dates'!A4:AE585,26,),'Actual Dates'!#REF!,"")</f>
        <v>#REF!</v>
      </c>
      <c r="L435" s="137" t="e">
        <f>IF(VLOOKUP(A435,'Actual Dates'!A4:AE585,21,),'Actual Dates'!#REF!,"")</f>
        <v>#REF!</v>
      </c>
      <c r="M435" s="137" t="e">
        <f>'Date Calcs'!#REF!</f>
        <v>#REF!</v>
      </c>
      <c r="N435" s="137" t="e">
        <f>IF(VLOOKUP(A435,'Actual Dates'!A4:AE585,27,),'Actual Dates'!#REF!,"")</f>
        <v>#REF!</v>
      </c>
      <c r="O435" s="138" t="e">
        <f t="shared" si="54"/>
        <v>#REF!</v>
      </c>
      <c r="P435" s="139" t="e">
        <f t="shared" ref="P435:P498" si="58">F435-G435</f>
        <v>#REF!</v>
      </c>
      <c r="Q435" s="139" t="e">
        <f t="shared" ref="Q435:Q498" si="59">M435-N435</f>
        <v>#REF!</v>
      </c>
      <c r="R435" s="170"/>
      <c r="S435" s="170"/>
    </row>
    <row r="436" spans="1:19" x14ac:dyDescent="0.25">
      <c r="A436" s="134" t="e">
        <f>'Date Calcs'!#REF!</f>
        <v>#REF!</v>
      </c>
      <c r="B436" s="135" t="e">
        <f>'Date Calcs'!#REF!</f>
        <v>#REF!</v>
      </c>
      <c r="C436" s="136" t="e">
        <f>'Date Calcs'!#REF!</f>
        <v>#REF!</v>
      </c>
      <c r="D436" s="137" t="e">
        <f t="shared" si="55"/>
        <v>#REF!</v>
      </c>
      <c r="E436" s="143">
        <v>44459</v>
      </c>
      <c r="F436" s="137" t="e">
        <f>'Date Calcs'!#REF!</f>
        <v>#REF!</v>
      </c>
      <c r="G436" s="137" t="e">
        <f>IF(VLOOKUP(A436,'Actual Dates'!A4:AE563,8,),'Actual Dates'!#REF!,"")</f>
        <v>#REF!</v>
      </c>
      <c r="H436" s="137" t="e">
        <f t="shared" si="56"/>
        <v>#REF!</v>
      </c>
      <c r="I436" s="137" t="e">
        <f>IF(VLOOKUP(A436,'Actual Dates'!A4:AE558,25,),'Actual Dates'!#REF!,"")</f>
        <v>#REF!</v>
      </c>
      <c r="J436" s="137" t="e">
        <f t="shared" si="57"/>
        <v>#REF!</v>
      </c>
      <c r="K436" s="137" t="e">
        <f>IF(VLOOKUP(A436,'Actual Dates'!A4:AE586,26,),'Actual Dates'!#REF!,"")</f>
        <v>#REF!</v>
      </c>
      <c r="L436" s="137" t="e">
        <f>IF(VLOOKUP(A436,'Actual Dates'!A4:AE586,21,),'Actual Dates'!#REF!,"")</f>
        <v>#REF!</v>
      </c>
      <c r="M436" s="137" t="e">
        <f>'Date Calcs'!#REF!</f>
        <v>#REF!</v>
      </c>
      <c r="N436" s="137" t="e">
        <f>IF(VLOOKUP(A436,'Actual Dates'!A4:AE586,27,),'Actual Dates'!#REF!,"")</f>
        <v>#REF!</v>
      </c>
      <c r="O436" s="138" t="e">
        <f t="shared" si="54"/>
        <v>#REF!</v>
      </c>
      <c r="P436" s="139" t="e">
        <f t="shared" si="58"/>
        <v>#REF!</v>
      </c>
      <c r="Q436" s="139" t="e">
        <f t="shared" si="59"/>
        <v>#REF!</v>
      </c>
      <c r="R436" s="170"/>
      <c r="S436" s="170"/>
    </row>
    <row r="437" spans="1:19" x14ac:dyDescent="0.25">
      <c r="A437" s="134" t="e">
        <f>'Date Calcs'!#REF!</f>
        <v>#REF!</v>
      </c>
      <c r="B437" s="135" t="e">
        <f>'Date Calcs'!#REF!</f>
        <v>#REF!</v>
      </c>
      <c r="C437" s="136" t="e">
        <f>'Date Calcs'!#REF!</f>
        <v>#REF!</v>
      </c>
      <c r="D437" s="137" t="e">
        <f t="shared" si="55"/>
        <v>#REF!</v>
      </c>
      <c r="E437" s="143">
        <v>44460</v>
      </c>
      <c r="F437" s="137" t="e">
        <f>'Date Calcs'!#REF!</f>
        <v>#REF!</v>
      </c>
      <c r="G437" s="137" t="e">
        <f>IF(VLOOKUP(A437,'Actual Dates'!A4:AE564,8,),'Actual Dates'!#REF!,"")</f>
        <v>#REF!</v>
      </c>
      <c r="H437" s="137" t="e">
        <f t="shared" si="56"/>
        <v>#REF!</v>
      </c>
      <c r="I437" s="137" t="e">
        <f>IF(VLOOKUP(A437,'Actual Dates'!A4:AE559,25,),'Actual Dates'!#REF!,"")</f>
        <v>#REF!</v>
      </c>
      <c r="J437" s="137" t="e">
        <f t="shared" si="57"/>
        <v>#REF!</v>
      </c>
      <c r="K437" s="137" t="e">
        <f>IF(VLOOKUP(A437,'Actual Dates'!A4:AE587,26,),'Actual Dates'!#REF!,"")</f>
        <v>#REF!</v>
      </c>
      <c r="L437" s="137" t="e">
        <f>IF(VLOOKUP(A437,'Actual Dates'!A4:AE587,21,),'Actual Dates'!#REF!,"")</f>
        <v>#REF!</v>
      </c>
      <c r="M437" s="137" t="e">
        <f>'Date Calcs'!#REF!</f>
        <v>#REF!</v>
      </c>
      <c r="N437" s="137" t="e">
        <f>IF(VLOOKUP(A437,'Actual Dates'!A4:AE587,27,),'Actual Dates'!#REF!,"")</f>
        <v>#REF!</v>
      </c>
      <c r="O437" s="138" t="e">
        <f t="shared" si="54"/>
        <v>#REF!</v>
      </c>
      <c r="P437" s="139" t="e">
        <f t="shared" si="58"/>
        <v>#REF!</v>
      </c>
      <c r="Q437" s="139" t="e">
        <f t="shared" si="59"/>
        <v>#REF!</v>
      </c>
      <c r="R437" s="170"/>
      <c r="S437" s="170"/>
    </row>
    <row r="438" spans="1:19" x14ac:dyDescent="0.25">
      <c r="A438" s="134" t="e">
        <f>'Date Calcs'!#REF!</f>
        <v>#REF!</v>
      </c>
      <c r="B438" s="135" t="e">
        <f>'Date Calcs'!#REF!</f>
        <v>#REF!</v>
      </c>
      <c r="C438" s="136" t="e">
        <f>'Date Calcs'!#REF!</f>
        <v>#REF!</v>
      </c>
      <c r="D438" s="137" t="e">
        <f t="shared" si="55"/>
        <v>#REF!</v>
      </c>
      <c r="E438" s="143">
        <v>44461</v>
      </c>
      <c r="F438" s="137" t="e">
        <f>'Date Calcs'!#REF!</f>
        <v>#REF!</v>
      </c>
      <c r="G438" s="137" t="e">
        <f>IF(VLOOKUP(A438,'Actual Dates'!A4:AE565,8,),'Actual Dates'!#REF!,"")</f>
        <v>#REF!</v>
      </c>
      <c r="H438" s="137" t="e">
        <f t="shared" si="56"/>
        <v>#REF!</v>
      </c>
      <c r="I438" s="137" t="e">
        <f>IF(VLOOKUP(A438,'Actual Dates'!A4:AE560,25,),'Actual Dates'!#REF!,"")</f>
        <v>#REF!</v>
      </c>
      <c r="J438" s="137" t="e">
        <f t="shared" si="57"/>
        <v>#REF!</v>
      </c>
      <c r="K438" s="137" t="e">
        <f>IF(VLOOKUP(A438,'Actual Dates'!A4:AE588,26,),'Actual Dates'!#REF!,"")</f>
        <v>#REF!</v>
      </c>
      <c r="L438" s="137" t="e">
        <f>IF(VLOOKUP(A438,'Actual Dates'!A4:AE588,21,),'Actual Dates'!#REF!,"")</f>
        <v>#REF!</v>
      </c>
      <c r="M438" s="137" t="e">
        <f>'Date Calcs'!#REF!</f>
        <v>#REF!</v>
      </c>
      <c r="N438" s="137" t="e">
        <f>IF(VLOOKUP(A438,'Actual Dates'!A4:AE588,27,),'Actual Dates'!#REF!,"")</f>
        <v>#REF!</v>
      </c>
      <c r="O438" s="138" t="e">
        <f t="shared" si="54"/>
        <v>#REF!</v>
      </c>
      <c r="P438" s="139" t="e">
        <f t="shared" si="58"/>
        <v>#REF!</v>
      </c>
      <c r="Q438" s="139" t="e">
        <f t="shared" si="59"/>
        <v>#REF!</v>
      </c>
      <c r="R438" s="170"/>
      <c r="S438" s="170"/>
    </row>
    <row r="439" spans="1:19" x14ac:dyDescent="0.25">
      <c r="A439" s="134" t="e">
        <f>'Date Calcs'!#REF!</f>
        <v>#REF!</v>
      </c>
      <c r="B439" s="135" t="e">
        <f>'Date Calcs'!#REF!</f>
        <v>#REF!</v>
      </c>
      <c r="C439" s="136" t="e">
        <f>'Date Calcs'!#REF!</f>
        <v>#REF!</v>
      </c>
      <c r="D439" s="137" t="e">
        <f t="shared" si="55"/>
        <v>#REF!</v>
      </c>
      <c r="E439" s="143">
        <v>44462</v>
      </c>
      <c r="F439" s="137" t="e">
        <f>'Date Calcs'!#REF!</f>
        <v>#REF!</v>
      </c>
      <c r="G439" s="137" t="e">
        <f>IF(VLOOKUP(A439,'Actual Dates'!A4:AE566,8,),'Actual Dates'!#REF!,"")</f>
        <v>#REF!</v>
      </c>
      <c r="H439" s="137" t="e">
        <f t="shared" si="56"/>
        <v>#REF!</v>
      </c>
      <c r="I439" s="137" t="e">
        <f>IF(VLOOKUP(A439,'Actual Dates'!A4:AE561,25,),'Actual Dates'!#REF!,"")</f>
        <v>#REF!</v>
      </c>
      <c r="J439" s="137" t="e">
        <f t="shared" si="57"/>
        <v>#REF!</v>
      </c>
      <c r="K439" s="137" t="e">
        <f>IF(VLOOKUP(A439,'Actual Dates'!A4:AE589,26,),'Actual Dates'!#REF!,"")</f>
        <v>#REF!</v>
      </c>
      <c r="L439" s="137" t="e">
        <f>IF(VLOOKUP(A439,'Actual Dates'!A4:AE589,21,),'Actual Dates'!#REF!,"")</f>
        <v>#REF!</v>
      </c>
      <c r="M439" s="137" t="e">
        <f>'Date Calcs'!#REF!</f>
        <v>#REF!</v>
      </c>
      <c r="N439" s="137" t="e">
        <f>IF(VLOOKUP(A439,'Actual Dates'!A4:AE589,27,),'Actual Dates'!#REF!,"")</f>
        <v>#REF!</v>
      </c>
      <c r="O439" s="138" t="e">
        <f t="shared" si="54"/>
        <v>#REF!</v>
      </c>
      <c r="P439" s="139" t="e">
        <f t="shared" si="58"/>
        <v>#REF!</v>
      </c>
      <c r="Q439" s="139" t="e">
        <f t="shared" si="59"/>
        <v>#REF!</v>
      </c>
      <c r="R439" s="170"/>
      <c r="S439" s="170"/>
    </row>
    <row r="440" spans="1:19" x14ac:dyDescent="0.25">
      <c r="A440" s="134" t="e">
        <f>'Date Calcs'!#REF!</f>
        <v>#REF!</v>
      </c>
      <c r="B440" s="135" t="e">
        <f>'Date Calcs'!#REF!</f>
        <v>#REF!</v>
      </c>
      <c r="C440" s="136" t="e">
        <f>'Date Calcs'!#REF!</f>
        <v>#REF!</v>
      </c>
      <c r="D440" s="137" t="e">
        <f t="shared" si="55"/>
        <v>#REF!</v>
      </c>
      <c r="E440" s="143">
        <v>44463</v>
      </c>
      <c r="F440" s="137" t="e">
        <f>'Date Calcs'!#REF!</f>
        <v>#REF!</v>
      </c>
      <c r="G440" s="137" t="e">
        <f>IF(VLOOKUP(A440,'Actual Dates'!A4:AE567,8,),'Actual Dates'!#REF!,"")</f>
        <v>#REF!</v>
      </c>
      <c r="H440" s="137" t="e">
        <f t="shared" si="56"/>
        <v>#REF!</v>
      </c>
      <c r="I440" s="137" t="e">
        <f>IF(VLOOKUP(A440,'Actual Dates'!A4:AE562,25,),'Actual Dates'!#REF!,"")</f>
        <v>#REF!</v>
      </c>
      <c r="J440" s="137" t="e">
        <f t="shared" si="57"/>
        <v>#REF!</v>
      </c>
      <c r="K440" s="137" t="e">
        <f>IF(VLOOKUP(A440,'Actual Dates'!A4:AE590,26,),'Actual Dates'!#REF!,"")</f>
        <v>#REF!</v>
      </c>
      <c r="L440" s="137" t="e">
        <f>IF(VLOOKUP(A440,'Actual Dates'!A4:AE590,21,),'Actual Dates'!#REF!,"")</f>
        <v>#REF!</v>
      </c>
      <c r="M440" s="137" t="e">
        <f>'Date Calcs'!#REF!</f>
        <v>#REF!</v>
      </c>
      <c r="N440" s="137" t="e">
        <f>IF(VLOOKUP(A440,'Actual Dates'!A4:AE590,27,),'Actual Dates'!#REF!,"")</f>
        <v>#REF!</v>
      </c>
      <c r="O440" s="138" t="e">
        <f t="shared" si="54"/>
        <v>#REF!</v>
      </c>
      <c r="P440" s="139" t="e">
        <f t="shared" si="58"/>
        <v>#REF!</v>
      </c>
      <c r="Q440" s="139" t="e">
        <f t="shared" si="59"/>
        <v>#REF!</v>
      </c>
      <c r="R440" s="170"/>
      <c r="S440" s="170"/>
    </row>
    <row r="441" spans="1:19" x14ac:dyDescent="0.25">
      <c r="A441" s="134" t="e">
        <f>'Date Calcs'!#REF!</f>
        <v>#REF!</v>
      </c>
      <c r="B441" s="135" t="e">
        <f>'Date Calcs'!#REF!</f>
        <v>#REF!</v>
      </c>
      <c r="C441" s="136" t="e">
        <f>'Date Calcs'!#REF!</f>
        <v>#REF!</v>
      </c>
      <c r="D441" s="137" t="e">
        <f t="shared" si="55"/>
        <v>#REF!</v>
      </c>
      <c r="E441" s="143">
        <v>44464</v>
      </c>
      <c r="F441" s="137" t="e">
        <f>'Date Calcs'!#REF!</f>
        <v>#REF!</v>
      </c>
      <c r="G441" s="137" t="e">
        <f>IF(VLOOKUP(A441,'Actual Dates'!A4:AE568,8,),'Actual Dates'!#REF!,"")</f>
        <v>#REF!</v>
      </c>
      <c r="H441" s="137" t="e">
        <f t="shared" si="56"/>
        <v>#REF!</v>
      </c>
      <c r="I441" s="137" t="e">
        <f>IF(VLOOKUP(A441,'Actual Dates'!A4:AE563,25,),'Actual Dates'!#REF!,"")</f>
        <v>#REF!</v>
      </c>
      <c r="J441" s="137" t="e">
        <f t="shared" si="57"/>
        <v>#REF!</v>
      </c>
      <c r="K441" s="137" t="e">
        <f>IF(VLOOKUP(A441,'Actual Dates'!A4:AE591,26,),'Actual Dates'!#REF!,"")</f>
        <v>#REF!</v>
      </c>
      <c r="L441" s="137" t="e">
        <f>IF(VLOOKUP(A441,'Actual Dates'!A4:AE591,21,),'Actual Dates'!#REF!,"")</f>
        <v>#REF!</v>
      </c>
      <c r="M441" s="137" t="e">
        <f>'Date Calcs'!#REF!</f>
        <v>#REF!</v>
      </c>
      <c r="N441" s="137" t="e">
        <f>IF(VLOOKUP(A441,'Actual Dates'!A4:AE591,27,),'Actual Dates'!#REF!,"")</f>
        <v>#REF!</v>
      </c>
      <c r="O441" s="138" t="e">
        <f t="shared" si="54"/>
        <v>#REF!</v>
      </c>
      <c r="P441" s="139" t="e">
        <f t="shared" si="58"/>
        <v>#REF!</v>
      </c>
      <c r="Q441" s="139" t="e">
        <f t="shared" si="59"/>
        <v>#REF!</v>
      </c>
      <c r="R441" s="170"/>
      <c r="S441" s="170"/>
    </row>
    <row r="442" spans="1:19" x14ac:dyDescent="0.25">
      <c r="A442" s="134" t="e">
        <f>'Date Calcs'!#REF!</f>
        <v>#REF!</v>
      </c>
      <c r="B442" s="135" t="e">
        <f>'Date Calcs'!#REF!</f>
        <v>#REF!</v>
      </c>
      <c r="C442" s="136" t="e">
        <f>'Date Calcs'!#REF!</f>
        <v>#REF!</v>
      </c>
      <c r="D442" s="137" t="e">
        <f t="shared" si="55"/>
        <v>#REF!</v>
      </c>
      <c r="E442" s="143">
        <v>44465</v>
      </c>
      <c r="F442" s="137" t="e">
        <f>'Date Calcs'!#REF!</f>
        <v>#REF!</v>
      </c>
      <c r="G442" s="137" t="e">
        <f>IF(VLOOKUP(A442,'Actual Dates'!A4:AE569,8,),'Actual Dates'!#REF!,"")</f>
        <v>#REF!</v>
      </c>
      <c r="H442" s="137" t="e">
        <f t="shared" si="56"/>
        <v>#REF!</v>
      </c>
      <c r="I442" s="137" t="e">
        <f>IF(VLOOKUP(A442,'Actual Dates'!A4:AE564,25,),'Actual Dates'!#REF!,"")</f>
        <v>#REF!</v>
      </c>
      <c r="J442" s="137" t="e">
        <f t="shared" si="57"/>
        <v>#REF!</v>
      </c>
      <c r="K442" s="137" t="e">
        <f>IF(VLOOKUP(A442,'Actual Dates'!A4:AE592,26,),'Actual Dates'!#REF!,"")</f>
        <v>#REF!</v>
      </c>
      <c r="L442" s="137" t="e">
        <f>IF(VLOOKUP(A442,'Actual Dates'!A4:AE592,21,),'Actual Dates'!#REF!,"")</f>
        <v>#REF!</v>
      </c>
      <c r="M442" s="137" t="e">
        <f>'Date Calcs'!#REF!</f>
        <v>#REF!</v>
      </c>
      <c r="N442" s="137" t="e">
        <f>IF(VLOOKUP(A442,'Actual Dates'!A4:AE592,27,),'Actual Dates'!#REF!,"")</f>
        <v>#REF!</v>
      </c>
      <c r="O442" s="138" t="e">
        <f t="shared" si="54"/>
        <v>#REF!</v>
      </c>
      <c r="P442" s="139" t="e">
        <f t="shared" si="58"/>
        <v>#REF!</v>
      </c>
      <c r="Q442" s="139" t="e">
        <f t="shared" si="59"/>
        <v>#REF!</v>
      </c>
      <c r="R442" s="170"/>
      <c r="S442" s="170"/>
    </row>
    <row r="443" spans="1:19" x14ac:dyDescent="0.25">
      <c r="A443" s="134" t="e">
        <f>'Date Calcs'!#REF!</f>
        <v>#REF!</v>
      </c>
      <c r="B443" s="135" t="e">
        <f>'Date Calcs'!#REF!</f>
        <v>#REF!</v>
      </c>
      <c r="C443" s="136" t="e">
        <f>'Date Calcs'!#REF!</f>
        <v>#REF!</v>
      </c>
      <c r="D443" s="137" t="e">
        <f t="shared" si="55"/>
        <v>#REF!</v>
      </c>
      <c r="E443" s="143">
        <v>44466</v>
      </c>
      <c r="F443" s="137" t="e">
        <f>'Date Calcs'!#REF!</f>
        <v>#REF!</v>
      </c>
      <c r="G443" s="137" t="e">
        <f>IF(VLOOKUP(A443,'Actual Dates'!A4:AE570,8,),'Actual Dates'!#REF!,"")</f>
        <v>#REF!</v>
      </c>
      <c r="H443" s="137" t="e">
        <f t="shared" si="56"/>
        <v>#REF!</v>
      </c>
      <c r="I443" s="137" t="e">
        <f>IF(VLOOKUP(A443,'Actual Dates'!A4:AE565,25,),'Actual Dates'!#REF!,"")</f>
        <v>#REF!</v>
      </c>
      <c r="J443" s="137" t="e">
        <f t="shared" si="57"/>
        <v>#REF!</v>
      </c>
      <c r="K443" s="137" t="e">
        <f>IF(VLOOKUP(A443,'Actual Dates'!A4:AE593,26,),'Actual Dates'!#REF!,"")</f>
        <v>#REF!</v>
      </c>
      <c r="L443" s="137" t="e">
        <f>IF(VLOOKUP(A443,'Actual Dates'!A4:AE593,21,),'Actual Dates'!#REF!,"")</f>
        <v>#REF!</v>
      </c>
      <c r="M443" s="137" t="e">
        <f>'Date Calcs'!#REF!</f>
        <v>#REF!</v>
      </c>
      <c r="N443" s="137" t="e">
        <f>IF(VLOOKUP(A443,'Actual Dates'!A4:AE593,27,),'Actual Dates'!#REF!,"")</f>
        <v>#REF!</v>
      </c>
      <c r="O443" s="138" t="e">
        <f t="shared" si="54"/>
        <v>#REF!</v>
      </c>
      <c r="P443" s="139" t="e">
        <f t="shared" si="58"/>
        <v>#REF!</v>
      </c>
      <c r="Q443" s="139" t="e">
        <f t="shared" si="59"/>
        <v>#REF!</v>
      </c>
      <c r="R443" s="170"/>
      <c r="S443" s="170"/>
    </row>
    <row r="444" spans="1:19" x14ac:dyDescent="0.25">
      <c r="A444" s="134" t="e">
        <f>'Date Calcs'!#REF!</f>
        <v>#REF!</v>
      </c>
      <c r="B444" s="135" t="e">
        <f>'Date Calcs'!#REF!</f>
        <v>#REF!</v>
      </c>
      <c r="C444" s="136" t="e">
        <f>'Date Calcs'!#REF!</f>
        <v>#REF!</v>
      </c>
      <c r="D444" s="137" t="e">
        <f t="shared" si="55"/>
        <v>#REF!</v>
      </c>
      <c r="E444" s="143">
        <v>44467</v>
      </c>
      <c r="F444" s="137" t="e">
        <f>'Date Calcs'!#REF!</f>
        <v>#REF!</v>
      </c>
      <c r="G444" s="137" t="e">
        <f>IF(VLOOKUP(A444,'Actual Dates'!A4:AE571,8,),'Actual Dates'!#REF!,"")</f>
        <v>#REF!</v>
      </c>
      <c r="H444" s="137" t="e">
        <f t="shared" si="56"/>
        <v>#REF!</v>
      </c>
      <c r="I444" s="137" t="e">
        <f>IF(VLOOKUP(A444,'Actual Dates'!A4:AE566,25,),'Actual Dates'!#REF!,"")</f>
        <v>#REF!</v>
      </c>
      <c r="J444" s="137" t="e">
        <f t="shared" si="57"/>
        <v>#REF!</v>
      </c>
      <c r="K444" s="137" t="e">
        <f>IF(VLOOKUP(A444,'Actual Dates'!A4:AE594,26,),'Actual Dates'!#REF!,"")</f>
        <v>#REF!</v>
      </c>
      <c r="L444" s="137" t="e">
        <f>IF(VLOOKUP(A444,'Actual Dates'!A4:AE594,21,),'Actual Dates'!#REF!,"")</f>
        <v>#REF!</v>
      </c>
      <c r="M444" s="137" t="e">
        <f>'Date Calcs'!#REF!</f>
        <v>#REF!</v>
      </c>
      <c r="N444" s="137" t="e">
        <f>IF(VLOOKUP(A444,'Actual Dates'!A4:AE594,27,),'Actual Dates'!#REF!,"")</f>
        <v>#REF!</v>
      </c>
      <c r="O444" s="138" t="e">
        <f t="shared" si="54"/>
        <v>#REF!</v>
      </c>
      <c r="P444" s="139" t="e">
        <f t="shared" si="58"/>
        <v>#REF!</v>
      </c>
      <c r="Q444" s="139" t="e">
        <f t="shared" si="59"/>
        <v>#REF!</v>
      </c>
      <c r="R444" s="170"/>
      <c r="S444" s="170"/>
    </row>
    <row r="445" spans="1:19" x14ac:dyDescent="0.25">
      <c r="A445" s="134" t="e">
        <f>'Date Calcs'!#REF!</f>
        <v>#REF!</v>
      </c>
      <c r="B445" s="135" t="e">
        <f>'Date Calcs'!#REF!</f>
        <v>#REF!</v>
      </c>
      <c r="C445" s="136" t="e">
        <f>'Date Calcs'!#REF!</f>
        <v>#REF!</v>
      </c>
      <c r="D445" s="137" t="e">
        <f t="shared" si="55"/>
        <v>#REF!</v>
      </c>
      <c r="E445" s="143">
        <v>44468</v>
      </c>
      <c r="F445" s="137" t="e">
        <f>'Date Calcs'!#REF!</f>
        <v>#REF!</v>
      </c>
      <c r="G445" s="137" t="e">
        <f>IF(VLOOKUP(A445,'Actual Dates'!A4:AE572,8,),'Actual Dates'!#REF!,"")</f>
        <v>#REF!</v>
      </c>
      <c r="H445" s="137" t="e">
        <f t="shared" si="56"/>
        <v>#REF!</v>
      </c>
      <c r="I445" s="137" t="e">
        <f>IF(VLOOKUP(A445,'Actual Dates'!A4:AE567,25,),'Actual Dates'!#REF!,"")</f>
        <v>#REF!</v>
      </c>
      <c r="J445" s="137" t="e">
        <f t="shared" si="57"/>
        <v>#REF!</v>
      </c>
      <c r="K445" s="137" t="e">
        <f>IF(VLOOKUP(A445,'Actual Dates'!A4:AE595,26,),'Actual Dates'!#REF!,"")</f>
        <v>#REF!</v>
      </c>
      <c r="L445" s="137" t="e">
        <f>IF(VLOOKUP(A445,'Actual Dates'!A4:AE595,21,),'Actual Dates'!#REF!,"")</f>
        <v>#REF!</v>
      </c>
      <c r="M445" s="137" t="e">
        <f>'Date Calcs'!#REF!</f>
        <v>#REF!</v>
      </c>
      <c r="N445" s="137" t="e">
        <f>IF(VLOOKUP(A445,'Actual Dates'!A4:AE595,27,),'Actual Dates'!#REF!,"")</f>
        <v>#REF!</v>
      </c>
      <c r="O445" s="138" t="e">
        <f t="shared" si="54"/>
        <v>#REF!</v>
      </c>
      <c r="P445" s="139" t="e">
        <f t="shared" si="58"/>
        <v>#REF!</v>
      </c>
      <c r="Q445" s="139" t="e">
        <f t="shared" si="59"/>
        <v>#REF!</v>
      </c>
      <c r="R445" s="170"/>
      <c r="S445" s="170"/>
    </row>
    <row r="446" spans="1:19" x14ac:dyDescent="0.25">
      <c r="A446" s="134" t="e">
        <f>'Date Calcs'!#REF!</f>
        <v>#REF!</v>
      </c>
      <c r="B446" s="135" t="e">
        <f>'Date Calcs'!#REF!</f>
        <v>#REF!</v>
      </c>
      <c r="C446" s="136" t="e">
        <f>'Date Calcs'!#REF!</f>
        <v>#REF!</v>
      </c>
      <c r="D446" s="137" t="e">
        <f t="shared" si="55"/>
        <v>#REF!</v>
      </c>
      <c r="E446" s="143">
        <v>44469</v>
      </c>
      <c r="F446" s="137" t="e">
        <f>'Date Calcs'!#REF!</f>
        <v>#REF!</v>
      </c>
      <c r="G446" s="137" t="e">
        <f>IF(VLOOKUP(A446,'Actual Dates'!A4:AE573,8,),'Actual Dates'!#REF!,"")</f>
        <v>#REF!</v>
      </c>
      <c r="H446" s="137" t="e">
        <f t="shared" si="56"/>
        <v>#REF!</v>
      </c>
      <c r="I446" s="137" t="e">
        <f>IF(VLOOKUP(A446,'Actual Dates'!A4:AE568,25,),'Actual Dates'!#REF!,"")</f>
        <v>#REF!</v>
      </c>
      <c r="J446" s="137" t="e">
        <f t="shared" si="57"/>
        <v>#REF!</v>
      </c>
      <c r="K446" s="137" t="e">
        <f>IF(VLOOKUP(A446,'Actual Dates'!A4:AE596,26,),'Actual Dates'!#REF!,"")</f>
        <v>#REF!</v>
      </c>
      <c r="L446" s="137" t="e">
        <f>IF(VLOOKUP(A446,'Actual Dates'!A4:AE596,21,),'Actual Dates'!#REF!,"")</f>
        <v>#REF!</v>
      </c>
      <c r="M446" s="137" t="e">
        <f>'Date Calcs'!#REF!</f>
        <v>#REF!</v>
      </c>
      <c r="N446" s="137" t="e">
        <f>IF(VLOOKUP(A446,'Actual Dates'!A4:AE596,27,),'Actual Dates'!#REF!,"")</f>
        <v>#REF!</v>
      </c>
      <c r="O446" s="138" t="e">
        <f t="shared" si="54"/>
        <v>#REF!</v>
      </c>
      <c r="P446" s="139" t="e">
        <f t="shared" si="58"/>
        <v>#REF!</v>
      </c>
      <c r="Q446" s="139" t="e">
        <f t="shared" si="59"/>
        <v>#REF!</v>
      </c>
      <c r="R446" s="170"/>
      <c r="S446" s="170"/>
    </row>
    <row r="447" spans="1:19" x14ac:dyDescent="0.25">
      <c r="A447" s="134" t="e">
        <f>'Date Calcs'!#REF!</f>
        <v>#REF!</v>
      </c>
      <c r="B447" s="135" t="e">
        <f>'Date Calcs'!#REF!</f>
        <v>#REF!</v>
      </c>
      <c r="C447" s="136" t="e">
        <f>'Date Calcs'!#REF!</f>
        <v>#REF!</v>
      </c>
      <c r="D447" s="137" t="e">
        <f t="shared" si="55"/>
        <v>#REF!</v>
      </c>
      <c r="E447" s="143">
        <v>44470</v>
      </c>
      <c r="F447" s="137" t="e">
        <f>'Date Calcs'!#REF!</f>
        <v>#REF!</v>
      </c>
      <c r="G447" s="137" t="e">
        <f>IF(VLOOKUP(A447,'Actual Dates'!A4:AE574,8,),'Actual Dates'!#REF!,"")</f>
        <v>#REF!</v>
      </c>
      <c r="H447" s="137" t="e">
        <f t="shared" si="56"/>
        <v>#REF!</v>
      </c>
      <c r="I447" s="137" t="e">
        <f>IF(VLOOKUP(A447,'Actual Dates'!A4:AE569,25,),'Actual Dates'!#REF!,"")</f>
        <v>#REF!</v>
      </c>
      <c r="J447" s="137" t="e">
        <f t="shared" si="57"/>
        <v>#REF!</v>
      </c>
      <c r="K447" s="137" t="e">
        <f>IF(VLOOKUP(A447,'Actual Dates'!A4:AE597,26,),'Actual Dates'!#REF!,"")</f>
        <v>#REF!</v>
      </c>
      <c r="L447" s="137" t="e">
        <f>IF(VLOOKUP(A447,'Actual Dates'!A4:AE597,21,),'Actual Dates'!#REF!,"")</f>
        <v>#REF!</v>
      </c>
      <c r="M447" s="137" t="e">
        <f>'Date Calcs'!#REF!</f>
        <v>#REF!</v>
      </c>
      <c r="N447" s="137" t="e">
        <f>IF(VLOOKUP(A447,'Actual Dates'!A4:AE597,27,),'Actual Dates'!#REF!,"")</f>
        <v>#REF!</v>
      </c>
      <c r="O447" s="138" t="e">
        <f t="shared" si="54"/>
        <v>#REF!</v>
      </c>
      <c r="P447" s="139" t="e">
        <f t="shared" si="58"/>
        <v>#REF!</v>
      </c>
      <c r="Q447" s="139" t="e">
        <f t="shared" si="59"/>
        <v>#REF!</v>
      </c>
      <c r="R447" s="170"/>
      <c r="S447" s="170"/>
    </row>
    <row r="448" spans="1:19" x14ac:dyDescent="0.25">
      <c r="A448" s="134" t="e">
        <f>'Date Calcs'!#REF!</f>
        <v>#REF!</v>
      </c>
      <c r="B448" s="135" t="e">
        <f>'Date Calcs'!#REF!</f>
        <v>#REF!</v>
      </c>
      <c r="C448" s="136" t="e">
        <f>'Date Calcs'!#REF!</f>
        <v>#REF!</v>
      </c>
      <c r="D448" s="137" t="e">
        <f t="shared" si="55"/>
        <v>#REF!</v>
      </c>
      <c r="E448" s="143">
        <v>44471</v>
      </c>
      <c r="F448" s="137" t="e">
        <f>'Date Calcs'!#REF!</f>
        <v>#REF!</v>
      </c>
      <c r="G448" s="137" t="e">
        <f>IF(VLOOKUP(A448,'Actual Dates'!A4:AE575,8,),'Actual Dates'!#REF!,"")</f>
        <v>#REF!</v>
      </c>
      <c r="H448" s="137" t="e">
        <f t="shared" si="56"/>
        <v>#REF!</v>
      </c>
      <c r="I448" s="137" t="e">
        <f>IF(VLOOKUP(A448,'Actual Dates'!A4:AE570,25,),'Actual Dates'!#REF!,"")</f>
        <v>#REF!</v>
      </c>
      <c r="J448" s="137" t="e">
        <f t="shared" si="57"/>
        <v>#REF!</v>
      </c>
      <c r="K448" s="137" t="e">
        <f>IF(VLOOKUP(A448,'Actual Dates'!A4:AE598,26,),'Actual Dates'!#REF!,"")</f>
        <v>#REF!</v>
      </c>
      <c r="L448" s="137" t="e">
        <f>IF(VLOOKUP(A448,'Actual Dates'!A4:AE598,21,),'Actual Dates'!#REF!,"")</f>
        <v>#REF!</v>
      </c>
      <c r="M448" s="137" t="e">
        <f>'Date Calcs'!#REF!</f>
        <v>#REF!</v>
      </c>
      <c r="N448" s="137" t="e">
        <f>IF(VLOOKUP(A448,'Actual Dates'!A4:AE598,27,),'Actual Dates'!#REF!,"")</f>
        <v>#REF!</v>
      </c>
      <c r="O448" s="138" t="e">
        <f t="shared" si="54"/>
        <v>#REF!</v>
      </c>
      <c r="P448" s="139" t="e">
        <f t="shared" si="58"/>
        <v>#REF!</v>
      </c>
      <c r="Q448" s="139" t="e">
        <f t="shared" si="59"/>
        <v>#REF!</v>
      </c>
      <c r="R448" s="170"/>
      <c r="S448" s="170"/>
    </row>
    <row r="449" spans="1:19" x14ac:dyDescent="0.25">
      <c r="A449" s="134" t="e">
        <f>'Date Calcs'!#REF!</f>
        <v>#REF!</v>
      </c>
      <c r="B449" s="135" t="e">
        <f>'Date Calcs'!#REF!</f>
        <v>#REF!</v>
      </c>
      <c r="C449" s="136" t="e">
        <f>'Date Calcs'!#REF!</f>
        <v>#REF!</v>
      </c>
      <c r="D449" s="137" t="e">
        <f t="shared" si="55"/>
        <v>#REF!</v>
      </c>
      <c r="E449" s="143">
        <v>44472</v>
      </c>
      <c r="F449" s="137" t="e">
        <f>'Date Calcs'!#REF!</f>
        <v>#REF!</v>
      </c>
      <c r="G449" s="137" t="e">
        <f>IF(VLOOKUP(A449,'Actual Dates'!A4:AE576,8,),'Actual Dates'!#REF!,"")</f>
        <v>#REF!</v>
      </c>
      <c r="H449" s="137" t="e">
        <f t="shared" si="56"/>
        <v>#REF!</v>
      </c>
      <c r="I449" s="137" t="e">
        <f>IF(VLOOKUP(A449,'Actual Dates'!A4:AE571,25,),'Actual Dates'!#REF!,"")</f>
        <v>#REF!</v>
      </c>
      <c r="J449" s="137" t="e">
        <f t="shared" si="57"/>
        <v>#REF!</v>
      </c>
      <c r="K449" s="137" t="e">
        <f>IF(VLOOKUP(A449,'Actual Dates'!A4:AE599,26,),'Actual Dates'!#REF!,"")</f>
        <v>#REF!</v>
      </c>
      <c r="L449" s="137" t="e">
        <f>IF(VLOOKUP(A449,'Actual Dates'!A4:AE599,21,),'Actual Dates'!#REF!,"")</f>
        <v>#REF!</v>
      </c>
      <c r="M449" s="137" t="e">
        <f>'Date Calcs'!#REF!</f>
        <v>#REF!</v>
      </c>
      <c r="N449" s="137" t="e">
        <f>IF(VLOOKUP(A449,'Actual Dates'!A4:AE599,27,),'Actual Dates'!#REF!,"")</f>
        <v>#REF!</v>
      </c>
      <c r="O449" s="138" t="e">
        <f t="shared" si="54"/>
        <v>#REF!</v>
      </c>
      <c r="P449" s="139" t="e">
        <f t="shared" si="58"/>
        <v>#REF!</v>
      </c>
      <c r="Q449" s="139" t="e">
        <f t="shared" si="59"/>
        <v>#REF!</v>
      </c>
      <c r="R449" s="170"/>
      <c r="S449" s="170"/>
    </row>
    <row r="450" spans="1:19" x14ac:dyDescent="0.25">
      <c r="A450" s="134" t="e">
        <f>'Date Calcs'!#REF!</f>
        <v>#REF!</v>
      </c>
      <c r="B450" s="135" t="e">
        <f>'Date Calcs'!#REF!</f>
        <v>#REF!</v>
      </c>
      <c r="C450" s="136" t="e">
        <f>'Date Calcs'!#REF!</f>
        <v>#REF!</v>
      </c>
      <c r="D450" s="137" t="e">
        <f t="shared" si="55"/>
        <v>#REF!</v>
      </c>
      <c r="E450" s="143">
        <v>44473</v>
      </c>
      <c r="F450" s="137" t="e">
        <f>'Date Calcs'!#REF!</f>
        <v>#REF!</v>
      </c>
      <c r="G450" s="137" t="e">
        <f>IF(VLOOKUP(A450,'Actual Dates'!A4:AE577,8,),'Actual Dates'!#REF!,"")</f>
        <v>#REF!</v>
      </c>
      <c r="H450" s="137" t="e">
        <f t="shared" si="56"/>
        <v>#REF!</v>
      </c>
      <c r="I450" s="137" t="e">
        <f>IF(VLOOKUP(A450,'Actual Dates'!A4:AE572,25,),'Actual Dates'!#REF!,"")</f>
        <v>#REF!</v>
      </c>
      <c r="J450" s="137" t="e">
        <f t="shared" si="57"/>
        <v>#REF!</v>
      </c>
      <c r="K450" s="137" t="e">
        <f>IF(VLOOKUP(A450,'Actual Dates'!A4:AE600,26,),'Actual Dates'!#REF!,"")</f>
        <v>#REF!</v>
      </c>
      <c r="L450" s="137" t="e">
        <f>IF(VLOOKUP(A450,'Actual Dates'!A4:AE600,21,),'Actual Dates'!#REF!,"")</f>
        <v>#REF!</v>
      </c>
      <c r="M450" s="137" t="e">
        <f>'Date Calcs'!#REF!</f>
        <v>#REF!</v>
      </c>
      <c r="N450" s="137" t="e">
        <f>IF(VLOOKUP(A450,'Actual Dates'!A4:AE600,27,),'Actual Dates'!#REF!,"")</f>
        <v>#REF!</v>
      </c>
      <c r="O450" s="138" t="e">
        <f t="shared" si="54"/>
        <v>#REF!</v>
      </c>
      <c r="P450" s="139" t="e">
        <f t="shared" si="58"/>
        <v>#REF!</v>
      </c>
      <c r="Q450" s="139" t="e">
        <f t="shared" si="59"/>
        <v>#REF!</v>
      </c>
      <c r="R450" s="170"/>
      <c r="S450" s="170"/>
    </row>
    <row r="451" spans="1:19" x14ac:dyDescent="0.25">
      <c r="A451" s="134" t="e">
        <f>'Date Calcs'!#REF!</f>
        <v>#REF!</v>
      </c>
      <c r="B451" s="135" t="e">
        <f>'Date Calcs'!#REF!</f>
        <v>#REF!</v>
      </c>
      <c r="C451" s="136" t="e">
        <f>'Date Calcs'!#REF!</f>
        <v>#REF!</v>
      </c>
      <c r="D451" s="137" t="e">
        <f t="shared" si="55"/>
        <v>#REF!</v>
      </c>
      <c r="E451" s="143">
        <v>44474</v>
      </c>
      <c r="F451" s="137" t="e">
        <f>'Date Calcs'!#REF!</f>
        <v>#REF!</v>
      </c>
      <c r="G451" s="137" t="e">
        <f>IF(VLOOKUP(A451,'Actual Dates'!A4:AE578,8,),'Actual Dates'!#REF!,"")</f>
        <v>#REF!</v>
      </c>
      <c r="H451" s="137" t="e">
        <f t="shared" si="56"/>
        <v>#REF!</v>
      </c>
      <c r="I451" s="137" t="e">
        <f>IF(VLOOKUP(A451,'Actual Dates'!A4:AE573,25,),'Actual Dates'!#REF!,"")</f>
        <v>#REF!</v>
      </c>
      <c r="J451" s="137" t="e">
        <f t="shared" si="57"/>
        <v>#REF!</v>
      </c>
      <c r="K451" s="137" t="e">
        <f>IF(VLOOKUP(A451,'Actual Dates'!A4:AE601,26,),'Actual Dates'!#REF!,"")</f>
        <v>#REF!</v>
      </c>
      <c r="L451" s="137" t="e">
        <f>IF(VLOOKUP(A451,'Actual Dates'!A4:AE601,21,),'Actual Dates'!#REF!,"")</f>
        <v>#REF!</v>
      </c>
      <c r="M451" s="137" t="e">
        <f>'Date Calcs'!#REF!</f>
        <v>#REF!</v>
      </c>
      <c r="N451" s="137" t="e">
        <f>IF(VLOOKUP(A451,'Actual Dates'!A4:AE601,27,),'Actual Dates'!#REF!,"")</f>
        <v>#REF!</v>
      </c>
      <c r="O451" s="138" t="e">
        <f t="shared" si="54"/>
        <v>#REF!</v>
      </c>
      <c r="P451" s="139" t="e">
        <f t="shared" si="58"/>
        <v>#REF!</v>
      </c>
      <c r="Q451" s="139" t="e">
        <f t="shared" si="59"/>
        <v>#REF!</v>
      </c>
      <c r="R451" s="170"/>
      <c r="S451" s="170"/>
    </row>
    <row r="452" spans="1:19" x14ac:dyDescent="0.25">
      <c r="A452" s="134" t="e">
        <f>'Date Calcs'!#REF!</f>
        <v>#REF!</v>
      </c>
      <c r="B452" s="135" t="e">
        <f>'Date Calcs'!#REF!</f>
        <v>#REF!</v>
      </c>
      <c r="C452" s="136" t="e">
        <f>'Date Calcs'!#REF!</f>
        <v>#REF!</v>
      </c>
      <c r="D452" s="137" t="e">
        <f t="shared" si="55"/>
        <v>#REF!</v>
      </c>
      <c r="E452" s="143">
        <v>44475</v>
      </c>
      <c r="F452" s="137" t="e">
        <f>'Date Calcs'!#REF!</f>
        <v>#REF!</v>
      </c>
      <c r="G452" s="137" t="e">
        <f>IF(VLOOKUP(A452,'Actual Dates'!A4:AE579,8,),'Actual Dates'!#REF!,"")</f>
        <v>#REF!</v>
      </c>
      <c r="H452" s="137" t="e">
        <f t="shared" si="56"/>
        <v>#REF!</v>
      </c>
      <c r="I452" s="137" t="e">
        <f>IF(VLOOKUP(A452,'Actual Dates'!A4:AE574,25,),'Actual Dates'!#REF!,"")</f>
        <v>#REF!</v>
      </c>
      <c r="J452" s="137" t="e">
        <f t="shared" si="57"/>
        <v>#REF!</v>
      </c>
      <c r="K452" s="137" t="e">
        <f>IF(VLOOKUP(A452,'Actual Dates'!A4:AE602,26,),'Actual Dates'!#REF!,"")</f>
        <v>#REF!</v>
      </c>
      <c r="L452" s="137" t="e">
        <f>IF(VLOOKUP(A452,'Actual Dates'!A4:AE602,21,),'Actual Dates'!#REF!,"")</f>
        <v>#REF!</v>
      </c>
      <c r="M452" s="137" t="e">
        <f>'Date Calcs'!#REF!</f>
        <v>#REF!</v>
      </c>
      <c r="N452" s="137" t="e">
        <f>IF(VLOOKUP(A452,'Actual Dates'!A4:AE602,27,),'Actual Dates'!#REF!,"")</f>
        <v>#REF!</v>
      </c>
      <c r="O452" s="138" t="e">
        <f t="shared" si="54"/>
        <v>#REF!</v>
      </c>
      <c r="P452" s="139" t="e">
        <f t="shared" si="58"/>
        <v>#REF!</v>
      </c>
      <c r="Q452" s="139" t="e">
        <f t="shared" si="59"/>
        <v>#REF!</v>
      </c>
      <c r="R452" s="170"/>
      <c r="S452" s="170"/>
    </row>
    <row r="453" spans="1:19" x14ac:dyDescent="0.25">
      <c r="A453" s="134" t="e">
        <f>'Date Calcs'!#REF!</f>
        <v>#REF!</v>
      </c>
      <c r="B453" s="135" t="e">
        <f>'Date Calcs'!#REF!</f>
        <v>#REF!</v>
      </c>
      <c r="C453" s="136" t="e">
        <f>'Date Calcs'!#REF!</f>
        <v>#REF!</v>
      </c>
      <c r="D453" s="137" t="e">
        <f t="shared" si="55"/>
        <v>#REF!</v>
      </c>
      <c r="E453" s="143">
        <v>44476</v>
      </c>
      <c r="F453" s="137" t="e">
        <f>'Date Calcs'!#REF!</f>
        <v>#REF!</v>
      </c>
      <c r="G453" s="137" t="e">
        <f>IF(VLOOKUP(A453,'Actual Dates'!A4:AE580,8,),'Actual Dates'!#REF!,"")</f>
        <v>#REF!</v>
      </c>
      <c r="H453" s="137" t="e">
        <f t="shared" si="56"/>
        <v>#REF!</v>
      </c>
      <c r="I453" s="137" t="e">
        <f>IF(VLOOKUP(A453,'Actual Dates'!A4:AE575,25,),'Actual Dates'!#REF!,"")</f>
        <v>#REF!</v>
      </c>
      <c r="J453" s="137" t="e">
        <f t="shared" si="57"/>
        <v>#REF!</v>
      </c>
      <c r="K453" s="137" t="e">
        <f>IF(VLOOKUP(A453,'Actual Dates'!A4:AE603,26,),'Actual Dates'!#REF!,"")</f>
        <v>#REF!</v>
      </c>
      <c r="L453" s="137" t="e">
        <f>IF(VLOOKUP(A453,'Actual Dates'!A4:AE603,21,),'Actual Dates'!#REF!,"")</f>
        <v>#REF!</v>
      </c>
      <c r="M453" s="137" t="e">
        <f>'Date Calcs'!#REF!</f>
        <v>#REF!</v>
      </c>
      <c r="N453" s="137" t="e">
        <f>IF(VLOOKUP(A453,'Actual Dates'!A4:AE603,27,),'Actual Dates'!#REF!,"")</f>
        <v>#REF!</v>
      </c>
      <c r="O453" s="138" t="e">
        <f t="shared" si="54"/>
        <v>#REF!</v>
      </c>
      <c r="P453" s="139" t="e">
        <f t="shared" si="58"/>
        <v>#REF!</v>
      </c>
      <c r="Q453" s="139" t="e">
        <f t="shared" si="59"/>
        <v>#REF!</v>
      </c>
      <c r="R453" s="170"/>
      <c r="S453" s="170"/>
    </row>
    <row r="454" spans="1:19" x14ac:dyDescent="0.25">
      <c r="A454" s="134" t="e">
        <f>'Date Calcs'!#REF!</f>
        <v>#REF!</v>
      </c>
      <c r="B454" s="135" t="e">
        <f>'Date Calcs'!#REF!</f>
        <v>#REF!</v>
      </c>
      <c r="C454" s="136" t="e">
        <f>'Date Calcs'!#REF!</f>
        <v>#REF!</v>
      </c>
      <c r="D454" s="137" t="e">
        <f t="shared" si="55"/>
        <v>#REF!</v>
      </c>
      <c r="E454" s="143">
        <v>44477</v>
      </c>
      <c r="F454" s="137" t="e">
        <f>'Date Calcs'!#REF!</f>
        <v>#REF!</v>
      </c>
      <c r="G454" s="137" t="e">
        <f>IF(VLOOKUP(A454,'Actual Dates'!A4:AE581,8,),'Actual Dates'!#REF!,"")</f>
        <v>#REF!</v>
      </c>
      <c r="H454" s="137" t="e">
        <f t="shared" si="56"/>
        <v>#REF!</v>
      </c>
      <c r="I454" s="137" t="e">
        <f>IF(VLOOKUP(A454,'Actual Dates'!A4:AE576,25,),'Actual Dates'!#REF!,"")</f>
        <v>#REF!</v>
      </c>
      <c r="J454" s="137" t="e">
        <f t="shared" si="57"/>
        <v>#REF!</v>
      </c>
      <c r="K454" s="137" t="e">
        <f>IF(VLOOKUP(A454,'Actual Dates'!A4:AE604,26,),'Actual Dates'!#REF!,"")</f>
        <v>#REF!</v>
      </c>
      <c r="L454" s="137" t="e">
        <f>IF(VLOOKUP(A454,'Actual Dates'!A4:AE604,21,),'Actual Dates'!#REF!,"")</f>
        <v>#REF!</v>
      </c>
      <c r="M454" s="137" t="e">
        <f>'Date Calcs'!#REF!</f>
        <v>#REF!</v>
      </c>
      <c r="N454" s="137" t="e">
        <f>IF(VLOOKUP(A454,'Actual Dates'!A4:AE604,27,),'Actual Dates'!#REF!,"")</f>
        <v>#REF!</v>
      </c>
      <c r="O454" s="138" t="e">
        <f t="shared" si="54"/>
        <v>#REF!</v>
      </c>
      <c r="P454" s="139" t="e">
        <f t="shared" si="58"/>
        <v>#REF!</v>
      </c>
      <c r="Q454" s="139" t="e">
        <f t="shared" si="59"/>
        <v>#REF!</v>
      </c>
      <c r="R454" s="170"/>
      <c r="S454" s="170"/>
    </row>
    <row r="455" spans="1:19" x14ac:dyDescent="0.25">
      <c r="A455" s="134" t="e">
        <f>'Date Calcs'!#REF!</f>
        <v>#REF!</v>
      </c>
      <c r="B455" s="135" t="e">
        <f>'Date Calcs'!#REF!</f>
        <v>#REF!</v>
      </c>
      <c r="C455" s="136" t="e">
        <f>'Date Calcs'!#REF!</f>
        <v>#REF!</v>
      </c>
      <c r="D455" s="137" t="e">
        <f t="shared" si="55"/>
        <v>#REF!</v>
      </c>
      <c r="E455" s="143">
        <v>44478</v>
      </c>
      <c r="F455" s="137" t="e">
        <f>'Date Calcs'!#REF!</f>
        <v>#REF!</v>
      </c>
      <c r="G455" s="137" t="e">
        <f>IF(VLOOKUP(A455,'Actual Dates'!A4:AE582,8,),'Actual Dates'!#REF!,"")</f>
        <v>#REF!</v>
      </c>
      <c r="H455" s="137" t="e">
        <f t="shared" si="56"/>
        <v>#REF!</v>
      </c>
      <c r="I455" s="137" t="e">
        <f>IF(VLOOKUP(A455,'Actual Dates'!A4:AE577,25,),'Actual Dates'!#REF!,"")</f>
        <v>#REF!</v>
      </c>
      <c r="J455" s="137" t="e">
        <f t="shared" si="57"/>
        <v>#REF!</v>
      </c>
      <c r="K455" s="137" t="e">
        <f>IF(VLOOKUP(A455,'Actual Dates'!A4:AE605,26,),'Actual Dates'!#REF!,"")</f>
        <v>#REF!</v>
      </c>
      <c r="L455" s="137" t="e">
        <f>IF(VLOOKUP(A455,'Actual Dates'!A4:AE605,21,),'Actual Dates'!#REF!,"")</f>
        <v>#REF!</v>
      </c>
      <c r="M455" s="137" t="e">
        <f>'Date Calcs'!#REF!</f>
        <v>#REF!</v>
      </c>
      <c r="N455" s="137" t="e">
        <f>IF(VLOOKUP(A455,'Actual Dates'!A4:AE605,27,),'Actual Dates'!#REF!,"")</f>
        <v>#REF!</v>
      </c>
      <c r="O455" s="138" t="e">
        <f t="shared" si="54"/>
        <v>#REF!</v>
      </c>
      <c r="P455" s="139" t="e">
        <f t="shared" si="58"/>
        <v>#REF!</v>
      </c>
      <c r="Q455" s="139" t="e">
        <f t="shared" si="59"/>
        <v>#REF!</v>
      </c>
      <c r="R455" s="170"/>
      <c r="S455" s="170"/>
    </row>
    <row r="456" spans="1:19" x14ac:dyDescent="0.25">
      <c r="A456" s="134" t="e">
        <f>'Date Calcs'!#REF!</f>
        <v>#REF!</v>
      </c>
      <c r="B456" s="135" t="e">
        <f>'Date Calcs'!#REF!</f>
        <v>#REF!</v>
      </c>
      <c r="C456" s="136" t="e">
        <f>'Date Calcs'!#REF!</f>
        <v>#REF!</v>
      </c>
      <c r="D456" s="137" t="e">
        <f t="shared" si="55"/>
        <v>#REF!</v>
      </c>
      <c r="E456" s="143">
        <v>44479</v>
      </c>
      <c r="F456" s="137" t="e">
        <f>'Date Calcs'!#REF!</f>
        <v>#REF!</v>
      </c>
      <c r="G456" s="137" t="e">
        <f>IF(VLOOKUP(A456,'Actual Dates'!A4:AE583,8,),'Actual Dates'!#REF!,"")</f>
        <v>#REF!</v>
      </c>
      <c r="H456" s="137" t="e">
        <f t="shared" si="56"/>
        <v>#REF!</v>
      </c>
      <c r="I456" s="137" t="e">
        <f>IF(VLOOKUP(A456,'Actual Dates'!A4:AE578,25,),'Actual Dates'!#REF!,"")</f>
        <v>#REF!</v>
      </c>
      <c r="J456" s="137" t="e">
        <f t="shared" si="57"/>
        <v>#REF!</v>
      </c>
      <c r="K456" s="137" t="e">
        <f>IF(VLOOKUP(A456,'Actual Dates'!A4:AE606,26,),'Actual Dates'!#REF!,"")</f>
        <v>#REF!</v>
      </c>
      <c r="L456" s="137" t="e">
        <f>IF(VLOOKUP(A456,'Actual Dates'!A4:AE606,21,),'Actual Dates'!#REF!,"")</f>
        <v>#REF!</v>
      </c>
      <c r="M456" s="137" t="e">
        <f>'Date Calcs'!#REF!</f>
        <v>#REF!</v>
      </c>
      <c r="N456" s="137" t="e">
        <f>IF(VLOOKUP(A456,'Actual Dates'!A4:AE606,27,),'Actual Dates'!#REF!,"")</f>
        <v>#REF!</v>
      </c>
      <c r="O456" s="138" t="e">
        <f t="shared" si="54"/>
        <v>#REF!</v>
      </c>
      <c r="P456" s="139" t="e">
        <f t="shared" si="58"/>
        <v>#REF!</v>
      </c>
      <c r="Q456" s="139" t="e">
        <f t="shared" si="59"/>
        <v>#REF!</v>
      </c>
      <c r="R456" s="170"/>
      <c r="S456" s="170"/>
    </row>
    <row r="457" spans="1:19" x14ac:dyDescent="0.25">
      <c r="A457" s="134" t="e">
        <f>'Date Calcs'!#REF!</f>
        <v>#REF!</v>
      </c>
      <c r="B457" s="135" t="e">
        <f>'Date Calcs'!#REF!</f>
        <v>#REF!</v>
      </c>
      <c r="C457" s="136" t="e">
        <f>'Date Calcs'!#REF!</f>
        <v>#REF!</v>
      </c>
      <c r="D457" s="137" t="e">
        <f t="shared" si="55"/>
        <v>#REF!</v>
      </c>
      <c r="E457" s="143">
        <v>44480</v>
      </c>
      <c r="F457" s="137" t="e">
        <f>'Date Calcs'!#REF!</f>
        <v>#REF!</v>
      </c>
      <c r="G457" s="137" t="e">
        <f>IF(VLOOKUP(A457,'Actual Dates'!A4:AE584,8,),'Actual Dates'!#REF!,"")</f>
        <v>#REF!</v>
      </c>
      <c r="H457" s="137" t="e">
        <f t="shared" si="56"/>
        <v>#REF!</v>
      </c>
      <c r="I457" s="137" t="e">
        <f>IF(VLOOKUP(A457,'Actual Dates'!A4:AE579,25,),'Actual Dates'!#REF!,"")</f>
        <v>#REF!</v>
      </c>
      <c r="J457" s="137" t="e">
        <f t="shared" si="57"/>
        <v>#REF!</v>
      </c>
      <c r="K457" s="137" t="e">
        <f>IF(VLOOKUP(A457,'Actual Dates'!A4:AE607,26,),'Actual Dates'!#REF!,"")</f>
        <v>#REF!</v>
      </c>
      <c r="L457" s="137" t="e">
        <f>IF(VLOOKUP(A457,'Actual Dates'!A4:AE607,21,),'Actual Dates'!#REF!,"")</f>
        <v>#REF!</v>
      </c>
      <c r="M457" s="137" t="e">
        <f>'Date Calcs'!#REF!</f>
        <v>#REF!</v>
      </c>
      <c r="N457" s="137" t="e">
        <f>IF(VLOOKUP(A457,'Actual Dates'!A4:AE607,27,),'Actual Dates'!#REF!,"")</f>
        <v>#REF!</v>
      </c>
      <c r="O457" s="138" t="e">
        <f t="shared" si="54"/>
        <v>#REF!</v>
      </c>
      <c r="P457" s="139" t="e">
        <f t="shared" si="58"/>
        <v>#REF!</v>
      </c>
      <c r="Q457" s="139" t="e">
        <f t="shared" si="59"/>
        <v>#REF!</v>
      </c>
      <c r="R457" s="170"/>
      <c r="S457" s="170"/>
    </row>
    <row r="458" spans="1:19" x14ac:dyDescent="0.25">
      <c r="A458" s="134" t="e">
        <f>'Date Calcs'!#REF!</f>
        <v>#REF!</v>
      </c>
      <c r="B458" s="135" t="e">
        <f>'Date Calcs'!#REF!</f>
        <v>#REF!</v>
      </c>
      <c r="C458" s="136" t="e">
        <f>'Date Calcs'!#REF!</f>
        <v>#REF!</v>
      </c>
      <c r="D458" s="137" t="e">
        <f t="shared" si="55"/>
        <v>#REF!</v>
      </c>
      <c r="E458" s="143">
        <v>44481</v>
      </c>
      <c r="F458" s="137" t="e">
        <f>'Date Calcs'!#REF!</f>
        <v>#REF!</v>
      </c>
      <c r="G458" s="137" t="e">
        <f>IF(VLOOKUP(A458,'Actual Dates'!A4:AE585,8,),'Actual Dates'!#REF!,"")</f>
        <v>#REF!</v>
      </c>
      <c r="H458" s="137" t="e">
        <f t="shared" si="56"/>
        <v>#REF!</v>
      </c>
      <c r="I458" s="137" t="e">
        <f>IF(VLOOKUP(A458,'Actual Dates'!A4:AE580,25,),'Actual Dates'!#REF!,"")</f>
        <v>#REF!</v>
      </c>
      <c r="J458" s="137" t="e">
        <f t="shared" si="57"/>
        <v>#REF!</v>
      </c>
      <c r="K458" s="137" t="e">
        <f>IF(VLOOKUP(A458,'Actual Dates'!A4:AE608,26,),'Actual Dates'!#REF!,"")</f>
        <v>#REF!</v>
      </c>
      <c r="L458" s="137" t="e">
        <f>IF(VLOOKUP(A458,'Actual Dates'!A4:AE608,21,),'Actual Dates'!#REF!,"")</f>
        <v>#REF!</v>
      </c>
      <c r="M458" s="137" t="e">
        <f>'Date Calcs'!#REF!</f>
        <v>#REF!</v>
      </c>
      <c r="N458" s="137" t="e">
        <f>IF(VLOOKUP(A458,'Actual Dates'!A4:AE608,27,),'Actual Dates'!#REF!,"")</f>
        <v>#REF!</v>
      </c>
      <c r="O458" s="138" t="e">
        <f t="shared" si="54"/>
        <v>#REF!</v>
      </c>
      <c r="P458" s="139" t="e">
        <f t="shared" si="58"/>
        <v>#REF!</v>
      </c>
      <c r="Q458" s="139" t="e">
        <f t="shared" si="59"/>
        <v>#REF!</v>
      </c>
      <c r="R458" s="170"/>
      <c r="S458" s="170"/>
    </row>
    <row r="459" spans="1:19" x14ac:dyDescent="0.25">
      <c r="A459" s="134" t="e">
        <f>'Date Calcs'!#REF!</f>
        <v>#REF!</v>
      </c>
      <c r="B459" s="135" t="e">
        <f>'Date Calcs'!#REF!</f>
        <v>#REF!</v>
      </c>
      <c r="C459" s="136" t="e">
        <f>'Date Calcs'!#REF!</f>
        <v>#REF!</v>
      </c>
      <c r="D459" s="137" t="e">
        <f t="shared" si="55"/>
        <v>#REF!</v>
      </c>
      <c r="E459" s="143">
        <v>44482</v>
      </c>
      <c r="F459" s="137" t="e">
        <f>'Date Calcs'!#REF!</f>
        <v>#REF!</v>
      </c>
      <c r="G459" s="137" t="e">
        <f>IF(VLOOKUP(A459,'Actual Dates'!A4:AE586,8,),'Actual Dates'!#REF!,"")</f>
        <v>#REF!</v>
      </c>
      <c r="H459" s="137" t="e">
        <f t="shared" si="56"/>
        <v>#REF!</v>
      </c>
      <c r="I459" s="137" t="e">
        <f>IF(VLOOKUP(A459,'Actual Dates'!A4:AE581,25,),'Actual Dates'!#REF!,"")</f>
        <v>#REF!</v>
      </c>
      <c r="J459" s="137" t="e">
        <f t="shared" si="57"/>
        <v>#REF!</v>
      </c>
      <c r="K459" s="137" t="e">
        <f>IF(VLOOKUP(A459,'Actual Dates'!A4:AE609,26,),'Actual Dates'!#REF!,"")</f>
        <v>#REF!</v>
      </c>
      <c r="L459" s="137" t="e">
        <f>IF(VLOOKUP(A459,'Actual Dates'!A4:AE609,21,),'Actual Dates'!#REF!,"")</f>
        <v>#REF!</v>
      </c>
      <c r="M459" s="137" t="e">
        <f>'Date Calcs'!#REF!</f>
        <v>#REF!</v>
      </c>
      <c r="N459" s="137" t="e">
        <f>IF(VLOOKUP(A459,'Actual Dates'!A4:AE609,27,),'Actual Dates'!#REF!,"")</f>
        <v>#REF!</v>
      </c>
      <c r="O459" s="138" t="e">
        <f t="shared" ref="O459:O522" si="60">N459-C459</f>
        <v>#REF!</v>
      </c>
      <c r="P459" s="139" t="e">
        <f t="shared" si="58"/>
        <v>#REF!</v>
      </c>
      <c r="Q459" s="139" t="e">
        <f t="shared" si="59"/>
        <v>#REF!</v>
      </c>
      <c r="R459" s="170"/>
      <c r="S459" s="170"/>
    </row>
    <row r="460" spans="1:19" x14ac:dyDescent="0.25">
      <c r="A460" s="134" t="e">
        <f>'Date Calcs'!#REF!</f>
        <v>#REF!</v>
      </c>
      <c r="B460" s="135" t="e">
        <f>'Date Calcs'!#REF!</f>
        <v>#REF!</v>
      </c>
      <c r="C460" s="136" t="e">
        <f>'Date Calcs'!#REF!</f>
        <v>#REF!</v>
      </c>
      <c r="D460" s="137" t="e">
        <f t="shared" si="55"/>
        <v>#REF!</v>
      </c>
      <c r="E460" s="143">
        <v>44483</v>
      </c>
      <c r="F460" s="137" t="e">
        <f>'Date Calcs'!#REF!</f>
        <v>#REF!</v>
      </c>
      <c r="G460" s="137" t="e">
        <f>IF(VLOOKUP(A460,'Actual Dates'!A4:AE587,8,),'Actual Dates'!#REF!,"")</f>
        <v>#REF!</v>
      </c>
      <c r="H460" s="137" t="e">
        <f t="shared" si="56"/>
        <v>#REF!</v>
      </c>
      <c r="I460" s="137" t="e">
        <f>IF(VLOOKUP(A460,'Actual Dates'!A4:AE582,25,),'Actual Dates'!#REF!,"")</f>
        <v>#REF!</v>
      </c>
      <c r="J460" s="137" t="e">
        <f t="shared" si="57"/>
        <v>#REF!</v>
      </c>
      <c r="K460" s="137" t="e">
        <f>IF(VLOOKUP(A460,'Actual Dates'!A4:AE610,26,),'Actual Dates'!#REF!,"")</f>
        <v>#REF!</v>
      </c>
      <c r="L460" s="137" t="e">
        <f>IF(VLOOKUP(A460,'Actual Dates'!A4:AE610,21,),'Actual Dates'!#REF!,"")</f>
        <v>#REF!</v>
      </c>
      <c r="M460" s="137" t="e">
        <f>'Date Calcs'!#REF!</f>
        <v>#REF!</v>
      </c>
      <c r="N460" s="137" t="e">
        <f>IF(VLOOKUP(A460,'Actual Dates'!A4:AE610,27,),'Actual Dates'!#REF!,"")</f>
        <v>#REF!</v>
      </c>
      <c r="O460" s="138" t="e">
        <f t="shared" si="60"/>
        <v>#REF!</v>
      </c>
      <c r="P460" s="139" t="e">
        <f t="shared" si="58"/>
        <v>#REF!</v>
      </c>
      <c r="Q460" s="139" t="e">
        <f t="shared" si="59"/>
        <v>#REF!</v>
      </c>
      <c r="R460" s="170"/>
      <c r="S460" s="170"/>
    </row>
    <row r="461" spans="1:19" x14ac:dyDescent="0.25">
      <c r="A461" s="134" t="e">
        <f>'Date Calcs'!#REF!</f>
        <v>#REF!</v>
      </c>
      <c r="B461" s="135" t="e">
        <f>'Date Calcs'!#REF!</f>
        <v>#REF!</v>
      </c>
      <c r="C461" s="136" t="e">
        <f>'Date Calcs'!#REF!</f>
        <v>#REF!</v>
      </c>
      <c r="D461" s="137" t="e">
        <f t="shared" si="55"/>
        <v>#REF!</v>
      </c>
      <c r="E461" s="143">
        <v>44484</v>
      </c>
      <c r="F461" s="137" t="e">
        <f>'Date Calcs'!#REF!</f>
        <v>#REF!</v>
      </c>
      <c r="G461" s="137" t="e">
        <f>IF(VLOOKUP(A461,'Actual Dates'!A4:AE588,8,),'Actual Dates'!#REF!,"")</f>
        <v>#REF!</v>
      </c>
      <c r="H461" s="137" t="e">
        <f t="shared" si="56"/>
        <v>#REF!</v>
      </c>
      <c r="I461" s="137" t="e">
        <f>IF(VLOOKUP(A461,'Actual Dates'!A4:AE583,25,),'Actual Dates'!#REF!,"")</f>
        <v>#REF!</v>
      </c>
      <c r="J461" s="137" t="e">
        <f t="shared" si="57"/>
        <v>#REF!</v>
      </c>
      <c r="K461" s="137" t="e">
        <f>IF(VLOOKUP(A461,'Actual Dates'!A4:AE611,26,),'Actual Dates'!#REF!,"")</f>
        <v>#REF!</v>
      </c>
      <c r="L461" s="137" t="e">
        <f>IF(VLOOKUP(A461,'Actual Dates'!A4:AE611,21,),'Actual Dates'!#REF!,"")</f>
        <v>#REF!</v>
      </c>
      <c r="M461" s="137" t="e">
        <f>'Date Calcs'!#REF!</f>
        <v>#REF!</v>
      </c>
      <c r="N461" s="137" t="e">
        <f>IF(VLOOKUP(A461,'Actual Dates'!A4:AE611,27,),'Actual Dates'!#REF!,"")</f>
        <v>#REF!</v>
      </c>
      <c r="O461" s="138" t="e">
        <f t="shared" si="60"/>
        <v>#REF!</v>
      </c>
      <c r="P461" s="139" t="e">
        <f t="shared" si="58"/>
        <v>#REF!</v>
      </c>
      <c r="Q461" s="139" t="e">
        <f t="shared" si="59"/>
        <v>#REF!</v>
      </c>
      <c r="R461" s="170"/>
      <c r="S461" s="170"/>
    </row>
    <row r="462" spans="1:19" x14ac:dyDescent="0.25">
      <c r="A462" s="134" t="e">
        <f>'Date Calcs'!#REF!</f>
        <v>#REF!</v>
      </c>
      <c r="B462" s="135" t="e">
        <f>'Date Calcs'!#REF!</f>
        <v>#REF!</v>
      </c>
      <c r="C462" s="136" t="e">
        <f>'Date Calcs'!#REF!</f>
        <v>#REF!</v>
      </c>
      <c r="D462" s="137" t="e">
        <f t="shared" si="55"/>
        <v>#REF!</v>
      </c>
      <c r="E462" s="143">
        <v>44485</v>
      </c>
      <c r="F462" s="137" t="e">
        <f>'Date Calcs'!#REF!</f>
        <v>#REF!</v>
      </c>
      <c r="G462" s="137" t="e">
        <f>IF(VLOOKUP(A462,'Actual Dates'!A4:AE589,8,),'Actual Dates'!#REF!,"")</f>
        <v>#REF!</v>
      </c>
      <c r="H462" s="137" t="e">
        <f t="shared" si="56"/>
        <v>#REF!</v>
      </c>
      <c r="I462" s="137" t="e">
        <f>IF(VLOOKUP(A462,'Actual Dates'!A4:AE584,25,),'Actual Dates'!#REF!,"")</f>
        <v>#REF!</v>
      </c>
      <c r="J462" s="137" t="e">
        <f t="shared" si="57"/>
        <v>#REF!</v>
      </c>
      <c r="K462" s="137" t="e">
        <f>IF(VLOOKUP(A462,'Actual Dates'!A4:AE612,26,),'Actual Dates'!#REF!,"")</f>
        <v>#REF!</v>
      </c>
      <c r="L462" s="137" t="e">
        <f>IF(VLOOKUP(A462,'Actual Dates'!A4:AE612,21,),'Actual Dates'!#REF!,"")</f>
        <v>#REF!</v>
      </c>
      <c r="M462" s="137" t="e">
        <f>'Date Calcs'!#REF!</f>
        <v>#REF!</v>
      </c>
      <c r="N462" s="137" t="e">
        <f>IF(VLOOKUP(A462,'Actual Dates'!A4:AE612,27,),'Actual Dates'!#REF!,"")</f>
        <v>#REF!</v>
      </c>
      <c r="O462" s="138" t="e">
        <f t="shared" si="60"/>
        <v>#REF!</v>
      </c>
      <c r="P462" s="139" t="e">
        <f t="shared" si="58"/>
        <v>#REF!</v>
      </c>
      <c r="Q462" s="139" t="e">
        <f t="shared" si="59"/>
        <v>#REF!</v>
      </c>
      <c r="R462" s="170"/>
      <c r="S462" s="170"/>
    </row>
    <row r="463" spans="1:19" x14ac:dyDescent="0.25">
      <c r="A463" s="134" t="e">
        <f>'Date Calcs'!#REF!</f>
        <v>#REF!</v>
      </c>
      <c r="B463" s="135" t="e">
        <f>'Date Calcs'!#REF!</f>
        <v>#REF!</v>
      </c>
      <c r="C463" s="136" t="e">
        <f>'Date Calcs'!#REF!</f>
        <v>#REF!</v>
      </c>
      <c r="D463" s="137" t="e">
        <f t="shared" si="55"/>
        <v>#REF!</v>
      </c>
      <c r="E463" s="143">
        <v>44486</v>
      </c>
      <c r="F463" s="137" t="e">
        <f>'Date Calcs'!#REF!</f>
        <v>#REF!</v>
      </c>
      <c r="G463" s="137" t="e">
        <f>IF(VLOOKUP(A463,'Actual Dates'!A4:AE590,8,),'Actual Dates'!#REF!,"")</f>
        <v>#REF!</v>
      </c>
      <c r="H463" s="137" t="e">
        <f t="shared" si="56"/>
        <v>#REF!</v>
      </c>
      <c r="I463" s="137" t="e">
        <f>IF(VLOOKUP(A463,'Actual Dates'!A4:AE585,25,),'Actual Dates'!#REF!,"")</f>
        <v>#REF!</v>
      </c>
      <c r="J463" s="137" t="e">
        <f t="shared" si="57"/>
        <v>#REF!</v>
      </c>
      <c r="K463" s="137" t="e">
        <f>IF(VLOOKUP(A463,'Actual Dates'!A4:AE613,26,),'Actual Dates'!#REF!,"")</f>
        <v>#REF!</v>
      </c>
      <c r="L463" s="137" t="e">
        <f>IF(VLOOKUP(A463,'Actual Dates'!A4:AE613,21,),'Actual Dates'!#REF!,"")</f>
        <v>#REF!</v>
      </c>
      <c r="M463" s="137" t="e">
        <f>'Date Calcs'!#REF!</f>
        <v>#REF!</v>
      </c>
      <c r="N463" s="137" t="e">
        <f>IF(VLOOKUP(A463,'Actual Dates'!A4:AE613,27,),'Actual Dates'!#REF!,"")</f>
        <v>#REF!</v>
      </c>
      <c r="O463" s="138" t="e">
        <f t="shared" si="60"/>
        <v>#REF!</v>
      </c>
      <c r="P463" s="139" t="e">
        <f t="shared" si="58"/>
        <v>#REF!</v>
      </c>
      <c r="Q463" s="139" t="e">
        <f t="shared" si="59"/>
        <v>#REF!</v>
      </c>
      <c r="R463" s="170"/>
      <c r="S463" s="170"/>
    </row>
    <row r="464" spans="1:19" x14ac:dyDescent="0.25">
      <c r="A464" s="134" t="e">
        <f>'Date Calcs'!#REF!</f>
        <v>#REF!</v>
      </c>
      <c r="B464" s="135" t="e">
        <f>'Date Calcs'!#REF!</f>
        <v>#REF!</v>
      </c>
      <c r="C464" s="136" t="e">
        <f>'Date Calcs'!#REF!</f>
        <v>#REF!</v>
      </c>
      <c r="D464" s="137" t="e">
        <f t="shared" si="55"/>
        <v>#REF!</v>
      </c>
      <c r="E464" s="143">
        <v>44487</v>
      </c>
      <c r="F464" s="137" t="e">
        <f>'Date Calcs'!#REF!</f>
        <v>#REF!</v>
      </c>
      <c r="G464" s="137" t="e">
        <f>IF(VLOOKUP(A464,'Actual Dates'!A4:AE591,8,),'Actual Dates'!#REF!,"")</f>
        <v>#REF!</v>
      </c>
      <c r="H464" s="137" t="e">
        <f t="shared" si="56"/>
        <v>#REF!</v>
      </c>
      <c r="I464" s="137" t="e">
        <f>IF(VLOOKUP(A464,'Actual Dates'!A4:AE586,25,),'Actual Dates'!#REF!,"")</f>
        <v>#REF!</v>
      </c>
      <c r="J464" s="137" t="e">
        <f t="shared" si="57"/>
        <v>#REF!</v>
      </c>
      <c r="K464" s="137" t="e">
        <f>IF(VLOOKUP(A464,'Actual Dates'!A4:AE614,26,),'Actual Dates'!#REF!,"")</f>
        <v>#REF!</v>
      </c>
      <c r="L464" s="137" t="e">
        <f>IF(VLOOKUP(A464,'Actual Dates'!A4:AE614,21,),'Actual Dates'!#REF!,"")</f>
        <v>#REF!</v>
      </c>
      <c r="M464" s="137" t="e">
        <f>'Date Calcs'!#REF!</f>
        <v>#REF!</v>
      </c>
      <c r="N464" s="137" t="e">
        <f>IF(VLOOKUP(A464,'Actual Dates'!A4:AE614,27,),'Actual Dates'!#REF!,"")</f>
        <v>#REF!</v>
      </c>
      <c r="O464" s="138" t="e">
        <f t="shared" si="60"/>
        <v>#REF!</v>
      </c>
      <c r="P464" s="139" t="e">
        <f t="shared" si="58"/>
        <v>#REF!</v>
      </c>
      <c r="Q464" s="139" t="e">
        <f t="shared" si="59"/>
        <v>#REF!</v>
      </c>
      <c r="R464" s="170"/>
      <c r="S464" s="170"/>
    </row>
    <row r="465" spans="1:19" x14ac:dyDescent="0.25">
      <c r="A465" s="134" t="e">
        <f>'Date Calcs'!#REF!</f>
        <v>#REF!</v>
      </c>
      <c r="B465" s="135" t="e">
        <f>'Date Calcs'!#REF!</f>
        <v>#REF!</v>
      </c>
      <c r="C465" s="136" t="e">
        <f>'Date Calcs'!#REF!</f>
        <v>#REF!</v>
      </c>
      <c r="D465" s="137" t="e">
        <f t="shared" si="55"/>
        <v>#REF!</v>
      </c>
      <c r="E465" s="143">
        <v>44488</v>
      </c>
      <c r="F465" s="137" t="e">
        <f>'Date Calcs'!#REF!</f>
        <v>#REF!</v>
      </c>
      <c r="G465" s="137" t="e">
        <f>IF(VLOOKUP(A465,'Actual Dates'!A4:AE592,8,),'Actual Dates'!#REF!,"")</f>
        <v>#REF!</v>
      </c>
      <c r="H465" s="137" t="e">
        <f t="shared" si="56"/>
        <v>#REF!</v>
      </c>
      <c r="I465" s="137" t="e">
        <f>IF(VLOOKUP(A465,'Actual Dates'!A4:AE587,25,),'Actual Dates'!#REF!,"")</f>
        <v>#REF!</v>
      </c>
      <c r="J465" s="137" t="e">
        <f t="shared" si="57"/>
        <v>#REF!</v>
      </c>
      <c r="K465" s="137" t="e">
        <f>IF(VLOOKUP(A465,'Actual Dates'!A4:AE615,26,),'Actual Dates'!#REF!,"")</f>
        <v>#REF!</v>
      </c>
      <c r="L465" s="137" t="e">
        <f>IF(VLOOKUP(A465,'Actual Dates'!A4:AE615,21,),'Actual Dates'!#REF!,"")</f>
        <v>#REF!</v>
      </c>
      <c r="M465" s="137" t="e">
        <f>'Date Calcs'!#REF!</f>
        <v>#REF!</v>
      </c>
      <c r="N465" s="137" t="e">
        <f>IF(VLOOKUP(A465,'Actual Dates'!A4:AE615,27,),'Actual Dates'!#REF!,"")</f>
        <v>#REF!</v>
      </c>
      <c r="O465" s="138" t="e">
        <f t="shared" si="60"/>
        <v>#REF!</v>
      </c>
      <c r="P465" s="139" t="e">
        <f t="shared" si="58"/>
        <v>#REF!</v>
      </c>
      <c r="Q465" s="139" t="e">
        <f t="shared" si="59"/>
        <v>#REF!</v>
      </c>
      <c r="R465" s="170"/>
      <c r="S465" s="170"/>
    </row>
    <row r="466" spans="1:19" x14ac:dyDescent="0.25">
      <c r="A466" s="134" t="e">
        <f>'Date Calcs'!#REF!</f>
        <v>#REF!</v>
      </c>
      <c r="B466" s="135" t="e">
        <f>'Date Calcs'!#REF!</f>
        <v>#REF!</v>
      </c>
      <c r="C466" s="136" t="e">
        <f>'Date Calcs'!#REF!</f>
        <v>#REF!</v>
      </c>
      <c r="D466" s="137" t="e">
        <f t="shared" si="55"/>
        <v>#REF!</v>
      </c>
      <c r="E466" s="143">
        <v>44489</v>
      </c>
      <c r="F466" s="137" t="e">
        <f>'Date Calcs'!#REF!</f>
        <v>#REF!</v>
      </c>
      <c r="G466" s="137" t="e">
        <f>IF(VLOOKUP(A466,'Actual Dates'!A4:AE593,8,),'Actual Dates'!#REF!,"")</f>
        <v>#REF!</v>
      </c>
      <c r="H466" s="137" t="e">
        <f t="shared" si="56"/>
        <v>#REF!</v>
      </c>
      <c r="I466" s="137" t="e">
        <f>IF(VLOOKUP(A466,'Actual Dates'!A4:AE588,25,),'Actual Dates'!#REF!,"")</f>
        <v>#REF!</v>
      </c>
      <c r="J466" s="137" t="e">
        <f t="shared" si="57"/>
        <v>#REF!</v>
      </c>
      <c r="K466" s="137" t="e">
        <f>IF(VLOOKUP(A466,'Actual Dates'!A4:AE616,26,),'Actual Dates'!#REF!,"")</f>
        <v>#REF!</v>
      </c>
      <c r="L466" s="137" t="e">
        <f>IF(VLOOKUP(A466,'Actual Dates'!A4:AE616,21,),'Actual Dates'!#REF!,"")</f>
        <v>#REF!</v>
      </c>
      <c r="M466" s="137" t="e">
        <f>'Date Calcs'!#REF!</f>
        <v>#REF!</v>
      </c>
      <c r="N466" s="137" t="e">
        <f>IF(VLOOKUP(A466,'Actual Dates'!A4:AE616,27,),'Actual Dates'!#REF!,"")</f>
        <v>#REF!</v>
      </c>
      <c r="O466" s="138" t="e">
        <f t="shared" si="60"/>
        <v>#REF!</v>
      </c>
      <c r="P466" s="139" t="e">
        <f t="shared" si="58"/>
        <v>#REF!</v>
      </c>
      <c r="Q466" s="139" t="e">
        <f t="shared" si="59"/>
        <v>#REF!</v>
      </c>
      <c r="R466" s="170"/>
      <c r="S466" s="170"/>
    </row>
    <row r="467" spans="1:19" x14ac:dyDescent="0.25">
      <c r="A467" s="134" t="e">
        <f>'Date Calcs'!#REF!</f>
        <v>#REF!</v>
      </c>
      <c r="B467" s="135" t="e">
        <f>'Date Calcs'!#REF!</f>
        <v>#REF!</v>
      </c>
      <c r="C467" s="136" t="e">
        <f>'Date Calcs'!#REF!</f>
        <v>#REF!</v>
      </c>
      <c r="D467" s="137" t="e">
        <f t="shared" si="55"/>
        <v>#REF!</v>
      </c>
      <c r="E467" s="143">
        <v>44490</v>
      </c>
      <c r="F467" s="137" t="e">
        <f>'Date Calcs'!#REF!</f>
        <v>#REF!</v>
      </c>
      <c r="G467" s="137" t="e">
        <f>IF(VLOOKUP(A467,'Actual Dates'!A4:AE594,8,),'Actual Dates'!#REF!,"")</f>
        <v>#REF!</v>
      </c>
      <c r="H467" s="137" t="e">
        <f t="shared" si="56"/>
        <v>#REF!</v>
      </c>
      <c r="I467" s="137" t="e">
        <f>IF(VLOOKUP(A467,'Actual Dates'!A4:AE589,25,),'Actual Dates'!#REF!,"")</f>
        <v>#REF!</v>
      </c>
      <c r="J467" s="137" t="e">
        <f t="shared" si="57"/>
        <v>#REF!</v>
      </c>
      <c r="K467" s="137" t="e">
        <f>IF(VLOOKUP(A467,'Actual Dates'!A4:AE617,26,),'Actual Dates'!#REF!,"")</f>
        <v>#REF!</v>
      </c>
      <c r="L467" s="137" t="e">
        <f>IF(VLOOKUP(A467,'Actual Dates'!A4:AE617,21,),'Actual Dates'!#REF!,"")</f>
        <v>#REF!</v>
      </c>
      <c r="M467" s="137" t="e">
        <f>'Date Calcs'!#REF!</f>
        <v>#REF!</v>
      </c>
      <c r="N467" s="137" t="e">
        <f>IF(VLOOKUP(A467,'Actual Dates'!A4:AE617,27,),'Actual Dates'!#REF!,"")</f>
        <v>#REF!</v>
      </c>
      <c r="O467" s="138" t="e">
        <f t="shared" si="60"/>
        <v>#REF!</v>
      </c>
      <c r="P467" s="139" t="e">
        <f t="shared" si="58"/>
        <v>#REF!</v>
      </c>
      <c r="Q467" s="139" t="e">
        <f t="shared" si="59"/>
        <v>#REF!</v>
      </c>
      <c r="R467" s="170"/>
      <c r="S467" s="170"/>
    </row>
    <row r="468" spans="1:19" x14ac:dyDescent="0.25">
      <c r="A468" s="134" t="e">
        <f>'Date Calcs'!#REF!</f>
        <v>#REF!</v>
      </c>
      <c r="B468" s="135" t="e">
        <f>'Date Calcs'!#REF!</f>
        <v>#REF!</v>
      </c>
      <c r="C468" s="136" t="e">
        <f>'Date Calcs'!#REF!</f>
        <v>#REF!</v>
      </c>
      <c r="D468" s="137" t="e">
        <f t="shared" si="55"/>
        <v>#REF!</v>
      </c>
      <c r="E468" s="143">
        <v>44491</v>
      </c>
      <c r="F468" s="137" t="e">
        <f>'Date Calcs'!#REF!</f>
        <v>#REF!</v>
      </c>
      <c r="G468" s="137" t="e">
        <f>IF(VLOOKUP(A468,'Actual Dates'!A4:AE595,8,),'Actual Dates'!#REF!,"")</f>
        <v>#REF!</v>
      </c>
      <c r="H468" s="137" t="e">
        <f t="shared" si="56"/>
        <v>#REF!</v>
      </c>
      <c r="I468" s="137" t="e">
        <f>IF(VLOOKUP(A468,'Actual Dates'!A4:AE590,25,),'Actual Dates'!#REF!,"")</f>
        <v>#REF!</v>
      </c>
      <c r="J468" s="137" t="e">
        <f t="shared" si="57"/>
        <v>#REF!</v>
      </c>
      <c r="K468" s="137" t="e">
        <f>IF(VLOOKUP(A468,'Actual Dates'!A4:AE618,26,),'Actual Dates'!#REF!,"")</f>
        <v>#REF!</v>
      </c>
      <c r="L468" s="137" t="e">
        <f>IF(VLOOKUP(A468,'Actual Dates'!A4:AE618,21,),'Actual Dates'!#REF!,"")</f>
        <v>#REF!</v>
      </c>
      <c r="M468" s="137" t="e">
        <f>'Date Calcs'!#REF!</f>
        <v>#REF!</v>
      </c>
      <c r="N468" s="137" t="e">
        <f>IF(VLOOKUP(A468,'Actual Dates'!A4:AE618,27,),'Actual Dates'!#REF!,"")</f>
        <v>#REF!</v>
      </c>
      <c r="O468" s="138" t="e">
        <f t="shared" si="60"/>
        <v>#REF!</v>
      </c>
      <c r="P468" s="139" t="e">
        <f t="shared" si="58"/>
        <v>#REF!</v>
      </c>
      <c r="Q468" s="139" t="e">
        <f t="shared" si="59"/>
        <v>#REF!</v>
      </c>
      <c r="R468" s="170"/>
      <c r="S468" s="170"/>
    </row>
    <row r="469" spans="1:19" x14ac:dyDescent="0.25">
      <c r="A469" s="134" t="e">
        <f>'Date Calcs'!#REF!</f>
        <v>#REF!</v>
      </c>
      <c r="B469" s="135" t="e">
        <f>'Date Calcs'!#REF!</f>
        <v>#REF!</v>
      </c>
      <c r="C469" s="136" t="e">
        <f>'Date Calcs'!#REF!</f>
        <v>#REF!</v>
      </c>
      <c r="D469" s="137" t="e">
        <f t="shared" si="55"/>
        <v>#REF!</v>
      </c>
      <c r="E469" s="143">
        <v>44492</v>
      </c>
      <c r="F469" s="137" t="e">
        <f>'Date Calcs'!#REF!</f>
        <v>#REF!</v>
      </c>
      <c r="G469" s="137" t="e">
        <f>IF(VLOOKUP(A469,'Actual Dates'!A4:AE596,8,),'Actual Dates'!#REF!,"")</f>
        <v>#REF!</v>
      </c>
      <c r="H469" s="137" t="e">
        <f t="shared" si="56"/>
        <v>#REF!</v>
      </c>
      <c r="I469" s="137" t="e">
        <f>IF(VLOOKUP(A469,'Actual Dates'!A4:AE591,25,),'Actual Dates'!#REF!,"")</f>
        <v>#REF!</v>
      </c>
      <c r="J469" s="137" t="e">
        <f t="shared" si="57"/>
        <v>#REF!</v>
      </c>
      <c r="K469" s="137" t="e">
        <f>IF(VLOOKUP(A469,'Actual Dates'!A4:AE619,26,),'Actual Dates'!#REF!,"")</f>
        <v>#REF!</v>
      </c>
      <c r="L469" s="137" t="e">
        <f>IF(VLOOKUP(A469,'Actual Dates'!A4:AE619,21,),'Actual Dates'!#REF!,"")</f>
        <v>#REF!</v>
      </c>
      <c r="M469" s="137" t="e">
        <f>'Date Calcs'!#REF!</f>
        <v>#REF!</v>
      </c>
      <c r="N469" s="137" t="e">
        <f>IF(VLOOKUP(A469,'Actual Dates'!A4:AE619,27,),'Actual Dates'!#REF!,"")</f>
        <v>#REF!</v>
      </c>
      <c r="O469" s="138" t="e">
        <f t="shared" si="60"/>
        <v>#REF!</v>
      </c>
      <c r="P469" s="139" t="e">
        <f t="shared" si="58"/>
        <v>#REF!</v>
      </c>
      <c r="Q469" s="139" t="e">
        <f t="shared" si="59"/>
        <v>#REF!</v>
      </c>
      <c r="R469" s="170"/>
      <c r="S469" s="170"/>
    </row>
    <row r="470" spans="1:19" x14ac:dyDescent="0.25">
      <c r="A470" s="134" t="e">
        <f>'Date Calcs'!#REF!</f>
        <v>#REF!</v>
      </c>
      <c r="B470" s="135" t="e">
        <f>'Date Calcs'!#REF!</f>
        <v>#REF!</v>
      </c>
      <c r="C470" s="136" t="e">
        <f>'Date Calcs'!#REF!</f>
        <v>#REF!</v>
      </c>
      <c r="D470" s="137" t="e">
        <f t="shared" si="55"/>
        <v>#REF!</v>
      </c>
      <c r="E470" s="143">
        <v>44493</v>
      </c>
      <c r="F470" s="137" t="e">
        <f>'Date Calcs'!#REF!</f>
        <v>#REF!</v>
      </c>
      <c r="G470" s="137" t="e">
        <f>IF(VLOOKUP(A470,'Actual Dates'!A4:AE597,8,),'Actual Dates'!#REF!,"")</f>
        <v>#REF!</v>
      </c>
      <c r="H470" s="137" t="e">
        <f t="shared" si="56"/>
        <v>#REF!</v>
      </c>
      <c r="I470" s="137" t="e">
        <f>IF(VLOOKUP(A470,'Actual Dates'!A4:AE592,25,),'Actual Dates'!#REF!,"")</f>
        <v>#REF!</v>
      </c>
      <c r="J470" s="137" t="e">
        <f t="shared" si="57"/>
        <v>#REF!</v>
      </c>
      <c r="K470" s="137" t="e">
        <f>IF(VLOOKUP(A470,'Actual Dates'!A4:AE620,26,),'Actual Dates'!#REF!,"")</f>
        <v>#REF!</v>
      </c>
      <c r="L470" s="137" t="e">
        <f>IF(VLOOKUP(A470,'Actual Dates'!A4:AE620,21,),'Actual Dates'!#REF!,"")</f>
        <v>#REF!</v>
      </c>
      <c r="M470" s="137" t="e">
        <f>'Date Calcs'!#REF!</f>
        <v>#REF!</v>
      </c>
      <c r="N470" s="137" t="e">
        <f>IF(VLOOKUP(A470,'Actual Dates'!A4:AE620,27,),'Actual Dates'!#REF!,"")</f>
        <v>#REF!</v>
      </c>
      <c r="O470" s="138" t="e">
        <f t="shared" si="60"/>
        <v>#REF!</v>
      </c>
      <c r="P470" s="139" t="e">
        <f t="shared" si="58"/>
        <v>#REF!</v>
      </c>
      <c r="Q470" s="139" t="e">
        <f t="shared" si="59"/>
        <v>#REF!</v>
      </c>
      <c r="R470" s="170"/>
      <c r="S470" s="170"/>
    </row>
    <row r="471" spans="1:19" x14ac:dyDescent="0.25">
      <c r="A471" s="134" t="e">
        <f>'Date Calcs'!#REF!</f>
        <v>#REF!</v>
      </c>
      <c r="B471" s="135" t="e">
        <f>'Date Calcs'!#REF!</f>
        <v>#REF!</v>
      </c>
      <c r="C471" s="136" t="e">
        <f>'Date Calcs'!#REF!</f>
        <v>#REF!</v>
      </c>
      <c r="D471" s="137" t="e">
        <f t="shared" si="55"/>
        <v>#REF!</v>
      </c>
      <c r="E471" s="143">
        <v>44494</v>
      </c>
      <c r="F471" s="137" t="e">
        <f>'Date Calcs'!#REF!</f>
        <v>#REF!</v>
      </c>
      <c r="G471" s="137" t="e">
        <f>IF(VLOOKUP(A471,'Actual Dates'!A4:AE598,8,),'Actual Dates'!#REF!,"")</f>
        <v>#REF!</v>
      </c>
      <c r="H471" s="137" t="e">
        <f t="shared" si="56"/>
        <v>#REF!</v>
      </c>
      <c r="I471" s="137" t="e">
        <f>IF(VLOOKUP(A471,'Actual Dates'!A4:AE593,25,),'Actual Dates'!#REF!,"")</f>
        <v>#REF!</v>
      </c>
      <c r="J471" s="137" t="e">
        <f t="shared" si="57"/>
        <v>#REF!</v>
      </c>
      <c r="K471" s="137" t="e">
        <f>IF(VLOOKUP(A471,'Actual Dates'!A4:AE621,26,),'Actual Dates'!#REF!,"")</f>
        <v>#REF!</v>
      </c>
      <c r="L471" s="137" t="e">
        <f>IF(VLOOKUP(A471,'Actual Dates'!A4:AE621,21,),'Actual Dates'!#REF!,"")</f>
        <v>#REF!</v>
      </c>
      <c r="M471" s="137" t="e">
        <f>'Date Calcs'!#REF!</f>
        <v>#REF!</v>
      </c>
      <c r="N471" s="137" t="e">
        <f>IF(VLOOKUP(A471,'Actual Dates'!A4:AE621,27,),'Actual Dates'!#REF!,"")</f>
        <v>#REF!</v>
      </c>
      <c r="O471" s="138" t="e">
        <f t="shared" si="60"/>
        <v>#REF!</v>
      </c>
      <c r="P471" s="139" t="e">
        <f t="shared" si="58"/>
        <v>#REF!</v>
      </c>
      <c r="Q471" s="139" t="e">
        <f t="shared" si="59"/>
        <v>#REF!</v>
      </c>
      <c r="R471" s="170"/>
      <c r="S471" s="170"/>
    </row>
    <row r="472" spans="1:19" x14ac:dyDescent="0.25">
      <c r="A472" s="134" t="e">
        <f>'Date Calcs'!#REF!</f>
        <v>#REF!</v>
      </c>
      <c r="B472" s="135" t="e">
        <f>'Date Calcs'!#REF!</f>
        <v>#REF!</v>
      </c>
      <c r="C472" s="136" t="e">
        <f>'Date Calcs'!#REF!</f>
        <v>#REF!</v>
      </c>
      <c r="D472" s="137" t="e">
        <f t="shared" ref="D472:D535" si="61">WORKDAY(F472,-1,)</f>
        <v>#REF!</v>
      </c>
      <c r="E472" s="143">
        <v>44495</v>
      </c>
      <c r="F472" s="137" t="e">
        <f>'Date Calcs'!#REF!</f>
        <v>#REF!</v>
      </c>
      <c r="G472" s="137" t="e">
        <f>IF(VLOOKUP(A472,'Actual Dates'!A4:AE599,8,),'Actual Dates'!#REF!,"")</f>
        <v>#REF!</v>
      </c>
      <c r="H472" s="137" t="e">
        <f t="shared" si="56"/>
        <v>#REF!</v>
      </c>
      <c r="I472" s="137" t="e">
        <f>IF(VLOOKUP(A472,'Actual Dates'!A4:AE594,25,),'Actual Dates'!#REF!,"")</f>
        <v>#REF!</v>
      </c>
      <c r="J472" s="137" t="e">
        <f t="shared" si="57"/>
        <v>#REF!</v>
      </c>
      <c r="K472" s="137" t="e">
        <f>IF(VLOOKUP(A472,'Actual Dates'!A4:AE622,26,),'Actual Dates'!#REF!,"")</f>
        <v>#REF!</v>
      </c>
      <c r="L472" s="137" t="e">
        <f>IF(VLOOKUP(A472,'Actual Dates'!A4:AE622,21,),'Actual Dates'!#REF!,"")</f>
        <v>#REF!</v>
      </c>
      <c r="M472" s="137" t="e">
        <f>'Date Calcs'!#REF!</f>
        <v>#REF!</v>
      </c>
      <c r="N472" s="137" t="e">
        <f>IF(VLOOKUP(A472,'Actual Dates'!A4:AE622,27,),'Actual Dates'!#REF!,"")</f>
        <v>#REF!</v>
      </c>
      <c r="O472" s="138" t="e">
        <f t="shared" si="60"/>
        <v>#REF!</v>
      </c>
      <c r="P472" s="139" t="e">
        <f t="shared" si="58"/>
        <v>#REF!</v>
      </c>
      <c r="Q472" s="139" t="e">
        <f t="shared" si="59"/>
        <v>#REF!</v>
      </c>
      <c r="R472" s="170"/>
      <c r="S472" s="170"/>
    </row>
    <row r="473" spans="1:19" x14ac:dyDescent="0.25">
      <c r="A473" s="134" t="e">
        <f>'Date Calcs'!#REF!</f>
        <v>#REF!</v>
      </c>
      <c r="B473" s="135" t="e">
        <f>'Date Calcs'!#REF!</f>
        <v>#REF!</v>
      </c>
      <c r="C473" s="136" t="e">
        <f>'Date Calcs'!#REF!</f>
        <v>#REF!</v>
      </c>
      <c r="D473" s="137" t="e">
        <f t="shared" si="61"/>
        <v>#REF!</v>
      </c>
      <c r="E473" s="143">
        <v>44496</v>
      </c>
      <c r="F473" s="137" t="e">
        <f>'Date Calcs'!#REF!</f>
        <v>#REF!</v>
      </c>
      <c r="G473" s="137" t="e">
        <f>IF(VLOOKUP(A473,'Actual Dates'!A4:AE600,8,),'Actual Dates'!#REF!,"")</f>
        <v>#REF!</v>
      </c>
      <c r="H473" s="137" t="e">
        <f t="shared" si="56"/>
        <v>#REF!</v>
      </c>
      <c r="I473" s="137" t="e">
        <f>IF(VLOOKUP(A473,'Actual Dates'!A4:AE595,25,),'Actual Dates'!#REF!,"")</f>
        <v>#REF!</v>
      </c>
      <c r="J473" s="137" t="e">
        <f t="shared" si="57"/>
        <v>#REF!</v>
      </c>
      <c r="K473" s="137" t="e">
        <f>IF(VLOOKUP(A473,'Actual Dates'!A4:AE623,26,),'Actual Dates'!#REF!,"")</f>
        <v>#REF!</v>
      </c>
      <c r="L473" s="137" t="e">
        <f>IF(VLOOKUP(A473,'Actual Dates'!A4:AE623,21,),'Actual Dates'!#REF!,"")</f>
        <v>#REF!</v>
      </c>
      <c r="M473" s="137" t="e">
        <f>'Date Calcs'!#REF!</f>
        <v>#REF!</v>
      </c>
      <c r="N473" s="137" t="e">
        <f>IF(VLOOKUP(A473,'Actual Dates'!A4:AE623,27,),'Actual Dates'!#REF!,"")</f>
        <v>#REF!</v>
      </c>
      <c r="O473" s="138" t="e">
        <f t="shared" si="60"/>
        <v>#REF!</v>
      </c>
      <c r="P473" s="139" t="e">
        <f t="shared" si="58"/>
        <v>#REF!</v>
      </c>
      <c r="Q473" s="139" t="e">
        <f t="shared" si="59"/>
        <v>#REF!</v>
      </c>
      <c r="R473" s="170"/>
      <c r="S473" s="170"/>
    </row>
    <row r="474" spans="1:19" x14ac:dyDescent="0.25">
      <c r="A474" s="134" t="e">
        <f>'Date Calcs'!#REF!</f>
        <v>#REF!</v>
      </c>
      <c r="B474" s="135" t="e">
        <f>'Date Calcs'!#REF!</f>
        <v>#REF!</v>
      </c>
      <c r="C474" s="136" t="e">
        <f>'Date Calcs'!#REF!</f>
        <v>#REF!</v>
      </c>
      <c r="D474" s="137" t="e">
        <f t="shared" si="61"/>
        <v>#REF!</v>
      </c>
      <c r="E474" s="143">
        <v>44497</v>
      </c>
      <c r="F474" s="137" t="e">
        <f>'Date Calcs'!#REF!</f>
        <v>#REF!</v>
      </c>
      <c r="G474" s="137" t="e">
        <f>IF(VLOOKUP(A474,'Actual Dates'!A4:AE601,8,),'Actual Dates'!#REF!,"")</f>
        <v>#REF!</v>
      </c>
      <c r="H474" s="137" t="e">
        <f t="shared" si="56"/>
        <v>#REF!</v>
      </c>
      <c r="I474" s="137" t="e">
        <f>IF(VLOOKUP(A474,'Actual Dates'!A4:AE596,25,),'Actual Dates'!#REF!,"")</f>
        <v>#REF!</v>
      </c>
      <c r="J474" s="137" t="e">
        <f t="shared" si="57"/>
        <v>#REF!</v>
      </c>
      <c r="K474" s="137" t="e">
        <f>IF(VLOOKUP(A474,'Actual Dates'!A4:AE624,26,),'Actual Dates'!#REF!,"")</f>
        <v>#REF!</v>
      </c>
      <c r="L474" s="137" t="e">
        <f>IF(VLOOKUP(A474,'Actual Dates'!A4:AE624,21,),'Actual Dates'!#REF!,"")</f>
        <v>#REF!</v>
      </c>
      <c r="M474" s="137" t="e">
        <f>'Date Calcs'!#REF!</f>
        <v>#REF!</v>
      </c>
      <c r="N474" s="137" t="e">
        <f>IF(VLOOKUP(A474,'Actual Dates'!A4:AE624,27,),'Actual Dates'!#REF!,"")</f>
        <v>#REF!</v>
      </c>
      <c r="O474" s="138" t="e">
        <f t="shared" si="60"/>
        <v>#REF!</v>
      </c>
      <c r="P474" s="139" t="e">
        <f t="shared" si="58"/>
        <v>#REF!</v>
      </c>
      <c r="Q474" s="139" t="e">
        <f t="shared" si="59"/>
        <v>#REF!</v>
      </c>
      <c r="R474" s="170"/>
      <c r="S474" s="170"/>
    </row>
    <row r="475" spans="1:19" x14ac:dyDescent="0.25">
      <c r="A475" s="134" t="e">
        <f>'Date Calcs'!#REF!</f>
        <v>#REF!</v>
      </c>
      <c r="B475" s="135" t="e">
        <f>'Date Calcs'!#REF!</f>
        <v>#REF!</v>
      </c>
      <c r="C475" s="136" t="e">
        <f>'Date Calcs'!#REF!</f>
        <v>#REF!</v>
      </c>
      <c r="D475" s="137" t="e">
        <f t="shared" si="61"/>
        <v>#REF!</v>
      </c>
      <c r="E475" s="143">
        <v>44498</v>
      </c>
      <c r="F475" s="137" t="e">
        <f>'Date Calcs'!#REF!</f>
        <v>#REF!</v>
      </c>
      <c r="G475" s="137" t="e">
        <f>IF(VLOOKUP(A475,'Actual Dates'!A4:AE602,8,),'Actual Dates'!#REF!,"")</f>
        <v>#REF!</v>
      </c>
      <c r="H475" s="137" t="e">
        <f t="shared" si="56"/>
        <v>#REF!</v>
      </c>
      <c r="I475" s="137" t="e">
        <f>IF(VLOOKUP(A475,'Actual Dates'!A4:AE597,25,),'Actual Dates'!#REF!,"")</f>
        <v>#REF!</v>
      </c>
      <c r="J475" s="137" t="e">
        <f t="shared" si="57"/>
        <v>#REF!</v>
      </c>
      <c r="K475" s="137" t="e">
        <f>IF(VLOOKUP(A475,'Actual Dates'!A4:AE625,26,),'Actual Dates'!#REF!,"")</f>
        <v>#REF!</v>
      </c>
      <c r="L475" s="137" t="e">
        <f>IF(VLOOKUP(A475,'Actual Dates'!A4:AE625,21,),'Actual Dates'!#REF!,"")</f>
        <v>#REF!</v>
      </c>
      <c r="M475" s="137" t="e">
        <f>'Date Calcs'!#REF!</f>
        <v>#REF!</v>
      </c>
      <c r="N475" s="137" t="e">
        <f>IF(VLOOKUP(A475,'Actual Dates'!A4:AE625,27,),'Actual Dates'!#REF!,"")</f>
        <v>#REF!</v>
      </c>
      <c r="O475" s="138" t="e">
        <f t="shared" si="60"/>
        <v>#REF!</v>
      </c>
      <c r="P475" s="139" t="e">
        <f t="shared" si="58"/>
        <v>#REF!</v>
      </c>
      <c r="Q475" s="139" t="e">
        <f t="shared" si="59"/>
        <v>#REF!</v>
      </c>
      <c r="R475" s="170"/>
      <c r="S475" s="170"/>
    </row>
    <row r="476" spans="1:19" x14ac:dyDescent="0.25">
      <c r="A476" s="134" t="e">
        <f>'Date Calcs'!#REF!</f>
        <v>#REF!</v>
      </c>
      <c r="B476" s="135" t="e">
        <f>'Date Calcs'!#REF!</f>
        <v>#REF!</v>
      </c>
      <c r="C476" s="136" t="e">
        <f>'Date Calcs'!#REF!</f>
        <v>#REF!</v>
      </c>
      <c r="D476" s="137" t="e">
        <f t="shared" si="61"/>
        <v>#REF!</v>
      </c>
      <c r="E476" s="143">
        <v>44499</v>
      </c>
      <c r="F476" s="137" t="e">
        <f>'Date Calcs'!#REF!</f>
        <v>#REF!</v>
      </c>
      <c r="G476" s="137" t="e">
        <f>IF(VLOOKUP(A476,'Actual Dates'!A4:AE603,8,),'Actual Dates'!#REF!,"")</f>
        <v>#REF!</v>
      </c>
      <c r="H476" s="137" t="e">
        <f t="shared" si="56"/>
        <v>#REF!</v>
      </c>
      <c r="I476" s="137" t="e">
        <f>IF(VLOOKUP(A476,'Actual Dates'!A4:AE598,25,),'Actual Dates'!#REF!,"")</f>
        <v>#REF!</v>
      </c>
      <c r="J476" s="137" t="e">
        <f t="shared" si="57"/>
        <v>#REF!</v>
      </c>
      <c r="K476" s="137" t="e">
        <f>IF(VLOOKUP(A476,'Actual Dates'!A4:AE626,26,),'Actual Dates'!#REF!,"")</f>
        <v>#REF!</v>
      </c>
      <c r="L476" s="137" t="e">
        <f>IF(VLOOKUP(A476,'Actual Dates'!A4:AE626,21,),'Actual Dates'!#REF!,"")</f>
        <v>#REF!</v>
      </c>
      <c r="M476" s="137" t="e">
        <f>'Date Calcs'!#REF!</f>
        <v>#REF!</v>
      </c>
      <c r="N476" s="137" t="e">
        <f>IF(VLOOKUP(A476,'Actual Dates'!A4:AE626,27,),'Actual Dates'!#REF!,"")</f>
        <v>#REF!</v>
      </c>
      <c r="O476" s="138" t="e">
        <f t="shared" si="60"/>
        <v>#REF!</v>
      </c>
      <c r="P476" s="139" t="e">
        <f t="shared" si="58"/>
        <v>#REF!</v>
      </c>
      <c r="Q476" s="139" t="e">
        <f t="shared" si="59"/>
        <v>#REF!</v>
      </c>
      <c r="R476" s="170"/>
      <c r="S476" s="170"/>
    </row>
    <row r="477" spans="1:19" x14ac:dyDescent="0.25">
      <c r="A477" s="134" t="e">
        <f>'Date Calcs'!#REF!</f>
        <v>#REF!</v>
      </c>
      <c r="B477" s="135" t="e">
        <f>'Date Calcs'!#REF!</f>
        <v>#REF!</v>
      </c>
      <c r="C477" s="136" t="e">
        <f>'Date Calcs'!#REF!</f>
        <v>#REF!</v>
      </c>
      <c r="D477" s="137" t="e">
        <f t="shared" si="61"/>
        <v>#REF!</v>
      </c>
      <c r="E477" s="143">
        <v>44500</v>
      </c>
      <c r="F477" s="137" t="e">
        <f>'Date Calcs'!#REF!</f>
        <v>#REF!</v>
      </c>
      <c r="G477" s="137" t="e">
        <f>IF(VLOOKUP(A477,'Actual Dates'!A4:AE604,8,),'Actual Dates'!#REF!,"")</f>
        <v>#REF!</v>
      </c>
      <c r="H477" s="137" t="e">
        <f t="shared" si="56"/>
        <v>#REF!</v>
      </c>
      <c r="I477" s="137" t="e">
        <f>IF(VLOOKUP(A477,'Actual Dates'!A4:AE599,25,),'Actual Dates'!#REF!,"")</f>
        <v>#REF!</v>
      </c>
      <c r="J477" s="137" t="e">
        <f t="shared" si="57"/>
        <v>#REF!</v>
      </c>
      <c r="K477" s="137" t="e">
        <f>IF(VLOOKUP(A477,'Actual Dates'!A4:AE627,26,),'Actual Dates'!#REF!,"")</f>
        <v>#REF!</v>
      </c>
      <c r="L477" s="137" t="e">
        <f>IF(VLOOKUP(A477,'Actual Dates'!A4:AE627,21,),'Actual Dates'!#REF!,"")</f>
        <v>#REF!</v>
      </c>
      <c r="M477" s="137" t="e">
        <f>'Date Calcs'!#REF!</f>
        <v>#REF!</v>
      </c>
      <c r="N477" s="137" t="e">
        <f>IF(VLOOKUP(A477,'Actual Dates'!A4:AE627,27,),'Actual Dates'!#REF!,"")</f>
        <v>#REF!</v>
      </c>
      <c r="O477" s="138" t="e">
        <f t="shared" si="60"/>
        <v>#REF!</v>
      </c>
      <c r="P477" s="139" t="e">
        <f t="shared" si="58"/>
        <v>#REF!</v>
      </c>
      <c r="Q477" s="139" t="e">
        <f t="shared" si="59"/>
        <v>#REF!</v>
      </c>
      <c r="R477" s="170"/>
      <c r="S477" s="170"/>
    </row>
    <row r="478" spans="1:19" x14ac:dyDescent="0.25">
      <c r="A478" s="134" t="e">
        <f>'Date Calcs'!#REF!</f>
        <v>#REF!</v>
      </c>
      <c r="B478" s="135" t="e">
        <f>'Date Calcs'!#REF!</f>
        <v>#REF!</v>
      </c>
      <c r="C478" s="136" t="e">
        <f>'Date Calcs'!#REF!</f>
        <v>#REF!</v>
      </c>
      <c r="D478" s="137" t="e">
        <f t="shared" si="61"/>
        <v>#REF!</v>
      </c>
      <c r="E478" s="143">
        <v>44501</v>
      </c>
      <c r="F478" s="137" t="e">
        <f>'Date Calcs'!#REF!</f>
        <v>#REF!</v>
      </c>
      <c r="G478" s="137" t="e">
        <f>IF(VLOOKUP(A478,'Actual Dates'!A4:AE605,8,),'Actual Dates'!#REF!,"")</f>
        <v>#REF!</v>
      </c>
      <c r="H478" s="137" t="e">
        <f t="shared" si="56"/>
        <v>#REF!</v>
      </c>
      <c r="I478" s="137" t="e">
        <f>IF(VLOOKUP(A478,'Actual Dates'!A4:AE600,25,),'Actual Dates'!#REF!,"")</f>
        <v>#REF!</v>
      </c>
      <c r="J478" s="137" t="e">
        <f t="shared" si="57"/>
        <v>#REF!</v>
      </c>
      <c r="K478" s="137" t="e">
        <f>IF(VLOOKUP(A478,'Actual Dates'!A4:AE628,26,),'Actual Dates'!#REF!,"")</f>
        <v>#REF!</v>
      </c>
      <c r="L478" s="137" t="e">
        <f>IF(VLOOKUP(A478,'Actual Dates'!A4:AE628,21,),'Actual Dates'!#REF!,"")</f>
        <v>#REF!</v>
      </c>
      <c r="M478" s="137" t="e">
        <f>'Date Calcs'!#REF!</f>
        <v>#REF!</v>
      </c>
      <c r="N478" s="137" t="e">
        <f>IF(VLOOKUP(A478,'Actual Dates'!A4:AE628,27,),'Actual Dates'!#REF!,"")</f>
        <v>#REF!</v>
      </c>
      <c r="O478" s="138" t="e">
        <f t="shared" si="60"/>
        <v>#REF!</v>
      </c>
      <c r="P478" s="139" t="e">
        <f t="shared" si="58"/>
        <v>#REF!</v>
      </c>
      <c r="Q478" s="139" t="e">
        <f t="shared" si="59"/>
        <v>#REF!</v>
      </c>
      <c r="R478" s="170"/>
      <c r="S478" s="170"/>
    </row>
    <row r="479" spans="1:19" x14ac:dyDescent="0.25">
      <c r="A479" s="134" t="e">
        <f>'Date Calcs'!#REF!</f>
        <v>#REF!</v>
      </c>
      <c r="B479" s="135" t="e">
        <f>'Date Calcs'!#REF!</f>
        <v>#REF!</v>
      </c>
      <c r="C479" s="136" t="e">
        <f>'Date Calcs'!#REF!</f>
        <v>#REF!</v>
      </c>
      <c r="D479" s="137" t="e">
        <f t="shared" si="61"/>
        <v>#REF!</v>
      </c>
      <c r="E479" s="143">
        <v>44502</v>
      </c>
      <c r="F479" s="137" t="e">
        <f>'Date Calcs'!#REF!</f>
        <v>#REF!</v>
      </c>
      <c r="G479" s="137" t="e">
        <f>IF(VLOOKUP(A479,'Actual Dates'!A4:AE606,8,),'Actual Dates'!#REF!,"")</f>
        <v>#REF!</v>
      </c>
      <c r="H479" s="137" t="e">
        <f t="shared" si="56"/>
        <v>#REF!</v>
      </c>
      <c r="I479" s="137" t="e">
        <f>IF(VLOOKUP(A479,'Actual Dates'!A4:AE601,25,),'Actual Dates'!#REF!,"")</f>
        <v>#REF!</v>
      </c>
      <c r="J479" s="137" t="e">
        <f t="shared" si="57"/>
        <v>#REF!</v>
      </c>
      <c r="K479" s="137" t="e">
        <f>IF(VLOOKUP(A479,'Actual Dates'!A4:AE629,26,),'Actual Dates'!#REF!,"")</f>
        <v>#REF!</v>
      </c>
      <c r="L479" s="137" t="e">
        <f>IF(VLOOKUP(A479,'Actual Dates'!A4:AE629,21,),'Actual Dates'!#REF!,"")</f>
        <v>#REF!</v>
      </c>
      <c r="M479" s="137" t="e">
        <f>'Date Calcs'!#REF!</f>
        <v>#REF!</v>
      </c>
      <c r="N479" s="137" t="e">
        <f>IF(VLOOKUP(A479,'Actual Dates'!A4:AE629,27,),'Actual Dates'!#REF!,"")</f>
        <v>#REF!</v>
      </c>
      <c r="O479" s="138" t="e">
        <f t="shared" si="60"/>
        <v>#REF!</v>
      </c>
      <c r="P479" s="139" t="e">
        <f t="shared" si="58"/>
        <v>#REF!</v>
      </c>
      <c r="Q479" s="139" t="e">
        <f t="shared" si="59"/>
        <v>#REF!</v>
      </c>
      <c r="R479" s="170"/>
      <c r="S479" s="170"/>
    </row>
    <row r="480" spans="1:19" x14ac:dyDescent="0.25">
      <c r="A480" s="134" t="e">
        <f>'Date Calcs'!#REF!</f>
        <v>#REF!</v>
      </c>
      <c r="B480" s="135" t="e">
        <f>'Date Calcs'!#REF!</f>
        <v>#REF!</v>
      </c>
      <c r="C480" s="136" t="e">
        <f>'Date Calcs'!#REF!</f>
        <v>#REF!</v>
      </c>
      <c r="D480" s="137" t="e">
        <f t="shared" si="61"/>
        <v>#REF!</v>
      </c>
      <c r="E480" s="143">
        <v>44503</v>
      </c>
      <c r="F480" s="137" t="e">
        <f>'Date Calcs'!#REF!</f>
        <v>#REF!</v>
      </c>
      <c r="G480" s="137" t="e">
        <f>IF(VLOOKUP(A480,'Actual Dates'!A4:AE607,8,),'Actual Dates'!#REF!,"")</f>
        <v>#REF!</v>
      </c>
      <c r="H480" s="137" t="e">
        <f t="shared" si="56"/>
        <v>#REF!</v>
      </c>
      <c r="I480" s="137" t="e">
        <f>IF(VLOOKUP(A480,'Actual Dates'!A4:AE602,25,),'Actual Dates'!#REF!,"")</f>
        <v>#REF!</v>
      </c>
      <c r="J480" s="137" t="e">
        <f t="shared" si="57"/>
        <v>#REF!</v>
      </c>
      <c r="K480" s="137" t="e">
        <f>IF(VLOOKUP(A480,'Actual Dates'!A4:AE630,26,),'Actual Dates'!#REF!,"")</f>
        <v>#REF!</v>
      </c>
      <c r="L480" s="137" t="e">
        <f>IF(VLOOKUP(A480,'Actual Dates'!A4:AE630,21,),'Actual Dates'!#REF!,"")</f>
        <v>#REF!</v>
      </c>
      <c r="M480" s="137" t="e">
        <f>'Date Calcs'!#REF!</f>
        <v>#REF!</v>
      </c>
      <c r="N480" s="137" t="e">
        <f>IF(VLOOKUP(A480,'Actual Dates'!A4:AE630,27,),'Actual Dates'!#REF!,"")</f>
        <v>#REF!</v>
      </c>
      <c r="O480" s="138" t="e">
        <f t="shared" si="60"/>
        <v>#REF!</v>
      </c>
      <c r="P480" s="139" t="e">
        <f t="shared" si="58"/>
        <v>#REF!</v>
      </c>
      <c r="Q480" s="139" t="e">
        <f t="shared" si="59"/>
        <v>#REF!</v>
      </c>
      <c r="R480" s="170"/>
      <c r="S480" s="170"/>
    </row>
    <row r="481" spans="1:19" x14ac:dyDescent="0.25">
      <c r="A481" s="134" t="e">
        <f>'Date Calcs'!#REF!</f>
        <v>#REF!</v>
      </c>
      <c r="B481" s="135" t="e">
        <f>'Date Calcs'!#REF!</f>
        <v>#REF!</v>
      </c>
      <c r="C481" s="136" t="e">
        <f>'Date Calcs'!#REF!</f>
        <v>#REF!</v>
      </c>
      <c r="D481" s="137" t="e">
        <f t="shared" si="61"/>
        <v>#REF!</v>
      </c>
      <c r="E481" s="143">
        <v>44504</v>
      </c>
      <c r="F481" s="137" t="e">
        <f>'Date Calcs'!#REF!</f>
        <v>#REF!</v>
      </c>
      <c r="G481" s="137" t="e">
        <f>IF(VLOOKUP(A481,'Actual Dates'!A4:AE608,8,),'Actual Dates'!#REF!,"")</f>
        <v>#REF!</v>
      </c>
      <c r="H481" s="137" t="e">
        <f t="shared" si="56"/>
        <v>#REF!</v>
      </c>
      <c r="I481" s="137" t="e">
        <f>IF(VLOOKUP(A481,'Actual Dates'!A4:AE603,25,),'Actual Dates'!#REF!,"")</f>
        <v>#REF!</v>
      </c>
      <c r="J481" s="137" t="e">
        <f t="shared" si="57"/>
        <v>#REF!</v>
      </c>
      <c r="K481" s="137" t="e">
        <f>IF(VLOOKUP(A481,'Actual Dates'!A4:AE631,26,),'Actual Dates'!#REF!,"")</f>
        <v>#REF!</v>
      </c>
      <c r="L481" s="137" t="e">
        <f>IF(VLOOKUP(A481,'Actual Dates'!A4:AE631,21,),'Actual Dates'!#REF!,"")</f>
        <v>#REF!</v>
      </c>
      <c r="M481" s="137" t="e">
        <f>'Date Calcs'!#REF!</f>
        <v>#REF!</v>
      </c>
      <c r="N481" s="137" t="e">
        <f>IF(VLOOKUP(A481,'Actual Dates'!A4:AE631,27,),'Actual Dates'!#REF!,"")</f>
        <v>#REF!</v>
      </c>
      <c r="O481" s="138" t="e">
        <f t="shared" si="60"/>
        <v>#REF!</v>
      </c>
      <c r="P481" s="139" t="e">
        <f t="shared" si="58"/>
        <v>#REF!</v>
      </c>
      <c r="Q481" s="139" t="e">
        <f t="shared" si="59"/>
        <v>#REF!</v>
      </c>
      <c r="R481" s="170"/>
      <c r="S481" s="170"/>
    </row>
    <row r="482" spans="1:19" x14ac:dyDescent="0.25">
      <c r="A482" s="134" t="e">
        <f>'Date Calcs'!#REF!</f>
        <v>#REF!</v>
      </c>
      <c r="B482" s="135" t="e">
        <f>'Date Calcs'!#REF!</f>
        <v>#REF!</v>
      </c>
      <c r="C482" s="136" t="e">
        <f>'Date Calcs'!#REF!</f>
        <v>#REF!</v>
      </c>
      <c r="D482" s="137" t="e">
        <f t="shared" si="61"/>
        <v>#REF!</v>
      </c>
      <c r="E482" s="143">
        <v>44505</v>
      </c>
      <c r="F482" s="137" t="e">
        <f>'Date Calcs'!#REF!</f>
        <v>#REF!</v>
      </c>
      <c r="G482" s="137" t="e">
        <f>IF(VLOOKUP(A482,'Actual Dates'!A4:AE609,8,),'Actual Dates'!#REF!,"")</f>
        <v>#REF!</v>
      </c>
      <c r="H482" s="137" t="e">
        <f t="shared" si="56"/>
        <v>#REF!</v>
      </c>
      <c r="I482" s="137" t="e">
        <f>IF(VLOOKUP(A482,'Actual Dates'!A4:AE604,25,),'Actual Dates'!#REF!,"")</f>
        <v>#REF!</v>
      </c>
      <c r="J482" s="137" t="e">
        <f t="shared" si="57"/>
        <v>#REF!</v>
      </c>
      <c r="K482" s="137" t="e">
        <f>IF(VLOOKUP(A482,'Actual Dates'!A4:AE632,26,),'Actual Dates'!#REF!,"")</f>
        <v>#REF!</v>
      </c>
      <c r="L482" s="137" t="e">
        <f>IF(VLOOKUP(A482,'Actual Dates'!A4:AE632,21,),'Actual Dates'!#REF!,"")</f>
        <v>#REF!</v>
      </c>
      <c r="M482" s="137" t="e">
        <f>'Date Calcs'!#REF!</f>
        <v>#REF!</v>
      </c>
      <c r="N482" s="137" t="e">
        <f>IF(VLOOKUP(A482,'Actual Dates'!A4:AE632,27,),'Actual Dates'!#REF!,"")</f>
        <v>#REF!</v>
      </c>
      <c r="O482" s="138" t="e">
        <f t="shared" si="60"/>
        <v>#REF!</v>
      </c>
      <c r="P482" s="139" t="e">
        <f t="shared" si="58"/>
        <v>#REF!</v>
      </c>
      <c r="Q482" s="139" t="e">
        <f t="shared" si="59"/>
        <v>#REF!</v>
      </c>
      <c r="R482" s="170"/>
      <c r="S482" s="170"/>
    </row>
    <row r="483" spans="1:19" x14ac:dyDescent="0.25">
      <c r="A483" s="134" t="e">
        <f>'Date Calcs'!#REF!</f>
        <v>#REF!</v>
      </c>
      <c r="B483" s="135" t="e">
        <f>'Date Calcs'!#REF!</f>
        <v>#REF!</v>
      </c>
      <c r="C483" s="136" t="e">
        <f>'Date Calcs'!#REF!</f>
        <v>#REF!</v>
      </c>
      <c r="D483" s="137" t="e">
        <f t="shared" si="61"/>
        <v>#REF!</v>
      </c>
      <c r="E483" s="143">
        <v>44506</v>
      </c>
      <c r="F483" s="137" t="e">
        <f>'Date Calcs'!#REF!</f>
        <v>#REF!</v>
      </c>
      <c r="G483" s="137" t="e">
        <f>IF(VLOOKUP(A483,'Actual Dates'!A4:AE610,8,),'Actual Dates'!#REF!,"")</f>
        <v>#REF!</v>
      </c>
      <c r="H483" s="137" t="e">
        <f t="shared" si="56"/>
        <v>#REF!</v>
      </c>
      <c r="I483" s="137" t="e">
        <f>IF(VLOOKUP(A483,'Actual Dates'!A4:AE605,25,),'Actual Dates'!#REF!,"")</f>
        <v>#REF!</v>
      </c>
      <c r="J483" s="137" t="e">
        <f t="shared" si="57"/>
        <v>#REF!</v>
      </c>
      <c r="K483" s="137" t="e">
        <f>IF(VLOOKUP(A483,'Actual Dates'!A4:AE633,26,),'Actual Dates'!#REF!,"")</f>
        <v>#REF!</v>
      </c>
      <c r="L483" s="137" t="e">
        <f>IF(VLOOKUP(A483,'Actual Dates'!A4:AE633,21,),'Actual Dates'!#REF!,"")</f>
        <v>#REF!</v>
      </c>
      <c r="M483" s="137" t="e">
        <f>'Date Calcs'!#REF!</f>
        <v>#REF!</v>
      </c>
      <c r="N483" s="137" t="e">
        <f>IF(VLOOKUP(A483,'Actual Dates'!A4:AE633,27,),'Actual Dates'!#REF!,"")</f>
        <v>#REF!</v>
      </c>
      <c r="O483" s="138" t="e">
        <f t="shared" si="60"/>
        <v>#REF!</v>
      </c>
      <c r="P483" s="139" t="e">
        <f t="shared" si="58"/>
        <v>#REF!</v>
      </c>
      <c r="Q483" s="139" t="e">
        <f t="shared" si="59"/>
        <v>#REF!</v>
      </c>
      <c r="R483" s="170"/>
      <c r="S483" s="170"/>
    </row>
    <row r="484" spans="1:19" x14ac:dyDescent="0.25">
      <c r="A484" s="134" t="e">
        <f>'Date Calcs'!#REF!</f>
        <v>#REF!</v>
      </c>
      <c r="B484" s="135" t="e">
        <f>'Date Calcs'!#REF!</f>
        <v>#REF!</v>
      </c>
      <c r="C484" s="136" t="e">
        <f>'Date Calcs'!#REF!</f>
        <v>#REF!</v>
      </c>
      <c r="D484" s="137" t="e">
        <f t="shared" si="61"/>
        <v>#REF!</v>
      </c>
      <c r="E484" s="143">
        <v>44507</v>
      </c>
      <c r="F484" s="137" t="e">
        <f>'Date Calcs'!#REF!</f>
        <v>#REF!</v>
      </c>
      <c r="G484" s="137" t="e">
        <f>IF(VLOOKUP(A484,'Actual Dates'!A4:AE611,8,),'Actual Dates'!#REF!,"")</f>
        <v>#REF!</v>
      </c>
      <c r="H484" s="137" t="e">
        <f t="shared" si="56"/>
        <v>#REF!</v>
      </c>
      <c r="I484" s="137" t="e">
        <f>IF(VLOOKUP(A484,'Actual Dates'!A4:AE606,25,),'Actual Dates'!#REF!,"")</f>
        <v>#REF!</v>
      </c>
      <c r="J484" s="137" t="e">
        <f t="shared" si="57"/>
        <v>#REF!</v>
      </c>
      <c r="K484" s="137" t="e">
        <f>IF(VLOOKUP(A484,'Actual Dates'!A4:AE634,26,),'Actual Dates'!#REF!,"")</f>
        <v>#REF!</v>
      </c>
      <c r="L484" s="137" t="e">
        <f>IF(VLOOKUP(A484,'Actual Dates'!A4:AE634,21,),'Actual Dates'!#REF!,"")</f>
        <v>#REF!</v>
      </c>
      <c r="M484" s="137" t="e">
        <f>'Date Calcs'!#REF!</f>
        <v>#REF!</v>
      </c>
      <c r="N484" s="137" t="e">
        <f>IF(VLOOKUP(A484,'Actual Dates'!A4:AE634,27,),'Actual Dates'!#REF!,"")</f>
        <v>#REF!</v>
      </c>
      <c r="O484" s="138" t="e">
        <f t="shared" si="60"/>
        <v>#REF!</v>
      </c>
      <c r="P484" s="139" t="e">
        <f t="shared" si="58"/>
        <v>#REF!</v>
      </c>
      <c r="Q484" s="139" t="e">
        <f t="shared" si="59"/>
        <v>#REF!</v>
      </c>
      <c r="R484" s="170"/>
      <c r="S484" s="170"/>
    </row>
    <row r="485" spans="1:19" x14ac:dyDescent="0.25">
      <c r="A485" s="134" t="e">
        <f>'Date Calcs'!#REF!</f>
        <v>#REF!</v>
      </c>
      <c r="B485" s="135" t="e">
        <f>'Date Calcs'!#REF!</f>
        <v>#REF!</v>
      </c>
      <c r="C485" s="136" t="e">
        <f>'Date Calcs'!#REF!</f>
        <v>#REF!</v>
      </c>
      <c r="D485" s="137" t="e">
        <f t="shared" si="61"/>
        <v>#REF!</v>
      </c>
      <c r="E485" s="143">
        <v>44508</v>
      </c>
      <c r="F485" s="137" t="e">
        <f>'Date Calcs'!#REF!</f>
        <v>#REF!</v>
      </c>
      <c r="G485" s="137" t="e">
        <f>IF(VLOOKUP(A485,'Actual Dates'!A4:AE612,8,),'Actual Dates'!#REF!,"")</f>
        <v>#REF!</v>
      </c>
      <c r="H485" s="137" t="e">
        <f t="shared" si="56"/>
        <v>#REF!</v>
      </c>
      <c r="I485" s="137" t="e">
        <f>IF(VLOOKUP(A485,'Actual Dates'!A4:AE607,25,),'Actual Dates'!#REF!,"")</f>
        <v>#REF!</v>
      </c>
      <c r="J485" s="137" t="e">
        <f t="shared" si="57"/>
        <v>#REF!</v>
      </c>
      <c r="K485" s="137" t="e">
        <f>IF(VLOOKUP(A485,'Actual Dates'!A4:AE635,26,),'Actual Dates'!#REF!,"")</f>
        <v>#REF!</v>
      </c>
      <c r="L485" s="137" t="e">
        <f>IF(VLOOKUP(A485,'Actual Dates'!A4:AE635,21,),'Actual Dates'!#REF!,"")</f>
        <v>#REF!</v>
      </c>
      <c r="M485" s="137" t="e">
        <f>'Date Calcs'!#REF!</f>
        <v>#REF!</v>
      </c>
      <c r="N485" s="137" t="e">
        <f>IF(VLOOKUP(A485,'Actual Dates'!A4:AE635,27,),'Actual Dates'!#REF!,"")</f>
        <v>#REF!</v>
      </c>
      <c r="O485" s="138" t="e">
        <f t="shared" si="60"/>
        <v>#REF!</v>
      </c>
      <c r="P485" s="139" t="e">
        <f t="shared" si="58"/>
        <v>#REF!</v>
      </c>
      <c r="Q485" s="139" t="e">
        <f t="shared" si="59"/>
        <v>#REF!</v>
      </c>
      <c r="R485" s="170"/>
      <c r="S485" s="170"/>
    </row>
    <row r="486" spans="1:19" x14ac:dyDescent="0.25">
      <c r="A486" s="134" t="e">
        <f>'Date Calcs'!#REF!</f>
        <v>#REF!</v>
      </c>
      <c r="B486" s="135" t="e">
        <f>'Date Calcs'!#REF!</f>
        <v>#REF!</v>
      </c>
      <c r="C486" s="136" t="e">
        <f>'Date Calcs'!#REF!</f>
        <v>#REF!</v>
      </c>
      <c r="D486" s="137" t="e">
        <f t="shared" si="61"/>
        <v>#REF!</v>
      </c>
      <c r="E486" s="143">
        <v>44509</v>
      </c>
      <c r="F486" s="137" t="e">
        <f>'Date Calcs'!#REF!</f>
        <v>#REF!</v>
      </c>
      <c r="G486" s="137" t="e">
        <f>IF(VLOOKUP(A486,'Actual Dates'!A4:AE613,8,),'Actual Dates'!#REF!,"")</f>
        <v>#REF!</v>
      </c>
      <c r="H486" s="137" t="e">
        <f t="shared" si="56"/>
        <v>#REF!</v>
      </c>
      <c r="I486" s="137" t="e">
        <f>IF(VLOOKUP(A486,'Actual Dates'!A4:AE608,25,),'Actual Dates'!#REF!,"")</f>
        <v>#REF!</v>
      </c>
      <c r="J486" s="137" t="e">
        <f t="shared" si="57"/>
        <v>#REF!</v>
      </c>
      <c r="K486" s="137" t="e">
        <f>IF(VLOOKUP(A486,'Actual Dates'!A4:AE636,26,),'Actual Dates'!#REF!,"")</f>
        <v>#REF!</v>
      </c>
      <c r="L486" s="137" t="e">
        <f>IF(VLOOKUP(A486,'Actual Dates'!A4:AE636,21,),'Actual Dates'!#REF!,"")</f>
        <v>#REF!</v>
      </c>
      <c r="M486" s="137" t="e">
        <f>'Date Calcs'!#REF!</f>
        <v>#REF!</v>
      </c>
      <c r="N486" s="137" t="e">
        <f>IF(VLOOKUP(A486,'Actual Dates'!A4:AE636,27,),'Actual Dates'!#REF!,"")</f>
        <v>#REF!</v>
      </c>
      <c r="O486" s="138" t="e">
        <f t="shared" si="60"/>
        <v>#REF!</v>
      </c>
      <c r="P486" s="139" t="e">
        <f t="shared" si="58"/>
        <v>#REF!</v>
      </c>
      <c r="Q486" s="139" t="e">
        <f t="shared" si="59"/>
        <v>#REF!</v>
      </c>
      <c r="R486" s="170"/>
      <c r="S486" s="170"/>
    </row>
    <row r="487" spans="1:19" x14ac:dyDescent="0.25">
      <c r="A487" s="134" t="e">
        <f>'Date Calcs'!#REF!</f>
        <v>#REF!</v>
      </c>
      <c r="B487" s="135" t="e">
        <f>'Date Calcs'!#REF!</f>
        <v>#REF!</v>
      </c>
      <c r="C487" s="136" t="e">
        <f>'Date Calcs'!#REF!</f>
        <v>#REF!</v>
      </c>
      <c r="D487" s="137" t="e">
        <f t="shared" si="61"/>
        <v>#REF!</v>
      </c>
      <c r="E487" s="143">
        <v>44510</v>
      </c>
      <c r="F487" s="137" t="e">
        <f>'Date Calcs'!#REF!</f>
        <v>#REF!</v>
      </c>
      <c r="G487" s="137" t="e">
        <f>IF(VLOOKUP(A487,'Actual Dates'!A4:AE614,8,),'Actual Dates'!#REF!,"")</f>
        <v>#REF!</v>
      </c>
      <c r="H487" s="137" t="e">
        <f t="shared" si="56"/>
        <v>#REF!</v>
      </c>
      <c r="I487" s="137" t="e">
        <f>IF(VLOOKUP(A487,'Actual Dates'!A4:AE609,25,),'Actual Dates'!#REF!,"")</f>
        <v>#REF!</v>
      </c>
      <c r="J487" s="137" t="e">
        <f t="shared" si="57"/>
        <v>#REF!</v>
      </c>
      <c r="K487" s="137" t="e">
        <f>IF(VLOOKUP(A487,'Actual Dates'!A4:AE637,26,),'Actual Dates'!#REF!,"")</f>
        <v>#REF!</v>
      </c>
      <c r="L487" s="137" t="e">
        <f>IF(VLOOKUP(A487,'Actual Dates'!A4:AE637,21,),'Actual Dates'!#REF!,"")</f>
        <v>#REF!</v>
      </c>
      <c r="M487" s="137" t="e">
        <f>'Date Calcs'!#REF!</f>
        <v>#REF!</v>
      </c>
      <c r="N487" s="137" t="e">
        <f>IF(VLOOKUP(A487,'Actual Dates'!A4:AE637,27,),'Actual Dates'!#REF!,"")</f>
        <v>#REF!</v>
      </c>
      <c r="O487" s="138" t="e">
        <f t="shared" si="60"/>
        <v>#REF!</v>
      </c>
      <c r="P487" s="139" t="e">
        <f t="shared" si="58"/>
        <v>#REF!</v>
      </c>
      <c r="Q487" s="139" t="e">
        <f t="shared" si="59"/>
        <v>#REF!</v>
      </c>
      <c r="R487" s="170"/>
      <c r="S487" s="170"/>
    </row>
    <row r="488" spans="1:19" x14ac:dyDescent="0.25">
      <c r="A488" s="134" t="e">
        <f>'Date Calcs'!#REF!</f>
        <v>#REF!</v>
      </c>
      <c r="B488" s="135" t="e">
        <f>'Date Calcs'!#REF!</f>
        <v>#REF!</v>
      </c>
      <c r="C488" s="136" t="e">
        <f>'Date Calcs'!#REF!</f>
        <v>#REF!</v>
      </c>
      <c r="D488" s="137" t="e">
        <f t="shared" si="61"/>
        <v>#REF!</v>
      </c>
      <c r="E488" s="143">
        <v>44511</v>
      </c>
      <c r="F488" s="137" t="e">
        <f>'Date Calcs'!#REF!</f>
        <v>#REF!</v>
      </c>
      <c r="G488" s="137" t="e">
        <f>IF(VLOOKUP(A488,'Actual Dates'!A4:AE615,8,),'Actual Dates'!#REF!,"")</f>
        <v>#REF!</v>
      </c>
      <c r="H488" s="137" t="e">
        <f t="shared" si="56"/>
        <v>#REF!</v>
      </c>
      <c r="I488" s="137" t="e">
        <f>IF(VLOOKUP(A488,'Actual Dates'!A4:AE610,25,),'Actual Dates'!#REF!,"")</f>
        <v>#REF!</v>
      </c>
      <c r="J488" s="137" t="e">
        <f t="shared" si="57"/>
        <v>#REF!</v>
      </c>
      <c r="K488" s="137" t="e">
        <f>IF(VLOOKUP(A488,'Actual Dates'!A4:AE638,26,),'Actual Dates'!#REF!,"")</f>
        <v>#REF!</v>
      </c>
      <c r="L488" s="137" t="e">
        <f>IF(VLOOKUP(A488,'Actual Dates'!A4:AE638,21,),'Actual Dates'!#REF!,"")</f>
        <v>#REF!</v>
      </c>
      <c r="M488" s="137" t="e">
        <f>'Date Calcs'!#REF!</f>
        <v>#REF!</v>
      </c>
      <c r="N488" s="137" t="e">
        <f>IF(VLOOKUP(A488,'Actual Dates'!A4:AE638,27,),'Actual Dates'!#REF!,"")</f>
        <v>#REF!</v>
      </c>
      <c r="O488" s="138" t="e">
        <f t="shared" si="60"/>
        <v>#REF!</v>
      </c>
      <c r="P488" s="139" t="e">
        <f t="shared" si="58"/>
        <v>#REF!</v>
      </c>
      <c r="Q488" s="139" t="e">
        <f t="shared" si="59"/>
        <v>#REF!</v>
      </c>
      <c r="R488" s="170"/>
      <c r="S488" s="170"/>
    </row>
    <row r="489" spans="1:19" x14ac:dyDescent="0.25">
      <c r="A489" s="134" t="e">
        <f>'Date Calcs'!#REF!</f>
        <v>#REF!</v>
      </c>
      <c r="B489" s="135" t="e">
        <f>'Date Calcs'!#REF!</f>
        <v>#REF!</v>
      </c>
      <c r="C489" s="136" t="e">
        <f>'Date Calcs'!#REF!</f>
        <v>#REF!</v>
      </c>
      <c r="D489" s="137" t="e">
        <f t="shared" si="61"/>
        <v>#REF!</v>
      </c>
      <c r="E489" s="143">
        <v>44512</v>
      </c>
      <c r="F489" s="137" t="e">
        <f>'Date Calcs'!#REF!</f>
        <v>#REF!</v>
      </c>
      <c r="G489" s="137" t="e">
        <f>IF(VLOOKUP(A489,'Actual Dates'!A4:AE616,8,),'Actual Dates'!#REF!,"")</f>
        <v>#REF!</v>
      </c>
      <c r="H489" s="137" t="e">
        <f t="shared" si="56"/>
        <v>#REF!</v>
      </c>
      <c r="I489" s="137" t="e">
        <f>IF(VLOOKUP(A489,'Actual Dates'!A4:AE611,25,),'Actual Dates'!#REF!,"")</f>
        <v>#REF!</v>
      </c>
      <c r="J489" s="137" t="e">
        <f t="shared" si="57"/>
        <v>#REF!</v>
      </c>
      <c r="K489" s="137" t="e">
        <f>IF(VLOOKUP(A489,'Actual Dates'!A4:AE639,26,),'Actual Dates'!#REF!,"")</f>
        <v>#REF!</v>
      </c>
      <c r="L489" s="137" t="e">
        <f>IF(VLOOKUP(A489,'Actual Dates'!A4:AE639,21,),'Actual Dates'!#REF!,"")</f>
        <v>#REF!</v>
      </c>
      <c r="M489" s="137" t="e">
        <f>'Date Calcs'!#REF!</f>
        <v>#REF!</v>
      </c>
      <c r="N489" s="137" t="e">
        <f>IF(VLOOKUP(A489,'Actual Dates'!A4:AE639,27,),'Actual Dates'!#REF!,"")</f>
        <v>#REF!</v>
      </c>
      <c r="O489" s="138" t="e">
        <f t="shared" si="60"/>
        <v>#REF!</v>
      </c>
      <c r="P489" s="139" t="e">
        <f t="shared" si="58"/>
        <v>#REF!</v>
      </c>
      <c r="Q489" s="139" t="e">
        <f t="shared" si="59"/>
        <v>#REF!</v>
      </c>
      <c r="R489" s="170"/>
      <c r="S489" s="170"/>
    </row>
    <row r="490" spans="1:19" x14ac:dyDescent="0.25">
      <c r="A490" s="134" t="e">
        <f>'Date Calcs'!#REF!</f>
        <v>#REF!</v>
      </c>
      <c r="B490" s="135" t="e">
        <f>'Date Calcs'!#REF!</f>
        <v>#REF!</v>
      </c>
      <c r="C490" s="136" t="e">
        <f>'Date Calcs'!#REF!</f>
        <v>#REF!</v>
      </c>
      <c r="D490" s="137" t="e">
        <f t="shared" si="61"/>
        <v>#REF!</v>
      </c>
      <c r="E490" s="143">
        <v>44513</v>
      </c>
      <c r="F490" s="137" t="e">
        <f>'Date Calcs'!#REF!</f>
        <v>#REF!</v>
      </c>
      <c r="G490" s="137" t="e">
        <f>IF(VLOOKUP(A490,'Actual Dates'!A4:AE617,8,),'Actual Dates'!#REF!,"")</f>
        <v>#REF!</v>
      </c>
      <c r="H490" s="137" t="e">
        <f t="shared" si="56"/>
        <v>#REF!</v>
      </c>
      <c r="I490" s="137" t="e">
        <f>IF(VLOOKUP(A490,'Actual Dates'!A4:AE612,25,),'Actual Dates'!#REF!,"")</f>
        <v>#REF!</v>
      </c>
      <c r="J490" s="137" t="e">
        <f t="shared" si="57"/>
        <v>#REF!</v>
      </c>
      <c r="K490" s="137" t="e">
        <f>IF(VLOOKUP(A490,'Actual Dates'!A4:AE640,26,),'Actual Dates'!#REF!,"")</f>
        <v>#REF!</v>
      </c>
      <c r="L490" s="137" t="e">
        <f>IF(VLOOKUP(A490,'Actual Dates'!A4:AE640,21,),'Actual Dates'!#REF!,"")</f>
        <v>#REF!</v>
      </c>
      <c r="M490" s="137" t="e">
        <f>'Date Calcs'!#REF!</f>
        <v>#REF!</v>
      </c>
      <c r="N490" s="137" t="e">
        <f>IF(VLOOKUP(A490,'Actual Dates'!A4:AE640,27,),'Actual Dates'!#REF!,"")</f>
        <v>#REF!</v>
      </c>
      <c r="O490" s="138" t="e">
        <f t="shared" si="60"/>
        <v>#REF!</v>
      </c>
      <c r="P490" s="139" t="e">
        <f t="shared" si="58"/>
        <v>#REF!</v>
      </c>
      <c r="Q490" s="139" t="e">
        <f t="shared" si="59"/>
        <v>#REF!</v>
      </c>
      <c r="R490" s="170"/>
      <c r="S490" s="170"/>
    </row>
    <row r="491" spans="1:19" x14ac:dyDescent="0.25">
      <c r="A491" s="134" t="e">
        <f>'Date Calcs'!#REF!</f>
        <v>#REF!</v>
      </c>
      <c r="B491" s="135" t="e">
        <f>'Date Calcs'!#REF!</f>
        <v>#REF!</v>
      </c>
      <c r="C491" s="136" t="e">
        <f>'Date Calcs'!#REF!</f>
        <v>#REF!</v>
      </c>
      <c r="D491" s="137" t="e">
        <f t="shared" si="61"/>
        <v>#REF!</v>
      </c>
      <c r="E491" s="143">
        <v>44514</v>
      </c>
      <c r="F491" s="137" t="e">
        <f>'Date Calcs'!#REF!</f>
        <v>#REF!</v>
      </c>
      <c r="G491" s="137" t="e">
        <f>IF(VLOOKUP(A491,'Actual Dates'!A4:AE618,8,),'Actual Dates'!#REF!,"")</f>
        <v>#REF!</v>
      </c>
      <c r="H491" s="137" t="e">
        <f t="shared" si="56"/>
        <v>#REF!</v>
      </c>
      <c r="I491" s="137" t="e">
        <f>IF(VLOOKUP(A491,'Actual Dates'!A4:AE613,25,),'Actual Dates'!#REF!,"")</f>
        <v>#REF!</v>
      </c>
      <c r="J491" s="137" t="e">
        <f t="shared" si="57"/>
        <v>#REF!</v>
      </c>
      <c r="K491" s="137" t="e">
        <f>IF(VLOOKUP(A491,'Actual Dates'!A4:AE641,26,),'Actual Dates'!#REF!,"")</f>
        <v>#REF!</v>
      </c>
      <c r="L491" s="137" t="e">
        <f>IF(VLOOKUP(A491,'Actual Dates'!A4:AE641,21,),'Actual Dates'!#REF!,"")</f>
        <v>#REF!</v>
      </c>
      <c r="M491" s="137" t="e">
        <f>'Date Calcs'!#REF!</f>
        <v>#REF!</v>
      </c>
      <c r="N491" s="137" t="e">
        <f>IF(VLOOKUP(A491,'Actual Dates'!A4:AE641,27,),'Actual Dates'!#REF!,"")</f>
        <v>#REF!</v>
      </c>
      <c r="O491" s="138" t="e">
        <f t="shared" si="60"/>
        <v>#REF!</v>
      </c>
      <c r="P491" s="139" t="e">
        <f t="shared" si="58"/>
        <v>#REF!</v>
      </c>
      <c r="Q491" s="139" t="e">
        <f t="shared" si="59"/>
        <v>#REF!</v>
      </c>
      <c r="R491" s="170"/>
      <c r="S491" s="170"/>
    </row>
    <row r="492" spans="1:19" x14ac:dyDescent="0.25">
      <c r="A492" s="134" t="e">
        <f>'Date Calcs'!#REF!</f>
        <v>#REF!</v>
      </c>
      <c r="B492" s="135" t="e">
        <f>'Date Calcs'!#REF!</f>
        <v>#REF!</v>
      </c>
      <c r="C492" s="136" t="e">
        <f>'Date Calcs'!#REF!</f>
        <v>#REF!</v>
      </c>
      <c r="D492" s="137" t="e">
        <f t="shared" si="61"/>
        <v>#REF!</v>
      </c>
      <c r="E492" s="143">
        <v>44515</v>
      </c>
      <c r="F492" s="137" t="e">
        <f>'Date Calcs'!#REF!</f>
        <v>#REF!</v>
      </c>
      <c r="G492" s="137" t="e">
        <f>IF(VLOOKUP(A492,'Actual Dates'!A4:AE619,8,),'Actual Dates'!#REF!,"")</f>
        <v>#REF!</v>
      </c>
      <c r="H492" s="137" t="e">
        <f t="shared" si="56"/>
        <v>#REF!</v>
      </c>
      <c r="I492" s="137" t="e">
        <f>IF(VLOOKUP(A492,'Actual Dates'!A4:AE614,25,),'Actual Dates'!#REF!,"")</f>
        <v>#REF!</v>
      </c>
      <c r="J492" s="137" t="e">
        <f t="shared" si="57"/>
        <v>#REF!</v>
      </c>
      <c r="K492" s="137" t="e">
        <f>IF(VLOOKUP(A492,'Actual Dates'!A4:AE642,26,),'Actual Dates'!#REF!,"")</f>
        <v>#REF!</v>
      </c>
      <c r="L492" s="137" t="e">
        <f>IF(VLOOKUP(A492,'Actual Dates'!A4:AE642,21,),'Actual Dates'!#REF!,"")</f>
        <v>#REF!</v>
      </c>
      <c r="M492" s="137" t="e">
        <f>'Date Calcs'!#REF!</f>
        <v>#REF!</v>
      </c>
      <c r="N492" s="137" t="e">
        <f>IF(VLOOKUP(A492,'Actual Dates'!A4:AE642,27,),'Actual Dates'!#REF!,"")</f>
        <v>#REF!</v>
      </c>
      <c r="O492" s="138" t="e">
        <f t="shared" si="60"/>
        <v>#REF!</v>
      </c>
      <c r="P492" s="139" t="e">
        <f t="shared" si="58"/>
        <v>#REF!</v>
      </c>
      <c r="Q492" s="139" t="e">
        <f t="shared" si="59"/>
        <v>#REF!</v>
      </c>
      <c r="R492" s="170"/>
      <c r="S492" s="170"/>
    </row>
    <row r="493" spans="1:19" x14ac:dyDescent="0.25">
      <c r="A493" s="134" t="e">
        <f>'Date Calcs'!#REF!</f>
        <v>#REF!</v>
      </c>
      <c r="B493" s="135" t="e">
        <f>'Date Calcs'!#REF!</f>
        <v>#REF!</v>
      </c>
      <c r="C493" s="136" t="e">
        <f>'Date Calcs'!#REF!</f>
        <v>#REF!</v>
      </c>
      <c r="D493" s="137" t="e">
        <f t="shared" si="61"/>
        <v>#REF!</v>
      </c>
      <c r="E493" s="143">
        <v>44516</v>
      </c>
      <c r="F493" s="137" t="e">
        <f>'Date Calcs'!#REF!</f>
        <v>#REF!</v>
      </c>
      <c r="G493" s="137" t="e">
        <f>IF(VLOOKUP(A493,'Actual Dates'!A4:AE620,8,),'Actual Dates'!#REF!,"")</f>
        <v>#REF!</v>
      </c>
      <c r="H493" s="137" t="e">
        <f t="shared" si="56"/>
        <v>#REF!</v>
      </c>
      <c r="I493" s="137" t="e">
        <f>IF(VLOOKUP(A493,'Actual Dates'!A4:AE615,25,),'Actual Dates'!#REF!,"")</f>
        <v>#REF!</v>
      </c>
      <c r="J493" s="137" t="e">
        <f t="shared" si="57"/>
        <v>#REF!</v>
      </c>
      <c r="K493" s="137" t="e">
        <f>IF(VLOOKUP(A493,'Actual Dates'!A4:AE643,26,),'Actual Dates'!#REF!,"")</f>
        <v>#REF!</v>
      </c>
      <c r="L493" s="137" t="e">
        <f>IF(VLOOKUP(A493,'Actual Dates'!A4:AE643,21,),'Actual Dates'!#REF!,"")</f>
        <v>#REF!</v>
      </c>
      <c r="M493" s="137" t="e">
        <f>'Date Calcs'!#REF!</f>
        <v>#REF!</v>
      </c>
      <c r="N493" s="137" t="e">
        <f>IF(VLOOKUP(A493,'Actual Dates'!A4:AE643,27,),'Actual Dates'!#REF!,"")</f>
        <v>#REF!</v>
      </c>
      <c r="O493" s="138" t="e">
        <f t="shared" si="60"/>
        <v>#REF!</v>
      </c>
      <c r="P493" s="139" t="e">
        <f t="shared" si="58"/>
        <v>#REF!</v>
      </c>
      <c r="Q493" s="139" t="e">
        <f t="shared" si="59"/>
        <v>#REF!</v>
      </c>
      <c r="R493" s="170"/>
      <c r="S493" s="170"/>
    </row>
    <row r="494" spans="1:19" x14ac:dyDescent="0.25">
      <c r="A494" s="134" t="e">
        <f>'Date Calcs'!#REF!</f>
        <v>#REF!</v>
      </c>
      <c r="B494" s="135" t="e">
        <f>'Date Calcs'!#REF!</f>
        <v>#REF!</v>
      </c>
      <c r="C494" s="136" t="e">
        <f>'Date Calcs'!#REF!</f>
        <v>#REF!</v>
      </c>
      <c r="D494" s="137" t="e">
        <f t="shared" si="61"/>
        <v>#REF!</v>
      </c>
      <c r="E494" s="143">
        <v>44517</v>
      </c>
      <c r="F494" s="137" t="e">
        <f>'Date Calcs'!#REF!</f>
        <v>#REF!</v>
      </c>
      <c r="G494" s="137" t="e">
        <f>IF(VLOOKUP(A494,'Actual Dates'!A4:AE621,8,),'Actual Dates'!#REF!,"")</f>
        <v>#REF!</v>
      </c>
      <c r="H494" s="137" t="e">
        <f t="shared" si="56"/>
        <v>#REF!</v>
      </c>
      <c r="I494" s="137" t="e">
        <f>IF(VLOOKUP(A494,'Actual Dates'!A4:AE616,25,),'Actual Dates'!#REF!,"")</f>
        <v>#REF!</v>
      </c>
      <c r="J494" s="137" t="e">
        <f t="shared" si="57"/>
        <v>#REF!</v>
      </c>
      <c r="K494" s="137" t="e">
        <f>IF(VLOOKUP(A494,'Actual Dates'!A4:AE644,26,),'Actual Dates'!#REF!,"")</f>
        <v>#REF!</v>
      </c>
      <c r="L494" s="137" t="e">
        <f>IF(VLOOKUP(A494,'Actual Dates'!A4:AE644,21,),'Actual Dates'!#REF!,"")</f>
        <v>#REF!</v>
      </c>
      <c r="M494" s="137" t="e">
        <f>'Date Calcs'!#REF!</f>
        <v>#REF!</v>
      </c>
      <c r="N494" s="137" t="e">
        <f>IF(VLOOKUP(A494,'Actual Dates'!A4:AE644,27,),'Actual Dates'!#REF!,"")</f>
        <v>#REF!</v>
      </c>
      <c r="O494" s="138" t="e">
        <f t="shared" si="60"/>
        <v>#REF!</v>
      </c>
      <c r="P494" s="139" t="e">
        <f t="shared" si="58"/>
        <v>#REF!</v>
      </c>
      <c r="Q494" s="139" t="e">
        <f t="shared" si="59"/>
        <v>#REF!</v>
      </c>
      <c r="R494" s="170"/>
      <c r="S494" s="170"/>
    </row>
    <row r="495" spans="1:19" x14ac:dyDescent="0.25">
      <c r="A495" s="134" t="e">
        <f>'Date Calcs'!#REF!</f>
        <v>#REF!</v>
      </c>
      <c r="B495" s="135" t="e">
        <f>'Date Calcs'!#REF!</f>
        <v>#REF!</v>
      </c>
      <c r="C495" s="136" t="e">
        <f>'Date Calcs'!#REF!</f>
        <v>#REF!</v>
      </c>
      <c r="D495" s="137" t="e">
        <f t="shared" si="61"/>
        <v>#REF!</v>
      </c>
      <c r="E495" s="143">
        <v>44518</v>
      </c>
      <c r="F495" s="137" t="e">
        <f>'Date Calcs'!#REF!</f>
        <v>#REF!</v>
      </c>
      <c r="G495" s="137" t="e">
        <f>IF(VLOOKUP(A495,'Actual Dates'!A4:AE622,8,),'Actual Dates'!#REF!,"")</f>
        <v>#REF!</v>
      </c>
      <c r="H495" s="137" t="e">
        <f t="shared" si="56"/>
        <v>#REF!</v>
      </c>
      <c r="I495" s="137" t="e">
        <f>IF(VLOOKUP(A495,'Actual Dates'!A4:AE617,25,),'Actual Dates'!#REF!,"")</f>
        <v>#REF!</v>
      </c>
      <c r="J495" s="137" t="e">
        <f t="shared" si="57"/>
        <v>#REF!</v>
      </c>
      <c r="K495" s="137" t="e">
        <f>IF(VLOOKUP(A495,'Actual Dates'!A4:AE645,26,),'Actual Dates'!#REF!,"")</f>
        <v>#REF!</v>
      </c>
      <c r="L495" s="137" t="e">
        <f>IF(VLOOKUP(A495,'Actual Dates'!A4:AE645,21,),'Actual Dates'!#REF!,"")</f>
        <v>#REF!</v>
      </c>
      <c r="M495" s="137" t="e">
        <f>'Date Calcs'!#REF!</f>
        <v>#REF!</v>
      </c>
      <c r="N495" s="137" t="e">
        <f>IF(VLOOKUP(A495,'Actual Dates'!A4:AE645,27,),'Actual Dates'!#REF!,"")</f>
        <v>#REF!</v>
      </c>
      <c r="O495" s="138" t="e">
        <f t="shared" si="60"/>
        <v>#REF!</v>
      </c>
      <c r="P495" s="139" t="e">
        <f t="shared" si="58"/>
        <v>#REF!</v>
      </c>
      <c r="Q495" s="139" t="e">
        <f t="shared" si="59"/>
        <v>#REF!</v>
      </c>
      <c r="R495" s="170"/>
      <c r="S495" s="170"/>
    </row>
    <row r="496" spans="1:19" x14ac:dyDescent="0.25">
      <c r="A496" s="134" t="e">
        <f>'Date Calcs'!#REF!</f>
        <v>#REF!</v>
      </c>
      <c r="B496" s="135" t="e">
        <f>'Date Calcs'!#REF!</f>
        <v>#REF!</v>
      </c>
      <c r="C496" s="136" t="e">
        <f>'Date Calcs'!#REF!</f>
        <v>#REF!</v>
      </c>
      <c r="D496" s="137" t="e">
        <f t="shared" si="61"/>
        <v>#REF!</v>
      </c>
      <c r="E496" s="143">
        <v>44519</v>
      </c>
      <c r="F496" s="137" t="e">
        <f>'Date Calcs'!#REF!</f>
        <v>#REF!</v>
      </c>
      <c r="G496" s="137" t="e">
        <f>IF(VLOOKUP(A496,'Actual Dates'!A4:AE623,8,),'Actual Dates'!#REF!,"")</f>
        <v>#REF!</v>
      </c>
      <c r="H496" s="137" t="e">
        <f t="shared" si="56"/>
        <v>#REF!</v>
      </c>
      <c r="I496" s="137" t="e">
        <f>IF(VLOOKUP(A496,'Actual Dates'!A4:AE618,25,),'Actual Dates'!#REF!,"")</f>
        <v>#REF!</v>
      </c>
      <c r="J496" s="137" t="e">
        <f t="shared" si="57"/>
        <v>#REF!</v>
      </c>
      <c r="K496" s="137" t="e">
        <f>IF(VLOOKUP(A496,'Actual Dates'!A4:AE646,26,),'Actual Dates'!#REF!,"")</f>
        <v>#REF!</v>
      </c>
      <c r="L496" s="137" t="e">
        <f>IF(VLOOKUP(A496,'Actual Dates'!A4:AE646,21,),'Actual Dates'!#REF!,"")</f>
        <v>#REF!</v>
      </c>
      <c r="M496" s="137" t="e">
        <f>'Date Calcs'!#REF!</f>
        <v>#REF!</v>
      </c>
      <c r="N496" s="137" t="e">
        <f>IF(VLOOKUP(A496,'Actual Dates'!A4:AE646,27,),'Actual Dates'!#REF!,"")</f>
        <v>#REF!</v>
      </c>
      <c r="O496" s="138" t="e">
        <f t="shared" si="60"/>
        <v>#REF!</v>
      </c>
      <c r="P496" s="139" t="e">
        <f t="shared" si="58"/>
        <v>#REF!</v>
      </c>
      <c r="Q496" s="139" t="e">
        <f t="shared" si="59"/>
        <v>#REF!</v>
      </c>
      <c r="R496" s="170"/>
      <c r="S496" s="170"/>
    </row>
    <row r="497" spans="1:19" x14ac:dyDescent="0.25">
      <c r="A497" s="134" t="e">
        <f>'Date Calcs'!#REF!</f>
        <v>#REF!</v>
      </c>
      <c r="B497" s="135" t="e">
        <f>'Date Calcs'!#REF!</f>
        <v>#REF!</v>
      </c>
      <c r="C497" s="136" t="e">
        <f>'Date Calcs'!#REF!</f>
        <v>#REF!</v>
      </c>
      <c r="D497" s="137" t="e">
        <f t="shared" si="61"/>
        <v>#REF!</v>
      </c>
      <c r="E497" s="143">
        <v>44520</v>
      </c>
      <c r="F497" s="137" t="e">
        <f>'Date Calcs'!#REF!</f>
        <v>#REF!</v>
      </c>
      <c r="G497" s="137" t="e">
        <f>IF(VLOOKUP(A497,'Actual Dates'!A4:AE624,8,),'Actual Dates'!#REF!,"")</f>
        <v>#REF!</v>
      </c>
      <c r="H497" s="137" t="e">
        <f t="shared" si="56"/>
        <v>#REF!</v>
      </c>
      <c r="I497" s="137" t="e">
        <f>IF(VLOOKUP(A497,'Actual Dates'!A4:AE619,25,),'Actual Dates'!#REF!,"")</f>
        <v>#REF!</v>
      </c>
      <c r="J497" s="137" t="e">
        <f t="shared" si="57"/>
        <v>#REF!</v>
      </c>
      <c r="K497" s="137" t="e">
        <f>IF(VLOOKUP(A497,'Actual Dates'!A4:AE647,26,),'Actual Dates'!#REF!,"")</f>
        <v>#REF!</v>
      </c>
      <c r="L497" s="137" t="e">
        <f>IF(VLOOKUP(A497,'Actual Dates'!A4:AE647,21,),'Actual Dates'!#REF!,"")</f>
        <v>#REF!</v>
      </c>
      <c r="M497" s="137" t="e">
        <f>'Date Calcs'!#REF!</f>
        <v>#REF!</v>
      </c>
      <c r="N497" s="137" t="e">
        <f>IF(VLOOKUP(A497,'Actual Dates'!A4:AE647,27,),'Actual Dates'!#REF!,"")</f>
        <v>#REF!</v>
      </c>
      <c r="O497" s="138" t="e">
        <f t="shared" si="60"/>
        <v>#REF!</v>
      </c>
      <c r="P497" s="139" t="e">
        <f t="shared" si="58"/>
        <v>#REF!</v>
      </c>
      <c r="Q497" s="139" t="e">
        <f t="shared" si="59"/>
        <v>#REF!</v>
      </c>
      <c r="R497" s="170"/>
      <c r="S497" s="170"/>
    </row>
    <row r="498" spans="1:19" x14ac:dyDescent="0.25">
      <c r="A498" s="134" t="e">
        <f>'Date Calcs'!#REF!</f>
        <v>#REF!</v>
      </c>
      <c r="B498" s="135" t="e">
        <f>'Date Calcs'!#REF!</f>
        <v>#REF!</v>
      </c>
      <c r="C498" s="136" t="e">
        <f>'Date Calcs'!#REF!</f>
        <v>#REF!</v>
      </c>
      <c r="D498" s="137" t="e">
        <f t="shared" si="61"/>
        <v>#REF!</v>
      </c>
      <c r="E498" s="143">
        <v>44521</v>
      </c>
      <c r="F498" s="137" t="e">
        <f>'Date Calcs'!#REF!</f>
        <v>#REF!</v>
      </c>
      <c r="G498" s="137" t="e">
        <f>IF(VLOOKUP(A498,'Actual Dates'!A4:AE625,8,),'Actual Dates'!#REF!,"")</f>
        <v>#REF!</v>
      </c>
      <c r="H498" s="137" t="e">
        <f t="shared" si="56"/>
        <v>#REF!</v>
      </c>
      <c r="I498" s="137" t="e">
        <f>IF(VLOOKUP(A498,'Actual Dates'!A4:AE620,25,),'Actual Dates'!#REF!,"")</f>
        <v>#REF!</v>
      </c>
      <c r="J498" s="137" t="e">
        <f t="shared" si="57"/>
        <v>#REF!</v>
      </c>
      <c r="K498" s="137" t="e">
        <f>IF(VLOOKUP(A498,'Actual Dates'!A4:AE648,26,),'Actual Dates'!#REF!,"")</f>
        <v>#REF!</v>
      </c>
      <c r="L498" s="137" t="e">
        <f>IF(VLOOKUP(A498,'Actual Dates'!A4:AE648,21,),'Actual Dates'!#REF!,"")</f>
        <v>#REF!</v>
      </c>
      <c r="M498" s="137" t="e">
        <f>'Date Calcs'!#REF!</f>
        <v>#REF!</v>
      </c>
      <c r="N498" s="137" t="e">
        <f>IF(VLOOKUP(A498,'Actual Dates'!A4:AE648,27,),'Actual Dates'!#REF!,"")</f>
        <v>#REF!</v>
      </c>
      <c r="O498" s="138" t="e">
        <f t="shared" si="60"/>
        <v>#REF!</v>
      </c>
      <c r="P498" s="139" t="e">
        <f t="shared" si="58"/>
        <v>#REF!</v>
      </c>
      <c r="Q498" s="139" t="e">
        <f t="shared" si="59"/>
        <v>#REF!</v>
      </c>
      <c r="R498" s="170"/>
      <c r="S498" s="170"/>
    </row>
    <row r="499" spans="1:19" x14ac:dyDescent="0.25">
      <c r="A499" s="134" t="e">
        <f>'Date Calcs'!#REF!</f>
        <v>#REF!</v>
      </c>
      <c r="B499" s="135" t="e">
        <f>'Date Calcs'!#REF!</f>
        <v>#REF!</v>
      </c>
      <c r="C499" s="136" t="e">
        <f>'Date Calcs'!#REF!</f>
        <v>#REF!</v>
      </c>
      <c r="D499" s="137" t="e">
        <f t="shared" si="61"/>
        <v>#REF!</v>
      </c>
      <c r="E499" s="143">
        <v>44522</v>
      </c>
      <c r="F499" s="137" t="e">
        <f>'Date Calcs'!#REF!</f>
        <v>#REF!</v>
      </c>
      <c r="G499" s="137" t="e">
        <f>IF(VLOOKUP(A499,'Actual Dates'!A4:AE626,8,),'Actual Dates'!#REF!,"")</f>
        <v>#REF!</v>
      </c>
      <c r="H499" s="137" t="e">
        <f t="shared" ref="H499:H562" si="62">WORKDAY(L499,3,)</f>
        <v>#REF!</v>
      </c>
      <c r="I499" s="137" t="e">
        <f>IF(VLOOKUP(A499,'Actual Dates'!A4:AE621,25,),'Actual Dates'!#REF!,"")</f>
        <v>#REF!</v>
      </c>
      <c r="J499" s="137" t="e">
        <f t="shared" ref="J499:J562" si="63">WORKDAY(L499,4,)</f>
        <v>#REF!</v>
      </c>
      <c r="K499" s="137" t="e">
        <f>IF(VLOOKUP(A499,'Actual Dates'!A4:AE649,26,),'Actual Dates'!#REF!,"")</f>
        <v>#REF!</v>
      </c>
      <c r="L499" s="137" t="e">
        <f>IF(VLOOKUP(A499,'Actual Dates'!A4:AE649,21,),'Actual Dates'!#REF!,"")</f>
        <v>#REF!</v>
      </c>
      <c r="M499" s="137" t="e">
        <f>'Date Calcs'!#REF!</f>
        <v>#REF!</v>
      </c>
      <c r="N499" s="137" t="e">
        <f>IF(VLOOKUP(A499,'Actual Dates'!A4:AE649,27,),'Actual Dates'!#REF!,"")</f>
        <v>#REF!</v>
      </c>
      <c r="O499" s="138" t="e">
        <f t="shared" si="60"/>
        <v>#REF!</v>
      </c>
      <c r="P499" s="139" t="e">
        <f t="shared" ref="P499:P562" si="64">F499-G499</f>
        <v>#REF!</v>
      </c>
      <c r="Q499" s="139" t="e">
        <f t="shared" ref="Q499:Q562" si="65">M499-N499</f>
        <v>#REF!</v>
      </c>
      <c r="R499" s="170"/>
      <c r="S499" s="170"/>
    </row>
    <row r="500" spans="1:19" x14ac:dyDescent="0.25">
      <c r="A500" s="134" t="e">
        <f>'Date Calcs'!#REF!</f>
        <v>#REF!</v>
      </c>
      <c r="B500" s="135" t="e">
        <f>'Date Calcs'!#REF!</f>
        <v>#REF!</v>
      </c>
      <c r="C500" s="136" t="e">
        <f>'Date Calcs'!#REF!</f>
        <v>#REF!</v>
      </c>
      <c r="D500" s="137" t="e">
        <f t="shared" si="61"/>
        <v>#REF!</v>
      </c>
      <c r="E500" s="143">
        <v>44523</v>
      </c>
      <c r="F500" s="137" t="e">
        <f>'Date Calcs'!#REF!</f>
        <v>#REF!</v>
      </c>
      <c r="G500" s="137" t="e">
        <f>IF(VLOOKUP(A500,'Actual Dates'!A4:AE627,8,),'Actual Dates'!#REF!,"")</f>
        <v>#REF!</v>
      </c>
      <c r="H500" s="137" t="e">
        <f t="shared" si="62"/>
        <v>#REF!</v>
      </c>
      <c r="I500" s="137" t="e">
        <f>IF(VLOOKUP(A500,'Actual Dates'!A4:AE622,25,),'Actual Dates'!#REF!,"")</f>
        <v>#REF!</v>
      </c>
      <c r="J500" s="137" t="e">
        <f t="shared" si="63"/>
        <v>#REF!</v>
      </c>
      <c r="K500" s="137" t="e">
        <f>IF(VLOOKUP(A500,'Actual Dates'!A4:AE650,26,),'Actual Dates'!#REF!,"")</f>
        <v>#REF!</v>
      </c>
      <c r="L500" s="137" t="e">
        <f>IF(VLOOKUP(A500,'Actual Dates'!A4:AE650,21,),'Actual Dates'!#REF!,"")</f>
        <v>#REF!</v>
      </c>
      <c r="M500" s="137" t="e">
        <f>'Date Calcs'!#REF!</f>
        <v>#REF!</v>
      </c>
      <c r="N500" s="137" t="e">
        <f>IF(VLOOKUP(A500,'Actual Dates'!A4:AE650,27,),'Actual Dates'!#REF!,"")</f>
        <v>#REF!</v>
      </c>
      <c r="O500" s="138" t="e">
        <f t="shared" si="60"/>
        <v>#REF!</v>
      </c>
      <c r="P500" s="139" t="e">
        <f t="shared" si="64"/>
        <v>#REF!</v>
      </c>
      <c r="Q500" s="139" t="e">
        <f t="shared" si="65"/>
        <v>#REF!</v>
      </c>
      <c r="R500" s="170"/>
      <c r="S500" s="170"/>
    </row>
    <row r="501" spans="1:19" x14ac:dyDescent="0.25">
      <c r="A501" s="134" t="e">
        <f>'Date Calcs'!#REF!</f>
        <v>#REF!</v>
      </c>
      <c r="B501" s="135" t="e">
        <f>'Date Calcs'!#REF!</f>
        <v>#REF!</v>
      </c>
      <c r="C501" s="136" t="e">
        <f>'Date Calcs'!#REF!</f>
        <v>#REF!</v>
      </c>
      <c r="D501" s="137" t="e">
        <f t="shared" si="61"/>
        <v>#REF!</v>
      </c>
      <c r="E501" s="143">
        <v>44524</v>
      </c>
      <c r="F501" s="137" t="e">
        <f>'Date Calcs'!#REF!</f>
        <v>#REF!</v>
      </c>
      <c r="G501" s="137" t="e">
        <f>IF(VLOOKUP(A501,'Actual Dates'!A4:AE628,8,),'Actual Dates'!#REF!,"")</f>
        <v>#REF!</v>
      </c>
      <c r="H501" s="137" t="e">
        <f t="shared" si="62"/>
        <v>#REF!</v>
      </c>
      <c r="I501" s="137" t="e">
        <f>IF(VLOOKUP(A501,'Actual Dates'!A4:AE623,25,),'Actual Dates'!#REF!,"")</f>
        <v>#REF!</v>
      </c>
      <c r="J501" s="137" t="e">
        <f t="shared" si="63"/>
        <v>#REF!</v>
      </c>
      <c r="K501" s="137" t="e">
        <f>IF(VLOOKUP(A501,'Actual Dates'!A4:AE651,26,),'Actual Dates'!#REF!,"")</f>
        <v>#REF!</v>
      </c>
      <c r="L501" s="137" t="e">
        <f>IF(VLOOKUP(A501,'Actual Dates'!A4:AE651,21,),'Actual Dates'!#REF!,"")</f>
        <v>#REF!</v>
      </c>
      <c r="M501" s="137" t="e">
        <f>'Date Calcs'!#REF!</f>
        <v>#REF!</v>
      </c>
      <c r="N501" s="137" t="e">
        <f>IF(VLOOKUP(A501,'Actual Dates'!A4:AE651,27,),'Actual Dates'!#REF!,"")</f>
        <v>#REF!</v>
      </c>
      <c r="O501" s="138" t="e">
        <f t="shared" si="60"/>
        <v>#REF!</v>
      </c>
      <c r="P501" s="139" t="e">
        <f t="shared" si="64"/>
        <v>#REF!</v>
      </c>
      <c r="Q501" s="139" t="e">
        <f t="shared" si="65"/>
        <v>#REF!</v>
      </c>
      <c r="R501" s="170"/>
      <c r="S501" s="170"/>
    </row>
    <row r="502" spans="1:19" x14ac:dyDescent="0.25">
      <c r="A502" s="134" t="e">
        <f>'Date Calcs'!#REF!</f>
        <v>#REF!</v>
      </c>
      <c r="B502" s="135" t="e">
        <f>'Date Calcs'!#REF!</f>
        <v>#REF!</v>
      </c>
      <c r="C502" s="136" t="e">
        <f>'Date Calcs'!#REF!</f>
        <v>#REF!</v>
      </c>
      <c r="D502" s="137" t="e">
        <f t="shared" si="61"/>
        <v>#REF!</v>
      </c>
      <c r="E502" s="143">
        <v>44525</v>
      </c>
      <c r="F502" s="137" t="e">
        <f>'Date Calcs'!#REF!</f>
        <v>#REF!</v>
      </c>
      <c r="G502" s="137" t="e">
        <f>IF(VLOOKUP(A502,'Actual Dates'!A4:AE629,8,),'Actual Dates'!#REF!,"")</f>
        <v>#REF!</v>
      </c>
      <c r="H502" s="137" t="e">
        <f t="shared" si="62"/>
        <v>#REF!</v>
      </c>
      <c r="I502" s="137" t="e">
        <f>IF(VLOOKUP(A502,'Actual Dates'!A4:AE624,25,),'Actual Dates'!#REF!,"")</f>
        <v>#REF!</v>
      </c>
      <c r="J502" s="137" t="e">
        <f t="shared" si="63"/>
        <v>#REF!</v>
      </c>
      <c r="K502" s="137" t="e">
        <f>IF(VLOOKUP(A502,'Actual Dates'!A4:AE652,26,),'Actual Dates'!#REF!,"")</f>
        <v>#REF!</v>
      </c>
      <c r="L502" s="137" t="e">
        <f>IF(VLOOKUP(A502,'Actual Dates'!A4:AE652,21,),'Actual Dates'!#REF!,"")</f>
        <v>#REF!</v>
      </c>
      <c r="M502" s="137" t="e">
        <f>'Date Calcs'!#REF!</f>
        <v>#REF!</v>
      </c>
      <c r="N502" s="137" t="e">
        <f>IF(VLOOKUP(A502,'Actual Dates'!A4:AE652,27,),'Actual Dates'!#REF!,"")</f>
        <v>#REF!</v>
      </c>
      <c r="O502" s="138" t="e">
        <f t="shared" si="60"/>
        <v>#REF!</v>
      </c>
      <c r="P502" s="139" t="e">
        <f t="shared" si="64"/>
        <v>#REF!</v>
      </c>
      <c r="Q502" s="139" t="e">
        <f t="shared" si="65"/>
        <v>#REF!</v>
      </c>
      <c r="R502" s="170"/>
      <c r="S502" s="170"/>
    </row>
    <row r="503" spans="1:19" x14ac:dyDescent="0.25">
      <c r="A503" s="134" t="e">
        <f>'Date Calcs'!#REF!</f>
        <v>#REF!</v>
      </c>
      <c r="B503" s="135" t="e">
        <f>'Date Calcs'!#REF!</f>
        <v>#REF!</v>
      </c>
      <c r="C503" s="136" t="e">
        <f>'Date Calcs'!#REF!</f>
        <v>#REF!</v>
      </c>
      <c r="D503" s="137" t="e">
        <f t="shared" si="61"/>
        <v>#REF!</v>
      </c>
      <c r="E503" s="143">
        <v>44526</v>
      </c>
      <c r="F503" s="137" t="e">
        <f>'Date Calcs'!#REF!</f>
        <v>#REF!</v>
      </c>
      <c r="G503" s="137" t="e">
        <f>IF(VLOOKUP(A503,'Actual Dates'!A4:AE630,8,),'Actual Dates'!#REF!,"")</f>
        <v>#REF!</v>
      </c>
      <c r="H503" s="137" t="e">
        <f t="shared" si="62"/>
        <v>#REF!</v>
      </c>
      <c r="I503" s="137" t="e">
        <f>IF(VLOOKUP(A503,'Actual Dates'!A4:AE625,25,),'Actual Dates'!#REF!,"")</f>
        <v>#REF!</v>
      </c>
      <c r="J503" s="137" t="e">
        <f t="shared" si="63"/>
        <v>#REF!</v>
      </c>
      <c r="K503" s="137" t="e">
        <f>IF(VLOOKUP(A503,'Actual Dates'!A4:AE653,26,),'Actual Dates'!#REF!,"")</f>
        <v>#REF!</v>
      </c>
      <c r="L503" s="137" t="e">
        <f>IF(VLOOKUP(A503,'Actual Dates'!A4:AE653,21,),'Actual Dates'!#REF!,"")</f>
        <v>#REF!</v>
      </c>
      <c r="M503" s="137" t="e">
        <f>'Date Calcs'!#REF!</f>
        <v>#REF!</v>
      </c>
      <c r="N503" s="137" t="e">
        <f>IF(VLOOKUP(A503,'Actual Dates'!A4:AE653,27,),'Actual Dates'!#REF!,"")</f>
        <v>#REF!</v>
      </c>
      <c r="O503" s="138" t="e">
        <f t="shared" si="60"/>
        <v>#REF!</v>
      </c>
      <c r="P503" s="139" t="e">
        <f t="shared" si="64"/>
        <v>#REF!</v>
      </c>
      <c r="Q503" s="139" t="e">
        <f t="shared" si="65"/>
        <v>#REF!</v>
      </c>
      <c r="R503" s="170"/>
      <c r="S503" s="170"/>
    </row>
    <row r="504" spans="1:19" x14ac:dyDescent="0.25">
      <c r="A504" s="134" t="e">
        <f>'Date Calcs'!#REF!</f>
        <v>#REF!</v>
      </c>
      <c r="B504" s="135" t="e">
        <f>'Date Calcs'!#REF!</f>
        <v>#REF!</v>
      </c>
      <c r="C504" s="136" t="e">
        <f>'Date Calcs'!#REF!</f>
        <v>#REF!</v>
      </c>
      <c r="D504" s="137" t="e">
        <f t="shared" si="61"/>
        <v>#REF!</v>
      </c>
      <c r="E504" s="143">
        <v>44527</v>
      </c>
      <c r="F504" s="137" t="e">
        <f>'Date Calcs'!#REF!</f>
        <v>#REF!</v>
      </c>
      <c r="G504" s="137" t="e">
        <f>IF(VLOOKUP(A504,'Actual Dates'!A4:AE631,8,),'Actual Dates'!#REF!,"")</f>
        <v>#REF!</v>
      </c>
      <c r="H504" s="137" t="e">
        <f t="shared" si="62"/>
        <v>#REF!</v>
      </c>
      <c r="I504" s="137" t="e">
        <f>IF(VLOOKUP(A504,'Actual Dates'!A4:AE626,25,),'Actual Dates'!#REF!,"")</f>
        <v>#REF!</v>
      </c>
      <c r="J504" s="137" t="e">
        <f t="shared" si="63"/>
        <v>#REF!</v>
      </c>
      <c r="K504" s="137" t="e">
        <f>IF(VLOOKUP(A504,'Actual Dates'!A4:AE654,26,),'Actual Dates'!#REF!,"")</f>
        <v>#REF!</v>
      </c>
      <c r="L504" s="137" t="e">
        <f>IF(VLOOKUP(A504,'Actual Dates'!A4:AE654,21,),'Actual Dates'!#REF!,"")</f>
        <v>#REF!</v>
      </c>
      <c r="M504" s="137" t="e">
        <f>'Date Calcs'!#REF!</f>
        <v>#REF!</v>
      </c>
      <c r="N504" s="137" t="e">
        <f>IF(VLOOKUP(A504,'Actual Dates'!A4:AE654,27,),'Actual Dates'!#REF!,"")</f>
        <v>#REF!</v>
      </c>
      <c r="O504" s="138" t="e">
        <f t="shared" si="60"/>
        <v>#REF!</v>
      </c>
      <c r="P504" s="139" t="e">
        <f t="shared" si="64"/>
        <v>#REF!</v>
      </c>
      <c r="Q504" s="139" t="e">
        <f t="shared" si="65"/>
        <v>#REF!</v>
      </c>
      <c r="R504" s="170"/>
      <c r="S504" s="170"/>
    </row>
    <row r="505" spans="1:19" x14ac:dyDescent="0.25">
      <c r="A505" s="134" t="e">
        <f>'Date Calcs'!#REF!</f>
        <v>#REF!</v>
      </c>
      <c r="B505" s="135" t="e">
        <f>'Date Calcs'!#REF!</f>
        <v>#REF!</v>
      </c>
      <c r="C505" s="136" t="e">
        <f>'Date Calcs'!#REF!</f>
        <v>#REF!</v>
      </c>
      <c r="D505" s="137" t="e">
        <f t="shared" si="61"/>
        <v>#REF!</v>
      </c>
      <c r="E505" s="143">
        <v>44528</v>
      </c>
      <c r="F505" s="137" t="e">
        <f>'Date Calcs'!#REF!</f>
        <v>#REF!</v>
      </c>
      <c r="G505" s="137" t="e">
        <f>IF(VLOOKUP(A505,'Actual Dates'!A4:AE632,8,),'Actual Dates'!#REF!,"")</f>
        <v>#REF!</v>
      </c>
      <c r="H505" s="137" t="e">
        <f t="shared" si="62"/>
        <v>#REF!</v>
      </c>
      <c r="I505" s="137" t="e">
        <f>IF(VLOOKUP(A505,'Actual Dates'!A4:AE627,25,),'Actual Dates'!#REF!,"")</f>
        <v>#REF!</v>
      </c>
      <c r="J505" s="137" t="e">
        <f t="shared" si="63"/>
        <v>#REF!</v>
      </c>
      <c r="K505" s="137" t="e">
        <f>IF(VLOOKUP(A505,'Actual Dates'!A4:AE655,26,),'Actual Dates'!#REF!,"")</f>
        <v>#REF!</v>
      </c>
      <c r="L505" s="137" t="e">
        <f>IF(VLOOKUP(A505,'Actual Dates'!A4:AE655,21,),'Actual Dates'!#REF!,"")</f>
        <v>#REF!</v>
      </c>
      <c r="M505" s="137" t="e">
        <f>'Date Calcs'!#REF!</f>
        <v>#REF!</v>
      </c>
      <c r="N505" s="137" t="e">
        <f>IF(VLOOKUP(A505,'Actual Dates'!A4:AE655,27,),'Actual Dates'!#REF!,"")</f>
        <v>#REF!</v>
      </c>
      <c r="O505" s="138" t="e">
        <f t="shared" si="60"/>
        <v>#REF!</v>
      </c>
      <c r="P505" s="139" t="e">
        <f t="shared" si="64"/>
        <v>#REF!</v>
      </c>
      <c r="Q505" s="139" t="e">
        <f t="shared" si="65"/>
        <v>#REF!</v>
      </c>
      <c r="R505" s="170"/>
      <c r="S505" s="170"/>
    </row>
    <row r="506" spans="1:19" x14ac:dyDescent="0.25">
      <c r="A506" s="134" t="e">
        <f>'Date Calcs'!#REF!</f>
        <v>#REF!</v>
      </c>
      <c r="B506" s="135" t="e">
        <f>'Date Calcs'!#REF!</f>
        <v>#REF!</v>
      </c>
      <c r="C506" s="136" t="e">
        <f>'Date Calcs'!#REF!</f>
        <v>#REF!</v>
      </c>
      <c r="D506" s="137" t="e">
        <f t="shared" si="61"/>
        <v>#REF!</v>
      </c>
      <c r="E506" s="143">
        <v>44529</v>
      </c>
      <c r="F506" s="137" t="e">
        <f>'Date Calcs'!#REF!</f>
        <v>#REF!</v>
      </c>
      <c r="G506" s="137" t="e">
        <f>IF(VLOOKUP(A506,'Actual Dates'!A4:AE633,8,),'Actual Dates'!#REF!,"")</f>
        <v>#REF!</v>
      </c>
      <c r="H506" s="137" t="e">
        <f t="shared" si="62"/>
        <v>#REF!</v>
      </c>
      <c r="I506" s="137" t="e">
        <f>IF(VLOOKUP(A506,'Actual Dates'!A4:AE628,25,),'Actual Dates'!#REF!,"")</f>
        <v>#REF!</v>
      </c>
      <c r="J506" s="137" t="e">
        <f t="shared" si="63"/>
        <v>#REF!</v>
      </c>
      <c r="K506" s="137" t="e">
        <f>IF(VLOOKUP(A506,'Actual Dates'!A4:AE656,26,),'Actual Dates'!#REF!,"")</f>
        <v>#REF!</v>
      </c>
      <c r="L506" s="137" t="e">
        <f>IF(VLOOKUP(A506,'Actual Dates'!A4:AE656,21,),'Actual Dates'!#REF!,"")</f>
        <v>#REF!</v>
      </c>
      <c r="M506" s="137" t="e">
        <f>'Date Calcs'!#REF!</f>
        <v>#REF!</v>
      </c>
      <c r="N506" s="137" t="e">
        <f>IF(VLOOKUP(A506,'Actual Dates'!A4:AE656,27,),'Actual Dates'!#REF!,"")</f>
        <v>#REF!</v>
      </c>
      <c r="O506" s="138" t="e">
        <f t="shared" si="60"/>
        <v>#REF!</v>
      </c>
      <c r="P506" s="139" t="e">
        <f t="shared" si="64"/>
        <v>#REF!</v>
      </c>
      <c r="Q506" s="139" t="e">
        <f t="shared" si="65"/>
        <v>#REF!</v>
      </c>
      <c r="R506" s="170"/>
      <c r="S506" s="170"/>
    </row>
    <row r="507" spans="1:19" x14ac:dyDescent="0.25">
      <c r="A507" s="134" t="e">
        <f>'Date Calcs'!#REF!</f>
        <v>#REF!</v>
      </c>
      <c r="B507" s="135" t="e">
        <f>'Date Calcs'!#REF!</f>
        <v>#REF!</v>
      </c>
      <c r="C507" s="136" t="e">
        <f>'Date Calcs'!#REF!</f>
        <v>#REF!</v>
      </c>
      <c r="D507" s="137" t="e">
        <f t="shared" si="61"/>
        <v>#REF!</v>
      </c>
      <c r="E507" s="143">
        <v>44530</v>
      </c>
      <c r="F507" s="137" t="e">
        <f>'Date Calcs'!#REF!</f>
        <v>#REF!</v>
      </c>
      <c r="G507" s="137" t="e">
        <f>IF(VLOOKUP(A507,'Actual Dates'!A4:AE634,8,),'Actual Dates'!#REF!,"")</f>
        <v>#REF!</v>
      </c>
      <c r="H507" s="137" t="e">
        <f t="shared" si="62"/>
        <v>#REF!</v>
      </c>
      <c r="I507" s="137" t="e">
        <f>IF(VLOOKUP(A507,'Actual Dates'!A4:AE629,25,),'Actual Dates'!#REF!,"")</f>
        <v>#REF!</v>
      </c>
      <c r="J507" s="137" t="e">
        <f t="shared" si="63"/>
        <v>#REF!</v>
      </c>
      <c r="K507" s="137" t="e">
        <f>IF(VLOOKUP(A507,'Actual Dates'!A4:AE657,26,),'Actual Dates'!#REF!,"")</f>
        <v>#REF!</v>
      </c>
      <c r="L507" s="137" t="e">
        <f>IF(VLOOKUP(A507,'Actual Dates'!A4:AE657,21,),'Actual Dates'!#REF!,"")</f>
        <v>#REF!</v>
      </c>
      <c r="M507" s="137" t="e">
        <f>'Date Calcs'!#REF!</f>
        <v>#REF!</v>
      </c>
      <c r="N507" s="137" t="e">
        <f>IF(VLOOKUP(A507,'Actual Dates'!A4:AE657,27,),'Actual Dates'!#REF!,"")</f>
        <v>#REF!</v>
      </c>
      <c r="O507" s="138" t="e">
        <f t="shared" si="60"/>
        <v>#REF!</v>
      </c>
      <c r="P507" s="139" t="e">
        <f t="shared" si="64"/>
        <v>#REF!</v>
      </c>
      <c r="Q507" s="139" t="e">
        <f t="shared" si="65"/>
        <v>#REF!</v>
      </c>
      <c r="R507" s="170"/>
      <c r="S507" s="170"/>
    </row>
    <row r="508" spans="1:19" x14ac:dyDescent="0.25">
      <c r="A508" s="134" t="e">
        <f>'Date Calcs'!#REF!</f>
        <v>#REF!</v>
      </c>
      <c r="B508" s="135" t="e">
        <f>'Date Calcs'!#REF!</f>
        <v>#REF!</v>
      </c>
      <c r="C508" s="136" t="e">
        <f>'Date Calcs'!#REF!</f>
        <v>#REF!</v>
      </c>
      <c r="D508" s="137" t="e">
        <f t="shared" si="61"/>
        <v>#REF!</v>
      </c>
      <c r="E508" s="143">
        <v>44531</v>
      </c>
      <c r="F508" s="137" t="e">
        <f>'Date Calcs'!#REF!</f>
        <v>#REF!</v>
      </c>
      <c r="G508" s="137" t="e">
        <f>IF(VLOOKUP(A508,'Actual Dates'!A4:AE635,8,),'Actual Dates'!#REF!,"")</f>
        <v>#REF!</v>
      </c>
      <c r="H508" s="137" t="e">
        <f t="shared" si="62"/>
        <v>#REF!</v>
      </c>
      <c r="I508" s="137" t="e">
        <f>IF(VLOOKUP(A508,'Actual Dates'!A4:AE630,25,),'Actual Dates'!#REF!,"")</f>
        <v>#REF!</v>
      </c>
      <c r="J508" s="137" t="e">
        <f t="shared" si="63"/>
        <v>#REF!</v>
      </c>
      <c r="K508" s="137" t="e">
        <f>IF(VLOOKUP(A508,'Actual Dates'!A4:AE658,26,),'Actual Dates'!#REF!,"")</f>
        <v>#REF!</v>
      </c>
      <c r="L508" s="137" t="e">
        <f>IF(VLOOKUP(A508,'Actual Dates'!A4:AE658,21,),'Actual Dates'!#REF!,"")</f>
        <v>#REF!</v>
      </c>
      <c r="M508" s="137" t="e">
        <f>'Date Calcs'!#REF!</f>
        <v>#REF!</v>
      </c>
      <c r="N508" s="137" t="e">
        <f>IF(VLOOKUP(A508,'Actual Dates'!A4:AE658,27,),'Actual Dates'!#REF!,"")</f>
        <v>#REF!</v>
      </c>
      <c r="O508" s="138" t="e">
        <f t="shared" si="60"/>
        <v>#REF!</v>
      </c>
      <c r="P508" s="139" t="e">
        <f t="shared" si="64"/>
        <v>#REF!</v>
      </c>
      <c r="Q508" s="139" t="e">
        <f t="shared" si="65"/>
        <v>#REF!</v>
      </c>
      <c r="R508" s="170"/>
      <c r="S508" s="170"/>
    </row>
    <row r="509" spans="1:19" x14ac:dyDescent="0.25">
      <c r="A509" s="134" t="e">
        <f>'Date Calcs'!#REF!</f>
        <v>#REF!</v>
      </c>
      <c r="B509" s="135" t="e">
        <f>'Date Calcs'!#REF!</f>
        <v>#REF!</v>
      </c>
      <c r="C509" s="136" t="e">
        <f>'Date Calcs'!#REF!</f>
        <v>#REF!</v>
      </c>
      <c r="D509" s="137" t="e">
        <f t="shared" si="61"/>
        <v>#REF!</v>
      </c>
      <c r="E509" s="143">
        <v>44532</v>
      </c>
      <c r="F509" s="137" t="e">
        <f>'Date Calcs'!#REF!</f>
        <v>#REF!</v>
      </c>
      <c r="G509" s="137" t="e">
        <f>IF(VLOOKUP(A509,'Actual Dates'!A4:AE636,8,),'Actual Dates'!#REF!,"")</f>
        <v>#REF!</v>
      </c>
      <c r="H509" s="137" t="e">
        <f t="shared" si="62"/>
        <v>#REF!</v>
      </c>
      <c r="I509" s="137" t="e">
        <f>IF(VLOOKUP(A509,'Actual Dates'!A4:AE631,25,),'Actual Dates'!#REF!,"")</f>
        <v>#REF!</v>
      </c>
      <c r="J509" s="137" t="e">
        <f t="shared" si="63"/>
        <v>#REF!</v>
      </c>
      <c r="K509" s="137" t="e">
        <f>IF(VLOOKUP(A509,'Actual Dates'!A4:AE659,26,),'Actual Dates'!#REF!,"")</f>
        <v>#REF!</v>
      </c>
      <c r="L509" s="137" t="e">
        <f>IF(VLOOKUP(A509,'Actual Dates'!A4:AE659,21,),'Actual Dates'!#REF!,"")</f>
        <v>#REF!</v>
      </c>
      <c r="M509" s="137" t="e">
        <f>'Date Calcs'!#REF!</f>
        <v>#REF!</v>
      </c>
      <c r="N509" s="137" t="e">
        <f>IF(VLOOKUP(A509,'Actual Dates'!A4:AE659,27,),'Actual Dates'!#REF!,"")</f>
        <v>#REF!</v>
      </c>
      <c r="O509" s="138" t="e">
        <f t="shared" si="60"/>
        <v>#REF!</v>
      </c>
      <c r="P509" s="139" t="e">
        <f t="shared" si="64"/>
        <v>#REF!</v>
      </c>
      <c r="Q509" s="139" t="e">
        <f t="shared" si="65"/>
        <v>#REF!</v>
      </c>
      <c r="R509" s="170"/>
      <c r="S509" s="170"/>
    </row>
    <row r="510" spans="1:19" x14ac:dyDescent="0.25">
      <c r="A510" s="134" t="e">
        <f>'Date Calcs'!#REF!</f>
        <v>#REF!</v>
      </c>
      <c r="B510" s="135" t="e">
        <f>'Date Calcs'!#REF!</f>
        <v>#REF!</v>
      </c>
      <c r="C510" s="136" t="e">
        <f>'Date Calcs'!#REF!</f>
        <v>#REF!</v>
      </c>
      <c r="D510" s="137" t="e">
        <f t="shared" si="61"/>
        <v>#REF!</v>
      </c>
      <c r="E510" s="143">
        <v>44533</v>
      </c>
      <c r="F510" s="137" t="e">
        <f>'Date Calcs'!#REF!</f>
        <v>#REF!</v>
      </c>
      <c r="G510" s="137" t="e">
        <f>IF(VLOOKUP(A510,'Actual Dates'!A4:AE637,8,),'Actual Dates'!#REF!,"")</f>
        <v>#REF!</v>
      </c>
      <c r="H510" s="137" t="e">
        <f t="shared" si="62"/>
        <v>#REF!</v>
      </c>
      <c r="I510" s="137" t="e">
        <f>IF(VLOOKUP(A510,'Actual Dates'!A4:AE632,25,),'Actual Dates'!#REF!,"")</f>
        <v>#REF!</v>
      </c>
      <c r="J510" s="137" t="e">
        <f t="shared" si="63"/>
        <v>#REF!</v>
      </c>
      <c r="K510" s="137" t="e">
        <f>IF(VLOOKUP(A510,'Actual Dates'!A4:AE660,26,),'Actual Dates'!#REF!,"")</f>
        <v>#REF!</v>
      </c>
      <c r="L510" s="137" t="e">
        <f>IF(VLOOKUP(A510,'Actual Dates'!A4:AE660,21,),'Actual Dates'!#REF!,"")</f>
        <v>#REF!</v>
      </c>
      <c r="M510" s="137" t="e">
        <f>'Date Calcs'!#REF!</f>
        <v>#REF!</v>
      </c>
      <c r="N510" s="137" t="e">
        <f>IF(VLOOKUP(A510,'Actual Dates'!A4:AE660,27,),'Actual Dates'!#REF!,"")</f>
        <v>#REF!</v>
      </c>
      <c r="O510" s="138" t="e">
        <f t="shared" si="60"/>
        <v>#REF!</v>
      </c>
      <c r="P510" s="139" t="e">
        <f t="shared" si="64"/>
        <v>#REF!</v>
      </c>
      <c r="Q510" s="139" t="e">
        <f t="shared" si="65"/>
        <v>#REF!</v>
      </c>
      <c r="R510" s="170"/>
      <c r="S510" s="170"/>
    </row>
    <row r="511" spans="1:19" x14ac:dyDescent="0.25">
      <c r="A511" s="134" t="e">
        <f>'Date Calcs'!#REF!</f>
        <v>#REF!</v>
      </c>
      <c r="B511" s="135" t="e">
        <f>'Date Calcs'!#REF!</f>
        <v>#REF!</v>
      </c>
      <c r="C511" s="136" t="e">
        <f>'Date Calcs'!#REF!</f>
        <v>#REF!</v>
      </c>
      <c r="D511" s="137" t="e">
        <f t="shared" si="61"/>
        <v>#REF!</v>
      </c>
      <c r="E511" s="143">
        <v>44534</v>
      </c>
      <c r="F511" s="137" t="e">
        <f>'Date Calcs'!#REF!</f>
        <v>#REF!</v>
      </c>
      <c r="G511" s="137" t="e">
        <f>IF(VLOOKUP(A511,'Actual Dates'!A4:AE638,8,),'Actual Dates'!#REF!,"")</f>
        <v>#REF!</v>
      </c>
      <c r="H511" s="137" t="e">
        <f t="shared" si="62"/>
        <v>#REF!</v>
      </c>
      <c r="I511" s="137" t="e">
        <f>IF(VLOOKUP(A511,'Actual Dates'!A4:AE633,25,),'Actual Dates'!#REF!,"")</f>
        <v>#REF!</v>
      </c>
      <c r="J511" s="137" t="e">
        <f t="shared" si="63"/>
        <v>#REF!</v>
      </c>
      <c r="K511" s="137" t="e">
        <f>IF(VLOOKUP(A511,'Actual Dates'!A4:AE661,26,),'Actual Dates'!#REF!,"")</f>
        <v>#REF!</v>
      </c>
      <c r="L511" s="137" t="e">
        <f>IF(VLOOKUP(A511,'Actual Dates'!A4:AE661,21,),'Actual Dates'!#REF!,"")</f>
        <v>#REF!</v>
      </c>
      <c r="M511" s="137" t="e">
        <f>'Date Calcs'!#REF!</f>
        <v>#REF!</v>
      </c>
      <c r="N511" s="137" t="e">
        <f>IF(VLOOKUP(A511,'Actual Dates'!A4:AE661,27,),'Actual Dates'!#REF!,"")</f>
        <v>#REF!</v>
      </c>
      <c r="O511" s="138" t="e">
        <f t="shared" si="60"/>
        <v>#REF!</v>
      </c>
      <c r="P511" s="139" t="e">
        <f t="shared" si="64"/>
        <v>#REF!</v>
      </c>
      <c r="Q511" s="139" t="e">
        <f t="shared" si="65"/>
        <v>#REF!</v>
      </c>
      <c r="R511" s="170"/>
      <c r="S511" s="170"/>
    </row>
    <row r="512" spans="1:19" x14ac:dyDescent="0.25">
      <c r="A512" s="134" t="e">
        <f>'Date Calcs'!#REF!</f>
        <v>#REF!</v>
      </c>
      <c r="B512" s="135" t="e">
        <f>'Date Calcs'!#REF!</f>
        <v>#REF!</v>
      </c>
      <c r="C512" s="136" t="e">
        <f>'Date Calcs'!#REF!</f>
        <v>#REF!</v>
      </c>
      <c r="D512" s="137" t="e">
        <f t="shared" si="61"/>
        <v>#REF!</v>
      </c>
      <c r="E512" s="143">
        <v>44535</v>
      </c>
      <c r="F512" s="137" t="e">
        <f>'Date Calcs'!#REF!</f>
        <v>#REF!</v>
      </c>
      <c r="G512" s="137" t="e">
        <f>IF(VLOOKUP(A512,'Actual Dates'!A4:AE639,8,),'Actual Dates'!#REF!,"")</f>
        <v>#REF!</v>
      </c>
      <c r="H512" s="137" t="e">
        <f t="shared" si="62"/>
        <v>#REF!</v>
      </c>
      <c r="I512" s="137" t="e">
        <f>IF(VLOOKUP(A512,'Actual Dates'!A4:AE634,25,),'Actual Dates'!#REF!,"")</f>
        <v>#REF!</v>
      </c>
      <c r="J512" s="137" t="e">
        <f t="shared" si="63"/>
        <v>#REF!</v>
      </c>
      <c r="K512" s="137" t="e">
        <f>IF(VLOOKUP(A512,'Actual Dates'!A4:AE662,26,),'Actual Dates'!#REF!,"")</f>
        <v>#REF!</v>
      </c>
      <c r="L512" s="137" t="e">
        <f>IF(VLOOKUP(A512,'Actual Dates'!A4:AE662,21,),'Actual Dates'!#REF!,"")</f>
        <v>#REF!</v>
      </c>
      <c r="M512" s="137" t="e">
        <f>'Date Calcs'!#REF!</f>
        <v>#REF!</v>
      </c>
      <c r="N512" s="137" t="e">
        <f>IF(VLOOKUP(A512,'Actual Dates'!A4:AE662,27,),'Actual Dates'!#REF!,"")</f>
        <v>#REF!</v>
      </c>
      <c r="O512" s="138" t="e">
        <f t="shared" si="60"/>
        <v>#REF!</v>
      </c>
      <c r="P512" s="139" t="e">
        <f t="shared" si="64"/>
        <v>#REF!</v>
      </c>
      <c r="Q512" s="139" t="e">
        <f t="shared" si="65"/>
        <v>#REF!</v>
      </c>
      <c r="R512" s="170"/>
      <c r="S512" s="170"/>
    </row>
    <row r="513" spans="1:19" x14ac:dyDescent="0.25">
      <c r="A513" s="134" t="e">
        <f>'Date Calcs'!#REF!</f>
        <v>#REF!</v>
      </c>
      <c r="B513" s="135" t="e">
        <f>'Date Calcs'!#REF!</f>
        <v>#REF!</v>
      </c>
      <c r="C513" s="136" t="e">
        <f>'Date Calcs'!#REF!</f>
        <v>#REF!</v>
      </c>
      <c r="D513" s="137" t="e">
        <f t="shared" si="61"/>
        <v>#REF!</v>
      </c>
      <c r="E513" s="143">
        <v>44536</v>
      </c>
      <c r="F513" s="137" t="e">
        <f>'Date Calcs'!#REF!</f>
        <v>#REF!</v>
      </c>
      <c r="G513" s="137" t="e">
        <f>IF(VLOOKUP(A513,'Actual Dates'!A4:AE640,8,),'Actual Dates'!#REF!,"")</f>
        <v>#REF!</v>
      </c>
      <c r="H513" s="137" t="e">
        <f t="shared" si="62"/>
        <v>#REF!</v>
      </c>
      <c r="I513" s="137" t="e">
        <f>IF(VLOOKUP(A513,'Actual Dates'!A4:AE635,25,),'Actual Dates'!#REF!,"")</f>
        <v>#REF!</v>
      </c>
      <c r="J513" s="137" t="e">
        <f t="shared" si="63"/>
        <v>#REF!</v>
      </c>
      <c r="K513" s="137" t="e">
        <f>IF(VLOOKUP(A513,'Actual Dates'!A4:AE663,26,),'Actual Dates'!#REF!,"")</f>
        <v>#REF!</v>
      </c>
      <c r="L513" s="137" t="e">
        <f>IF(VLOOKUP(A513,'Actual Dates'!A4:AE663,21,),'Actual Dates'!#REF!,"")</f>
        <v>#REF!</v>
      </c>
      <c r="M513" s="137" t="e">
        <f>'Date Calcs'!#REF!</f>
        <v>#REF!</v>
      </c>
      <c r="N513" s="137" t="e">
        <f>IF(VLOOKUP(A513,'Actual Dates'!A4:AE663,27,),'Actual Dates'!#REF!,"")</f>
        <v>#REF!</v>
      </c>
      <c r="O513" s="138" t="e">
        <f t="shared" si="60"/>
        <v>#REF!</v>
      </c>
      <c r="P513" s="139" t="e">
        <f t="shared" si="64"/>
        <v>#REF!</v>
      </c>
      <c r="Q513" s="139" t="e">
        <f t="shared" si="65"/>
        <v>#REF!</v>
      </c>
      <c r="R513" s="170"/>
      <c r="S513" s="170"/>
    </row>
    <row r="514" spans="1:19" x14ac:dyDescent="0.25">
      <c r="A514" s="134" t="e">
        <f>'Date Calcs'!#REF!</f>
        <v>#REF!</v>
      </c>
      <c r="B514" s="135" t="e">
        <f>'Date Calcs'!#REF!</f>
        <v>#REF!</v>
      </c>
      <c r="C514" s="136" t="e">
        <f>'Date Calcs'!#REF!</f>
        <v>#REF!</v>
      </c>
      <c r="D514" s="137" t="e">
        <f t="shared" si="61"/>
        <v>#REF!</v>
      </c>
      <c r="E514" s="143">
        <v>44537</v>
      </c>
      <c r="F514" s="137" t="e">
        <f>'Date Calcs'!#REF!</f>
        <v>#REF!</v>
      </c>
      <c r="G514" s="137" t="e">
        <f>IF(VLOOKUP(A514,'Actual Dates'!A4:AE641,8,),'Actual Dates'!#REF!,"")</f>
        <v>#REF!</v>
      </c>
      <c r="H514" s="137" t="e">
        <f t="shared" si="62"/>
        <v>#REF!</v>
      </c>
      <c r="I514" s="137" t="e">
        <f>IF(VLOOKUP(A514,'Actual Dates'!A4:AE636,25,),'Actual Dates'!#REF!,"")</f>
        <v>#REF!</v>
      </c>
      <c r="J514" s="137" t="e">
        <f t="shared" si="63"/>
        <v>#REF!</v>
      </c>
      <c r="K514" s="137" t="e">
        <f>IF(VLOOKUP(A514,'Actual Dates'!A4:AE664,26,),'Actual Dates'!#REF!,"")</f>
        <v>#REF!</v>
      </c>
      <c r="L514" s="137" t="e">
        <f>IF(VLOOKUP(A514,'Actual Dates'!A4:AE664,21,),'Actual Dates'!#REF!,"")</f>
        <v>#REF!</v>
      </c>
      <c r="M514" s="137" t="e">
        <f>'Date Calcs'!#REF!</f>
        <v>#REF!</v>
      </c>
      <c r="N514" s="137" t="e">
        <f>IF(VLOOKUP(A514,'Actual Dates'!A4:AE664,27,),'Actual Dates'!#REF!,"")</f>
        <v>#REF!</v>
      </c>
      <c r="O514" s="138" t="e">
        <f t="shared" si="60"/>
        <v>#REF!</v>
      </c>
      <c r="P514" s="139" t="e">
        <f t="shared" si="64"/>
        <v>#REF!</v>
      </c>
      <c r="Q514" s="139" t="e">
        <f t="shared" si="65"/>
        <v>#REF!</v>
      </c>
      <c r="R514" s="170"/>
      <c r="S514" s="170"/>
    </row>
    <row r="515" spans="1:19" x14ac:dyDescent="0.25">
      <c r="A515" s="134" t="e">
        <f>'Date Calcs'!#REF!</f>
        <v>#REF!</v>
      </c>
      <c r="B515" s="135" t="e">
        <f>'Date Calcs'!#REF!</f>
        <v>#REF!</v>
      </c>
      <c r="C515" s="136" t="e">
        <f>'Date Calcs'!#REF!</f>
        <v>#REF!</v>
      </c>
      <c r="D515" s="137" t="e">
        <f t="shared" si="61"/>
        <v>#REF!</v>
      </c>
      <c r="E515" s="143">
        <v>44538</v>
      </c>
      <c r="F515" s="137" t="e">
        <f>'Date Calcs'!#REF!</f>
        <v>#REF!</v>
      </c>
      <c r="G515" s="137" t="e">
        <f>IF(VLOOKUP(A515,'Actual Dates'!A4:AE642,8,),'Actual Dates'!#REF!,"")</f>
        <v>#REF!</v>
      </c>
      <c r="H515" s="137" t="e">
        <f t="shared" si="62"/>
        <v>#REF!</v>
      </c>
      <c r="I515" s="137" t="e">
        <f>IF(VLOOKUP(A515,'Actual Dates'!A4:AE637,25,),'Actual Dates'!#REF!,"")</f>
        <v>#REF!</v>
      </c>
      <c r="J515" s="137" t="e">
        <f t="shared" si="63"/>
        <v>#REF!</v>
      </c>
      <c r="K515" s="137" t="e">
        <f>IF(VLOOKUP(A515,'Actual Dates'!A4:AE665,26,),'Actual Dates'!#REF!,"")</f>
        <v>#REF!</v>
      </c>
      <c r="L515" s="137" t="e">
        <f>IF(VLOOKUP(A515,'Actual Dates'!A4:AE665,21,),'Actual Dates'!#REF!,"")</f>
        <v>#REF!</v>
      </c>
      <c r="M515" s="137" t="e">
        <f>'Date Calcs'!#REF!</f>
        <v>#REF!</v>
      </c>
      <c r="N515" s="137" t="e">
        <f>IF(VLOOKUP(A515,'Actual Dates'!A4:AE665,27,),'Actual Dates'!#REF!,"")</f>
        <v>#REF!</v>
      </c>
      <c r="O515" s="138" t="e">
        <f t="shared" si="60"/>
        <v>#REF!</v>
      </c>
      <c r="P515" s="139" t="e">
        <f t="shared" si="64"/>
        <v>#REF!</v>
      </c>
      <c r="Q515" s="139" t="e">
        <f t="shared" si="65"/>
        <v>#REF!</v>
      </c>
      <c r="R515" s="170"/>
      <c r="S515" s="170"/>
    </row>
    <row r="516" spans="1:19" x14ac:dyDescent="0.25">
      <c r="A516" s="134" t="e">
        <f>'Date Calcs'!#REF!</f>
        <v>#REF!</v>
      </c>
      <c r="B516" s="135" t="e">
        <f>'Date Calcs'!#REF!</f>
        <v>#REF!</v>
      </c>
      <c r="C516" s="136" t="e">
        <f>'Date Calcs'!#REF!</f>
        <v>#REF!</v>
      </c>
      <c r="D516" s="137" t="e">
        <f t="shared" si="61"/>
        <v>#REF!</v>
      </c>
      <c r="E516" s="143">
        <v>44539</v>
      </c>
      <c r="F516" s="137" t="e">
        <f>'Date Calcs'!#REF!</f>
        <v>#REF!</v>
      </c>
      <c r="G516" s="137" t="e">
        <f>IF(VLOOKUP(A516,'Actual Dates'!A4:AE643,8,),'Actual Dates'!#REF!,"")</f>
        <v>#REF!</v>
      </c>
      <c r="H516" s="137" t="e">
        <f t="shared" si="62"/>
        <v>#REF!</v>
      </c>
      <c r="I516" s="137" t="e">
        <f>IF(VLOOKUP(A516,'Actual Dates'!A4:AE638,25,),'Actual Dates'!#REF!,"")</f>
        <v>#REF!</v>
      </c>
      <c r="J516" s="137" t="e">
        <f t="shared" si="63"/>
        <v>#REF!</v>
      </c>
      <c r="K516" s="137" t="e">
        <f>IF(VLOOKUP(A516,'Actual Dates'!A4:AE666,26,),'Actual Dates'!#REF!,"")</f>
        <v>#REF!</v>
      </c>
      <c r="L516" s="137" t="e">
        <f>IF(VLOOKUP(A516,'Actual Dates'!A4:AE666,21,),'Actual Dates'!#REF!,"")</f>
        <v>#REF!</v>
      </c>
      <c r="M516" s="137" t="e">
        <f>'Date Calcs'!#REF!</f>
        <v>#REF!</v>
      </c>
      <c r="N516" s="137" t="e">
        <f>IF(VLOOKUP(A516,'Actual Dates'!A4:AE666,27,),'Actual Dates'!#REF!,"")</f>
        <v>#REF!</v>
      </c>
      <c r="O516" s="138" t="e">
        <f t="shared" si="60"/>
        <v>#REF!</v>
      </c>
      <c r="P516" s="139" t="e">
        <f t="shared" si="64"/>
        <v>#REF!</v>
      </c>
      <c r="Q516" s="139" t="e">
        <f t="shared" si="65"/>
        <v>#REF!</v>
      </c>
      <c r="R516" s="170"/>
      <c r="S516" s="170"/>
    </row>
    <row r="517" spans="1:19" x14ac:dyDescent="0.25">
      <c r="A517" s="134" t="e">
        <f>'Date Calcs'!#REF!</f>
        <v>#REF!</v>
      </c>
      <c r="B517" s="135" t="e">
        <f>'Date Calcs'!#REF!</f>
        <v>#REF!</v>
      </c>
      <c r="C517" s="136" t="e">
        <f>'Date Calcs'!#REF!</f>
        <v>#REF!</v>
      </c>
      <c r="D517" s="137" t="e">
        <f t="shared" si="61"/>
        <v>#REF!</v>
      </c>
      <c r="E517" s="143">
        <v>44540</v>
      </c>
      <c r="F517" s="137" t="e">
        <f>'Date Calcs'!#REF!</f>
        <v>#REF!</v>
      </c>
      <c r="G517" s="137" t="e">
        <f>IF(VLOOKUP(A517,'Actual Dates'!A4:AE644,8,),'Actual Dates'!#REF!,"")</f>
        <v>#REF!</v>
      </c>
      <c r="H517" s="137" t="e">
        <f t="shared" si="62"/>
        <v>#REF!</v>
      </c>
      <c r="I517" s="137" t="e">
        <f>IF(VLOOKUP(A517,'Actual Dates'!A4:AE639,25,),'Actual Dates'!#REF!,"")</f>
        <v>#REF!</v>
      </c>
      <c r="J517" s="137" t="e">
        <f t="shared" si="63"/>
        <v>#REF!</v>
      </c>
      <c r="K517" s="137" t="e">
        <f>IF(VLOOKUP(A517,'Actual Dates'!A4:AE667,26,),'Actual Dates'!#REF!,"")</f>
        <v>#REF!</v>
      </c>
      <c r="L517" s="137" t="e">
        <f>IF(VLOOKUP(A517,'Actual Dates'!A4:AE667,21,),'Actual Dates'!#REF!,"")</f>
        <v>#REF!</v>
      </c>
      <c r="M517" s="137" t="e">
        <f>'Date Calcs'!#REF!</f>
        <v>#REF!</v>
      </c>
      <c r="N517" s="137" t="e">
        <f>IF(VLOOKUP(A517,'Actual Dates'!A4:AE667,27,),'Actual Dates'!#REF!,"")</f>
        <v>#REF!</v>
      </c>
      <c r="O517" s="138" t="e">
        <f t="shared" si="60"/>
        <v>#REF!</v>
      </c>
      <c r="P517" s="139" t="e">
        <f t="shared" si="64"/>
        <v>#REF!</v>
      </c>
      <c r="Q517" s="139" t="e">
        <f t="shared" si="65"/>
        <v>#REF!</v>
      </c>
      <c r="R517" s="170"/>
      <c r="S517" s="170"/>
    </row>
    <row r="518" spans="1:19" x14ac:dyDescent="0.25">
      <c r="A518" s="134" t="e">
        <f>'Date Calcs'!#REF!</f>
        <v>#REF!</v>
      </c>
      <c r="B518" s="135" t="e">
        <f>'Date Calcs'!#REF!</f>
        <v>#REF!</v>
      </c>
      <c r="C518" s="136" t="e">
        <f>'Date Calcs'!#REF!</f>
        <v>#REF!</v>
      </c>
      <c r="D518" s="137" t="e">
        <f t="shared" si="61"/>
        <v>#REF!</v>
      </c>
      <c r="E518" s="143">
        <v>44541</v>
      </c>
      <c r="F518" s="137" t="e">
        <f>'Date Calcs'!#REF!</f>
        <v>#REF!</v>
      </c>
      <c r="G518" s="137" t="e">
        <f>IF(VLOOKUP(A518,'Actual Dates'!A4:AE645,8,),'Actual Dates'!#REF!,"")</f>
        <v>#REF!</v>
      </c>
      <c r="H518" s="137" t="e">
        <f t="shared" si="62"/>
        <v>#REF!</v>
      </c>
      <c r="I518" s="137" t="e">
        <f>IF(VLOOKUP(A518,'Actual Dates'!A4:AE640,25,),'Actual Dates'!#REF!,"")</f>
        <v>#REF!</v>
      </c>
      <c r="J518" s="137" t="e">
        <f t="shared" si="63"/>
        <v>#REF!</v>
      </c>
      <c r="K518" s="137" t="e">
        <f>IF(VLOOKUP(A518,'Actual Dates'!A4:AE668,26,),'Actual Dates'!#REF!,"")</f>
        <v>#REF!</v>
      </c>
      <c r="L518" s="137" t="e">
        <f>IF(VLOOKUP(A518,'Actual Dates'!A4:AE668,21,),'Actual Dates'!#REF!,"")</f>
        <v>#REF!</v>
      </c>
      <c r="M518" s="137" t="e">
        <f>'Date Calcs'!#REF!</f>
        <v>#REF!</v>
      </c>
      <c r="N518" s="137" t="e">
        <f>IF(VLOOKUP(A518,'Actual Dates'!A4:AE668,27,),'Actual Dates'!#REF!,"")</f>
        <v>#REF!</v>
      </c>
      <c r="O518" s="138" t="e">
        <f t="shared" si="60"/>
        <v>#REF!</v>
      </c>
      <c r="P518" s="139" t="e">
        <f t="shared" si="64"/>
        <v>#REF!</v>
      </c>
      <c r="Q518" s="139" t="e">
        <f t="shared" si="65"/>
        <v>#REF!</v>
      </c>
      <c r="R518" s="170"/>
      <c r="S518" s="170"/>
    </row>
    <row r="519" spans="1:19" x14ac:dyDescent="0.25">
      <c r="A519" s="134" t="e">
        <f>'Date Calcs'!#REF!</f>
        <v>#REF!</v>
      </c>
      <c r="B519" s="135" t="e">
        <f>'Date Calcs'!#REF!</f>
        <v>#REF!</v>
      </c>
      <c r="C519" s="136" t="e">
        <f>'Date Calcs'!#REF!</f>
        <v>#REF!</v>
      </c>
      <c r="D519" s="137" t="e">
        <f t="shared" si="61"/>
        <v>#REF!</v>
      </c>
      <c r="E519" s="143">
        <v>44542</v>
      </c>
      <c r="F519" s="137" t="e">
        <f>'Date Calcs'!#REF!</f>
        <v>#REF!</v>
      </c>
      <c r="G519" s="137" t="e">
        <f>IF(VLOOKUP(A519,'Actual Dates'!A4:AE646,8,),'Actual Dates'!#REF!,"")</f>
        <v>#REF!</v>
      </c>
      <c r="H519" s="137" t="e">
        <f t="shared" si="62"/>
        <v>#REF!</v>
      </c>
      <c r="I519" s="137" t="e">
        <f>IF(VLOOKUP(A519,'Actual Dates'!A4:AE641,25,),'Actual Dates'!#REF!,"")</f>
        <v>#REF!</v>
      </c>
      <c r="J519" s="137" t="e">
        <f t="shared" si="63"/>
        <v>#REF!</v>
      </c>
      <c r="K519" s="137" t="e">
        <f>IF(VLOOKUP(A519,'Actual Dates'!A4:AE669,26,),'Actual Dates'!#REF!,"")</f>
        <v>#REF!</v>
      </c>
      <c r="L519" s="137" t="e">
        <f>IF(VLOOKUP(A519,'Actual Dates'!A4:AE669,21,),'Actual Dates'!#REF!,"")</f>
        <v>#REF!</v>
      </c>
      <c r="M519" s="137" t="e">
        <f>'Date Calcs'!#REF!</f>
        <v>#REF!</v>
      </c>
      <c r="N519" s="137" t="e">
        <f>IF(VLOOKUP(A519,'Actual Dates'!A4:AE669,27,),'Actual Dates'!#REF!,"")</f>
        <v>#REF!</v>
      </c>
      <c r="O519" s="138" t="e">
        <f t="shared" si="60"/>
        <v>#REF!</v>
      </c>
      <c r="P519" s="139" t="e">
        <f t="shared" si="64"/>
        <v>#REF!</v>
      </c>
      <c r="Q519" s="139" t="e">
        <f t="shared" si="65"/>
        <v>#REF!</v>
      </c>
      <c r="R519" s="170"/>
      <c r="S519" s="170"/>
    </row>
    <row r="520" spans="1:19" x14ac:dyDescent="0.25">
      <c r="A520" s="134" t="e">
        <f>'Date Calcs'!#REF!</f>
        <v>#REF!</v>
      </c>
      <c r="B520" s="135" t="e">
        <f>'Date Calcs'!#REF!</f>
        <v>#REF!</v>
      </c>
      <c r="C520" s="136" t="e">
        <f>'Date Calcs'!#REF!</f>
        <v>#REF!</v>
      </c>
      <c r="D520" s="137" t="e">
        <f t="shared" si="61"/>
        <v>#REF!</v>
      </c>
      <c r="E520" s="143">
        <v>44543</v>
      </c>
      <c r="F520" s="137" t="e">
        <f>'Date Calcs'!#REF!</f>
        <v>#REF!</v>
      </c>
      <c r="G520" s="137" t="e">
        <f>IF(VLOOKUP(A520,'Actual Dates'!A4:AE647,8,),'Actual Dates'!#REF!,"")</f>
        <v>#REF!</v>
      </c>
      <c r="H520" s="137" t="e">
        <f t="shared" si="62"/>
        <v>#REF!</v>
      </c>
      <c r="I520" s="137" t="e">
        <f>IF(VLOOKUP(A520,'Actual Dates'!A4:AE642,25,),'Actual Dates'!#REF!,"")</f>
        <v>#REF!</v>
      </c>
      <c r="J520" s="137" t="e">
        <f t="shared" si="63"/>
        <v>#REF!</v>
      </c>
      <c r="K520" s="137" t="e">
        <f>IF(VLOOKUP(A520,'Actual Dates'!A4:AE670,26,),'Actual Dates'!#REF!,"")</f>
        <v>#REF!</v>
      </c>
      <c r="L520" s="137" t="e">
        <f>IF(VLOOKUP(A520,'Actual Dates'!A4:AE670,21,),'Actual Dates'!#REF!,"")</f>
        <v>#REF!</v>
      </c>
      <c r="M520" s="137" t="e">
        <f>'Date Calcs'!#REF!</f>
        <v>#REF!</v>
      </c>
      <c r="N520" s="137" t="e">
        <f>IF(VLOOKUP(A520,'Actual Dates'!A4:AE670,27,),'Actual Dates'!#REF!,"")</f>
        <v>#REF!</v>
      </c>
      <c r="O520" s="138" t="e">
        <f t="shared" si="60"/>
        <v>#REF!</v>
      </c>
      <c r="P520" s="139" t="e">
        <f t="shared" si="64"/>
        <v>#REF!</v>
      </c>
      <c r="Q520" s="139" t="e">
        <f t="shared" si="65"/>
        <v>#REF!</v>
      </c>
      <c r="R520" s="170"/>
      <c r="S520" s="170"/>
    </row>
    <row r="521" spans="1:19" x14ac:dyDescent="0.25">
      <c r="A521" s="134" t="e">
        <f>'Date Calcs'!#REF!</f>
        <v>#REF!</v>
      </c>
      <c r="B521" s="135" t="e">
        <f>'Date Calcs'!#REF!</f>
        <v>#REF!</v>
      </c>
      <c r="C521" s="136" t="e">
        <f>'Date Calcs'!#REF!</f>
        <v>#REF!</v>
      </c>
      <c r="D521" s="137" t="e">
        <f t="shared" si="61"/>
        <v>#REF!</v>
      </c>
      <c r="E521" s="143">
        <v>44544</v>
      </c>
      <c r="F521" s="137" t="e">
        <f>'Date Calcs'!#REF!</f>
        <v>#REF!</v>
      </c>
      <c r="G521" s="137" t="e">
        <f>IF(VLOOKUP(A521,'Actual Dates'!A4:AE648,8,),'Actual Dates'!#REF!,"")</f>
        <v>#REF!</v>
      </c>
      <c r="H521" s="137" t="e">
        <f t="shared" si="62"/>
        <v>#REF!</v>
      </c>
      <c r="I521" s="137" t="e">
        <f>IF(VLOOKUP(A521,'Actual Dates'!A4:AE643,25,),'Actual Dates'!#REF!,"")</f>
        <v>#REF!</v>
      </c>
      <c r="J521" s="137" t="e">
        <f t="shared" si="63"/>
        <v>#REF!</v>
      </c>
      <c r="K521" s="137" t="e">
        <f>IF(VLOOKUP(A521,'Actual Dates'!A4:AE671,26,),'Actual Dates'!#REF!,"")</f>
        <v>#REF!</v>
      </c>
      <c r="L521" s="137" t="e">
        <f>IF(VLOOKUP(A521,'Actual Dates'!A4:AE671,21,),'Actual Dates'!#REF!,"")</f>
        <v>#REF!</v>
      </c>
      <c r="M521" s="137" t="e">
        <f>'Date Calcs'!#REF!</f>
        <v>#REF!</v>
      </c>
      <c r="N521" s="137" t="e">
        <f>IF(VLOOKUP(A521,'Actual Dates'!A4:AE671,27,),'Actual Dates'!#REF!,"")</f>
        <v>#REF!</v>
      </c>
      <c r="O521" s="138" t="e">
        <f t="shared" si="60"/>
        <v>#REF!</v>
      </c>
      <c r="P521" s="139" t="e">
        <f t="shared" si="64"/>
        <v>#REF!</v>
      </c>
      <c r="Q521" s="139" t="e">
        <f t="shared" si="65"/>
        <v>#REF!</v>
      </c>
      <c r="R521" s="170"/>
      <c r="S521" s="170"/>
    </row>
    <row r="522" spans="1:19" x14ac:dyDescent="0.25">
      <c r="A522" s="134" t="e">
        <f>'Date Calcs'!#REF!</f>
        <v>#REF!</v>
      </c>
      <c r="B522" s="135" t="e">
        <f>'Date Calcs'!#REF!</f>
        <v>#REF!</v>
      </c>
      <c r="C522" s="136" t="e">
        <f>'Date Calcs'!#REF!</f>
        <v>#REF!</v>
      </c>
      <c r="D522" s="137" t="e">
        <f t="shared" si="61"/>
        <v>#REF!</v>
      </c>
      <c r="E522" s="143">
        <v>44545</v>
      </c>
      <c r="F522" s="137" t="e">
        <f>'Date Calcs'!#REF!</f>
        <v>#REF!</v>
      </c>
      <c r="G522" s="137" t="e">
        <f>IF(VLOOKUP(A522,'Actual Dates'!A4:AE649,8,),'Actual Dates'!#REF!,"")</f>
        <v>#REF!</v>
      </c>
      <c r="H522" s="137" t="e">
        <f t="shared" si="62"/>
        <v>#REF!</v>
      </c>
      <c r="I522" s="137" t="e">
        <f>IF(VLOOKUP(A522,'Actual Dates'!A4:AE644,25,),'Actual Dates'!#REF!,"")</f>
        <v>#REF!</v>
      </c>
      <c r="J522" s="137" t="e">
        <f t="shared" si="63"/>
        <v>#REF!</v>
      </c>
      <c r="K522" s="137" t="e">
        <f>IF(VLOOKUP(A522,'Actual Dates'!A4:AE672,26,),'Actual Dates'!#REF!,"")</f>
        <v>#REF!</v>
      </c>
      <c r="L522" s="137" t="e">
        <f>IF(VLOOKUP(A522,'Actual Dates'!A4:AE672,21,),'Actual Dates'!#REF!,"")</f>
        <v>#REF!</v>
      </c>
      <c r="M522" s="137" t="e">
        <f>'Date Calcs'!#REF!</f>
        <v>#REF!</v>
      </c>
      <c r="N522" s="137" t="e">
        <f>IF(VLOOKUP(A522,'Actual Dates'!A4:AE672,27,),'Actual Dates'!#REF!,"")</f>
        <v>#REF!</v>
      </c>
      <c r="O522" s="138" t="e">
        <f t="shared" si="60"/>
        <v>#REF!</v>
      </c>
      <c r="P522" s="139" t="e">
        <f t="shared" si="64"/>
        <v>#REF!</v>
      </c>
      <c r="Q522" s="139" t="e">
        <f t="shared" si="65"/>
        <v>#REF!</v>
      </c>
      <c r="R522" s="170"/>
      <c r="S522" s="170"/>
    </row>
    <row r="523" spans="1:19" x14ac:dyDescent="0.25">
      <c r="A523" s="134" t="e">
        <f>'Date Calcs'!#REF!</f>
        <v>#REF!</v>
      </c>
      <c r="B523" s="135" t="e">
        <f>'Date Calcs'!#REF!</f>
        <v>#REF!</v>
      </c>
      <c r="C523" s="136" t="e">
        <f>'Date Calcs'!#REF!</f>
        <v>#REF!</v>
      </c>
      <c r="D523" s="137" t="e">
        <f t="shared" si="61"/>
        <v>#REF!</v>
      </c>
      <c r="E523" s="143">
        <v>44546</v>
      </c>
      <c r="F523" s="137" t="e">
        <f>'Date Calcs'!#REF!</f>
        <v>#REF!</v>
      </c>
      <c r="G523" s="137" t="e">
        <f>IF(VLOOKUP(A523,'Actual Dates'!A4:AE650,8,),'Actual Dates'!#REF!,"")</f>
        <v>#REF!</v>
      </c>
      <c r="H523" s="137" t="e">
        <f t="shared" si="62"/>
        <v>#REF!</v>
      </c>
      <c r="I523" s="137" t="e">
        <f>IF(VLOOKUP(A523,'Actual Dates'!A4:AE645,25,),'Actual Dates'!#REF!,"")</f>
        <v>#REF!</v>
      </c>
      <c r="J523" s="137" t="e">
        <f t="shared" si="63"/>
        <v>#REF!</v>
      </c>
      <c r="K523" s="137" t="e">
        <f>IF(VLOOKUP(A523,'Actual Dates'!A4:AE673,26,),'Actual Dates'!#REF!,"")</f>
        <v>#REF!</v>
      </c>
      <c r="L523" s="137" t="e">
        <f>IF(VLOOKUP(A523,'Actual Dates'!A4:AE673,21,),'Actual Dates'!#REF!,"")</f>
        <v>#REF!</v>
      </c>
      <c r="M523" s="137" t="e">
        <f>'Date Calcs'!#REF!</f>
        <v>#REF!</v>
      </c>
      <c r="N523" s="137" t="e">
        <f>IF(VLOOKUP(A523,'Actual Dates'!A4:AE673,27,),'Actual Dates'!#REF!,"")</f>
        <v>#REF!</v>
      </c>
      <c r="O523" s="138" t="e">
        <f t="shared" ref="O523:O586" si="66">N523-C523</f>
        <v>#REF!</v>
      </c>
      <c r="P523" s="139" t="e">
        <f t="shared" si="64"/>
        <v>#REF!</v>
      </c>
      <c r="Q523" s="139" t="e">
        <f t="shared" si="65"/>
        <v>#REF!</v>
      </c>
      <c r="R523" s="170"/>
      <c r="S523" s="170"/>
    </row>
    <row r="524" spans="1:19" x14ac:dyDescent="0.25">
      <c r="A524" s="134" t="e">
        <f>'Date Calcs'!#REF!</f>
        <v>#REF!</v>
      </c>
      <c r="B524" s="135" t="e">
        <f>'Date Calcs'!#REF!</f>
        <v>#REF!</v>
      </c>
      <c r="C524" s="136" t="e">
        <f>'Date Calcs'!#REF!</f>
        <v>#REF!</v>
      </c>
      <c r="D524" s="137" t="e">
        <f t="shared" si="61"/>
        <v>#REF!</v>
      </c>
      <c r="E524" s="143">
        <v>44547</v>
      </c>
      <c r="F524" s="137" t="e">
        <f>'Date Calcs'!#REF!</f>
        <v>#REF!</v>
      </c>
      <c r="G524" s="137" t="e">
        <f>IF(VLOOKUP(A524,'Actual Dates'!A4:AE651,8,),'Actual Dates'!#REF!,"")</f>
        <v>#REF!</v>
      </c>
      <c r="H524" s="137" t="e">
        <f t="shared" si="62"/>
        <v>#REF!</v>
      </c>
      <c r="I524" s="137" t="e">
        <f>IF(VLOOKUP(A524,'Actual Dates'!A4:AE646,25,),'Actual Dates'!#REF!,"")</f>
        <v>#REF!</v>
      </c>
      <c r="J524" s="137" t="e">
        <f t="shared" si="63"/>
        <v>#REF!</v>
      </c>
      <c r="K524" s="137" t="e">
        <f>IF(VLOOKUP(A524,'Actual Dates'!A4:AE674,26,),'Actual Dates'!#REF!,"")</f>
        <v>#REF!</v>
      </c>
      <c r="L524" s="137" t="e">
        <f>IF(VLOOKUP(A524,'Actual Dates'!A4:AE674,21,),'Actual Dates'!#REF!,"")</f>
        <v>#REF!</v>
      </c>
      <c r="M524" s="137" t="e">
        <f>'Date Calcs'!#REF!</f>
        <v>#REF!</v>
      </c>
      <c r="N524" s="137" t="e">
        <f>IF(VLOOKUP(A524,'Actual Dates'!A4:AE674,27,),'Actual Dates'!#REF!,"")</f>
        <v>#REF!</v>
      </c>
      <c r="O524" s="138" t="e">
        <f t="shared" si="66"/>
        <v>#REF!</v>
      </c>
      <c r="P524" s="139" t="e">
        <f t="shared" si="64"/>
        <v>#REF!</v>
      </c>
      <c r="Q524" s="139" t="e">
        <f t="shared" si="65"/>
        <v>#REF!</v>
      </c>
      <c r="R524" s="170"/>
      <c r="S524" s="170"/>
    </row>
    <row r="525" spans="1:19" x14ac:dyDescent="0.25">
      <c r="A525" s="134" t="e">
        <f>'Date Calcs'!#REF!</f>
        <v>#REF!</v>
      </c>
      <c r="B525" s="135" t="e">
        <f>'Date Calcs'!#REF!</f>
        <v>#REF!</v>
      </c>
      <c r="C525" s="136" t="e">
        <f>'Date Calcs'!#REF!</f>
        <v>#REF!</v>
      </c>
      <c r="D525" s="137" t="e">
        <f t="shared" si="61"/>
        <v>#REF!</v>
      </c>
      <c r="E525" s="143">
        <v>44548</v>
      </c>
      <c r="F525" s="137" t="e">
        <f>'Date Calcs'!#REF!</f>
        <v>#REF!</v>
      </c>
      <c r="G525" s="137" t="e">
        <f>IF(VLOOKUP(A525,'Actual Dates'!A4:AE652,8,),'Actual Dates'!#REF!,"")</f>
        <v>#REF!</v>
      </c>
      <c r="H525" s="137" t="e">
        <f t="shared" si="62"/>
        <v>#REF!</v>
      </c>
      <c r="I525" s="137" t="e">
        <f>IF(VLOOKUP(A525,'Actual Dates'!A4:AE647,25,),'Actual Dates'!#REF!,"")</f>
        <v>#REF!</v>
      </c>
      <c r="J525" s="137" t="e">
        <f t="shared" si="63"/>
        <v>#REF!</v>
      </c>
      <c r="K525" s="137" t="e">
        <f>IF(VLOOKUP(A525,'Actual Dates'!A4:AE675,26,),'Actual Dates'!#REF!,"")</f>
        <v>#REF!</v>
      </c>
      <c r="L525" s="137" t="e">
        <f>IF(VLOOKUP(A525,'Actual Dates'!A4:AE675,21,),'Actual Dates'!#REF!,"")</f>
        <v>#REF!</v>
      </c>
      <c r="M525" s="137" t="e">
        <f>'Date Calcs'!#REF!</f>
        <v>#REF!</v>
      </c>
      <c r="N525" s="137" t="e">
        <f>IF(VLOOKUP(A525,'Actual Dates'!A4:AE675,27,),'Actual Dates'!#REF!,"")</f>
        <v>#REF!</v>
      </c>
      <c r="O525" s="138" t="e">
        <f t="shared" si="66"/>
        <v>#REF!</v>
      </c>
      <c r="P525" s="139" t="e">
        <f t="shared" si="64"/>
        <v>#REF!</v>
      </c>
      <c r="Q525" s="139" t="e">
        <f t="shared" si="65"/>
        <v>#REF!</v>
      </c>
      <c r="R525" s="170"/>
      <c r="S525" s="170"/>
    </row>
    <row r="526" spans="1:19" x14ac:dyDescent="0.25">
      <c r="A526" s="134" t="e">
        <f>'Date Calcs'!#REF!</f>
        <v>#REF!</v>
      </c>
      <c r="B526" s="135" t="e">
        <f>'Date Calcs'!#REF!</f>
        <v>#REF!</v>
      </c>
      <c r="C526" s="136" t="e">
        <f>'Date Calcs'!#REF!</f>
        <v>#REF!</v>
      </c>
      <c r="D526" s="137" t="e">
        <f t="shared" si="61"/>
        <v>#REF!</v>
      </c>
      <c r="E526" s="143">
        <v>44549</v>
      </c>
      <c r="F526" s="137" t="e">
        <f>'Date Calcs'!#REF!</f>
        <v>#REF!</v>
      </c>
      <c r="G526" s="137" t="e">
        <f>IF(VLOOKUP(A526,'Actual Dates'!A4:AE653,8,),'Actual Dates'!#REF!,"")</f>
        <v>#REF!</v>
      </c>
      <c r="H526" s="137" t="e">
        <f t="shared" si="62"/>
        <v>#REF!</v>
      </c>
      <c r="I526" s="137" t="e">
        <f>IF(VLOOKUP(A526,'Actual Dates'!A4:AE648,25,),'Actual Dates'!#REF!,"")</f>
        <v>#REF!</v>
      </c>
      <c r="J526" s="137" t="e">
        <f t="shared" si="63"/>
        <v>#REF!</v>
      </c>
      <c r="K526" s="137" t="e">
        <f>IF(VLOOKUP(A526,'Actual Dates'!A4:AE676,26,),'Actual Dates'!#REF!,"")</f>
        <v>#REF!</v>
      </c>
      <c r="L526" s="137" t="e">
        <f>IF(VLOOKUP(A526,'Actual Dates'!A4:AE676,21,),'Actual Dates'!#REF!,"")</f>
        <v>#REF!</v>
      </c>
      <c r="M526" s="137" t="e">
        <f>'Date Calcs'!#REF!</f>
        <v>#REF!</v>
      </c>
      <c r="N526" s="137" t="e">
        <f>IF(VLOOKUP(A526,'Actual Dates'!A4:AE676,27,),'Actual Dates'!#REF!,"")</f>
        <v>#REF!</v>
      </c>
      <c r="O526" s="138" t="e">
        <f t="shared" si="66"/>
        <v>#REF!</v>
      </c>
      <c r="P526" s="139" t="e">
        <f t="shared" si="64"/>
        <v>#REF!</v>
      </c>
      <c r="Q526" s="139" t="e">
        <f t="shared" si="65"/>
        <v>#REF!</v>
      </c>
      <c r="R526" s="170"/>
      <c r="S526" s="170"/>
    </row>
    <row r="527" spans="1:19" x14ac:dyDescent="0.25">
      <c r="A527" s="134" t="e">
        <f>'Date Calcs'!#REF!</f>
        <v>#REF!</v>
      </c>
      <c r="B527" s="135" t="e">
        <f>'Date Calcs'!#REF!</f>
        <v>#REF!</v>
      </c>
      <c r="C527" s="136" t="e">
        <f>'Date Calcs'!#REF!</f>
        <v>#REF!</v>
      </c>
      <c r="D527" s="137" t="e">
        <f t="shared" si="61"/>
        <v>#REF!</v>
      </c>
      <c r="E527" s="143">
        <v>44550</v>
      </c>
      <c r="F527" s="137" t="e">
        <f>'Date Calcs'!#REF!</f>
        <v>#REF!</v>
      </c>
      <c r="G527" s="137" t="e">
        <f>IF(VLOOKUP(A527,'Actual Dates'!A4:AE654,8,),'Actual Dates'!#REF!,"")</f>
        <v>#REF!</v>
      </c>
      <c r="H527" s="137" t="e">
        <f t="shared" si="62"/>
        <v>#REF!</v>
      </c>
      <c r="I527" s="137" t="e">
        <f>IF(VLOOKUP(A527,'Actual Dates'!A4:AE649,25,),'Actual Dates'!#REF!,"")</f>
        <v>#REF!</v>
      </c>
      <c r="J527" s="137" t="e">
        <f t="shared" si="63"/>
        <v>#REF!</v>
      </c>
      <c r="K527" s="137" t="e">
        <f>IF(VLOOKUP(A527,'Actual Dates'!A4:AE677,26,),'Actual Dates'!#REF!,"")</f>
        <v>#REF!</v>
      </c>
      <c r="L527" s="137" t="e">
        <f>IF(VLOOKUP(A527,'Actual Dates'!A4:AE677,21,),'Actual Dates'!#REF!,"")</f>
        <v>#REF!</v>
      </c>
      <c r="M527" s="137" t="e">
        <f>'Date Calcs'!#REF!</f>
        <v>#REF!</v>
      </c>
      <c r="N527" s="137" t="e">
        <f>IF(VLOOKUP(A527,'Actual Dates'!A4:AE677,27,),'Actual Dates'!#REF!,"")</f>
        <v>#REF!</v>
      </c>
      <c r="O527" s="138" t="e">
        <f t="shared" si="66"/>
        <v>#REF!</v>
      </c>
      <c r="P527" s="139" t="e">
        <f t="shared" si="64"/>
        <v>#REF!</v>
      </c>
      <c r="Q527" s="139" t="e">
        <f t="shared" si="65"/>
        <v>#REF!</v>
      </c>
      <c r="R527" s="170"/>
      <c r="S527" s="170"/>
    </row>
    <row r="528" spans="1:19" x14ac:dyDescent="0.25">
      <c r="A528" s="134" t="e">
        <f>'Date Calcs'!#REF!</f>
        <v>#REF!</v>
      </c>
      <c r="B528" s="135" t="e">
        <f>'Date Calcs'!#REF!</f>
        <v>#REF!</v>
      </c>
      <c r="C528" s="136" t="e">
        <f>'Date Calcs'!#REF!</f>
        <v>#REF!</v>
      </c>
      <c r="D528" s="137" t="e">
        <f t="shared" si="61"/>
        <v>#REF!</v>
      </c>
      <c r="E528" s="143">
        <v>44551</v>
      </c>
      <c r="F528" s="137" t="e">
        <f>'Date Calcs'!#REF!</f>
        <v>#REF!</v>
      </c>
      <c r="G528" s="137" t="e">
        <f>IF(VLOOKUP(A528,'Actual Dates'!A4:AE655,8,),'Actual Dates'!#REF!,"")</f>
        <v>#REF!</v>
      </c>
      <c r="H528" s="137" t="e">
        <f t="shared" si="62"/>
        <v>#REF!</v>
      </c>
      <c r="I528" s="137" t="e">
        <f>IF(VLOOKUP(A528,'Actual Dates'!A4:AE650,25,),'Actual Dates'!#REF!,"")</f>
        <v>#REF!</v>
      </c>
      <c r="J528" s="137" t="e">
        <f t="shared" si="63"/>
        <v>#REF!</v>
      </c>
      <c r="K528" s="137" t="e">
        <f>IF(VLOOKUP(A528,'Actual Dates'!A4:AE678,26,),'Actual Dates'!#REF!,"")</f>
        <v>#REF!</v>
      </c>
      <c r="L528" s="137" t="e">
        <f>IF(VLOOKUP(A528,'Actual Dates'!A4:AE678,21,),'Actual Dates'!#REF!,"")</f>
        <v>#REF!</v>
      </c>
      <c r="M528" s="137" t="e">
        <f>'Date Calcs'!#REF!</f>
        <v>#REF!</v>
      </c>
      <c r="N528" s="137" t="e">
        <f>IF(VLOOKUP(A528,'Actual Dates'!A4:AE678,27,),'Actual Dates'!#REF!,"")</f>
        <v>#REF!</v>
      </c>
      <c r="O528" s="138" t="e">
        <f t="shared" si="66"/>
        <v>#REF!</v>
      </c>
      <c r="P528" s="139" t="e">
        <f t="shared" si="64"/>
        <v>#REF!</v>
      </c>
      <c r="Q528" s="139" t="e">
        <f t="shared" si="65"/>
        <v>#REF!</v>
      </c>
      <c r="R528" s="170"/>
      <c r="S528" s="170"/>
    </row>
    <row r="529" spans="1:19" x14ac:dyDescent="0.25">
      <c r="A529" s="134" t="e">
        <f>'Date Calcs'!#REF!</f>
        <v>#REF!</v>
      </c>
      <c r="B529" s="135" t="e">
        <f>'Date Calcs'!#REF!</f>
        <v>#REF!</v>
      </c>
      <c r="C529" s="136" t="e">
        <f>'Date Calcs'!#REF!</f>
        <v>#REF!</v>
      </c>
      <c r="D529" s="137" t="e">
        <f t="shared" si="61"/>
        <v>#REF!</v>
      </c>
      <c r="E529" s="143">
        <v>44552</v>
      </c>
      <c r="F529" s="137" t="e">
        <f>'Date Calcs'!#REF!</f>
        <v>#REF!</v>
      </c>
      <c r="G529" s="137" t="e">
        <f>IF(VLOOKUP(A529,'Actual Dates'!A4:AE656,8,),'Actual Dates'!#REF!,"")</f>
        <v>#REF!</v>
      </c>
      <c r="H529" s="137" t="e">
        <f t="shared" si="62"/>
        <v>#REF!</v>
      </c>
      <c r="I529" s="137" t="e">
        <f>IF(VLOOKUP(A529,'Actual Dates'!A4:AE651,25,),'Actual Dates'!#REF!,"")</f>
        <v>#REF!</v>
      </c>
      <c r="J529" s="137" t="e">
        <f t="shared" si="63"/>
        <v>#REF!</v>
      </c>
      <c r="K529" s="137" t="e">
        <f>IF(VLOOKUP(A529,'Actual Dates'!A4:AE679,26,),'Actual Dates'!#REF!,"")</f>
        <v>#REF!</v>
      </c>
      <c r="L529" s="137" t="e">
        <f>IF(VLOOKUP(A529,'Actual Dates'!A4:AE679,21,),'Actual Dates'!#REF!,"")</f>
        <v>#REF!</v>
      </c>
      <c r="M529" s="137" t="e">
        <f>'Date Calcs'!#REF!</f>
        <v>#REF!</v>
      </c>
      <c r="N529" s="137" t="e">
        <f>IF(VLOOKUP(A529,'Actual Dates'!A4:AE679,27,),'Actual Dates'!#REF!,"")</f>
        <v>#REF!</v>
      </c>
      <c r="O529" s="138" t="e">
        <f t="shared" si="66"/>
        <v>#REF!</v>
      </c>
      <c r="P529" s="139" t="e">
        <f t="shared" si="64"/>
        <v>#REF!</v>
      </c>
      <c r="Q529" s="139" t="e">
        <f t="shared" si="65"/>
        <v>#REF!</v>
      </c>
      <c r="R529" s="170"/>
      <c r="S529" s="170"/>
    </row>
    <row r="530" spans="1:19" x14ac:dyDescent="0.25">
      <c r="A530" s="134" t="e">
        <f>'Date Calcs'!#REF!</f>
        <v>#REF!</v>
      </c>
      <c r="B530" s="135" t="e">
        <f>'Date Calcs'!#REF!</f>
        <v>#REF!</v>
      </c>
      <c r="C530" s="136" t="e">
        <f>'Date Calcs'!#REF!</f>
        <v>#REF!</v>
      </c>
      <c r="D530" s="137" t="e">
        <f t="shared" si="61"/>
        <v>#REF!</v>
      </c>
      <c r="E530" s="143">
        <v>44553</v>
      </c>
      <c r="F530" s="137" t="e">
        <f>'Date Calcs'!#REF!</f>
        <v>#REF!</v>
      </c>
      <c r="G530" s="137" t="e">
        <f>IF(VLOOKUP(A530,'Actual Dates'!A4:AE657,8,),'Actual Dates'!#REF!,"")</f>
        <v>#REF!</v>
      </c>
      <c r="H530" s="137" t="e">
        <f t="shared" si="62"/>
        <v>#REF!</v>
      </c>
      <c r="I530" s="137" t="e">
        <f>IF(VLOOKUP(A530,'Actual Dates'!A4:AE652,25,),'Actual Dates'!#REF!,"")</f>
        <v>#REF!</v>
      </c>
      <c r="J530" s="137" t="e">
        <f t="shared" si="63"/>
        <v>#REF!</v>
      </c>
      <c r="K530" s="137" t="e">
        <f>IF(VLOOKUP(A530,'Actual Dates'!A4:AE680,26,),'Actual Dates'!#REF!,"")</f>
        <v>#REF!</v>
      </c>
      <c r="L530" s="137" t="e">
        <f>IF(VLOOKUP(A530,'Actual Dates'!A4:AE680,21,),'Actual Dates'!#REF!,"")</f>
        <v>#REF!</v>
      </c>
      <c r="M530" s="137" t="e">
        <f>'Date Calcs'!#REF!</f>
        <v>#REF!</v>
      </c>
      <c r="N530" s="137" t="e">
        <f>IF(VLOOKUP(A530,'Actual Dates'!A4:AE680,27,),'Actual Dates'!#REF!,"")</f>
        <v>#REF!</v>
      </c>
      <c r="O530" s="138" t="e">
        <f t="shared" si="66"/>
        <v>#REF!</v>
      </c>
      <c r="P530" s="139" t="e">
        <f t="shared" si="64"/>
        <v>#REF!</v>
      </c>
      <c r="Q530" s="139" t="e">
        <f t="shared" si="65"/>
        <v>#REF!</v>
      </c>
      <c r="R530" s="170"/>
      <c r="S530" s="170"/>
    </row>
    <row r="531" spans="1:19" x14ac:dyDescent="0.25">
      <c r="A531" s="134" t="e">
        <f>'Date Calcs'!#REF!</f>
        <v>#REF!</v>
      </c>
      <c r="B531" s="135" t="e">
        <f>'Date Calcs'!#REF!</f>
        <v>#REF!</v>
      </c>
      <c r="C531" s="136" t="e">
        <f>'Date Calcs'!#REF!</f>
        <v>#REF!</v>
      </c>
      <c r="D531" s="137" t="e">
        <f t="shared" si="61"/>
        <v>#REF!</v>
      </c>
      <c r="E531" s="143">
        <v>44554</v>
      </c>
      <c r="F531" s="137" t="e">
        <f>'Date Calcs'!#REF!</f>
        <v>#REF!</v>
      </c>
      <c r="G531" s="137" t="e">
        <f>IF(VLOOKUP(A531,'Actual Dates'!A4:AE658,8,),'Actual Dates'!#REF!,"")</f>
        <v>#REF!</v>
      </c>
      <c r="H531" s="137" t="e">
        <f t="shared" si="62"/>
        <v>#REF!</v>
      </c>
      <c r="I531" s="137" t="e">
        <f>IF(VLOOKUP(A531,'Actual Dates'!A4:AE653,25,),'Actual Dates'!#REF!,"")</f>
        <v>#REF!</v>
      </c>
      <c r="J531" s="137" t="e">
        <f t="shared" si="63"/>
        <v>#REF!</v>
      </c>
      <c r="K531" s="137" t="e">
        <f>IF(VLOOKUP(A531,'Actual Dates'!A4:AE681,26,),'Actual Dates'!#REF!,"")</f>
        <v>#REF!</v>
      </c>
      <c r="L531" s="137" t="e">
        <f>IF(VLOOKUP(A531,'Actual Dates'!A4:AE681,21,),'Actual Dates'!#REF!,"")</f>
        <v>#REF!</v>
      </c>
      <c r="M531" s="137" t="e">
        <f>'Date Calcs'!#REF!</f>
        <v>#REF!</v>
      </c>
      <c r="N531" s="137" t="e">
        <f>IF(VLOOKUP(A531,'Actual Dates'!A4:AE681,27,),'Actual Dates'!#REF!,"")</f>
        <v>#REF!</v>
      </c>
      <c r="O531" s="138" t="e">
        <f t="shared" si="66"/>
        <v>#REF!</v>
      </c>
      <c r="P531" s="139" t="e">
        <f t="shared" si="64"/>
        <v>#REF!</v>
      </c>
      <c r="Q531" s="139" t="e">
        <f t="shared" si="65"/>
        <v>#REF!</v>
      </c>
      <c r="R531" s="170"/>
      <c r="S531" s="170"/>
    </row>
    <row r="532" spans="1:19" x14ac:dyDescent="0.25">
      <c r="A532" s="134" t="e">
        <f>'Date Calcs'!#REF!</f>
        <v>#REF!</v>
      </c>
      <c r="B532" s="135" t="e">
        <f>'Date Calcs'!#REF!</f>
        <v>#REF!</v>
      </c>
      <c r="C532" s="136" t="e">
        <f>'Date Calcs'!#REF!</f>
        <v>#REF!</v>
      </c>
      <c r="D532" s="137" t="e">
        <f t="shared" si="61"/>
        <v>#REF!</v>
      </c>
      <c r="E532" s="143">
        <v>44555</v>
      </c>
      <c r="F532" s="137" t="e">
        <f>'Date Calcs'!#REF!</f>
        <v>#REF!</v>
      </c>
      <c r="G532" s="137" t="e">
        <f>IF(VLOOKUP(A532,'Actual Dates'!A4:AE659,8,),'Actual Dates'!#REF!,"")</f>
        <v>#REF!</v>
      </c>
      <c r="H532" s="137" t="e">
        <f t="shared" si="62"/>
        <v>#REF!</v>
      </c>
      <c r="I532" s="137" t="e">
        <f>IF(VLOOKUP(A532,'Actual Dates'!A4:AE654,25,),'Actual Dates'!#REF!,"")</f>
        <v>#REF!</v>
      </c>
      <c r="J532" s="137" t="e">
        <f t="shared" si="63"/>
        <v>#REF!</v>
      </c>
      <c r="K532" s="137" t="e">
        <f>IF(VLOOKUP(A532,'Actual Dates'!A4:AE682,26,),'Actual Dates'!#REF!,"")</f>
        <v>#REF!</v>
      </c>
      <c r="L532" s="137" t="e">
        <f>IF(VLOOKUP(A532,'Actual Dates'!A4:AE682,21,),'Actual Dates'!#REF!,"")</f>
        <v>#REF!</v>
      </c>
      <c r="M532" s="137" t="e">
        <f>'Date Calcs'!#REF!</f>
        <v>#REF!</v>
      </c>
      <c r="N532" s="137" t="e">
        <f>IF(VLOOKUP(A532,'Actual Dates'!A4:AE682,27,),'Actual Dates'!#REF!,"")</f>
        <v>#REF!</v>
      </c>
      <c r="O532" s="138" t="e">
        <f t="shared" si="66"/>
        <v>#REF!</v>
      </c>
      <c r="P532" s="139" t="e">
        <f t="shared" si="64"/>
        <v>#REF!</v>
      </c>
      <c r="Q532" s="139" t="e">
        <f t="shared" si="65"/>
        <v>#REF!</v>
      </c>
      <c r="R532" s="170"/>
      <c r="S532" s="170"/>
    </row>
    <row r="533" spans="1:19" x14ac:dyDescent="0.25">
      <c r="A533" s="134" t="e">
        <f>'Date Calcs'!#REF!</f>
        <v>#REF!</v>
      </c>
      <c r="B533" s="135" t="e">
        <f>'Date Calcs'!#REF!</f>
        <v>#REF!</v>
      </c>
      <c r="C533" s="136" t="e">
        <f>'Date Calcs'!#REF!</f>
        <v>#REF!</v>
      </c>
      <c r="D533" s="137" t="e">
        <f t="shared" si="61"/>
        <v>#REF!</v>
      </c>
      <c r="E533" s="143">
        <v>44556</v>
      </c>
      <c r="F533" s="137" t="e">
        <f>'Date Calcs'!#REF!</f>
        <v>#REF!</v>
      </c>
      <c r="G533" s="137" t="e">
        <f>IF(VLOOKUP(A533,'Actual Dates'!A4:AE660,8,),'Actual Dates'!#REF!,"")</f>
        <v>#REF!</v>
      </c>
      <c r="H533" s="137" t="e">
        <f t="shared" si="62"/>
        <v>#REF!</v>
      </c>
      <c r="I533" s="137" t="e">
        <f>IF(VLOOKUP(A533,'Actual Dates'!A4:AE655,25,),'Actual Dates'!#REF!,"")</f>
        <v>#REF!</v>
      </c>
      <c r="J533" s="137" t="e">
        <f t="shared" si="63"/>
        <v>#REF!</v>
      </c>
      <c r="K533" s="137" t="e">
        <f>IF(VLOOKUP(A533,'Actual Dates'!A4:AE683,26,),'Actual Dates'!#REF!,"")</f>
        <v>#REF!</v>
      </c>
      <c r="L533" s="137" t="e">
        <f>IF(VLOOKUP(A533,'Actual Dates'!A4:AE683,21,),'Actual Dates'!#REF!,"")</f>
        <v>#REF!</v>
      </c>
      <c r="M533" s="137" t="e">
        <f>'Date Calcs'!#REF!</f>
        <v>#REF!</v>
      </c>
      <c r="N533" s="137" t="e">
        <f>IF(VLOOKUP(A533,'Actual Dates'!A4:AE683,27,),'Actual Dates'!#REF!,"")</f>
        <v>#REF!</v>
      </c>
      <c r="O533" s="138" t="e">
        <f t="shared" si="66"/>
        <v>#REF!</v>
      </c>
      <c r="P533" s="139" t="e">
        <f t="shared" si="64"/>
        <v>#REF!</v>
      </c>
      <c r="Q533" s="139" t="e">
        <f t="shared" si="65"/>
        <v>#REF!</v>
      </c>
      <c r="R533" s="170"/>
      <c r="S533" s="170"/>
    </row>
    <row r="534" spans="1:19" x14ac:dyDescent="0.25">
      <c r="A534" s="134" t="e">
        <f>'Date Calcs'!#REF!</f>
        <v>#REF!</v>
      </c>
      <c r="B534" s="135" t="e">
        <f>'Date Calcs'!#REF!</f>
        <v>#REF!</v>
      </c>
      <c r="C534" s="136" t="e">
        <f>'Date Calcs'!#REF!</f>
        <v>#REF!</v>
      </c>
      <c r="D534" s="137" t="e">
        <f t="shared" si="61"/>
        <v>#REF!</v>
      </c>
      <c r="E534" s="143">
        <v>44557</v>
      </c>
      <c r="F534" s="137" t="e">
        <f>'Date Calcs'!#REF!</f>
        <v>#REF!</v>
      </c>
      <c r="G534" s="137" t="e">
        <f>IF(VLOOKUP(A534,'Actual Dates'!A4:AE661,8,),'Actual Dates'!#REF!,"")</f>
        <v>#REF!</v>
      </c>
      <c r="H534" s="137" t="e">
        <f t="shared" si="62"/>
        <v>#REF!</v>
      </c>
      <c r="I534" s="137" t="e">
        <f>IF(VLOOKUP(A534,'Actual Dates'!A4:AE656,25,),'Actual Dates'!#REF!,"")</f>
        <v>#REF!</v>
      </c>
      <c r="J534" s="137" t="e">
        <f t="shared" si="63"/>
        <v>#REF!</v>
      </c>
      <c r="K534" s="137" t="e">
        <f>IF(VLOOKUP(A534,'Actual Dates'!A4:AE684,26,),'Actual Dates'!#REF!,"")</f>
        <v>#REF!</v>
      </c>
      <c r="L534" s="137" t="e">
        <f>IF(VLOOKUP(A534,'Actual Dates'!A4:AE684,21,),'Actual Dates'!#REF!,"")</f>
        <v>#REF!</v>
      </c>
      <c r="M534" s="137" t="e">
        <f>'Date Calcs'!#REF!</f>
        <v>#REF!</v>
      </c>
      <c r="N534" s="137" t="e">
        <f>IF(VLOOKUP(A534,'Actual Dates'!A4:AE684,27,),'Actual Dates'!#REF!,"")</f>
        <v>#REF!</v>
      </c>
      <c r="O534" s="138" t="e">
        <f t="shared" si="66"/>
        <v>#REF!</v>
      </c>
      <c r="P534" s="139" t="e">
        <f t="shared" si="64"/>
        <v>#REF!</v>
      </c>
      <c r="Q534" s="139" t="e">
        <f t="shared" si="65"/>
        <v>#REF!</v>
      </c>
      <c r="R534" s="170"/>
      <c r="S534" s="170"/>
    </row>
    <row r="535" spans="1:19" x14ac:dyDescent="0.25">
      <c r="A535" s="134" t="e">
        <f>'Date Calcs'!#REF!</f>
        <v>#REF!</v>
      </c>
      <c r="B535" s="135" t="e">
        <f>'Date Calcs'!#REF!</f>
        <v>#REF!</v>
      </c>
      <c r="C535" s="136" t="e">
        <f>'Date Calcs'!#REF!</f>
        <v>#REF!</v>
      </c>
      <c r="D535" s="137" t="e">
        <f t="shared" si="61"/>
        <v>#REF!</v>
      </c>
      <c r="E535" s="143">
        <v>44558</v>
      </c>
      <c r="F535" s="137" t="e">
        <f>'Date Calcs'!#REF!</f>
        <v>#REF!</v>
      </c>
      <c r="G535" s="137" t="e">
        <f>IF(VLOOKUP(A535,'Actual Dates'!A4:AE662,8,),'Actual Dates'!#REF!,"")</f>
        <v>#REF!</v>
      </c>
      <c r="H535" s="137" t="e">
        <f t="shared" si="62"/>
        <v>#REF!</v>
      </c>
      <c r="I535" s="137" t="e">
        <f>IF(VLOOKUP(A535,'Actual Dates'!A4:AE657,25,),'Actual Dates'!#REF!,"")</f>
        <v>#REF!</v>
      </c>
      <c r="J535" s="137" t="e">
        <f t="shared" si="63"/>
        <v>#REF!</v>
      </c>
      <c r="K535" s="137" t="e">
        <f>IF(VLOOKUP(A535,'Actual Dates'!A4:AE685,26,),'Actual Dates'!#REF!,"")</f>
        <v>#REF!</v>
      </c>
      <c r="L535" s="137" t="e">
        <f>IF(VLOOKUP(A535,'Actual Dates'!A4:AE685,21,),'Actual Dates'!#REF!,"")</f>
        <v>#REF!</v>
      </c>
      <c r="M535" s="137" t="e">
        <f>'Date Calcs'!#REF!</f>
        <v>#REF!</v>
      </c>
      <c r="N535" s="137" t="e">
        <f>IF(VLOOKUP(A535,'Actual Dates'!A4:AE685,27,),'Actual Dates'!#REF!,"")</f>
        <v>#REF!</v>
      </c>
      <c r="O535" s="138" t="e">
        <f t="shared" si="66"/>
        <v>#REF!</v>
      </c>
      <c r="P535" s="139" t="e">
        <f t="shared" si="64"/>
        <v>#REF!</v>
      </c>
      <c r="Q535" s="139" t="e">
        <f t="shared" si="65"/>
        <v>#REF!</v>
      </c>
      <c r="R535" s="170"/>
      <c r="S535" s="170"/>
    </row>
    <row r="536" spans="1:19" x14ac:dyDescent="0.25">
      <c r="A536" s="134" t="e">
        <f>'Date Calcs'!#REF!</f>
        <v>#REF!</v>
      </c>
      <c r="B536" s="135" t="e">
        <f>'Date Calcs'!#REF!</f>
        <v>#REF!</v>
      </c>
      <c r="C536" s="136" t="e">
        <f>'Date Calcs'!#REF!</f>
        <v>#REF!</v>
      </c>
      <c r="D536" s="137" t="e">
        <f t="shared" ref="D536:D599" si="67">WORKDAY(F536,-1,)</f>
        <v>#REF!</v>
      </c>
      <c r="E536" s="143">
        <v>44559</v>
      </c>
      <c r="F536" s="137" t="e">
        <f>'Date Calcs'!#REF!</f>
        <v>#REF!</v>
      </c>
      <c r="G536" s="137" t="e">
        <f>IF(VLOOKUP(A536,'Actual Dates'!A4:AE663,8,),'Actual Dates'!#REF!,"")</f>
        <v>#REF!</v>
      </c>
      <c r="H536" s="137" t="e">
        <f t="shared" si="62"/>
        <v>#REF!</v>
      </c>
      <c r="I536" s="137" t="e">
        <f>IF(VLOOKUP(A536,'Actual Dates'!A4:AE658,25,),'Actual Dates'!#REF!,"")</f>
        <v>#REF!</v>
      </c>
      <c r="J536" s="137" t="e">
        <f t="shared" si="63"/>
        <v>#REF!</v>
      </c>
      <c r="K536" s="137" t="e">
        <f>IF(VLOOKUP(A536,'Actual Dates'!A4:AE686,26,),'Actual Dates'!#REF!,"")</f>
        <v>#REF!</v>
      </c>
      <c r="L536" s="137" t="e">
        <f>IF(VLOOKUP(A536,'Actual Dates'!A4:AE686,21,),'Actual Dates'!#REF!,"")</f>
        <v>#REF!</v>
      </c>
      <c r="M536" s="137" t="e">
        <f>'Date Calcs'!#REF!</f>
        <v>#REF!</v>
      </c>
      <c r="N536" s="137" t="e">
        <f>IF(VLOOKUP(A536,'Actual Dates'!A4:AE686,27,),'Actual Dates'!#REF!,"")</f>
        <v>#REF!</v>
      </c>
      <c r="O536" s="138" t="e">
        <f t="shared" si="66"/>
        <v>#REF!</v>
      </c>
      <c r="P536" s="139" t="e">
        <f t="shared" si="64"/>
        <v>#REF!</v>
      </c>
      <c r="Q536" s="139" t="e">
        <f t="shared" si="65"/>
        <v>#REF!</v>
      </c>
      <c r="R536" s="170"/>
      <c r="S536" s="170"/>
    </row>
    <row r="537" spans="1:19" x14ac:dyDescent="0.25">
      <c r="A537" s="134" t="e">
        <f>'Date Calcs'!#REF!</f>
        <v>#REF!</v>
      </c>
      <c r="B537" s="135" t="e">
        <f>'Date Calcs'!#REF!</f>
        <v>#REF!</v>
      </c>
      <c r="C537" s="136" t="e">
        <f>'Date Calcs'!#REF!</f>
        <v>#REF!</v>
      </c>
      <c r="D537" s="137" t="e">
        <f t="shared" si="67"/>
        <v>#REF!</v>
      </c>
      <c r="E537" s="143">
        <v>44560</v>
      </c>
      <c r="F537" s="137" t="e">
        <f>'Date Calcs'!#REF!</f>
        <v>#REF!</v>
      </c>
      <c r="G537" s="137" t="e">
        <f>IF(VLOOKUP(A537,'Actual Dates'!A4:AE664,8,),'Actual Dates'!#REF!,"")</f>
        <v>#REF!</v>
      </c>
      <c r="H537" s="137" t="e">
        <f t="shared" si="62"/>
        <v>#REF!</v>
      </c>
      <c r="I537" s="137" t="e">
        <f>IF(VLOOKUP(A537,'Actual Dates'!A4:AE659,25,),'Actual Dates'!#REF!,"")</f>
        <v>#REF!</v>
      </c>
      <c r="J537" s="137" t="e">
        <f t="shared" si="63"/>
        <v>#REF!</v>
      </c>
      <c r="K537" s="137" t="e">
        <f>IF(VLOOKUP(A537,'Actual Dates'!A4:AE687,26,),'Actual Dates'!#REF!,"")</f>
        <v>#REF!</v>
      </c>
      <c r="L537" s="137" t="e">
        <f>IF(VLOOKUP(A537,'Actual Dates'!A4:AE687,21,),'Actual Dates'!#REF!,"")</f>
        <v>#REF!</v>
      </c>
      <c r="M537" s="137" t="e">
        <f>'Date Calcs'!#REF!</f>
        <v>#REF!</v>
      </c>
      <c r="N537" s="137" t="e">
        <f>IF(VLOOKUP(A537,'Actual Dates'!A4:AE687,27,),'Actual Dates'!#REF!,"")</f>
        <v>#REF!</v>
      </c>
      <c r="O537" s="138" t="e">
        <f t="shared" si="66"/>
        <v>#REF!</v>
      </c>
      <c r="P537" s="139" t="e">
        <f t="shared" si="64"/>
        <v>#REF!</v>
      </c>
      <c r="Q537" s="139" t="e">
        <f t="shared" si="65"/>
        <v>#REF!</v>
      </c>
      <c r="R537" s="170"/>
      <c r="S537" s="170"/>
    </row>
    <row r="538" spans="1:19" x14ac:dyDescent="0.25">
      <c r="A538" s="134" t="e">
        <f>'Date Calcs'!#REF!</f>
        <v>#REF!</v>
      </c>
      <c r="B538" s="135" t="e">
        <f>'Date Calcs'!#REF!</f>
        <v>#REF!</v>
      </c>
      <c r="C538" s="136" t="e">
        <f>'Date Calcs'!#REF!</f>
        <v>#REF!</v>
      </c>
      <c r="D538" s="137" t="e">
        <f t="shared" si="67"/>
        <v>#REF!</v>
      </c>
      <c r="E538" s="143">
        <v>44561</v>
      </c>
      <c r="F538" s="137" t="e">
        <f>'Date Calcs'!#REF!</f>
        <v>#REF!</v>
      </c>
      <c r="G538" s="137" t="e">
        <f>IF(VLOOKUP(A538,'Actual Dates'!A4:AE665,8,),'Actual Dates'!#REF!,"")</f>
        <v>#REF!</v>
      </c>
      <c r="H538" s="137" t="e">
        <f t="shared" si="62"/>
        <v>#REF!</v>
      </c>
      <c r="I538" s="137" t="e">
        <f>IF(VLOOKUP(A538,'Actual Dates'!A4:AE660,25,),'Actual Dates'!#REF!,"")</f>
        <v>#REF!</v>
      </c>
      <c r="J538" s="137" t="e">
        <f t="shared" si="63"/>
        <v>#REF!</v>
      </c>
      <c r="K538" s="137" t="e">
        <f>IF(VLOOKUP(A538,'Actual Dates'!A4:AE688,26,),'Actual Dates'!#REF!,"")</f>
        <v>#REF!</v>
      </c>
      <c r="L538" s="137" t="e">
        <f>IF(VLOOKUP(A538,'Actual Dates'!A4:AE688,21,),'Actual Dates'!#REF!,"")</f>
        <v>#REF!</v>
      </c>
      <c r="M538" s="137" t="e">
        <f>'Date Calcs'!#REF!</f>
        <v>#REF!</v>
      </c>
      <c r="N538" s="137" t="e">
        <f>IF(VLOOKUP(A538,'Actual Dates'!A4:AE688,27,),'Actual Dates'!#REF!,"")</f>
        <v>#REF!</v>
      </c>
      <c r="O538" s="138" t="e">
        <f t="shared" si="66"/>
        <v>#REF!</v>
      </c>
      <c r="P538" s="139" t="e">
        <f t="shared" si="64"/>
        <v>#REF!</v>
      </c>
      <c r="Q538" s="139" t="e">
        <f t="shared" si="65"/>
        <v>#REF!</v>
      </c>
      <c r="R538" s="170"/>
      <c r="S538" s="170"/>
    </row>
    <row r="539" spans="1:19" x14ac:dyDescent="0.25">
      <c r="A539" s="134" t="e">
        <f>'Date Calcs'!#REF!</f>
        <v>#REF!</v>
      </c>
      <c r="B539" s="135" t="e">
        <f>'Date Calcs'!#REF!</f>
        <v>#REF!</v>
      </c>
      <c r="C539" s="136" t="e">
        <f>'Date Calcs'!#REF!</f>
        <v>#REF!</v>
      </c>
      <c r="D539" s="137" t="e">
        <f t="shared" si="67"/>
        <v>#REF!</v>
      </c>
      <c r="E539" s="143">
        <v>44562</v>
      </c>
      <c r="F539" s="137" t="e">
        <f>'Date Calcs'!#REF!</f>
        <v>#REF!</v>
      </c>
      <c r="G539" s="137" t="e">
        <f>IF(VLOOKUP(A539,'Actual Dates'!A4:AE666,8,),'Actual Dates'!#REF!,"")</f>
        <v>#REF!</v>
      </c>
      <c r="H539" s="137" t="e">
        <f t="shared" si="62"/>
        <v>#REF!</v>
      </c>
      <c r="I539" s="137" t="e">
        <f>IF(VLOOKUP(A539,'Actual Dates'!A4:AE661,25,),'Actual Dates'!#REF!,"")</f>
        <v>#REF!</v>
      </c>
      <c r="J539" s="137" t="e">
        <f t="shared" si="63"/>
        <v>#REF!</v>
      </c>
      <c r="K539" s="137" t="e">
        <f>IF(VLOOKUP(A539,'Actual Dates'!A4:AE689,26,),'Actual Dates'!#REF!,"")</f>
        <v>#REF!</v>
      </c>
      <c r="L539" s="137" t="e">
        <f>IF(VLOOKUP(A539,'Actual Dates'!A4:AE689,21,),'Actual Dates'!#REF!,"")</f>
        <v>#REF!</v>
      </c>
      <c r="M539" s="137" t="e">
        <f>'Date Calcs'!#REF!</f>
        <v>#REF!</v>
      </c>
      <c r="N539" s="137" t="e">
        <f>IF(VLOOKUP(A539,'Actual Dates'!A4:AE689,27,),'Actual Dates'!#REF!,"")</f>
        <v>#REF!</v>
      </c>
      <c r="O539" s="138" t="e">
        <f t="shared" si="66"/>
        <v>#REF!</v>
      </c>
      <c r="P539" s="139" t="e">
        <f t="shared" si="64"/>
        <v>#REF!</v>
      </c>
      <c r="Q539" s="139" t="e">
        <f t="shared" si="65"/>
        <v>#REF!</v>
      </c>
      <c r="R539" s="170"/>
      <c r="S539" s="170"/>
    </row>
    <row r="540" spans="1:19" x14ac:dyDescent="0.25">
      <c r="A540" s="134" t="e">
        <f>'Date Calcs'!#REF!</f>
        <v>#REF!</v>
      </c>
      <c r="B540" s="135" t="e">
        <f>'Date Calcs'!#REF!</f>
        <v>#REF!</v>
      </c>
      <c r="C540" s="136" t="e">
        <f>'Date Calcs'!#REF!</f>
        <v>#REF!</v>
      </c>
      <c r="D540" s="137" t="e">
        <f t="shared" si="67"/>
        <v>#REF!</v>
      </c>
      <c r="E540" s="143">
        <v>44563</v>
      </c>
      <c r="F540" s="137" t="e">
        <f>'Date Calcs'!#REF!</f>
        <v>#REF!</v>
      </c>
      <c r="G540" s="137" t="e">
        <f>IF(VLOOKUP(A540,'Actual Dates'!A4:AE667,8,),'Actual Dates'!#REF!,"")</f>
        <v>#REF!</v>
      </c>
      <c r="H540" s="137" t="e">
        <f t="shared" si="62"/>
        <v>#REF!</v>
      </c>
      <c r="I540" s="137" t="e">
        <f>IF(VLOOKUP(A540,'Actual Dates'!A4:AE662,25,),'Actual Dates'!#REF!,"")</f>
        <v>#REF!</v>
      </c>
      <c r="J540" s="137" t="e">
        <f t="shared" si="63"/>
        <v>#REF!</v>
      </c>
      <c r="K540" s="137" t="e">
        <f>IF(VLOOKUP(A540,'Actual Dates'!A4:AE690,26,),'Actual Dates'!#REF!,"")</f>
        <v>#REF!</v>
      </c>
      <c r="L540" s="137" t="e">
        <f>IF(VLOOKUP(A540,'Actual Dates'!A4:AE690,21,),'Actual Dates'!#REF!,"")</f>
        <v>#REF!</v>
      </c>
      <c r="M540" s="137" t="e">
        <f>'Date Calcs'!#REF!</f>
        <v>#REF!</v>
      </c>
      <c r="N540" s="137" t="e">
        <f>IF(VLOOKUP(A540,'Actual Dates'!A4:AE690,27,),'Actual Dates'!#REF!,"")</f>
        <v>#REF!</v>
      </c>
      <c r="O540" s="138" t="e">
        <f t="shared" si="66"/>
        <v>#REF!</v>
      </c>
      <c r="P540" s="139" t="e">
        <f t="shared" si="64"/>
        <v>#REF!</v>
      </c>
      <c r="Q540" s="139" t="e">
        <f t="shared" si="65"/>
        <v>#REF!</v>
      </c>
      <c r="R540" s="170"/>
      <c r="S540" s="170"/>
    </row>
    <row r="541" spans="1:19" x14ac:dyDescent="0.25">
      <c r="A541" s="134" t="e">
        <f>'Date Calcs'!#REF!</f>
        <v>#REF!</v>
      </c>
      <c r="B541" s="135" t="e">
        <f>'Date Calcs'!#REF!</f>
        <v>#REF!</v>
      </c>
      <c r="C541" s="136" t="e">
        <f>'Date Calcs'!#REF!</f>
        <v>#REF!</v>
      </c>
      <c r="D541" s="137" t="e">
        <f t="shared" si="67"/>
        <v>#REF!</v>
      </c>
      <c r="E541" s="143">
        <v>44564</v>
      </c>
      <c r="F541" s="137" t="e">
        <f>'Date Calcs'!#REF!</f>
        <v>#REF!</v>
      </c>
      <c r="G541" s="137" t="e">
        <f>IF(VLOOKUP(A541,'Actual Dates'!A4:AE668,8,),'Actual Dates'!#REF!,"")</f>
        <v>#REF!</v>
      </c>
      <c r="H541" s="137" t="e">
        <f t="shared" si="62"/>
        <v>#REF!</v>
      </c>
      <c r="I541" s="137" t="e">
        <f>IF(VLOOKUP(A541,'Actual Dates'!A4:AE663,25,),'Actual Dates'!#REF!,"")</f>
        <v>#REF!</v>
      </c>
      <c r="J541" s="137" t="e">
        <f t="shared" si="63"/>
        <v>#REF!</v>
      </c>
      <c r="K541" s="137" t="e">
        <f>IF(VLOOKUP(A541,'Actual Dates'!A4:AE691,26,),'Actual Dates'!#REF!,"")</f>
        <v>#REF!</v>
      </c>
      <c r="L541" s="137" t="e">
        <f>IF(VLOOKUP(A541,'Actual Dates'!A4:AE691,21,),'Actual Dates'!#REF!,"")</f>
        <v>#REF!</v>
      </c>
      <c r="M541" s="137" t="e">
        <f>'Date Calcs'!#REF!</f>
        <v>#REF!</v>
      </c>
      <c r="N541" s="137" t="e">
        <f>IF(VLOOKUP(A541,'Actual Dates'!A4:AE691,27,),'Actual Dates'!#REF!,"")</f>
        <v>#REF!</v>
      </c>
      <c r="O541" s="138" t="e">
        <f t="shared" si="66"/>
        <v>#REF!</v>
      </c>
      <c r="P541" s="139" t="e">
        <f t="shared" si="64"/>
        <v>#REF!</v>
      </c>
      <c r="Q541" s="139" t="e">
        <f t="shared" si="65"/>
        <v>#REF!</v>
      </c>
      <c r="R541" s="170"/>
      <c r="S541" s="170"/>
    </row>
    <row r="542" spans="1:19" x14ac:dyDescent="0.25">
      <c r="A542" s="134" t="e">
        <f>'Date Calcs'!#REF!</f>
        <v>#REF!</v>
      </c>
      <c r="B542" s="135" t="e">
        <f>'Date Calcs'!#REF!</f>
        <v>#REF!</v>
      </c>
      <c r="C542" s="136" t="e">
        <f>'Date Calcs'!#REF!</f>
        <v>#REF!</v>
      </c>
      <c r="D542" s="137" t="e">
        <f t="shared" si="67"/>
        <v>#REF!</v>
      </c>
      <c r="E542" s="143">
        <v>44565</v>
      </c>
      <c r="F542" s="137" t="e">
        <f>'Date Calcs'!#REF!</f>
        <v>#REF!</v>
      </c>
      <c r="G542" s="137" t="e">
        <f>IF(VLOOKUP(A542,'Actual Dates'!A4:AE669,8,),'Actual Dates'!#REF!,"")</f>
        <v>#REF!</v>
      </c>
      <c r="H542" s="137" t="e">
        <f t="shared" si="62"/>
        <v>#REF!</v>
      </c>
      <c r="I542" s="137" t="e">
        <f>IF(VLOOKUP(A542,'Actual Dates'!A4:AE664,25,),'Actual Dates'!#REF!,"")</f>
        <v>#REF!</v>
      </c>
      <c r="J542" s="137" t="e">
        <f t="shared" si="63"/>
        <v>#REF!</v>
      </c>
      <c r="K542" s="137" t="e">
        <f>IF(VLOOKUP(A542,'Actual Dates'!A4:AE692,26,),'Actual Dates'!#REF!,"")</f>
        <v>#REF!</v>
      </c>
      <c r="L542" s="137" t="e">
        <f>IF(VLOOKUP(A542,'Actual Dates'!A4:AE692,21,),'Actual Dates'!#REF!,"")</f>
        <v>#REF!</v>
      </c>
      <c r="M542" s="137" t="e">
        <f>'Date Calcs'!#REF!</f>
        <v>#REF!</v>
      </c>
      <c r="N542" s="137" t="e">
        <f>IF(VLOOKUP(A542,'Actual Dates'!A4:AE692,27,),'Actual Dates'!#REF!,"")</f>
        <v>#REF!</v>
      </c>
      <c r="O542" s="138" t="e">
        <f t="shared" si="66"/>
        <v>#REF!</v>
      </c>
      <c r="P542" s="139" t="e">
        <f t="shared" si="64"/>
        <v>#REF!</v>
      </c>
      <c r="Q542" s="139" t="e">
        <f t="shared" si="65"/>
        <v>#REF!</v>
      </c>
      <c r="R542" s="170"/>
      <c r="S542" s="170"/>
    </row>
    <row r="543" spans="1:19" x14ac:dyDescent="0.25">
      <c r="A543" s="134" t="e">
        <f>'Date Calcs'!#REF!</f>
        <v>#REF!</v>
      </c>
      <c r="B543" s="135" t="e">
        <f>'Date Calcs'!#REF!</f>
        <v>#REF!</v>
      </c>
      <c r="C543" s="136" t="e">
        <f>'Date Calcs'!#REF!</f>
        <v>#REF!</v>
      </c>
      <c r="D543" s="137" t="e">
        <f t="shared" si="67"/>
        <v>#REF!</v>
      </c>
      <c r="E543" s="143">
        <v>44566</v>
      </c>
      <c r="F543" s="137" t="e">
        <f>'Date Calcs'!#REF!</f>
        <v>#REF!</v>
      </c>
      <c r="G543" s="137" t="e">
        <f>IF(VLOOKUP(A543,'Actual Dates'!A4:AE670,8,),'Actual Dates'!#REF!,"")</f>
        <v>#REF!</v>
      </c>
      <c r="H543" s="137" t="e">
        <f t="shared" si="62"/>
        <v>#REF!</v>
      </c>
      <c r="I543" s="137" t="e">
        <f>IF(VLOOKUP(A543,'Actual Dates'!A4:AE665,25,),'Actual Dates'!#REF!,"")</f>
        <v>#REF!</v>
      </c>
      <c r="J543" s="137" t="e">
        <f t="shared" si="63"/>
        <v>#REF!</v>
      </c>
      <c r="K543" s="137" t="e">
        <f>IF(VLOOKUP(A543,'Actual Dates'!A4:AE693,26,),'Actual Dates'!#REF!,"")</f>
        <v>#REF!</v>
      </c>
      <c r="L543" s="137" t="e">
        <f>IF(VLOOKUP(A543,'Actual Dates'!A4:AE693,21,),'Actual Dates'!#REF!,"")</f>
        <v>#REF!</v>
      </c>
      <c r="M543" s="137" t="e">
        <f>'Date Calcs'!#REF!</f>
        <v>#REF!</v>
      </c>
      <c r="N543" s="137" t="e">
        <f>IF(VLOOKUP(A543,'Actual Dates'!A4:AE693,27,),'Actual Dates'!#REF!,"")</f>
        <v>#REF!</v>
      </c>
      <c r="O543" s="138" t="e">
        <f t="shared" si="66"/>
        <v>#REF!</v>
      </c>
      <c r="P543" s="139" t="e">
        <f t="shared" si="64"/>
        <v>#REF!</v>
      </c>
      <c r="Q543" s="139" t="e">
        <f t="shared" si="65"/>
        <v>#REF!</v>
      </c>
      <c r="R543" s="170"/>
      <c r="S543" s="170"/>
    </row>
    <row r="544" spans="1:19" x14ac:dyDescent="0.25">
      <c r="A544" s="134" t="e">
        <f>'Date Calcs'!#REF!</f>
        <v>#REF!</v>
      </c>
      <c r="B544" s="135" t="e">
        <f>'Date Calcs'!#REF!</f>
        <v>#REF!</v>
      </c>
      <c r="C544" s="136" t="e">
        <f>'Date Calcs'!#REF!</f>
        <v>#REF!</v>
      </c>
      <c r="D544" s="137" t="e">
        <f t="shared" si="67"/>
        <v>#REF!</v>
      </c>
      <c r="E544" s="143">
        <v>44567</v>
      </c>
      <c r="F544" s="137" t="e">
        <f>'Date Calcs'!#REF!</f>
        <v>#REF!</v>
      </c>
      <c r="G544" s="137" t="e">
        <f>IF(VLOOKUP(A544,'Actual Dates'!A4:AE671,8,),'Actual Dates'!#REF!,"")</f>
        <v>#REF!</v>
      </c>
      <c r="H544" s="137" t="e">
        <f t="shared" si="62"/>
        <v>#REF!</v>
      </c>
      <c r="I544" s="137" t="e">
        <f>IF(VLOOKUP(A544,'Actual Dates'!A4:AE666,25,),'Actual Dates'!#REF!,"")</f>
        <v>#REF!</v>
      </c>
      <c r="J544" s="137" t="e">
        <f t="shared" si="63"/>
        <v>#REF!</v>
      </c>
      <c r="K544" s="137" t="e">
        <f>IF(VLOOKUP(A544,'Actual Dates'!A4:AE694,26,),'Actual Dates'!#REF!,"")</f>
        <v>#REF!</v>
      </c>
      <c r="L544" s="137" t="e">
        <f>IF(VLOOKUP(A544,'Actual Dates'!A4:AE694,21,),'Actual Dates'!#REF!,"")</f>
        <v>#REF!</v>
      </c>
      <c r="M544" s="137" t="e">
        <f>'Date Calcs'!#REF!</f>
        <v>#REF!</v>
      </c>
      <c r="N544" s="137" t="e">
        <f>IF(VLOOKUP(A544,'Actual Dates'!A4:AE694,27,),'Actual Dates'!#REF!,"")</f>
        <v>#REF!</v>
      </c>
      <c r="O544" s="138" t="e">
        <f t="shared" si="66"/>
        <v>#REF!</v>
      </c>
      <c r="P544" s="139" t="e">
        <f t="shared" si="64"/>
        <v>#REF!</v>
      </c>
      <c r="Q544" s="139" t="e">
        <f t="shared" si="65"/>
        <v>#REF!</v>
      </c>
      <c r="R544" s="170"/>
      <c r="S544" s="170"/>
    </row>
    <row r="545" spans="1:19" x14ac:dyDescent="0.25">
      <c r="A545" s="134" t="e">
        <f>'Date Calcs'!#REF!</f>
        <v>#REF!</v>
      </c>
      <c r="B545" s="135" t="e">
        <f>'Date Calcs'!#REF!</f>
        <v>#REF!</v>
      </c>
      <c r="C545" s="136" t="e">
        <f>'Date Calcs'!#REF!</f>
        <v>#REF!</v>
      </c>
      <c r="D545" s="137" t="e">
        <f t="shared" si="67"/>
        <v>#REF!</v>
      </c>
      <c r="E545" s="143">
        <v>44568</v>
      </c>
      <c r="F545" s="137" t="e">
        <f>'Date Calcs'!#REF!</f>
        <v>#REF!</v>
      </c>
      <c r="G545" s="137" t="e">
        <f>IF(VLOOKUP(A545,'Actual Dates'!A4:AE672,8,),'Actual Dates'!#REF!,"")</f>
        <v>#REF!</v>
      </c>
      <c r="H545" s="137" t="e">
        <f t="shared" si="62"/>
        <v>#REF!</v>
      </c>
      <c r="I545" s="137" t="e">
        <f>IF(VLOOKUP(A545,'Actual Dates'!A4:AE667,25,),'Actual Dates'!#REF!,"")</f>
        <v>#REF!</v>
      </c>
      <c r="J545" s="137" t="e">
        <f t="shared" si="63"/>
        <v>#REF!</v>
      </c>
      <c r="K545" s="137" t="e">
        <f>IF(VLOOKUP(A545,'Actual Dates'!A4:AE695,26,),'Actual Dates'!#REF!,"")</f>
        <v>#REF!</v>
      </c>
      <c r="L545" s="137" t="e">
        <f>IF(VLOOKUP(A545,'Actual Dates'!A4:AE695,21,),'Actual Dates'!#REF!,"")</f>
        <v>#REF!</v>
      </c>
      <c r="M545" s="137" t="e">
        <f>'Date Calcs'!#REF!</f>
        <v>#REF!</v>
      </c>
      <c r="N545" s="137" t="e">
        <f>IF(VLOOKUP(A545,'Actual Dates'!A4:AE695,27,),'Actual Dates'!#REF!,"")</f>
        <v>#REF!</v>
      </c>
      <c r="O545" s="138" t="e">
        <f t="shared" si="66"/>
        <v>#REF!</v>
      </c>
      <c r="P545" s="139" t="e">
        <f t="shared" si="64"/>
        <v>#REF!</v>
      </c>
      <c r="Q545" s="139" t="e">
        <f t="shared" si="65"/>
        <v>#REF!</v>
      </c>
      <c r="R545" s="170"/>
      <c r="S545" s="170"/>
    </row>
    <row r="546" spans="1:19" x14ac:dyDescent="0.25">
      <c r="A546" s="134" t="e">
        <f>'Date Calcs'!#REF!</f>
        <v>#REF!</v>
      </c>
      <c r="B546" s="135" t="e">
        <f>'Date Calcs'!#REF!</f>
        <v>#REF!</v>
      </c>
      <c r="C546" s="136" t="e">
        <f>'Date Calcs'!#REF!</f>
        <v>#REF!</v>
      </c>
      <c r="D546" s="137" t="e">
        <f t="shared" si="67"/>
        <v>#REF!</v>
      </c>
      <c r="E546" s="143">
        <v>44569</v>
      </c>
      <c r="F546" s="137" t="e">
        <f>'Date Calcs'!#REF!</f>
        <v>#REF!</v>
      </c>
      <c r="G546" s="137" t="e">
        <f>IF(VLOOKUP(A546,'Actual Dates'!A4:AE673,8,),'Actual Dates'!#REF!,"")</f>
        <v>#REF!</v>
      </c>
      <c r="H546" s="137" t="e">
        <f t="shared" si="62"/>
        <v>#REF!</v>
      </c>
      <c r="I546" s="137" t="e">
        <f>IF(VLOOKUP(A546,'Actual Dates'!A4:AE668,25,),'Actual Dates'!#REF!,"")</f>
        <v>#REF!</v>
      </c>
      <c r="J546" s="137" t="e">
        <f t="shared" si="63"/>
        <v>#REF!</v>
      </c>
      <c r="K546" s="137" t="e">
        <f>IF(VLOOKUP(A546,'Actual Dates'!A4:AE696,26,),'Actual Dates'!#REF!,"")</f>
        <v>#REF!</v>
      </c>
      <c r="L546" s="137" t="e">
        <f>IF(VLOOKUP(A546,'Actual Dates'!A4:AE696,21,),'Actual Dates'!#REF!,"")</f>
        <v>#REF!</v>
      </c>
      <c r="M546" s="137" t="e">
        <f>'Date Calcs'!#REF!</f>
        <v>#REF!</v>
      </c>
      <c r="N546" s="137" t="e">
        <f>IF(VLOOKUP(A546,'Actual Dates'!A4:AE696,27,),'Actual Dates'!#REF!,"")</f>
        <v>#REF!</v>
      </c>
      <c r="O546" s="138" t="e">
        <f t="shared" si="66"/>
        <v>#REF!</v>
      </c>
      <c r="P546" s="139" t="e">
        <f t="shared" si="64"/>
        <v>#REF!</v>
      </c>
      <c r="Q546" s="139" t="e">
        <f t="shared" si="65"/>
        <v>#REF!</v>
      </c>
      <c r="R546" s="170"/>
      <c r="S546" s="170"/>
    </row>
    <row r="547" spans="1:19" x14ac:dyDescent="0.25">
      <c r="A547" s="134" t="e">
        <f>'Date Calcs'!#REF!</f>
        <v>#REF!</v>
      </c>
      <c r="B547" s="135" t="e">
        <f>'Date Calcs'!#REF!</f>
        <v>#REF!</v>
      </c>
      <c r="C547" s="136" t="e">
        <f>'Date Calcs'!#REF!</f>
        <v>#REF!</v>
      </c>
      <c r="D547" s="137" t="e">
        <f t="shared" si="67"/>
        <v>#REF!</v>
      </c>
      <c r="E547" s="143">
        <v>44570</v>
      </c>
      <c r="F547" s="137" t="e">
        <f>'Date Calcs'!#REF!</f>
        <v>#REF!</v>
      </c>
      <c r="G547" s="137" t="e">
        <f>IF(VLOOKUP(A547,'Actual Dates'!A4:AE674,8,),'Actual Dates'!#REF!,"")</f>
        <v>#REF!</v>
      </c>
      <c r="H547" s="137" t="e">
        <f t="shared" si="62"/>
        <v>#REF!</v>
      </c>
      <c r="I547" s="137" t="e">
        <f>IF(VLOOKUP(A547,'Actual Dates'!A4:AE669,25,),'Actual Dates'!#REF!,"")</f>
        <v>#REF!</v>
      </c>
      <c r="J547" s="137" t="e">
        <f t="shared" si="63"/>
        <v>#REF!</v>
      </c>
      <c r="K547" s="137" t="e">
        <f>IF(VLOOKUP(A547,'Actual Dates'!A4:AE697,26,),'Actual Dates'!#REF!,"")</f>
        <v>#REF!</v>
      </c>
      <c r="L547" s="137" t="e">
        <f>IF(VLOOKUP(A547,'Actual Dates'!A4:AE697,21,),'Actual Dates'!#REF!,"")</f>
        <v>#REF!</v>
      </c>
      <c r="M547" s="137" t="e">
        <f>'Date Calcs'!#REF!</f>
        <v>#REF!</v>
      </c>
      <c r="N547" s="137" t="e">
        <f>IF(VLOOKUP(A547,'Actual Dates'!A4:AE697,27,),'Actual Dates'!#REF!,"")</f>
        <v>#REF!</v>
      </c>
      <c r="O547" s="138" t="e">
        <f t="shared" si="66"/>
        <v>#REF!</v>
      </c>
      <c r="P547" s="139" t="e">
        <f t="shared" si="64"/>
        <v>#REF!</v>
      </c>
      <c r="Q547" s="139" t="e">
        <f t="shared" si="65"/>
        <v>#REF!</v>
      </c>
      <c r="R547" s="170"/>
      <c r="S547" s="170"/>
    </row>
    <row r="548" spans="1:19" x14ac:dyDescent="0.25">
      <c r="A548" s="134" t="e">
        <f>'Date Calcs'!#REF!</f>
        <v>#REF!</v>
      </c>
      <c r="B548" s="135" t="e">
        <f>'Date Calcs'!#REF!</f>
        <v>#REF!</v>
      </c>
      <c r="C548" s="136" t="e">
        <f>'Date Calcs'!#REF!</f>
        <v>#REF!</v>
      </c>
      <c r="D548" s="137" t="e">
        <f t="shared" si="67"/>
        <v>#REF!</v>
      </c>
      <c r="E548" s="143">
        <v>44571</v>
      </c>
      <c r="F548" s="137" t="e">
        <f>'Date Calcs'!#REF!</f>
        <v>#REF!</v>
      </c>
      <c r="G548" s="137" t="e">
        <f>IF(VLOOKUP(A548,'Actual Dates'!A4:AE675,8,),'Actual Dates'!#REF!,"")</f>
        <v>#REF!</v>
      </c>
      <c r="H548" s="137" t="e">
        <f t="shared" si="62"/>
        <v>#REF!</v>
      </c>
      <c r="I548" s="137" t="e">
        <f>IF(VLOOKUP(A548,'Actual Dates'!A4:AE670,25,),'Actual Dates'!#REF!,"")</f>
        <v>#REF!</v>
      </c>
      <c r="J548" s="137" t="e">
        <f t="shared" si="63"/>
        <v>#REF!</v>
      </c>
      <c r="K548" s="137" t="e">
        <f>IF(VLOOKUP(A548,'Actual Dates'!A4:AE698,26,),'Actual Dates'!#REF!,"")</f>
        <v>#REF!</v>
      </c>
      <c r="L548" s="137" t="e">
        <f>IF(VLOOKUP(A548,'Actual Dates'!A4:AE698,21,),'Actual Dates'!#REF!,"")</f>
        <v>#REF!</v>
      </c>
      <c r="M548" s="137" t="e">
        <f>'Date Calcs'!#REF!</f>
        <v>#REF!</v>
      </c>
      <c r="N548" s="137" t="e">
        <f>IF(VLOOKUP(A548,'Actual Dates'!A4:AE698,27,),'Actual Dates'!#REF!,"")</f>
        <v>#REF!</v>
      </c>
      <c r="O548" s="138" t="e">
        <f t="shared" si="66"/>
        <v>#REF!</v>
      </c>
      <c r="P548" s="139" t="e">
        <f t="shared" si="64"/>
        <v>#REF!</v>
      </c>
      <c r="Q548" s="139" t="e">
        <f t="shared" si="65"/>
        <v>#REF!</v>
      </c>
      <c r="R548" s="170"/>
      <c r="S548" s="170"/>
    </row>
    <row r="549" spans="1:19" x14ac:dyDescent="0.25">
      <c r="A549" s="134" t="e">
        <f>'Date Calcs'!#REF!</f>
        <v>#REF!</v>
      </c>
      <c r="B549" s="135" t="e">
        <f>'Date Calcs'!#REF!</f>
        <v>#REF!</v>
      </c>
      <c r="C549" s="136" t="e">
        <f>'Date Calcs'!#REF!</f>
        <v>#REF!</v>
      </c>
      <c r="D549" s="137" t="e">
        <f t="shared" si="67"/>
        <v>#REF!</v>
      </c>
      <c r="E549" s="143">
        <v>44572</v>
      </c>
      <c r="F549" s="137" t="e">
        <f>'Date Calcs'!#REF!</f>
        <v>#REF!</v>
      </c>
      <c r="G549" s="137" t="e">
        <f>IF(VLOOKUP(A549,'Actual Dates'!A4:AE676,8,),'Actual Dates'!#REF!,"")</f>
        <v>#REF!</v>
      </c>
      <c r="H549" s="137" t="e">
        <f t="shared" si="62"/>
        <v>#REF!</v>
      </c>
      <c r="I549" s="137" t="e">
        <f>IF(VLOOKUP(A549,'Actual Dates'!A4:AE671,25,),'Actual Dates'!#REF!,"")</f>
        <v>#REF!</v>
      </c>
      <c r="J549" s="137" t="e">
        <f t="shared" si="63"/>
        <v>#REF!</v>
      </c>
      <c r="K549" s="137" t="e">
        <f>IF(VLOOKUP(A549,'Actual Dates'!A4:AE699,26,),'Actual Dates'!#REF!,"")</f>
        <v>#REF!</v>
      </c>
      <c r="L549" s="137" t="e">
        <f>IF(VLOOKUP(A549,'Actual Dates'!A4:AE699,21,),'Actual Dates'!#REF!,"")</f>
        <v>#REF!</v>
      </c>
      <c r="M549" s="137" t="e">
        <f>'Date Calcs'!#REF!</f>
        <v>#REF!</v>
      </c>
      <c r="N549" s="137" t="e">
        <f>IF(VLOOKUP(A549,'Actual Dates'!A4:AE699,27,),'Actual Dates'!#REF!,"")</f>
        <v>#REF!</v>
      </c>
      <c r="O549" s="138" t="e">
        <f t="shared" si="66"/>
        <v>#REF!</v>
      </c>
      <c r="P549" s="139" t="e">
        <f t="shared" si="64"/>
        <v>#REF!</v>
      </c>
      <c r="Q549" s="139" t="e">
        <f t="shared" si="65"/>
        <v>#REF!</v>
      </c>
      <c r="R549" s="170"/>
      <c r="S549" s="170"/>
    </row>
    <row r="550" spans="1:19" x14ac:dyDescent="0.25">
      <c r="A550" s="134" t="e">
        <f>'Date Calcs'!#REF!</f>
        <v>#REF!</v>
      </c>
      <c r="B550" s="135" t="e">
        <f>'Date Calcs'!#REF!</f>
        <v>#REF!</v>
      </c>
      <c r="C550" s="136" t="e">
        <f>'Date Calcs'!#REF!</f>
        <v>#REF!</v>
      </c>
      <c r="D550" s="137" t="e">
        <f t="shared" si="67"/>
        <v>#REF!</v>
      </c>
      <c r="E550" s="143">
        <v>44573</v>
      </c>
      <c r="F550" s="137" t="e">
        <f>'Date Calcs'!#REF!</f>
        <v>#REF!</v>
      </c>
      <c r="G550" s="137" t="e">
        <f>IF(VLOOKUP(A550,'Actual Dates'!A4:AE677,8,),'Actual Dates'!#REF!,"")</f>
        <v>#REF!</v>
      </c>
      <c r="H550" s="137" t="e">
        <f t="shared" si="62"/>
        <v>#REF!</v>
      </c>
      <c r="I550" s="137" t="e">
        <f>IF(VLOOKUP(A550,'Actual Dates'!A4:AE672,25,),'Actual Dates'!#REF!,"")</f>
        <v>#REF!</v>
      </c>
      <c r="J550" s="137" t="e">
        <f t="shared" si="63"/>
        <v>#REF!</v>
      </c>
      <c r="K550" s="137" t="e">
        <f>IF(VLOOKUP(A550,'Actual Dates'!A4:AE700,26,),'Actual Dates'!#REF!,"")</f>
        <v>#REF!</v>
      </c>
      <c r="L550" s="137" t="e">
        <f>IF(VLOOKUP(A550,'Actual Dates'!A4:AE700,21,),'Actual Dates'!#REF!,"")</f>
        <v>#REF!</v>
      </c>
      <c r="M550" s="137" t="e">
        <f>'Date Calcs'!#REF!</f>
        <v>#REF!</v>
      </c>
      <c r="N550" s="137" t="e">
        <f>IF(VLOOKUP(A550,'Actual Dates'!A4:AE700,27,),'Actual Dates'!#REF!,"")</f>
        <v>#REF!</v>
      </c>
      <c r="O550" s="138" t="e">
        <f t="shared" si="66"/>
        <v>#REF!</v>
      </c>
      <c r="P550" s="139" t="e">
        <f t="shared" si="64"/>
        <v>#REF!</v>
      </c>
      <c r="Q550" s="139" t="e">
        <f t="shared" si="65"/>
        <v>#REF!</v>
      </c>
      <c r="R550" s="170"/>
      <c r="S550" s="170"/>
    </row>
    <row r="551" spans="1:19" x14ac:dyDescent="0.25">
      <c r="A551" s="134" t="e">
        <f>'Date Calcs'!#REF!</f>
        <v>#REF!</v>
      </c>
      <c r="B551" s="135" t="e">
        <f>'Date Calcs'!#REF!</f>
        <v>#REF!</v>
      </c>
      <c r="C551" s="136" t="e">
        <f>'Date Calcs'!#REF!</f>
        <v>#REF!</v>
      </c>
      <c r="D551" s="137" t="e">
        <f t="shared" si="67"/>
        <v>#REF!</v>
      </c>
      <c r="E551" s="143">
        <v>44574</v>
      </c>
      <c r="F551" s="137" t="e">
        <f>'Date Calcs'!#REF!</f>
        <v>#REF!</v>
      </c>
      <c r="G551" s="137" t="e">
        <f>IF(VLOOKUP(A551,'Actual Dates'!A4:AE678,8,),'Actual Dates'!#REF!,"")</f>
        <v>#REF!</v>
      </c>
      <c r="H551" s="137" t="e">
        <f t="shared" si="62"/>
        <v>#REF!</v>
      </c>
      <c r="I551" s="137" t="e">
        <f>IF(VLOOKUP(A551,'Actual Dates'!A4:AE673,25,),'Actual Dates'!#REF!,"")</f>
        <v>#REF!</v>
      </c>
      <c r="J551" s="137" t="e">
        <f t="shared" si="63"/>
        <v>#REF!</v>
      </c>
      <c r="K551" s="137" t="e">
        <f>IF(VLOOKUP(A551,'Actual Dates'!A4:AE701,26,),'Actual Dates'!#REF!,"")</f>
        <v>#REF!</v>
      </c>
      <c r="L551" s="137" t="e">
        <f>IF(VLOOKUP(A551,'Actual Dates'!A4:AE701,21,),'Actual Dates'!#REF!,"")</f>
        <v>#REF!</v>
      </c>
      <c r="M551" s="137" t="e">
        <f>'Date Calcs'!#REF!</f>
        <v>#REF!</v>
      </c>
      <c r="N551" s="137" t="e">
        <f>IF(VLOOKUP(A551,'Actual Dates'!A4:AE701,27,),'Actual Dates'!#REF!,"")</f>
        <v>#REF!</v>
      </c>
      <c r="O551" s="138" t="e">
        <f t="shared" si="66"/>
        <v>#REF!</v>
      </c>
      <c r="P551" s="139" t="e">
        <f t="shared" si="64"/>
        <v>#REF!</v>
      </c>
      <c r="Q551" s="139" t="e">
        <f t="shared" si="65"/>
        <v>#REF!</v>
      </c>
      <c r="R551" s="170"/>
      <c r="S551" s="170"/>
    </row>
    <row r="552" spans="1:19" x14ac:dyDescent="0.25">
      <c r="A552" s="134" t="e">
        <f>'Date Calcs'!#REF!</f>
        <v>#REF!</v>
      </c>
      <c r="B552" s="135" t="e">
        <f>'Date Calcs'!#REF!</f>
        <v>#REF!</v>
      </c>
      <c r="C552" s="136" t="e">
        <f>'Date Calcs'!#REF!</f>
        <v>#REF!</v>
      </c>
      <c r="D552" s="137" t="e">
        <f t="shared" si="67"/>
        <v>#REF!</v>
      </c>
      <c r="E552" s="143">
        <v>44575</v>
      </c>
      <c r="F552" s="137" t="e">
        <f>'Date Calcs'!#REF!</f>
        <v>#REF!</v>
      </c>
      <c r="G552" s="137" t="e">
        <f>IF(VLOOKUP(A552,'Actual Dates'!A4:AE679,8,),'Actual Dates'!#REF!,"")</f>
        <v>#REF!</v>
      </c>
      <c r="H552" s="137" t="e">
        <f t="shared" si="62"/>
        <v>#REF!</v>
      </c>
      <c r="I552" s="137" t="e">
        <f>IF(VLOOKUP(A552,'Actual Dates'!A4:AE674,25,),'Actual Dates'!#REF!,"")</f>
        <v>#REF!</v>
      </c>
      <c r="J552" s="137" t="e">
        <f t="shared" si="63"/>
        <v>#REF!</v>
      </c>
      <c r="K552" s="137" t="e">
        <f>IF(VLOOKUP(A552,'Actual Dates'!A4:AE702,26,),'Actual Dates'!#REF!,"")</f>
        <v>#REF!</v>
      </c>
      <c r="L552" s="137" t="e">
        <f>IF(VLOOKUP(A552,'Actual Dates'!A4:AE702,21,),'Actual Dates'!#REF!,"")</f>
        <v>#REF!</v>
      </c>
      <c r="M552" s="137" t="e">
        <f>'Date Calcs'!#REF!</f>
        <v>#REF!</v>
      </c>
      <c r="N552" s="137" t="e">
        <f>IF(VLOOKUP(A552,'Actual Dates'!A4:AE702,27,),'Actual Dates'!#REF!,"")</f>
        <v>#REF!</v>
      </c>
      <c r="O552" s="138" t="e">
        <f t="shared" si="66"/>
        <v>#REF!</v>
      </c>
      <c r="P552" s="139" t="e">
        <f t="shared" si="64"/>
        <v>#REF!</v>
      </c>
      <c r="Q552" s="139" t="e">
        <f t="shared" si="65"/>
        <v>#REF!</v>
      </c>
      <c r="R552" s="170"/>
      <c r="S552" s="170"/>
    </row>
    <row r="553" spans="1:19" x14ac:dyDescent="0.25">
      <c r="A553" s="134" t="e">
        <f>'Date Calcs'!#REF!</f>
        <v>#REF!</v>
      </c>
      <c r="B553" s="135" t="e">
        <f>'Date Calcs'!#REF!</f>
        <v>#REF!</v>
      </c>
      <c r="C553" s="136" t="e">
        <f>'Date Calcs'!#REF!</f>
        <v>#REF!</v>
      </c>
      <c r="D553" s="137" t="e">
        <f t="shared" si="67"/>
        <v>#REF!</v>
      </c>
      <c r="E553" s="143">
        <v>44576</v>
      </c>
      <c r="F553" s="137" t="e">
        <f>'Date Calcs'!#REF!</f>
        <v>#REF!</v>
      </c>
      <c r="G553" s="137" t="e">
        <f>IF(VLOOKUP(A553,'Actual Dates'!A4:AE680,8,),'Actual Dates'!#REF!,"")</f>
        <v>#REF!</v>
      </c>
      <c r="H553" s="137" t="e">
        <f t="shared" si="62"/>
        <v>#REF!</v>
      </c>
      <c r="I553" s="137" t="e">
        <f>IF(VLOOKUP(A553,'Actual Dates'!A4:AE675,25,),'Actual Dates'!#REF!,"")</f>
        <v>#REF!</v>
      </c>
      <c r="J553" s="137" t="e">
        <f t="shared" si="63"/>
        <v>#REF!</v>
      </c>
      <c r="K553" s="137" t="e">
        <f>IF(VLOOKUP(A553,'Actual Dates'!A4:AE703,26,),'Actual Dates'!#REF!,"")</f>
        <v>#REF!</v>
      </c>
      <c r="L553" s="137" t="e">
        <f>IF(VLOOKUP(A553,'Actual Dates'!A4:AE703,21,),'Actual Dates'!#REF!,"")</f>
        <v>#REF!</v>
      </c>
      <c r="M553" s="137" t="e">
        <f>'Date Calcs'!#REF!</f>
        <v>#REF!</v>
      </c>
      <c r="N553" s="137" t="e">
        <f>IF(VLOOKUP(A553,'Actual Dates'!A4:AE703,27,),'Actual Dates'!#REF!,"")</f>
        <v>#REF!</v>
      </c>
      <c r="O553" s="138" t="e">
        <f t="shared" si="66"/>
        <v>#REF!</v>
      </c>
      <c r="P553" s="139" t="e">
        <f t="shared" si="64"/>
        <v>#REF!</v>
      </c>
      <c r="Q553" s="139" t="e">
        <f t="shared" si="65"/>
        <v>#REF!</v>
      </c>
      <c r="R553" s="170"/>
      <c r="S553" s="170"/>
    </row>
    <row r="554" spans="1:19" x14ac:dyDescent="0.25">
      <c r="A554" s="134" t="e">
        <f>'Date Calcs'!#REF!</f>
        <v>#REF!</v>
      </c>
      <c r="B554" s="135" t="e">
        <f>'Date Calcs'!#REF!</f>
        <v>#REF!</v>
      </c>
      <c r="C554" s="136" t="e">
        <f>'Date Calcs'!#REF!</f>
        <v>#REF!</v>
      </c>
      <c r="D554" s="137" t="e">
        <f t="shared" si="67"/>
        <v>#REF!</v>
      </c>
      <c r="E554" s="143">
        <v>44577</v>
      </c>
      <c r="F554" s="137" t="e">
        <f>'Date Calcs'!#REF!</f>
        <v>#REF!</v>
      </c>
      <c r="G554" s="137" t="e">
        <f>IF(VLOOKUP(A554,'Actual Dates'!A4:AE681,8,),'Actual Dates'!#REF!,"")</f>
        <v>#REF!</v>
      </c>
      <c r="H554" s="137" t="e">
        <f t="shared" si="62"/>
        <v>#REF!</v>
      </c>
      <c r="I554" s="137" t="e">
        <f>IF(VLOOKUP(A554,'Actual Dates'!A4:AE676,25,),'Actual Dates'!#REF!,"")</f>
        <v>#REF!</v>
      </c>
      <c r="J554" s="137" t="e">
        <f t="shared" si="63"/>
        <v>#REF!</v>
      </c>
      <c r="K554" s="137" t="e">
        <f>IF(VLOOKUP(A554,'Actual Dates'!A4:AE704,26,),'Actual Dates'!#REF!,"")</f>
        <v>#REF!</v>
      </c>
      <c r="L554" s="137" t="e">
        <f>IF(VLOOKUP(A554,'Actual Dates'!A4:AE704,21,),'Actual Dates'!#REF!,"")</f>
        <v>#REF!</v>
      </c>
      <c r="M554" s="137" t="e">
        <f>'Date Calcs'!#REF!</f>
        <v>#REF!</v>
      </c>
      <c r="N554" s="137" t="e">
        <f>IF(VLOOKUP(A554,'Actual Dates'!A4:AE704,27,),'Actual Dates'!#REF!,"")</f>
        <v>#REF!</v>
      </c>
      <c r="O554" s="138" t="e">
        <f t="shared" si="66"/>
        <v>#REF!</v>
      </c>
      <c r="P554" s="139" t="e">
        <f t="shared" si="64"/>
        <v>#REF!</v>
      </c>
      <c r="Q554" s="139" t="e">
        <f t="shared" si="65"/>
        <v>#REF!</v>
      </c>
      <c r="R554" s="170"/>
      <c r="S554" s="170"/>
    </row>
    <row r="555" spans="1:19" x14ac:dyDescent="0.25">
      <c r="A555" s="134" t="e">
        <f>'Date Calcs'!#REF!</f>
        <v>#REF!</v>
      </c>
      <c r="B555" s="135" t="e">
        <f>'Date Calcs'!#REF!</f>
        <v>#REF!</v>
      </c>
      <c r="C555" s="136" t="e">
        <f>'Date Calcs'!#REF!</f>
        <v>#REF!</v>
      </c>
      <c r="D555" s="137" t="e">
        <f t="shared" si="67"/>
        <v>#REF!</v>
      </c>
      <c r="E555" s="143">
        <v>44578</v>
      </c>
      <c r="F555" s="137" t="e">
        <f>'Date Calcs'!#REF!</f>
        <v>#REF!</v>
      </c>
      <c r="G555" s="137" t="e">
        <f>IF(VLOOKUP(A555,'Actual Dates'!A4:AE682,8,),'Actual Dates'!#REF!,"")</f>
        <v>#REF!</v>
      </c>
      <c r="H555" s="137" t="e">
        <f t="shared" si="62"/>
        <v>#REF!</v>
      </c>
      <c r="I555" s="137" t="e">
        <f>IF(VLOOKUP(A555,'Actual Dates'!A4:AE677,25,),'Actual Dates'!#REF!,"")</f>
        <v>#REF!</v>
      </c>
      <c r="J555" s="137" t="e">
        <f t="shared" si="63"/>
        <v>#REF!</v>
      </c>
      <c r="K555" s="137" t="e">
        <f>IF(VLOOKUP(A555,'Actual Dates'!A4:AE705,26,),'Actual Dates'!#REF!,"")</f>
        <v>#REF!</v>
      </c>
      <c r="L555" s="137" t="e">
        <f>IF(VLOOKUP(A555,'Actual Dates'!A4:AE705,21,),'Actual Dates'!#REF!,"")</f>
        <v>#REF!</v>
      </c>
      <c r="M555" s="137" t="e">
        <f>'Date Calcs'!#REF!</f>
        <v>#REF!</v>
      </c>
      <c r="N555" s="137" t="e">
        <f>IF(VLOOKUP(A555,'Actual Dates'!A4:AE705,27,),'Actual Dates'!#REF!,"")</f>
        <v>#REF!</v>
      </c>
      <c r="O555" s="138" t="e">
        <f t="shared" si="66"/>
        <v>#REF!</v>
      </c>
      <c r="P555" s="139" t="e">
        <f t="shared" si="64"/>
        <v>#REF!</v>
      </c>
      <c r="Q555" s="139" t="e">
        <f t="shared" si="65"/>
        <v>#REF!</v>
      </c>
      <c r="R555" s="170"/>
      <c r="S555" s="170"/>
    </row>
    <row r="556" spans="1:19" x14ac:dyDescent="0.25">
      <c r="A556" s="134" t="e">
        <f>'Date Calcs'!#REF!</f>
        <v>#REF!</v>
      </c>
      <c r="B556" s="135" t="e">
        <f>'Date Calcs'!#REF!</f>
        <v>#REF!</v>
      </c>
      <c r="C556" s="136" t="e">
        <f>'Date Calcs'!#REF!</f>
        <v>#REF!</v>
      </c>
      <c r="D556" s="137" t="e">
        <f t="shared" si="67"/>
        <v>#REF!</v>
      </c>
      <c r="E556" s="143">
        <v>44579</v>
      </c>
      <c r="F556" s="137" t="e">
        <f>'Date Calcs'!#REF!</f>
        <v>#REF!</v>
      </c>
      <c r="G556" s="137" t="e">
        <f>IF(VLOOKUP(A556,'Actual Dates'!A4:AE683,8,),'Actual Dates'!#REF!,"")</f>
        <v>#REF!</v>
      </c>
      <c r="H556" s="137" t="e">
        <f t="shared" si="62"/>
        <v>#REF!</v>
      </c>
      <c r="I556" s="137" t="e">
        <f>IF(VLOOKUP(A556,'Actual Dates'!A4:AE678,25,),'Actual Dates'!#REF!,"")</f>
        <v>#REF!</v>
      </c>
      <c r="J556" s="137" t="e">
        <f t="shared" si="63"/>
        <v>#REF!</v>
      </c>
      <c r="K556" s="137" t="e">
        <f>IF(VLOOKUP(A556,'Actual Dates'!A4:AE706,26,),'Actual Dates'!#REF!,"")</f>
        <v>#REF!</v>
      </c>
      <c r="L556" s="137" t="e">
        <f>IF(VLOOKUP(A556,'Actual Dates'!A4:AE706,21,),'Actual Dates'!#REF!,"")</f>
        <v>#REF!</v>
      </c>
      <c r="M556" s="137" t="e">
        <f>'Date Calcs'!#REF!</f>
        <v>#REF!</v>
      </c>
      <c r="N556" s="137" t="e">
        <f>IF(VLOOKUP(A556,'Actual Dates'!A4:AE706,27,),'Actual Dates'!#REF!,"")</f>
        <v>#REF!</v>
      </c>
      <c r="O556" s="138" t="e">
        <f t="shared" si="66"/>
        <v>#REF!</v>
      </c>
      <c r="P556" s="139" t="e">
        <f t="shared" si="64"/>
        <v>#REF!</v>
      </c>
      <c r="Q556" s="139" t="e">
        <f t="shared" si="65"/>
        <v>#REF!</v>
      </c>
      <c r="R556" s="170"/>
      <c r="S556" s="170"/>
    </row>
    <row r="557" spans="1:19" x14ac:dyDescent="0.25">
      <c r="A557" s="134" t="e">
        <f>'Date Calcs'!#REF!</f>
        <v>#REF!</v>
      </c>
      <c r="B557" s="135" t="e">
        <f>'Date Calcs'!#REF!</f>
        <v>#REF!</v>
      </c>
      <c r="C557" s="136" t="e">
        <f>'Date Calcs'!#REF!</f>
        <v>#REF!</v>
      </c>
      <c r="D557" s="137" t="e">
        <f t="shared" si="67"/>
        <v>#REF!</v>
      </c>
      <c r="E557" s="143">
        <v>44580</v>
      </c>
      <c r="F557" s="137" t="e">
        <f>'Date Calcs'!#REF!</f>
        <v>#REF!</v>
      </c>
      <c r="G557" s="137" t="e">
        <f>IF(VLOOKUP(A557,'Actual Dates'!A4:AE684,8,),'Actual Dates'!#REF!,"")</f>
        <v>#REF!</v>
      </c>
      <c r="H557" s="137" t="e">
        <f t="shared" si="62"/>
        <v>#REF!</v>
      </c>
      <c r="I557" s="137" t="e">
        <f>IF(VLOOKUP(A557,'Actual Dates'!A4:AE679,25,),'Actual Dates'!#REF!,"")</f>
        <v>#REF!</v>
      </c>
      <c r="J557" s="137" t="e">
        <f t="shared" si="63"/>
        <v>#REF!</v>
      </c>
      <c r="K557" s="137" t="e">
        <f>IF(VLOOKUP(A557,'Actual Dates'!A4:AE707,26,),'Actual Dates'!#REF!,"")</f>
        <v>#REF!</v>
      </c>
      <c r="L557" s="137" t="e">
        <f>IF(VLOOKUP(A557,'Actual Dates'!A4:AE707,21,),'Actual Dates'!#REF!,"")</f>
        <v>#REF!</v>
      </c>
      <c r="M557" s="137" t="e">
        <f>'Date Calcs'!#REF!</f>
        <v>#REF!</v>
      </c>
      <c r="N557" s="137" t="e">
        <f>IF(VLOOKUP(A557,'Actual Dates'!A4:AE707,27,),'Actual Dates'!#REF!,"")</f>
        <v>#REF!</v>
      </c>
      <c r="O557" s="138" t="e">
        <f t="shared" si="66"/>
        <v>#REF!</v>
      </c>
      <c r="P557" s="139" t="e">
        <f t="shared" si="64"/>
        <v>#REF!</v>
      </c>
      <c r="Q557" s="139" t="e">
        <f t="shared" si="65"/>
        <v>#REF!</v>
      </c>
      <c r="R557" s="170"/>
      <c r="S557" s="170"/>
    </row>
    <row r="558" spans="1:19" x14ac:dyDescent="0.25">
      <c r="A558" s="134" t="e">
        <f>'Date Calcs'!#REF!</f>
        <v>#REF!</v>
      </c>
      <c r="B558" s="135" t="e">
        <f>'Date Calcs'!#REF!</f>
        <v>#REF!</v>
      </c>
      <c r="C558" s="136" t="e">
        <f>'Date Calcs'!#REF!</f>
        <v>#REF!</v>
      </c>
      <c r="D558" s="137" t="e">
        <f t="shared" si="67"/>
        <v>#REF!</v>
      </c>
      <c r="E558" s="143">
        <v>44581</v>
      </c>
      <c r="F558" s="137" t="e">
        <f>'Date Calcs'!#REF!</f>
        <v>#REF!</v>
      </c>
      <c r="G558" s="137" t="e">
        <f>IF(VLOOKUP(A558,'Actual Dates'!A4:AE685,8,),'Actual Dates'!#REF!,"")</f>
        <v>#REF!</v>
      </c>
      <c r="H558" s="137" t="e">
        <f t="shared" si="62"/>
        <v>#REF!</v>
      </c>
      <c r="I558" s="137" t="e">
        <f>IF(VLOOKUP(A558,'Actual Dates'!A4:AE680,25,),'Actual Dates'!#REF!,"")</f>
        <v>#REF!</v>
      </c>
      <c r="J558" s="137" t="e">
        <f t="shared" si="63"/>
        <v>#REF!</v>
      </c>
      <c r="K558" s="137" t="e">
        <f>IF(VLOOKUP(A558,'Actual Dates'!A4:AE708,26,),'Actual Dates'!#REF!,"")</f>
        <v>#REF!</v>
      </c>
      <c r="L558" s="137" t="e">
        <f>IF(VLOOKUP(A558,'Actual Dates'!A4:AE708,21,),'Actual Dates'!#REF!,"")</f>
        <v>#REF!</v>
      </c>
      <c r="M558" s="137" t="e">
        <f>'Date Calcs'!#REF!</f>
        <v>#REF!</v>
      </c>
      <c r="N558" s="137" t="e">
        <f>IF(VLOOKUP(A558,'Actual Dates'!A4:AE708,27,),'Actual Dates'!#REF!,"")</f>
        <v>#REF!</v>
      </c>
      <c r="O558" s="138" t="e">
        <f t="shared" si="66"/>
        <v>#REF!</v>
      </c>
      <c r="P558" s="139" t="e">
        <f t="shared" si="64"/>
        <v>#REF!</v>
      </c>
      <c r="Q558" s="139" t="e">
        <f t="shared" si="65"/>
        <v>#REF!</v>
      </c>
      <c r="R558" s="170"/>
      <c r="S558" s="170"/>
    </row>
    <row r="559" spans="1:19" x14ac:dyDescent="0.25">
      <c r="A559" s="134" t="e">
        <f>'Date Calcs'!#REF!</f>
        <v>#REF!</v>
      </c>
      <c r="B559" s="135" t="e">
        <f>'Date Calcs'!#REF!</f>
        <v>#REF!</v>
      </c>
      <c r="C559" s="136" t="e">
        <f>'Date Calcs'!#REF!</f>
        <v>#REF!</v>
      </c>
      <c r="D559" s="137" t="e">
        <f t="shared" si="67"/>
        <v>#REF!</v>
      </c>
      <c r="E559" s="143">
        <v>44582</v>
      </c>
      <c r="F559" s="137" t="e">
        <f>'Date Calcs'!#REF!</f>
        <v>#REF!</v>
      </c>
      <c r="G559" s="137" t="e">
        <f>IF(VLOOKUP(A559,'Actual Dates'!A4:AE686,8,),'Actual Dates'!#REF!,"")</f>
        <v>#REF!</v>
      </c>
      <c r="H559" s="137" t="e">
        <f t="shared" si="62"/>
        <v>#REF!</v>
      </c>
      <c r="I559" s="137" t="e">
        <f>IF(VLOOKUP(A559,'Actual Dates'!A4:AE681,25,),'Actual Dates'!#REF!,"")</f>
        <v>#REF!</v>
      </c>
      <c r="J559" s="137" t="e">
        <f t="shared" si="63"/>
        <v>#REF!</v>
      </c>
      <c r="K559" s="137" t="e">
        <f>IF(VLOOKUP(A559,'Actual Dates'!A4:AE709,26,),'Actual Dates'!#REF!,"")</f>
        <v>#REF!</v>
      </c>
      <c r="L559" s="137" t="e">
        <f>IF(VLOOKUP(A559,'Actual Dates'!A4:AE709,21,),'Actual Dates'!#REF!,"")</f>
        <v>#REF!</v>
      </c>
      <c r="M559" s="137" t="e">
        <f>'Date Calcs'!#REF!</f>
        <v>#REF!</v>
      </c>
      <c r="N559" s="137" t="e">
        <f>IF(VLOOKUP(A559,'Actual Dates'!A4:AE709,27,),'Actual Dates'!#REF!,"")</f>
        <v>#REF!</v>
      </c>
      <c r="O559" s="138" t="e">
        <f t="shared" si="66"/>
        <v>#REF!</v>
      </c>
      <c r="P559" s="139" t="e">
        <f t="shared" si="64"/>
        <v>#REF!</v>
      </c>
      <c r="Q559" s="139" t="e">
        <f t="shared" si="65"/>
        <v>#REF!</v>
      </c>
      <c r="R559" s="170"/>
      <c r="S559" s="170"/>
    </row>
    <row r="560" spans="1:19" x14ac:dyDescent="0.25">
      <c r="A560" s="134" t="e">
        <f>'Date Calcs'!#REF!</f>
        <v>#REF!</v>
      </c>
      <c r="B560" s="135" t="e">
        <f>'Date Calcs'!#REF!</f>
        <v>#REF!</v>
      </c>
      <c r="C560" s="136" t="e">
        <f>'Date Calcs'!#REF!</f>
        <v>#REF!</v>
      </c>
      <c r="D560" s="137" t="e">
        <f t="shared" si="67"/>
        <v>#REF!</v>
      </c>
      <c r="E560" s="143">
        <v>44583</v>
      </c>
      <c r="F560" s="137" t="e">
        <f>'Date Calcs'!#REF!</f>
        <v>#REF!</v>
      </c>
      <c r="G560" s="137" t="e">
        <f>IF(VLOOKUP(A560,'Actual Dates'!A4:AE687,8,),'Actual Dates'!#REF!,"")</f>
        <v>#REF!</v>
      </c>
      <c r="H560" s="137" t="e">
        <f t="shared" si="62"/>
        <v>#REF!</v>
      </c>
      <c r="I560" s="137" t="e">
        <f>IF(VLOOKUP(A560,'Actual Dates'!A4:AE682,25,),'Actual Dates'!#REF!,"")</f>
        <v>#REF!</v>
      </c>
      <c r="J560" s="137" t="e">
        <f t="shared" si="63"/>
        <v>#REF!</v>
      </c>
      <c r="K560" s="137" t="e">
        <f>IF(VLOOKUP(A560,'Actual Dates'!A4:AE710,26,),'Actual Dates'!#REF!,"")</f>
        <v>#REF!</v>
      </c>
      <c r="L560" s="137" t="e">
        <f>IF(VLOOKUP(A560,'Actual Dates'!A4:AE710,21,),'Actual Dates'!#REF!,"")</f>
        <v>#REF!</v>
      </c>
      <c r="M560" s="137" t="e">
        <f>'Date Calcs'!#REF!</f>
        <v>#REF!</v>
      </c>
      <c r="N560" s="137" t="e">
        <f>IF(VLOOKUP(A560,'Actual Dates'!A4:AE710,27,),'Actual Dates'!#REF!,"")</f>
        <v>#REF!</v>
      </c>
      <c r="O560" s="138" t="e">
        <f t="shared" si="66"/>
        <v>#REF!</v>
      </c>
      <c r="P560" s="139" t="e">
        <f t="shared" si="64"/>
        <v>#REF!</v>
      </c>
      <c r="Q560" s="139" t="e">
        <f t="shared" si="65"/>
        <v>#REF!</v>
      </c>
      <c r="R560" s="170"/>
      <c r="S560" s="170"/>
    </row>
    <row r="561" spans="1:19" x14ac:dyDescent="0.25">
      <c r="A561" s="134" t="e">
        <f>'Date Calcs'!#REF!</f>
        <v>#REF!</v>
      </c>
      <c r="B561" s="135" t="e">
        <f>'Date Calcs'!#REF!</f>
        <v>#REF!</v>
      </c>
      <c r="C561" s="136" t="e">
        <f>'Date Calcs'!#REF!</f>
        <v>#REF!</v>
      </c>
      <c r="D561" s="137" t="e">
        <f t="shared" si="67"/>
        <v>#REF!</v>
      </c>
      <c r="E561" s="143">
        <v>44584</v>
      </c>
      <c r="F561" s="137" t="e">
        <f>'Date Calcs'!#REF!</f>
        <v>#REF!</v>
      </c>
      <c r="G561" s="137" t="e">
        <f>IF(VLOOKUP(A561,'Actual Dates'!A4:AE688,8,),'Actual Dates'!#REF!,"")</f>
        <v>#REF!</v>
      </c>
      <c r="H561" s="137" t="e">
        <f t="shared" si="62"/>
        <v>#REF!</v>
      </c>
      <c r="I561" s="137" t="e">
        <f>IF(VLOOKUP(A561,'Actual Dates'!A4:AE683,25,),'Actual Dates'!#REF!,"")</f>
        <v>#REF!</v>
      </c>
      <c r="J561" s="137" t="e">
        <f t="shared" si="63"/>
        <v>#REF!</v>
      </c>
      <c r="K561" s="137" t="e">
        <f>IF(VLOOKUP(A561,'Actual Dates'!A4:AE711,26,),'Actual Dates'!#REF!,"")</f>
        <v>#REF!</v>
      </c>
      <c r="L561" s="137" t="e">
        <f>IF(VLOOKUP(A561,'Actual Dates'!A4:AE711,21,),'Actual Dates'!#REF!,"")</f>
        <v>#REF!</v>
      </c>
      <c r="M561" s="137" t="e">
        <f>'Date Calcs'!#REF!</f>
        <v>#REF!</v>
      </c>
      <c r="N561" s="137" t="e">
        <f>IF(VLOOKUP(A561,'Actual Dates'!A4:AE711,27,),'Actual Dates'!#REF!,"")</f>
        <v>#REF!</v>
      </c>
      <c r="O561" s="138" t="e">
        <f t="shared" si="66"/>
        <v>#REF!</v>
      </c>
      <c r="P561" s="139" t="e">
        <f t="shared" si="64"/>
        <v>#REF!</v>
      </c>
      <c r="Q561" s="139" t="e">
        <f t="shared" si="65"/>
        <v>#REF!</v>
      </c>
      <c r="R561" s="170"/>
      <c r="S561" s="170"/>
    </row>
    <row r="562" spans="1:19" x14ac:dyDescent="0.25">
      <c r="A562" s="134" t="e">
        <f>'Date Calcs'!#REF!</f>
        <v>#REF!</v>
      </c>
      <c r="B562" s="135" t="e">
        <f>'Date Calcs'!#REF!</f>
        <v>#REF!</v>
      </c>
      <c r="C562" s="136" t="e">
        <f>'Date Calcs'!#REF!</f>
        <v>#REF!</v>
      </c>
      <c r="D562" s="137" t="e">
        <f t="shared" si="67"/>
        <v>#REF!</v>
      </c>
      <c r="E562" s="143">
        <v>44585</v>
      </c>
      <c r="F562" s="137" t="e">
        <f>'Date Calcs'!#REF!</f>
        <v>#REF!</v>
      </c>
      <c r="G562" s="137" t="e">
        <f>IF(VLOOKUP(A562,'Actual Dates'!A4:AE689,8,),'Actual Dates'!#REF!,"")</f>
        <v>#REF!</v>
      </c>
      <c r="H562" s="137" t="e">
        <f t="shared" si="62"/>
        <v>#REF!</v>
      </c>
      <c r="I562" s="137" t="e">
        <f>IF(VLOOKUP(A562,'Actual Dates'!A4:AE684,25,),'Actual Dates'!#REF!,"")</f>
        <v>#REF!</v>
      </c>
      <c r="J562" s="137" t="e">
        <f t="shared" si="63"/>
        <v>#REF!</v>
      </c>
      <c r="K562" s="137" t="e">
        <f>IF(VLOOKUP(A562,'Actual Dates'!A4:AE712,26,),'Actual Dates'!#REF!,"")</f>
        <v>#REF!</v>
      </c>
      <c r="L562" s="137" t="e">
        <f>IF(VLOOKUP(A562,'Actual Dates'!A4:AE712,21,),'Actual Dates'!#REF!,"")</f>
        <v>#REF!</v>
      </c>
      <c r="M562" s="137" t="e">
        <f>'Date Calcs'!#REF!</f>
        <v>#REF!</v>
      </c>
      <c r="N562" s="137" t="e">
        <f>IF(VLOOKUP(A562,'Actual Dates'!A4:AE712,27,),'Actual Dates'!#REF!,"")</f>
        <v>#REF!</v>
      </c>
      <c r="O562" s="138" t="e">
        <f t="shared" si="66"/>
        <v>#REF!</v>
      </c>
      <c r="P562" s="139" t="e">
        <f t="shared" si="64"/>
        <v>#REF!</v>
      </c>
      <c r="Q562" s="139" t="e">
        <f t="shared" si="65"/>
        <v>#REF!</v>
      </c>
      <c r="R562" s="170"/>
      <c r="S562" s="170"/>
    </row>
    <row r="563" spans="1:19" x14ac:dyDescent="0.25">
      <c r="A563" s="134" t="e">
        <f>'Date Calcs'!#REF!</f>
        <v>#REF!</v>
      </c>
      <c r="B563" s="135" t="e">
        <f>'Date Calcs'!#REF!</f>
        <v>#REF!</v>
      </c>
      <c r="C563" s="136" t="e">
        <f>'Date Calcs'!#REF!</f>
        <v>#REF!</v>
      </c>
      <c r="D563" s="137" t="e">
        <f t="shared" si="67"/>
        <v>#REF!</v>
      </c>
      <c r="E563" s="143">
        <v>44586</v>
      </c>
      <c r="F563" s="137" t="e">
        <f>'Date Calcs'!#REF!</f>
        <v>#REF!</v>
      </c>
      <c r="G563" s="137" t="e">
        <f>IF(VLOOKUP(A563,'Actual Dates'!A4:AE690,8,),'Actual Dates'!#REF!,"")</f>
        <v>#REF!</v>
      </c>
      <c r="H563" s="137" t="e">
        <f t="shared" ref="H563:H626" si="68">WORKDAY(L563,3,)</f>
        <v>#REF!</v>
      </c>
      <c r="I563" s="137" t="e">
        <f>IF(VLOOKUP(A563,'Actual Dates'!A4:AE685,25,),'Actual Dates'!#REF!,"")</f>
        <v>#REF!</v>
      </c>
      <c r="J563" s="137" t="e">
        <f t="shared" ref="J563:J626" si="69">WORKDAY(L563,4,)</f>
        <v>#REF!</v>
      </c>
      <c r="K563" s="137" t="e">
        <f>IF(VLOOKUP(A563,'Actual Dates'!A4:AE713,26,),'Actual Dates'!#REF!,"")</f>
        <v>#REF!</v>
      </c>
      <c r="L563" s="137" t="e">
        <f>IF(VLOOKUP(A563,'Actual Dates'!A4:AE713,21,),'Actual Dates'!#REF!,"")</f>
        <v>#REF!</v>
      </c>
      <c r="M563" s="137" t="e">
        <f>'Date Calcs'!#REF!</f>
        <v>#REF!</v>
      </c>
      <c r="N563" s="137" t="e">
        <f>IF(VLOOKUP(A563,'Actual Dates'!A4:AE713,27,),'Actual Dates'!#REF!,"")</f>
        <v>#REF!</v>
      </c>
      <c r="O563" s="138" t="e">
        <f t="shared" si="66"/>
        <v>#REF!</v>
      </c>
      <c r="P563" s="139" t="e">
        <f t="shared" ref="P563:P626" si="70">F563-G563</f>
        <v>#REF!</v>
      </c>
      <c r="Q563" s="139" t="e">
        <f t="shared" ref="Q563:Q626" si="71">M563-N563</f>
        <v>#REF!</v>
      </c>
      <c r="R563" s="170"/>
      <c r="S563" s="170"/>
    </row>
    <row r="564" spans="1:19" x14ac:dyDescent="0.25">
      <c r="A564" s="134" t="e">
        <f>'Date Calcs'!#REF!</f>
        <v>#REF!</v>
      </c>
      <c r="B564" s="135" t="e">
        <f>'Date Calcs'!#REF!</f>
        <v>#REF!</v>
      </c>
      <c r="C564" s="136" t="e">
        <f>'Date Calcs'!#REF!</f>
        <v>#REF!</v>
      </c>
      <c r="D564" s="137" t="e">
        <f t="shared" si="67"/>
        <v>#REF!</v>
      </c>
      <c r="E564" s="143">
        <v>44587</v>
      </c>
      <c r="F564" s="137" t="e">
        <f>'Date Calcs'!#REF!</f>
        <v>#REF!</v>
      </c>
      <c r="G564" s="137" t="e">
        <f>IF(VLOOKUP(A564,'Actual Dates'!A4:AE691,8,),'Actual Dates'!#REF!,"")</f>
        <v>#REF!</v>
      </c>
      <c r="H564" s="137" t="e">
        <f t="shared" si="68"/>
        <v>#REF!</v>
      </c>
      <c r="I564" s="137" t="e">
        <f>IF(VLOOKUP(A564,'Actual Dates'!A4:AE686,25,),'Actual Dates'!#REF!,"")</f>
        <v>#REF!</v>
      </c>
      <c r="J564" s="137" t="e">
        <f t="shared" si="69"/>
        <v>#REF!</v>
      </c>
      <c r="K564" s="137" t="e">
        <f>IF(VLOOKUP(A564,'Actual Dates'!A4:AE714,26,),'Actual Dates'!#REF!,"")</f>
        <v>#REF!</v>
      </c>
      <c r="L564" s="137" t="e">
        <f>IF(VLOOKUP(A564,'Actual Dates'!A4:AE714,21,),'Actual Dates'!#REF!,"")</f>
        <v>#REF!</v>
      </c>
      <c r="M564" s="137" t="e">
        <f>'Date Calcs'!#REF!</f>
        <v>#REF!</v>
      </c>
      <c r="N564" s="137" t="e">
        <f>IF(VLOOKUP(A564,'Actual Dates'!A4:AE714,27,),'Actual Dates'!#REF!,"")</f>
        <v>#REF!</v>
      </c>
      <c r="O564" s="138" t="e">
        <f t="shared" si="66"/>
        <v>#REF!</v>
      </c>
      <c r="P564" s="139" t="e">
        <f t="shared" si="70"/>
        <v>#REF!</v>
      </c>
      <c r="Q564" s="139" t="e">
        <f t="shared" si="71"/>
        <v>#REF!</v>
      </c>
      <c r="R564" s="170"/>
      <c r="S564" s="170"/>
    </row>
    <row r="565" spans="1:19" x14ac:dyDescent="0.25">
      <c r="A565" s="134" t="e">
        <f>'Date Calcs'!#REF!</f>
        <v>#REF!</v>
      </c>
      <c r="B565" s="135" t="e">
        <f>'Date Calcs'!#REF!</f>
        <v>#REF!</v>
      </c>
      <c r="C565" s="136" t="e">
        <f>'Date Calcs'!#REF!</f>
        <v>#REF!</v>
      </c>
      <c r="D565" s="137" t="e">
        <f t="shared" si="67"/>
        <v>#REF!</v>
      </c>
      <c r="E565" s="143">
        <v>44588</v>
      </c>
      <c r="F565" s="137" t="e">
        <f>'Date Calcs'!#REF!</f>
        <v>#REF!</v>
      </c>
      <c r="G565" s="137" t="e">
        <f>IF(VLOOKUP(A565,'Actual Dates'!A4:AE692,8,),'Actual Dates'!#REF!,"")</f>
        <v>#REF!</v>
      </c>
      <c r="H565" s="137" t="e">
        <f t="shared" si="68"/>
        <v>#REF!</v>
      </c>
      <c r="I565" s="137" t="e">
        <f>IF(VLOOKUP(A565,'Actual Dates'!A4:AE687,25,),'Actual Dates'!#REF!,"")</f>
        <v>#REF!</v>
      </c>
      <c r="J565" s="137" t="e">
        <f t="shared" si="69"/>
        <v>#REF!</v>
      </c>
      <c r="K565" s="137" t="e">
        <f>IF(VLOOKUP(A565,'Actual Dates'!A4:AE715,26,),'Actual Dates'!#REF!,"")</f>
        <v>#REF!</v>
      </c>
      <c r="L565" s="137" t="e">
        <f>IF(VLOOKUP(A565,'Actual Dates'!A4:AE715,21,),'Actual Dates'!#REF!,"")</f>
        <v>#REF!</v>
      </c>
      <c r="M565" s="137" t="e">
        <f>'Date Calcs'!#REF!</f>
        <v>#REF!</v>
      </c>
      <c r="N565" s="137" t="e">
        <f>IF(VLOOKUP(A565,'Actual Dates'!A4:AE715,27,),'Actual Dates'!#REF!,"")</f>
        <v>#REF!</v>
      </c>
      <c r="O565" s="138" t="e">
        <f t="shared" si="66"/>
        <v>#REF!</v>
      </c>
      <c r="P565" s="139" t="e">
        <f t="shared" si="70"/>
        <v>#REF!</v>
      </c>
      <c r="Q565" s="139" t="e">
        <f t="shared" si="71"/>
        <v>#REF!</v>
      </c>
      <c r="R565" s="170"/>
      <c r="S565" s="170"/>
    </row>
    <row r="566" spans="1:19" x14ac:dyDescent="0.25">
      <c r="A566" s="134" t="e">
        <f>'Date Calcs'!#REF!</f>
        <v>#REF!</v>
      </c>
      <c r="B566" s="135" t="e">
        <f>'Date Calcs'!#REF!</f>
        <v>#REF!</v>
      </c>
      <c r="C566" s="136" t="e">
        <f>'Date Calcs'!#REF!</f>
        <v>#REF!</v>
      </c>
      <c r="D566" s="137" t="e">
        <f t="shared" si="67"/>
        <v>#REF!</v>
      </c>
      <c r="E566" s="143">
        <v>44589</v>
      </c>
      <c r="F566" s="137" t="e">
        <f>'Date Calcs'!#REF!</f>
        <v>#REF!</v>
      </c>
      <c r="G566" s="137" t="e">
        <f>IF(VLOOKUP(A566,'Actual Dates'!A4:AE693,8,),'Actual Dates'!#REF!,"")</f>
        <v>#REF!</v>
      </c>
      <c r="H566" s="137" t="e">
        <f t="shared" si="68"/>
        <v>#REF!</v>
      </c>
      <c r="I566" s="137" t="e">
        <f>IF(VLOOKUP(A566,'Actual Dates'!A4:AE688,25,),'Actual Dates'!#REF!,"")</f>
        <v>#REF!</v>
      </c>
      <c r="J566" s="137" t="e">
        <f t="shared" si="69"/>
        <v>#REF!</v>
      </c>
      <c r="K566" s="137" t="e">
        <f>IF(VLOOKUP(A566,'Actual Dates'!A4:AE716,26,),'Actual Dates'!#REF!,"")</f>
        <v>#REF!</v>
      </c>
      <c r="L566" s="137" t="e">
        <f>IF(VLOOKUP(A566,'Actual Dates'!A4:AE716,21,),'Actual Dates'!#REF!,"")</f>
        <v>#REF!</v>
      </c>
      <c r="M566" s="137" t="e">
        <f>'Date Calcs'!#REF!</f>
        <v>#REF!</v>
      </c>
      <c r="N566" s="137" t="e">
        <f>IF(VLOOKUP(A566,'Actual Dates'!A4:AE716,27,),'Actual Dates'!#REF!,"")</f>
        <v>#REF!</v>
      </c>
      <c r="O566" s="138" t="e">
        <f t="shared" si="66"/>
        <v>#REF!</v>
      </c>
      <c r="P566" s="139" t="e">
        <f t="shared" si="70"/>
        <v>#REF!</v>
      </c>
      <c r="Q566" s="139" t="e">
        <f t="shared" si="71"/>
        <v>#REF!</v>
      </c>
      <c r="R566" s="170"/>
      <c r="S566" s="170"/>
    </row>
    <row r="567" spans="1:19" x14ac:dyDescent="0.25">
      <c r="A567" s="134" t="e">
        <f>'Date Calcs'!#REF!</f>
        <v>#REF!</v>
      </c>
      <c r="B567" s="135" t="e">
        <f>'Date Calcs'!#REF!</f>
        <v>#REF!</v>
      </c>
      <c r="C567" s="136" t="e">
        <f>'Date Calcs'!#REF!</f>
        <v>#REF!</v>
      </c>
      <c r="D567" s="137" t="e">
        <f t="shared" si="67"/>
        <v>#REF!</v>
      </c>
      <c r="E567" s="143">
        <v>44590</v>
      </c>
      <c r="F567" s="137" t="e">
        <f>'Date Calcs'!#REF!</f>
        <v>#REF!</v>
      </c>
      <c r="G567" s="137" t="e">
        <f>IF(VLOOKUP(A567,'Actual Dates'!A4:AE694,8,),'Actual Dates'!#REF!,"")</f>
        <v>#REF!</v>
      </c>
      <c r="H567" s="137" t="e">
        <f t="shared" si="68"/>
        <v>#REF!</v>
      </c>
      <c r="I567" s="137" t="e">
        <f>IF(VLOOKUP(A567,'Actual Dates'!A4:AE689,25,),'Actual Dates'!#REF!,"")</f>
        <v>#REF!</v>
      </c>
      <c r="J567" s="137" t="e">
        <f t="shared" si="69"/>
        <v>#REF!</v>
      </c>
      <c r="K567" s="137" t="e">
        <f>IF(VLOOKUP(A567,'Actual Dates'!A4:AE717,26,),'Actual Dates'!#REF!,"")</f>
        <v>#REF!</v>
      </c>
      <c r="L567" s="137" t="e">
        <f>IF(VLOOKUP(A567,'Actual Dates'!A4:AE717,21,),'Actual Dates'!#REF!,"")</f>
        <v>#REF!</v>
      </c>
      <c r="M567" s="137" t="e">
        <f>'Date Calcs'!#REF!</f>
        <v>#REF!</v>
      </c>
      <c r="N567" s="137" t="e">
        <f>IF(VLOOKUP(A567,'Actual Dates'!A4:AE717,27,),'Actual Dates'!#REF!,"")</f>
        <v>#REF!</v>
      </c>
      <c r="O567" s="138" t="e">
        <f t="shared" si="66"/>
        <v>#REF!</v>
      </c>
      <c r="P567" s="139" t="e">
        <f t="shared" si="70"/>
        <v>#REF!</v>
      </c>
      <c r="Q567" s="139" t="e">
        <f t="shared" si="71"/>
        <v>#REF!</v>
      </c>
      <c r="R567" s="170"/>
      <c r="S567" s="170"/>
    </row>
    <row r="568" spans="1:19" x14ac:dyDescent="0.25">
      <c r="A568" s="134" t="e">
        <f>'Date Calcs'!#REF!</f>
        <v>#REF!</v>
      </c>
      <c r="B568" s="135" t="e">
        <f>'Date Calcs'!#REF!</f>
        <v>#REF!</v>
      </c>
      <c r="C568" s="136" t="e">
        <f>'Date Calcs'!#REF!</f>
        <v>#REF!</v>
      </c>
      <c r="D568" s="137" t="e">
        <f t="shared" si="67"/>
        <v>#REF!</v>
      </c>
      <c r="E568" s="143">
        <v>44591</v>
      </c>
      <c r="F568" s="137" t="e">
        <f>'Date Calcs'!#REF!</f>
        <v>#REF!</v>
      </c>
      <c r="G568" s="137" t="e">
        <f>IF(VLOOKUP(A568,'Actual Dates'!A4:AE695,8,),'Actual Dates'!#REF!,"")</f>
        <v>#REF!</v>
      </c>
      <c r="H568" s="137" t="e">
        <f t="shared" si="68"/>
        <v>#REF!</v>
      </c>
      <c r="I568" s="137" t="e">
        <f>IF(VLOOKUP(A568,'Actual Dates'!A4:AE690,25,),'Actual Dates'!#REF!,"")</f>
        <v>#REF!</v>
      </c>
      <c r="J568" s="137" t="e">
        <f t="shared" si="69"/>
        <v>#REF!</v>
      </c>
      <c r="K568" s="137" t="e">
        <f>IF(VLOOKUP(A568,'Actual Dates'!A4:AE718,26,),'Actual Dates'!#REF!,"")</f>
        <v>#REF!</v>
      </c>
      <c r="L568" s="137" t="e">
        <f>IF(VLOOKUP(A568,'Actual Dates'!A4:AE718,21,),'Actual Dates'!#REF!,"")</f>
        <v>#REF!</v>
      </c>
      <c r="M568" s="137" t="e">
        <f>'Date Calcs'!#REF!</f>
        <v>#REF!</v>
      </c>
      <c r="N568" s="137" t="e">
        <f>IF(VLOOKUP(A568,'Actual Dates'!A4:AE718,27,),'Actual Dates'!#REF!,"")</f>
        <v>#REF!</v>
      </c>
      <c r="O568" s="138" t="e">
        <f t="shared" si="66"/>
        <v>#REF!</v>
      </c>
      <c r="P568" s="139" t="e">
        <f t="shared" si="70"/>
        <v>#REF!</v>
      </c>
      <c r="Q568" s="139" t="e">
        <f t="shared" si="71"/>
        <v>#REF!</v>
      </c>
      <c r="R568" s="170"/>
      <c r="S568" s="170"/>
    </row>
    <row r="569" spans="1:19" x14ac:dyDescent="0.25">
      <c r="A569" s="134" t="e">
        <f>'Date Calcs'!#REF!</f>
        <v>#REF!</v>
      </c>
      <c r="B569" s="135" t="e">
        <f>'Date Calcs'!#REF!</f>
        <v>#REF!</v>
      </c>
      <c r="C569" s="136" t="e">
        <f>'Date Calcs'!#REF!</f>
        <v>#REF!</v>
      </c>
      <c r="D569" s="137" t="e">
        <f t="shared" si="67"/>
        <v>#REF!</v>
      </c>
      <c r="E569" s="143">
        <v>44592</v>
      </c>
      <c r="F569" s="137" t="e">
        <f>'Date Calcs'!#REF!</f>
        <v>#REF!</v>
      </c>
      <c r="G569" s="137" t="e">
        <f>IF(VLOOKUP(A569,'Actual Dates'!A4:AE696,8,),'Actual Dates'!#REF!,"")</f>
        <v>#REF!</v>
      </c>
      <c r="H569" s="137" t="e">
        <f t="shared" si="68"/>
        <v>#REF!</v>
      </c>
      <c r="I569" s="137" t="e">
        <f>IF(VLOOKUP(A569,'Actual Dates'!A4:AE691,25,),'Actual Dates'!#REF!,"")</f>
        <v>#REF!</v>
      </c>
      <c r="J569" s="137" t="e">
        <f t="shared" si="69"/>
        <v>#REF!</v>
      </c>
      <c r="K569" s="137" t="e">
        <f>IF(VLOOKUP(A569,'Actual Dates'!A4:AE719,26,),'Actual Dates'!#REF!,"")</f>
        <v>#REF!</v>
      </c>
      <c r="L569" s="137" t="e">
        <f>IF(VLOOKUP(A569,'Actual Dates'!A4:AE719,21,),'Actual Dates'!#REF!,"")</f>
        <v>#REF!</v>
      </c>
      <c r="M569" s="137" t="e">
        <f>'Date Calcs'!#REF!</f>
        <v>#REF!</v>
      </c>
      <c r="N569" s="137" t="e">
        <f>IF(VLOOKUP(A569,'Actual Dates'!A4:AE719,27,),'Actual Dates'!#REF!,"")</f>
        <v>#REF!</v>
      </c>
      <c r="O569" s="138" t="e">
        <f t="shared" si="66"/>
        <v>#REF!</v>
      </c>
      <c r="P569" s="139" t="e">
        <f t="shared" si="70"/>
        <v>#REF!</v>
      </c>
      <c r="Q569" s="139" t="e">
        <f t="shared" si="71"/>
        <v>#REF!</v>
      </c>
      <c r="R569" s="170"/>
      <c r="S569" s="170"/>
    </row>
    <row r="570" spans="1:19" x14ac:dyDescent="0.25">
      <c r="A570" s="134" t="e">
        <f>'Date Calcs'!#REF!</f>
        <v>#REF!</v>
      </c>
      <c r="B570" s="135" t="e">
        <f>'Date Calcs'!#REF!</f>
        <v>#REF!</v>
      </c>
      <c r="C570" s="136" t="e">
        <f>'Date Calcs'!#REF!</f>
        <v>#REF!</v>
      </c>
      <c r="D570" s="137" t="e">
        <f t="shared" si="67"/>
        <v>#REF!</v>
      </c>
      <c r="E570" s="143">
        <v>44593</v>
      </c>
      <c r="F570" s="137" t="e">
        <f>'Date Calcs'!#REF!</f>
        <v>#REF!</v>
      </c>
      <c r="G570" s="137" t="e">
        <f>IF(VLOOKUP(A570,'Actual Dates'!A4:AE697,8,),'Actual Dates'!#REF!,"")</f>
        <v>#REF!</v>
      </c>
      <c r="H570" s="137" t="e">
        <f t="shared" si="68"/>
        <v>#REF!</v>
      </c>
      <c r="I570" s="137" t="e">
        <f>IF(VLOOKUP(A570,'Actual Dates'!A4:AE692,25,),'Actual Dates'!#REF!,"")</f>
        <v>#REF!</v>
      </c>
      <c r="J570" s="137" t="e">
        <f t="shared" si="69"/>
        <v>#REF!</v>
      </c>
      <c r="K570" s="137" t="e">
        <f>IF(VLOOKUP(A570,'Actual Dates'!A4:AE720,26,),'Actual Dates'!#REF!,"")</f>
        <v>#REF!</v>
      </c>
      <c r="L570" s="137" t="e">
        <f>IF(VLOOKUP(A570,'Actual Dates'!A4:AE720,21,),'Actual Dates'!#REF!,"")</f>
        <v>#REF!</v>
      </c>
      <c r="M570" s="137" t="e">
        <f>'Date Calcs'!#REF!</f>
        <v>#REF!</v>
      </c>
      <c r="N570" s="137" t="e">
        <f>IF(VLOOKUP(A570,'Actual Dates'!A4:AE720,27,),'Actual Dates'!#REF!,"")</f>
        <v>#REF!</v>
      </c>
      <c r="O570" s="138" t="e">
        <f t="shared" si="66"/>
        <v>#REF!</v>
      </c>
      <c r="P570" s="139" t="e">
        <f t="shared" si="70"/>
        <v>#REF!</v>
      </c>
      <c r="Q570" s="139" t="e">
        <f t="shared" si="71"/>
        <v>#REF!</v>
      </c>
      <c r="R570" s="170"/>
      <c r="S570" s="170"/>
    </row>
    <row r="571" spans="1:19" x14ac:dyDescent="0.25">
      <c r="A571" s="134" t="e">
        <f>'Date Calcs'!#REF!</f>
        <v>#REF!</v>
      </c>
      <c r="B571" s="135" t="e">
        <f>'Date Calcs'!#REF!</f>
        <v>#REF!</v>
      </c>
      <c r="C571" s="136" t="e">
        <f>'Date Calcs'!#REF!</f>
        <v>#REF!</v>
      </c>
      <c r="D571" s="137" t="e">
        <f t="shared" si="67"/>
        <v>#REF!</v>
      </c>
      <c r="E571" s="143">
        <v>44594</v>
      </c>
      <c r="F571" s="137" t="e">
        <f>'Date Calcs'!#REF!</f>
        <v>#REF!</v>
      </c>
      <c r="G571" s="137" t="e">
        <f>IF(VLOOKUP(A571,'Actual Dates'!A4:AE698,8,),'Actual Dates'!#REF!,"")</f>
        <v>#REF!</v>
      </c>
      <c r="H571" s="137" t="e">
        <f t="shared" si="68"/>
        <v>#REF!</v>
      </c>
      <c r="I571" s="137" t="e">
        <f>IF(VLOOKUP(A571,'Actual Dates'!A4:AE693,25,),'Actual Dates'!#REF!,"")</f>
        <v>#REF!</v>
      </c>
      <c r="J571" s="137" t="e">
        <f t="shared" si="69"/>
        <v>#REF!</v>
      </c>
      <c r="K571" s="137" t="e">
        <f>IF(VLOOKUP(A571,'Actual Dates'!A4:AE721,26,),'Actual Dates'!#REF!,"")</f>
        <v>#REF!</v>
      </c>
      <c r="L571" s="137" t="e">
        <f>IF(VLOOKUP(A571,'Actual Dates'!A4:AE721,21,),'Actual Dates'!#REF!,"")</f>
        <v>#REF!</v>
      </c>
      <c r="M571" s="137" t="e">
        <f>'Date Calcs'!#REF!</f>
        <v>#REF!</v>
      </c>
      <c r="N571" s="137" t="e">
        <f>IF(VLOOKUP(A571,'Actual Dates'!A4:AE721,27,),'Actual Dates'!#REF!,"")</f>
        <v>#REF!</v>
      </c>
      <c r="O571" s="138" t="e">
        <f t="shared" si="66"/>
        <v>#REF!</v>
      </c>
      <c r="P571" s="139" t="e">
        <f t="shared" si="70"/>
        <v>#REF!</v>
      </c>
      <c r="Q571" s="139" t="e">
        <f t="shared" si="71"/>
        <v>#REF!</v>
      </c>
      <c r="R571" s="170"/>
      <c r="S571" s="170"/>
    </row>
    <row r="572" spans="1:19" x14ac:dyDescent="0.25">
      <c r="A572" s="134" t="e">
        <f>'Date Calcs'!#REF!</f>
        <v>#REF!</v>
      </c>
      <c r="B572" s="135" t="e">
        <f>'Date Calcs'!#REF!</f>
        <v>#REF!</v>
      </c>
      <c r="C572" s="136" t="e">
        <f>'Date Calcs'!#REF!</f>
        <v>#REF!</v>
      </c>
      <c r="D572" s="137" t="e">
        <f t="shared" si="67"/>
        <v>#REF!</v>
      </c>
      <c r="E572" s="143">
        <v>44595</v>
      </c>
      <c r="F572" s="137" t="e">
        <f>'Date Calcs'!#REF!</f>
        <v>#REF!</v>
      </c>
      <c r="G572" s="137" t="e">
        <f>IF(VLOOKUP(A572,'Actual Dates'!A4:AE699,8,),'Actual Dates'!#REF!,"")</f>
        <v>#REF!</v>
      </c>
      <c r="H572" s="137" t="e">
        <f t="shared" si="68"/>
        <v>#REF!</v>
      </c>
      <c r="I572" s="137" t="e">
        <f>IF(VLOOKUP(A572,'Actual Dates'!A4:AE694,25,),'Actual Dates'!#REF!,"")</f>
        <v>#REF!</v>
      </c>
      <c r="J572" s="137" t="e">
        <f t="shared" si="69"/>
        <v>#REF!</v>
      </c>
      <c r="K572" s="137" t="e">
        <f>IF(VLOOKUP(A572,'Actual Dates'!A4:AE722,26,),'Actual Dates'!#REF!,"")</f>
        <v>#REF!</v>
      </c>
      <c r="L572" s="137" t="e">
        <f>IF(VLOOKUP(A572,'Actual Dates'!A4:AE722,21,),'Actual Dates'!#REF!,"")</f>
        <v>#REF!</v>
      </c>
      <c r="M572" s="137" t="e">
        <f>'Date Calcs'!#REF!</f>
        <v>#REF!</v>
      </c>
      <c r="N572" s="137" t="e">
        <f>IF(VLOOKUP(A572,'Actual Dates'!A4:AE722,27,),'Actual Dates'!#REF!,"")</f>
        <v>#REF!</v>
      </c>
      <c r="O572" s="138" t="e">
        <f t="shared" si="66"/>
        <v>#REF!</v>
      </c>
      <c r="P572" s="139" t="e">
        <f t="shared" si="70"/>
        <v>#REF!</v>
      </c>
      <c r="Q572" s="139" t="e">
        <f t="shared" si="71"/>
        <v>#REF!</v>
      </c>
      <c r="R572" s="170"/>
      <c r="S572" s="170"/>
    </row>
    <row r="573" spans="1:19" x14ac:dyDescent="0.25">
      <c r="A573" s="134" t="e">
        <f>'Date Calcs'!#REF!</f>
        <v>#REF!</v>
      </c>
      <c r="B573" s="135" t="e">
        <f>'Date Calcs'!#REF!</f>
        <v>#REF!</v>
      </c>
      <c r="C573" s="136" t="e">
        <f>'Date Calcs'!#REF!</f>
        <v>#REF!</v>
      </c>
      <c r="D573" s="137" t="e">
        <f t="shared" si="67"/>
        <v>#REF!</v>
      </c>
      <c r="E573" s="143">
        <v>44596</v>
      </c>
      <c r="F573" s="137" t="e">
        <f>'Date Calcs'!#REF!</f>
        <v>#REF!</v>
      </c>
      <c r="G573" s="137" t="e">
        <f>IF(VLOOKUP(A573,'Actual Dates'!A4:AE700,8,),'Actual Dates'!#REF!,"")</f>
        <v>#REF!</v>
      </c>
      <c r="H573" s="137" t="e">
        <f t="shared" si="68"/>
        <v>#REF!</v>
      </c>
      <c r="I573" s="137" t="e">
        <f>IF(VLOOKUP(A573,'Actual Dates'!A4:AE695,25,),'Actual Dates'!#REF!,"")</f>
        <v>#REF!</v>
      </c>
      <c r="J573" s="137" t="e">
        <f t="shared" si="69"/>
        <v>#REF!</v>
      </c>
      <c r="K573" s="137" t="e">
        <f>IF(VLOOKUP(A573,'Actual Dates'!A4:AE723,26,),'Actual Dates'!#REF!,"")</f>
        <v>#REF!</v>
      </c>
      <c r="L573" s="137" t="e">
        <f>IF(VLOOKUP(A573,'Actual Dates'!A4:AE723,21,),'Actual Dates'!#REF!,"")</f>
        <v>#REF!</v>
      </c>
      <c r="M573" s="137" t="e">
        <f>'Date Calcs'!#REF!</f>
        <v>#REF!</v>
      </c>
      <c r="N573" s="137" t="e">
        <f>IF(VLOOKUP(A573,'Actual Dates'!A4:AE723,27,),'Actual Dates'!#REF!,"")</f>
        <v>#REF!</v>
      </c>
      <c r="O573" s="138" t="e">
        <f t="shared" si="66"/>
        <v>#REF!</v>
      </c>
      <c r="P573" s="139" t="e">
        <f t="shared" si="70"/>
        <v>#REF!</v>
      </c>
      <c r="Q573" s="139" t="e">
        <f t="shared" si="71"/>
        <v>#REF!</v>
      </c>
      <c r="R573" s="170"/>
      <c r="S573" s="170"/>
    </row>
    <row r="574" spans="1:19" x14ac:dyDescent="0.25">
      <c r="A574" s="134" t="e">
        <f>'Date Calcs'!#REF!</f>
        <v>#REF!</v>
      </c>
      <c r="B574" s="135" t="e">
        <f>'Date Calcs'!#REF!</f>
        <v>#REF!</v>
      </c>
      <c r="C574" s="136" t="e">
        <f>'Date Calcs'!#REF!</f>
        <v>#REF!</v>
      </c>
      <c r="D574" s="137" t="e">
        <f t="shared" si="67"/>
        <v>#REF!</v>
      </c>
      <c r="E574" s="143">
        <v>44597</v>
      </c>
      <c r="F574" s="137" t="e">
        <f>'Date Calcs'!#REF!</f>
        <v>#REF!</v>
      </c>
      <c r="G574" s="137" t="e">
        <f>IF(VLOOKUP(A574,'Actual Dates'!A4:AE701,8,),'Actual Dates'!#REF!,"")</f>
        <v>#REF!</v>
      </c>
      <c r="H574" s="137" t="e">
        <f t="shared" si="68"/>
        <v>#REF!</v>
      </c>
      <c r="I574" s="137" t="e">
        <f>IF(VLOOKUP(A574,'Actual Dates'!A4:AE696,25,),'Actual Dates'!#REF!,"")</f>
        <v>#REF!</v>
      </c>
      <c r="J574" s="137" t="e">
        <f t="shared" si="69"/>
        <v>#REF!</v>
      </c>
      <c r="K574" s="137" t="e">
        <f>IF(VLOOKUP(A574,'Actual Dates'!A4:AE724,26,),'Actual Dates'!#REF!,"")</f>
        <v>#REF!</v>
      </c>
      <c r="L574" s="137" t="e">
        <f>IF(VLOOKUP(A574,'Actual Dates'!A4:AE724,21,),'Actual Dates'!#REF!,"")</f>
        <v>#REF!</v>
      </c>
      <c r="M574" s="137" t="e">
        <f>'Date Calcs'!#REF!</f>
        <v>#REF!</v>
      </c>
      <c r="N574" s="137" t="e">
        <f>IF(VLOOKUP(A574,'Actual Dates'!A4:AE724,27,),'Actual Dates'!#REF!,"")</f>
        <v>#REF!</v>
      </c>
      <c r="O574" s="138" t="e">
        <f t="shared" si="66"/>
        <v>#REF!</v>
      </c>
      <c r="P574" s="139" t="e">
        <f t="shared" si="70"/>
        <v>#REF!</v>
      </c>
      <c r="Q574" s="139" t="e">
        <f t="shared" si="71"/>
        <v>#REF!</v>
      </c>
      <c r="R574" s="170"/>
      <c r="S574" s="170"/>
    </row>
    <row r="575" spans="1:19" x14ac:dyDescent="0.25">
      <c r="A575" s="134" t="e">
        <f>'Date Calcs'!#REF!</f>
        <v>#REF!</v>
      </c>
      <c r="B575" s="135" t="e">
        <f>'Date Calcs'!#REF!</f>
        <v>#REF!</v>
      </c>
      <c r="C575" s="136" t="e">
        <f>'Date Calcs'!#REF!</f>
        <v>#REF!</v>
      </c>
      <c r="D575" s="137" t="e">
        <f t="shared" si="67"/>
        <v>#REF!</v>
      </c>
      <c r="E575" s="143">
        <v>44598</v>
      </c>
      <c r="F575" s="137" t="e">
        <f>'Date Calcs'!#REF!</f>
        <v>#REF!</v>
      </c>
      <c r="G575" s="137" t="e">
        <f>IF(VLOOKUP(A575,'Actual Dates'!A4:AE702,8,),'Actual Dates'!#REF!,"")</f>
        <v>#REF!</v>
      </c>
      <c r="H575" s="137" t="e">
        <f t="shared" si="68"/>
        <v>#REF!</v>
      </c>
      <c r="I575" s="137" t="e">
        <f>IF(VLOOKUP(A575,'Actual Dates'!A4:AE697,25,),'Actual Dates'!#REF!,"")</f>
        <v>#REF!</v>
      </c>
      <c r="J575" s="137" t="e">
        <f t="shared" si="69"/>
        <v>#REF!</v>
      </c>
      <c r="K575" s="137" t="e">
        <f>IF(VLOOKUP(A575,'Actual Dates'!A4:AE725,26,),'Actual Dates'!#REF!,"")</f>
        <v>#REF!</v>
      </c>
      <c r="L575" s="137" t="e">
        <f>IF(VLOOKUP(A575,'Actual Dates'!A4:AE725,21,),'Actual Dates'!#REF!,"")</f>
        <v>#REF!</v>
      </c>
      <c r="M575" s="137" t="e">
        <f>'Date Calcs'!#REF!</f>
        <v>#REF!</v>
      </c>
      <c r="N575" s="137" t="e">
        <f>IF(VLOOKUP(A575,'Actual Dates'!A4:AE725,27,),'Actual Dates'!#REF!,"")</f>
        <v>#REF!</v>
      </c>
      <c r="O575" s="138" t="e">
        <f t="shared" si="66"/>
        <v>#REF!</v>
      </c>
      <c r="P575" s="139" t="e">
        <f t="shared" si="70"/>
        <v>#REF!</v>
      </c>
      <c r="Q575" s="139" t="e">
        <f t="shared" si="71"/>
        <v>#REF!</v>
      </c>
      <c r="R575" s="170"/>
      <c r="S575" s="170"/>
    </row>
    <row r="576" spans="1:19" x14ac:dyDescent="0.25">
      <c r="A576" s="134" t="e">
        <f>'Date Calcs'!#REF!</f>
        <v>#REF!</v>
      </c>
      <c r="B576" s="135" t="e">
        <f>'Date Calcs'!#REF!</f>
        <v>#REF!</v>
      </c>
      <c r="C576" s="136" t="e">
        <f>'Date Calcs'!#REF!</f>
        <v>#REF!</v>
      </c>
      <c r="D576" s="137" t="e">
        <f t="shared" si="67"/>
        <v>#REF!</v>
      </c>
      <c r="E576" s="143">
        <v>44599</v>
      </c>
      <c r="F576" s="137" t="e">
        <f>'Date Calcs'!#REF!</f>
        <v>#REF!</v>
      </c>
      <c r="G576" s="137" t="e">
        <f>IF(VLOOKUP(A576,'Actual Dates'!A4:AE703,8,),'Actual Dates'!#REF!,"")</f>
        <v>#REF!</v>
      </c>
      <c r="H576" s="137" t="e">
        <f t="shared" si="68"/>
        <v>#REF!</v>
      </c>
      <c r="I576" s="137" t="e">
        <f>IF(VLOOKUP(A576,'Actual Dates'!A4:AE698,25,),'Actual Dates'!#REF!,"")</f>
        <v>#REF!</v>
      </c>
      <c r="J576" s="137" t="e">
        <f t="shared" si="69"/>
        <v>#REF!</v>
      </c>
      <c r="K576" s="137" t="e">
        <f>IF(VLOOKUP(A576,'Actual Dates'!A4:AE726,26,),'Actual Dates'!#REF!,"")</f>
        <v>#REF!</v>
      </c>
      <c r="L576" s="137" t="e">
        <f>IF(VLOOKUP(A576,'Actual Dates'!A4:AE726,21,),'Actual Dates'!#REF!,"")</f>
        <v>#REF!</v>
      </c>
      <c r="M576" s="137" t="e">
        <f>'Date Calcs'!#REF!</f>
        <v>#REF!</v>
      </c>
      <c r="N576" s="137" t="e">
        <f>IF(VLOOKUP(A576,'Actual Dates'!A4:AE726,27,),'Actual Dates'!#REF!,"")</f>
        <v>#REF!</v>
      </c>
      <c r="O576" s="138" t="e">
        <f t="shared" si="66"/>
        <v>#REF!</v>
      </c>
      <c r="P576" s="139" t="e">
        <f t="shared" si="70"/>
        <v>#REF!</v>
      </c>
      <c r="Q576" s="139" t="e">
        <f t="shared" si="71"/>
        <v>#REF!</v>
      </c>
      <c r="R576" s="170"/>
      <c r="S576" s="170"/>
    </row>
    <row r="577" spans="1:19" x14ac:dyDescent="0.25">
      <c r="A577" s="134" t="e">
        <f>'Date Calcs'!#REF!</f>
        <v>#REF!</v>
      </c>
      <c r="B577" s="135" t="e">
        <f>'Date Calcs'!#REF!</f>
        <v>#REF!</v>
      </c>
      <c r="C577" s="136" t="e">
        <f>'Date Calcs'!#REF!</f>
        <v>#REF!</v>
      </c>
      <c r="D577" s="137" t="e">
        <f t="shared" si="67"/>
        <v>#REF!</v>
      </c>
      <c r="E577" s="143">
        <v>44600</v>
      </c>
      <c r="F577" s="137" t="e">
        <f>'Date Calcs'!#REF!</f>
        <v>#REF!</v>
      </c>
      <c r="G577" s="137" t="e">
        <f>IF(VLOOKUP(A577,'Actual Dates'!A4:AE704,8,),'Actual Dates'!#REF!,"")</f>
        <v>#REF!</v>
      </c>
      <c r="H577" s="137" t="e">
        <f t="shared" si="68"/>
        <v>#REF!</v>
      </c>
      <c r="I577" s="137" t="e">
        <f>IF(VLOOKUP(A577,'Actual Dates'!A4:AE699,25,),'Actual Dates'!#REF!,"")</f>
        <v>#REF!</v>
      </c>
      <c r="J577" s="137" t="e">
        <f t="shared" si="69"/>
        <v>#REF!</v>
      </c>
      <c r="K577" s="137" t="e">
        <f>IF(VLOOKUP(A577,'Actual Dates'!A4:AE727,26,),'Actual Dates'!#REF!,"")</f>
        <v>#REF!</v>
      </c>
      <c r="L577" s="137" t="e">
        <f>IF(VLOOKUP(A577,'Actual Dates'!A4:AE727,21,),'Actual Dates'!#REF!,"")</f>
        <v>#REF!</v>
      </c>
      <c r="M577" s="137" t="e">
        <f>'Date Calcs'!#REF!</f>
        <v>#REF!</v>
      </c>
      <c r="N577" s="137" t="e">
        <f>IF(VLOOKUP(A577,'Actual Dates'!A4:AE727,27,),'Actual Dates'!#REF!,"")</f>
        <v>#REF!</v>
      </c>
      <c r="O577" s="138" t="e">
        <f t="shared" si="66"/>
        <v>#REF!</v>
      </c>
      <c r="P577" s="139" t="e">
        <f t="shared" si="70"/>
        <v>#REF!</v>
      </c>
      <c r="Q577" s="139" t="e">
        <f t="shared" si="71"/>
        <v>#REF!</v>
      </c>
      <c r="R577" s="170"/>
      <c r="S577" s="170"/>
    </row>
    <row r="578" spans="1:19" x14ac:dyDescent="0.25">
      <c r="A578" s="134" t="e">
        <f>'Date Calcs'!#REF!</f>
        <v>#REF!</v>
      </c>
      <c r="B578" s="135" t="e">
        <f>'Date Calcs'!#REF!</f>
        <v>#REF!</v>
      </c>
      <c r="C578" s="136" t="e">
        <f>'Date Calcs'!#REF!</f>
        <v>#REF!</v>
      </c>
      <c r="D578" s="137" t="e">
        <f t="shared" si="67"/>
        <v>#REF!</v>
      </c>
      <c r="E578" s="143">
        <v>44601</v>
      </c>
      <c r="F578" s="137" t="e">
        <f>'Date Calcs'!#REF!</f>
        <v>#REF!</v>
      </c>
      <c r="G578" s="137" t="e">
        <f>IF(VLOOKUP(A578,'Actual Dates'!A4:AE705,8,),'Actual Dates'!#REF!,"")</f>
        <v>#REF!</v>
      </c>
      <c r="H578" s="137" t="e">
        <f t="shared" si="68"/>
        <v>#REF!</v>
      </c>
      <c r="I578" s="137" t="e">
        <f>IF(VLOOKUP(A578,'Actual Dates'!A4:AE700,25,),'Actual Dates'!#REF!,"")</f>
        <v>#REF!</v>
      </c>
      <c r="J578" s="137" t="e">
        <f t="shared" si="69"/>
        <v>#REF!</v>
      </c>
      <c r="K578" s="137" t="e">
        <f>IF(VLOOKUP(A578,'Actual Dates'!A4:AE728,26,),'Actual Dates'!#REF!,"")</f>
        <v>#REF!</v>
      </c>
      <c r="L578" s="137" t="e">
        <f>IF(VLOOKUP(A578,'Actual Dates'!A4:AE728,21,),'Actual Dates'!#REF!,"")</f>
        <v>#REF!</v>
      </c>
      <c r="M578" s="137" t="e">
        <f>'Date Calcs'!#REF!</f>
        <v>#REF!</v>
      </c>
      <c r="N578" s="137" t="e">
        <f>IF(VLOOKUP(A578,'Actual Dates'!A4:AE728,27,),'Actual Dates'!#REF!,"")</f>
        <v>#REF!</v>
      </c>
      <c r="O578" s="138" t="e">
        <f t="shared" si="66"/>
        <v>#REF!</v>
      </c>
      <c r="P578" s="139" t="e">
        <f t="shared" si="70"/>
        <v>#REF!</v>
      </c>
      <c r="Q578" s="139" t="e">
        <f t="shared" si="71"/>
        <v>#REF!</v>
      </c>
      <c r="R578" s="170"/>
      <c r="S578" s="170"/>
    </row>
    <row r="579" spans="1:19" x14ac:dyDescent="0.25">
      <c r="A579" s="134" t="e">
        <f>'Date Calcs'!#REF!</f>
        <v>#REF!</v>
      </c>
      <c r="B579" s="135" t="e">
        <f>'Date Calcs'!#REF!</f>
        <v>#REF!</v>
      </c>
      <c r="C579" s="136" t="e">
        <f>'Date Calcs'!#REF!</f>
        <v>#REF!</v>
      </c>
      <c r="D579" s="137" t="e">
        <f t="shared" si="67"/>
        <v>#REF!</v>
      </c>
      <c r="E579" s="143">
        <v>44602</v>
      </c>
      <c r="F579" s="137" t="e">
        <f>'Date Calcs'!#REF!</f>
        <v>#REF!</v>
      </c>
      <c r="G579" s="137" t="e">
        <f>IF(VLOOKUP(A579,'Actual Dates'!A4:AE706,8,),'Actual Dates'!#REF!,"")</f>
        <v>#REF!</v>
      </c>
      <c r="H579" s="137" t="e">
        <f t="shared" si="68"/>
        <v>#REF!</v>
      </c>
      <c r="I579" s="137" t="e">
        <f>IF(VLOOKUP(A579,'Actual Dates'!A4:AE701,25,),'Actual Dates'!#REF!,"")</f>
        <v>#REF!</v>
      </c>
      <c r="J579" s="137" t="e">
        <f t="shared" si="69"/>
        <v>#REF!</v>
      </c>
      <c r="K579" s="137" t="e">
        <f>IF(VLOOKUP(A579,'Actual Dates'!A4:AE729,26,),'Actual Dates'!#REF!,"")</f>
        <v>#REF!</v>
      </c>
      <c r="L579" s="137" t="e">
        <f>IF(VLOOKUP(A579,'Actual Dates'!A4:AE729,21,),'Actual Dates'!#REF!,"")</f>
        <v>#REF!</v>
      </c>
      <c r="M579" s="137" t="e">
        <f>'Date Calcs'!#REF!</f>
        <v>#REF!</v>
      </c>
      <c r="N579" s="137" t="e">
        <f>IF(VLOOKUP(A579,'Actual Dates'!A4:AE729,27,),'Actual Dates'!#REF!,"")</f>
        <v>#REF!</v>
      </c>
      <c r="O579" s="138" t="e">
        <f t="shared" si="66"/>
        <v>#REF!</v>
      </c>
      <c r="P579" s="139" t="e">
        <f t="shared" si="70"/>
        <v>#REF!</v>
      </c>
      <c r="Q579" s="139" t="e">
        <f t="shared" si="71"/>
        <v>#REF!</v>
      </c>
      <c r="R579" s="170"/>
      <c r="S579" s="170"/>
    </row>
    <row r="580" spans="1:19" x14ac:dyDescent="0.25">
      <c r="A580" s="134" t="e">
        <f>'Date Calcs'!#REF!</f>
        <v>#REF!</v>
      </c>
      <c r="B580" s="135" t="e">
        <f>'Date Calcs'!#REF!</f>
        <v>#REF!</v>
      </c>
      <c r="C580" s="136" t="e">
        <f>'Date Calcs'!#REF!</f>
        <v>#REF!</v>
      </c>
      <c r="D580" s="137" t="e">
        <f t="shared" si="67"/>
        <v>#REF!</v>
      </c>
      <c r="E580" s="143">
        <v>44603</v>
      </c>
      <c r="F580" s="137" t="e">
        <f>'Date Calcs'!#REF!</f>
        <v>#REF!</v>
      </c>
      <c r="G580" s="137" t="e">
        <f>IF(VLOOKUP(A580,'Actual Dates'!A4:AE707,8,),'Actual Dates'!#REF!,"")</f>
        <v>#REF!</v>
      </c>
      <c r="H580" s="137" t="e">
        <f t="shared" si="68"/>
        <v>#REF!</v>
      </c>
      <c r="I580" s="137" t="e">
        <f>IF(VLOOKUP(A580,'Actual Dates'!A4:AE702,25,),'Actual Dates'!#REF!,"")</f>
        <v>#REF!</v>
      </c>
      <c r="J580" s="137" t="e">
        <f t="shared" si="69"/>
        <v>#REF!</v>
      </c>
      <c r="K580" s="137" t="e">
        <f>IF(VLOOKUP(A580,'Actual Dates'!A4:AE730,26,),'Actual Dates'!#REF!,"")</f>
        <v>#REF!</v>
      </c>
      <c r="L580" s="137" t="e">
        <f>IF(VLOOKUP(A580,'Actual Dates'!A4:AE730,21,),'Actual Dates'!#REF!,"")</f>
        <v>#REF!</v>
      </c>
      <c r="M580" s="137" t="e">
        <f>'Date Calcs'!#REF!</f>
        <v>#REF!</v>
      </c>
      <c r="N580" s="137" t="e">
        <f>IF(VLOOKUP(A580,'Actual Dates'!A4:AE730,27,),'Actual Dates'!#REF!,"")</f>
        <v>#REF!</v>
      </c>
      <c r="O580" s="138" t="e">
        <f t="shared" si="66"/>
        <v>#REF!</v>
      </c>
      <c r="P580" s="139" t="e">
        <f t="shared" si="70"/>
        <v>#REF!</v>
      </c>
      <c r="Q580" s="139" t="e">
        <f t="shared" si="71"/>
        <v>#REF!</v>
      </c>
      <c r="R580" s="170"/>
      <c r="S580" s="170"/>
    </row>
    <row r="581" spans="1:19" x14ac:dyDescent="0.25">
      <c r="A581" s="134" t="e">
        <f>'Date Calcs'!#REF!</f>
        <v>#REF!</v>
      </c>
      <c r="B581" s="135" t="e">
        <f>'Date Calcs'!#REF!</f>
        <v>#REF!</v>
      </c>
      <c r="C581" s="136" t="e">
        <f>'Date Calcs'!#REF!</f>
        <v>#REF!</v>
      </c>
      <c r="D581" s="137" t="e">
        <f t="shared" si="67"/>
        <v>#REF!</v>
      </c>
      <c r="E581" s="143">
        <v>44604</v>
      </c>
      <c r="F581" s="137" t="e">
        <f>'Date Calcs'!#REF!</f>
        <v>#REF!</v>
      </c>
      <c r="G581" s="137" t="e">
        <f>IF(VLOOKUP(A581,'Actual Dates'!A4:AE708,8,),'Actual Dates'!#REF!,"")</f>
        <v>#REF!</v>
      </c>
      <c r="H581" s="137" t="e">
        <f t="shared" si="68"/>
        <v>#REF!</v>
      </c>
      <c r="I581" s="137" t="e">
        <f>IF(VLOOKUP(A581,'Actual Dates'!A4:AE703,25,),'Actual Dates'!#REF!,"")</f>
        <v>#REF!</v>
      </c>
      <c r="J581" s="137" t="e">
        <f t="shared" si="69"/>
        <v>#REF!</v>
      </c>
      <c r="K581" s="137" t="e">
        <f>IF(VLOOKUP(A581,'Actual Dates'!A4:AE731,26,),'Actual Dates'!#REF!,"")</f>
        <v>#REF!</v>
      </c>
      <c r="L581" s="137" t="e">
        <f>IF(VLOOKUP(A581,'Actual Dates'!A4:AE731,21,),'Actual Dates'!#REF!,"")</f>
        <v>#REF!</v>
      </c>
      <c r="M581" s="137" t="e">
        <f>'Date Calcs'!#REF!</f>
        <v>#REF!</v>
      </c>
      <c r="N581" s="137" t="e">
        <f>IF(VLOOKUP(A581,'Actual Dates'!A4:AE731,27,),'Actual Dates'!#REF!,"")</f>
        <v>#REF!</v>
      </c>
      <c r="O581" s="138" t="e">
        <f t="shared" si="66"/>
        <v>#REF!</v>
      </c>
      <c r="P581" s="139" t="e">
        <f t="shared" si="70"/>
        <v>#REF!</v>
      </c>
      <c r="Q581" s="139" t="e">
        <f t="shared" si="71"/>
        <v>#REF!</v>
      </c>
      <c r="R581" s="170"/>
      <c r="S581" s="170"/>
    </row>
    <row r="582" spans="1:19" x14ac:dyDescent="0.25">
      <c r="A582" s="134" t="e">
        <f>'Date Calcs'!#REF!</f>
        <v>#REF!</v>
      </c>
      <c r="B582" s="135" t="e">
        <f>'Date Calcs'!#REF!</f>
        <v>#REF!</v>
      </c>
      <c r="C582" s="136" t="e">
        <f>'Date Calcs'!#REF!</f>
        <v>#REF!</v>
      </c>
      <c r="D582" s="137" t="e">
        <f t="shared" si="67"/>
        <v>#REF!</v>
      </c>
      <c r="E582" s="143">
        <v>44605</v>
      </c>
      <c r="F582" s="137" t="e">
        <f>'Date Calcs'!#REF!</f>
        <v>#REF!</v>
      </c>
      <c r="G582" s="137" t="e">
        <f>IF(VLOOKUP(A582,'Actual Dates'!A4:AE709,8,),'Actual Dates'!#REF!,"")</f>
        <v>#REF!</v>
      </c>
      <c r="H582" s="137" t="e">
        <f t="shared" si="68"/>
        <v>#REF!</v>
      </c>
      <c r="I582" s="137" t="e">
        <f>IF(VLOOKUP(A582,'Actual Dates'!A4:AE704,25,),'Actual Dates'!#REF!,"")</f>
        <v>#REF!</v>
      </c>
      <c r="J582" s="137" t="e">
        <f t="shared" si="69"/>
        <v>#REF!</v>
      </c>
      <c r="K582" s="137" t="e">
        <f>IF(VLOOKUP(A582,'Actual Dates'!A4:AE732,26,),'Actual Dates'!#REF!,"")</f>
        <v>#REF!</v>
      </c>
      <c r="L582" s="137" t="e">
        <f>IF(VLOOKUP(A582,'Actual Dates'!A4:AE732,21,),'Actual Dates'!#REF!,"")</f>
        <v>#REF!</v>
      </c>
      <c r="M582" s="137" t="e">
        <f>'Date Calcs'!#REF!</f>
        <v>#REF!</v>
      </c>
      <c r="N582" s="137" t="e">
        <f>IF(VLOOKUP(A582,'Actual Dates'!A4:AE732,27,),'Actual Dates'!#REF!,"")</f>
        <v>#REF!</v>
      </c>
      <c r="O582" s="138" t="e">
        <f t="shared" si="66"/>
        <v>#REF!</v>
      </c>
      <c r="P582" s="139" t="e">
        <f t="shared" si="70"/>
        <v>#REF!</v>
      </c>
      <c r="Q582" s="139" t="e">
        <f t="shared" si="71"/>
        <v>#REF!</v>
      </c>
      <c r="R582" s="170"/>
      <c r="S582" s="170"/>
    </row>
    <row r="583" spans="1:19" x14ac:dyDescent="0.25">
      <c r="A583" s="134" t="e">
        <f>'Date Calcs'!#REF!</f>
        <v>#REF!</v>
      </c>
      <c r="B583" s="135" t="e">
        <f>'Date Calcs'!#REF!</f>
        <v>#REF!</v>
      </c>
      <c r="C583" s="136" t="e">
        <f>'Date Calcs'!#REF!</f>
        <v>#REF!</v>
      </c>
      <c r="D583" s="137" t="e">
        <f t="shared" si="67"/>
        <v>#REF!</v>
      </c>
      <c r="E583" s="143">
        <v>44606</v>
      </c>
      <c r="F583" s="137" t="e">
        <f>'Date Calcs'!#REF!</f>
        <v>#REF!</v>
      </c>
      <c r="G583" s="137" t="e">
        <f>IF(VLOOKUP(A583,'Actual Dates'!A4:AE710,8,),'Actual Dates'!#REF!,"")</f>
        <v>#REF!</v>
      </c>
      <c r="H583" s="137" t="e">
        <f t="shared" si="68"/>
        <v>#REF!</v>
      </c>
      <c r="I583" s="137" t="e">
        <f>IF(VLOOKUP(A583,'Actual Dates'!A4:AE705,25,),'Actual Dates'!#REF!,"")</f>
        <v>#REF!</v>
      </c>
      <c r="J583" s="137" t="e">
        <f t="shared" si="69"/>
        <v>#REF!</v>
      </c>
      <c r="K583" s="137" t="e">
        <f>IF(VLOOKUP(A583,'Actual Dates'!A4:AE733,26,),'Actual Dates'!#REF!,"")</f>
        <v>#REF!</v>
      </c>
      <c r="L583" s="137" t="e">
        <f>IF(VLOOKUP(A583,'Actual Dates'!A4:AE733,21,),'Actual Dates'!#REF!,"")</f>
        <v>#REF!</v>
      </c>
      <c r="M583" s="137" t="e">
        <f>'Date Calcs'!#REF!</f>
        <v>#REF!</v>
      </c>
      <c r="N583" s="137" t="e">
        <f>IF(VLOOKUP(A583,'Actual Dates'!A4:AE733,27,),'Actual Dates'!#REF!,"")</f>
        <v>#REF!</v>
      </c>
      <c r="O583" s="138" t="e">
        <f t="shared" si="66"/>
        <v>#REF!</v>
      </c>
      <c r="P583" s="139" t="e">
        <f t="shared" si="70"/>
        <v>#REF!</v>
      </c>
      <c r="Q583" s="139" t="e">
        <f t="shared" si="71"/>
        <v>#REF!</v>
      </c>
      <c r="R583" s="170"/>
      <c r="S583" s="170"/>
    </row>
    <row r="584" spans="1:19" x14ac:dyDescent="0.25">
      <c r="A584" s="134" t="e">
        <f>'Date Calcs'!#REF!</f>
        <v>#REF!</v>
      </c>
      <c r="B584" s="135" t="e">
        <f>'Date Calcs'!#REF!</f>
        <v>#REF!</v>
      </c>
      <c r="C584" s="136" t="e">
        <f>'Date Calcs'!#REF!</f>
        <v>#REF!</v>
      </c>
      <c r="D584" s="137" t="e">
        <f t="shared" si="67"/>
        <v>#REF!</v>
      </c>
      <c r="E584" s="143">
        <v>44607</v>
      </c>
      <c r="F584" s="137" t="e">
        <f>'Date Calcs'!#REF!</f>
        <v>#REF!</v>
      </c>
      <c r="G584" s="137" t="e">
        <f>IF(VLOOKUP(A584,'Actual Dates'!A4:AE711,8,),'Actual Dates'!#REF!,"")</f>
        <v>#REF!</v>
      </c>
      <c r="H584" s="137" t="e">
        <f t="shared" si="68"/>
        <v>#REF!</v>
      </c>
      <c r="I584" s="137" t="e">
        <f>IF(VLOOKUP(A584,'Actual Dates'!A4:AE706,25,),'Actual Dates'!#REF!,"")</f>
        <v>#REF!</v>
      </c>
      <c r="J584" s="137" t="e">
        <f t="shared" si="69"/>
        <v>#REF!</v>
      </c>
      <c r="K584" s="137" t="e">
        <f>IF(VLOOKUP(A584,'Actual Dates'!A4:AE734,26,),'Actual Dates'!#REF!,"")</f>
        <v>#REF!</v>
      </c>
      <c r="L584" s="137" t="e">
        <f>IF(VLOOKUP(A584,'Actual Dates'!A4:AE734,21,),'Actual Dates'!#REF!,"")</f>
        <v>#REF!</v>
      </c>
      <c r="M584" s="137" t="e">
        <f>'Date Calcs'!#REF!</f>
        <v>#REF!</v>
      </c>
      <c r="N584" s="137" t="e">
        <f>IF(VLOOKUP(A584,'Actual Dates'!A4:AE734,27,),'Actual Dates'!#REF!,"")</f>
        <v>#REF!</v>
      </c>
      <c r="O584" s="138" t="e">
        <f t="shared" si="66"/>
        <v>#REF!</v>
      </c>
      <c r="P584" s="139" t="e">
        <f t="shared" si="70"/>
        <v>#REF!</v>
      </c>
      <c r="Q584" s="139" t="e">
        <f t="shared" si="71"/>
        <v>#REF!</v>
      </c>
      <c r="R584" s="170"/>
      <c r="S584" s="170"/>
    </row>
    <row r="585" spans="1:19" x14ac:dyDescent="0.25">
      <c r="A585" s="134" t="e">
        <f>'Date Calcs'!#REF!</f>
        <v>#REF!</v>
      </c>
      <c r="B585" s="135" t="e">
        <f>'Date Calcs'!#REF!</f>
        <v>#REF!</v>
      </c>
      <c r="C585" s="136" t="e">
        <f>'Date Calcs'!#REF!</f>
        <v>#REF!</v>
      </c>
      <c r="D585" s="137" t="e">
        <f t="shared" si="67"/>
        <v>#REF!</v>
      </c>
      <c r="E585" s="143">
        <v>44608</v>
      </c>
      <c r="F585" s="137" t="e">
        <f>'Date Calcs'!#REF!</f>
        <v>#REF!</v>
      </c>
      <c r="G585" s="137" t="e">
        <f>IF(VLOOKUP(A585,'Actual Dates'!A4:AE712,8,),'Actual Dates'!#REF!,"")</f>
        <v>#REF!</v>
      </c>
      <c r="H585" s="137" t="e">
        <f t="shared" si="68"/>
        <v>#REF!</v>
      </c>
      <c r="I585" s="137" t="e">
        <f>IF(VLOOKUP(A585,'Actual Dates'!A4:AE707,25,),'Actual Dates'!#REF!,"")</f>
        <v>#REF!</v>
      </c>
      <c r="J585" s="137" t="e">
        <f t="shared" si="69"/>
        <v>#REF!</v>
      </c>
      <c r="K585" s="137" t="e">
        <f>IF(VLOOKUP(A585,'Actual Dates'!A4:AE735,26,),'Actual Dates'!#REF!,"")</f>
        <v>#REF!</v>
      </c>
      <c r="L585" s="137" t="e">
        <f>IF(VLOOKUP(A585,'Actual Dates'!A4:AE735,21,),'Actual Dates'!#REF!,"")</f>
        <v>#REF!</v>
      </c>
      <c r="M585" s="137" t="e">
        <f>'Date Calcs'!#REF!</f>
        <v>#REF!</v>
      </c>
      <c r="N585" s="137" t="e">
        <f>IF(VLOOKUP(A585,'Actual Dates'!A4:AE735,27,),'Actual Dates'!#REF!,"")</f>
        <v>#REF!</v>
      </c>
      <c r="O585" s="138" t="e">
        <f t="shared" si="66"/>
        <v>#REF!</v>
      </c>
      <c r="P585" s="139" t="e">
        <f t="shared" si="70"/>
        <v>#REF!</v>
      </c>
      <c r="Q585" s="139" t="e">
        <f t="shared" si="71"/>
        <v>#REF!</v>
      </c>
      <c r="R585" s="170"/>
      <c r="S585" s="170"/>
    </row>
    <row r="586" spans="1:19" x14ac:dyDescent="0.25">
      <c r="A586" s="134" t="e">
        <f>'Date Calcs'!#REF!</f>
        <v>#REF!</v>
      </c>
      <c r="B586" s="135" t="e">
        <f>'Date Calcs'!#REF!</f>
        <v>#REF!</v>
      </c>
      <c r="C586" s="136" t="e">
        <f>'Date Calcs'!#REF!</f>
        <v>#REF!</v>
      </c>
      <c r="D586" s="137" t="e">
        <f t="shared" si="67"/>
        <v>#REF!</v>
      </c>
      <c r="E586" s="143">
        <v>44609</v>
      </c>
      <c r="F586" s="137" t="e">
        <f>'Date Calcs'!#REF!</f>
        <v>#REF!</v>
      </c>
      <c r="G586" s="137" t="e">
        <f>IF(VLOOKUP(A586,'Actual Dates'!A4:AE713,8,),'Actual Dates'!#REF!,"")</f>
        <v>#REF!</v>
      </c>
      <c r="H586" s="137" t="e">
        <f t="shared" si="68"/>
        <v>#REF!</v>
      </c>
      <c r="I586" s="137" t="e">
        <f>IF(VLOOKUP(A586,'Actual Dates'!A4:AE708,25,),'Actual Dates'!#REF!,"")</f>
        <v>#REF!</v>
      </c>
      <c r="J586" s="137" t="e">
        <f t="shared" si="69"/>
        <v>#REF!</v>
      </c>
      <c r="K586" s="137" t="e">
        <f>IF(VLOOKUP(A586,'Actual Dates'!A4:AE736,26,),'Actual Dates'!#REF!,"")</f>
        <v>#REF!</v>
      </c>
      <c r="L586" s="137" t="e">
        <f>IF(VLOOKUP(A586,'Actual Dates'!A4:AE736,21,),'Actual Dates'!#REF!,"")</f>
        <v>#REF!</v>
      </c>
      <c r="M586" s="137" t="e">
        <f>'Date Calcs'!#REF!</f>
        <v>#REF!</v>
      </c>
      <c r="N586" s="137" t="e">
        <f>IF(VLOOKUP(A586,'Actual Dates'!A4:AE736,27,),'Actual Dates'!#REF!,"")</f>
        <v>#REF!</v>
      </c>
      <c r="O586" s="138" t="e">
        <f t="shared" si="66"/>
        <v>#REF!</v>
      </c>
      <c r="P586" s="139" t="e">
        <f t="shared" si="70"/>
        <v>#REF!</v>
      </c>
      <c r="Q586" s="139" t="e">
        <f t="shared" si="71"/>
        <v>#REF!</v>
      </c>
      <c r="R586" s="170"/>
      <c r="S586" s="170"/>
    </row>
    <row r="587" spans="1:19" x14ac:dyDescent="0.25">
      <c r="A587" s="134" t="e">
        <f>'Date Calcs'!#REF!</f>
        <v>#REF!</v>
      </c>
      <c r="B587" s="135" t="e">
        <f>'Date Calcs'!#REF!</f>
        <v>#REF!</v>
      </c>
      <c r="C587" s="136" t="e">
        <f>'Date Calcs'!#REF!</f>
        <v>#REF!</v>
      </c>
      <c r="D587" s="137" t="e">
        <f t="shared" si="67"/>
        <v>#REF!</v>
      </c>
      <c r="E587" s="143">
        <v>44610</v>
      </c>
      <c r="F587" s="137" t="e">
        <f>'Date Calcs'!#REF!</f>
        <v>#REF!</v>
      </c>
      <c r="G587" s="137" t="e">
        <f>IF(VLOOKUP(A587,'Actual Dates'!A4:AE714,8,),'Actual Dates'!#REF!,"")</f>
        <v>#REF!</v>
      </c>
      <c r="H587" s="137" t="e">
        <f t="shared" si="68"/>
        <v>#REF!</v>
      </c>
      <c r="I587" s="137" t="e">
        <f>IF(VLOOKUP(A587,'Actual Dates'!A4:AE709,25,),'Actual Dates'!#REF!,"")</f>
        <v>#REF!</v>
      </c>
      <c r="J587" s="137" t="e">
        <f t="shared" si="69"/>
        <v>#REF!</v>
      </c>
      <c r="K587" s="137" t="e">
        <f>IF(VLOOKUP(A587,'Actual Dates'!A4:AE737,26,),'Actual Dates'!#REF!,"")</f>
        <v>#REF!</v>
      </c>
      <c r="L587" s="137" t="e">
        <f>IF(VLOOKUP(A587,'Actual Dates'!A4:AE737,21,),'Actual Dates'!#REF!,"")</f>
        <v>#REF!</v>
      </c>
      <c r="M587" s="137" t="e">
        <f>'Date Calcs'!#REF!</f>
        <v>#REF!</v>
      </c>
      <c r="N587" s="137" t="e">
        <f>IF(VLOOKUP(A587,'Actual Dates'!A4:AE737,27,),'Actual Dates'!#REF!,"")</f>
        <v>#REF!</v>
      </c>
      <c r="O587" s="138" t="e">
        <f t="shared" ref="O587:O650" si="72">N587-C587</f>
        <v>#REF!</v>
      </c>
      <c r="P587" s="139" t="e">
        <f t="shared" si="70"/>
        <v>#REF!</v>
      </c>
      <c r="Q587" s="139" t="e">
        <f t="shared" si="71"/>
        <v>#REF!</v>
      </c>
      <c r="R587" s="170"/>
      <c r="S587" s="170"/>
    </row>
    <row r="588" spans="1:19" x14ac:dyDescent="0.25">
      <c r="A588" s="134" t="e">
        <f>'Date Calcs'!#REF!</f>
        <v>#REF!</v>
      </c>
      <c r="B588" s="135" t="e">
        <f>'Date Calcs'!#REF!</f>
        <v>#REF!</v>
      </c>
      <c r="C588" s="136" t="e">
        <f>'Date Calcs'!#REF!</f>
        <v>#REF!</v>
      </c>
      <c r="D588" s="137" t="e">
        <f t="shared" si="67"/>
        <v>#REF!</v>
      </c>
      <c r="E588" s="143">
        <v>44611</v>
      </c>
      <c r="F588" s="137" t="e">
        <f>'Date Calcs'!#REF!</f>
        <v>#REF!</v>
      </c>
      <c r="G588" s="137" t="e">
        <f>IF(VLOOKUP(A588,'Actual Dates'!A4:AE715,8,),'Actual Dates'!#REF!,"")</f>
        <v>#REF!</v>
      </c>
      <c r="H588" s="137" t="e">
        <f t="shared" si="68"/>
        <v>#REF!</v>
      </c>
      <c r="I588" s="137" t="e">
        <f>IF(VLOOKUP(A588,'Actual Dates'!A4:AE710,25,),'Actual Dates'!#REF!,"")</f>
        <v>#REF!</v>
      </c>
      <c r="J588" s="137" t="e">
        <f t="shared" si="69"/>
        <v>#REF!</v>
      </c>
      <c r="K588" s="137" t="e">
        <f>IF(VLOOKUP(A588,'Actual Dates'!A4:AE738,26,),'Actual Dates'!#REF!,"")</f>
        <v>#REF!</v>
      </c>
      <c r="L588" s="137" t="e">
        <f>IF(VLOOKUP(A588,'Actual Dates'!A4:AE738,21,),'Actual Dates'!#REF!,"")</f>
        <v>#REF!</v>
      </c>
      <c r="M588" s="137" t="e">
        <f>'Date Calcs'!#REF!</f>
        <v>#REF!</v>
      </c>
      <c r="N588" s="137" t="e">
        <f>IF(VLOOKUP(A588,'Actual Dates'!A4:AE738,27,),'Actual Dates'!#REF!,"")</f>
        <v>#REF!</v>
      </c>
      <c r="O588" s="138" t="e">
        <f t="shared" si="72"/>
        <v>#REF!</v>
      </c>
      <c r="P588" s="139" t="e">
        <f t="shared" si="70"/>
        <v>#REF!</v>
      </c>
      <c r="Q588" s="139" t="e">
        <f t="shared" si="71"/>
        <v>#REF!</v>
      </c>
      <c r="R588" s="170"/>
      <c r="S588" s="170"/>
    </row>
    <row r="589" spans="1:19" x14ac:dyDescent="0.25">
      <c r="A589" s="134" t="e">
        <f>'Date Calcs'!#REF!</f>
        <v>#REF!</v>
      </c>
      <c r="B589" s="135" t="e">
        <f>'Date Calcs'!#REF!</f>
        <v>#REF!</v>
      </c>
      <c r="C589" s="136" t="e">
        <f>'Date Calcs'!#REF!</f>
        <v>#REF!</v>
      </c>
      <c r="D589" s="137" t="e">
        <f t="shared" si="67"/>
        <v>#REF!</v>
      </c>
      <c r="E589" s="143">
        <v>44612</v>
      </c>
      <c r="F589" s="137" t="e">
        <f>'Date Calcs'!#REF!</f>
        <v>#REF!</v>
      </c>
      <c r="G589" s="137" t="e">
        <f>IF(VLOOKUP(A589,'Actual Dates'!A4:AE716,8,),'Actual Dates'!#REF!,"")</f>
        <v>#REF!</v>
      </c>
      <c r="H589" s="137" t="e">
        <f t="shared" si="68"/>
        <v>#REF!</v>
      </c>
      <c r="I589" s="137" t="e">
        <f>IF(VLOOKUP(A589,'Actual Dates'!A4:AE711,25,),'Actual Dates'!#REF!,"")</f>
        <v>#REF!</v>
      </c>
      <c r="J589" s="137" t="e">
        <f t="shared" si="69"/>
        <v>#REF!</v>
      </c>
      <c r="K589" s="137" t="e">
        <f>IF(VLOOKUP(A589,'Actual Dates'!A4:AE739,26,),'Actual Dates'!#REF!,"")</f>
        <v>#REF!</v>
      </c>
      <c r="L589" s="137" t="e">
        <f>IF(VLOOKUP(A589,'Actual Dates'!A4:AE739,21,),'Actual Dates'!#REF!,"")</f>
        <v>#REF!</v>
      </c>
      <c r="M589" s="137" t="e">
        <f>'Date Calcs'!#REF!</f>
        <v>#REF!</v>
      </c>
      <c r="N589" s="137" t="e">
        <f>IF(VLOOKUP(A589,'Actual Dates'!A4:AE739,27,),'Actual Dates'!#REF!,"")</f>
        <v>#REF!</v>
      </c>
      <c r="O589" s="138" t="e">
        <f t="shared" si="72"/>
        <v>#REF!</v>
      </c>
      <c r="P589" s="139" t="e">
        <f t="shared" si="70"/>
        <v>#REF!</v>
      </c>
      <c r="Q589" s="139" t="e">
        <f t="shared" si="71"/>
        <v>#REF!</v>
      </c>
      <c r="R589" s="170"/>
      <c r="S589" s="170"/>
    </row>
    <row r="590" spans="1:19" x14ac:dyDescent="0.25">
      <c r="A590" s="134" t="e">
        <f>'Date Calcs'!#REF!</f>
        <v>#REF!</v>
      </c>
      <c r="B590" s="135" t="e">
        <f>'Date Calcs'!#REF!</f>
        <v>#REF!</v>
      </c>
      <c r="C590" s="136" t="e">
        <f>'Date Calcs'!#REF!</f>
        <v>#REF!</v>
      </c>
      <c r="D590" s="137" t="e">
        <f t="shared" si="67"/>
        <v>#REF!</v>
      </c>
      <c r="E590" s="143">
        <v>44613</v>
      </c>
      <c r="F590" s="137" t="e">
        <f>'Date Calcs'!#REF!</f>
        <v>#REF!</v>
      </c>
      <c r="G590" s="137" t="e">
        <f>IF(VLOOKUP(A590,'Actual Dates'!A4:AE717,8,),'Actual Dates'!#REF!,"")</f>
        <v>#REF!</v>
      </c>
      <c r="H590" s="137" t="e">
        <f t="shared" si="68"/>
        <v>#REF!</v>
      </c>
      <c r="I590" s="137" t="e">
        <f>IF(VLOOKUP(A590,'Actual Dates'!A4:AE712,25,),'Actual Dates'!#REF!,"")</f>
        <v>#REF!</v>
      </c>
      <c r="J590" s="137" t="e">
        <f t="shared" si="69"/>
        <v>#REF!</v>
      </c>
      <c r="K590" s="137" t="e">
        <f>IF(VLOOKUP(A590,'Actual Dates'!A4:AE740,26,),'Actual Dates'!#REF!,"")</f>
        <v>#REF!</v>
      </c>
      <c r="L590" s="137" t="e">
        <f>IF(VLOOKUP(A590,'Actual Dates'!A4:AE740,21,),'Actual Dates'!#REF!,"")</f>
        <v>#REF!</v>
      </c>
      <c r="M590" s="137" t="e">
        <f>'Date Calcs'!#REF!</f>
        <v>#REF!</v>
      </c>
      <c r="N590" s="137" t="e">
        <f>IF(VLOOKUP(A590,'Actual Dates'!A4:AE740,27,),'Actual Dates'!#REF!,"")</f>
        <v>#REF!</v>
      </c>
      <c r="O590" s="138" t="e">
        <f t="shared" si="72"/>
        <v>#REF!</v>
      </c>
      <c r="P590" s="139" t="e">
        <f t="shared" si="70"/>
        <v>#REF!</v>
      </c>
      <c r="Q590" s="139" t="e">
        <f t="shared" si="71"/>
        <v>#REF!</v>
      </c>
      <c r="R590" s="170"/>
      <c r="S590" s="170"/>
    </row>
    <row r="591" spans="1:19" x14ac:dyDescent="0.25">
      <c r="A591" s="134" t="e">
        <f>'Date Calcs'!#REF!</f>
        <v>#REF!</v>
      </c>
      <c r="B591" s="135" t="e">
        <f>'Date Calcs'!#REF!</f>
        <v>#REF!</v>
      </c>
      <c r="C591" s="136" t="e">
        <f>'Date Calcs'!#REF!</f>
        <v>#REF!</v>
      </c>
      <c r="D591" s="137" t="e">
        <f t="shared" si="67"/>
        <v>#REF!</v>
      </c>
      <c r="E591" s="143">
        <v>44614</v>
      </c>
      <c r="F591" s="137" t="e">
        <f>'Date Calcs'!#REF!</f>
        <v>#REF!</v>
      </c>
      <c r="G591" s="137" t="e">
        <f>IF(VLOOKUP(A591,'Actual Dates'!A4:AE718,8,),'Actual Dates'!#REF!,"")</f>
        <v>#REF!</v>
      </c>
      <c r="H591" s="137" t="e">
        <f t="shared" si="68"/>
        <v>#REF!</v>
      </c>
      <c r="I591" s="137" t="e">
        <f>IF(VLOOKUP(A591,'Actual Dates'!A4:AE713,25,),'Actual Dates'!#REF!,"")</f>
        <v>#REF!</v>
      </c>
      <c r="J591" s="137" t="e">
        <f t="shared" si="69"/>
        <v>#REF!</v>
      </c>
      <c r="K591" s="137" t="e">
        <f>IF(VLOOKUP(A591,'Actual Dates'!A4:AE741,26,),'Actual Dates'!#REF!,"")</f>
        <v>#REF!</v>
      </c>
      <c r="L591" s="137" t="e">
        <f>IF(VLOOKUP(A591,'Actual Dates'!A4:AE741,21,),'Actual Dates'!#REF!,"")</f>
        <v>#REF!</v>
      </c>
      <c r="M591" s="137" t="e">
        <f>'Date Calcs'!#REF!</f>
        <v>#REF!</v>
      </c>
      <c r="N591" s="137" t="e">
        <f>IF(VLOOKUP(A591,'Actual Dates'!A4:AE741,27,),'Actual Dates'!#REF!,"")</f>
        <v>#REF!</v>
      </c>
      <c r="O591" s="138" t="e">
        <f t="shared" si="72"/>
        <v>#REF!</v>
      </c>
      <c r="P591" s="139" t="e">
        <f t="shared" si="70"/>
        <v>#REF!</v>
      </c>
      <c r="Q591" s="139" t="e">
        <f t="shared" si="71"/>
        <v>#REF!</v>
      </c>
      <c r="R591" s="170"/>
      <c r="S591" s="170"/>
    </row>
    <row r="592" spans="1:19" x14ac:dyDescent="0.25">
      <c r="A592" s="134" t="e">
        <f>'Date Calcs'!#REF!</f>
        <v>#REF!</v>
      </c>
      <c r="B592" s="135" t="e">
        <f>'Date Calcs'!#REF!</f>
        <v>#REF!</v>
      </c>
      <c r="C592" s="136" t="e">
        <f>'Date Calcs'!#REF!</f>
        <v>#REF!</v>
      </c>
      <c r="D592" s="137" t="e">
        <f t="shared" si="67"/>
        <v>#REF!</v>
      </c>
      <c r="E592" s="143">
        <v>44615</v>
      </c>
      <c r="F592" s="137" t="e">
        <f>'Date Calcs'!#REF!</f>
        <v>#REF!</v>
      </c>
      <c r="G592" s="137" t="e">
        <f>IF(VLOOKUP(A592,'Actual Dates'!A4:AE719,8,),'Actual Dates'!#REF!,"")</f>
        <v>#REF!</v>
      </c>
      <c r="H592" s="137" t="e">
        <f t="shared" si="68"/>
        <v>#REF!</v>
      </c>
      <c r="I592" s="137" t="e">
        <f>IF(VLOOKUP(A592,'Actual Dates'!A4:AE714,25,),'Actual Dates'!#REF!,"")</f>
        <v>#REF!</v>
      </c>
      <c r="J592" s="137" t="e">
        <f t="shared" si="69"/>
        <v>#REF!</v>
      </c>
      <c r="K592" s="137" t="e">
        <f>IF(VLOOKUP(A592,'Actual Dates'!A4:AE742,26,),'Actual Dates'!#REF!,"")</f>
        <v>#REF!</v>
      </c>
      <c r="L592" s="137" t="e">
        <f>IF(VLOOKUP(A592,'Actual Dates'!A4:AE742,21,),'Actual Dates'!#REF!,"")</f>
        <v>#REF!</v>
      </c>
      <c r="M592" s="137" t="e">
        <f>'Date Calcs'!#REF!</f>
        <v>#REF!</v>
      </c>
      <c r="N592" s="137" t="e">
        <f>IF(VLOOKUP(A592,'Actual Dates'!A4:AE742,27,),'Actual Dates'!#REF!,"")</f>
        <v>#REF!</v>
      </c>
      <c r="O592" s="138" t="e">
        <f t="shared" si="72"/>
        <v>#REF!</v>
      </c>
      <c r="P592" s="139" t="e">
        <f t="shared" si="70"/>
        <v>#REF!</v>
      </c>
      <c r="Q592" s="139" t="e">
        <f t="shared" si="71"/>
        <v>#REF!</v>
      </c>
      <c r="R592" s="170"/>
      <c r="S592" s="170"/>
    </row>
    <row r="593" spans="1:19" x14ac:dyDescent="0.25">
      <c r="A593" s="134" t="e">
        <f>'Date Calcs'!#REF!</f>
        <v>#REF!</v>
      </c>
      <c r="B593" s="135" t="e">
        <f>'Date Calcs'!#REF!</f>
        <v>#REF!</v>
      </c>
      <c r="C593" s="136" t="e">
        <f>'Date Calcs'!#REF!</f>
        <v>#REF!</v>
      </c>
      <c r="D593" s="137" t="e">
        <f t="shared" si="67"/>
        <v>#REF!</v>
      </c>
      <c r="E593" s="143">
        <v>44616</v>
      </c>
      <c r="F593" s="137" t="e">
        <f>'Date Calcs'!#REF!</f>
        <v>#REF!</v>
      </c>
      <c r="G593" s="137" t="e">
        <f>IF(VLOOKUP(A593,'Actual Dates'!A4:AE720,8,),'Actual Dates'!#REF!,"")</f>
        <v>#REF!</v>
      </c>
      <c r="H593" s="137" t="e">
        <f t="shared" si="68"/>
        <v>#REF!</v>
      </c>
      <c r="I593" s="137" t="e">
        <f>IF(VLOOKUP(A593,'Actual Dates'!A4:AE715,25,),'Actual Dates'!#REF!,"")</f>
        <v>#REF!</v>
      </c>
      <c r="J593" s="137" t="e">
        <f t="shared" si="69"/>
        <v>#REF!</v>
      </c>
      <c r="K593" s="137" t="e">
        <f>IF(VLOOKUP(A593,'Actual Dates'!A4:AE743,26,),'Actual Dates'!#REF!,"")</f>
        <v>#REF!</v>
      </c>
      <c r="L593" s="137" t="e">
        <f>IF(VLOOKUP(A593,'Actual Dates'!A4:AE743,21,),'Actual Dates'!#REF!,"")</f>
        <v>#REF!</v>
      </c>
      <c r="M593" s="137" t="e">
        <f>'Date Calcs'!#REF!</f>
        <v>#REF!</v>
      </c>
      <c r="N593" s="137" t="e">
        <f>IF(VLOOKUP(A593,'Actual Dates'!A4:AE743,27,),'Actual Dates'!#REF!,"")</f>
        <v>#REF!</v>
      </c>
      <c r="O593" s="138" t="e">
        <f t="shared" si="72"/>
        <v>#REF!</v>
      </c>
      <c r="P593" s="139" t="e">
        <f t="shared" si="70"/>
        <v>#REF!</v>
      </c>
      <c r="Q593" s="139" t="e">
        <f t="shared" si="71"/>
        <v>#REF!</v>
      </c>
      <c r="R593" s="170"/>
      <c r="S593" s="170"/>
    </row>
    <row r="594" spans="1:19" x14ac:dyDescent="0.25">
      <c r="A594" s="134" t="e">
        <f>'Date Calcs'!#REF!</f>
        <v>#REF!</v>
      </c>
      <c r="B594" s="135" t="e">
        <f>'Date Calcs'!#REF!</f>
        <v>#REF!</v>
      </c>
      <c r="C594" s="136" t="e">
        <f>'Date Calcs'!#REF!</f>
        <v>#REF!</v>
      </c>
      <c r="D594" s="137" t="e">
        <f t="shared" si="67"/>
        <v>#REF!</v>
      </c>
      <c r="E594" s="143">
        <v>44617</v>
      </c>
      <c r="F594" s="137" t="e">
        <f>'Date Calcs'!#REF!</f>
        <v>#REF!</v>
      </c>
      <c r="G594" s="137" t="e">
        <f>IF(VLOOKUP(A594,'Actual Dates'!A4:AE721,8,),'Actual Dates'!#REF!,"")</f>
        <v>#REF!</v>
      </c>
      <c r="H594" s="137" t="e">
        <f t="shared" si="68"/>
        <v>#REF!</v>
      </c>
      <c r="I594" s="137" t="e">
        <f>IF(VLOOKUP(A594,'Actual Dates'!A4:AE716,25,),'Actual Dates'!#REF!,"")</f>
        <v>#REF!</v>
      </c>
      <c r="J594" s="137" t="e">
        <f t="shared" si="69"/>
        <v>#REF!</v>
      </c>
      <c r="K594" s="137" t="e">
        <f>IF(VLOOKUP(A594,'Actual Dates'!A4:AE744,26,),'Actual Dates'!#REF!,"")</f>
        <v>#REF!</v>
      </c>
      <c r="L594" s="137" t="e">
        <f>IF(VLOOKUP(A594,'Actual Dates'!A4:AE744,21,),'Actual Dates'!#REF!,"")</f>
        <v>#REF!</v>
      </c>
      <c r="M594" s="137" t="e">
        <f>'Date Calcs'!#REF!</f>
        <v>#REF!</v>
      </c>
      <c r="N594" s="137" t="e">
        <f>IF(VLOOKUP(A594,'Actual Dates'!A4:AE744,27,),'Actual Dates'!#REF!,"")</f>
        <v>#REF!</v>
      </c>
      <c r="O594" s="138" t="e">
        <f t="shared" si="72"/>
        <v>#REF!</v>
      </c>
      <c r="P594" s="139" t="e">
        <f t="shared" si="70"/>
        <v>#REF!</v>
      </c>
      <c r="Q594" s="139" t="e">
        <f t="shared" si="71"/>
        <v>#REF!</v>
      </c>
      <c r="R594" s="170"/>
      <c r="S594" s="170"/>
    </row>
    <row r="595" spans="1:19" x14ac:dyDescent="0.25">
      <c r="A595" s="134" t="e">
        <f>'Date Calcs'!#REF!</f>
        <v>#REF!</v>
      </c>
      <c r="B595" s="135" t="e">
        <f>'Date Calcs'!#REF!</f>
        <v>#REF!</v>
      </c>
      <c r="C595" s="136" t="e">
        <f>'Date Calcs'!#REF!</f>
        <v>#REF!</v>
      </c>
      <c r="D595" s="137" t="e">
        <f t="shared" si="67"/>
        <v>#REF!</v>
      </c>
      <c r="E595" s="143">
        <v>44618</v>
      </c>
      <c r="F595" s="137" t="e">
        <f>'Date Calcs'!#REF!</f>
        <v>#REF!</v>
      </c>
      <c r="G595" s="137" t="e">
        <f>IF(VLOOKUP(A595,'Actual Dates'!A4:AE722,8,),'Actual Dates'!#REF!,"")</f>
        <v>#REF!</v>
      </c>
      <c r="H595" s="137" t="e">
        <f t="shared" si="68"/>
        <v>#REF!</v>
      </c>
      <c r="I595" s="137" t="e">
        <f>IF(VLOOKUP(A595,'Actual Dates'!A4:AE717,25,),'Actual Dates'!#REF!,"")</f>
        <v>#REF!</v>
      </c>
      <c r="J595" s="137" t="e">
        <f t="shared" si="69"/>
        <v>#REF!</v>
      </c>
      <c r="K595" s="137" t="e">
        <f>IF(VLOOKUP(A595,'Actual Dates'!A4:AE745,26,),'Actual Dates'!#REF!,"")</f>
        <v>#REF!</v>
      </c>
      <c r="L595" s="137" t="e">
        <f>IF(VLOOKUP(A595,'Actual Dates'!A4:AE745,21,),'Actual Dates'!#REF!,"")</f>
        <v>#REF!</v>
      </c>
      <c r="M595" s="137" t="e">
        <f>'Date Calcs'!#REF!</f>
        <v>#REF!</v>
      </c>
      <c r="N595" s="137" t="e">
        <f>IF(VLOOKUP(A595,'Actual Dates'!A4:AE745,27,),'Actual Dates'!#REF!,"")</f>
        <v>#REF!</v>
      </c>
      <c r="O595" s="138" t="e">
        <f t="shared" si="72"/>
        <v>#REF!</v>
      </c>
      <c r="P595" s="139" t="e">
        <f t="shared" si="70"/>
        <v>#REF!</v>
      </c>
      <c r="Q595" s="139" t="e">
        <f t="shared" si="71"/>
        <v>#REF!</v>
      </c>
      <c r="R595" s="170"/>
      <c r="S595" s="170"/>
    </row>
    <row r="596" spans="1:19" x14ac:dyDescent="0.25">
      <c r="A596" s="134" t="e">
        <f>'Date Calcs'!#REF!</f>
        <v>#REF!</v>
      </c>
      <c r="B596" s="135" t="e">
        <f>'Date Calcs'!#REF!</f>
        <v>#REF!</v>
      </c>
      <c r="C596" s="136" t="e">
        <f>'Date Calcs'!#REF!</f>
        <v>#REF!</v>
      </c>
      <c r="D596" s="137" t="e">
        <f t="shared" si="67"/>
        <v>#REF!</v>
      </c>
      <c r="E596" s="143">
        <v>44619</v>
      </c>
      <c r="F596" s="137" t="e">
        <f>'Date Calcs'!#REF!</f>
        <v>#REF!</v>
      </c>
      <c r="G596" s="137" t="e">
        <f>IF(VLOOKUP(A596,'Actual Dates'!A4:AE723,8,),'Actual Dates'!#REF!,"")</f>
        <v>#REF!</v>
      </c>
      <c r="H596" s="137" t="e">
        <f t="shared" si="68"/>
        <v>#REF!</v>
      </c>
      <c r="I596" s="137" t="e">
        <f>IF(VLOOKUP(A596,'Actual Dates'!A4:AE718,25,),'Actual Dates'!#REF!,"")</f>
        <v>#REF!</v>
      </c>
      <c r="J596" s="137" t="e">
        <f t="shared" si="69"/>
        <v>#REF!</v>
      </c>
      <c r="K596" s="137" t="e">
        <f>IF(VLOOKUP(A596,'Actual Dates'!A4:AE746,26,),'Actual Dates'!#REF!,"")</f>
        <v>#REF!</v>
      </c>
      <c r="L596" s="137" t="e">
        <f>IF(VLOOKUP(A596,'Actual Dates'!A4:AE746,21,),'Actual Dates'!#REF!,"")</f>
        <v>#REF!</v>
      </c>
      <c r="M596" s="137" t="e">
        <f>'Date Calcs'!#REF!</f>
        <v>#REF!</v>
      </c>
      <c r="N596" s="137" t="e">
        <f>IF(VLOOKUP(A596,'Actual Dates'!A4:AE746,27,),'Actual Dates'!#REF!,"")</f>
        <v>#REF!</v>
      </c>
      <c r="O596" s="138" t="e">
        <f t="shared" si="72"/>
        <v>#REF!</v>
      </c>
      <c r="P596" s="139" t="e">
        <f t="shared" si="70"/>
        <v>#REF!</v>
      </c>
      <c r="Q596" s="139" t="e">
        <f t="shared" si="71"/>
        <v>#REF!</v>
      </c>
      <c r="R596" s="170"/>
      <c r="S596" s="170"/>
    </row>
    <row r="597" spans="1:19" x14ac:dyDescent="0.25">
      <c r="A597" s="134" t="e">
        <f>'Date Calcs'!#REF!</f>
        <v>#REF!</v>
      </c>
      <c r="B597" s="135" t="e">
        <f>'Date Calcs'!#REF!</f>
        <v>#REF!</v>
      </c>
      <c r="C597" s="136" t="e">
        <f>'Date Calcs'!#REF!</f>
        <v>#REF!</v>
      </c>
      <c r="D597" s="137" t="e">
        <f t="shared" si="67"/>
        <v>#REF!</v>
      </c>
      <c r="E597" s="143">
        <v>44620</v>
      </c>
      <c r="F597" s="137" t="e">
        <f>'Date Calcs'!#REF!</f>
        <v>#REF!</v>
      </c>
      <c r="G597" s="137" t="e">
        <f>IF(VLOOKUP(A597,'Actual Dates'!A4:AE724,8,),'Actual Dates'!#REF!,"")</f>
        <v>#REF!</v>
      </c>
      <c r="H597" s="137" t="e">
        <f t="shared" si="68"/>
        <v>#REF!</v>
      </c>
      <c r="I597" s="137" t="e">
        <f>IF(VLOOKUP(A597,'Actual Dates'!A4:AE719,25,),'Actual Dates'!#REF!,"")</f>
        <v>#REF!</v>
      </c>
      <c r="J597" s="137" t="e">
        <f t="shared" si="69"/>
        <v>#REF!</v>
      </c>
      <c r="K597" s="137" t="e">
        <f>IF(VLOOKUP(A597,'Actual Dates'!A4:AE747,26,),'Actual Dates'!#REF!,"")</f>
        <v>#REF!</v>
      </c>
      <c r="L597" s="137" t="e">
        <f>IF(VLOOKUP(A597,'Actual Dates'!A4:AE747,21,),'Actual Dates'!#REF!,"")</f>
        <v>#REF!</v>
      </c>
      <c r="M597" s="137" t="e">
        <f>'Date Calcs'!#REF!</f>
        <v>#REF!</v>
      </c>
      <c r="N597" s="137" t="e">
        <f>IF(VLOOKUP(A597,'Actual Dates'!A4:AE747,27,),'Actual Dates'!#REF!,"")</f>
        <v>#REF!</v>
      </c>
      <c r="O597" s="138" t="e">
        <f t="shared" si="72"/>
        <v>#REF!</v>
      </c>
      <c r="P597" s="139" t="e">
        <f t="shared" si="70"/>
        <v>#REF!</v>
      </c>
      <c r="Q597" s="139" t="e">
        <f t="shared" si="71"/>
        <v>#REF!</v>
      </c>
      <c r="R597" s="170"/>
      <c r="S597" s="170"/>
    </row>
    <row r="598" spans="1:19" x14ac:dyDescent="0.25">
      <c r="A598" s="134" t="e">
        <f>'Date Calcs'!#REF!</f>
        <v>#REF!</v>
      </c>
      <c r="B598" s="135" t="e">
        <f>'Date Calcs'!#REF!</f>
        <v>#REF!</v>
      </c>
      <c r="C598" s="136" t="e">
        <f>'Date Calcs'!#REF!</f>
        <v>#REF!</v>
      </c>
      <c r="D598" s="137" t="e">
        <f t="shared" si="67"/>
        <v>#REF!</v>
      </c>
      <c r="E598" s="143">
        <v>44621</v>
      </c>
      <c r="F598" s="137" t="e">
        <f>'Date Calcs'!#REF!</f>
        <v>#REF!</v>
      </c>
      <c r="G598" s="137" t="e">
        <f>IF(VLOOKUP(A598,'Actual Dates'!A4:AE725,8,),'Actual Dates'!#REF!,"")</f>
        <v>#REF!</v>
      </c>
      <c r="H598" s="137" t="e">
        <f t="shared" si="68"/>
        <v>#REF!</v>
      </c>
      <c r="I598" s="137" t="e">
        <f>IF(VLOOKUP(A598,'Actual Dates'!A4:AE720,25,),'Actual Dates'!#REF!,"")</f>
        <v>#REF!</v>
      </c>
      <c r="J598" s="137" t="e">
        <f t="shared" si="69"/>
        <v>#REF!</v>
      </c>
      <c r="K598" s="137" t="e">
        <f>IF(VLOOKUP(A598,'Actual Dates'!A4:AE748,26,),'Actual Dates'!#REF!,"")</f>
        <v>#REF!</v>
      </c>
      <c r="L598" s="137" t="e">
        <f>IF(VLOOKUP(A598,'Actual Dates'!A4:AE748,21,),'Actual Dates'!#REF!,"")</f>
        <v>#REF!</v>
      </c>
      <c r="M598" s="137" t="e">
        <f>'Date Calcs'!#REF!</f>
        <v>#REF!</v>
      </c>
      <c r="N598" s="137" t="e">
        <f>IF(VLOOKUP(A598,'Actual Dates'!A4:AE748,27,),'Actual Dates'!#REF!,"")</f>
        <v>#REF!</v>
      </c>
      <c r="O598" s="138" t="e">
        <f t="shared" si="72"/>
        <v>#REF!</v>
      </c>
      <c r="P598" s="139" t="e">
        <f t="shared" si="70"/>
        <v>#REF!</v>
      </c>
      <c r="Q598" s="139" t="e">
        <f t="shared" si="71"/>
        <v>#REF!</v>
      </c>
      <c r="R598" s="170"/>
      <c r="S598" s="170"/>
    </row>
    <row r="599" spans="1:19" x14ac:dyDescent="0.25">
      <c r="A599" s="134" t="e">
        <f>'Date Calcs'!#REF!</f>
        <v>#REF!</v>
      </c>
      <c r="B599" s="135" t="e">
        <f>'Date Calcs'!#REF!</f>
        <v>#REF!</v>
      </c>
      <c r="C599" s="136" t="e">
        <f>'Date Calcs'!#REF!</f>
        <v>#REF!</v>
      </c>
      <c r="D599" s="137" t="e">
        <f t="shared" si="67"/>
        <v>#REF!</v>
      </c>
      <c r="E599" s="143">
        <v>44622</v>
      </c>
      <c r="F599" s="137" t="e">
        <f>'Date Calcs'!#REF!</f>
        <v>#REF!</v>
      </c>
      <c r="G599" s="137" t="e">
        <f>IF(VLOOKUP(A599,'Actual Dates'!A4:AE726,8,),'Actual Dates'!#REF!,"")</f>
        <v>#REF!</v>
      </c>
      <c r="H599" s="137" t="e">
        <f t="shared" si="68"/>
        <v>#REF!</v>
      </c>
      <c r="I599" s="137" t="e">
        <f>IF(VLOOKUP(A599,'Actual Dates'!A4:AE721,25,),'Actual Dates'!#REF!,"")</f>
        <v>#REF!</v>
      </c>
      <c r="J599" s="137" t="e">
        <f t="shared" si="69"/>
        <v>#REF!</v>
      </c>
      <c r="K599" s="137" t="e">
        <f>IF(VLOOKUP(A599,'Actual Dates'!A4:AE749,26,),'Actual Dates'!#REF!,"")</f>
        <v>#REF!</v>
      </c>
      <c r="L599" s="137" t="e">
        <f>IF(VLOOKUP(A599,'Actual Dates'!A4:AE749,21,),'Actual Dates'!#REF!,"")</f>
        <v>#REF!</v>
      </c>
      <c r="M599" s="137" t="e">
        <f>'Date Calcs'!#REF!</f>
        <v>#REF!</v>
      </c>
      <c r="N599" s="137" t="e">
        <f>IF(VLOOKUP(A599,'Actual Dates'!A4:AE749,27,),'Actual Dates'!#REF!,"")</f>
        <v>#REF!</v>
      </c>
      <c r="O599" s="138" t="e">
        <f t="shared" si="72"/>
        <v>#REF!</v>
      </c>
      <c r="P599" s="139" t="e">
        <f t="shared" si="70"/>
        <v>#REF!</v>
      </c>
      <c r="Q599" s="139" t="e">
        <f t="shared" si="71"/>
        <v>#REF!</v>
      </c>
      <c r="R599" s="170"/>
      <c r="S599" s="170"/>
    </row>
    <row r="600" spans="1:19" x14ac:dyDescent="0.25">
      <c r="A600" s="134" t="e">
        <f>'Date Calcs'!#REF!</f>
        <v>#REF!</v>
      </c>
      <c r="B600" s="135" t="e">
        <f>'Date Calcs'!#REF!</f>
        <v>#REF!</v>
      </c>
      <c r="C600" s="136" t="e">
        <f>'Date Calcs'!#REF!</f>
        <v>#REF!</v>
      </c>
      <c r="D600" s="137" t="e">
        <f t="shared" ref="D600:D663" si="73">WORKDAY(F600,-1,)</f>
        <v>#REF!</v>
      </c>
      <c r="E600" s="143">
        <v>44623</v>
      </c>
      <c r="F600" s="137" t="e">
        <f>'Date Calcs'!#REF!</f>
        <v>#REF!</v>
      </c>
      <c r="G600" s="137" t="e">
        <f>IF(VLOOKUP(A600,'Actual Dates'!A4:AE727,8,),'Actual Dates'!#REF!,"")</f>
        <v>#REF!</v>
      </c>
      <c r="H600" s="137" t="e">
        <f t="shared" si="68"/>
        <v>#REF!</v>
      </c>
      <c r="I600" s="137" t="e">
        <f>IF(VLOOKUP(A600,'Actual Dates'!A4:AE722,25,),'Actual Dates'!#REF!,"")</f>
        <v>#REF!</v>
      </c>
      <c r="J600" s="137" t="e">
        <f t="shared" si="69"/>
        <v>#REF!</v>
      </c>
      <c r="K600" s="137" t="e">
        <f>IF(VLOOKUP(A600,'Actual Dates'!A4:AE750,26,),'Actual Dates'!#REF!,"")</f>
        <v>#REF!</v>
      </c>
      <c r="L600" s="137" t="e">
        <f>IF(VLOOKUP(A600,'Actual Dates'!A4:AE750,21,),'Actual Dates'!#REF!,"")</f>
        <v>#REF!</v>
      </c>
      <c r="M600" s="137" t="e">
        <f>'Date Calcs'!#REF!</f>
        <v>#REF!</v>
      </c>
      <c r="N600" s="137" t="e">
        <f>IF(VLOOKUP(A600,'Actual Dates'!A4:AE750,27,),'Actual Dates'!#REF!,"")</f>
        <v>#REF!</v>
      </c>
      <c r="O600" s="138" t="e">
        <f t="shared" si="72"/>
        <v>#REF!</v>
      </c>
      <c r="P600" s="139" t="e">
        <f t="shared" si="70"/>
        <v>#REF!</v>
      </c>
      <c r="Q600" s="139" t="e">
        <f t="shared" si="71"/>
        <v>#REF!</v>
      </c>
      <c r="R600" s="170"/>
      <c r="S600" s="170"/>
    </row>
    <row r="601" spans="1:19" x14ac:dyDescent="0.25">
      <c r="A601" s="134" t="e">
        <f>'Date Calcs'!#REF!</f>
        <v>#REF!</v>
      </c>
      <c r="B601" s="135" t="e">
        <f>'Date Calcs'!#REF!</f>
        <v>#REF!</v>
      </c>
      <c r="C601" s="136" t="e">
        <f>'Date Calcs'!#REF!</f>
        <v>#REF!</v>
      </c>
      <c r="D601" s="137" t="e">
        <f t="shared" si="73"/>
        <v>#REF!</v>
      </c>
      <c r="E601" s="143">
        <v>44624</v>
      </c>
      <c r="F601" s="137" t="e">
        <f>'Date Calcs'!#REF!</f>
        <v>#REF!</v>
      </c>
      <c r="G601" s="137" t="e">
        <f>IF(VLOOKUP(A601,'Actual Dates'!A4:AE728,8,),'Actual Dates'!#REF!,"")</f>
        <v>#REF!</v>
      </c>
      <c r="H601" s="137" t="e">
        <f t="shared" si="68"/>
        <v>#REF!</v>
      </c>
      <c r="I601" s="137" t="e">
        <f>IF(VLOOKUP(A601,'Actual Dates'!A4:AE723,25,),'Actual Dates'!#REF!,"")</f>
        <v>#REF!</v>
      </c>
      <c r="J601" s="137" t="e">
        <f t="shared" si="69"/>
        <v>#REF!</v>
      </c>
      <c r="K601" s="137" t="e">
        <f>IF(VLOOKUP(A601,'Actual Dates'!A4:AE751,26,),'Actual Dates'!#REF!,"")</f>
        <v>#REF!</v>
      </c>
      <c r="L601" s="137" t="e">
        <f>IF(VLOOKUP(A601,'Actual Dates'!A4:AE751,21,),'Actual Dates'!#REF!,"")</f>
        <v>#REF!</v>
      </c>
      <c r="M601" s="137" t="e">
        <f>'Date Calcs'!#REF!</f>
        <v>#REF!</v>
      </c>
      <c r="N601" s="137" t="e">
        <f>IF(VLOOKUP(A601,'Actual Dates'!A4:AE751,27,),'Actual Dates'!#REF!,"")</f>
        <v>#REF!</v>
      </c>
      <c r="O601" s="138" t="e">
        <f t="shared" si="72"/>
        <v>#REF!</v>
      </c>
      <c r="P601" s="139" t="e">
        <f t="shared" si="70"/>
        <v>#REF!</v>
      </c>
      <c r="Q601" s="139" t="e">
        <f t="shared" si="71"/>
        <v>#REF!</v>
      </c>
      <c r="R601" s="170"/>
      <c r="S601" s="170"/>
    </row>
    <row r="602" spans="1:19" x14ac:dyDescent="0.25">
      <c r="A602" s="134" t="e">
        <f>'Date Calcs'!#REF!</f>
        <v>#REF!</v>
      </c>
      <c r="B602" s="135" t="e">
        <f>'Date Calcs'!#REF!</f>
        <v>#REF!</v>
      </c>
      <c r="C602" s="136" t="e">
        <f>'Date Calcs'!#REF!</f>
        <v>#REF!</v>
      </c>
      <c r="D602" s="137" t="e">
        <f t="shared" si="73"/>
        <v>#REF!</v>
      </c>
      <c r="E602" s="143">
        <v>44625</v>
      </c>
      <c r="F602" s="137" t="e">
        <f>'Date Calcs'!#REF!</f>
        <v>#REF!</v>
      </c>
      <c r="G602" s="137" t="e">
        <f>IF(VLOOKUP(A602,'Actual Dates'!A4:AE729,8,),'Actual Dates'!#REF!,"")</f>
        <v>#REF!</v>
      </c>
      <c r="H602" s="137" t="e">
        <f t="shared" si="68"/>
        <v>#REF!</v>
      </c>
      <c r="I602" s="137" t="e">
        <f>IF(VLOOKUP(A602,'Actual Dates'!A4:AE724,25,),'Actual Dates'!#REF!,"")</f>
        <v>#REF!</v>
      </c>
      <c r="J602" s="137" t="e">
        <f t="shared" si="69"/>
        <v>#REF!</v>
      </c>
      <c r="K602" s="137" t="e">
        <f>IF(VLOOKUP(A602,'Actual Dates'!A4:AE752,26,),'Actual Dates'!#REF!,"")</f>
        <v>#REF!</v>
      </c>
      <c r="L602" s="137" t="e">
        <f>IF(VLOOKUP(A602,'Actual Dates'!A4:AE752,21,),'Actual Dates'!#REF!,"")</f>
        <v>#REF!</v>
      </c>
      <c r="M602" s="137" t="e">
        <f>'Date Calcs'!#REF!</f>
        <v>#REF!</v>
      </c>
      <c r="N602" s="137" t="e">
        <f>IF(VLOOKUP(A602,'Actual Dates'!A4:AE752,27,),'Actual Dates'!#REF!,"")</f>
        <v>#REF!</v>
      </c>
      <c r="O602" s="138" t="e">
        <f t="shared" si="72"/>
        <v>#REF!</v>
      </c>
      <c r="P602" s="139" t="e">
        <f t="shared" si="70"/>
        <v>#REF!</v>
      </c>
      <c r="Q602" s="139" t="e">
        <f t="shared" si="71"/>
        <v>#REF!</v>
      </c>
      <c r="R602" s="170"/>
      <c r="S602" s="170"/>
    </row>
    <row r="603" spans="1:19" x14ac:dyDescent="0.25">
      <c r="A603" s="134" t="e">
        <f>'Date Calcs'!#REF!</f>
        <v>#REF!</v>
      </c>
      <c r="B603" s="135" t="e">
        <f>'Date Calcs'!#REF!</f>
        <v>#REF!</v>
      </c>
      <c r="C603" s="136" t="e">
        <f>'Date Calcs'!#REF!</f>
        <v>#REF!</v>
      </c>
      <c r="D603" s="137" t="e">
        <f t="shared" si="73"/>
        <v>#REF!</v>
      </c>
      <c r="E603" s="143">
        <v>44626</v>
      </c>
      <c r="F603" s="137" t="e">
        <f>'Date Calcs'!#REF!</f>
        <v>#REF!</v>
      </c>
      <c r="G603" s="137" t="e">
        <f>IF(VLOOKUP(A603,'Actual Dates'!A4:AE730,8,),'Actual Dates'!#REF!,"")</f>
        <v>#REF!</v>
      </c>
      <c r="H603" s="137" t="e">
        <f t="shared" si="68"/>
        <v>#REF!</v>
      </c>
      <c r="I603" s="137" t="e">
        <f>IF(VLOOKUP(A603,'Actual Dates'!A4:AE725,25,),'Actual Dates'!#REF!,"")</f>
        <v>#REF!</v>
      </c>
      <c r="J603" s="137" t="e">
        <f t="shared" si="69"/>
        <v>#REF!</v>
      </c>
      <c r="K603" s="137" t="e">
        <f>IF(VLOOKUP(A603,'Actual Dates'!A4:AE753,26,),'Actual Dates'!#REF!,"")</f>
        <v>#REF!</v>
      </c>
      <c r="L603" s="137" t="e">
        <f>IF(VLOOKUP(A603,'Actual Dates'!A4:AE753,21,),'Actual Dates'!#REF!,"")</f>
        <v>#REF!</v>
      </c>
      <c r="M603" s="137" t="e">
        <f>'Date Calcs'!#REF!</f>
        <v>#REF!</v>
      </c>
      <c r="N603" s="137" t="e">
        <f>IF(VLOOKUP(A603,'Actual Dates'!A4:AE753,27,),'Actual Dates'!#REF!,"")</f>
        <v>#REF!</v>
      </c>
      <c r="O603" s="138" t="e">
        <f t="shared" si="72"/>
        <v>#REF!</v>
      </c>
      <c r="P603" s="139" t="e">
        <f t="shared" si="70"/>
        <v>#REF!</v>
      </c>
      <c r="Q603" s="139" t="e">
        <f t="shared" si="71"/>
        <v>#REF!</v>
      </c>
      <c r="R603" s="170"/>
      <c r="S603" s="170"/>
    </row>
    <row r="604" spans="1:19" x14ac:dyDescent="0.25">
      <c r="A604" s="134" t="e">
        <f>'Date Calcs'!#REF!</f>
        <v>#REF!</v>
      </c>
      <c r="B604" s="135" t="e">
        <f>'Date Calcs'!#REF!</f>
        <v>#REF!</v>
      </c>
      <c r="C604" s="136" t="e">
        <f>'Date Calcs'!#REF!</f>
        <v>#REF!</v>
      </c>
      <c r="D604" s="137" t="e">
        <f t="shared" si="73"/>
        <v>#REF!</v>
      </c>
      <c r="E604" s="143">
        <v>44627</v>
      </c>
      <c r="F604" s="137" t="e">
        <f>'Date Calcs'!#REF!</f>
        <v>#REF!</v>
      </c>
      <c r="G604" s="137" t="e">
        <f>IF(VLOOKUP(A604,'Actual Dates'!A4:AE731,8,),'Actual Dates'!#REF!,"")</f>
        <v>#REF!</v>
      </c>
      <c r="H604" s="137" t="e">
        <f t="shared" si="68"/>
        <v>#REF!</v>
      </c>
      <c r="I604" s="137" t="e">
        <f>IF(VLOOKUP(A604,'Actual Dates'!A4:AE726,25,),'Actual Dates'!#REF!,"")</f>
        <v>#REF!</v>
      </c>
      <c r="J604" s="137" t="e">
        <f t="shared" si="69"/>
        <v>#REF!</v>
      </c>
      <c r="K604" s="137" t="e">
        <f>IF(VLOOKUP(A604,'Actual Dates'!A4:AE754,26,),'Actual Dates'!#REF!,"")</f>
        <v>#REF!</v>
      </c>
      <c r="L604" s="137" t="e">
        <f>IF(VLOOKUP(A604,'Actual Dates'!A4:AE754,21,),'Actual Dates'!#REF!,"")</f>
        <v>#REF!</v>
      </c>
      <c r="M604" s="137" t="e">
        <f>'Date Calcs'!#REF!</f>
        <v>#REF!</v>
      </c>
      <c r="N604" s="137" t="e">
        <f>IF(VLOOKUP(A604,'Actual Dates'!A4:AE754,27,),'Actual Dates'!#REF!,"")</f>
        <v>#REF!</v>
      </c>
      <c r="O604" s="138" t="e">
        <f t="shared" si="72"/>
        <v>#REF!</v>
      </c>
      <c r="P604" s="139" t="e">
        <f t="shared" si="70"/>
        <v>#REF!</v>
      </c>
      <c r="Q604" s="139" t="e">
        <f t="shared" si="71"/>
        <v>#REF!</v>
      </c>
      <c r="R604" s="170"/>
      <c r="S604" s="170"/>
    </row>
    <row r="605" spans="1:19" x14ac:dyDescent="0.25">
      <c r="A605" s="134" t="e">
        <f>'Date Calcs'!#REF!</f>
        <v>#REF!</v>
      </c>
      <c r="B605" s="135" t="e">
        <f>'Date Calcs'!#REF!</f>
        <v>#REF!</v>
      </c>
      <c r="C605" s="136" t="e">
        <f>'Date Calcs'!#REF!</f>
        <v>#REF!</v>
      </c>
      <c r="D605" s="137" t="e">
        <f t="shared" si="73"/>
        <v>#REF!</v>
      </c>
      <c r="E605" s="143">
        <v>44628</v>
      </c>
      <c r="F605" s="137" t="e">
        <f>'Date Calcs'!#REF!</f>
        <v>#REF!</v>
      </c>
      <c r="G605" s="137" t="e">
        <f>IF(VLOOKUP(A605,'Actual Dates'!A4:AE732,8,),'Actual Dates'!#REF!,"")</f>
        <v>#REF!</v>
      </c>
      <c r="H605" s="137" t="e">
        <f t="shared" si="68"/>
        <v>#REF!</v>
      </c>
      <c r="I605" s="137" t="e">
        <f>IF(VLOOKUP(A605,'Actual Dates'!A4:AE727,25,),'Actual Dates'!#REF!,"")</f>
        <v>#REF!</v>
      </c>
      <c r="J605" s="137" t="e">
        <f t="shared" si="69"/>
        <v>#REF!</v>
      </c>
      <c r="K605" s="137" t="e">
        <f>IF(VLOOKUP(A605,'Actual Dates'!A4:AE755,26,),'Actual Dates'!#REF!,"")</f>
        <v>#REF!</v>
      </c>
      <c r="L605" s="137" t="e">
        <f>IF(VLOOKUP(A605,'Actual Dates'!A4:AE755,21,),'Actual Dates'!#REF!,"")</f>
        <v>#REF!</v>
      </c>
      <c r="M605" s="137" t="e">
        <f>'Date Calcs'!#REF!</f>
        <v>#REF!</v>
      </c>
      <c r="N605" s="137" t="e">
        <f>IF(VLOOKUP(A605,'Actual Dates'!A4:AE755,27,),'Actual Dates'!#REF!,"")</f>
        <v>#REF!</v>
      </c>
      <c r="O605" s="138" t="e">
        <f t="shared" si="72"/>
        <v>#REF!</v>
      </c>
      <c r="P605" s="139" t="e">
        <f t="shared" si="70"/>
        <v>#REF!</v>
      </c>
      <c r="Q605" s="139" t="e">
        <f t="shared" si="71"/>
        <v>#REF!</v>
      </c>
      <c r="R605" s="170"/>
      <c r="S605" s="170"/>
    </row>
    <row r="606" spans="1:19" x14ac:dyDescent="0.25">
      <c r="A606" s="134" t="e">
        <f>'Date Calcs'!#REF!</f>
        <v>#REF!</v>
      </c>
      <c r="B606" s="135" t="e">
        <f>'Date Calcs'!#REF!</f>
        <v>#REF!</v>
      </c>
      <c r="C606" s="136" t="e">
        <f>'Date Calcs'!#REF!</f>
        <v>#REF!</v>
      </c>
      <c r="D606" s="137" t="e">
        <f t="shared" si="73"/>
        <v>#REF!</v>
      </c>
      <c r="E606" s="143">
        <v>44629</v>
      </c>
      <c r="F606" s="137" t="e">
        <f>'Date Calcs'!#REF!</f>
        <v>#REF!</v>
      </c>
      <c r="G606" s="137" t="e">
        <f>IF(VLOOKUP(A606,'Actual Dates'!A4:AE733,8,),'Actual Dates'!#REF!,"")</f>
        <v>#REF!</v>
      </c>
      <c r="H606" s="137" t="e">
        <f t="shared" si="68"/>
        <v>#REF!</v>
      </c>
      <c r="I606" s="137" t="e">
        <f>IF(VLOOKUP(A606,'Actual Dates'!A4:AE728,25,),'Actual Dates'!#REF!,"")</f>
        <v>#REF!</v>
      </c>
      <c r="J606" s="137" t="e">
        <f t="shared" si="69"/>
        <v>#REF!</v>
      </c>
      <c r="K606" s="137" t="e">
        <f>IF(VLOOKUP(A606,'Actual Dates'!A4:AE756,26,),'Actual Dates'!#REF!,"")</f>
        <v>#REF!</v>
      </c>
      <c r="L606" s="137" t="e">
        <f>IF(VLOOKUP(A606,'Actual Dates'!A4:AE756,21,),'Actual Dates'!#REF!,"")</f>
        <v>#REF!</v>
      </c>
      <c r="M606" s="137" t="e">
        <f>'Date Calcs'!#REF!</f>
        <v>#REF!</v>
      </c>
      <c r="N606" s="137" t="e">
        <f>IF(VLOOKUP(A606,'Actual Dates'!A4:AE756,27,),'Actual Dates'!#REF!,"")</f>
        <v>#REF!</v>
      </c>
      <c r="O606" s="138" t="e">
        <f t="shared" si="72"/>
        <v>#REF!</v>
      </c>
      <c r="P606" s="139" t="e">
        <f t="shared" si="70"/>
        <v>#REF!</v>
      </c>
      <c r="Q606" s="139" t="e">
        <f t="shared" si="71"/>
        <v>#REF!</v>
      </c>
      <c r="R606" s="170"/>
      <c r="S606" s="170"/>
    </row>
    <row r="607" spans="1:19" x14ac:dyDescent="0.25">
      <c r="A607" s="134" t="e">
        <f>'Date Calcs'!#REF!</f>
        <v>#REF!</v>
      </c>
      <c r="B607" s="135" t="e">
        <f>'Date Calcs'!#REF!</f>
        <v>#REF!</v>
      </c>
      <c r="C607" s="136" t="e">
        <f>'Date Calcs'!#REF!</f>
        <v>#REF!</v>
      </c>
      <c r="D607" s="137" t="e">
        <f t="shared" si="73"/>
        <v>#REF!</v>
      </c>
      <c r="E607" s="143">
        <v>44630</v>
      </c>
      <c r="F607" s="137" t="e">
        <f>'Date Calcs'!#REF!</f>
        <v>#REF!</v>
      </c>
      <c r="G607" s="137" t="e">
        <f>IF(VLOOKUP(A607,'Actual Dates'!A4:AE734,8,),'Actual Dates'!#REF!,"")</f>
        <v>#REF!</v>
      </c>
      <c r="H607" s="137" t="e">
        <f t="shared" si="68"/>
        <v>#REF!</v>
      </c>
      <c r="I607" s="137" t="e">
        <f>IF(VLOOKUP(A607,'Actual Dates'!A4:AE729,25,),'Actual Dates'!#REF!,"")</f>
        <v>#REF!</v>
      </c>
      <c r="J607" s="137" t="e">
        <f t="shared" si="69"/>
        <v>#REF!</v>
      </c>
      <c r="K607" s="137" t="e">
        <f>IF(VLOOKUP(A607,'Actual Dates'!A4:AE757,26,),'Actual Dates'!#REF!,"")</f>
        <v>#REF!</v>
      </c>
      <c r="L607" s="137" t="e">
        <f>IF(VLOOKUP(A607,'Actual Dates'!A4:AE757,21,),'Actual Dates'!#REF!,"")</f>
        <v>#REF!</v>
      </c>
      <c r="M607" s="137" t="e">
        <f>'Date Calcs'!#REF!</f>
        <v>#REF!</v>
      </c>
      <c r="N607" s="137" t="e">
        <f>IF(VLOOKUP(A607,'Actual Dates'!A4:AE757,27,),'Actual Dates'!#REF!,"")</f>
        <v>#REF!</v>
      </c>
      <c r="O607" s="138" t="e">
        <f t="shared" si="72"/>
        <v>#REF!</v>
      </c>
      <c r="P607" s="139" t="e">
        <f t="shared" si="70"/>
        <v>#REF!</v>
      </c>
      <c r="Q607" s="139" t="e">
        <f t="shared" si="71"/>
        <v>#REF!</v>
      </c>
      <c r="R607" s="170"/>
      <c r="S607" s="170"/>
    </row>
    <row r="608" spans="1:19" x14ac:dyDescent="0.25">
      <c r="A608" s="134" t="e">
        <f>'Date Calcs'!#REF!</f>
        <v>#REF!</v>
      </c>
      <c r="B608" s="135" t="e">
        <f>'Date Calcs'!#REF!</f>
        <v>#REF!</v>
      </c>
      <c r="C608" s="136" t="e">
        <f>'Date Calcs'!#REF!</f>
        <v>#REF!</v>
      </c>
      <c r="D608" s="137" t="e">
        <f t="shared" si="73"/>
        <v>#REF!</v>
      </c>
      <c r="E608" s="143">
        <v>44631</v>
      </c>
      <c r="F608" s="137" t="e">
        <f>'Date Calcs'!#REF!</f>
        <v>#REF!</v>
      </c>
      <c r="G608" s="137" t="e">
        <f>IF(VLOOKUP(A608,'Actual Dates'!A4:AE735,8,),'Actual Dates'!#REF!,"")</f>
        <v>#REF!</v>
      </c>
      <c r="H608" s="137" t="e">
        <f t="shared" si="68"/>
        <v>#REF!</v>
      </c>
      <c r="I608" s="137" t="e">
        <f>IF(VLOOKUP(A608,'Actual Dates'!A4:AE730,25,),'Actual Dates'!#REF!,"")</f>
        <v>#REF!</v>
      </c>
      <c r="J608" s="137" t="e">
        <f t="shared" si="69"/>
        <v>#REF!</v>
      </c>
      <c r="K608" s="137" t="e">
        <f>IF(VLOOKUP(A608,'Actual Dates'!A4:AE758,26,),'Actual Dates'!#REF!,"")</f>
        <v>#REF!</v>
      </c>
      <c r="L608" s="137" t="e">
        <f>IF(VLOOKUP(A608,'Actual Dates'!A4:AE758,21,),'Actual Dates'!#REF!,"")</f>
        <v>#REF!</v>
      </c>
      <c r="M608" s="137" t="e">
        <f>'Date Calcs'!#REF!</f>
        <v>#REF!</v>
      </c>
      <c r="N608" s="137" t="e">
        <f>IF(VLOOKUP(A608,'Actual Dates'!A4:AE758,27,),'Actual Dates'!#REF!,"")</f>
        <v>#REF!</v>
      </c>
      <c r="O608" s="138" t="e">
        <f t="shared" si="72"/>
        <v>#REF!</v>
      </c>
      <c r="P608" s="139" t="e">
        <f t="shared" si="70"/>
        <v>#REF!</v>
      </c>
      <c r="Q608" s="139" t="e">
        <f t="shared" si="71"/>
        <v>#REF!</v>
      </c>
      <c r="R608" s="170"/>
      <c r="S608" s="170"/>
    </row>
    <row r="609" spans="1:19" x14ac:dyDescent="0.25">
      <c r="A609" s="134" t="e">
        <f>'Date Calcs'!#REF!</f>
        <v>#REF!</v>
      </c>
      <c r="B609" s="135" t="e">
        <f>'Date Calcs'!#REF!</f>
        <v>#REF!</v>
      </c>
      <c r="C609" s="136" t="e">
        <f>'Date Calcs'!#REF!</f>
        <v>#REF!</v>
      </c>
      <c r="D609" s="137" t="e">
        <f t="shared" si="73"/>
        <v>#REF!</v>
      </c>
      <c r="E609" s="143">
        <v>44632</v>
      </c>
      <c r="F609" s="137" t="e">
        <f>'Date Calcs'!#REF!</f>
        <v>#REF!</v>
      </c>
      <c r="G609" s="137" t="e">
        <f>IF(VLOOKUP(A609,'Actual Dates'!A4:AE736,8,),'Actual Dates'!#REF!,"")</f>
        <v>#REF!</v>
      </c>
      <c r="H609" s="137" t="e">
        <f t="shared" si="68"/>
        <v>#REF!</v>
      </c>
      <c r="I609" s="137" t="e">
        <f>IF(VLOOKUP(A609,'Actual Dates'!A4:AE731,25,),'Actual Dates'!#REF!,"")</f>
        <v>#REF!</v>
      </c>
      <c r="J609" s="137" t="e">
        <f t="shared" si="69"/>
        <v>#REF!</v>
      </c>
      <c r="K609" s="137" t="e">
        <f>IF(VLOOKUP(A609,'Actual Dates'!A4:AE759,26,),'Actual Dates'!#REF!,"")</f>
        <v>#REF!</v>
      </c>
      <c r="L609" s="137" t="e">
        <f>IF(VLOOKUP(A609,'Actual Dates'!A4:AE759,21,),'Actual Dates'!#REF!,"")</f>
        <v>#REF!</v>
      </c>
      <c r="M609" s="137" t="e">
        <f>'Date Calcs'!#REF!</f>
        <v>#REF!</v>
      </c>
      <c r="N609" s="137" t="e">
        <f>IF(VLOOKUP(A609,'Actual Dates'!A4:AE759,27,),'Actual Dates'!#REF!,"")</f>
        <v>#REF!</v>
      </c>
      <c r="O609" s="138" t="e">
        <f t="shared" si="72"/>
        <v>#REF!</v>
      </c>
      <c r="P609" s="139" t="e">
        <f t="shared" si="70"/>
        <v>#REF!</v>
      </c>
      <c r="Q609" s="139" t="e">
        <f t="shared" si="71"/>
        <v>#REF!</v>
      </c>
      <c r="R609" s="170"/>
      <c r="S609" s="170"/>
    </row>
    <row r="610" spans="1:19" x14ac:dyDescent="0.25">
      <c r="A610" s="134" t="e">
        <f>'Date Calcs'!#REF!</f>
        <v>#REF!</v>
      </c>
      <c r="B610" s="135" t="e">
        <f>'Date Calcs'!#REF!</f>
        <v>#REF!</v>
      </c>
      <c r="C610" s="136" t="e">
        <f>'Date Calcs'!#REF!</f>
        <v>#REF!</v>
      </c>
      <c r="D610" s="137" t="e">
        <f t="shared" si="73"/>
        <v>#REF!</v>
      </c>
      <c r="E610" s="143">
        <v>44633</v>
      </c>
      <c r="F610" s="137" t="e">
        <f>'Date Calcs'!#REF!</f>
        <v>#REF!</v>
      </c>
      <c r="G610" s="137" t="e">
        <f>IF(VLOOKUP(A610,'Actual Dates'!A4:AE737,8,),'Actual Dates'!#REF!,"")</f>
        <v>#REF!</v>
      </c>
      <c r="H610" s="137" t="e">
        <f t="shared" si="68"/>
        <v>#REF!</v>
      </c>
      <c r="I610" s="137" t="e">
        <f>IF(VLOOKUP(A610,'Actual Dates'!A4:AE732,25,),'Actual Dates'!#REF!,"")</f>
        <v>#REF!</v>
      </c>
      <c r="J610" s="137" t="e">
        <f t="shared" si="69"/>
        <v>#REF!</v>
      </c>
      <c r="K610" s="137" t="e">
        <f>IF(VLOOKUP(A610,'Actual Dates'!A4:AE760,26,),'Actual Dates'!#REF!,"")</f>
        <v>#REF!</v>
      </c>
      <c r="L610" s="137" t="e">
        <f>IF(VLOOKUP(A610,'Actual Dates'!A4:AE760,21,),'Actual Dates'!#REF!,"")</f>
        <v>#REF!</v>
      </c>
      <c r="M610" s="137" t="e">
        <f>'Date Calcs'!#REF!</f>
        <v>#REF!</v>
      </c>
      <c r="N610" s="137" t="e">
        <f>IF(VLOOKUP(A610,'Actual Dates'!A4:AE760,27,),'Actual Dates'!#REF!,"")</f>
        <v>#REF!</v>
      </c>
      <c r="O610" s="138" t="e">
        <f t="shared" si="72"/>
        <v>#REF!</v>
      </c>
      <c r="P610" s="139" t="e">
        <f t="shared" si="70"/>
        <v>#REF!</v>
      </c>
      <c r="Q610" s="139" t="e">
        <f t="shared" si="71"/>
        <v>#REF!</v>
      </c>
      <c r="R610" s="170"/>
      <c r="S610" s="170"/>
    </row>
    <row r="611" spans="1:19" x14ac:dyDescent="0.25">
      <c r="A611" s="134" t="e">
        <f>'Date Calcs'!#REF!</f>
        <v>#REF!</v>
      </c>
      <c r="B611" s="135" t="e">
        <f>'Date Calcs'!#REF!</f>
        <v>#REF!</v>
      </c>
      <c r="C611" s="136" t="e">
        <f>'Date Calcs'!#REF!</f>
        <v>#REF!</v>
      </c>
      <c r="D611" s="137" t="e">
        <f t="shared" si="73"/>
        <v>#REF!</v>
      </c>
      <c r="E611" s="143">
        <v>44634</v>
      </c>
      <c r="F611" s="137" t="e">
        <f>'Date Calcs'!#REF!</f>
        <v>#REF!</v>
      </c>
      <c r="G611" s="137" t="e">
        <f>IF(VLOOKUP(A611,'Actual Dates'!A4:AE738,8,),'Actual Dates'!#REF!,"")</f>
        <v>#REF!</v>
      </c>
      <c r="H611" s="137" t="e">
        <f t="shared" si="68"/>
        <v>#REF!</v>
      </c>
      <c r="I611" s="137" t="e">
        <f>IF(VLOOKUP(A611,'Actual Dates'!A4:AE733,25,),'Actual Dates'!#REF!,"")</f>
        <v>#REF!</v>
      </c>
      <c r="J611" s="137" t="e">
        <f t="shared" si="69"/>
        <v>#REF!</v>
      </c>
      <c r="K611" s="137" t="e">
        <f>IF(VLOOKUP(A611,'Actual Dates'!A4:AE761,26,),'Actual Dates'!#REF!,"")</f>
        <v>#REF!</v>
      </c>
      <c r="L611" s="137" t="e">
        <f>IF(VLOOKUP(A611,'Actual Dates'!A4:AE761,21,),'Actual Dates'!#REF!,"")</f>
        <v>#REF!</v>
      </c>
      <c r="M611" s="137" t="e">
        <f>'Date Calcs'!#REF!</f>
        <v>#REF!</v>
      </c>
      <c r="N611" s="137" t="e">
        <f>IF(VLOOKUP(A611,'Actual Dates'!A4:AE761,27,),'Actual Dates'!#REF!,"")</f>
        <v>#REF!</v>
      </c>
      <c r="O611" s="138" t="e">
        <f t="shared" si="72"/>
        <v>#REF!</v>
      </c>
      <c r="P611" s="139" t="e">
        <f t="shared" si="70"/>
        <v>#REF!</v>
      </c>
      <c r="Q611" s="139" t="e">
        <f t="shared" si="71"/>
        <v>#REF!</v>
      </c>
      <c r="R611" s="170"/>
      <c r="S611" s="170"/>
    </row>
    <row r="612" spans="1:19" x14ac:dyDescent="0.25">
      <c r="A612" s="134" t="e">
        <f>'Date Calcs'!#REF!</f>
        <v>#REF!</v>
      </c>
      <c r="B612" s="135" t="e">
        <f>'Date Calcs'!#REF!</f>
        <v>#REF!</v>
      </c>
      <c r="C612" s="136" t="e">
        <f>'Date Calcs'!#REF!</f>
        <v>#REF!</v>
      </c>
      <c r="D612" s="137" t="e">
        <f t="shared" si="73"/>
        <v>#REF!</v>
      </c>
      <c r="E612" s="143">
        <v>44635</v>
      </c>
      <c r="F612" s="137" t="e">
        <f>'Date Calcs'!#REF!</f>
        <v>#REF!</v>
      </c>
      <c r="G612" s="137" t="e">
        <f>IF(VLOOKUP(A612,'Actual Dates'!A4:AE739,8,),'Actual Dates'!#REF!,"")</f>
        <v>#REF!</v>
      </c>
      <c r="H612" s="137" t="e">
        <f t="shared" si="68"/>
        <v>#REF!</v>
      </c>
      <c r="I612" s="137" t="e">
        <f>IF(VLOOKUP(A612,'Actual Dates'!A4:AE734,25,),'Actual Dates'!#REF!,"")</f>
        <v>#REF!</v>
      </c>
      <c r="J612" s="137" t="e">
        <f t="shared" si="69"/>
        <v>#REF!</v>
      </c>
      <c r="K612" s="137" t="e">
        <f>IF(VLOOKUP(A612,'Actual Dates'!A4:AE762,26,),'Actual Dates'!#REF!,"")</f>
        <v>#REF!</v>
      </c>
      <c r="L612" s="137" t="e">
        <f>IF(VLOOKUP(A612,'Actual Dates'!A4:AE762,21,),'Actual Dates'!#REF!,"")</f>
        <v>#REF!</v>
      </c>
      <c r="M612" s="137" t="e">
        <f>'Date Calcs'!#REF!</f>
        <v>#REF!</v>
      </c>
      <c r="N612" s="137" t="e">
        <f>IF(VLOOKUP(A612,'Actual Dates'!A4:AE762,27,),'Actual Dates'!#REF!,"")</f>
        <v>#REF!</v>
      </c>
      <c r="O612" s="138" t="e">
        <f t="shared" si="72"/>
        <v>#REF!</v>
      </c>
      <c r="P612" s="139" t="e">
        <f t="shared" si="70"/>
        <v>#REF!</v>
      </c>
      <c r="Q612" s="139" t="e">
        <f t="shared" si="71"/>
        <v>#REF!</v>
      </c>
      <c r="R612" s="170"/>
      <c r="S612" s="170"/>
    </row>
    <row r="613" spans="1:19" x14ac:dyDescent="0.25">
      <c r="A613" s="134" t="e">
        <f>'Date Calcs'!#REF!</f>
        <v>#REF!</v>
      </c>
      <c r="B613" s="135" t="e">
        <f>'Date Calcs'!#REF!</f>
        <v>#REF!</v>
      </c>
      <c r="C613" s="136" t="e">
        <f>'Date Calcs'!#REF!</f>
        <v>#REF!</v>
      </c>
      <c r="D613" s="137" t="e">
        <f t="shared" si="73"/>
        <v>#REF!</v>
      </c>
      <c r="E613" s="143">
        <v>44636</v>
      </c>
      <c r="F613" s="137" t="e">
        <f>'Date Calcs'!#REF!</f>
        <v>#REF!</v>
      </c>
      <c r="G613" s="137" t="e">
        <f>IF(VLOOKUP(A613,'Actual Dates'!A4:AE740,8,),'Actual Dates'!#REF!,"")</f>
        <v>#REF!</v>
      </c>
      <c r="H613" s="137" t="e">
        <f t="shared" si="68"/>
        <v>#REF!</v>
      </c>
      <c r="I613" s="137" t="e">
        <f>IF(VLOOKUP(A613,'Actual Dates'!A4:AE735,25,),'Actual Dates'!#REF!,"")</f>
        <v>#REF!</v>
      </c>
      <c r="J613" s="137" t="e">
        <f t="shared" si="69"/>
        <v>#REF!</v>
      </c>
      <c r="K613" s="137" t="e">
        <f>IF(VLOOKUP(A613,'Actual Dates'!A4:AE763,26,),'Actual Dates'!#REF!,"")</f>
        <v>#REF!</v>
      </c>
      <c r="L613" s="137" t="e">
        <f>IF(VLOOKUP(A613,'Actual Dates'!A4:AE763,21,),'Actual Dates'!#REF!,"")</f>
        <v>#REF!</v>
      </c>
      <c r="M613" s="137" t="e">
        <f>'Date Calcs'!#REF!</f>
        <v>#REF!</v>
      </c>
      <c r="N613" s="137" t="e">
        <f>IF(VLOOKUP(A613,'Actual Dates'!A4:AE763,27,),'Actual Dates'!#REF!,"")</f>
        <v>#REF!</v>
      </c>
      <c r="O613" s="138" t="e">
        <f t="shared" si="72"/>
        <v>#REF!</v>
      </c>
      <c r="P613" s="139" t="e">
        <f t="shared" si="70"/>
        <v>#REF!</v>
      </c>
      <c r="Q613" s="139" t="e">
        <f t="shared" si="71"/>
        <v>#REF!</v>
      </c>
      <c r="R613" s="170"/>
      <c r="S613" s="170"/>
    </row>
    <row r="614" spans="1:19" x14ac:dyDescent="0.25">
      <c r="A614" s="134" t="e">
        <f>'Date Calcs'!#REF!</f>
        <v>#REF!</v>
      </c>
      <c r="B614" s="135" t="e">
        <f>'Date Calcs'!#REF!</f>
        <v>#REF!</v>
      </c>
      <c r="C614" s="136" t="e">
        <f>'Date Calcs'!#REF!</f>
        <v>#REF!</v>
      </c>
      <c r="D614" s="137" t="e">
        <f t="shared" si="73"/>
        <v>#REF!</v>
      </c>
      <c r="E614" s="143">
        <v>44637</v>
      </c>
      <c r="F614" s="137" t="e">
        <f>'Date Calcs'!#REF!</f>
        <v>#REF!</v>
      </c>
      <c r="G614" s="137" t="e">
        <f>IF(VLOOKUP(A614,'Actual Dates'!A4:AE741,8,),'Actual Dates'!#REF!,"")</f>
        <v>#REF!</v>
      </c>
      <c r="H614" s="137" t="e">
        <f t="shared" si="68"/>
        <v>#REF!</v>
      </c>
      <c r="I614" s="137" t="e">
        <f>IF(VLOOKUP(A614,'Actual Dates'!A4:AE736,25,),'Actual Dates'!#REF!,"")</f>
        <v>#REF!</v>
      </c>
      <c r="J614" s="137" t="e">
        <f t="shared" si="69"/>
        <v>#REF!</v>
      </c>
      <c r="K614" s="137" t="e">
        <f>IF(VLOOKUP(A614,'Actual Dates'!A4:AE764,26,),'Actual Dates'!#REF!,"")</f>
        <v>#REF!</v>
      </c>
      <c r="L614" s="137" t="e">
        <f>IF(VLOOKUP(A614,'Actual Dates'!A4:AE764,21,),'Actual Dates'!#REF!,"")</f>
        <v>#REF!</v>
      </c>
      <c r="M614" s="137" t="e">
        <f>'Date Calcs'!#REF!</f>
        <v>#REF!</v>
      </c>
      <c r="N614" s="137" t="e">
        <f>IF(VLOOKUP(A614,'Actual Dates'!A4:AE764,27,),'Actual Dates'!#REF!,"")</f>
        <v>#REF!</v>
      </c>
      <c r="O614" s="138" t="e">
        <f t="shared" si="72"/>
        <v>#REF!</v>
      </c>
      <c r="P614" s="139" t="e">
        <f t="shared" si="70"/>
        <v>#REF!</v>
      </c>
      <c r="Q614" s="139" t="e">
        <f t="shared" si="71"/>
        <v>#REF!</v>
      </c>
      <c r="R614" s="170"/>
      <c r="S614" s="170"/>
    </row>
    <row r="615" spans="1:19" x14ac:dyDescent="0.25">
      <c r="A615" s="134" t="e">
        <f>'Date Calcs'!#REF!</f>
        <v>#REF!</v>
      </c>
      <c r="B615" s="135" t="e">
        <f>'Date Calcs'!#REF!</f>
        <v>#REF!</v>
      </c>
      <c r="C615" s="136" t="e">
        <f>'Date Calcs'!#REF!</f>
        <v>#REF!</v>
      </c>
      <c r="D615" s="137" t="e">
        <f t="shared" si="73"/>
        <v>#REF!</v>
      </c>
      <c r="E615" s="143">
        <v>44638</v>
      </c>
      <c r="F615" s="137" t="e">
        <f>'Date Calcs'!#REF!</f>
        <v>#REF!</v>
      </c>
      <c r="G615" s="137" t="e">
        <f>IF(VLOOKUP(A615,'Actual Dates'!A4:AE742,8,),'Actual Dates'!#REF!,"")</f>
        <v>#REF!</v>
      </c>
      <c r="H615" s="137" t="e">
        <f t="shared" si="68"/>
        <v>#REF!</v>
      </c>
      <c r="I615" s="137" t="e">
        <f>IF(VLOOKUP(A615,'Actual Dates'!A4:AE737,25,),'Actual Dates'!#REF!,"")</f>
        <v>#REF!</v>
      </c>
      <c r="J615" s="137" t="e">
        <f t="shared" si="69"/>
        <v>#REF!</v>
      </c>
      <c r="K615" s="137" t="e">
        <f>IF(VLOOKUP(A615,'Actual Dates'!A4:AE765,26,),'Actual Dates'!#REF!,"")</f>
        <v>#REF!</v>
      </c>
      <c r="L615" s="137" t="e">
        <f>IF(VLOOKUP(A615,'Actual Dates'!A4:AE765,21,),'Actual Dates'!#REF!,"")</f>
        <v>#REF!</v>
      </c>
      <c r="M615" s="137" t="e">
        <f>'Date Calcs'!#REF!</f>
        <v>#REF!</v>
      </c>
      <c r="N615" s="137" t="e">
        <f>IF(VLOOKUP(A615,'Actual Dates'!A4:AE765,27,),'Actual Dates'!#REF!,"")</f>
        <v>#REF!</v>
      </c>
      <c r="O615" s="138" t="e">
        <f t="shared" si="72"/>
        <v>#REF!</v>
      </c>
      <c r="P615" s="139" t="e">
        <f t="shared" si="70"/>
        <v>#REF!</v>
      </c>
      <c r="Q615" s="139" t="e">
        <f t="shared" si="71"/>
        <v>#REF!</v>
      </c>
      <c r="R615" s="170"/>
      <c r="S615" s="170"/>
    </row>
    <row r="616" spans="1:19" x14ac:dyDescent="0.25">
      <c r="A616" s="134" t="e">
        <f>'Date Calcs'!#REF!</f>
        <v>#REF!</v>
      </c>
      <c r="B616" s="135" t="e">
        <f>'Date Calcs'!#REF!</f>
        <v>#REF!</v>
      </c>
      <c r="C616" s="136" t="e">
        <f>'Date Calcs'!#REF!</f>
        <v>#REF!</v>
      </c>
      <c r="D616" s="137" t="e">
        <f t="shared" si="73"/>
        <v>#REF!</v>
      </c>
      <c r="E616" s="143">
        <v>44639</v>
      </c>
      <c r="F616" s="137" t="e">
        <f>'Date Calcs'!#REF!</f>
        <v>#REF!</v>
      </c>
      <c r="G616" s="137" t="e">
        <f>IF(VLOOKUP(A616,'Actual Dates'!A4:AE743,8,),'Actual Dates'!#REF!,"")</f>
        <v>#REF!</v>
      </c>
      <c r="H616" s="137" t="e">
        <f t="shared" si="68"/>
        <v>#REF!</v>
      </c>
      <c r="I616" s="137" t="e">
        <f>IF(VLOOKUP(A616,'Actual Dates'!A4:AE738,25,),'Actual Dates'!#REF!,"")</f>
        <v>#REF!</v>
      </c>
      <c r="J616" s="137" t="e">
        <f t="shared" si="69"/>
        <v>#REF!</v>
      </c>
      <c r="K616" s="137" t="e">
        <f>IF(VLOOKUP(A616,'Actual Dates'!A4:AE766,26,),'Actual Dates'!#REF!,"")</f>
        <v>#REF!</v>
      </c>
      <c r="L616" s="137" t="e">
        <f>IF(VLOOKUP(A616,'Actual Dates'!A4:AE766,21,),'Actual Dates'!#REF!,"")</f>
        <v>#REF!</v>
      </c>
      <c r="M616" s="137" t="e">
        <f>'Date Calcs'!#REF!</f>
        <v>#REF!</v>
      </c>
      <c r="N616" s="137" t="e">
        <f>IF(VLOOKUP(A616,'Actual Dates'!A4:AE766,27,),'Actual Dates'!#REF!,"")</f>
        <v>#REF!</v>
      </c>
      <c r="O616" s="138" t="e">
        <f t="shared" si="72"/>
        <v>#REF!</v>
      </c>
      <c r="P616" s="139" t="e">
        <f t="shared" si="70"/>
        <v>#REF!</v>
      </c>
      <c r="Q616" s="139" t="e">
        <f t="shared" si="71"/>
        <v>#REF!</v>
      </c>
      <c r="R616" s="170"/>
      <c r="S616" s="170"/>
    </row>
    <row r="617" spans="1:19" x14ac:dyDescent="0.25">
      <c r="A617" s="134" t="e">
        <f>'Date Calcs'!#REF!</f>
        <v>#REF!</v>
      </c>
      <c r="B617" s="135" t="e">
        <f>'Date Calcs'!#REF!</f>
        <v>#REF!</v>
      </c>
      <c r="C617" s="136" t="e">
        <f>'Date Calcs'!#REF!</f>
        <v>#REF!</v>
      </c>
      <c r="D617" s="137" t="e">
        <f t="shared" si="73"/>
        <v>#REF!</v>
      </c>
      <c r="E617" s="143">
        <v>44640</v>
      </c>
      <c r="F617" s="137" t="e">
        <f>'Date Calcs'!#REF!</f>
        <v>#REF!</v>
      </c>
      <c r="G617" s="137" t="e">
        <f>IF(VLOOKUP(A617,'Actual Dates'!A4:AE744,8,),'Actual Dates'!#REF!,"")</f>
        <v>#REF!</v>
      </c>
      <c r="H617" s="137" t="e">
        <f t="shared" si="68"/>
        <v>#REF!</v>
      </c>
      <c r="I617" s="137" t="e">
        <f>IF(VLOOKUP(A617,'Actual Dates'!A4:AE739,25,),'Actual Dates'!#REF!,"")</f>
        <v>#REF!</v>
      </c>
      <c r="J617" s="137" t="e">
        <f t="shared" si="69"/>
        <v>#REF!</v>
      </c>
      <c r="K617" s="137" t="e">
        <f>IF(VLOOKUP(A617,'Actual Dates'!A4:AE767,26,),'Actual Dates'!#REF!,"")</f>
        <v>#REF!</v>
      </c>
      <c r="L617" s="137" t="e">
        <f>IF(VLOOKUP(A617,'Actual Dates'!A4:AE767,21,),'Actual Dates'!#REF!,"")</f>
        <v>#REF!</v>
      </c>
      <c r="M617" s="137" t="e">
        <f>'Date Calcs'!#REF!</f>
        <v>#REF!</v>
      </c>
      <c r="N617" s="137" t="e">
        <f>IF(VLOOKUP(A617,'Actual Dates'!A4:AE767,27,),'Actual Dates'!#REF!,"")</f>
        <v>#REF!</v>
      </c>
      <c r="O617" s="138" t="e">
        <f t="shared" si="72"/>
        <v>#REF!</v>
      </c>
      <c r="P617" s="139" t="e">
        <f t="shared" si="70"/>
        <v>#REF!</v>
      </c>
      <c r="Q617" s="139" t="e">
        <f t="shared" si="71"/>
        <v>#REF!</v>
      </c>
      <c r="R617" s="170"/>
      <c r="S617" s="170"/>
    </row>
    <row r="618" spans="1:19" x14ac:dyDescent="0.25">
      <c r="A618" s="134" t="e">
        <f>'Date Calcs'!#REF!</f>
        <v>#REF!</v>
      </c>
      <c r="B618" s="135" t="e">
        <f>'Date Calcs'!#REF!</f>
        <v>#REF!</v>
      </c>
      <c r="C618" s="136" t="e">
        <f>'Date Calcs'!#REF!</f>
        <v>#REF!</v>
      </c>
      <c r="D618" s="137" t="e">
        <f t="shared" si="73"/>
        <v>#REF!</v>
      </c>
      <c r="E618" s="143">
        <v>44641</v>
      </c>
      <c r="F618" s="137" t="e">
        <f>'Date Calcs'!#REF!</f>
        <v>#REF!</v>
      </c>
      <c r="G618" s="137" t="e">
        <f>IF(VLOOKUP(A618,'Actual Dates'!A4:AE745,8,),'Actual Dates'!#REF!,"")</f>
        <v>#REF!</v>
      </c>
      <c r="H618" s="137" t="e">
        <f t="shared" si="68"/>
        <v>#REF!</v>
      </c>
      <c r="I618" s="137" t="e">
        <f>IF(VLOOKUP(A618,'Actual Dates'!A4:AE740,25,),'Actual Dates'!#REF!,"")</f>
        <v>#REF!</v>
      </c>
      <c r="J618" s="137" t="e">
        <f t="shared" si="69"/>
        <v>#REF!</v>
      </c>
      <c r="K618" s="137" t="e">
        <f>IF(VLOOKUP(A618,'Actual Dates'!A4:AE768,26,),'Actual Dates'!#REF!,"")</f>
        <v>#REF!</v>
      </c>
      <c r="L618" s="137" t="e">
        <f>IF(VLOOKUP(A618,'Actual Dates'!A4:AE768,21,),'Actual Dates'!#REF!,"")</f>
        <v>#REF!</v>
      </c>
      <c r="M618" s="137" t="e">
        <f>'Date Calcs'!#REF!</f>
        <v>#REF!</v>
      </c>
      <c r="N618" s="137" t="e">
        <f>IF(VLOOKUP(A618,'Actual Dates'!A4:AE768,27,),'Actual Dates'!#REF!,"")</f>
        <v>#REF!</v>
      </c>
      <c r="O618" s="138" t="e">
        <f t="shared" si="72"/>
        <v>#REF!</v>
      </c>
      <c r="P618" s="139" t="e">
        <f t="shared" si="70"/>
        <v>#REF!</v>
      </c>
      <c r="Q618" s="139" t="e">
        <f t="shared" si="71"/>
        <v>#REF!</v>
      </c>
      <c r="R618" s="170"/>
      <c r="S618" s="170"/>
    </row>
    <row r="619" spans="1:19" x14ac:dyDescent="0.25">
      <c r="A619" s="134" t="e">
        <f>'Date Calcs'!#REF!</f>
        <v>#REF!</v>
      </c>
      <c r="B619" s="135" t="e">
        <f>'Date Calcs'!#REF!</f>
        <v>#REF!</v>
      </c>
      <c r="C619" s="136" t="e">
        <f>'Date Calcs'!#REF!</f>
        <v>#REF!</v>
      </c>
      <c r="D619" s="137" t="e">
        <f t="shared" si="73"/>
        <v>#REF!</v>
      </c>
      <c r="E619" s="143">
        <v>44642</v>
      </c>
      <c r="F619" s="137" t="e">
        <f>'Date Calcs'!#REF!</f>
        <v>#REF!</v>
      </c>
      <c r="G619" s="137" t="e">
        <f>IF(VLOOKUP(A619,'Actual Dates'!A4:AE746,8,),'Actual Dates'!#REF!,"")</f>
        <v>#REF!</v>
      </c>
      <c r="H619" s="137" t="e">
        <f t="shared" si="68"/>
        <v>#REF!</v>
      </c>
      <c r="I619" s="137" t="e">
        <f>IF(VLOOKUP(A619,'Actual Dates'!A4:AE741,25,),'Actual Dates'!#REF!,"")</f>
        <v>#REF!</v>
      </c>
      <c r="J619" s="137" t="e">
        <f t="shared" si="69"/>
        <v>#REF!</v>
      </c>
      <c r="K619" s="137" t="e">
        <f>IF(VLOOKUP(A619,'Actual Dates'!A4:AE769,26,),'Actual Dates'!#REF!,"")</f>
        <v>#REF!</v>
      </c>
      <c r="L619" s="137" t="e">
        <f>IF(VLOOKUP(A619,'Actual Dates'!A4:AE769,21,),'Actual Dates'!#REF!,"")</f>
        <v>#REF!</v>
      </c>
      <c r="M619" s="137" t="e">
        <f>'Date Calcs'!#REF!</f>
        <v>#REF!</v>
      </c>
      <c r="N619" s="137" t="e">
        <f>IF(VLOOKUP(A619,'Actual Dates'!A4:AE769,27,),'Actual Dates'!#REF!,"")</f>
        <v>#REF!</v>
      </c>
      <c r="O619" s="138" t="e">
        <f t="shared" si="72"/>
        <v>#REF!</v>
      </c>
      <c r="P619" s="139" t="e">
        <f t="shared" si="70"/>
        <v>#REF!</v>
      </c>
      <c r="Q619" s="139" t="e">
        <f t="shared" si="71"/>
        <v>#REF!</v>
      </c>
      <c r="R619" s="170"/>
      <c r="S619" s="170"/>
    </row>
    <row r="620" spans="1:19" x14ac:dyDescent="0.25">
      <c r="A620" s="134" t="str">
        <f>'Date Calcs'!A5</f>
        <v>24-046</v>
      </c>
      <c r="B620" s="135" t="str">
        <f>'Date Calcs'!B5</f>
        <v>SYMS Engineering</v>
      </c>
      <c r="C620" s="136">
        <f>'Date Calcs'!C5</f>
        <v>45519</v>
      </c>
      <c r="D620" s="137">
        <f t="shared" si="73"/>
        <v>45539</v>
      </c>
      <c r="E620" s="143">
        <v>44643</v>
      </c>
      <c r="F620" s="137">
        <f>'Date Calcs'!H5</f>
        <v>45540</v>
      </c>
      <c r="G620" s="137" t="e">
        <f>IF(VLOOKUP(A620,'Actual Dates'!A4:AE747,8,),'Actual Dates'!#REF!,"")</f>
        <v>#REF!</v>
      </c>
      <c r="H620" s="137" t="e">
        <f t="shared" si="68"/>
        <v>#REF!</v>
      </c>
      <c r="I620" s="137" t="e">
        <f>IF(VLOOKUP(A620,'Actual Dates'!A4:AE742,25,),'Actual Dates'!#REF!,"")</f>
        <v>#REF!</v>
      </c>
      <c r="J620" s="137" t="e">
        <f t="shared" si="69"/>
        <v>#REF!</v>
      </c>
      <c r="K620" s="137" t="e">
        <f>IF(VLOOKUP(A620,'Actual Dates'!A4:AE770,26,),'Actual Dates'!#REF!,"")</f>
        <v>#REF!</v>
      </c>
      <c r="L620" s="137" t="e">
        <f>IF(VLOOKUP(A620,'Actual Dates'!A4:AE770,21,),'Actual Dates'!#REF!,"")</f>
        <v>#REF!</v>
      </c>
      <c r="M620" s="137">
        <f>'Date Calcs'!AF5</f>
        <v>45901</v>
      </c>
      <c r="N620" s="137" t="e">
        <f>IF(VLOOKUP(A620,'Actual Dates'!A4:AE770,27,),'Actual Dates'!#REF!,"")</f>
        <v>#REF!</v>
      </c>
      <c r="O620" s="138" t="e">
        <f t="shared" si="72"/>
        <v>#REF!</v>
      </c>
      <c r="P620" s="139" t="e">
        <f t="shared" si="70"/>
        <v>#REF!</v>
      </c>
      <c r="Q620" s="139" t="e">
        <f t="shared" si="71"/>
        <v>#REF!</v>
      </c>
      <c r="R620" s="170"/>
      <c r="S620" s="170"/>
    </row>
    <row r="621" spans="1:19" x14ac:dyDescent="0.25">
      <c r="A621" s="134" t="e">
        <f>'Date Calcs'!#REF!</f>
        <v>#REF!</v>
      </c>
      <c r="B621" s="135" t="e">
        <f>'Date Calcs'!#REF!</f>
        <v>#REF!</v>
      </c>
      <c r="C621" s="136" t="e">
        <f>'Date Calcs'!#REF!</f>
        <v>#REF!</v>
      </c>
      <c r="D621" s="137" t="e">
        <f t="shared" si="73"/>
        <v>#REF!</v>
      </c>
      <c r="E621" s="143">
        <v>44644</v>
      </c>
      <c r="F621" s="137" t="e">
        <f>'Date Calcs'!#REF!</f>
        <v>#REF!</v>
      </c>
      <c r="G621" s="137" t="e">
        <f>IF(VLOOKUP(A621,'Actual Dates'!A4:AE748,8,),'Actual Dates'!#REF!,"")</f>
        <v>#REF!</v>
      </c>
      <c r="H621" s="137" t="e">
        <f t="shared" si="68"/>
        <v>#REF!</v>
      </c>
      <c r="I621" s="137" t="e">
        <f>IF(VLOOKUP(A621,'Actual Dates'!A4:AE743,25,),'Actual Dates'!#REF!,"")</f>
        <v>#REF!</v>
      </c>
      <c r="J621" s="137" t="e">
        <f t="shared" si="69"/>
        <v>#REF!</v>
      </c>
      <c r="K621" s="137" t="e">
        <f>IF(VLOOKUP(A621,'Actual Dates'!A4:AE771,26,),'Actual Dates'!#REF!,"")</f>
        <v>#REF!</v>
      </c>
      <c r="L621" s="137" t="e">
        <f>IF(VLOOKUP(A621,'Actual Dates'!A4:AE771,21,),'Actual Dates'!#REF!,"")</f>
        <v>#REF!</v>
      </c>
      <c r="M621" s="137" t="e">
        <f>'Date Calcs'!#REF!</f>
        <v>#REF!</v>
      </c>
      <c r="N621" s="137" t="e">
        <f>IF(VLOOKUP(A621,'Actual Dates'!A4:AE771,27,),'Actual Dates'!#REF!,"")</f>
        <v>#REF!</v>
      </c>
      <c r="O621" s="138" t="e">
        <f t="shared" si="72"/>
        <v>#REF!</v>
      </c>
      <c r="P621" s="139" t="e">
        <f t="shared" si="70"/>
        <v>#REF!</v>
      </c>
      <c r="Q621" s="139" t="e">
        <f t="shared" si="71"/>
        <v>#REF!</v>
      </c>
      <c r="R621" s="170"/>
      <c r="S621" s="170"/>
    </row>
    <row r="622" spans="1:19" x14ac:dyDescent="0.25">
      <c r="A622" s="134" t="e">
        <f>'Date Calcs'!#REF!</f>
        <v>#REF!</v>
      </c>
      <c r="B622" s="135" t="e">
        <f>'Date Calcs'!#REF!</f>
        <v>#REF!</v>
      </c>
      <c r="C622" s="136" t="e">
        <f>'Date Calcs'!#REF!</f>
        <v>#REF!</v>
      </c>
      <c r="D622" s="137" t="e">
        <f t="shared" si="73"/>
        <v>#REF!</v>
      </c>
      <c r="E622" s="143">
        <v>44645</v>
      </c>
      <c r="F622" s="137" t="e">
        <f>'Date Calcs'!#REF!</f>
        <v>#REF!</v>
      </c>
      <c r="G622" s="137" t="e">
        <f>IF(VLOOKUP(A622,'Actual Dates'!A4:AE749,8,),'Actual Dates'!#REF!,"")</f>
        <v>#REF!</v>
      </c>
      <c r="H622" s="137" t="e">
        <f t="shared" si="68"/>
        <v>#REF!</v>
      </c>
      <c r="I622" s="137" t="e">
        <f>IF(VLOOKUP(A622,'Actual Dates'!A4:AE744,25,),'Actual Dates'!#REF!,"")</f>
        <v>#REF!</v>
      </c>
      <c r="J622" s="137" t="e">
        <f t="shared" si="69"/>
        <v>#REF!</v>
      </c>
      <c r="K622" s="137" t="e">
        <f>IF(VLOOKUP(A622,'Actual Dates'!A4:AE772,26,),'Actual Dates'!#REF!,"")</f>
        <v>#REF!</v>
      </c>
      <c r="L622" s="137" t="e">
        <f>IF(VLOOKUP(A622,'Actual Dates'!A4:AE772,21,),'Actual Dates'!#REF!,"")</f>
        <v>#REF!</v>
      </c>
      <c r="M622" s="137" t="e">
        <f>'Date Calcs'!#REF!</f>
        <v>#REF!</v>
      </c>
      <c r="N622" s="137" t="e">
        <f>IF(VLOOKUP(A622,'Actual Dates'!A4:AE772,27,),'Actual Dates'!#REF!,"")</f>
        <v>#REF!</v>
      </c>
      <c r="O622" s="138" t="e">
        <f t="shared" si="72"/>
        <v>#REF!</v>
      </c>
      <c r="P622" s="139" t="e">
        <f t="shared" si="70"/>
        <v>#REF!</v>
      </c>
      <c r="Q622" s="139" t="e">
        <f t="shared" si="71"/>
        <v>#REF!</v>
      </c>
      <c r="R622" s="170"/>
      <c r="S622" s="170"/>
    </row>
    <row r="623" spans="1:19" x14ac:dyDescent="0.25">
      <c r="A623" s="134" t="e">
        <f>'Date Calcs'!#REF!</f>
        <v>#REF!</v>
      </c>
      <c r="B623" s="135" t="e">
        <f>'Date Calcs'!#REF!</f>
        <v>#REF!</v>
      </c>
      <c r="C623" s="136" t="e">
        <f>'Date Calcs'!#REF!</f>
        <v>#REF!</v>
      </c>
      <c r="D623" s="137" t="e">
        <f t="shared" si="73"/>
        <v>#REF!</v>
      </c>
      <c r="E623" s="143">
        <v>44646</v>
      </c>
      <c r="F623" s="137" t="e">
        <f>'Date Calcs'!#REF!</f>
        <v>#REF!</v>
      </c>
      <c r="G623" s="137" t="e">
        <f>IF(VLOOKUP(A623,'Actual Dates'!A4:AE750,8,),'Actual Dates'!#REF!,"")</f>
        <v>#REF!</v>
      </c>
      <c r="H623" s="137" t="e">
        <f t="shared" si="68"/>
        <v>#REF!</v>
      </c>
      <c r="I623" s="137" t="e">
        <f>IF(VLOOKUP(A623,'Actual Dates'!A4:AE745,25,),'Actual Dates'!#REF!,"")</f>
        <v>#REF!</v>
      </c>
      <c r="J623" s="137" t="e">
        <f t="shared" si="69"/>
        <v>#REF!</v>
      </c>
      <c r="K623" s="137" t="e">
        <f>IF(VLOOKUP(A623,'Actual Dates'!A4:AE773,26,),'Actual Dates'!#REF!,"")</f>
        <v>#REF!</v>
      </c>
      <c r="L623" s="137" t="e">
        <f>IF(VLOOKUP(A623,'Actual Dates'!A4:AE773,21,),'Actual Dates'!#REF!,"")</f>
        <v>#REF!</v>
      </c>
      <c r="M623" s="137" t="e">
        <f>'Date Calcs'!#REF!</f>
        <v>#REF!</v>
      </c>
      <c r="N623" s="137" t="e">
        <f>IF(VLOOKUP(A623,'Actual Dates'!A4:AE773,27,),'Actual Dates'!#REF!,"")</f>
        <v>#REF!</v>
      </c>
      <c r="O623" s="138" t="e">
        <f t="shared" si="72"/>
        <v>#REF!</v>
      </c>
      <c r="P623" s="139" t="e">
        <f t="shared" si="70"/>
        <v>#REF!</v>
      </c>
      <c r="Q623" s="139" t="e">
        <f t="shared" si="71"/>
        <v>#REF!</v>
      </c>
      <c r="R623" s="170"/>
      <c r="S623" s="170"/>
    </row>
    <row r="624" spans="1:19" x14ac:dyDescent="0.25">
      <c r="A624" s="134" t="e">
        <f>'Date Calcs'!#REF!</f>
        <v>#REF!</v>
      </c>
      <c r="B624" s="135" t="e">
        <f>'Date Calcs'!#REF!</f>
        <v>#REF!</v>
      </c>
      <c r="C624" s="136" t="e">
        <f>'Date Calcs'!#REF!</f>
        <v>#REF!</v>
      </c>
      <c r="D624" s="137" t="e">
        <f t="shared" si="73"/>
        <v>#REF!</v>
      </c>
      <c r="E624" s="143">
        <v>44647</v>
      </c>
      <c r="F624" s="137" t="e">
        <f>'Date Calcs'!#REF!</f>
        <v>#REF!</v>
      </c>
      <c r="G624" s="137" t="e">
        <f>IF(VLOOKUP(A624,'Actual Dates'!A4:AE751,8,),'Actual Dates'!H4,"")</f>
        <v>#REF!</v>
      </c>
      <c r="H624" s="137" t="e">
        <f t="shared" si="68"/>
        <v>#REF!</v>
      </c>
      <c r="I624" s="137" t="e">
        <f>IF(VLOOKUP(A624,'Actual Dates'!A4:AE746,25,),'Actual Dates'!Z4,"")</f>
        <v>#REF!</v>
      </c>
      <c r="J624" s="137" t="e">
        <f t="shared" si="69"/>
        <v>#REF!</v>
      </c>
      <c r="K624" s="137" t="e">
        <f>IF(VLOOKUP(A624,'Actual Dates'!A4:AE774,26,),'Actual Dates'!AA4,"")</f>
        <v>#REF!</v>
      </c>
      <c r="L624" s="137" t="e">
        <f>IF(VLOOKUP(A624,'Actual Dates'!A4:AE774,21,),'Actual Dates'!T4,"")</f>
        <v>#REF!</v>
      </c>
      <c r="M624" s="137" t="e">
        <f>'Date Calcs'!#REF!</f>
        <v>#REF!</v>
      </c>
      <c r="N624" s="137" t="e">
        <f>IF(VLOOKUP(A624,'Actual Dates'!A4:AE774,27,),'Actual Dates'!AD4,"")</f>
        <v>#REF!</v>
      </c>
      <c r="O624" s="138" t="e">
        <f t="shared" si="72"/>
        <v>#REF!</v>
      </c>
      <c r="P624" s="139" t="e">
        <f t="shared" si="70"/>
        <v>#REF!</v>
      </c>
      <c r="Q624" s="139" t="e">
        <f t="shared" si="71"/>
        <v>#REF!</v>
      </c>
      <c r="R624" s="170"/>
      <c r="S624" s="170"/>
    </row>
    <row r="625" spans="1:19" x14ac:dyDescent="0.25">
      <c r="A625" s="134" t="e">
        <f>'Date Calcs'!#REF!</f>
        <v>#REF!</v>
      </c>
      <c r="B625" s="135" t="e">
        <f>'Date Calcs'!#REF!</f>
        <v>#REF!</v>
      </c>
      <c r="C625" s="136" t="e">
        <f>'Date Calcs'!#REF!</f>
        <v>#REF!</v>
      </c>
      <c r="D625" s="137" t="e">
        <f t="shared" si="73"/>
        <v>#REF!</v>
      </c>
      <c r="E625" s="143">
        <v>44648</v>
      </c>
      <c r="F625" s="137" t="e">
        <f>'Date Calcs'!#REF!</f>
        <v>#REF!</v>
      </c>
      <c r="G625" s="137" t="e">
        <f>IF(VLOOKUP(A625,'Actual Dates'!A4:AE752,8,),'Actual Dates'!#REF!,"")</f>
        <v>#REF!</v>
      </c>
      <c r="H625" s="137" t="e">
        <f t="shared" si="68"/>
        <v>#REF!</v>
      </c>
      <c r="I625" s="137" t="e">
        <f>IF(VLOOKUP(A625,'Actual Dates'!A4:AE747,25,),'Actual Dates'!#REF!,"")</f>
        <v>#REF!</v>
      </c>
      <c r="J625" s="137" t="e">
        <f t="shared" si="69"/>
        <v>#REF!</v>
      </c>
      <c r="K625" s="137" t="e">
        <f>IF(VLOOKUP(A625,'Actual Dates'!A4:AE775,26,),'Actual Dates'!#REF!,"")</f>
        <v>#REF!</v>
      </c>
      <c r="L625" s="137" t="e">
        <f>IF(VLOOKUP(A625,'Actual Dates'!A4:AE775,21,),'Actual Dates'!#REF!,"")</f>
        <v>#REF!</v>
      </c>
      <c r="M625" s="137" t="e">
        <f>'Date Calcs'!#REF!</f>
        <v>#REF!</v>
      </c>
      <c r="N625" s="137" t="e">
        <f>IF(VLOOKUP(A625,'Actual Dates'!A4:AE775,27,),'Actual Dates'!#REF!,"")</f>
        <v>#REF!</v>
      </c>
      <c r="O625" s="138" t="e">
        <f t="shared" si="72"/>
        <v>#REF!</v>
      </c>
      <c r="P625" s="139" t="e">
        <f t="shared" si="70"/>
        <v>#REF!</v>
      </c>
      <c r="Q625" s="139" t="e">
        <f t="shared" si="71"/>
        <v>#REF!</v>
      </c>
      <c r="R625" s="170"/>
      <c r="S625" s="170"/>
    </row>
    <row r="626" spans="1:19" x14ac:dyDescent="0.25">
      <c r="A626" s="134" t="e">
        <f>'Date Calcs'!#REF!</f>
        <v>#REF!</v>
      </c>
      <c r="B626" s="135" t="e">
        <f>'Date Calcs'!#REF!</f>
        <v>#REF!</v>
      </c>
      <c r="C626" s="136" t="e">
        <f>'Date Calcs'!#REF!</f>
        <v>#REF!</v>
      </c>
      <c r="D626" s="137" t="e">
        <f t="shared" si="73"/>
        <v>#REF!</v>
      </c>
      <c r="E626" s="143">
        <v>44649</v>
      </c>
      <c r="F626" s="137" t="e">
        <f>'Date Calcs'!#REF!</f>
        <v>#REF!</v>
      </c>
      <c r="G626" s="137" t="e">
        <f>IF(VLOOKUP(A626,'Actual Dates'!A4:AE753,8,),'Actual Dates'!#REF!,"")</f>
        <v>#REF!</v>
      </c>
      <c r="H626" s="137" t="e">
        <f t="shared" si="68"/>
        <v>#REF!</v>
      </c>
      <c r="I626" s="137" t="e">
        <f>IF(VLOOKUP(A626,'Actual Dates'!A4:AE748,25,),'Actual Dates'!#REF!,"")</f>
        <v>#REF!</v>
      </c>
      <c r="J626" s="137" t="e">
        <f t="shared" si="69"/>
        <v>#REF!</v>
      </c>
      <c r="K626" s="137" t="e">
        <f>IF(VLOOKUP(A626,'Actual Dates'!A4:AE776,26,),'Actual Dates'!#REF!,"")</f>
        <v>#REF!</v>
      </c>
      <c r="L626" s="137" t="e">
        <f>IF(VLOOKUP(A626,'Actual Dates'!A4:AE776,21,),'Actual Dates'!#REF!,"")</f>
        <v>#REF!</v>
      </c>
      <c r="M626" s="137" t="e">
        <f>'Date Calcs'!#REF!</f>
        <v>#REF!</v>
      </c>
      <c r="N626" s="137" t="e">
        <f>IF(VLOOKUP(A626,'Actual Dates'!A4:AE776,27,),'Actual Dates'!#REF!,"")</f>
        <v>#REF!</v>
      </c>
      <c r="O626" s="138" t="e">
        <f t="shared" si="72"/>
        <v>#REF!</v>
      </c>
      <c r="P626" s="139" t="e">
        <f t="shared" si="70"/>
        <v>#REF!</v>
      </c>
      <c r="Q626" s="139" t="e">
        <f t="shared" si="71"/>
        <v>#REF!</v>
      </c>
      <c r="R626" s="170"/>
      <c r="S626" s="170"/>
    </row>
    <row r="627" spans="1:19" x14ac:dyDescent="0.25">
      <c r="A627" s="134" t="e">
        <f>'Date Calcs'!#REF!</f>
        <v>#REF!</v>
      </c>
      <c r="B627" s="135" t="e">
        <f>'Date Calcs'!#REF!</f>
        <v>#REF!</v>
      </c>
      <c r="C627" s="136" t="e">
        <f>'Date Calcs'!#REF!</f>
        <v>#REF!</v>
      </c>
      <c r="D627" s="137" t="e">
        <f t="shared" si="73"/>
        <v>#REF!</v>
      </c>
      <c r="E627" s="143">
        <v>44650</v>
      </c>
      <c r="F627" s="137" t="e">
        <f>'Date Calcs'!#REF!</f>
        <v>#REF!</v>
      </c>
      <c r="G627" s="137" t="e">
        <f>IF(VLOOKUP(A627,'Actual Dates'!A4:AE754,8,),'Actual Dates'!#REF!,"")</f>
        <v>#REF!</v>
      </c>
      <c r="H627" s="137" t="e">
        <f t="shared" ref="H627:H690" si="74">WORKDAY(L627,3,)</f>
        <v>#REF!</v>
      </c>
      <c r="I627" s="137" t="e">
        <f>IF(VLOOKUP(A627,'Actual Dates'!A4:AE749,25,),'Actual Dates'!#REF!,"")</f>
        <v>#REF!</v>
      </c>
      <c r="J627" s="137" t="e">
        <f t="shared" ref="J627:J690" si="75">WORKDAY(L627,4,)</f>
        <v>#REF!</v>
      </c>
      <c r="K627" s="137" t="e">
        <f>IF(VLOOKUP(A627,'Actual Dates'!A4:AE777,26,),'Actual Dates'!#REF!,"")</f>
        <v>#REF!</v>
      </c>
      <c r="L627" s="137" t="e">
        <f>IF(VLOOKUP(A627,'Actual Dates'!A4:AE777,21,),'Actual Dates'!#REF!,"")</f>
        <v>#REF!</v>
      </c>
      <c r="M627" s="137" t="e">
        <f>'Date Calcs'!#REF!</f>
        <v>#REF!</v>
      </c>
      <c r="N627" s="137" t="e">
        <f>IF(VLOOKUP(A627,'Actual Dates'!A4:AE777,27,),'Actual Dates'!#REF!,"")</f>
        <v>#REF!</v>
      </c>
      <c r="O627" s="138" t="e">
        <f t="shared" si="72"/>
        <v>#REF!</v>
      </c>
      <c r="P627" s="139" t="e">
        <f t="shared" ref="P627:P690" si="76">F627-G627</f>
        <v>#REF!</v>
      </c>
      <c r="Q627" s="139" t="e">
        <f t="shared" ref="Q627:Q690" si="77">M627-N627</f>
        <v>#REF!</v>
      </c>
      <c r="R627" s="170"/>
      <c r="S627" s="170"/>
    </row>
    <row r="628" spans="1:19" x14ac:dyDescent="0.25">
      <c r="A628" s="134" t="e">
        <f>'Date Calcs'!#REF!</f>
        <v>#REF!</v>
      </c>
      <c r="B628" s="135" t="e">
        <f>'Date Calcs'!#REF!</f>
        <v>#REF!</v>
      </c>
      <c r="C628" s="136" t="e">
        <f>'Date Calcs'!#REF!</f>
        <v>#REF!</v>
      </c>
      <c r="D628" s="137" t="e">
        <f t="shared" si="73"/>
        <v>#REF!</v>
      </c>
      <c r="E628" s="143">
        <v>44651</v>
      </c>
      <c r="F628" s="137" t="e">
        <f>'Date Calcs'!#REF!</f>
        <v>#REF!</v>
      </c>
      <c r="G628" s="137" t="e">
        <f>IF(VLOOKUP(A628,'Actual Dates'!A4:AE755,8,),'Actual Dates'!#REF!,"")</f>
        <v>#REF!</v>
      </c>
      <c r="H628" s="137" t="e">
        <f t="shared" si="74"/>
        <v>#REF!</v>
      </c>
      <c r="I628" s="137" t="e">
        <f>IF(VLOOKUP(A628,'Actual Dates'!A4:AE750,25,),'Actual Dates'!#REF!,"")</f>
        <v>#REF!</v>
      </c>
      <c r="J628" s="137" t="e">
        <f t="shared" si="75"/>
        <v>#REF!</v>
      </c>
      <c r="K628" s="137" t="e">
        <f>IF(VLOOKUP(A628,'Actual Dates'!A4:AE778,26,),'Actual Dates'!#REF!,"")</f>
        <v>#REF!</v>
      </c>
      <c r="L628" s="137" t="e">
        <f>IF(VLOOKUP(A628,'Actual Dates'!A4:AE778,21,),'Actual Dates'!#REF!,"")</f>
        <v>#REF!</v>
      </c>
      <c r="M628" s="137" t="e">
        <f>'Date Calcs'!#REF!</f>
        <v>#REF!</v>
      </c>
      <c r="N628" s="137" t="e">
        <f>IF(VLOOKUP(A628,'Actual Dates'!A4:AE778,27,),'Actual Dates'!#REF!,"")</f>
        <v>#REF!</v>
      </c>
      <c r="O628" s="138" t="e">
        <f t="shared" si="72"/>
        <v>#REF!</v>
      </c>
      <c r="P628" s="139" t="e">
        <f t="shared" si="76"/>
        <v>#REF!</v>
      </c>
      <c r="Q628" s="139" t="e">
        <f t="shared" si="77"/>
        <v>#REF!</v>
      </c>
      <c r="R628" s="170"/>
      <c r="S628" s="170"/>
    </row>
    <row r="629" spans="1:19" x14ac:dyDescent="0.25">
      <c r="A629" s="134" t="e">
        <f>'Date Calcs'!#REF!</f>
        <v>#REF!</v>
      </c>
      <c r="B629" s="135" t="e">
        <f>'Date Calcs'!#REF!</f>
        <v>#REF!</v>
      </c>
      <c r="C629" s="136" t="e">
        <f>'Date Calcs'!#REF!</f>
        <v>#REF!</v>
      </c>
      <c r="D629" s="137" t="e">
        <f t="shared" si="73"/>
        <v>#REF!</v>
      </c>
      <c r="E629" s="143">
        <v>44652</v>
      </c>
      <c r="F629" s="137" t="e">
        <f>'Date Calcs'!#REF!</f>
        <v>#REF!</v>
      </c>
      <c r="G629" s="137" t="e">
        <f>IF(VLOOKUP(A629,'Actual Dates'!A4:AE756,8,),'Actual Dates'!#REF!,"")</f>
        <v>#REF!</v>
      </c>
      <c r="H629" s="137" t="e">
        <f t="shared" si="74"/>
        <v>#REF!</v>
      </c>
      <c r="I629" s="137" t="e">
        <f>IF(VLOOKUP(A629,'Actual Dates'!A4:AE751,25,),'Actual Dates'!#REF!,"")</f>
        <v>#REF!</v>
      </c>
      <c r="J629" s="137" t="e">
        <f t="shared" si="75"/>
        <v>#REF!</v>
      </c>
      <c r="K629" s="137" t="e">
        <f>IF(VLOOKUP(A629,'Actual Dates'!A4:AE779,26,),'Actual Dates'!#REF!,"")</f>
        <v>#REF!</v>
      </c>
      <c r="L629" s="137" t="e">
        <f>IF(VLOOKUP(A629,'Actual Dates'!A4:AE779,21,),'Actual Dates'!#REF!,"")</f>
        <v>#REF!</v>
      </c>
      <c r="M629" s="137" t="e">
        <f>'Date Calcs'!#REF!</f>
        <v>#REF!</v>
      </c>
      <c r="N629" s="137" t="e">
        <f>IF(VLOOKUP(A629,'Actual Dates'!A4:AE779,27,),'Actual Dates'!#REF!,"")</f>
        <v>#REF!</v>
      </c>
      <c r="O629" s="138" t="e">
        <f t="shared" si="72"/>
        <v>#REF!</v>
      </c>
      <c r="P629" s="139" t="e">
        <f t="shared" si="76"/>
        <v>#REF!</v>
      </c>
      <c r="Q629" s="139" t="e">
        <f t="shared" si="77"/>
        <v>#REF!</v>
      </c>
      <c r="R629" s="170"/>
      <c r="S629" s="170"/>
    </row>
    <row r="630" spans="1:19" x14ac:dyDescent="0.25">
      <c r="A630" s="134" t="e">
        <f>'Date Calcs'!#REF!</f>
        <v>#REF!</v>
      </c>
      <c r="B630" s="135" t="e">
        <f>'Date Calcs'!#REF!</f>
        <v>#REF!</v>
      </c>
      <c r="C630" s="136" t="e">
        <f>'Date Calcs'!#REF!</f>
        <v>#REF!</v>
      </c>
      <c r="D630" s="137" t="e">
        <f t="shared" si="73"/>
        <v>#REF!</v>
      </c>
      <c r="E630" s="143">
        <v>44653</v>
      </c>
      <c r="F630" s="137" t="e">
        <f>'Date Calcs'!#REF!</f>
        <v>#REF!</v>
      </c>
      <c r="G630" s="137" t="e">
        <f>IF(VLOOKUP(A630,'Actual Dates'!A4:AE757,8,),'Actual Dates'!#REF!,"")</f>
        <v>#REF!</v>
      </c>
      <c r="H630" s="137" t="e">
        <f t="shared" si="74"/>
        <v>#REF!</v>
      </c>
      <c r="I630" s="137" t="e">
        <f>IF(VLOOKUP(A630,'Actual Dates'!A4:AE752,25,),'Actual Dates'!#REF!,"")</f>
        <v>#REF!</v>
      </c>
      <c r="J630" s="137" t="e">
        <f t="shared" si="75"/>
        <v>#REF!</v>
      </c>
      <c r="K630" s="137" t="e">
        <f>IF(VLOOKUP(A630,'Actual Dates'!A4:AE780,26,),'Actual Dates'!#REF!,"")</f>
        <v>#REF!</v>
      </c>
      <c r="L630" s="137" t="e">
        <f>IF(VLOOKUP(A630,'Actual Dates'!A4:AE780,21,),'Actual Dates'!#REF!,"")</f>
        <v>#REF!</v>
      </c>
      <c r="M630" s="137" t="e">
        <f>'Date Calcs'!#REF!</f>
        <v>#REF!</v>
      </c>
      <c r="N630" s="137" t="e">
        <f>IF(VLOOKUP(A630,'Actual Dates'!A4:AE780,27,),'Actual Dates'!#REF!,"")</f>
        <v>#REF!</v>
      </c>
      <c r="O630" s="138" t="e">
        <f t="shared" si="72"/>
        <v>#REF!</v>
      </c>
      <c r="P630" s="139" t="e">
        <f t="shared" si="76"/>
        <v>#REF!</v>
      </c>
      <c r="Q630" s="139" t="e">
        <f t="shared" si="77"/>
        <v>#REF!</v>
      </c>
      <c r="R630" s="170"/>
      <c r="S630" s="170"/>
    </row>
    <row r="631" spans="1:19" x14ac:dyDescent="0.25">
      <c r="A631" s="134" t="e">
        <f>'Date Calcs'!#REF!</f>
        <v>#REF!</v>
      </c>
      <c r="B631" s="135" t="e">
        <f>'Date Calcs'!#REF!</f>
        <v>#REF!</v>
      </c>
      <c r="C631" s="136" t="e">
        <f>'Date Calcs'!#REF!</f>
        <v>#REF!</v>
      </c>
      <c r="D631" s="137" t="e">
        <f t="shared" si="73"/>
        <v>#REF!</v>
      </c>
      <c r="E631" s="143">
        <v>44654</v>
      </c>
      <c r="F631" s="137" t="e">
        <f>'Date Calcs'!#REF!</f>
        <v>#REF!</v>
      </c>
      <c r="G631" s="137" t="e">
        <f>IF(VLOOKUP(A631,'Actual Dates'!A4:AE758,8,),'Actual Dates'!#REF!,"")</f>
        <v>#REF!</v>
      </c>
      <c r="H631" s="137" t="e">
        <f t="shared" si="74"/>
        <v>#REF!</v>
      </c>
      <c r="I631" s="137" t="e">
        <f>IF(VLOOKUP(A631,'Actual Dates'!A4:AE753,25,),'Actual Dates'!#REF!,"")</f>
        <v>#REF!</v>
      </c>
      <c r="J631" s="137" t="e">
        <f t="shared" si="75"/>
        <v>#REF!</v>
      </c>
      <c r="K631" s="137" t="e">
        <f>IF(VLOOKUP(A631,'Actual Dates'!A4:AE781,26,),'Actual Dates'!#REF!,"")</f>
        <v>#REF!</v>
      </c>
      <c r="L631" s="137" t="e">
        <f>IF(VLOOKUP(A631,'Actual Dates'!A4:AE781,21,),'Actual Dates'!#REF!,"")</f>
        <v>#REF!</v>
      </c>
      <c r="M631" s="137" t="e">
        <f>'Date Calcs'!#REF!</f>
        <v>#REF!</v>
      </c>
      <c r="N631" s="137" t="e">
        <f>IF(VLOOKUP(A631,'Actual Dates'!A4:AE781,27,),'Actual Dates'!#REF!,"")</f>
        <v>#REF!</v>
      </c>
      <c r="O631" s="138" t="e">
        <f t="shared" si="72"/>
        <v>#REF!</v>
      </c>
      <c r="P631" s="139" t="e">
        <f t="shared" si="76"/>
        <v>#REF!</v>
      </c>
      <c r="Q631" s="139" t="e">
        <f t="shared" si="77"/>
        <v>#REF!</v>
      </c>
      <c r="R631" s="170"/>
      <c r="S631" s="170"/>
    </row>
    <row r="632" spans="1:19" x14ac:dyDescent="0.25">
      <c r="A632" s="134" t="e">
        <f>'Date Calcs'!#REF!</f>
        <v>#REF!</v>
      </c>
      <c r="B632" s="135" t="e">
        <f>'Date Calcs'!#REF!</f>
        <v>#REF!</v>
      </c>
      <c r="C632" s="136" t="e">
        <f>'Date Calcs'!#REF!</f>
        <v>#REF!</v>
      </c>
      <c r="D632" s="137" t="e">
        <f t="shared" si="73"/>
        <v>#REF!</v>
      </c>
      <c r="E632" s="143">
        <v>44655</v>
      </c>
      <c r="F632" s="137" t="e">
        <f>'Date Calcs'!#REF!</f>
        <v>#REF!</v>
      </c>
      <c r="G632" s="137" t="e">
        <f>IF(VLOOKUP(A632,'Actual Dates'!A4:AE759,8,),'Actual Dates'!#REF!,"")</f>
        <v>#REF!</v>
      </c>
      <c r="H632" s="137" t="e">
        <f t="shared" si="74"/>
        <v>#REF!</v>
      </c>
      <c r="I632" s="137" t="e">
        <f>IF(VLOOKUP(A632,'Actual Dates'!A4:AE754,25,),'Actual Dates'!#REF!,"")</f>
        <v>#REF!</v>
      </c>
      <c r="J632" s="137" t="e">
        <f t="shared" si="75"/>
        <v>#REF!</v>
      </c>
      <c r="K632" s="137" t="e">
        <f>IF(VLOOKUP(A632,'Actual Dates'!A4:AE782,26,),'Actual Dates'!#REF!,"")</f>
        <v>#REF!</v>
      </c>
      <c r="L632" s="137" t="e">
        <f>IF(VLOOKUP(A632,'Actual Dates'!A4:AE782,21,),'Actual Dates'!#REF!,"")</f>
        <v>#REF!</v>
      </c>
      <c r="M632" s="137" t="e">
        <f>'Date Calcs'!#REF!</f>
        <v>#REF!</v>
      </c>
      <c r="N632" s="137" t="e">
        <f>IF(VLOOKUP(A632,'Actual Dates'!A4:AE782,27,),'Actual Dates'!#REF!,"")</f>
        <v>#REF!</v>
      </c>
      <c r="O632" s="138" t="e">
        <f t="shared" si="72"/>
        <v>#REF!</v>
      </c>
      <c r="P632" s="139" t="e">
        <f t="shared" si="76"/>
        <v>#REF!</v>
      </c>
      <c r="Q632" s="139" t="e">
        <f t="shared" si="77"/>
        <v>#REF!</v>
      </c>
      <c r="R632" s="170"/>
      <c r="S632" s="170"/>
    </row>
    <row r="633" spans="1:19" x14ac:dyDescent="0.25">
      <c r="A633" s="134" t="e">
        <f>'Date Calcs'!#REF!</f>
        <v>#REF!</v>
      </c>
      <c r="B633" s="135" t="e">
        <f>'Date Calcs'!#REF!</f>
        <v>#REF!</v>
      </c>
      <c r="C633" s="136" t="e">
        <f>'Date Calcs'!#REF!</f>
        <v>#REF!</v>
      </c>
      <c r="D633" s="137" t="e">
        <f t="shared" si="73"/>
        <v>#REF!</v>
      </c>
      <c r="E633" s="143">
        <v>44656</v>
      </c>
      <c r="F633" s="137" t="e">
        <f>'Date Calcs'!#REF!</f>
        <v>#REF!</v>
      </c>
      <c r="G633" s="137" t="e">
        <f>IF(VLOOKUP(A633,'Actual Dates'!A4:AE760,8,),'Actual Dates'!#REF!,"")</f>
        <v>#REF!</v>
      </c>
      <c r="H633" s="137" t="e">
        <f t="shared" si="74"/>
        <v>#REF!</v>
      </c>
      <c r="I633" s="137" t="e">
        <f>IF(VLOOKUP(A633,'Actual Dates'!A4:AE755,25,),'Actual Dates'!#REF!,"")</f>
        <v>#REF!</v>
      </c>
      <c r="J633" s="137" t="e">
        <f t="shared" si="75"/>
        <v>#REF!</v>
      </c>
      <c r="K633" s="137" t="e">
        <f>IF(VLOOKUP(A633,'Actual Dates'!A4:AE783,26,),'Actual Dates'!#REF!,"")</f>
        <v>#REF!</v>
      </c>
      <c r="L633" s="137" t="e">
        <f>IF(VLOOKUP(A633,'Actual Dates'!A4:AE783,21,),'Actual Dates'!#REF!,"")</f>
        <v>#REF!</v>
      </c>
      <c r="M633" s="137" t="e">
        <f>'Date Calcs'!#REF!</f>
        <v>#REF!</v>
      </c>
      <c r="N633" s="137" t="e">
        <f>IF(VLOOKUP(A633,'Actual Dates'!A4:AE783,27,),'Actual Dates'!#REF!,"")</f>
        <v>#REF!</v>
      </c>
      <c r="O633" s="138" t="e">
        <f t="shared" si="72"/>
        <v>#REF!</v>
      </c>
      <c r="P633" s="139" t="e">
        <f t="shared" si="76"/>
        <v>#REF!</v>
      </c>
      <c r="Q633" s="139" t="e">
        <f t="shared" si="77"/>
        <v>#REF!</v>
      </c>
      <c r="R633" s="170"/>
      <c r="S633" s="170"/>
    </row>
    <row r="634" spans="1:19" x14ac:dyDescent="0.25">
      <c r="A634" s="134" t="e">
        <f>'Date Calcs'!#REF!</f>
        <v>#REF!</v>
      </c>
      <c r="B634" s="135" t="e">
        <f>'Date Calcs'!#REF!</f>
        <v>#REF!</v>
      </c>
      <c r="C634" s="136" t="e">
        <f>'Date Calcs'!#REF!</f>
        <v>#REF!</v>
      </c>
      <c r="D634" s="137" t="e">
        <f t="shared" si="73"/>
        <v>#REF!</v>
      </c>
      <c r="E634" s="143">
        <v>44657</v>
      </c>
      <c r="F634" s="137" t="e">
        <f>'Date Calcs'!#REF!</f>
        <v>#REF!</v>
      </c>
      <c r="G634" s="137" t="e">
        <f>IF(VLOOKUP(A634,'Actual Dates'!A4:AE761,8,),'Actual Dates'!#REF!,"")</f>
        <v>#REF!</v>
      </c>
      <c r="H634" s="137" t="e">
        <f t="shared" si="74"/>
        <v>#REF!</v>
      </c>
      <c r="I634" s="137" t="e">
        <f>IF(VLOOKUP(A634,'Actual Dates'!A4:AE756,25,),'Actual Dates'!#REF!,"")</f>
        <v>#REF!</v>
      </c>
      <c r="J634" s="137" t="e">
        <f t="shared" si="75"/>
        <v>#REF!</v>
      </c>
      <c r="K634" s="137" t="e">
        <f>IF(VLOOKUP(A634,'Actual Dates'!A4:AE784,26,),'Actual Dates'!#REF!,"")</f>
        <v>#REF!</v>
      </c>
      <c r="L634" s="137" t="e">
        <f>IF(VLOOKUP(A634,'Actual Dates'!A4:AE784,21,),'Actual Dates'!#REF!,"")</f>
        <v>#REF!</v>
      </c>
      <c r="M634" s="137" t="e">
        <f>'Date Calcs'!#REF!</f>
        <v>#REF!</v>
      </c>
      <c r="N634" s="137" t="e">
        <f>IF(VLOOKUP(A634,'Actual Dates'!A4:AE784,27,),'Actual Dates'!#REF!,"")</f>
        <v>#REF!</v>
      </c>
      <c r="O634" s="138" t="e">
        <f t="shared" si="72"/>
        <v>#REF!</v>
      </c>
      <c r="P634" s="139" t="e">
        <f t="shared" si="76"/>
        <v>#REF!</v>
      </c>
      <c r="Q634" s="139" t="e">
        <f t="shared" si="77"/>
        <v>#REF!</v>
      </c>
      <c r="R634" s="170"/>
      <c r="S634" s="170"/>
    </row>
    <row r="635" spans="1:19" x14ac:dyDescent="0.25">
      <c r="A635" s="134" t="e">
        <f>'Date Calcs'!#REF!</f>
        <v>#REF!</v>
      </c>
      <c r="B635" s="135" t="e">
        <f>'Date Calcs'!#REF!</f>
        <v>#REF!</v>
      </c>
      <c r="C635" s="136" t="e">
        <f>'Date Calcs'!#REF!</f>
        <v>#REF!</v>
      </c>
      <c r="D635" s="137" t="e">
        <f t="shared" si="73"/>
        <v>#REF!</v>
      </c>
      <c r="E635" s="143">
        <v>44658</v>
      </c>
      <c r="F635" s="137" t="e">
        <f>'Date Calcs'!#REF!</f>
        <v>#REF!</v>
      </c>
      <c r="G635" s="137" t="e">
        <f>IF(VLOOKUP(A635,'Actual Dates'!A4:AE762,8,),'Actual Dates'!#REF!,"")</f>
        <v>#REF!</v>
      </c>
      <c r="H635" s="137" t="e">
        <f t="shared" si="74"/>
        <v>#REF!</v>
      </c>
      <c r="I635" s="137" t="e">
        <f>IF(VLOOKUP(A635,'Actual Dates'!A4:AE757,25,),'Actual Dates'!#REF!,"")</f>
        <v>#REF!</v>
      </c>
      <c r="J635" s="137" t="e">
        <f t="shared" si="75"/>
        <v>#REF!</v>
      </c>
      <c r="K635" s="137" t="e">
        <f>IF(VLOOKUP(A635,'Actual Dates'!A4:AE785,26,),'Actual Dates'!#REF!,"")</f>
        <v>#REF!</v>
      </c>
      <c r="L635" s="137" t="e">
        <f>IF(VLOOKUP(A635,'Actual Dates'!A4:AE785,21,),'Actual Dates'!#REF!,"")</f>
        <v>#REF!</v>
      </c>
      <c r="M635" s="137" t="e">
        <f>'Date Calcs'!#REF!</f>
        <v>#REF!</v>
      </c>
      <c r="N635" s="137" t="e">
        <f>IF(VLOOKUP(A635,'Actual Dates'!A4:AE785,27,),'Actual Dates'!#REF!,"")</f>
        <v>#REF!</v>
      </c>
      <c r="O635" s="138" t="e">
        <f t="shared" si="72"/>
        <v>#REF!</v>
      </c>
      <c r="P635" s="139" t="e">
        <f t="shared" si="76"/>
        <v>#REF!</v>
      </c>
      <c r="Q635" s="139" t="e">
        <f t="shared" si="77"/>
        <v>#REF!</v>
      </c>
      <c r="R635" s="170"/>
      <c r="S635" s="170"/>
    </row>
    <row r="636" spans="1:19" x14ac:dyDescent="0.25">
      <c r="A636" s="134" t="e">
        <f>'Date Calcs'!#REF!</f>
        <v>#REF!</v>
      </c>
      <c r="B636" s="135" t="e">
        <f>'Date Calcs'!#REF!</f>
        <v>#REF!</v>
      </c>
      <c r="C636" s="136" t="e">
        <f>'Date Calcs'!#REF!</f>
        <v>#REF!</v>
      </c>
      <c r="D636" s="137" t="e">
        <f t="shared" si="73"/>
        <v>#REF!</v>
      </c>
      <c r="E636" s="143">
        <v>44659</v>
      </c>
      <c r="F636" s="137" t="e">
        <f>'Date Calcs'!#REF!</f>
        <v>#REF!</v>
      </c>
      <c r="G636" s="137" t="e">
        <f>IF(VLOOKUP(A636,'Actual Dates'!A4:AE763,8,),'Actual Dates'!#REF!,"")</f>
        <v>#REF!</v>
      </c>
      <c r="H636" s="137" t="e">
        <f t="shared" si="74"/>
        <v>#REF!</v>
      </c>
      <c r="I636" s="137" t="e">
        <f>IF(VLOOKUP(A636,'Actual Dates'!A4:AE758,25,),'Actual Dates'!#REF!,"")</f>
        <v>#REF!</v>
      </c>
      <c r="J636" s="137" t="e">
        <f t="shared" si="75"/>
        <v>#REF!</v>
      </c>
      <c r="K636" s="137" t="e">
        <f>IF(VLOOKUP(A636,'Actual Dates'!A4:AE786,26,),'Actual Dates'!#REF!,"")</f>
        <v>#REF!</v>
      </c>
      <c r="L636" s="137" t="e">
        <f>IF(VLOOKUP(A636,'Actual Dates'!A4:AE786,21,),'Actual Dates'!#REF!,"")</f>
        <v>#REF!</v>
      </c>
      <c r="M636" s="137" t="e">
        <f>'Date Calcs'!#REF!</f>
        <v>#REF!</v>
      </c>
      <c r="N636" s="137" t="e">
        <f>IF(VLOOKUP(A636,'Actual Dates'!A4:AE786,27,),'Actual Dates'!#REF!,"")</f>
        <v>#REF!</v>
      </c>
      <c r="O636" s="138" t="e">
        <f t="shared" si="72"/>
        <v>#REF!</v>
      </c>
      <c r="P636" s="139" t="e">
        <f t="shared" si="76"/>
        <v>#REF!</v>
      </c>
      <c r="Q636" s="139" t="e">
        <f t="shared" si="77"/>
        <v>#REF!</v>
      </c>
      <c r="R636" s="170"/>
      <c r="S636" s="170"/>
    </row>
    <row r="637" spans="1:19" x14ac:dyDescent="0.25">
      <c r="A637" s="134" t="e">
        <f>'Date Calcs'!#REF!</f>
        <v>#REF!</v>
      </c>
      <c r="B637" s="135" t="e">
        <f>'Date Calcs'!#REF!</f>
        <v>#REF!</v>
      </c>
      <c r="C637" s="136" t="e">
        <f>'Date Calcs'!#REF!</f>
        <v>#REF!</v>
      </c>
      <c r="D637" s="137" t="e">
        <f t="shared" si="73"/>
        <v>#REF!</v>
      </c>
      <c r="E637" s="143">
        <v>44660</v>
      </c>
      <c r="F637" s="137" t="e">
        <f>'Date Calcs'!#REF!</f>
        <v>#REF!</v>
      </c>
      <c r="G637" s="137" t="e">
        <f>IF(VLOOKUP(A637,'Actual Dates'!A4:AE764,8,),'Actual Dates'!#REF!,"")</f>
        <v>#REF!</v>
      </c>
      <c r="H637" s="137" t="e">
        <f t="shared" si="74"/>
        <v>#REF!</v>
      </c>
      <c r="I637" s="137" t="e">
        <f>IF(VLOOKUP(A637,'Actual Dates'!A4:AE759,25,),'Actual Dates'!#REF!,"")</f>
        <v>#REF!</v>
      </c>
      <c r="J637" s="137" t="e">
        <f t="shared" si="75"/>
        <v>#REF!</v>
      </c>
      <c r="K637" s="137" t="e">
        <f>IF(VLOOKUP(A637,'Actual Dates'!A4:AE787,26,),'Actual Dates'!#REF!,"")</f>
        <v>#REF!</v>
      </c>
      <c r="L637" s="137" t="e">
        <f>IF(VLOOKUP(A637,'Actual Dates'!A4:AE787,21,),'Actual Dates'!#REF!,"")</f>
        <v>#REF!</v>
      </c>
      <c r="M637" s="137" t="e">
        <f>'Date Calcs'!#REF!</f>
        <v>#REF!</v>
      </c>
      <c r="N637" s="137" t="e">
        <f>IF(VLOOKUP(A637,'Actual Dates'!A4:AE787,27,),'Actual Dates'!#REF!,"")</f>
        <v>#REF!</v>
      </c>
      <c r="O637" s="138" t="e">
        <f t="shared" si="72"/>
        <v>#REF!</v>
      </c>
      <c r="P637" s="139" t="e">
        <f t="shared" si="76"/>
        <v>#REF!</v>
      </c>
      <c r="Q637" s="139" t="e">
        <f t="shared" si="77"/>
        <v>#REF!</v>
      </c>
      <c r="R637" s="170"/>
      <c r="S637" s="170"/>
    </row>
    <row r="638" spans="1:19" x14ac:dyDescent="0.25">
      <c r="A638" s="134" t="e">
        <f>'Date Calcs'!#REF!</f>
        <v>#REF!</v>
      </c>
      <c r="B638" s="135" t="e">
        <f>'Date Calcs'!#REF!</f>
        <v>#REF!</v>
      </c>
      <c r="C638" s="136" t="e">
        <f>'Date Calcs'!#REF!</f>
        <v>#REF!</v>
      </c>
      <c r="D638" s="137" t="e">
        <f t="shared" si="73"/>
        <v>#REF!</v>
      </c>
      <c r="E638" s="143">
        <v>44661</v>
      </c>
      <c r="F638" s="137" t="e">
        <f>'Date Calcs'!#REF!</f>
        <v>#REF!</v>
      </c>
      <c r="G638" s="137" t="e">
        <f>IF(VLOOKUP(A638,'Actual Dates'!A4:AE765,8,),'Actual Dates'!#REF!,"")</f>
        <v>#REF!</v>
      </c>
      <c r="H638" s="137" t="e">
        <f t="shared" si="74"/>
        <v>#REF!</v>
      </c>
      <c r="I638" s="137" t="e">
        <f>IF(VLOOKUP(A638,'Actual Dates'!A4:AE760,25,),'Actual Dates'!#REF!,"")</f>
        <v>#REF!</v>
      </c>
      <c r="J638" s="137" t="e">
        <f t="shared" si="75"/>
        <v>#REF!</v>
      </c>
      <c r="K638" s="137" t="e">
        <f>IF(VLOOKUP(A638,'Actual Dates'!A4:AE788,26,),'Actual Dates'!#REF!,"")</f>
        <v>#REF!</v>
      </c>
      <c r="L638" s="137" t="e">
        <f>IF(VLOOKUP(A638,'Actual Dates'!A4:AE788,21,),'Actual Dates'!#REF!,"")</f>
        <v>#REF!</v>
      </c>
      <c r="M638" s="137" t="e">
        <f>'Date Calcs'!#REF!</f>
        <v>#REF!</v>
      </c>
      <c r="N638" s="137" t="e">
        <f>IF(VLOOKUP(A638,'Actual Dates'!A4:AE788,27,),'Actual Dates'!#REF!,"")</f>
        <v>#REF!</v>
      </c>
      <c r="O638" s="138" t="e">
        <f t="shared" si="72"/>
        <v>#REF!</v>
      </c>
      <c r="P638" s="139" t="e">
        <f t="shared" si="76"/>
        <v>#REF!</v>
      </c>
      <c r="Q638" s="139" t="e">
        <f t="shared" si="77"/>
        <v>#REF!</v>
      </c>
      <c r="R638" s="170"/>
      <c r="S638" s="170"/>
    </row>
    <row r="639" spans="1:19" x14ac:dyDescent="0.25">
      <c r="A639" s="134" t="e">
        <f>'Date Calcs'!#REF!</f>
        <v>#REF!</v>
      </c>
      <c r="B639" s="135" t="e">
        <f>'Date Calcs'!#REF!</f>
        <v>#REF!</v>
      </c>
      <c r="C639" s="136" t="e">
        <f>'Date Calcs'!#REF!</f>
        <v>#REF!</v>
      </c>
      <c r="D639" s="137" t="e">
        <f t="shared" si="73"/>
        <v>#REF!</v>
      </c>
      <c r="E639" s="143">
        <v>44662</v>
      </c>
      <c r="F639" s="137" t="e">
        <f>'Date Calcs'!#REF!</f>
        <v>#REF!</v>
      </c>
      <c r="G639" s="137" t="e">
        <f>IF(VLOOKUP(A639,'Actual Dates'!A4:AE766,8,),'Actual Dates'!#REF!,"")</f>
        <v>#REF!</v>
      </c>
      <c r="H639" s="137" t="e">
        <f t="shared" si="74"/>
        <v>#REF!</v>
      </c>
      <c r="I639" s="137" t="e">
        <f>IF(VLOOKUP(A639,'Actual Dates'!A4:AE761,25,),'Actual Dates'!#REF!,"")</f>
        <v>#REF!</v>
      </c>
      <c r="J639" s="137" t="e">
        <f t="shared" si="75"/>
        <v>#REF!</v>
      </c>
      <c r="K639" s="137" t="e">
        <f>IF(VLOOKUP(A639,'Actual Dates'!A4:AE789,26,),'Actual Dates'!#REF!,"")</f>
        <v>#REF!</v>
      </c>
      <c r="L639" s="137" t="e">
        <f>IF(VLOOKUP(A639,'Actual Dates'!A4:AE789,21,),'Actual Dates'!#REF!,"")</f>
        <v>#REF!</v>
      </c>
      <c r="M639" s="137" t="e">
        <f>'Date Calcs'!#REF!</f>
        <v>#REF!</v>
      </c>
      <c r="N639" s="137" t="e">
        <f>IF(VLOOKUP(A639,'Actual Dates'!A4:AE789,27,),'Actual Dates'!#REF!,"")</f>
        <v>#REF!</v>
      </c>
      <c r="O639" s="138" t="e">
        <f t="shared" si="72"/>
        <v>#REF!</v>
      </c>
      <c r="P639" s="139" t="e">
        <f t="shared" si="76"/>
        <v>#REF!</v>
      </c>
      <c r="Q639" s="139" t="e">
        <f t="shared" si="77"/>
        <v>#REF!</v>
      </c>
      <c r="R639" s="170"/>
      <c r="S639" s="170"/>
    </row>
    <row r="640" spans="1:19" x14ac:dyDescent="0.25">
      <c r="A640" s="134" t="e">
        <f>'Date Calcs'!#REF!</f>
        <v>#REF!</v>
      </c>
      <c r="B640" s="135" t="e">
        <f>'Date Calcs'!#REF!</f>
        <v>#REF!</v>
      </c>
      <c r="C640" s="136" t="e">
        <f>'Date Calcs'!#REF!</f>
        <v>#REF!</v>
      </c>
      <c r="D640" s="137" t="e">
        <f t="shared" si="73"/>
        <v>#REF!</v>
      </c>
      <c r="E640" s="143">
        <v>44663</v>
      </c>
      <c r="F640" s="137" t="e">
        <f>'Date Calcs'!#REF!</f>
        <v>#REF!</v>
      </c>
      <c r="G640" s="137" t="e">
        <f>IF(VLOOKUP(A640,'Actual Dates'!A4:AE767,8,),'Actual Dates'!#REF!,"")</f>
        <v>#REF!</v>
      </c>
      <c r="H640" s="137" t="e">
        <f t="shared" si="74"/>
        <v>#REF!</v>
      </c>
      <c r="I640" s="137" t="e">
        <f>IF(VLOOKUP(A640,'Actual Dates'!A4:AE762,25,),'Actual Dates'!#REF!,"")</f>
        <v>#REF!</v>
      </c>
      <c r="J640" s="137" t="e">
        <f t="shared" si="75"/>
        <v>#REF!</v>
      </c>
      <c r="K640" s="137" t="e">
        <f>IF(VLOOKUP(A640,'Actual Dates'!A4:AE790,26,),'Actual Dates'!#REF!,"")</f>
        <v>#REF!</v>
      </c>
      <c r="L640" s="137" t="e">
        <f>IF(VLOOKUP(A640,'Actual Dates'!A4:AE790,21,),'Actual Dates'!#REF!,"")</f>
        <v>#REF!</v>
      </c>
      <c r="M640" s="137" t="e">
        <f>'Date Calcs'!#REF!</f>
        <v>#REF!</v>
      </c>
      <c r="N640" s="137" t="e">
        <f>IF(VLOOKUP(A640,'Actual Dates'!A4:AE790,27,),'Actual Dates'!#REF!,"")</f>
        <v>#REF!</v>
      </c>
      <c r="O640" s="138" t="e">
        <f t="shared" si="72"/>
        <v>#REF!</v>
      </c>
      <c r="P640" s="139" t="e">
        <f t="shared" si="76"/>
        <v>#REF!</v>
      </c>
      <c r="Q640" s="139" t="e">
        <f t="shared" si="77"/>
        <v>#REF!</v>
      </c>
      <c r="R640" s="170"/>
      <c r="S640" s="170"/>
    </row>
    <row r="641" spans="1:19" x14ac:dyDescent="0.25">
      <c r="A641" s="134" t="e">
        <f>'Date Calcs'!#REF!</f>
        <v>#REF!</v>
      </c>
      <c r="B641" s="135" t="e">
        <f>'Date Calcs'!#REF!</f>
        <v>#REF!</v>
      </c>
      <c r="C641" s="136" t="e">
        <f>'Date Calcs'!#REF!</f>
        <v>#REF!</v>
      </c>
      <c r="D641" s="137" t="e">
        <f t="shared" si="73"/>
        <v>#REF!</v>
      </c>
      <c r="E641" s="143">
        <v>44664</v>
      </c>
      <c r="F641" s="137" t="e">
        <f>'Date Calcs'!#REF!</f>
        <v>#REF!</v>
      </c>
      <c r="G641" s="137" t="e">
        <f>IF(VLOOKUP(A641,'Actual Dates'!A4:AE768,8,),'Actual Dates'!#REF!,"")</f>
        <v>#REF!</v>
      </c>
      <c r="H641" s="137" t="e">
        <f t="shared" si="74"/>
        <v>#REF!</v>
      </c>
      <c r="I641" s="137" t="e">
        <f>IF(VLOOKUP(A641,'Actual Dates'!A4:AE763,25,),'Actual Dates'!#REF!,"")</f>
        <v>#REF!</v>
      </c>
      <c r="J641" s="137" t="e">
        <f t="shared" si="75"/>
        <v>#REF!</v>
      </c>
      <c r="K641" s="137" t="e">
        <f>IF(VLOOKUP(A641,'Actual Dates'!A4:AE791,26,),'Actual Dates'!#REF!,"")</f>
        <v>#REF!</v>
      </c>
      <c r="L641" s="137" t="e">
        <f>IF(VLOOKUP(A641,'Actual Dates'!A4:AE791,21,),'Actual Dates'!#REF!,"")</f>
        <v>#REF!</v>
      </c>
      <c r="M641" s="137" t="e">
        <f>'Date Calcs'!#REF!</f>
        <v>#REF!</v>
      </c>
      <c r="N641" s="137" t="e">
        <f>IF(VLOOKUP(A641,'Actual Dates'!A4:AE791,27,),'Actual Dates'!#REF!,"")</f>
        <v>#REF!</v>
      </c>
      <c r="O641" s="138" t="e">
        <f t="shared" si="72"/>
        <v>#REF!</v>
      </c>
      <c r="P641" s="139" t="e">
        <f t="shared" si="76"/>
        <v>#REF!</v>
      </c>
      <c r="Q641" s="139" t="e">
        <f t="shared" si="77"/>
        <v>#REF!</v>
      </c>
      <c r="R641" s="170"/>
      <c r="S641" s="170"/>
    </row>
    <row r="642" spans="1:19" x14ac:dyDescent="0.25">
      <c r="A642" s="134" t="e">
        <f>'Date Calcs'!#REF!</f>
        <v>#REF!</v>
      </c>
      <c r="B642" s="135" t="e">
        <f>'Date Calcs'!#REF!</f>
        <v>#REF!</v>
      </c>
      <c r="C642" s="136" t="e">
        <f>'Date Calcs'!#REF!</f>
        <v>#REF!</v>
      </c>
      <c r="D642" s="137" t="e">
        <f t="shared" si="73"/>
        <v>#REF!</v>
      </c>
      <c r="E642" s="143">
        <v>44665</v>
      </c>
      <c r="F642" s="137" t="e">
        <f>'Date Calcs'!#REF!</f>
        <v>#REF!</v>
      </c>
      <c r="G642" s="137" t="e">
        <f>IF(VLOOKUP(A642,'Actual Dates'!A4:AE769,8,),'Actual Dates'!#REF!,"")</f>
        <v>#REF!</v>
      </c>
      <c r="H642" s="137" t="e">
        <f t="shared" si="74"/>
        <v>#REF!</v>
      </c>
      <c r="I642" s="137" t="e">
        <f>IF(VLOOKUP(A642,'Actual Dates'!A4:AE764,25,),'Actual Dates'!#REF!,"")</f>
        <v>#REF!</v>
      </c>
      <c r="J642" s="137" t="e">
        <f t="shared" si="75"/>
        <v>#REF!</v>
      </c>
      <c r="K642" s="137" t="e">
        <f>IF(VLOOKUP(A642,'Actual Dates'!A4:AE792,26,),'Actual Dates'!#REF!,"")</f>
        <v>#REF!</v>
      </c>
      <c r="L642" s="137" t="e">
        <f>IF(VLOOKUP(A642,'Actual Dates'!A4:AE792,21,),'Actual Dates'!#REF!,"")</f>
        <v>#REF!</v>
      </c>
      <c r="M642" s="137" t="e">
        <f>'Date Calcs'!#REF!</f>
        <v>#REF!</v>
      </c>
      <c r="N642" s="137" t="e">
        <f>IF(VLOOKUP(A642,'Actual Dates'!A4:AE792,27,),'Actual Dates'!#REF!,"")</f>
        <v>#REF!</v>
      </c>
      <c r="O642" s="138" t="e">
        <f t="shared" si="72"/>
        <v>#REF!</v>
      </c>
      <c r="P642" s="139" t="e">
        <f t="shared" si="76"/>
        <v>#REF!</v>
      </c>
      <c r="Q642" s="139" t="e">
        <f t="shared" si="77"/>
        <v>#REF!</v>
      </c>
      <c r="R642" s="170"/>
      <c r="S642" s="170"/>
    </row>
    <row r="643" spans="1:19" x14ac:dyDescent="0.25">
      <c r="A643" s="134" t="e">
        <f>'Date Calcs'!#REF!</f>
        <v>#REF!</v>
      </c>
      <c r="B643" s="135" t="e">
        <f>'Date Calcs'!#REF!</f>
        <v>#REF!</v>
      </c>
      <c r="C643" s="136" t="e">
        <f>'Date Calcs'!#REF!</f>
        <v>#REF!</v>
      </c>
      <c r="D643" s="137" t="e">
        <f t="shared" si="73"/>
        <v>#REF!</v>
      </c>
      <c r="E643" s="143">
        <v>44666</v>
      </c>
      <c r="F643" s="137" t="e">
        <f>'Date Calcs'!#REF!</f>
        <v>#REF!</v>
      </c>
      <c r="G643" s="137" t="e">
        <f>IF(VLOOKUP(A643,'Actual Dates'!A4:AE770,8,),'Actual Dates'!#REF!,"")</f>
        <v>#REF!</v>
      </c>
      <c r="H643" s="137" t="e">
        <f t="shared" si="74"/>
        <v>#REF!</v>
      </c>
      <c r="I643" s="137" t="e">
        <f>IF(VLOOKUP(A643,'Actual Dates'!A4:AE765,25,),'Actual Dates'!#REF!,"")</f>
        <v>#REF!</v>
      </c>
      <c r="J643" s="137" t="e">
        <f t="shared" si="75"/>
        <v>#REF!</v>
      </c>
      <c r="K643" s="137" t="e">
        <f>IF(VLOOKUP(A643,'Actual Dates'!A4:AE793,26,),'Actual Dates'!#REF!,"")</f>
        <v>#REF!</v>
      </c>
      <c r="L643" s="137" t="e">
        <f>IF(VLOOKUP(A643,'Actual Dates'!A4:AE793,21,),'Actual Dates'!#REF!,"")</f>
        <v>#REF!</v>
      </c>
      <c r="M643" s="137" t="e">
        <f>'Date Calcs'!#REF!</f>
        <v>#REF!</v>
      </c>
      <c r="N643" s="137" t="e">
        <f>IF(VLOOKUP(A643,'Actual Dates'!A4:AE793,27,),'Actual Dates'!#REF!,"")</f>
        <v>#REF!</v>
      </c>
      <c r="O643" s="138" t="e">
        <f t="shared" si="72"/>
        <v>#REF!</v>
      </c>
      <c r="P643" s="139" t="e">
        <f t="shared" si="76"/>
        <v>#REF!</v>
      </c>
      <c r="Q643" s="139" t="e">
        <f t="shared" si="77"/>
        <v>#REF!</v>
      </c>
      <c r="R643" s="170"/>
      <c r="S643" s="170"/>
    </row>
    <row r="644" spans="1:19" x14ac:dyDescent="0.25">
      <c r="A644" s="134" t="e">
        <f>'Date Calcs'!#REF!</f>
        <v>#REF!</v>
      </c>
      <c r="B644" s="135" t="e">
        <f>'Date Calcs'!#REF!</f>
        <v>#REF!</v>
      </c>
      <c r="C644" s="136" t="e">
        <f>'Date Calcs'!#REF!</f>
        <v>#REF!</v>
      </c>
      <c r="D644" s="137" t="e">
        <f t="shared" si="73"/>
        <v>#REF!</v>
      </c>
      <c r="E644" s="143">
        <v>44667</v>
      </c>
      <c r="F644" s="137" t="e">
        <f>'Date Calcs'!#REF!</f>
        <v>#REF!</v>
      </c>
      <c r="G644" s="137" t="e">
        <f>IF(VLOOKUP(A644,'Actual Dates'!A4:AE771,8,),'Actual Dates'!#REF!,"")</f>
        <v>#REF!</v>
      </c>
      <c r="H644" s="137" t="e">
        <f t="shared" si="74"/>
        <v>#REF!</v>
      </c>
      <c r="I644" s="137" t="e">
        <f>IF(VLOOKUP(A644,'Actual Dates'!A4:AE766,25,),'Actual Dates'!#REF!,"")</f>
        <v>#REF!</v>
      </c>
      <c r="J644" s="137" t="e">
        <f t="shared" si="75"/>
        <v>#REF!</v>
      </c>
      <c r="K644" s="137" t="e">
        <f>IF(VLOOKUP(A644,'Actual Dates'!A4:AE794,26,),'Actual Dates'!#REF!,"")</f>
        <v>#REF!</v>
      </c>
      <c r="L644" s="137" t="e">
        <f>IF(VLOOKUP(A644,'Actual Dates'!A4:AE794,21,),'Actual Dates'!#REF!,"")</f>
        <v>#REF!</v>
      </c>
      <c r="M644" s="137" t="e">
        <f>'Date Calcs'!#REF!</f>
        <v>#REF!</v>
      </c>
      <c r="N644" s="137" t="e">
        <f>IF(VLOOKUP(A644,'Actual Dates'!A4:AE794,27,),'Actual Dates'!#REF!,"")</f>
        <v>#REF!</v>
      </c>
      <c r="O644" s="138" t="e">
        <f t="shared" si="72"/>
        <v>#REF!</v>
      </c>
      <c r="P644" s="139" t="e">
        <f t="shared" si="76"/>
        <v>#REF!</v>
      </c>
      <c r="Q644" s="139" t="e">
        <f t="shared" si="77"/>
        <v>#REF!</v>
      </c>
      <c r="R644" s="170"/>
      <c r="S644" s="170"/>
    </row>
    <row r="645" spans="1:19" x14ac:dyDescent="0.25">
      <c r="A645" s="134" t="e">
        <f>'Date Calcs'!#REF!</f>
        <v>#REF!</v>
      </c>
      <c r="B645" s="135" t="e">
        <f>'Date Calcs'!#REF!</f>
        <v>#REF!</v>
      </c>
      <c r="C645" s="136" t="e">
        <f>'Date Calcs'!#REF!</f>
        <v>#REF!</v>
      </c>
      <c r="D645" s="137" t="e">
        <f t="shared" si="73"/>
        <v>#REF!</v>
      </c>
      <c r="E645" s="143">
        <v>44668</v>
      </c>
      <c r="F645" s="137" t="e">
        <f>'Date Calcs'!#REF!</f>
        <v>#REF!</v>
      </c>
      <c r="G645" s="137" t="e">
        <f>IF(VLOOKUP(A645,'Actual Dates'!A4:AE772,8,),'Actual Dates'!#REF!,"")</f>
        <v>#REF!</v>
      </c>
      <c r="H645" s="137" t="e">
        <f t="shared" si="74"/>
        <v>#REF!</v>
      </c>
      <c r="I645" s="137" t="e">
        <f>IF(VLOOKUP(A645,'Actual Dates'!A4:AE767,25,),'Actual Dates'!#REF!,"")</f>
        <v>#REF!</v>
      </c>
      <c r="J645" s="137" t="e">
        <f t="shared" si="75"/>
        <v>#REF!</v>
      </c>
      <c r="K645" s="137" t="e">
        <f>IF(VLOOKUP(A645,'Actual Dates'!A4:AE795,26,),'Actual Dates'!#REF!,"")</f>
        <v>#REF!</v>
      </c>
      <c r="L645" s="137" t="e">
        <f>IF(VLOOKUP(A645,'Actual Dates'!A4:AE795,21,),'Actual Dates'!#REF!,"")</f>
        <v>#REF!</v>
      </c>
      <c r="M645" s="137" t="e">
        <f>'Date Calcs'!#REF!</f>
        <v>#REF!</v>
      </c>
      <c r="N645" s="137" t="e">
        <f>IF(VLOOKUP(A645,'Actual Dates'!A4:AE795,27,),'Actual Dates'!#REF!,"")</f>
        <v>#REF!</v>
      </c>
      <c r="O645" s="138" t="e">
        <f t="shared" si="72"/>
        <v>#REF!</v>
      </c>
      <c r="P645" s="139" t="e">
        <f t="shared" si="76"/>
        <v>#REF!</v>
      </c>
      <c r="Q645" s="139" t="e">
        <f t="shared" si="77"/>
        <v>#REF!</v>
      </c>
      <c r="R645" s="170"/>
      <c r="S645" s="170"/>
    </row>
    <row r="646" spans="1:19" x14ac:dyDescent="0.25">
      <c r="A646" s="134" t="str">
        <f>'Date Calcs'!A6</f>
        <v>25-010</v>
      </c>
      <c r="B646" s="135" t="str">
        <f>'Date Calcs'!B6</f>
        <v>Kimberly Clark</v>
      </c>
      <c r="C646" s="136">
        <f>'Date Calcs'!C6</f>
        <v>45685</v>
      </c>
      <c r="D646" s="137">
        <f t="shared" si="73"/>
        <v>45719</v>
      </c>
      <c r="E646" s="143">
        <v>44669</v>
      </c>
      <c r="F646" s="137">
        <f>'Date Calcs'!H6</f>
        <v>45720</v>
      </c>
      <c r="G646" s="137" t="e">
        <f>IF(VLOOKUP(A646,'Actual Dates'!A4:AE773,8,),'Actual Dates'!#REF!,"")</f>
        <v>#REF!</v>
      </c>
      <c r="H646" s="137" t="e">
        <f t="shared" si="74"/>
        <v>#REF!</v>
      </c>
      <c r="I646" s="137" t="e">
        <f>IF(VLOOKUP(A646,'Actual Dates'!A4:AE768,25,),'Actual Dates'!#REF!,"")</f>
        <v>#REF!</v>
      </c>
      <c r="J646" s="137" t="e">
        <f t="shared" si="75"/>
        <v>#REF!</v>
      </c>
      <c r="K646" s="137" t="e">
        <f>IF(VLOOKUP(A646,'Actual Dates'!A4:AE796,26,),'Actual Dates'!#REF!,"")</f>
        <v>#REF!</v>
      </c>
      <c r="L646" s="137" t="e">
        <f>IF(VLOOKUP(A646,'Actual Dates'!A4:AE796,21,),'Actual Dates'!#REF!,"")</f>
        <v>#REF!</v>
      </c>
      <c r="M646" s="137">
        <f>'Date Calcs'!AF6</f>
        <v>45914</v>
      </c>
      <c r="N646" s="137" t="e">
        <f>IF(VLOOKUP(A646,'Actual Dates'!A4:AE796,27,),'Actual Dates'!#REF!,"")</f>
        <v>#REF!</v>
      </c>
      <c r="O646" s="138" t="e">
        <f t="shared" si="72"/>
        <v>#REF!</v>
      </c>
      <c r="P646" s="139" t="e">
        <f t="shared" si="76"/>
        <v>#REF!</v>
      </c>
      <c r="Q646" s="139" t="e">
        <f t="shared" si="77"/>
        <v>#REF!</v>
      </c>
      <c r="R646" s="170"/>
      <c r="S646" s="170"/>
    </row>
    <row r="647" spans="1:19" x14ac:dyDescent="0.25">
      <c r="A647" s="134" t="str">
        <f>'Date Calcs'!A7</f>
        <v>25-011</v>
      </c>
      <c r="B647" s="135" t="str">
        <f>'Date Calcs'!B7</f>
        <v>Kimberly Clark</v>
      </c>
      <c r="C647" s="136">
        <f>'Date Calcs'!C7</f>
        <v>45685</v>
      </c>
      <c r="D647" s="137">
        <f t="shared" si="73"/>
        <v>45719</v>
      </c>
      <c r="E647" s="143">
        <v>44670</v>
      </c>
      <c r="F647" s="137">
        <f>'Date Calcs'!H7</f>
        <v>45720</v>
      </c>
      <c r="G647" s="137" t="e">
        <f>IF(VLOOKUP(A647,'Actual Dates'!A4:AE774,8,),'Actual Dates'!#REF!,"")</f>
        <v>#REF!</v>
      </c>
      <c r="H647" s="137" t="e">
        <f t="shared" si="74"/>
        <v>#REF!</v>
      </c>
      <c r="I647" s="137" t="e">
        <f>IF(VLOOKUP(A647,'Actual Dates'!A4:AE769,25,),'Actual Dates'!#REF!,"")</f>
        <v>#REF!</v>
      </c>
      <c r="J647" s="137" t="e">
        <f t="shared" si="75"/>
        <v>#REF!</v>
      </c>
      <c r="K647" s="137" t="e">
        <f>IF(VLOOKUP(A647,'Actual Dates'!A4:AE797,26,),'Actual Dates'!#REF!,"")</f>
        <v>#REF!</v>
      </c>
      <c r="L647" s="137" t="e">
        <f>IF(VLOOKUP(A647,'Actual Dates'!A4:AE797,21,),'Actual Dates'!#REF!,"")</f>
        <v>#REF!</v>
      </c>
      <c r="M647" s="137">
        <f>'Date Calcs'!AF7</f>
        <v>45921</v>
      </c>
      <c r="N647" s="137" t="e">
        <f>IF(VLOOKUP(A647,'Actual Dates'!A4:AE797,27,),'Actual Dates'!#REF!,"")</f>
        <v>#REF!</v>
      </c>
      <c r="O647" s="138" t="e">
        <f t="shared" si="72"/>
        <v>#REF!</v>
      </c>
      <c r="P647" s="139" t="e">
        <f t="shared" si="76"/>
        <v>#REF!</v>
      </c>
      <c r="Q647" s="139" t="e">
        <f t="shared" si="77"/>
        <v>#REF!</v>
      </c>
      <c r="R647" s="170"/>
      <c r="S647" s="170"/>
    </row>
    <row r="648" spans="1:19" x14ac:dyDescent="0.25">
      <c r="A648" s="134" t="str">
        <f>'Date Calcs'!A8</f>
        <v>25-012</v>
      </c>
      <c r="B648" s="135" t="str">
        <f>'Date Calcs'!B8</f>
        <v>Kimberly Clark</v>
      </c>
      <c r="C648" s="136">
        <f>'Date Calcs'!C8</f>
        <v>45685</v>
      </c>
      <c r="D648" s="137">
        <f t="shared" si="73"/>
        <v>45719</v>
      </c>
      <c r="E648" s="143">
        <v>44671</v>
      </c>
      <c r="F648" s="137">
        <f>'Date Calcs'!H8</f>
        <v>45720</v>
      </c>
      <c r="G648" s="137" t="e">
        <f>IF(VLOOKUP(A648,'Actual Dates'!A4:AE775,8,),'Actual Dates'!#REF!,"")</f>
        <v>#REF!</v>
      </c>
      <c r="H648" s="137" t="e">
        <f t="shared" si="74"/>
        <v>#REF!</v>
      </c>
      <c r="I648" s="137" t="e">
        <f>IF(VLOOKUP(A648,'Actual Dates'!A4:AE770,25,),'Actual Dates'!#REF!,"")</f>
        <v>#REF!</v>
      </c>
      <c r="J648" s="137" t="e">
        <f t="shared" si="75"/>
        <v>#REF!</v>
      </c>
      <c r="K648" s="137" t="e">
        <f>IF(VLOOKUP(A648,'Actual Dates'!A4:AE798,26,),'Actual Dates'!#REF!,"")</f>
        <v>#REF!</v>
      </c>
      <c r="L648" s="137" t="e">
        <f>IF(VLOOKUP(A648,'Actual Dates'!A4:AE798,21,),'Actual Dates'!#REF!,"")</f>
        <v>#REF!</v>
      </c>
      <c r="M648" s="137">
        <f>'Date Calcs'!AF8</f>
        <v>45921</v>
      </c>
      <c r="N648" s="137" t="e">
        <f>IF(VLOOKUP(A648,'Actual Dates'!A4:AE798,27,),'Actual Dates'!#REF!,"")</f>
        <v>#REF!</v>
      </c>
      <c r="O648" s="138" t="e">
        <f t="shared" si="72"/>
        <v>#REF!</v>
      </c>
      <c r="P648" s="139" t="e">
        <f t="shared" si="76"/>
        <v>#REF!</v>
      </c>
      <c r="Q648" s="139" t="e">
        <f t="shared" si="77"/>
        <v>#REF!</v>
      </c>
      <c r="R648" s="170"/>
      <c r="S648" s="170"/>
    </row>
    <row r="649" spans="1:19" x14ac:dyDescent="0.25">
      <c r="A649" s="134" t="str">
        <f>'Date Calcs'!A9</f>
        <v>25-013</v>
      </c>
      <c r="B649" s="135" t="str">
        <f>'Date Calcs'!B9</f>
        <v>Kimberly Clark</v>
      </c>
      <c r="C649" s="136">
        <f>'Date Calcs'!C9</f>
        <v>45685</v>
      </c>
      <c r="D649" s="137">
        <f t="shared" si="73"/>
        <v>45719</v>
      </c>
      <c r="E649" s="143">
        <v>44672</v>
      </c>
      <c r="F649" s="137">
        <f>'Date Calcs'!H9</f>
        <v>45720</v>
      </c>
      <c r="G649" s="137" t="e">
        <f>IF(VLOOKUP(A649,'Actual Dates'!A4:AE776,8,),'Actual Dates'!#REF!,"")</f>
        <v>#REF!</v>
      </c>
      <c r="H649" s="137" t="e">
        <f t="shared" si="74"/>
        <v>#REF!</v>
      </c>
      <c r="I649" s="137" t="e">
        <f>IF(VLOOKUP(A649,'Actual Dates'!A4:AE771,25,),'Actual Dates'!#REF!,"")</f>
        <v>#REF!</v>
      </c>
      <c r="J649" s="137" t="e">
        <f t="shared" si="75"/>
        <v>#REF!</v>
      </c>
      <c r="K649" s="137" t="e">
        <f>IF(VLOOKUP(A649,'Actual Dates'!A4:AE799,26,),'Actual Dates'!#REF!,"")</f>
        <v>#REF!</v>
      </c>
      <c r="L649" s="137" t="e">
        <f>IF(VLOOKUP(A649,'Actual Dates'!A4:AE799,21,),'Actual Dates'!#REF!,"")</f>
        <v>#REF!</v>
      </c>
      <c r="M649" s="137">
        <f>'Date Calcs'!AF9</f>
        <v>45830</v>
      </c>
      <c r="N649" s="137" t="e">
        <f>IF(VLOOKUP(A649,'Actual Dates'!A4:AE799,27,),'Actual Dates'!#REF!,"")</f>
        <v>#REF!</v>
      </c>
      <c r="O649" s="138" t="e">
        <f t="shared" si="72"/>
        <v>#REF!</v>
      </c>
      <c r="P649" s="139" t="e">
        <f t="shared" si="76"/>
        <v>#REF!</v>
      </c>
      <c r="Q649" s="139" t="e">
        <f t="shared" si="77"/>
        <v>#REF!</v>
      </c>
      <c r="R649" s="170"/>
      <c r="S649" s="170"/>
    </row>
    <row r="650" spans="1:19" x14ac:dyDescent="0.25">
      <c r="A650" s="134" t="str">
        <f>'Date Calcs'!A10</f>
        <v>25-014</v>
      </c>
      <c r="B650" s="135" t="str">
        <f>'Date Calcs'!B10</f>
        <v>Kimberly Clark</v>
      </c>
      <c r="C650" s="136">
        <f>'Date Calcs'!C10</f>
        <v>45685</v>
      </c>
      <c r="D650" s="137">
        <f t="shared" si="73"/>
        <v>45719</v>
      </c>
      <c r="E650" s="143">
        <v>44673</v>
      </c>
      <c r="F650" s="137">
        <f>'Date Calcs'!H10</f>
        <v>45720</v>
      </c>
      <c r="G650" s="137">
        <f>IF(VLOOKUP(A650,'Actual Dates'!A4:AE777,8,),'Actual Dates'!H5,"")</f>
        <v>45805</v>
      </c>
      <c r="H650" s="137">
        <f t="shared" si="74"/>
        <v>45902</v>
      </c>
      <c r="I650" s="137">
        <f>IF(VLOOKUP(A650,'Actual Dates'!A4:AE772,25,),'Actual Dates'!Z5,"")</f>
        <v>45866</v>
      </c>
      <c r="J650" s="137">
        <f t="shared" si="75"/>
        <v>45903</v>
      </c>
      <c r="K650" s="137">
        <f>IF(VLOOKUP(A650,'Actual Dates'!A4:AE800,26,),'Actual Dates'!AA5,"")</f>
        <v>45999</v>
      </c>
      <c r="L650" s="137">
        <f>IF(VLOOKUP(A650,'Actual Dates'!A4:AE800,21,),'Actual Dates'!T5,"")</f>
        <v>45897</v>
      </c>
      <c r="M650" s="137">
        <f>'Date Calcs'!AF10</f>
        <v>45815</v>
      </c>
      <c r="N650" s="137">
        <f>IF(VLOOKUP(A650,'Actual Dates'!A4:AE800,27,),'Actual Dates'!AD5,"")</f>
        <v>46039</v>
      </c>
      <c r="O650" s="138">
        <f t="shared" si="72"/>
        <v>354</v>
      </c>
      <c r="P650" s="139">
        <f t="shared" si="76"/>
        <v>-85</v>
      </c>
      <c r="Q650" s="139">
        <f t="shared" si="77"/>
        <v>-224</v>
      </c>
      <c r="R650" s="170"/>
      <c r="S650" s="170"/>
    </row>
    <row r="651" spans="1:19" x14ac:dyDescent="0.25">
      <c r="A651" s="134" t="str">
        <f>'Date Calcs'!A11</f>
        <v>25-015</v>
      </c>
      <c r="B651" s="135" t="str">
        <f>'Date Calcs'!B11</f>
        <v>Kimberly Clark</v>
      </c>
      <c r="C651" s="136">
        <f>'Date Calcs'!C11</f>
        <v>45685</v>
      </c>
      <c r="D651" s="137">
        <f t="shared" si="73"/>
        <v>45719</v>
      </c>
      <c r="E651" s="143">
        <v>44674</v>
      </c>
      <c r="F651" s="137">
        <f>'Date Calcs'!H11</f>
        <v>45720</v>
      </c>
      <c r="G651" s="137">
        <f>IF(VLOOKUP(A651,'Actual Dates'!A4:AE778,8,),'Actual Dates'!H6,"")</f>
        <v>45772</v>
      </c>
      <c r="H651" s="137">
        <f t="shared" si="74"/>
        <v>45909</v>
      </c>
      <c r="I651" s="137">
        <f>IF(VLOOKUP(A651,'Actual Dates'!A4:AE773,25,),'Actual Dates'!Z6,"")</f>
        <v>45835</v>
      </c>
      <c r="J651" s="137">
        <f t="shared" si="75"/>
        <v>45910</v>
      </c>
      <c r="K651" s="137">
        <f>IF(VLOOKUP(A651,'Actual Dates'!A4:AE801,26,),'Actual Dates'!AA6,"")</f>
        <v>45961</v>
      </c>
      <c r="L651" s="137">
        <f>IF(VLOOKUP(A651,'Actual Dates'!A4:AE801,21,),'Actual Dates'!T6,"")</f>
        <v>45904</v>
      </c>
      <c r="M651" s="137">
        <f>'Date Calcs'!AF11</f>
        <v>45815</v>
      </c>
      <c r="N651" s="137">
        <f>IF(VLOOKUP(A651,'Actual Dates'!A4:AE801,27,),'Actual Dates'!AD6,"")</f>
        <v>46022</v>
      </c>
      <c r="O651" s="138">
        <f t="shared" ref="O651:O714" si="78">N651-C651</f>
        <v>337</v>
      </c>
      <c r="P651" s="139">
        <f t="shared" si="76"/>
        <v>-52</v>
      </c>
      <c r="Q651" s="139">
        <f t="shared" si="77"/>
        <v>-207</v>
      </c>
      <c r="R651" s="170"/>
      <c r="S651" s="170"/>
    </row>
    <row r="652" spans="1:19" x14ac:dyDescent="0.25">
      <c r="A652" s="134" t="str">
        <f>'Date Calcs'!A12</f>
        <v>25-016</v>
      </c>
      <c r="B652" s="135" t="str">
        <f>'Date Calcs'!B12</f>
        <v>Kimberly Clark</v>
      </c>
      <c r="C652" s="136">
        <f>'Date Calcs'!C12</f>
        <v>45685</v>
      </c>
      <c r="D652" s="137">
        <f t="shared" si="73"/>
        <v>45719</v>
      </c>
      <c r="E652" s="143">
        <v>44675</v>
      </c>
      <c r="F652" s="137">
        <f>'Date Calcs'!H12</f>
        <v>45720</v>
      </c>
      <c r="G652" s="137">
        <f>IF(VLOOKUP(A652,'Actual Dates'!A4:AE779,8,),'Actual Dates'!H7,"")</f>
        <v>45772</v>
      </c>
      <c r="H652" s="137">
        <f t="shared" si="74"/>
        <v>45909</v>
      </c>
      <c r="I652" s="137">
        <f>IF(VLOOKUP(A652,'Actual Dates'!A4:AE774,25,),'Actual Dates'!Z7,"")</f>
        <v>45839</v>
      </c>
      <c r="J652" s="137">
        <f t="shared" si="75"/>
        <v>45910</v>
      </c>
      <c r="K652" s="137">
        <f>IF(VLOOKUP(A652,'Actual Dates'!A4:AE802,26,),'Actual Dates'!AA7,"")</f>
        <v>45664</v>
      </c>
      <c r="L652" s="137">
        <f>IF(VLOOKUP(A652,'Actual Dates'!A4:AE802,21,),'Actual Dates'!T7,"")</f>
        <v>45904</v>
      </c>
      <c r="M652" s="137">
        <f>'Date Calcs'!AF12</f>
        <v>45815</v>
      </c>
      <c r="N652" s="137">
        <f>IF(VLOOKUP(A652,'Actual Dates'!A4:AE802,27,),'Actual Dates'!AD7,"")</f>
        <v>46030</v>
      </c>
      <c r="O652" s="138">
        <f t="shared" si="78"/>
        <v>345</v>
      </c>
      <c r="P652" s="139">
        <f t="shared" si="76"/>
        <v>-52</v>
      </c>
      <c r="Q652" s="139">
        <f t="shared" si="77"/>
        <v>-215</v>
      </c>
      <c r="R652" s="170"/>
      <c r="S652" s="170"/>
    </row>
    <row r="653" spans="1:19" x14ac:dyDescent="0.25">
      <c r="A653" s="134" t="str">
        <f>'Date Calcs'!A13</f>
        <v>25-017</v>
      </c>
      <c r="B653" s="135" t="str">
        <f>'Date Calcs'!B13</f>
        <v>Kimberly Clark</v>
      </c>
      <c r="C653" s="136">
        <f>'Date Calcs'!C13</f>
        <v>45685</v>
      </c>
      <c r="D653" s="137">
        <f t="shared" si="73"/>
        <v>45719</v>
      </c>
      <c r="E653" s="143">
        <v>44676</v>
      </c>
      <c r="F653" s="137">
        <f>'Date Calcs'!H13</f>
        <v>45720</v>
      </c>
      <c r="G653" s="137">
        <f>IF(VLOOKUP(A653,'Actual Dates'!A4:AE780,8,),'Actual Dates'!H8,"")</f>
        <v>45741</v>
      </c>
      <c r="H653" s="137">
        <f t="shared" si="74"/>
        <v>45909</v>
      </c>
      <c r="I653" s="137">
        <f>IF(VLOOKUP(A653,'Actual Dates'!A4:AE775,25,),'Actual Dates'!Z8,"")</f>
        <v>45840</v>
      </c>
      <c r="J653" s="137">
        <f t="shared" si="75"/>
        <v>45910</v>
      </c>
      <c r="K653" s="137">
        <f>IF(VLOOKUP(A653,'Actual Dates'!A4:AE803,26,),'Actual Dates'!AA8,"")</f>
        <v>45952</v>
      </c>
      <c r="L653" s="137">
        <f>IF(VLOOKUP(A653,'Actual Dates'!A4:AE803,21,),'Actual Dates'!T8,"")</f>
        <v>45904</v>
      </c>
      <c r="M653" s="137">
        <f>'Date Calcs'!AF13</f>
        <v>45778</v>
      </c>
      <c r="N653" s="137">
        <f>IF(VLOOKUP(A653,'Actual Dates'!A4:AE803,27,),'Actual Dates'!AD8,"")</f>
        <v>45957</v>
      </c>
      <c r="O653" s="138">
        <f t="shared" si="78"/>
        <v>272</v>
      </c>
      <c r="P653" s="139">
        <f t="shared" si="76"/>
        <v>-21</v>
      </c>
      <c r="Q653" s="139">
        <f t="shared" si="77"/>
        <v>-179</v>
      </c>
      <c r="R653" s="170"/>
      <c r="S653" s="170"/>
    </row>
    <row r="654" spans="1:19" x14ac:dyDescent="0.25">
      <c r="A654" s="134" t="str">
        <f>'Date Calcs'!A14</f>
        <v>25-018</v>
      </c>
      <c r="B654" s="135" t="str">
        <f>'Date Calcs'!B14</f>
        <v>Kimberly Clark</v>
      </c>
      <c r="C654" s="136">
        <f>'Date Calcs'!C14</f>
        <v>45685</v>
      </c>
      <c r="D654" s="137">
        <f t="shared" si="73"/>
        <v>45719</v>
      </c>
      <c r="E654" s="143">
        <v>44677</v>
      </c>
      <c r="F654" s="137">
        <f>'Date Calcs'!H14</f>
        <v>45720</v>
      </c>
      <c r="G654" s="137">
        <f>IF(VLOOKUP(A654,'Actual Dates'!A4:AE781,8,),'Actual Dates'!H9,"")</f>
        <v>45749</v>
      </c>
      <c r="H654" s="137">
        <f t="shared" si="74"/>
        <v>45810</v>
      </c>
      <c r="I654" s="137">
        <f>IF(VLOOKUP(A654,'Actual Dates'!A4:AE776,25,),'Actual Dates'!Z9,"")</f>
        <v>45840</v>
      </c>
      <c r="J654" s="137">
        <f t="shared" si="75"/>
        <v>45811</v>
      </c>
      <c r="K654" s="137">
        <f>IF(VLOOKUP(A654,'Actual Dates'!A4:AE804,26,),'Actual Dates'!AA9,"")</f>
        <v>45903</v>
      </c>
      <c r="L654" s="137">
        <f>IF(VLOOKUP(A654,'Actual Dates'!A4:AE804,21,),'Actual Dates'!T9,"")</f>
        <v>45805</v>
      </c>
      <c r="M654" s="137">
        <f>'Date Calcs'!AF14</f>
        <v>45914</v>
      </c>
      <c r="N654" s="137">
        <f>IF(VLOOKUP(A654,'Actual Dates'!A4:AE804,27,),'Actual Dates'!AD9,"")</f>
        <v>45903</v>
      </c>
      <c r="O654" s="138">
        <f t="shared" si="78"/>
        <v>218</v>
      </c>
      <c r="P654" s="139">
        <f t="shared" si="76"/>
        <v>-29</v>
      </c>
      <c r="Q654" s="139">
        <f t="shared" si="77"/>
        <v>11</v>
      </c>
      <c r="R654" s="170"/>
      <c r="S654" s="170"/>
    </row>
    <row r="655" spans="1:19" x14ac:dyDescent="0.25">
      <c r="A655" s="134" t="str">
        <f>'Date Calcs'!A15</f>
        <v>25-019</v>
      </c>
      <c r="B655" s="135" t="str">
        <f>'Date Calcs'!B15</f>
        <v>Kimberly Clark</v>
      </c>
      <c r="C655" s="136">
        <f>'Date Calcs'!C15</f>
        <v>45685</v>
      </c>
      <c r="D655" s="137">
        <f t="shared" si="73"/>
        <v>45719</v>
      </c>
      <c r="E655" s="143">
        <v>44678</v>
      </c>
      <c r="F655" s="137">
        <f>'Date Calcs'!H15</f>
        <v>45720</v>
      </c>
      <c r="G655" s="137">
        <f>IF(VLOOKUP(A655,'Actual Dates'!A4:AE782,8,),'Actual Dates'!H10,"")</f>
        <v>45749</v>
      </c>
      <c r="H655" s="137">
        <f t="shared" si="74"/>
        <v>45810</v>
      </c>
      <c r="I655" s="137">
        <f>IF(VLOOKUP(A655,'Actual Dates'!A4:AE777,25,),'Actual Dates'!Z10,"")</f>
        <v>45855</v>
      </c>
      <c r="J655" s="137">
        <f t="shared" si="75"/>
        <v>45811</v>
      </c>
      <c r="K655" s="137">
        <f>IF(VLOOKUP(A655,'Actual Dates'!A4:AE805,26,),'Actual Dates'!AA10,"")</f>
        <v>45896</v>
      </c>
      <c r="L655" s="137">
        <f>IF(VLOOKUP(A655,'Actual Dates'!A4:AE805,21,),'Actual Dates'!T10,"")</f>
        <v>45805</v>
      </c>
      <c r="M655" s="137">
        <f>'Date Calcs'!AF15</f>
        <v>45921</v>
      </c>
      <c r="N655" s="137">
        <f>IF(VLOOKUP(A655,'Actual Dates'!A4:AE805,27,),'Actual Dates'!AD10,"")</f>
        <v>45896</v>
      </c>
      <c r="O655" s="138">
        <f t="shared" si="78"/>
        <v>211</v>
      </c>
      <c r="P655" s="139">
        <f t="shared" si="76"/>
        <v>-29</v>
      </c>
      <c r="Q655" s="139">
        <f t="shared" si="77"/>
        <v>25</v>
      </c>
      <c r="R655" s="170"/>
      <c r="S655" s="170"/>
    </row>
    <row r="656" spans="1:19" x14ac:dyDescent="0.25">
      <c r="A656" s="134" t="str">
        <f>'Date Calcs'!A16</f>
        <v>25-020</v>
      </c>
      <c r="B656" s="135" t="str">
        <f>'Date Calcs'!B16</f>
        <v>Kimberly Clark</v>
      </c>
      <c r="C656" s="136">
        <f>'Date Calcs'!C16</f>
        <v>45685</v>
      </c>
      <c r="D656" s="137">
        <f t="shared" si="73"/>
        <v>45719</v>
      </c>
      <c r="E656" s="143">
        <v>44679</v>
      </c>
      <c r="F656" s="137">
        <f>'Date Calcs'!H16</f>
        <v>45720</v>
      </c>
      <c r="G656" s="137">
        <f>IF(VLOOKUP(A656,'Actual Dates'!A4:AE783,8,),'Actual Dates'!H11,"")</f>
        <v>45749</v>
      </c>
      <c r="H656" s="137">
        <f t="shared" si="74"/>
        <v>45810</v>
      </c>
      <c r="I656" s="137">
        <f>IF(VLOOKUP(A656,'Actual Dates'!A4:AE778,25,),'Actual Dates'!Z11,"")</f>
        <v>45860</v>
      </c>
      <c r="J656" s="137">
        <f t="shared" si="75"/>
        <v>45811</v>
      </c>
      <c r="K656" s="137">
        <f>IF(VLOOKUP(A656,'Actual Dates'!A4:AE806,26,),'Actual Dates'!AA11,"")</f>
        <v>45979</v>
      </c>
      <c r="L656" s="137">
        <f>IF(VLOOKUP(A656,'Actual Dates'!A4:AE806,21,),'Actual Dates'!T11,"")</f>
        <v>45805</v>
      </c>
      <c r="M656" s="137">
        <f>'Date Calcs'!AF16</f>
        <v>45914</v>
      </c>
      <c r="N656" s="137">
        <f>IF(VLOOKUP(A656,'Actual Dates'!A4:AE806,27,),'Actual Dates'!AD11,"")</f>
        <v>45995</v>
      </c>
      <c r="O656" s="138">
        <f t="shared" si="78"/>
        <v>310</v>
      </c>
      <c r="P656" s="139">
        <f t="shared" si="76"/>
        <v>-29</v>
      </c>
      <c r="Q656" s="139">
        <f t="shared" si="77"/>
        <v>-81</v>
      </c>
      <c r="R656" s="170"/>
      <c r="S656" s="170"/>
    </row>
    <row r="657" spans="1:19" x14ac:dyDescent="0.25">
      <c r="A657" s="134" t="str">
        <f>'Date Calcs'!A17</f>
        <v>25-021</v>
      </c>
      <c r="B657" s="135" t="str">
        <f>'Date Calcs'!B17</f>
        <v>Kimberly Clark</v>
      </c>
      <c r="C657" s="136">
        <f>'Date Calcs'!C17</f>
        <v>45685</v>
      </c>
      <c r="D657" s="137">
        <f t="shared" si="73"/>
        <v>45719</v>
      </c>
      <c r="E657" s="143">
        <v>44680</v>
      </c>
      <c r="F657" s="137">
        <f>'Date Calcs'!H17</f>
        <v>45720</v>
      </c>
      <c r="G657" s="137">
        <f>IF(VLOOKUP(A657,'Actual Dates'!A4:AE784,8,),'Actual Dates'!H12,"")</f>
        <v>45726</v>
      </c>
      <c r="H657" s="137">
        <f t="shared" si="74"/>
        <v>45772</v>
      </c>
      <c r="I657" s="137">
        <f>IF(VLOOKUP(A657,'Actual Dates'!A4:AE779,25,),'Actual Dates'!Z12,"")</f>
        <v>45861</v>
      </c>
      <c r="J657" s="137">
        <f t="shared" si="75"/>
        <v>45775</v>
      </c>
      <c r="K657" s="137">
        <f>IF(VLOOKUP(A657,'Actual Dates'!A4:AE807,26,),'Actual Dates'!AA12,"")</f>
        <v>45930</v>
      </c>
      <c r="L657" s="137">
        <f>IF(VLOOKUP(A657,'Actual Dates'!A4:AE807,21,),'Actual Dates'!T12,"")</f>
        <v>45769</v>
      </c>
      <c r="M657" s="137">
        <f>'Date Calcs'!AF17</f>
        <v>45921</v>
      </c>
      <c r="N657" s="137">
        <f>IF(VLOOKUP(A657,'Actual Dates'!A4:AE807,27,),'Actual Dates'!AD12,"")</f>
        <v>45930</v>
      </c>
      <c r="O657" s="138">
        <f t="shared" si="78"/>
        <v>245</v>
      </c>
      <c r="P657" s="139">
        <f t="shared" si="76"/>
        <v>-6</v>
      </c>
      <c r="Q657" s="139">
        <f t="shared" si="77"/>
        <v>-9</v>
      </c>
      <c r="R657" s="170"/>
      <c r="S657" s="170"/>
    </row>
    <row r="658" spans="1:19" x14ac:dyDescent="0.25">
      <c r="A658" s="134" t="str">
        <f>'Date Calcs'!A18</f>
        <v>25-023</v>
      </c>
      <c r="B658" s="135" t="str">
        <f>'Date Calcs'!B18</f>
        <v>Andritz</v>
      </c>
      <c r="C658" s="136">
        <f>'Date Calcs'!C18</f>
        <v>45687</v>
      </c>
      <c r="D658" s="137">
        <f t="shared" si="73"/>
        <v>45700</v>
      </c>
      <c r="E658" s="143">
        <v>44681</v>
      </c>
      <c r="F658" s="137">
        <f>'Date Calcs'!H18</f>
        <v>45701</v>
      </c>
      <c r="G658" s="137">
        <f>IF(VLOOKUP(A658,'Actual Dates'!A4:AE785,8,),'Actual Dates'!H13,"")</f>
        <v>45798</v>
      </c>
      <c r="H658" s="137">
        <f t="shared" si="74"/>
        <v>45910</v>
      </c>
      <c r="I658" s="137">
        <f>IF(VLOOKUP(A658,'Actual Dates'!A4:AE780,25,),'Actual Dates'!Z13,"")</f>
        <v>45919</v>
      </c>
      <c r="J658" s="137">
        <f t="shared" si="75"/>
        <v>45911</v>
      </c>
      <c r="K658" s="137">
        <f>IF(VLOOKUP(A658,'Actual Dates'!A4:AE808,26,),'Actual Dates'!AA13,"")</f>
        <v>45952</v>
      </c>
      <c r="L658" s="137">
        <f>IF(VLOOKUP(A658,'Actual Dates'!A4:AE808,21,),'Actual Dates'!T13,"")</f>
        <v>45905</v>
      </c>
      <c r="M658" s="137">
        <f>'Date Calcs'!AF18</f>
        <v>45750</v>
      </c>
      <c r="N658" s="137">
        <f>IF(VLOOKUP(A658,'Actual Dates'!A4:AE808,27,),'Actual Dates'!AD13,"")</f>
        <v>45954</v>
      </c>
      <c r="O658" s="138">
        <f t="shared" si="78"/>
        <v>267</v>
      </c>
      <c r="P658" s="139">
        <f t="shared" si="76"/>
        <v>-97</v>
      </c>
      <c r="Q658" s="139">
        <f t="shared" si="77"/>
        <v>-204</v>
      </c>
      <c r="R658" s="170"/>
      <c r="S658" s="170"/>
    </row>
    <row r="659" spans="1:19" x14ac:dyDescent="0.25">
      <c r="A659" s="134" t="str">
        <f>'Date Calcs'!A19</f>
        <v>25-024</v>
      </c>
      <c r="B659" s="135" t="str">
        <f>'Date Calcs'!B19</f>
        <v>Andritz</v>
      </c>
      <c r="C659" s="136">
        <f>'Date Calcs'!C19</f>
        <v>45687</v>
      </c>
      <c r="D659" s="137">
        <f t="shared" si="73"/>
        <v>45700</v>
      </c>
      <c r="E659" s="143">
        <v>44682</v>
      </c>
      <c r="F659" s="137">
        <f>'Date Calcs'!H19</f>
        <v>45701</v>
      </c>
      <c r="G659" s="137">
        <f>IF(VLOOKUP(A659,'Actual Dates'!A4:AE786,8,),'Actual Dates'!H14,"")</f>
        <v>45790</v>
      </c>
      <c r="H659" s="137">
        <f t="shared" si="74"/>
        <v>45910</v>
      </c>
      <c r="I659" s="137">
        <f>IF(VLOOKUP(A659,'Actual Dates'!A4:AE781,25,),'Actual Dates'!Z14,"")</f>
        <v>45917</v>
      </c>
      <c r="J659" s="137">
        <f t="shared" si="75"/>
        <v>45911</v>
      </c>
      <c r="K659" s="137">
        <f>IF(VLOOKUP(A659,'Actual Dates'!A4:AE809,26,),'Actual Dates'!AA14,"")</f>
        <v>45979</v>
      </c>
      <c r="L659" s="137">
        <f>IF(VLOOKUP(A659,'Actual Dates'!A4:AE809,21,),'Actual Dates'!T14,"")</f>
        <v>45905</v>
      </c>
      <c r="M659" s="137">
        <f>'Date Calcs'!AF19</f>
        <v>45750</v>
      </c>
      <c r="N659" s="137">
        <f>IF(VLOOKUP(A659,'Actual Dates'!A4:AE809,27,),'Actual Dates'!AD14,"")</f>
        <v>45995</v>
      </c>
      <c r="O659" s="138">
        <f t="shared" si="78"/>
        <v>308</v>
      </c>
      <c r="P659" s="139">
        <f t="shared" si="76"/>
        <v>-89</v>
      </c>
      <c r="Q659" s="139">
        <f t="shared" si="77"/>
        <v>-245</v>
      </c>
      <c r="R659" s="170"/>
      <c r="S659" s="170"/>
    </row>
    <row r="660" spans="1:19" x14ac:dyDescent="0.25">
      <c r="A660" s="134" t="str">
        <f>'Date Calcs'!A20</f>
        <v>25-025</v>
      </c>
      <c r="B660" s="135" t="str">
        <f>'Date Calcs'!B20</f>
        <v>Irving Tissue</v>
      </c>
      <c r="C660" s="136">
        <f>'Date Calcs'!C20</f>
        <v>45693</v>
      </c>
      <c r="D660" s="137">
        <f t="shared" si="73"/>
        <v>45720</v>
      </c>
      <c r="E660" s="143">
        <v>44683</v>
      </c>
      <c r="F660" s="137">
        <f>'Date Calcs'!H20</f>
        <v>45721</v>
      </c>
      <c r="G660" s="137">
        <f>IF(VLOOKUP(A660,'Actual Dates'!A4:AE787,8,),'Actual Dates'!H15,"")</f>
        <v>45741</v>
      </c>
      <c r="H660" s="137">
        <f t="shared" si="74"/>
        <v>45898</v>
      </c>
      <c r="I660" s="137">
        <f>IF(VLOOKUP(A660,'Actual Dates'!A4:AE782,25,),'Actual Dates'!Z15,"")</f>
        <v>45888</v>
      </c>
      <c r="J660" s="137">
        <f t="shared" si="75"/>
        <v>45901</v>
      </c>
      <c r="K660" s="137">
        <f>IF(VLOOKUP(A660,'Actual Dates'!A4:AE810,26,),'Actual Dates'!AA15,"")</f>
        <v>45904</v>
      </c>
      <c r="L660" s="137">
        <f>IF(VLOOKUP(A660,'Actual Dates'!A4:AE810,21,),'Actual Dates'!T15,"")</f>
        <v>45895</v>
      </c>
      <c r="M660" s="137">
        <f>'Date Calcs'!AF20</f>
        <v>45823</v>
      </c>
      <c r="N660" s="137">
        <f>IF(VLOOKUP(A660,'Actual Dates'!A4:AE810,27,),'Actual Dates'!AD15,"")</f>
        <v>45904</v>
      </c>
      <c r="O660" s="138">
        <f t="shared" si="78"/>
        <v>211</v>
      </c>
      <c r="P660" s="139">
        <f t="shared" si="76"/>
        <v>-20</v>
      </c>
      <c r="Q660" s="139">
        <f t="shared" si="77"/>
        <v>-81</v>
      </c>
      <c r="R660" s="170"/>
      <c r="S660" s="170"/>
    </row>
    <row r="661" spans="1:19" x14ac:dyDescent="0.25">
      <c r="A661" s="134" t="str">
        <f>'Date Calcs'!A21</f>
        <v>25-026</v>
      </c>
      <c r="B661" s="135" t="str">
        <f>'Date Calcs'!B21</f>
        <v>Irving Tissue</v>
      </c>
      <c r="C661" s="136">
        <f>'Date Calcs'!C21</f>
        <v>45693</v>
      </c>
      <c r="D661" s="137">
        <f t="shared" si="73"/>
        <v>45720</v>
      </c>
      <c r="E661" s="143">
        <v>44684</v>
      </c>
      <c r="F661" s="137">
        <f>'Date Calcs'!H21</f>
        <v>45721</v>
      </c>
      <c r="G661" s="137">
        <f>IF(VLOOKUP(A661,'Actual Dates'!A4:AE788,8,),'Actual Dates'!H16,"")</f>
        <v>45790</v>
      </c>
      <c r="H661" s="137">
        <f t="shared" si="74"/>
        <v>45905</v>
      </c>
      <c r="I661" s="137">
        <f>IF(VLOOKUP(A661,'Actual Dates'!A4:AE783,25,),'Actual Dates'!Z16,"")</f>
        <v>45911</v>
      </c>
      <c r="J661" s="137">
        <f t="shared" si="75"/>
        <v>45908</v>
      </c>
      <c r="K661" s="137">
        <f>IF(VLOOKUP(A661,'Actual Dates'!A4:AE811,26,),'Actual Dates'!AA16,"")</f>
        <v>45916</v>
      </c>
      <c r="L661" s="137">
        <f>IF(VLOOKUP(A661,'Actual Dates'!A4:AE811,21,),'Actual Dates'!T16,"")</f>
        <v>45902</v>
      </c>
      <c r="M661" s="137">
        <f>'Date Calcs'!AF21</f>
        <v>45814</v>
      </c>
      <c r="N661" s="137">
        <f>IF(VLOOKUP(A661,'Actual Dates'!A4:AE811,27,),'Actual Dates'!AD16,"")</f>
        <v>45918</v>
      </c>
      <c r="O661" s="138">
        <f t="shared" si="78"/>
        <v>225</v>
      </c>
      <c r="P661" s="139">
        <f t="shared" si="76"/>
        <v>-69</v>
      </c>
      <c r="Q661" s="139">
        <f t="shared" si="77"/>
        <v>-104</v>
      </c>
      <c r="R661" s="170"/>
      <c r="S661" s="170"/>
    </row>
    <row r="662" spans="1:19" x14ac:dyDescent="0.25">
      <c r="A662" s="134" t="str">
        <f>'Date Calcs'!A22</f>
        <v>25-027</v>
      </c>
      <c r="B662" s="135" t="str">
        <f>'Date Calcs'!B22</f>
        <v>Irving Tissue</v>
      </c>
      <c r="C662" s="136">
        <f>'Date Calcs'!C22</f>
        <v>45693</v>
      </c>
      <c r="D662" s="137">
        <f t="shared" si="73"/>
        <v>45720</v>
      </c>
      <c r="E662" s="143">
        <v>44685</v>
      </c>
      <c r="F662" s="137">
        <f>'Date Calcs'!H22</f>
        <v>45721</v>
      </c>
      <c r="G662" s="137">
        <f>IF(VLOOKUP(A662,'Actual Dates'!A4:AE789,8,),'Actual Dates'!H17,"")</f>
        <v>45700</v>
      </c>
      <c r="H662" s="137">
        <f t="shared" si="74"/>
        <v>45729</v>
      </c>
      <c r="I662" s="137">
        <f>IF(VLOOKUP(A662,'Actual Dates'!A4:AE784,25,),'Actual Dates'!Z17,"")</f>
        <v>45734</v>
      </c>
      <c r="J662" s="137">
        <f t="shared" si="75"/>
        <v>45730</v>
      </c>
      <c r="K662" s="137">
        <f>IF(VLOOKUP(A662,'Actual Dates'!A4:AE812,26,),'Actual Dates'!AA17,"")</f>
        <v>45728</v>
      </c>
      <c r="L662" s="137">
        <f>IF(VLOOKUP(A662,'Actual Dates'!A4:AE812,21,),'Actual Dates'!T17,"")</f>
        <v>45726</v>
      </c>
      <c r="M662" s="137">
        <f>'Date Calcs'!AF22</f>
        <v>45814</v>
      </c>
      <c r="N662" s="137">
        <f>IF(VLOOKUP(A662,'Actual Dates'!A4:AE812,27,),'Actual Dates'!AD17,"")</f>
        <v>45735</v>
      </c>
      <c r="O662" s="138">
        <f t="shared" si="78"/>
        <v>42</v>
      </c>
      <c r="P662" s="139">
        <f t="shared" si="76"/>
        <v>21</v>
      </c>
      <c r="Q662" s="139">
        <f t="shared" si="77"/>
        <v>79</v>
      </c>
      <c r="R662" s="170"/>
      <c r="S662" s="170"/>
    </row>
    <row r="663" spans="1:19" x14ac:dyDescent="0.25">
      <c r="A663" s="134" t="str">
        <f>'Date Calcs'!A23</f>
        <v>25-028</v>
      </c>
      <c r="B663" s="135" t="str">
        <f>'Date Calcs'!B23</f>
        <v>Irving Tissue</v>
      </c>
      <c r="C663" s="136">
        <f>'Date Calcs'!C23</f>
        <v>45693</v>
      </c>
      <c r="D663" s="137">
        <f t="shared" si="73"/>
        <v>45720</v>
      </c>
      <c r="E663" s="143">
        <v>44686</v>
      </c>
      <c r="F663" s="137">
        <f>'Date Calcs'!H23</f>
        <v>45721</v>
      </c>
      <c r="G663" s="137">
        <f>IF(VLOOKUP(A663,'Actual Dates'!A4:AE790,8,),'Actual Dates'!H18,"")</f>
        <v>45700</v>
      </c>
      <c r="H663" s="137">
        <f t="shared" si="74"/>
        <v>45729</v>
      </c>
      <c r="I663" s="137">
        <f>IF(VLOOKUP(A663,'Actual Dates'!A4:AE785,25,),'Actual Dates'!Z18,"")</f>
        <v>45734</v>
      </c>
      <c r="J663" s="137">
        <f t="shared" si="75"/>
        <v>45730</v>
      </c>
      <c r="K663" s="137">
        <f>IF(VLOOKUP(A663,'Actual Dates'!A4:AE813,26,),'Actual Dates'!AA18,"")</f>
        <v>45728</v>
      </c>
      <c r="L663" s="137">
        <f>IF(VLOOKUP(A663,'Actual Dates'!A4:AE813,21,),'Actual Dates'!T18,"")</f>
        <v>45726</v>
      </c>
      <c r="M663" s="137">
        <f>'Date Calcs'!AF23</f>
        <v>45814</v>
      </c>
      <c r="N663" s="137">
        <f>IF(VLOOKUP(A663,'Actual Dates'!A4:AE813,27,),'Actual Dates'!AD18,"")</f>
        <v>45735</v>
      </c>
      <c r="O663" s="138">
        <f t="shared" si="78"/>
        <v>42</v>
      </c>
      <c r="P663" s="139">
        <f t="shared" si="76"/>
        <v>21</v>
      </c>
      <c r="Q663" s="139">
        <f t="shared" si="77"/>
        <v>79</v>
      </c>
      <c r="R663" s="170"/>
      <c r="S663" s="170"/>
    </row>
    <row r="664" spans="1:19" x14ac:dyDescent="0.25">
      <c r="A664" s="134" t="str">
        <f>'Date Calcs'!A24</f>
        <v>25-029</v>
      </c>
      <c r="B664" s="135" t="str">
        <f>'Date Calcs'!B24</f>
        <v>Irving Tissue</v>
      </c>
      <c r="C664" s="136">
        <f>'Date Calcs'!C24</f>
        <v>45693</v>
      </c>
      <c r="D664" s="137">
        <f t="shared" ref="D664:D727" si="79">WORKDAY(F664,-1,)</f>
        <v>45720</v>
      </c>
      <c r="E664" s="143">
        <v>44687</v>
      </c>
      <c r="F664" s="137">
        <f>'Date Calcs'!H24</f>
        <v>45721</v>
      </c>
      <c r="G664" s="137">
        <f>IF(VLOOKUP(A664,'Actual Dates'!A4:AE791,8,),'Actual Dates'!H19,"")</f>
        <v>45714</v>
      </c>
      <c r="H664" s="137">
        <f t="shared" si="74"/>
        <v>45810</v>
      </c>
      <c r="I664" s="137">
        <f>IF(VLOOKUP(A664,'Actual Dates'!A4:AE786,25,),'Actual Dates'!Z19,"")</f>
        <v>45805</v>
      </c>
      <c r="J664" s="137">
        <f t="shared" si="75"/>
        <v>45811</v>
      </c>
      <c r="K664" s="137">
        <f>IF(VLOOKUP(A664,'Actual Dates'!A4:AE814,26,),'Actual Dates'!AA19,"")</f>
        <v>45811</v>
      </c>
      <c r="L664" s="137">
        <f>IF(VLOOKUP(A664,'Actual Dates'!A4:AE814,21,),'Actual Dates'!T19,"")</f>
        <v>45805</v>
      </c>
      <c r="M664" s="137">
        <f>'Date Calcs'!AF24</f>
        <v>45814</v>
      </c>
      <c r="N664" s="137">
        <f>IF(VLOOKUP(A664,'Actual Dates'!A4:AE814,27,),'Actual Dates'!AD19,"")</f>
        <v>45821</v>
      </c>
      <c r="O664" s="138">
        <f t="shared" si="78"/>
        <v>128</v>
      </c>
      <c r="P664" s="139">
        <f t="shared" si="76"/>
        <v>7</v>
      </c>
      <c r="Q664" s="139">
        <f t="shared" si="77"/>
        <v>-7</v>
      </c>
      <c r="R664" s="170"/>
      <c r="S664" s="170"/>
    </row>
    <row r="665" spans="1:19" x14ac:dyDescent="0.25">
      <c r="A665" s="134" t="str">
        <f>'Date Calcs'!A25</f>
        <v>25-030</v>
      </c>
      <c r="B665" s="135" t="str">
        <f>'Date Calcs'!B25</f>
        <v>Irving Tissue</v>
      </c>
      <c r="C665" s="136">
        <f>'Date Calcs'!C25</f>
        <v>45693</v>
      </c>
      <c r="D665" s="137">
        <f t="shared" si="79"/>
        <v>45720</v>
      </c>
      <c r="E665" s="143">
        <v>44688</v>
      </c>
      <c r="F665" s="137">
        <f>'Date Calcs'!H25</f>
        <v>45721</v>
      </c>
      <c r="G665" s="137">
        <f>IF(VLOOKUP(A665,'Actual Dates'!A4:AE792,8,),'Actual Dates'!H20,"")</f>
        <v>45714</v>
      </c>
      <c r="H665" s="137">
        <f t="shared" si="74"/>
        <v>45800</v>
      </c>
      <c r="I665" s="137">
        <f>IF(VLOOKUP(A665,'Actual Dates'!A4:AE787,25,),'Actual Dates'!Z20,"")</f>
        <v>45793</v>
      </c>
      <c r="J665" s="137">
        <f t="shared" si="75"/>
        <v>45803</v>
      </c>
      <c r="K665" s="137">
        <f>IF(VLOOKUP(A665,'Actual Dates'!A4:AE815,26,),'Actual Dates'!AA20,"")</f>
        <v>45810</v>
      </c>
      <c r="L665" s="137">
        <f>IF(VLOOKUP(A665,'Actual Dates'!A4:AE815,21,),'Actual Dates'!T20,"")</f>
        <v>45797</v>
      </c>
      <c r="M665" s="137">
        <f>'Date Calcs'!AF25</f>
        <v>45814</v>
      </c>
      <c r="N665" s="137">
        <f>IF(VLOOKUP(A665,'Actual Dates'!A4:AE815,27,),'Actual Dates'!AD20,"")</f>
        <v>45821</v>
      </c>
      <c r="O665" s="138">
        <f t="shared" si="78"/>
        <v>128</v>
      </c>
      <c r="P665" s="139">
        <f t="shared" si="76"/>
        <v>7</v>
      </c>
      <c r="Q665" s="139">
        <f t="shared" si="77"/>
        <v>-7</v>
      </c>
      <c r="R665" s="170"/>
      <c r="S665" s="170"/>
    </row>
    <row r="666" spans="1:19" x14ac:dyDescent="0.25">
      <c r="A666" s="134" t="str">
        <f>'Date Calcs'!A26</f>
        <v>25-031</v>
      </c>
      <c r="B666" s="135" t="str">
        <f>'Date Calcs'!B26</f>
        <v>Irving Tissue</v>
      </c>
      <c r="C666" s="136">
        <f>'Date Calcs'!C26</f>
        <v>45693</v>
      </c>
      <c r="D666" s="137">
        <f t="shared" si="79"/>
        <v>45720</v>
      </c>
      <c r="E666" s="143">
        <v>44689</v>
      </c>
      <c r="F666" s="137">
        <f>'Date Calcs'!H26</f>
        <v>45721</v>
      </c>
      <c r="G666" s="137">
        <f>IF(VLOOKUP(A666,'Actual Dates'!A4:AE793,8,),'Actual Dates'!H21,"")</f>
        <v>45714</v>
      </c>
      <c r="H666" s="137">
        <f t="shared" si="74"/>
        <v>45800</v>
      </c>
      <c r="I666" s="137">
        <f>IF(VLOOKUP(A666,'Actual Dates'!A4:AE788,25,),'Actual Dates'!Z21,"")</f>
        <v>45799</v>
      </c>
      <c r="J666" s="137">
        <f t="shared" si="75"/>
        <v>45803</v>
      </c>
      <c r="K666" s="137">
        <f>IF(VLOOKUP(A666,'Actual Dates'!A4:AE816,26,),'Actual Dates'!AA21,"")</f>
        <v>45811</v>
      </c>
      <c r="L666" s="137">
        <f>IF(VLOOKUP(A666,'Actual Dates'!A4:AE816,21,),'Actual Dates'!T21,"")</f>
        <v>45797</v>
      </c>
      <c r="M666" s="137">
        <f>'Date Calcs'!AF26</f>
        <v>45822</v>
      </c>
      <c r="N666" s="137">
        <f>IF(VLOOKUP(A666,'Actual Dates'!A4:AE816,27,),'Actual Dates'!AD21,"")</f>
        <v>45875</v>
      </c>
      <c r="O666" s="138">
        <f t="shared" si="78"/>
        <v>182</v>
      </c>
      <c r="P666" s="139">
        <f t="shared" si="76"/>
        <v>7</v>
      </c>
      <c r="Q666" s="139">
        <f t="shared" si="77"/>
        <v>-53</v>
      </c>
      <c r="R666" s="170"/>
      <c r="S666" s="170"/>
    </row>
    <row r="667" spans="1:19" x14ac:dyDescent="0.25">
      <c r="A667" s="134" t="str">
        <f>'Date Calcs'!A27</f>
        <v>25-032</v>
      </c>
      <c r="B667" s="135" t="str">
        <f>'Date Calcs'!B27</f>
        <v>Irving Tissue</v>
      </c>
      <c r="C667" s="136">
        <f>'Date Calcs'!C27</f>
        <v>45693</v>
      </c>
      <c r="D667" s="137">
        <f t="shared" si="79"/>
        <v>45720</v>
      </c>
      <c r="E667" s="143">
        <v>44690</v>
      </c>
      <c r="F667" s="137">
        <f>'Date Calcs'!H27</f>
        <v>45721</v>
      </c>
      <c r="G667" s="137">
        <f>IF(VLOOKUP(A667,'Actual Dates'!A4:AE794,8,),'Actual Dates'!H22,"")</f>
        <v>45719</v>
      </c>
      <c r="H667" s="137">
        <f t="shared" si="74"/>
        <v>45800</v>
      </c>
      <c r="I667" s="137">
        <f>IF(VLOOKUP(A667,'Actual Dates'!A4:AE789,25,),'Actual Dates'!Z22,"")</f>
        <v>45799</v>
      </c>
      <c r="J667" s="137">
        <f t="shared" si="75"/>
        <v>45803</v>
      </c>
      <c r="K667" s="137">
        <f>IF(VLOOKUP(A667,'Actual Dates'!A4:AE817,26,),'Actual Dates'!AA22,"")</f>
        <v>45811</v>
      </c>
      <c r="L667" s="137">
        <f>IF(VLOOKUP(A667,'Actual Dates'!A4:AE817,21,),'Actual Dates'!T22,"")</f>
        <v>45797</v>
      </c>
      <c r="M667" s="137">
        <f>'Date Calcs'!AF27</f>
        <v>45822</v>
      </c>
      <c r="N667" s="137">
        <f>IF(VLOOKUP(A667,'Actual Dates'!A4:AE817,27,),'Actual Dates'!AD22,"")</f>
        <v>45875</v>
      </c>
      <c r="O667" s="138">
        <f t="shared" si="78"/>
        <v>182</v>
      </c>
      <c r="P667" s="139">
        <f t="shared" si="76"/>
        <v>2</v>
      </c>
      <c r="Q667" s="139">
        <f t="shared" si="77"/>
        <v>-53</v>
      </c>
      <c r="R667" s="170"/>
      <c r="S667" s="170"/>
    </row>
    <row r="668" spans="1:19" x14ac:dyDescent="0.25">
      <c r="A668" s="134" t="str">
        <f>'Date Calcs'!A28</f>
        <v>25-033</v>
      </c>
      <c r="B668" s="135" t="str">
        <f>'Date Calcs'!B28</f>
        <v>Irving Tissue</v>
      </c>
      <c r="C668" s="136">
        <f>'Date Calcs'!C28</f>
        <v>45693</v>
      </c>
      <c r="D668" s="137">
        <f t="shared" si="79"/>
        <v>45720</v>
      </c>
      <c r="E668" s="143">
        <v>44691</v>
      </c>
      <c r="F668" s="137">
        <f>'Date Calcs'!H28</f>
        <v>45721</v>
      </c>
      <c r="G668" s="137">
        <f>IF(VLOOKUP(A668,'Actual Dates'!A4:AE795,8,),'Actual Dates'!H23,"")</f>
        <v>45719</v>
      </c>
      <c r="H668" s="137">
        <f t="shared" si="74"/>
        <v>45800</v>
      </c>
      <c r="I668" s="137">
        <f>IF(VLOOKUP(A668,'Actual Dates'!A4:AE790,25,),'Actual Dates'!Z23,"")</f>
        <v>45799</v>
      </c>
      <c r="J668" s="137">
        <f t="shared" si="75"/>
        <v>45803</v>
      </c>
      <c r="K668" s="137">
        <f>IF(VLOOKUP(A668,'Actual Dates'!A4:AE818,26,),'Actual Dates'!AA23,"")</f>
        <v>45817</v>
      </c>
      <c r="L668" s="137">
        <f>IF(VLOOKUP(A668,'Actual Dates'!A4:AE818,21,),'Actual Dates'!T23,"")</f>
        <v>45797</v>
      </c>
      <c r="M668" s="137">
        <f>'Date Calcs'!AF28</f>
        <v>45822</v>
      </c>
      <c r="N668" s="137">
        <f>IF(VLOOKUP(A668,'Actual Dates'!A4:AE818,27,),'Actual Dates'!AD23,"")</f>
        <v>45877</v>
      </c>
      <c r="O668" s="138">
        <f t="shared" si="78"/>
        <v>184</v>
      </c>
      <c r="P668" s="139">
        <f t="shared" si="76"/>
        <v>2</v>
      </c>
      <c r="Q668" s="139">
        <f t="shared" si="77"/>
        <v>-55</v>
      </c>
      <c r="R668" s="170"/>
      <c r="S668" s="170"/>
    </row>
    <row r="669" spans="1:19" x14ac:dyDescent="0.25">
      <c r="A669" s="134" t="str">
        <f>'Date Calcs'!A29</f>
        <v>25-034</v>
      </c>
      <c r="B669" s="135" t="str">
        <f>'Date Calcs'!B29</f>
        <v>Irving Tissue</v>
      </c>
      <c r="C669" s="136">
        <f>'Date Calcs'!C29</f>
        <v>45693</v>
      </c>
      <c r="D669" s="137">
        <f t="shared" si="79"/>
        <v>45720</v>
      </c>
      <c r="E669" s="143">
        <v>44692</v>
      </c>
      <c r="F669" s="137">
        <f>'Date Calcs'!H29</f>
        <v>45721</v>
      </c>
      <c r="G669" s="137">
        <f>IF(VLOOKUP(A669,'Actual Dates'!A4:AE796,8,),'Actual Dates'!H24,"")</f>
        <v>45721</v>
      </c>
      <c r="H669" s="137">
        <f t="shared" si="74"/>
        <v>45800</v>
      </c>
      <c r="I669" s="137">
        <f>IF(VLOOKUP(A669,'Actual Dates'!A4:AE791,25,),'Actual Dates'!Z24,"")</f>
        <v>45800</v>
      </c>
      <c r="J669" s="137">
        <f t="shared" si="75"/>
        <v>45803</v>
      </c>
      <c r="K669" s="137">
        <f>IF(VLOOKUP(A669,'Actual Dates'!A4:AE819,26,),'Actual Dates'!AA24,"")</f>
        <v>45817</v>
      </c>
      <c r="L669" s="137">
        <f>IF(VLOOKUP(A669,'Actual Dates'!A4:AE819,21,),'Actual Dates'!T24,"")</f>
        <v>45797</v>
      </c>
      <c r="M669" s="137">
        <f>'Date Calcs'!AF29</f>
        <v>45822</v>
      </c>
      <c r="N669" s="137">
        <f>IF(VLOOKUP(A669,'Actual Dates'!A4:AE819,27,),'Actual Dates'!AD24,"")</f>
        <v>45877</v>
      </c>
      <c r="O669" s="138">
        <f t="shared" si="78"/>
        <v>184</v>
      </c>
      <c r="P669" s="139">
        <f t="shared" si="76"/>
        <v>0</v>
      </c>
      <c r="Q669" s="139">
        <f t="shared" si="77"/>
        <v>-55</v>
      </c>
      <c r="R669" s="170"/>
      <c r="S669" s="170"/>
    </row>
    <row r="670" spans="1:19" x14ac:dyDescent="0.25">
      <c r="A670" s="134" t="str">
        <f>'Date Calcs'!A30</f>
        <v>25-035</v>
      </c>
      <c r="B670" s="135" t="str">
        <f>'Date Calcs'!B30</f>
        <v>Irving Tissue</v>
      </c>
      <c r="C670" s="136">
        <f>'Date Calcs'!C30</f>
        <v>45693</v>
      </c>
      <c r="D670" s="137">
        <f t="shared" si="79"/>
        <v>45720</v>
      </c>
      <c r="E670" s="143">
        <v>44693</v>
      </c>
      <c r="F670" s="137">
        <f>'Date Calcs'!H30</f>
        <v>45721</v>
      </c>
      <c r="G670" s="137">
        <f>IF(VLOOKUP(A670,'Actual Dates'!A4:AE797,8,),'Actual Dates'!H25,"")</f>
        <v>45715</v>
      </c>
      <c r="H670" s="137">
        <f t="shared" si="74"/>
        <v>45810</v>
      </c>
      <c r="I670" s="137">
        <f>IF(VLOOKUP(A670,'Actual Dates'!A4:AE792,25,),'Actual Dates'!Z25,"")</f>
        <v>45810</v>
      </c>
      <c r="J670" s="137">
        <f t="shared" si="75"/>
        <v>45811</v>
      </c>
      <c r="K670" s="137">
        <f>IF(VLOOKUP(A670,'Actual Dates'!A4:AE820,26,),'Actual Dates'!AA25,"")</f>
        <v>45820</v>
      </c>
      <c r="L670" s="137">
        <f>IF(VLOOKUP(A670,'Actual Dates'!A4:AE820,21,),'Actual Dates'!T25,"")</f>
        <v>45805</v>
      </c>
      <c r="M670" s="137">
        <f>'Date Calcs'!AF30</f>
        <v>45822</v>
      </c>
      <c r="N670" s="137">
        <f>IF(VLOOKUP(A670,'Actual Dates'!A4:AE820,27,),'Actual Dates'!AD25,"")</f>
        <v>45882</v>
      </c>
      <c r="O670" s="138">
        <f t="shared" si="78"/>
        <v>189</v>
      </c>
      <c r="P670" s="139">
        <f t="shared" si="76"/>
        <v>6</v>
      </c>
      <c r="Q670" s="139">
        <f t="shared" si="77"/>
        <v>-60</v>
      </c>
      <c r="R670" s="170"/>
      <c r="S670" s="170"/>
    </row>
    <row r="671" spans="1:19" x14ac:dyDescent="0.25">
      <c r="A671" s="134" t="str">
        <f>'Date Calcs'!A31</f>
        <v>25-036</v>
      </c>
      <c r="B671" s="135" t="str">
        <f>'Date Calcs'!B31</f>
        <v>Irving Tissue</v>
      </c>
      <c r="C671" s="136">
        <f>'Date Calcs'!C31</f>
        <v>45693</v>
      </c>
      <c r="D671" s="137">
        <f t="shared" si="79"/>
        <v>45720</v>
      </c>
      <c r="E671" s="143">
        <v>44694</v>
      </c>
      <c r="F671" s="137">
        <f>'Date Calcs'!H31</f>
        <v>45721</v>
      </c>
      <c r="G671" s="137">
        <f>IF(VLOOKUP(A671,'Actual Dates'!A4:AE798,8,),'Actual Dates'!H26,"")</f>
        <v>45715</v>
      </c>
      <c r="H671" s="137">
        <f t="shared" si="74"/>
        <v>45810</v>
      </c>
      <c r="I671" s="137">
        <f>IF(VLOOKUP(A671,'Actual Dates'!A4:AE793,25,),'Actual Dates'!Z26,"")</f>
        <v>45810</v>
      </c>
      <c r="J671" s="137">
        <f t="shared" si="75"/>
        <v>45811</v>
      </c>
      <c r="K671" s="137">
        <f>IF(VLOOKUP(A671,'Actual Dates'!A4:AE821,26,),'Actual Dates'!AA26,"")</f>
        <v>45820</v>
      </c>
      <c r="L671" s="137">
        <f>IF(VLOOKUP(A671,'Actual Dates'!A4:AE821,21,),'Actual Dates'!T26,"")</f>
        <v>45805</v>
      </c>
      <c r="M671" s="137">
        <f>'Date Calcs'!AF31</f>
        <v>45822</v>
      </c>
      <c r="N671" s="137">
        <f>IF(VLOOKUP(A671,'Actual Dates'!A4:AE821,27,),'Actual Dates'!AD26,"")</f>
        <v>45884</v>
      </c>
      <c r="O671" s="138">
        <f t="shared" si="78"/>
        <v>191</v>
      </c>
      <c r="P671" s="139">
        <f t="shared" si="76"/>
        <v>6</v>
      </c>
      <c r="Q671" s="139">
        <f t="shared" si="77"/>
        <v>-62</v>
      </c>
      <c r="R671" s="170"/>
      <c r="S671" s="170"/>
    </row>
    <row r="672" spans="1:19" x14ac:dyDescent="0.25">
      <c r="A672" s="134" t="str">
        <f>'Date Calcs'!A32</f>
        <v>25-037</v>
      </c>
      <c r="B672" s="135" t="str">
        <f>'Date Calcs'!B32</f>
        <v>Irving Tissue</v>
      </c>
      <c r="C672" s="136">
        <f>'Date Calcs'!C32</f>
        <v>45693</v>
      </c>
      <c r="D672" s="137">
        <f t="shared" si="79"/>
        <v>45720</v>
      </c>
      <c r="E672" s="143">
        <v>44695</v>
      </c>
      <c r="F672" s="137">
        <f>'Date Calcs'!H32</f>
        <v>45721</v>
      </c>
      <c r="G672" s="137">
        <f>IF(VLOOKUP(A672,'Actual Dates'!A4:AE799,8,),'Actual Dates'!H27,"")</f>
        <v>45721</v>
      </c>
      <c r="H672" s="137">
        <f t="shared" si="74"/>
        <v>45810</v>
      </c>
      <c r="I672" s="137">
        <f>IF(VLOOKUP(A672,'Actual Dates'!A4:AE794,25,),'Actual Dates'!Z27,"")</f>
        <v>45812</v>
      </c>
      <c r="J672" s="137">
        <f t="shared" si="75"/>
        <v>45811</v>
      </c>
      <c r="K672" s="137">
        <f>IF(VLOOKUP(A672,'Actual Dates'!A4:AE822,26,),'Actual Dates'!AA27,"")</f>
        <v>45824</v>
      </c>
      <c r="L672" s="137">
        <f>IF(VLOOKUP(A672,'Actual Dates'!A4:AE822,21,),'Actual Dates'!T27,"")</f>
        <v>45805</v>
      </c>
      <c r="M672" s="137">
        <f>'Date Calcs'!AF32</f>
        <v>45822</v>
      </c>
      <c r="N672" s="137">
        <f>IF(VLOOKUP(A672,'Actual Dates'!A4:AE822,27,),'Actual Dates'!AD27,"")</f>
        <v>45889</v>
      </c>
      <c r="O672" s="138">
        <f t="shared" si="78"/>
        <v>196</v>
      </c>
      <c r="P672" s="139">
        <f t="shared" si="76"/>
        <v>0</v>
      </c>
      <c r="Q672" s="139">
        <f t="shared" si="77"/>
        <v>-67</v>
      </c>
      <c r="R672" s="170"/>
      <c r="S672" s="170"/>
    </row>
    <row r="673" spans="1:19" x14ac:dyDescent="0.25">
      <c r="A673" s="134" t="str">
        <f>'Date Calcs'!A33</f>
        <v>25-039</v>
      </c>
      <c r="B673" s="135" t="str">
        <f>'Date Calcs'!B33</f>
        <v>Zachry</v>
      </c>
      <c r="C673" s="136">
        <f>'Date Calcs'!C33</f>
        <v>45714</v>
      </c>
      <c r="D673" s="137">
        <f t="shared" si="79"/>
        <v>45734</v>
      </c>
      <c r="E673" s="143">
        <v>44696</v>
      </c>
      <c r="F673" s="137">
        <f>'Date Calcs'!H33</f>
        <v>45735</v>
      </c>
      <c r="G673" s="137">
        <f>IF(VLOOKUP(A673,'Actual Dates'!A4:AE800,8,),'Actual Dates'!H28,"")</f>
        <v>45714</v>
      </c>
      <c r="H673" s="137">
        <f t="shared" si="74"/>
        <v>45810</v>
      </c>
      <c r="I673" s="137">
        <f>IF(VLOOKUP(A673,'Actual Dates'!A4:AE795,25,),'Actual Dates'!Z28,"")</f>
        <v>45814</v>
      </c>
      <c r="J673" s="137">
        <f t="shared" si="75"/>
        <v>45811</v>
      </c>
      <c r="K673" s="137">
        <f>IF(VLOOKUP(A673,'Actual Dates'!A4:AE823,26,),'Actual Dates'!AA28,"")</f>
        <v>45824</v>
      </c>
      <c r="L673" s="137">
        <f>IF(VLOOKUP(A673,'Actual Dates'!A4:AE823,21,),'Actual Dates'!T28,"")</f>
        <v>45805</v>
      </c>
      <c r="M673" s="137">
        <f>'Date Calcs'!AF33</f>
        <v>45802</v>
      </c>
      <c r="N673" s="137">
        <f>IF(VLOOKUP(A673,'Actual Dates'!A4:AE823,27,),'Actual Dates'!AD28,"")</f>
        <v>45840</v>
      </c>
      <c r="O673" s="138">
        <f t="shared" si="78"/>
        <v>126</v>
      </c>
      <c r="P673" s="139">
        <f t="shared" si="76"/>
        <v>21</v>
      </c>
      <c r="Q673" s="139">
        <f t="shared" si="77"/>
        <v>-38</v>
      </c>
      <c r="R673" s="170"/>
      <c r="S673" s="170"/>
    </row>
    <row r="674" spans="1:19" x14ac:dyDescent="0.25">
      <c r="A674" s="134" t="str">
        <f>'Date Calcs'!A34</f>
        <v>25-040</v>
      </c>
      <c r="B674" s="135" t="str">
        <f>'Date Calcs'!B34</f>
        <v>NAK Kiln</v>
      </c>
      <c r="C674" s="136">
        <f>'Date Calcs'!C34</f>
        <v>45721</v>
      </c>
      <c r="D674" s="137">
        <f t="shared" si="79"/>
        <v>45734</v>
      </c>
      <c r="E674" s="143">
        <v>44697</v>
      </c>
      <c r="F674" s="137">
        <f>'Date Calcs'!H34</f>
        <v>45735</v>
      </c>
      <c r="G674" s="137">
        <f>IF(VLOOKUP(A674,'Actual Dates'!A4:AE801,8,),'Actual Dates'!H29,"")</f>
        <v>45721</v>
      </c>
      <c r="H674" s="137">
        <f t="shared" si="74"/>
        <v>45810</v>
      </c>
      <c r="I674" s="137">
        <f>IF(VLOOKUP(A674,'Actual Dates'!A4:AE796,25,),'Actual Dates'!Z29,"")</f>
        <v>45813</v>
      </c>
      <c r="J674" s="137">
        <f t="shared" si="75"/>
        <v>45811</v>
      </c>
      <c r="K674" s="137">
        <f>IF(VLOOKUP(A674,'Actual Dates'!A4:AE824,26,),'Actual Dates'!AA29,"")</f>
        <v>45824</v>
      </c>
      <c r="L674" s="137">
        <f>IF(VLOOKUP(A674,'Actual Dates'!A4:AE824,21,),'Actual Dates'!T29,"")</f>
        <v>45805</v>
      </c>
      <c r="M674" s="137">
        <f>'Date Calcs'!AF34</f>
        <v>45737</v>
      </c>
      <c r="N674" s="137">
        <f>IF(VLOOKUP(A674,'Actual Dates'!A4:AE824,27,),'Actual Dates'!AD29,"")</f>
        <v>45840</v>
      </c>
      <c r="O674" s="138">
        <f t="shared" si="78"/>
        <v>119</v>
      </c>
      <c r="P674" s="139">
        <f t="shared" si="76"/>
        <v>14</v>
      </c>
      <c r="Q674" s="139">
        <f t="shared" si="77"/>
        <v>-103</v>
      </c>
      <c r="R674" s="170"/>
      <c r="S674" s="170"/>
    </row>
    <row r="675" spans="1:19" x14ac:dyDescent="0.25">
      <c r="A675" s="134" t="str">
        <f>'Date Calcs'!A35</f>
        <v>25-042</v>
      </c>
      <c r="B675" s="135" t="str">
        <f>'Date Calcs'!B35</f>
        <v>Andritz</v>
      </c>
      <c r="C675" s="136">
        <f>'Date Calcs'!C35</f>
        <v>45735</v>
      </c>
      <c r="D675" s="137">
        <f t="shared" si="79"/>
        <v>45755</v>
      </c>
      <c r="E675" s="143">
        <v>44698</v>
      </c>
      <c r="F675" s="137">
        <f>'Date Calcs'!H35</f>
        <v>45756</v>
      </c>
      <c r="G675" s="137">
        <f>IF(VLOOKUP(A675,'Actual Dates'!A4:AE802,8,),'Actual Dates'!H30,"")</f>
        <v>45714</v>
      </c>
      <c r="H675" s="137">
        <f t="shared" si="74"/>
        <v>45810</v>
      </c>
      <c r="I675" s="137">
        <f>IF(VLOOKUP(A675,'Actual Dates'!A4:AE797,25,),'Actual Dates'!Z30,"")</f>
        <v>45814</v>
      </c>
      <c r="J675" s="137">
        <f t="shared" si="75"/>
        <v>45811</v>
      </c>
      <c r="K675" s="137">
        <f>IF(VLOOKUP(A675,'Actual Dates'!A4:AE825,26,),'Actual Dates'!AA30,"")</f>
        <v>45824</v>
      </c>
      <c r="L675" s="137">
        <f>IF(VLOOKUP(A675,'Actual Dates'!A4:AE825,21,),'Actual Dates'!T30,"")</f>
        <v>45805</v>
      </c>
      <c r="M675" s="137">
        <f>'Date Calcs'!AF35</f>
        <v>45820</v>
      </c>
      <c r="N675" s="137">
        <f>IF(VLOOKUP(A675,'Actual Dates'!A4:AE825,27,),'Actual Dates'!AD30,"")</f>
        <v>45840</v>
      </c>
      <c r="O675" s="138">
        <f t="shared" si="78"/>
        <v>105</v>
      </c>
      <c r="P675" s="139">
        <f t="shared" si="76"/>
        <v>42</v>
      </c>
      <c r="Q675" s="139">
        <f t="shared" si="77"/>
        <v>-20</v>
      </c>
      <c r="R675" s="170"/>
      <c r="S675" s="170"/>
    </row>
    <row r="676" spans="1:19" x14ac:dyDescent="0.25">
      <c r="A676" s="134" t="str">
        <f>'Date Calcs'!A36</f>
        <v>25-044</v>
      </c>
      <c r="B676" s="135" t="str">
        <f>'Date Calcs'!B36</f>
        <v>Noah Industrial</v>
      </c>
      <c r="C676" s="136">
        <f>'Date Calcs'!C36</f>
        <v>45748</v>
      </c>
      <c r="D676" s="137">
        <f t="shared" si="79"/>
        <v>45775</v>
      </c>
      <c r="E676" s="143">
        <v>44699</v>
      </c>
      <c r="F676" s="137">
        <f>'Date Calcs'!H36</f>
        <v>45776</v>
      </c>
      <c r="G676" s="137">
        <f>IF(VLOOKUP(A676,'Actual Dates'!A4:AE803,8,),'Actual Dates'!H31,"")</f>
        <v>45716</v>
      </c>
      <c r="H676" s="137">
        <f t="shared" si="74"/>
        <v>45810</v>
      </c>
      <c r="I676" s="137">
        <f>IF(VLOOKUP(A676,'Actual Dates'!A4:AE798,25,),'Actual Dates'!Z31,"")</f>
        <v>45806</v>
      </c>
      <c r="J676" s="137">
        <f t="shared" si="75"/>
        <v>45811</v>
      </c>
      <c r="K676" s="137">
        <f>IF(VLOOKUP(A676,'Actual Dates'!A4:AE826,26,),'Actual Dates'!AA31,"")</f>
        <v>45824</v>
      </c>
      <c r="L676" s="137">
        <f>IF(VLOOKUP(A676,'Actual Dates'!A4:AE826,21,),'Actual Dates'!T31,"")</f>
        <v>45805</v>
      </c>
      <c r="M676" s="137">
        <f>'Date Calcs'!AF36</f>
        <v>45830</v>
      </c>
      <c r="N676" s="137">
        <f>IF(VLOOKUP(A676,'Actual Dates'!A4:AE826,27,),'Actual Dates'!AD31,"")</f>
        <v>45826</v>
      </c>
      <c r="O676" s="138">
        <f t="shared" si="78"/>
        <v>78</v>
      </c>
      <c r="P676" s="139">
        <f t="shared" si="76"/>
        <v>60</v>
      </c>
      <c r="Q676" s="139">
        <f t="shared" si="77"/>
        <v>4</v>
      </c>
      <c r="R676" s="170"/>
      <c r="S676" s="170"/>
    </row>
    <row r="677" spans="1:19" x14ac:dyDescent="0.25">
      <c r="A677" s="134" t="str">
        <f>'Date Calcs'!A37</f>
        <v>25-045</v>
      </c>
      <c r="B677" s="135" t="str">
        <f>'Date Calcs'!B37</f>
        <v>ProPipe</v>
      </c>
      <c r="C677" s="136">
        <f>'Date Calcs'!C37</f>
        <v>45752</v>
      </c>
      <c r="D677" s="137">
        <f t="shared" si="79"/>
        <v>45758</v>
      </c>
      <c r="E677" s="143">
        <v>44700</v>
      </c>
      <c r="F677" s="137">
        <f>'Date Calcs'!H37</f>
        <v>45759</v>
      </c>
      <c r="G677" s="137">
        <f>IF(VLOOKUP(A677,'Actual Dates'!A4:AE804,8,),'Actual Dates'!H32,"")</f>
        <v>45736</v>
      </c>
      <c r="H677" s="137" t="e">
        <f t="shared" si="74"/>
        <v>#VALUE!</v>
      </c>
      <c r="I677" s="137" t="str">
        <f>IF(VLOOKUP(A677,'Actual Dates'!A4:AE799,25,),'Actual Dates'!Z32,"")</f>
        <v/>
      </c>
      <c r="J677" s="137" t="e">
        <f t="shared" si="75"/>
        <v>#VALUE!</v>
      </c>
      <c r="K677" s="137" t="e">
        <f>IF(VLOOKUP(A677,'Actual Dates'!A4:AE827,26,),'Actual Dates'!AA32,"")</f>
        <v>#VALUE!</v>
      </c>
      <c r="L677" s="137" t="str">
        <f>IF(VLOOKUP(A677,'Actual Dates'!A4:AE827,21,),'Actual Dates'!T32,"")</f>
        <v/>
      </c>
      <c r="M677" s="137">
        <f>'Date Calcs'!AF37</f>
        <v>46046</v>
      </c>
      <c r="N677" s="137" t="str">
        <f>IF(VLOOKUP(A677,'Actual Dates'!A4:AE827,27,),'Actual Dates'!AD32,"")</f>
        <v/>
      </c>
      <c r="O677" s="138" t="e">
        <f t="shared" si="78"/>
        <v>#VALUE!</v>
      </c>
      <c r="P677" s="139">
        <f t="shared" si="76"/>
        <v>23</v>
      </c>
      <c r="Q677" s="139" t="e">
        <f t="shared" si="77"/>
        <v>#VALUE!</v>
      </c>
      <c r="R677" s="170"/>
      <c r="S677" s="170"/>
    </row>
    <row r="678" spans="1:19" x14ac:dyDescent="0.25">
      <c r="A678" s="134" t="str">
        <f>'Date Calcs'!A38</f>
        <v>25-052</v>
      </c>
      <c r="B678" s="135" t="str">
        <f>'Date Calcs'!B38</f>
        <v>Kraton</v>
      </c>
      <c r="C678" s="136">
        <f>'Date Calcs'!C38</f>
        <v>45796</v>
      </c>
      <c r="D678" s="137">
        <f t="shared" si="79"/>
        <v>45814</v>
      </c>
      <c r="E678" s="143">
        <v>44701</v>
      </c>
      <c r="F678" s="137">
        <f>'Date Calcs'!H38</f>
        <v>45817</v>
      </c>
      <c r="G678" s="137">
        <f>IF(VLOOKUP(A678,'Actual Dates'!A4:AE805,8,),'Actual Dates'!H33,"")</f>
        <v>45706</v>
      </c>
      <c r="H678" s="137">
        <f t="shared" si="74"/>
        <v>45734</v>
      </c>
      <c r="I678" s="137">
        <f>IF(VLOOKUP(A678,'Actual Dates'!A4:AE800,25,),'Actual Dates'!Z33,"")</f>
        <v>45916</v>
      </c>
      <c r="J678" s="137">
        <f t="shared" si="75"/>
        <v>45735</v>
      </c>
      <c r="K678" s="137">
        <f>IF(VLOOKUP(A678,'Actual Dates'!A4:AE828,26,),'Actual Dates'!AA33,"")</f>
        <v>45916</v>
      </c>
      <c r="L678" s="137">
        <f>IF(VLOOKUP(A678,'Actual Dates'!A4:AE828,21,),'Actual Dates'!T33,"")</f>
        <v>45729</v>
      </c>
      <c r="M678" s="137">
        <f>'Date Calcs'!AF38</f>
        <v>45884</v>
      </c>
      <c r="N678" s="137">
        <f>IF(VLOOKUP(A678,'Actual Dates'!A4:AE828,27,),'Actual Dates'!AD33,"")</f>
        <v>45917</v>
      </c>
      <c r="O678" s="138">
        <f t="shared" si="78"/>
        <v>121</v>
      </c>
      <c r="P678" s="139">
        <f t="shared" si="76"/>
        <v>111</v>
      </c>
      <c r="Q678" s="139">
        <f t="shared" si="77"/>
        <v>-33</v>
      </c>
      <c r="R678" s="170"/>
      <c r="S678" s="170"/>
    </row>
    <row r="679" spans="1:19" x14ac:dyDescent="0.25">
      <c r="A679" s="134" t="str">
        <f>'Date Calcs'!A39</f>
        <v>25-053</v>
      </c>
      <c r="B679" s="135" t="str">
        <f>'Date Calcs'!B39</f>
        <v>Andritz</v>
      </c>
      <c r="C679" s="136">
        <f>'Date Calcs'!C39</f>
        <v>45810</v>
      </c>
      <c r="D679" s="137">
        <f t="shared" si="79"/>
        <v>46024</v>
      </c>
      <c r="E679" s="143">
        <v>44702</v>
      </c>
      <c r="F679" s="137">
        <f>'Date Calcs'!H39</f>
        <v>46027</v>
      </c>
      <c r="G679" s="137" t="str">
        <f>IF(VLOOKUP(A679,'Actual Dates'!A4:AE806,8,),'Actual Dates'!H34,"")</f>
        <v/>
      </c>
      <c r="H679" s="137" t="e">
        <f t="shared" si="74"/>
        <v>#VALUE!</v>
      </c>
      <c r="I679" s="137">
        <f>IF(VLOOKUP(A679,'Actual Dates'!A4:AE801,25,),'Actual Dates'!Z34,"")</f>
        <v>45806</v>
      </c>
      <c r="J679" s="137" t="e">
        <f t="shared" si="75"/>
        <v>#VALUE!</v>
      </c>
      <c r="K679" s="137">
        <f>IF(VLOOKUP(A679,'Actual Dates'!A4:AE829,26,),'Actual Dates'!AA34,"")</f>
        <v>45828</v>
      </c>
      <c r="L679" s="137" t="str">
        <f>IF(VLOOKUP(A679,'Actual Dates'!A4:AE829,21,),'Actual Dates'!T34,"")</f>
        <v/>
      </c>
      <c r="M679" s="137">
        <f>'Date Calcs'!AF39</f>
        <v>46177</v>
      </c>
      <c r="N679" s="137">
        <f>IF(VLOOKUP(A679,'Actual Dates'!A4:AE829,27,),'Actual Dates'!AD34,"")</f>
        <v>45839</v>
      </c>
      <c r="O679" s="138">
        <f t="shared" si="78"/>
        <v>29</v>
      </c>
      <c r="P679" s="139" t="e">
        <f t="shared" si="76"/>
        <v>#VALUE!</v>
      </c>
      <c r="Q679" s="139">
        <f t="shared" si="77"/>
        <v>338</v>
      </c>
      <c r="R679" s="170"/>
      <c r="S679" s="170"/>
    </row>
    <row r="680" spans="1:19" x14ac:dyDescent="0.25">
      <c r="A680" s="134" t="str">
        <f>'Date Calcs'!A40</f>
        <v>25-054</v>
      </c>
      <c r="B680" s="135" t="str">
        <f>'Date Calcs'!B40</f>
        <v>Chromascape</v>
      </c>
      <c r="C680" s="136">
        <f>'Date Calcs'!C40</f>
        <v>45811</v>
      </c>
      <c r="D680" s="137">
        <f t="shared" si="79"/>
        <v>45838</v>
      </c>
      <c r="E680" s="143">
        <v>44703</v>
      </c>
      <c r="F680" s="137">
        <f>'Date Calcs'!H40</f>
        <v>45839</v>
      </c>
      <c r="G680" s="137">
        <f>IF(VLOOKUP(A680,'Actual Dates'!A4:AE807,8,),'Actual Dates'!H35,"")</f>
        <v>45791</v>
      </c>
      <c r="H680" s="137">
        <f t="shared" si="74"/>
        <v>45812</v>
      </c>
      <c r="I680" s="137">
        <f>IF(VLOOKUP(A680,'Actual Dates'!A4:AE802,25,),'Actual Dates'!Z35,"")</f>
        <v>45825</v>
      </c>
      <c r="J680" s="137">
        <f t="shared" si="75"/>
        <v>45813</v>
      </c>
      <c r="K680" s="137">
        <f>IF(VLOOKUP(A680,'Actual Dates'!A4:AE830,26,),'Actual Dates'!AA35,"")</f>
        <v>45826</v>
      </c>
      <c r="L680" s="137">
        <f>IF(VLOOKUP(A680,'Actual Dates'!A4:AE830,21,),'Actual Dates'!T35,"")</f>
        <v>45807</v>
      </c>
      <c r="M680" s="137">
        <f>'Date Calcs'!AF40</f>
        <v>45872</v>
      </c>
      <c r="N680" s="137">
        <f>IF(VLOOKUP(A680,'Actual Dates'!A4:AE830,27,),'Actual Dates'!AD35,"")</f>
        <v>45833</v>
      </c>
      <c r="O680" s="138">
        <f t="shared" si="78"/>
        <v>22</v>
      </c>
      <c r="P680" s="139">
        <f t="shared" si="76"/>
        <v>48</v>
      </c>
      <c r="Q680" s="139">
        <f t="shared" si="77"/>
        <v>39</v>
      </c>
      <c r="R680" s="170"/>
      <c r="S680" s="170"/>
    </row>
    <row r="681" spans="1:19" x14ac:dyDescent="0.25">
      <c r="A681" s="134" t="str">
        <f>'Date Calcs'!A41</f>
        <v>25-055</v>
      </c>
      <c r="B681" s="135" t="str">
        <f>'Date Calcs'!B41</f>
        <v>Airgas</v>
      </c>
      <c r="C681" s="136">
        <f>'Date Calcs'!C41</f>
        <v>45820</v>
      </c>
      <c r="D681" s="137">
        <f t="shared" si="79"/>
        <v>45931</v>
      </c>
      <c r="E681" s="143">
        <v>44704</v>
      </c>
      <c r="F681" s="137">
        <f>'Date Calcs'!H41</f>
        <v>45932</v>
      </c>
      <c r="G681" s="137">
        <f>IF(VLOOKUP(A681,'Actual Dates'!A4:AE808,8,),'Actual Dates'!H36,"")</f>
        <v>46022</v>
      </c>
      <c r="H681" s="137">
        <f t="shared" si="74"/>
        <v>4</v>
      </c>
      <c r="I681" s="137" t="str">
        <f>IF(VLOOKUP(A681,'Actual Dates'!A4:AE803,25,),'Actual Dates'!Z36,"")</f>
        <v/>
      </c>
      <c r="J681" s="137">
        <f t="shared" si="75"/>
        <v>5</v>
      </c>
      <c r="K681" s="137">
        <f>IF(VLOOKUP(A681,'Actual Dates'!A4:AE831,26,),'Actual Dates'!AA36,"")</f>
        <v>0</v>
      </c>
      <c r="L681" s="137">
        <f>IF(VLOOKUP(A681,'Actual Dates'!A4:AE831,21,),'Actual Dates'!T36,"")</f>
        <v>0</v>
      </c>
      <c r="M681" s="137">
        <f>'Date Calcs'!AF41</f>
        <v>46025</v>
      </c>
      <c r="N681" s="137">
        <f>IF(VLOOKUP(A681,'Actual Dates'!A4:AE831,27,),'Actual Dates'!AD36,"")</f>
        <v>0</v>
      </c>
      <c r="O681" s="138">
        <f t="shared" si="78"/>
        <v>-45820</v>
      </c>
      <c r="P681" s="139">
        <f t="shared" si="76"/>
        <v>-90</v>
      </c>
      <c r="Q681" s="139">
        <f t="shared" si="77"/>
        <v>46025</v>
      </c>
      <c r="R681" s="170"/>
      <c r="S681" s="170"/>
    </row>
    <row r="682" spans="1:19" x14ac:dyDescent="0.25">
      <c r="A682" s="134" t="str">
        <f>'Date Calcs'!A42</f>
        <v>25-056</v>
      </c>
      <c r="B682" s="135" t="str">
        <f>'Date Calcs'!B42</f>
        <v>Reco</v>
      </c>
      <c r="C682" s="136">
        <f>'Date Calcs'!C42</f>
        <v>45821</v>
      </c>
      <c r="D682" s="137">
        <f t="shared" si="79"/>
        <v>45841</v>
      </c>
      <c r="E682" s="143">
        <v>44705</v>
      </c>
      <c r="F682" s="137">
        <f>'Date Calcs'!H42</f>
        <v>45842</v>
      </c>
      <c r="G682" s="137">
        <f>IF(VLOOKUP(A682,'Actual Dates'!A4:AE809,8,),'Actual Dates'!H37,"")</f>
        <v>45819</v>
      </c>
      <c r="H682" s="137">
        <f t="shared" si="74"/>
        <v>45870</v>
      </c>
      <c r="I682" s="137">
        <f>IF(VLOOKUP(A682,'Actual Dates'!A4:AE804,25,),'Actual Dates'!Z37,"")</f>
        <v>45912</v>
      </c>
      <c r="J682" s="137">
        <f t="shared" si="75"/>
        <v>45873</v>
      </c>
      <c r="K682" s="137">
        <f>IF(VLOOKUP(A682,'Actual Dates'!A4:AE832,26,),'Actual Dates'!AA37,"")</f>
        <v>45917</v>
      </c>
      <c r="L682" s="137">
        <f>IF(VLOOKUP(A682,'Actual Dates'!A4:AE832,21,),'Actual Dates'!T37,"")</f>
        <v>45867</v>
      </c>
      <c r="M682" s="137">
        <f>'Date Calcs'!AF42</f>
        <v>45890</v>
      </c>
      <c r="N682" s="137">
        <f>IF(VLOOKUP(A682,'Actual Dates'!A4:AE832,27,),'Actual Dates'!AD37,"")</f>
        <v>45923</v>
      </c>
      <c r="O682" s="138">
        <f t="shared" si="78"/>
        <v>102</v>
      </c>
      <c r="P682" s="139">
        <f t="shared" si="76"/>
        <v>23</v>
      </c>
      <c r="Q682" s="139">
        <f t="shared" si="77"/>
        <v>-33</v>
      </c>
      <c r="R682" s="170"/>
      <c r="S682" s="170"/>
    </row>
    <row r="683" spans="1:19" x14ac:dyDescent="0.25">
      <c r="A683" s="134" t="str">
        <f>'Date Calcs'!A43</f>
        <v>25-057</v>
      </c>
      <c r="B683" s="135" t="str">
        <f>'Date Calcs'!B43</f>
        <v>Reco</v>
      </c>
      <c r="C683" s="136">
        <f>'Date Calcs'!C43</f>
        <v>45821</v>
      </c>
      <c r="D683" s="137">
        <f t="shared" si="79"/>
        <v>45841</v>
      </c>
      <c r="E683" s="143">
        <v>44706</v>
      </c>
      <c r="F683" s="137">
        <f>'Date Calcs'!H43</f>
        <v>45842</v>
      </c>
      <c r="G683" s="137">
        <f>IF(VLOOKUP(A683,'Actual Dates'!A4:AE810,8,),'Actual Dates'!H38,"")</f>
        <v>0</v>
      </c>
      <c r="H683" s="137">
        <f t="shared" si="74"/>
        <v>4</v>
      </c>
      <c r="I683" s="137">
        <f>IF(VLOOKUP(A683,'Actual Dates'!A4:AE805,25,),'Actual Dates'!Z38,"")</f>
        <v>45894</v>
      </c>
      <c r="J683" s="137">
        <f t="shared" si="75"/>
        <v>5</v>
      </c>
      <c r="K683" s="137">
        <f>IF(VLOOKUP(A683,'Actual Dates'!A4:AE833,26,),'Actual Dates'!AA38,"")</f>
        <v>45897</v>
      </c>
      <c r="L683" s="137">
        <f>IF(VLOOKUP(A683,'Actual Dates'!A4:AE833,21,),'Actual Dates'!T38,"")</f>
        <v>0</v>
      </c>
      <c r="M683" s="137">
        <f>'Date Calcs'!AF43</f>
        <v>45890</v>
      </c>
      <c r="N683" s="137">
        <f>IF(VLOOKUP(A683,'Actual Dates'!A4:AE833,27,),'Actual Dates'!AD38,"")</f>
        <v>45897</v>
      </c>
      <c r="O683" s="138">
        <f t="shared" si="78"/>
        <v>76</v>
      </c>
      <c r="P683" s="139">
        <f t="shared" si="76"/>
        <v>45842</v>
      </c>
      <c r="Q683" s="139">
        <f t="shared" si="77"/>
        <v>-7</v>
      </c>
      <c r="R683" s="170"/>
      <c r="S683" s="170"/>
    </row>
    <row r="684" spans="1:19" x14ac:dyDescent="0.25">
      <c r="A684" s="134" t="str">
        <f>'Date Calcs'!A44</f>
        <v>25-058</v>
      </c>
      <c r="B684" s="135" t="str">
        <f>'Date Calcs'!B44</f>
        <v>Reco</v>
      </c>
      <c r="C684" s="136">
        <f>'Date Calcs'!C44</f>
        <v>45821</v>
      </c>
      <c r="D684" s="137">
        <f t="shared" si="79"/>
        <v>45841</v>
      </c>
      <c r="E684" s="143">
        <v>44707</v>
      </c>
      <c r="F684" s="137">
        <f>'Date Calcs'!H44</f>
        <v>45842</v>
      </c>
      <c r="G684" s="137">
        <f>IF(VLOOKUP(A684,'Actual Dates'!A4:AE811,8,),'Actual Dates'!H39,"")</f>
        <v>45835</v>
      </c>
      <c r="H684" s="137">
        <f t="shared" si="74"/>
        <v>45860</v>
      </c>
      <c r="I684" s="137">
        <f>IF(VLOOKUP(A684,'Actual Dates'!A4:AE806,25,),'Actual Dates'!Z39,"")</f>
        <v>45868</v>
      </c>
      <c r="J684" s="137">
        <f t="shared" si="75"/>
        <v>45861</v>
      </c>
      <c r="K684" s="137">
        <f>IF(VLOOKUP(A684,'Actual Dates'!A4:AE834,26,),'Actual Dates'!AA39,"")</f>
        <v>45917</v>
      </c>
      <c r="L684" s="137">
        <f>IF(VLOOKUP(A684,'Actual Dates'!A4:AE834,21,),'Actual Dates'!T39,"")</f>
        <v>45855</v>
      </c>
      <c r="M684" s="137">
        <f>'Date Calcs'!AF44</f>
        <v>45890</v>
      </c>
      <c r="N684" s="137">
        <f>IF(VLOOKUP(A684,'Actual Dates'!A4:AE834,27,),'Actual Dates'!AD39,"")</f>
        <v>45923</v>
      </c>
      <c r="O684" s="138">
        <f t="shared" si="78"/>
        <v>102</v>
      </c>
      <c r="P684" s="139">
        <f t="shared" si="76"/>
        <v>7</v>
      </c>
      <c r="Q684" s="139">
        <f t="shared" si="77"/>
        <v>-33</v>
      </c>
      <c r="R684" s="170"/>
      <c r="S684" s="170"/>
    </row>
    <row r="685" spans="1:19" x14ac:dyDescent="0.25">
      <c r="A685" s="134" t="str">
        <f>'Date Calcs'!A45</f>
        <v>25-059</v>
      </c>
      <c r="B685" s="135" t="str">
        <f>'Date Calcs'!B45</f>
        <v>Reco</v>
      </c>
      <c r="C685" s="136">
        <f>'Date Calcs'!C45</f>
        <v>45821</v>
      </c>
      <c r="D685" s="137">
        <f t="shared" si="79"/>
        <v>45841</v>
      </c>
      <c r="E685" s="143">
        <v>44708</v>
      </c>
      <c r="F685" s="137">
        <f>'Date Calcs'!H45</f>
        <v>45842</v>
      </c>
      <c r="G685" s="137">
        <f>IF(VLOOKUP(A685,'Actual Dates'!A4:AE812,8,),'Actual Dates'!H40,"")</f>
        <v>45986</v>
      </c>
      <c r="H685" s="137">
        <f t="shared" si="74"/>
        <v>46013</v>
      </c>
      <c r="I685" s="137">
        <f>IF(VLOOKUP(A685,'Actual Dates'!A4:AE807,25,),'Actual Dates'!Z40,"")</f>
        <v>46029</v>
      </c>
      <c r="J685" s="137">
        <f t="shared" si="75"/>
        <v>46014</v>
      </c>
      <c r="K685" s="137">
        <f>IF(VLOOKUP(A685,'Actual Dates'!A4:AE835,26,),'Actual Dates'!AA40,"")</f>
        <v>46092</v>
      </c>
      <c r="L685" s="137">
        <f>IF(VLOOKUP(A685,'Actual Dates'!A4:AE835,21,),'Actual Dates'!T40,"")</f>
        <v>46008</v>
      </c>
      <c r="M685" s="137">
        <f>'Date Calcs'!AF45</f>
        <v>45890</v>
      </c>
      <c r="N685" s="137">
        <v>45923</v>
      </c>
      <c r="O685" s="138">
        <f t="shared" si="78"/>
        <v>102</v>
      </c>
      <c r="P685" s="139">
        <f t="shared" si="76"/>
        <v>-144</v>
      </c>
      <c r="Q685" s="139">
        <f t="shared" si="77"/>
        <v>-33</v>
      </c>
      <c r="R685" s="170"/>
      <c r="S685" s="170"/>
    </row>
    <row r="686" spans="1:19" x14ac:dyDescent="0.25">
      <c r="A686" s="134" t="str">
        <f>'Date Calcs'!A46</f>
        <v>25-060</v>
      </c>
      <c r="B686" s="135" t="str">
        <f>'Date Calcs'!B46</f>
        <v>Reco</v>
      </c>
      <c r="C686" s="136">
        <f>'Date Calcs'!C46</f>
        <v>45821</v>
      </c>
      <c r="D686" s="137">
        <f t="shared" si="79"/>
        <v>45841</v>
      </c>
      <c r="E686" s="143">
        <v>44709</v>
      </c>
      <c r="F686" s="137">
        <f>'Date Calcs'!H46</f>
        <v>45842</v>
      </c>
      <c r="G686" s="137">
        <f>IF(VLOOKUP(A686,'Actual Dates'!A4:AE813,8,),'Actual Dates'!H41,"")</f>
        <v>45847</v>
      </c>
      <c r="H686" s="137">
        <f t="shared" si="74"/>
        <v>45876</v>
      </c>
      <c r="I686" s="137">
        <f>IF(VLOOKUP(A686,'Actual Dates'!A4:AE808,25,),'Actual Dates'!Z41,"")</f>
        <v>45875</v>
      </c>
      <c r="J686" s="137">
        <f t="shared" si="75"/>
        <v>45877</v>
      </c>
      <c r="K686" s="137">
        <f>IF(VLOOKUP(A686,'Actual Dates'!A4:AE836,26,),'Actual Dates'!AA41,"")</f>
        <v>45870</v>
      </c>
      <c r="L686" s="137">
        <f>IF(VLOOKUP(A686,'Actual Dates'!A4:AE836,21,),'Actual Dates'!T41,"")</f>
        <v>45873</v>
      </c>
      <c r="M686" s="137">
        <f>'Date Calcs'!AF46</f>
        <v>45890</v>
      </c>
      <c r="N686" s="137">
        <f>IF(VLOOKUP(A686,'Actual Dates'!A4:AE836,27,),'Actual Dates'!AD41,"")</f>
        <v>45889</v>
      </c>
      <c r="O686" s="138">
        <f t="shared" si="78"/>
        <v>68</v>
      </c>
      <c r="P686" s="139">
        <f t="shared" si="76"/>
        <v>-5</v>
      </c>
      <c r="Q686" s="139">
        <f t="shared" si="77"/>
        <v>1</v>
      </c>
      <c r="R686" s="170"/>
      <c r="S686" s="170"/>
    </row>
    <row r="687" spans="1:19" x14ac:dyDescent="0.25">
      <c r="A687" s="134" t="str">
        <f>'Date Calcs'!A47</f>
        <v>25-061</v>
      </c>
      <c r="B687" s="135" t="str">
        <f>'Date Calcs'!B47</f>
        <v>Reco</v>
      </c>
      <c r="C687" s="136">
        <f>'Date Calcs'!C47</f>
        <v>45821</v>
      </c>
      <c r="D687" s="137">
        <f t="shared" si="79"/>
        <v>45841</v>
      </c>
      <c r="E687" s="143">
        <v>44710</v>
      </c>
      <c r="F687" s="137">
        <f>'Date Calcs'!H47</f>
        <v>45842</v>
      </c>
      <c r="G687" s="137">
        <f>IF(VLOOKUP(A687,'Actual Dates'!A4:AE814,8,),'Actual Dates'!H42,"")</f>
        <v>45847</v>
      </c>
      <c r="H687" s="137">
        <f t="shared" si="74"/>
        <v>45876</v>
      </c>
      <c r="I687" s="137">
        <f>IF(VLOOKUP(A687,'Actual Dates'!A4:AE809,25,),'Actual Dates'!Z42,"")</f>
        <v>45875</v>
      </c>
      <c r="J687" s="137">
        <f t="shared" si="75"/>
        <v>45877</v>
      </c>
      <c r="K687" s="137">
        <f>IF(VLOOKUP(A687,'Actual Dates'!A4:AE837,26,),'Actual Dates'!AA42,"")</f>
        <v>45870</v>
      </c>
      <c r="L687" s="137">
        <f>IF(VLOOKUP(A687,'Actual Dates'!A4:AE837,21,),'Actual Dates'!T42,"")</f>
        <v>45873</v>
      </c>
      <c r="M687" s="137">
        <f>'Date Calcs'!AF47</f>
        <v>45890</v>
      </c>
      <c r="N687" s="137">
        <f>IF(VLOOKUP(A687,'Actual Dates'!A4:AE837,27,),'Actual Dates'!AD42,"")</f>
        <v>45889</v>
      </c>
      <c r="O687" s="138">
        <f t="shared" si="78"/>
        <v>68</v>
      </c>
      <c r="P687" s="139">
        <f t="shared" si="76"/>
        <v>-5</v>
      </c>
      <c r="Q687" s="139">
        <f t="shared" si="77"/>
        <v>1</v>
      </c>
      <c r="R687" s="170"/>
      <c r="S687" s="170"/>
    </row>
    <row r="688" spans="1:19" x14ac:dyDescent="0.25">
      <c r="A688" s="134" t="str">
        <f>'Date Calcs'!A48</f>
        <v>25-062</v>
      </c>
      <c r="B688" s="135" t="str">
        <f>'Date Calcs'!B48</f>
        <v>Reco</v>
      </c>
      <c r="C688" s="136">
        <f>'Date Calcs'!C48</f>
        <v>45821</v>
      </c>
      <c r="D688" s="137">
        <f t="shared" si="79"/>
        <v>45841</v>
      </c>
      <c r="E688" s="143">
        <v>44711</v>
      </c>
      <c r="F688" s="137">
        <f>'Date Calcs'!H48</f>
        <v>45842</v>
      </c>
      <c r="G688" s="137">
        <f>IF(VLOOKUP(A688,'Actual Dates'!A4:AE815,8,),'Actual Dates'!H43,"")</f>
        <v>45847</v>
      </c>
      <c r="H688" s="137">
        <f t="shared" si="74"/>
        <v>45876</v>
      </c>
      <c r="I688" s="137">
        <f>IF(VLOOKUP(A688,'Actual Dates'!A4:AE810,25,),'Actual Dates'!Z43,"")</f>
        <v>45875</v>
      </c>
      <c r="J688" s="137">
        <f t="shared" si="75"/>
        <v>45877</v>
      </c>
      <c r="K688" s="137">
        <f>IF(VLOOKUP(A688,'Actual Dates'!A4:AE838,26,),'Actual Dates'!AA43,"")</f>
        <v>45870</v>
      </c>
      <c r="L688" s="137">
        <f>IF(VLOOKUP(A688,'Actual Dates'!A4:AE838,21,),'Actual Dates'!T43,"")</f>
        <v>45873</v>
      </c>
      <c r="M688" s="137">
        <f>'Date Calcs'!AF48</f>
        <v>45890</v>
      </c>
      <c r="N688" s="137">
        <f>IF(VLOOKUP(A688,'Actual Dates'!A4:AE838,27,),'Actual Dates'!AD43,"")</f>
        <v>45903</v>
      </c>
      <c r="O688" s="138">
        <f t="shared" si="78"/>
        <v>82</v>
      </c>
      <c r="P688" s="139">
        <f t="shared" si="76"/>
        <v>-5</v>
      </c>
      <c r="Q688" s="139">
        <f t="shared" si="77"/>
        <v>-13</v>
      </c>
      <c r="R688" s="170"/>
      <c r="S688" s="170"/>
    </row>
    <row r="689" spans="1:19" x14ac:dyDescent="0.25">
      <c r="A689" s="134" t="str">
        <f>'Date Calcs'!A49</f>
        <v>25-063</v>
      </c>
      <c r="B689" s="135" t="str">
        <f>'Date Calcs'!B49</f>
        <v>Reco</v>
      </c>
      <c r="C689" s="136">
        <f>'Date Calcs'!C49</f>
        <v>45821</v>
      </c>
      <c r="D689" s="137">
        <f t="shared" si="79"/>
        <v>45841</v>
      </c>
      <c r="E689" s="143">
        <v>44712</v>
      </c>
      <c r="F689" s="137">
        <f>'Date Calcs'!H49</f>
        <v>45842</v>
      </c>
      <c r="G689" s="137">
        <f>IF(VLOOKUP(A689,'Actual Dates'!A4:AE816,8,),'Actual Dates'!H44,"")</f>
        <v>45847</v>
      </c>
      <c r="H689" s="137">
        <f t="shared" si="74"/>
        <v>45876</v>
      </c>
      <c r="I689" s="137">
        <f>IF(VLOOKUP(A689,'Actual Dates'!A4:AE811,25,),'Actual Dates'!Z44,"")</f>
        <v>45875</v>
      </c>
      <c r="J689" s="137">
        <f t="shared" si="75"/>
        <v>45877</v>
      </c>
      <c r="K689" s="137">
        <f>IF(VLOOKUP(A689,'Actual Dates'!A4:AE839,26,),'Actual Dates'!AA44,"")</f>
        <v>45870</v>
      </c>
      <c r="L689" s="137">
        <f>IF(VLOOKUP(A689,'Actual Dates'!A4:AE839,21,),'Actual Dates'!T44,"")</f>
        <v>45873</v>
      </c>
      <c r="M689" s="137">
        <f>'Date Calcs'!AF49</f>
        <v>45890</v>
      </c>
      <c r="N689" s="137">
        <f>IF(VLOOKUP(A689,'Actual Dates'!A4:AE839,27,),'Actual Dates'!AD44,"")</f>
        <v>45903</v>
      </c>
      <c r="O689" s="138">
        <f t="shared" si="78"/>
        <v>82</v>
      </c>
      <c r="P689" s="139">
        <f t="shared" si="76"/>
        <v>-5</v>
      </c>
      <c r="Q689" s="139">
        <f t="shared" si="77"/>
        <v>-13</v>
      </c>
      <c r="R689" s="170"/>
      <c r="S689" s="170"/>
    </row>
    <row r="690" spans="1:19" x14ac:dyDescent="0.25">
      <c r="A690" s="134" t="str">
        <f>'Date Calcs'!A50</f>
        <v>25-064</v>
      </c>
      <c r="B690" s="135" t="str">
        <f>'Date Calcs'!B50</f>
        <v>Reco</v>
      </c>
      <c r="C690" s="136">
        <f>'Date Calcs'!C50</f>
        <v>45821</v>
      </c>
      <c r="D690" s="137">
        <f t="shared" si="79"/>
        <v>45841</v>
      </c>
      <c r="E690" s="143">
        <v>44713</v>
      </c>
      <c r="F690" s="137">
        <f>'Date Calcs'!H50</f>
        <v>45842</v>
      </c>
      <c r="G690" s="137">
        <f>IF(VLOOKUP(A690,'Actual Dates'!A4:AE817,8,),'Actual Dates'!H45,"")</f>
        <v>45847</v>
      </c>
      <c r="H690" s="137">
        <f t="shared" si="74"/>
        <v>45876</v>
      </c>
      <c r="I690" s="137">
        <f>IF(VLOOKUP(A690,'Actual Dates'!A4:AE812,25,),'Actual Dates'!Z45,"")</f>
        <v>45875</v>
      </c>
      <c r="J690" s="137">
        <f t="shared" si="75"/>
        <v>45877</v>
      </c>
      <c r="K690" s="137">
        <f>IF(VLOOKUP(A690,'Actual Dates'!A4:AE840,26,),'Actual Dates'!AA45,"")</f>
        <v>45870</v>
      </c>
      <c r="L690" s="137">
        <f>IF(VLOOKUP(A690,'Actual Dates'!A4:AE840,21,),'Actual Dates'!T45,"")</f>
        <v>45873</v>
      </c>
      <c r="M690" s="137">
        <f>'Date Calcs'!AF50</f>
        <v>45890</v>
      </c>
      <c r="N690" s="137">
        <f>IF(VLOOKUP(A690,'Actual Dates'!A4:AE840,27,),'Actual Dates'!AD45,"")</f>
        <v>45926</v>
      </c>
      <c r="O690" s="138">
        <f t="shared" si="78"/>
        <v>105</v>
      </c>
      <c r="P690" s="139">
        <f t="shared" si="76"/>
        <v>-5</v>
      </c>
      <c r="Q690" s="139">
        <f t="shared" si="77"/>
        <v>-36</v>
      </c>
      <c r="R690" s="170"/>
      <c r="S690" s="170"/>
    </row>
    <row r="691" spans="1:19" x14ac:dyDescent="0.25">
      <c r="A691" s="134" t="str">
        <f>'Date Calcs'!A51</f>
        <v>25-065</v>
      </c>
      <c r="B691" s="135" t="str">
        <f>'Date Calcs'!B51</f>
        <v>Reco</v>
      </c>
      <c r="C691" s="136">
        <f>'Date Calcs'!C51</f>
        <v>45821</v>
      </c>
      <c r="D691" s="137">
        <f t="shared" si="79"/>
        <v>45841</v>
      </c>
      <c r="E691" s="143">
        <v>44714</v>
      </c>
      <c r="F691" s="137">
        <f>'Date Calcs'!H51</f>
        <v>45842</v>
      </c>
      <c r="G691" s="137">
        <f>IF(VLOOKUP(A691,'Actual Dates'!A4:AE818,8,),'Actual Dates'!H46,"")</f>
        <v>45847</v>
      </c>
      <c r="H691" s="137">
        <f t="shared" ref="H691:H749" si="80">WORKDAY(L691,3,)</f>
        <v>45876</v>
      </c>
      <c r="I691" s="137">
        <f>IF(VLOOKUP(A691,'Actual Dates'!A4:AE813,25,),'Actual Dates'!Z46,"")</f>
        <v>45875</v>
      </c>
      <c r="J691" s="137">
        <f t="shared" ref="J691:J749" si="81">WORKDAY(L691,4,)</f>
        <v>45877</v>
      </c>
      <c r="K691" s="137">
        <f>IF(VLOOKUP(A691,'Actual Dates'!A4:AE841,26,),'Actual Dates'!AA46,"")</f>
        <v>45870</v>
      </c>
      <c r="L691" s="137">
        <f>IF(VLOOKUP(A691,'Actual Dates'!A4:AE841,21,),'Actual Dates'!T46,"")</f>
        <v>45873</v>
      </c>
      <c r="M691" s="137">
        <f>'Date Calcs'!AF51</f>
        <v>45890</v>
      </c>
      <c r="N691" s="137">
        <f>IF(VLOOKUP(A691,'Actual Dates'!A4:AE841,27,),'Actual Dates'!AD46,"")</f>
        <v>45926</v>
      </c>
      <c r="O691" s="138">
        <f t="shared" si="78"/>
        <v>105</v>
      </c>
      <c r="P691" s="139">
        <f t="shared" ref="P691:P749" si="82">F691-G691</f>
        <v>-5</v>
      </c>
      <c r="Q691" s="139">
        <f t="shared" ref="Q691:Q749" si="83">M691-N691</f>
        <v>-36</v>
      </c>
      <c r="R691" s="170"/>
      <c r="S691" s="170"/>
    </row>
    <row r="692" spans="1:19" x14ac:dyDescent="0.25">
      <c r="A692" s="134" t="str">
        <f>'Date Calcs'!A52</f>
        <v>25-066</v>
      </c>
      <c r="B692" s="135" t="str">
        <f>'Date Calcs'!B52</f>
        <v>Reco</v>
      </c>
      <c r="C692" s="136">
        <f>'Date Calcs'!C52</f>
        <v>45821</v>
      </c>
      <c r="D692" s="137">
        <f t="shared" si="79"/>
        <v>45841</v>
      </c>
      <c r="E692" s="143">
        <v>44715</v>
      </c>
      <c r="F692" s="137">
        <f>'Date Calcs'!H52</f>
        <v>45842</v>
      </c>
      <c r="G692" s="137">
        <f>IF(VLOOKUP(A692,'Actual Dates'!A4:AE819,8,),'Actual Dates'!H47,"")</f>
        <v>45847</v>
      </c>
      <c r="H692" s="137">
        <f t="shared" si="80"/>
        <v>45876</v>
      </c>
      <c r="I692" s="137">
        <f>IF(VLOOKUP(A692,'Actual Dates'!A4:AE814,25,),'Actual Dates'!Z47,"")</f>
        <v>45875</v>
      </c>
      <c r="J692" s="137">
        <f t="shared" si="81"/>
        <v>45877</v>
      </c>
      <c r="K692" s="137">
        <f>IF(VLOOKUP(A692,'Actual Dates'!A4:AE842,26,),'Actual Dates'!AA47,"")</f>
        <v>45870</v>
      </c>
      <c r="L692" s="137">
        <f>IF(VLOOKUP(A692,'Actual Dates'!A4:AE842,21,),'Actual Dates'!T47,"")</f>
        <v>45873</v>
      </c>
      <c r="M692" s="137">
        <f>'Date Calcs'!AF52</f>
        <v>45890</v>
      </c>
      <c r="N692" s="137">
        <f>IF(VLOOKUP(A692,'Actual Dates'!A4:AE842,27,),'Actual Dates'!AD47,"")</f>
        <v>45971</v>
      </c>
      <c r="O692" s="138">
        <f t="shared" si="78"/>
        <v>150</v>
      </c>
      <c r="P692" s="139">
        <f t="shared" si="82"/>
        <v>-5</v>
      </c>
      <c r="Q692" s="139">
        <f t="shared" si="83"/>
        <v>-81</v>
      </c>
      <c r="R692" s="170"/>
      <c r="S692" s="170"/>
    </row>
    <row r="693" spans="1:19" x14ac:dyDescent="0.25">
      <c r="A693" s="134" t="str">
        <f>'Date Calcs'!A53</f>
        <v>25-067</v>
      </c>
      <c r="B693" s="135" t="str">
        <f>'Date Calcs'!B53</f>
        <v>Reco</v>
      </c>
      <c r="C693" s="136">
        <f>'Date Calcs'!C53</f>
        <v>45821</v>
      </c>
      <c r="D693" s="137">
        <f t="shared" si="79"/>
        <v>45841</v>
      </c>
      <c r="E693" s="143">
        <v>44716</v>
      </c>
      <c r="F693" s="137">
        <f>'Date Calcs'!H53</f>
        <v>45842</v>
      </c>
      <c r="G693" s="137">
        <f>IF(VLOOKUP(A693,'Actual Dates'!A4:AE820,8,),'Actual Dates'!H48,"")</f>
        <v>45847</v>
      </c>
      <c r="H693" s="137">
        <f t="shared" si="80"/>
        <v>45876</v>
      </c>
      <c r="I693" s="137">
        <f>IF(VLOOKUP(A693,'Actual Dates'!A4:AE815,25,),'Actual Dates'!Z48,"")</f>
        <v>45875</v>
      </c>
      <c r="J693" s="137">
        <f t="shared" si="81"/>
        <v>45877</v>
      </c>
      <c r="K693" s="137">
        <f>IF(VLOOKUP(A693,'Actual Dates'!A4:AE843,26,),'Actual Dates'!AA48,"")</f>
        <v>45870</v>
      </c>
      <c r="L693" s="137">
        <f>IF(VLOOKUP(A693,'Actual Dates'!A4:AE843,21,),'Actual Dates'!T48,"")</f>
        <v>45873</v>
      </c>
      <c r="M693" s="137">
        <f>'Date Calcs'!AF53</f>
        <v>45890</v>
      </c>
      <c r="N693" s="137">
        <f>IF(VLOOKUP(A693,'Actual Dates'!A4:AE843,27,),'Actual Dates'!AD48,"")</f>
        <v>45971</v>
      </c>
      <c r="O693" s="138">
        <f t="shared" si="78"/>
        <v>150</v>
      </c>
      <c r="P693" s="139">
        <f t="shared" si="82"/>
        <v>-5</v>
      </c>
      <c r="Q693" s="139">
        <f t="shared" si="83"/>
        <v>-81</v>
      </c>
      <c r="R693" s="170"/>
      <c r="S693" s="170"/>
    </row>
    <row r="694" spans="1:19" x14ac:dyDescent="0.25">
      <c r="A694" s="134" t="str">
        <f>'Date Calcs'!A54</f>
        <v>25-068</v>
      </c>
      <c r="B694" s="135" t="str">
        <f>'Date Calcs'!B54</f>
        <v>Reco</v>
      </c>
      <c r="C694" s="136">
        <f>'Date Calcs'!C54</f>
        <v>45821</v>
      </c>
      <c r="D694" s="137">
        <f t="shared" si="79"/>
        <v>45841</v>
      </c>
      <c r="E694" s="143">
        <v>44717</v>
      </c>
      <c r="F694" s="137">
        <f>'Date Calcs'!H54</f>
        <v>45842</v>
      </c>
      <c r="G694" s="137">
        <f>IF(VLOOKUP(A694,'Actual Dates'!A4:AE821,8,),'Actual Dates'!H49,"")</f>
        <v>45847</v>
      </c>
      <c r="H694" s="137">
        <f t="shared" si="80"/>
        <v>45876</v>
      </c>
      <c r="I694" s="137">
        <f>IF(VLOOKUP(A694,'Actual Dates'!A4:AE816,25,),'Actual Dates'!Z49,"")</f>
        <v>45875</v>
      </c>
      <c r="J694" s="137">
        <f t="shared" si="81"/>
        <v>45877</v>
      </c>
      <c r="K694" s="137">
        <f>IF(VLOOKUP(A694,'Actual Dates'!A4:AE844,26,),'Actual Dates'!AA49,"")</f>
        <v>45870</v>
      </c>
      <c r="L694" s="137">
        <f>IF(VLOOKUP(A694,'Actual Dates'!A4:AE844,21,),'Actual Dates'!T49,"")</f>
        <v>45873</v>
      </c>
      <c r="M694" s="137">
        <f>'Date Calcs'!AF54</f>
        <v>45890</v>
      </c>
      <c r="N694" s="137">
        <f>IF(VLOOKUP(A694,'Actual Dates'!A4:AE844,27,),'Actual Dates'!AD49,"")</f>
        <v>46000</v>
      </c>
      <c r="O694" s="138">
        <f t="shared" si="78"/>
        <v>179</v>
      </c>
      <c r="P694" s="139">
        <f t="shared" si="82"/>
        <v>-5</v>
      </c>
      <c r="Q694" s="139">
        <f t="shared" si="83"/>
        <v>-110</v>
      </c>
      <c r="R694" s="170"/>
      <c r="S694" s="170"/>
    </row>
    <row r="695" spans="1:19" x14ac:dyDescent="0.25">
      <c r="A695" s="134" t="str">
        <f>'Date Calcs'!A55</f>
        <v>25-069</v>
      </c>
      <c r="B695" s="135" t="str">
        <f>'Date Calcs'!B55</f>
        <v>Reco</v>
      </c>
      <c r="C695" s="136">
        <f>'Date Calcs'!C55</f>
        <v>45821</v>
      </c>
      <c r="D695" s="137">
        <f t="shared" si="79"/>
        <v>45841</v>
      </c>
      <c r="E695" s="143">
        <v>44718</v>
      </c>
      <c r="F695" s="137">
        <f>'Date Calcs'!H55</f>
        <v>45842</v>
      </c>
      <c r="G695" s="137">
        <f>IF(VLOOKUP(A695,'Actual Dates'!A4:AE822,8,),'Actual Dates'!H50,"")</f>
        <v>45847</v>
      </c>
      <c r="H695" s="137">
        <f t="shared" si="80"/>
        <v>45876</v>
      </c>
      <c r="I695" s="137">
        <f>IF(VLOOKUP(A695,'Actual Dates'!A4:AE817,25,),'Actual Dates'!Z50,"")</f>
        <v>45875</v>
      </c>
      <c r="J695" s="137">
        <f t="shared" si="81"/>
        <v>45877</v>
      </c>
      <c r="K695" s="137">
        <f>IF(VLOOKUP(A695,'Actual Dates'!A4:AE845,26,),'Actual Dates'!AA50,"")</f>
        <v>45870</v>
      </c>
      <c r="L695" s="137">
        <f>IF(VLOOKUP(A695,'Actual Dates'!A4:AE845,21,),'Actual Dates'!T50,"")</f>
        <v>45873</v>
      </c>
      <c r="M695" s="137">
        <f>'Date Calcs'!AF55</f>
        <v>45890</v>
      </c>
      <c r="N695" s="137">
        <f>IF(VLOOKUP(A695,'Actual Dates'!A4:AE845,27,),'Actual Dates'!AD50,"")</f>
        <v>46000</v>
      </c>
      <c r="O695" s="138">
        <f t="shared" si="78"/>
        <v>179</v>
      </c>
      <c r="P695" s="139">
        <f t="shared" si="82"/>
        <v>-5</v>
      </c>
      <c r="Q695" s="139">
        <f t="shared" si="83"/>
        <v>-110</v>
      </c>
      <c r="R695" s="170"/>
      <c r="S695" s="170"/>
    </row>
    <row r="696" spans="1:19" x14ac:dyDescent="0.25">
      <c r="A696" s="134" t="str">
        <f>'Date Calcs'!A56</f>
        <v>25-070</v>
      </c>
      <c r="B696" s="135" t="str">
        <f>'Date Calcs'!B56</f>
        <v>Reco</v>
      </c>
      <c r="C696" s="136">
        <f>'Date Calcs'!C56</f>
        <v>45821</v>
      </c>
      <c r="D696" s="137">
        <f t="shared" si="79"/>
        <v>45841</v>
      </c>
      <c r="E696" s="143">
        <v>44719</v>
      </c>
      <c r="F696" s="137">
        <f>'Date Calcs'!H56</f>
        <v>45842</v>
      </c>
      <c r="G696" s="137">
        <f>IF(VLOOKUP(A696,'Actual Dates'!A4:AE823,8,),'Actual Dates'!H51,"")</f>
        <v>45847</v>
      </c>
      <c r="H696" s="137">
        <f t="shared" si="80"/>
        <v>45876</v>
      </c>
      <c r="I696" s="137">
        <f>IF(VLOOKUP(A696,'Actual Dates'!A4:AE818,25,),'Actual Dates'!Z51,"")</f>
        <v>45875</v>
      </c>
      <c r="J696" s="137">
        <f t="shared" si="81"/>
        <v>45877</v>
      </c>
      <c r="K696" s="137">
        <f>IF(VLOOKUP(A696,'Actual Dates'!A4:AE846,26,),'Actual Dates'!AA51,"")</f>
        <v>45870</v>
      </c>
      <c r="L696" s="137">
        <f>IF(VLOOKUP(A696,'Actual Dates'!A4:AE846,21,),'Actual Dates'!T51,"")</f>
        <v>45873</v>
      </c>
      <c r="M696" s="137">
        <f>'Date Calcs'!AF56</f>
        <v>45890</v>
      </c>
      <c r="N696" s="137">
        <f>IF(VLOOKUP(A696,'Actual Dates'!A4:AE846,27,),'Actual Dates'!AD51,"")</f>
        <v>46034</v>
      </c>
      <c r="O696" s="138">
        <f t="shared" si="78"/>
        <v>213</v>
      </c>
      <c r="P696" s="139">
        <f t="shared" si="82"/>
        <v>-5</v>
      </c>
      <c r="Q696" s="139">
        <f t="shared" si="83"/>
        <v>-144</v>
      </c>
      <c r="R696" s="170"/>
      <c r="S696" s="170"/>
    </row>
    <row r="697" spans="1:19" x14ac:dyDescent="0.25">
      <c r="A697" s="134" t="str">
        <f>'Date Calcs'!A57</f>
        <v>25-071</v>
      </c>
      <c r="B697" s="135" t="str">
        <f>'Date Calcs'!B57</f>
        <v>Reco</v>
      </c>
      <c r="C697" s="136">
        <f>'Date Calcs'!C57</f>
        <v>45821</v>
      </c>
      <c r="D697" s="137">
        <f t="shared" si="79"/>
        <v>45841</v>
      </c>
      <c r="E697" s="143">
        <v>44720</v>
      </c>
      <c r="F697" s="137">
        <f>'Date Calcs'!H57</f>
        <v>45842</v>
      </c>
      <c r="G697" s="137">
        <f>IF(VLOOKUP(A697,'Actual Dates'!A4:AE824,8,),'Actual Dates'!H52,"")</f>
        <v>45847</v>
      </c>
      <c r="H697" s="137">
        <f t="shared" si="80"/>
        <v>45876</v>
      </c>
      <c r="I697" s="137">
        <f>IF(VLOOKUP(A697,'Actual Dates'!A4:AE819,25,),'Actual Dates'!Z52,"")</f>
        <v>45875</v>
      </c>
      <c r="J697" s="137">
        <f t="shared" si="81"/>
        <v>45877</v>
      </c>
      <c r="K697" s="137">
        <f>IF(VLOOKUP(A697,'Actual Dates'!A4:AE847,26,),'Actual Dates'!AA52,"")</f>
        <v>45870</v>
      </c>
      <c r="L697" s="137">
        <f>IF(VLOOKUP(A697,'Actual Dates'!A4:AE847,21,),'Actual Dates'!T52,"")</f>
        <v>45873</v>
      </c>
      <c r="M697" s="137">
        <f>'Date Calcs'!AF57</f>
        <v>45890</v>
      </c>
      <c r="N697" s="137">
        <f>IF(VLOOKUP(A697,'Actual Dates'!A4:AE847,27,),'Actual Dates'!AD52,"")</f>
        <v>46034</v>
      </c>
      <c r="O697" s="138">
        <f t="shared" si="78"/>
        <v>213</v>
      </c>
      <c r="P697" s="139">
        <f t="shared" si="82"/>
        <v>-5</v>
      </c>
      <c r="Q697" s="139">
        <f t="shared" si="83"/>
        <v>-144</v>
      </c>
      <c r="R697" s="170"/>
      <c r="S697" s="170"/>
    </row>
    <row r="698" spans="1:19" x14ac:dyDescent="0.25">
      <c r="A698" s="134" t="str">
        <f>'Date Calcs'!A58</f>
        <v>25-072</v>
      </c>
      <c r="B698" s="135" t="str">
        <f>'Date Calcs'!B58</f>
        <v>Burke Industrial</v>
      </c>
      <c r="C698" s="136">
        <f>'Date Calcs'!C58</f>
        <v>45824</v>
      </c>
      <c r="D698" s="137">
        <f t="shared" si="79"/>
        <v>45842</v>
      </c>
      <c r="E698" s="143">
        <v>44721</v>
      </c>
      <c r="F698" s="137">
        <f>'Date Calcs'!H58</f>
        <v>45845</v>
      </c>
      <c r="G698" s="137">
        <f>IF(VLOOKUP(A698,'Actual Dates'!A4:AE825,8,),'Actual Dates'!H53,"")</f>
        <v>45847</v>
      </c>
      <c r="H698" s="137">
        <f t="shared" si="80"/>
        <v>45876</v>
      </c>
      <c r="I698" s="137">
        <f>IF(VLOOKUP(A698,'Actual Dates'!A4:AE820,25,),'Actual Dates'!Z53,"")</f>
        <v>45875</v>
      </c>
      <c r="J698" s="137">
        <f t="shared" si="81"/>
        <v>45877</v>
      </c>
      <c r="K698" s="137">
        <f>IF(VLOOKUP(A698,'Actual Dates'!A4:AE848,26,),'Actual Dates'!AA53,"")</f>
        <v>45870</v>
      </c>
      <c r="L698" s="137">
        <f>IF(VLOOKUP(A698,'Actual Dates'!A4:AE848,21,),'Actual Dates'!T53,"")</f>
        <v>45873</v>
      </c>
      <c r="M698" s="137">
        <f>'Date Calcs'!AF58</f>
        <v>45869</v>
      </c>
      <c r="N698" s="137">
        <f>IF(VLOOKUP(A698,'Actual Dates'!A4:AE848,27,),'Actual Dates'!AD53,"")</f>
        <v>46062</v>
      </c>
      <c r="O698" s="138">
        <f t="shared" si="78"/>
        <v>238</v>
      </c>
      <c r="P698" s="139">
        <f t="shared" si="82"/>
        <v>-2</v>
      </c>
      <c r="Q698" s="139">
        <f t="shared" si="83"/>
        <v>-193</v>
      </c>
      <c r="R698" s="170"/>
      <c r="S698" s="170"/>
    </row>
    <row r="699" spans="1:19" x14ac:dyDescent="0.25">
      <c r="A699" s="134" t="str">
        <f>'Date Calcs'!A59</f>
        <v>25-073</v>
      </c>
      <c r="B699" s="135" t="str">
        <f>'Date Calcs'!B59</f>
        <v>Burke Industrial</v>
      </c>
      <c r="C699" s="136">
        <f>'Date Calcs'!C59</f>
        <v>45824</v>
      </c>
      <c r="D699" s="137">
        <f t="shared" si="79"/>
        <v>45842</v>
      </c>
      <c r="E699" s="143">
        <v>44722</v>
      </c>
      <c r="F699" s="137">
        <f>'Date Calcs'!H59</f>
        <v>45845</v>
      </c>
      <c r="G699" s="137">
        <f>IF(VLOOKUP(A699,'Actual Dates'!A4:AE826,8,),'Actual Dates'!H54,"")</f>
        <v>45847</v>
      </c>
      <c r="H699" s="137">
        <f t="shared" si="80"/>
        <v>45876</v>
      </c>
      <c r="I699" s="137">
        <f>IF(VLOOKUP(A699,'Actual Dates'!A4:AE821,25,),'Actual Dates'!Z54,"")</f>
        <v>45875</v>
      </c>
      <c r="J699" s="137">
        <f t="shared" si="81"/>
        <v>45877</v>
      </c>
      <c r="K699" s="137">
        <f>IF(VLOOKUP(A699,'Actual Dates'!A4:AE849,26,),'Actual Dates'!AA54,"")</f>
        <v>45870</v>
      </c>
      <c r="L699" s="137">
        <f>IF(VLOOKUP(A699,'Actual Dates'!A4:AE849,21,),'Actual Dates'!T54,"")</f>
        <v>45873</v>
      </c>
      <c r="M699" s="137">
        <f>'Date Calcs'!AF59</f>
        <v>45869</v>
      </c>
      <c r="N699" s="137">
        <f>IF(VLOOKUP(A699,'Actual Dates'!A4:AE849,27,),'Actual Dates'!AD54,"")</f>
        <v>46062</v>
      </c>
      <c r="O699" s="138">
        <f t="shared" si="78"/>
        <v>238</v>
      </c>
      <c r="P699" s="139">
        <f t="shared" si="82"/>
        <v>-2</v>
      </c>
      <c r="Q699" s="139">
        <f t="shared" si="83"/>
        <v>-193</v>
      </c>
      <c r="R699" s="170"/>
      <c r="S699" s="170"/>
    </row>
    <row r="700" spans="1:19" x14ac:dyDescent="0.25">
      <c r="A700" s="134" t="str">
        <f>'Date Calcs'!A60</f>
        <v>25-074</v>
      </c>
      <c r="B700" s="135" t="str">
        <f>'Date Calcs'!B60</f>
        <v>Kemira</v>
      </c>
      <c r="C700" s="136">
        <f>'Date Calcs'!C60</f>
        <v>45824</v>
      </c>
      <c r="D700" s="137">
        <f t="shared" si="79"/>
        <v>45842</v>
      </c>
      <c r="E700" s="143">
        <v>44723</v>
      </c>
      <c r="F700" s="137">
        <f>'Date Calcs'!H60</f>
        <v>45845</v>
      </c>
      <c r="G700" s="137">
        <f>IF(VLOOKUP(A700,'Actual Dates'!A4:AE827,8,),'Actual Dates'!H55,"")</f>
        <v>45847</v>
      </c>
      <c r="H700" s="137">
        <f t="shared" si="80"/>
        <v>45876</v>
      </c>
      <c r="I700" s="137">
        <f>IF(VLOOKUP(A700,'Actual Dates'!A4:AE822,25,),'Actual Dates'!Z55,"")</f>
        <v>45875</v>
      </c>
      <c r="J700" s="137">
        <f t="shared" si="81"/>
        <v>45877</v>
      </c>
      <c r="K700" s="137">
        <f>IF(VLOOKUP(A700,'Actual Dates'!A4:AE850,26,),'Actual Dates'!AA55,"")</f>
        <v>45870</v>
      </c>
      <c r="L700" s="137">
        <f>IF(VLOOKUP(A700,'Actual Dates'!A4:AE850,21,),'Actual Dates'!T55,"")</f>
        <v>45873</v>
      </c>
      <c r="M700" s="137">
        <f>'Date Calcs'!AF60</f>
        <v>45879</v>
      </c>
      <c r="N700" s="137">
        <f>IF(VLOOKUP(A700,'Actual Dates'!A4:AE850,27,),'Actual Dates'!AD55,"")</f>
        <v>46071</v>
      </c>
      <c r="O700" s="138">
        <f t="shared" si="78"/>
        <v>247</v>
      </c>
      <c r="P700" s="139">
        <f t="shared" si="82"/>
        <v>-2</v>
      </c>
      <c r="Q700" s="139">
        <f t="shared" si="83"/>
        <v>-192</v>
      </c>
      <c r="R700" s="170"/>
      <c r="S700" s="170"/>
    </row>
    <row r="701" spans="1:19" x14ac:dyDescent="0.25">
      <c r="A701" s="134" t="str">
        <f>'Date Calcs'!A61</f>
        <v>25-075</v>
      </c>
      <c r="B701" s="135" t="str">
        <f>'Date Calcs'!B61</f>
        <v>Kemira</v>
      </c>
      <c r="C701" s="136">
        <f>'Date Calcs'!C61</f>
        <v>45824</v>
      </c>
      <c r="D701" s="137">
        <f t="shared" si="79"/>
        <v>45842</v>
      </c>
      <c r="E701" s="143">
        <v>44724</v>
      </c>
      <c r="F701" s="137">
        <f>'Date Calcs'!H61</f>
        <v>45845</v>
      </c>
      <c r="G701" s="137">
        <f>IF(VLOOKUP(A701,'Actual Dates'!A4:AE828,8,),'Actual Dates'!H56,"")</f>
        <v>45847</v>
      </c>
      <c r="H701" s="137">
        <f t="shared" si="80"/>
        <v>45876</v>
      </c>
      <c r="I701" s="137">
        <f>IF(VLOOKUP(A701,'Actual Dates'!A4:AE823,25,),'Actual Dates'!Z56,"")</f>
        <v>45875</v>
      </c>
      <c r="J701" s="137">
        <f t="shared" si="81"/>
        <v>45877</v>
      </c>
      <c r="K701" s="137">
        <f>IF(VLOOKUP(A701,'Actual Dates'!A4:AE851,26,),'Actual Dates'!AA56,"")</f>
        <v>45870</v>
      </c>
      <c r="L701" s="137">
        <f>IF(VLOOKUP(A701,'Actual Dates'!A4:AE851,21,),'Actual Dates'!T56,"")</f>
        <v>45873</v>
      </c>
      <c r="M701" s="137">
        <f>'Date Calcs'!AF61</f>
        <v>45908</v>
      </c>
      <c r="N701" s="137">
        <f>IF(VLOOKUP(A701,'Actual Dates'!A4:AE851,27,),'Actual Dates'!AD56,"")</f>
        <v>46071</v>
      </c>
      <c r="O701" s="138">
        <f t="shared" si="78"/>
        <v>247</v>
      </c>
      <c r="P701" s="139">
        <f t="shared" si="82"/>
        <v>-2</v>
      </c>
      <c r="Q701" s="139">
        <f t="shared" si="83"/>
        <v>-163</v>
      </c>
      <c r="R701" s="170"/>
      <c r="S701" s="170"/>
    </row>
    <row r="702" spans="1:19" x14ac:dyDescent="0.25">
      <c r="A702" s="134" t="str">
        <f>'Date Calcs'!A62</f>
        <v>25-076</v>
      </c>
      <c r="B702" s="135" t="str">
        <f>'Date Calcs'!B62</f>
        <v>Irving tissue</v>
      </c>
      <c r="C702" s="136">
        <f>'Date Calcs'!C62</f>
        <v>45825</v>
      </c>
      <c r="D702" s="137">
        <f t="shared" si="79"/>
        <v>45852</v>
      </c>
      <c r="E702" s="143">
        <v>44725</v>
      </c>
      <c r="F702" s="137">
        <f>'Date Calcs'!H62</f>
        <v>45853</v>
      </c>
      <c r="G702" s="137">
        <f>IF(VLOOKUP(A702,'Actual Dates'!A4:AE829,8,),'Actual Dates'!H57,"")</f>
        <v>45841</v>
      </c>
      <c r="H702" s="137">
        <f t="shared" si="80"/>
        <v>45855</v>
      </c>
      <c r="I702" s="137">
        <f>IF(VLOOKUP(A702,'Actual Dates'!A4:AE824,25,),'Actual Dates'!Z57,"")</f>
        <v>45859</v>
      </c>
      <c r="J702" s="137">
        <f t="shared" si="81"/>
        <v>45856</v>
      </c>
      <c r="K702" s="137">
        <f>IF(VLOOKUP(A702,'Actual Dates'!A4:AE852,26,),'Actual Dates'!AA57,"")</f>
        <v>45861</v>
      </c>
      <c r="L702" s="137">
        <f>IF(VLOOKUP(A702,'Actual Dates'!A4:AE852,21,),'Actual Dates'!T57,"")</f>
        <v>45852</v>
      </c>
      <c r="M702" s="137">
        <f>'Date Calcs'!AF62</f>
        <v>45905</v>
      </c>
      <c r="N702" s="137">
        <f>IF(VLOOKUP(A702,'Actual Dates'!A4:AE852,27,),'Actual Dates'!AD57,"")</f>
        <v>45868</v>
      </c>
      <c r="O702" s="138">
        <f t="shared" si="78"/>
        <v>43</v>
      </c>
      <c r="P702" s="139">
        <f t="shared" si="82"/>
        <v>12</v>
      </c>
      <c r="Q702" s="139">
        <f t="shared" si="83"/>
        <v>37</v>
      </c>
      <c r="R702" s="170"/>
      <c r="S702" s="170"/>
    </row>
    <row r="703" spans="1:19" x14ac:dyDescent="0.25">
      <c r="A703" s="134" t="str">
        <f>'Date Calcs'!A63</f>
        <v>25-077</v>
      </c>
      <c r="B703" s="135" t="str">
        <f>'Date Calcs'!B63</f>
        <v>Epic Systems</v>
      </c>
      <c r="C703" s="136">
        <f>'Date Calcs'!C63</f>
        <v>45833</v>
      </c>
      <c r="D703" s="137">
        <f t="shared" si="79"/>
        <v>45853</v>
      </c>
      <c r="E703" s="143">
        <v>44726</v>
      </c>
      <c r="F703" s="137">
        <f>'Date Calcs'!H63</f>
        <v>45854</v>
      </c>
      <c r="G703" s="137">
        <f>IF(VLOOKUP(A703,'Actual Dates'!A4:AE830,8,),'Actual Dates'!H58,"")</f>
        <v>45841</v>
      </c>
      <c r="H703" s="137">
        <f t="shared" si="80"/>
        <v>45855</v>
      </c>
      <c r="I703" s="137">
        <f>IF(VLOOKUP(A703,'Actual Dates'!A4:AE825,25,),'Actual Dates'!Z58,"")</f>
        <v>45859</v>
      </c>
      <c r="J703" s="137">
        <f t="shared" si="81"/>
        <v>45856</v>
      </c>
      <c r="K703" s="137">
        <f>IF(VLOOKUP(A703,'Actual Dates'!A4:AE853,26,),'Actual Dates'!AA58,"")</f>
        <v>45861</v>
      </c>
      <c r="L703" s="137">
        <f>IF(VLOOKUP(A703,'Actual Dates'!A4:AE853,21,),'Actual Dates'!T58,"")</f>
        <v>45852</v>
      </c>
      <c r="M703" s="137">
        <f>'Date Calcs'!AF63</f>
        <v>45911</v>
      </c>
      <c r="N703" s="137">
        <f>IF(VLOOKUP(A703,'Actual Dates'!A4:AE853,27,),'Actual Dates'!AD58,"")</f>
        <v>45868</v>
      </c>
      <c r="O703" s="138">
        <f t="shared" si="78"/>
        <v>35</v>
      </c>
      <c r="P703" s="139">
        <f t="shared" si="82"/>
        <v>13</v>
      </c>
      <c r="Q703" s="139">
        <f t="shared" si="83"/>
        <v>43</v>
      </c>
      <c r="R703" s="170"/>
      <c r="S703" s="170"/>
    </row>
    <row r="704" spans="1:19" x14ac:dyDescent="0.25">
      <c r="A704" s="134" t="str">
        <f>'Date Calcs'!A64</f>
        <v>25-078</v>
      </c>
      <c r="B704" s="135" t="str">
        <f>'Date Calcs'!B64</f>
        <v>Epic Systems</v>
      </c>
      <c r="C704" s="136">
        <f>'Date Calcs'!C64</f>
        <v>45833</v>
      </c>
      <c r="D704" s="137">
        <f t="shared" si="79"/>
        <v>45853</v>
      </c>
      <c r="E704" s="143">
        <v>44727</v>
      </c>
      <c r="F704" s="137">
        <f>'Date Calcs'!H64</f>
        <v>45854</v>
      </c>
      <c r="G704" s="137">
        <f>IF(VLOOKUP(A704,'Actual Dates'!A4:AE831,8,),'Actual Dates'!H59,"")</f>
        <v>45854</v>
      </c>
      <c r="H704" s="137">
        <f t="shared" si="80"/>
        <v>45863</v>
      </c>
      <c r="I704" s="137">
        <f>IF(VLOOKUP(A704,'Actual Dates'!A4:AE826,25,),'Actual Dates'!Z59,"")</f>
        <v>45870</v>
      </c>
      <c r="J704" s="137">
        <f t="shared" si="81"/>
        <v>45866</v>
      </c>
      <c r="K704" s="137">
        <f>IF(VLOOKUP(A704,'Actual Dates'!A4:AE854,26,),'Actual Dates'!AA59,"")</f>
        <v>45910</v>
      </c>
      <c r="L704" s="137">
        <f>IF(VLOOKUP(A704,'Actual Dates'!A4:AE854,21,),'Actual Dates'!T59,"")</f>
        <v>45860</v>
      </c>
      <c r="M704" s="137">
        <f>'Date Calcs'!AF64</f>
        <v>45911</v>
      </c>
      <c r="N704" s="137">
        <f>IF(VLOOKUP(A704,'Actual Dates'!A4:AE854,27,),'Actual Dates'!AD59,"")</f>
        <v>45911</v>
      </c>
      <c r="O704" s="138">
        <f t="shared" si="78"/>
        <v>78</v>
      </c>
      <c r="P704" s="139">
        <f t="shared" si="82"/>
        <v>0</v>
      </c>
      <c r="Q704" s="139">
        <f t="shared" si="83"/>
        <v>0</v>
      </c>
      <c r="R704" s="170"/>
      <c r="S704" s="170"/>
    </row>
    <row r="705" spans="1:19" x14ac:dyDescent="0.25">
      <c r="A705" s="134" t="str">
        <f>'Date Calcs'!A65</f>
        <v>25-079</v>
      </c>
      <c r="B705" s="135" t="str">
        <f>'Date Calcs'!B65</f>
        <v>Epic Systems</v>
      </c>
      <c r="C705" s="136">
        <f>'Date Calcs'!C65</f>
        <v>45833</v>
      </c>
      <c r="D705" s="137">
        <f t="shared" si="79"/>
        <v>45853</v>
      </c>
      <c r="E705" s="143">
        <v>44728</v>
      </c>
      <c r="F705" s="137">
        <f>'Date Calcs'!H65</f>
        <v>45854</v>
      </c>
      <c r="G705" s="137">
        <f>IF(VLOOKUP(A705,'Actual Dates'!A4:AE832,8,),'Actual Dates'!H60,"")</f>
        <v>45854</v>
      </c>
      <c r="H705" s="137">
        <f t="shared" si="80"/>
        <v>45891</v>
      </c>
      <c r="I705" s="137">
        <f>IF(VLOOKUP(A705,'Actual Dates'!A4:AE827,25,),'Actual Dates'!Z60,"")</f>
        <v>45898</v>
      </c>
      <c r="J705" s="137">
        <f t="shared" si="81"/>
        <v>45894</v>
      </c>
      <c r="K705" s="137">
        <f>IF(VLOOKUP(A705,'Actual Dates'!A4:AE855,26,),'Actual Dates'!AA60,"")</f>
        <v>45952</v>
      </c>
      <c r="L705" s="137">
        <f>IF(VLOOKUP(A705,'Actual Dates'!A4:AE855,21,),'Actual Dates'!T60,"")</f>
        <v>45888</v>
      </c>
      <c r="M705" s="137">
        <f>'Date Calcs'!AF65</f>
        <v>45911</v>
      </c>
      <c r="N705" s="137">
        <f>IF(VLOOKUP(A705,'Actual Dates'!A4:AE855,27,),'Actual Dates'!AD60,"")</f>
        <v>45960</v>
      </c>
      <c r="O705" s="138">
        <f t="shared" si="78"/>
        <v>127</v>
      </c>
      <c r="P705" s="139">
        <f t="shared" si="82"/>
        <v>0</v>
      </c>
      <c r="Q705" s="139">
        <f t="shared" si="83"/>
        <v>-49</v>
      </c>
      <c r="R705" s="170"/>
      <c r="S705" s="170"/>
    </row>
    <row r="706" spans="1:19" x14ac:dyDescent="0.25">
      <c r="A706" s="134" t="str">
        <f>'Date Calcs'!A66</f>
        <v>25-080</v>
      </c>
      <c r="B706" s="135" t="str">
        <f>'Date Calcs'!B66</f>
        <v>Domtar</v>
      </c>
      <c r="C706" s="136">
        <f>'Date Calcs'!C66</f>
        <v>45835</v>
      </c>
      <c r="D706" s="137">
        <f t="shared" si="79"/>
        <v>45855</v>
      </c>
      <c r="E706" s="143">
        <v>44729</v>
      </c>
      <c r="F706" s="137">
        <f>'Date Calcs'!H66</f>
        <v>45856</v>
      </c>
      <c r="G706" s="137">
        <f>IF(VLOOKUP(A706,'Actual Dates'!A4:AE833,8,),'Actual Dates'!H61,"")</f>
        <v>45866</v>
      </c>
      <c r="H706" s="137">
        <f t="shared" si="80"/>
        <v>45891</v>
      </c>
      <c r="I706" s="137">
        <f>IF(VLOOKUP(A706,'Actual Dates'!A4:AE828,25,),'Actual Dates'!Z61,"")</f>
        <v>45890</v>
      </c>
      <c r="J706" s="137">
        <f t="shared" si="81"/>
        <v>45894</v>
      </c>
      <c r="K706" s="137">
        <f>IF(VLOOKUP(A706,'Actual Dates'!A4:AE856,26,),'Actual Dates'!AA61,"")</f>
        <v>45897</v>
      </c>
      <c r="L706" s="137">
        <f>IF(VLOOKUP(A706,'Actual Dates'!A4:AE856,21,),'Actual Dates'!T61,"")</f>
        <v>45888</v>
      </c>
      <c r="M706" s="137">
        <f>'Date Calcs'!AF66</f>
        <v>45893</v>
      </c>
      <c r="N706" s="137">
        <f>IF(VLOOKUP(A706,'Actual Dates'!A4:AE856,27,),'Actual Dates'!AD61,"")</f>
        <v>45897</v>
      </c>
      <c r="O706" s="138">
        <f t="shared" si="78"/>
        <v>62</v>
      </c>
      <c r="P706" s="139">
        <f t="shared" si="82"/>
        <v>-10</v>
      </c>
      <c r="Q706" s="139">
        <f t="shared" si="83"/>
        <v>-4</v>
      </c>
      <c r="R706" s="170"/>
      <c r="S706" s="170"/>
    </row>
    <row r="707" spans="1:19" x14ac:dyDescent="0.25">
      <c r="A707" s="134" t="str">
        <f>'Date Calcs'!A67</f>
        <v>25-083</v>
      </c>
      <c r="B707" s="135" t="str">
        <f>'Date Calcs'!B67</f>
        <v>Synthomer</v>
      </c>
      <c r="C707" s="136">
        <f>'Date Calcs'!C67</f>
        <v>45853</v>
      </c>
      <c r="D707" s="137">
        <f t="shared" si="79"/>
        <v>45873</v>
      </c>
      <c r="E707" s="143">
        <v>44730</v>
      </c>
      <c r="F707" s="137">
        <f>'Date Calcs'!H67</f>
        <v>45874</v>
      </c>
      <c r="G707" s="137">
        <f>IF(VLOOKUP(A707,'Actual Dates'!A4:AE834,8,),'Actual Dates'!H62,"")</f>
        <v>45861</v>
      </c>
      <c r="H707" s="137">
        <f t="shared" si="80"/>
        <v>45897</v>
      </c>
      <c r="I707" s="137">
        <f>IF(VLOOKUP(A707,'Actual Dates'!A4:AE829,25,),'Actual Dates'!Z62,"")</f>
        <v>45812</v>
      </c>
      <c r="J707" s="137">
        <f t="shared" si="81"/>
        <v>45898</v>
      </c>
      <c r="K707" s="137">
        <f>IF(VLOOKUP(A707,'Actual Dates'!A4:AE857,26,),'Actual Dates'!AA62,"")</f>
        <v>45953</v>
      </c>
      <c r="L707" s="137">
        <f>IF(VLOOKUP(A707,'Actual Dates'!A4:AE857,21,),'Actual Dates'!T62,"")</f>
        <v>45894</v>
      </c>
      <c r="M707" s="137">
        <f>'Date Calcs'!AF67</f>
        <v>46079</v>
      </c>
      <c r="N707" s="137">
        <f>IF(VLOOKUP(A707,'Actual Dates'!A4:AE857,27,),'Actual Dates'!AD62,"")</f>
        <v>45961</v>
      </c>
      <c r="O707" s="138">
        <f t="shared" si="78"/>
        <v>108</v>
      </c>
      <c r="P707" s="139">
        <f t="shared" si="82"/>
        <v>13</v>
      </c>
      <c r="Q707" s="139">
        <f t="shared" si="83"/>
        <v>118</v>
      </c>
      <c r="R707" s="170"/>
      <c r="S707" s="170"/>
    </row>
    <row r="708" spans="1:19" x14ac:dyDescent="0.25">
      <c r="A708" s="134" t="str">
        <f>'Date Calcs'!A68</f>
        <v>25-084</v>
      </c>
      <c r="B708" s="135" t="str">
        <f>'Date Calcs'!B68</f>
        <v>Atlas Minerals</v>
      </c>
      <c r="C708" s="136">
        <f>'Date Calcs'!C68</f>
        <v>45856</v>
      </c>
      <c r="D708" s="137">
        <f t="shared" si="79"/>
        <v>45876</v>
      </c>
      <c r="E708" s="143">
        <v>44731</v>
      </c>
      <c r="F708" s="137">
        <f>'Date Calcs'!H68</f>
        <v>45877</v>
      </c>
      <c r="G708" s="137">
        <f>IF(VLOOKUP(A708,'Actual Dates'!A4:AE835,8,),'Actual Dates'!H63,"")</f>
        <v>45859</v>
      </c>
      <c r="H708" s="137">
        <f t="shared" si="80"/>
        <v>45897</v>
      </c>
      <c r="I708" s="137">
        <f>IF(VLOOKUP(A708,'Actual Dates'!A4:AE830,25,),'Actual Dates'!Z63,"")</f>
        <v>45903</v>
      </c>
      <c r="J708" s="137">
        <f t="shared" si="81"/>
        <v>45898</v>
      </c>
      <c r="K708" s="137">
        <f>IF(VLOOKUP(A708,'Actual Dates'!A4:AE858,26,),'Actual Dates'!AA63,"")</f>
        <v>45953</v>
      </c>
      <c r="L708" s="137">
        <f>IF(VLOOKUP(A708,'Actual Dates'!A4:AE858,21,),'Actual Dates'!T63,"")</f>
        <v>45894</v>
      </c>
      <c r="M708" s="137">
        <f>'Date Calcs'!AF68</f>
        <v>45989</v>
      </c>
      <c r="N708" s="137">
        <f>IF(VLOOKUP(A708,'Actual Dates'!A4:AE858,27,),'Actual Dates'!AD63,"")</f>
        <v>45966</v>
      </c>
      <c r="O708" s="138">
        <f t="shared" si="78"/>
        <v>110</v>
      </c>
      <c r="P708" s="139">
        <f t="shared" si="82"/>
        <v>18</v>
      </c>
      <c r="Q708" s="139">
        <f t="shared" si="83"/>
        <v>23</v>
      </c>
      <c r="R708" s="170"/>
      <c r="S708" s="170"/>
    </row>
    <row r="709" spans="1:19" x14ac:dyDescent="0.25">
      <c r="A709" s="134" t="str">
        <f>'Date Calcs'!A69</f>
        <v>25-085</v>
      </c>
      <c r="B709" s="135" t="str">
        <f>'Date Calcs'!B69</f>
        <v>Noah Industrial</v>
      </c>
      <c r="C709" s="136">
        <f>'Date Calcs'!C69</f>
        <v>45860</v>
      </c>
      <c r="D709" s="137">
        <f t="shared" si="79"/>
        <v>45880</v>
      </c>
      <c r="E709" s="143">
        <v>44732</v>
      </c>
      <c r="F709" s="137">
        <f>'Date Calcs'!H69</f>
        <v>45881</v>
      </c>
      <c r="G709" s="137">
        <f>IF(VLOOKUP(A709,'Actual Dates'!A4:AE836,8,),'Actual Dates'!H64,"")</f>
        <v>45859</v>
      </c>
      <c r="H709" s="137">
        <f t="shared" si="80"/>
        <v>45897</v>
      </c>
      <c r="I709" s="137">
        <f>IF(VLOOKUP(A709,'Actual Dates'!A4:AE831,25,),'Actual Dates'!Z64,"")</f>
        <v>45903</v>
      </c>
      <c r="J709" s="137">
        <f t="shared" si="81"/>
        <v>45898</v>
      </c>
      <c r="K709" s="137">
        <f>IF(VLOOKUP(A709,'Actual Dates'!A4:AE859,26,),'Actual Dates'!AA64,"")</f>
        <v>45953</v>
      </c>
      <c r="L709" s="137">
        <f>IF(VLOOKUP(A709,'Actual Dates'!A4:AE859,21,),'Actual Dates'!T64,"")</f>
        <v>45894</v>
      </c>
      <c r="M709" s="137">
        <f>'Date Calcs'!AF69</f>
        <v>45907</v>
      </c>
      <c r="N709" s="137">
        <f>IF(VLOOKUP(A709,'Actual Dates'!A4:AE859,27,),'Actual Dates'!AD64,"")</f>
        <v>45966</v>
      </c>
      <c r="O709" s="138">
        <f t="shared" si="78"/>
        <v>106</v>
      </c>
      <c r="P709" s="139">
        <f t="shared" si="82"/>
        <v>22</v>
      </c>
      <c r="Q709" s="139">
        <f t="shared" si="83"/>
        <v>-59</v>
      </c>
      <c r="R709" s="170"/>
      <c r="S709" s="170"/>
    </row>
    <row r="710" spans="1:19" x14ac:dyDescent="0.25">
      <c r="A710" s="134" t="str">
        <f>'Date Calcs'!A70</f>
        <v>25-086</v>
      </c>
      <c r="B710" s="135" t="str">
        <f>'Date Calcs'!B70</f>
        <v>Tellus</v>
      </c>
      <c r="C710" s="136">
        <f>'Date Calcs'!C70</f>
        <v>45868</v>
      </c>
      <c r="D710" s="137">
        <f t="shared" si="79"/>
        <v>45867</v>
      </c>
      <c r="E710" s="143">
        <v>44733</v>
      </c>
      <c r="F710" s="137">
        <f>'Date Calcs'!H70</f>
        <v>45868</v>
      </c>
      <c r="G710" s="137">
        <f>IF(VLOOKUP(A710,'Actual Dates'!A4:AE837,8,),'Actual Dates'!H65,"")</f>
        <v>45856</v>
      </c>
      <c r="H710" s="137" t="e">
        <f t="shared" si="80"/>
        <v>#VALUE!</v>
      </c>
      <c r="I710" s="137">
        <f>IF(VLOOKUP(A710,'Actual Dates'!A4:AE832,25,),'Actual Dates'!Z65,"")</f>
        <v>45910</v>
      </c>
      <c r="J710" s="137" t="e">
        <f t="shared" si="81"/>
        <v>#VALUE!</v>
      </c>
      <c r="K710" s="137">
        <f>IF(VLOOKUP(A710,'Actual Dates'!A4:AE860,26,),'Actual Dates'!AA65,"")</f>
        <v>45923</v>
      </c>
      <c r="L710" s="137" t="str">
        <f>IF(VLOOKUP(A710,'Actual Dates'!A4:AE860,21,),'Actual Dates'!T65,"")</f>
        <v/>
      </c>
      <c r="M710" s="137">
        <f>'Date Calcs'!AF70</f>
        <v>46046</v>
      </c>
      <c r="N710" s="137">
        <f>IF(VLOOKUP(A710,'Actual Dates'!A4:AE860,27,),'Actual Dates'!AD65,"")</f>
        <v>45960</v>
      </c>
      <c r="O710" s="138">
        <f t="shared" si="78"/>
        <v>92</v>
      </c>
      <c r="P710" s="139">
        <f t="shared" si="82"/>
        <v>12</v>
      </c>
      <c r="Q710" s="139">
        <f t="shared" si="83"/>
        <v>86</v>
      </c>
      <c r="R710" s="170"/>
      <c r="S710" s="170"/>
    </row>
    <row r="711" spans="1:19" x14ac:dyDescent="0.25">
      <c r="A711" s="134" t="str">
        <f>'Date Calcs'!A71</f>
        <v>25-087</v>
      </c>
      <c r="B711" s="135" t="str">
        <f>'Date Calcs'!B71</f>
        <v>Solvay</v>
      </c>
      <c r="C711" s="136">
        <f>'Date Calcs'!C71</f>
        <v>45876</v>
      </c>
      <c r="D711" s="137">
        <f t="shared" si="79"/>
        <v>45896</v>
      </c>
      <c r="E711" s="143">
        <v>44734</v>
      </c>
      <c r="F711" s="137">
        <f>'Date Calcs'!H71</f>
        <v>45897</v>
      </c>
      <c r="G711" s="137" t="e">
        <f>IF(VLOOKUP(A711,'Actual Dates'!A4:AE838,8,),'Actual Dates'!#REF!,"")</f>
        <v>#REF!</v>
      </c>
      <c r="H711" s="137" t="e">
        <f t="shared" si="80"/>
        <v>#REF!</v>
      </c>
      <c r="I711" s="137" t="e">
        <f>IF(VLOOKUP(A711,'Actual Dates'!A4:AE833,25,),'Actual Dates'!#REF!,"")</f>
        <v>#REF!</v>
      </c>
      <c r="J711" s="137" t="e">
        <f t="shared" si="81"/>
        <v>#REF!</v>
      </c>
      <c r="K711" s="137" t="e">
        <f>IF(VLOOKUP(A711,'Actual Dates'!A4:AE861,26,),'Actual Dates'!#REF!,"")</f>
        <v>#REF!</v>
      </c>
      <c r="L711" s="137" t="e">
        <f>IF(VLOOKUP(A711,'Actual Dates'!A4:AE861,21,),'Actual Dates'!#REF!,"")</f>
        <v>#REF!</v>
      </c>
      <c r="M711" s="137">
        <f>'Date Calcs'!AF71</f>
        <v>45932</v>
      </c>
      <c r="N711" s="137" t="e">
        <f>IF(VLOOKUP(A711,'Actual Dates'!A4:AE861,27,),'Actual Dates'!#REF!,"")</f>
        <v>#REF!</v>
      </c>
      <c r="O711" s="138" t="e">
        <f t="shared" si="78"/>
        <v>#REF!</v>
      </c>
      <c r="P711" s="139" t="e">
        <f t="shared" si="82"/>
        <v>#REF!</v>
      </c>
      <c r="Q711" s="139" t="e">
        <f t="shared" si="83"/>
        <v>#REF!</v>
      </c>
      <c r="R711" s="170"/>
      <c r="S711" s="170"/>
    </row>
    <row r="712" spans="1:19" x14ac:dyDescent="0.25">
      <c r="A712" s="134" t="str">
        <f>'Date Calcs'!A72</f>
        <v>25-088</v>
      </c>
      <c r="B712" s="135" t="str">
        <f>'Date Calcs'!B72</f>
        <v>CIL Isotopes</v>
      </c>
      <c r="C712" s="136">
        <f>'Date Calcs'!C72</f>
        <v>45882</v>
      </c>
      <c r="D712" s="137">
        <f t="shared" si="79"/>
        <v>45902</v>
      </c>
      <c r="E712" s="143">
        <v>44735</v>
      </c>
      <c r="F712" s="137">
        <f>'Date Calcs'!H72</f>
        <v>45903</v>
      </c>
      <c r="G712" s="137">
        <f>IF(VLOOKUP(A712,'Actual Dates'!A4:AE839,8,),'Actual Dates'!H66,"")</f>
        <v>45884</v>
      </c>
      <c r="H712" s="137">
        <f t="shared" si="80"/>
        <v>45968</v>
      </c>
      <c r="I712" s="137">
        <f>IF(VLOOKUP(A712,'Actual Dates'!A4:AE834,25,),'Actual Dates'!Z66,"")</f>
        <v>45972</v>
      </c>
      <c r="J712" s="137">
        <f t="shared" si="81"/>
        <v>45971</v>
      </c>
      <c r="K712" s="137">
        <f>IF(VLOOKUP(A712,'Actual Dates'!A4:AE862,26,),'Actual Dates'!AA66,"")</f>
        <v>45985</v>
      </c>
      <c r="L712" s="137">
        <f>IF(VLOOKUP(A712,'Actual Dates'!A4:AE862,21,),'Actual Dates'!T66,"")</f>
        <v>45965</v>
      </c>
      <c r="M712" s="137">
        <f>'Date Calcs'!AF72</f>
        <v>45933</v>
      </c>
      <c r="N712" s="137">
        <f>IF(VLOOKUP(A712,'Actual Dates'!A4:AE862,27,),'Actual Dates'!AD66,"")</f>
        <v>45985</v>
      </c>
      <c r="O712" s="138">
        <f t="shared" si="78"/>
        <v>103</v>
      </c>
      <c r="P712" s="139">
        <f t="shared" si="82"/>
        <v>19</v>
      </c>
      <c r="Q712" s="139">
        <f t="shared" si="83"/>
        <v>-52</v>
      </c>
      <c r="R712" s="170"/>
      <c r="S712" s="170"/>
    </row>
    <row r="713" spans="1:19" x14ac:dyDescent="0.25">
      <c r="A713" s="134" t="str">
        <f>'Date Calcs'!A73</f>
        <v>25-089</v>
      </c>
      <c r="B713" s="135" t="str">
        <f>'Date Calcs'!B73</f>
        <v>Valmet</v>
      </c>
      <c r="C713" s="136">
        <f>'Date Calcs'!C73</f>
        <v>45891</v>
      </c>
      <c r="D713" s="137">
        <f t="shared" si="79"/>
        <v>45919</v>
      </c>
      <c r="E713" s="143">
        <v>44736</v>
      </c>
      <c r="F713" s="137">
        <f>'Date Calcs'!H73</f>
        <v>45922.5</v>
      </c>
      <c r="G713" s="137">
        <f>IF(VLOOKUP(A713,'Actual Dates'!A4:AE840,8,),'Actual Dates'!H67,"")</f>
        <v>45877</v>
      </c>
      <c r="H713" s="137">
        <f t="shared" si="80"/>
        <v>45968</v>
      </c>
      <c r="I713" s="137">
        <f>IF(VLOOKUP(A713,'Actual Dates'!A4:AE835,25,),'Actual Dates'!Z67,"")</f>
        <v>45966</v>
      </c>
      <c r="J713" s="137">
        <f t="shared" si="81"/>
        <v>45971</v>
      </c>
      <c r="K713" s="137">
        <f>IF(VLOOKUP(A713,'Actual Dates'!A4:AE863,26,),'Actual Dates'!AA67,"")</f>
        <v>45985</v>
      </c>
      <c r="L713" s="137">
        <f>IF(VLOOKUP(A713,'Actual Dates'!A4:AE863,21,),'Actual Dates'!T67,"")</f>
        <v>45965</v>
      </c>
      <c r="M713" s="137">
        <f>'Date Calcs'!AF73</f>
        <v>46006</v>
      </c>
      <c r="N713" s="137">
        <f>IF(VLOOKUP(A713,'Actual Dates'!A4:AE863,27,),'Actual Dates'!AD67,"")</f>
        <v>45985</v>
      </c>
      <c r="O713" s="138">
        <f t="shared" si="78"/>
        <v>94</v>
      </c>
      <c r="P713" s="139">
        <f t="shared" si="82"/>
        <v>45.5</v>
      </c>
      <c r="Q713" s="139">
        <f t="shared" si="83"/>
        <v>21</v>
      </c>
      <c r="R713" s="170"/>
      <c r="S713" s="170"/>
    </row>
    <row r="714" spans="1:19" x14ac:dyDescent="0.25">
      <c r="A714" s="134" t="str">
        <f>'Date Calcs'!A74</f>
        <v>25-090</v>
      </c>
      <c r="B714" s="135" t="str">
        <f>'Date Calcs'!B74</f>
        <v>GAF</v>
      </c>
      <c r="C714" s="136">
        <f>'Date Calcs'!C74</f>
        <v>45887</v>
      </c>
      <c r="D714" s="137">
        <f t="shared" si="79"/>
        <v>45891</v>
      </c>
      <c r="E714" s="143">
        <v>44737</v>
      </c>
      <c r="F714" s="137">
        <f>'Date Calcs'!H74</f>
        <v>45894</v>
      </c>
      <c r="G714" s="137">
        <f>IF(VLOOKUP(A714,'Actual Dates'!A4:AE841,8,),'Actual Dates'!H68,"")</f>
        <v>45881</v>
      </c>
      <c r="H714" s="137">
        <f t="shared" si="80"/>
        <v>45891</v>
      </c>
      <c r="I714" s="137" t="str">
        <f>IF(VLOOKUP(A714,'Actual Dates'!A4:AE836,25,),'Actual Dates'!Z68,"")</f>
        <v/>
      </c>
      <c r="J714" s="137">
        <f t="shared" si="81"/>
        <v>45894</v>
      </c>
      <c r="K714" s="137" t="e">
        <f>IF(VLOOKUP(A714,'Actual Dates'!A4:AE864,26,),'Actual Dates'!AA68,"")</f>
        <v>#VALUE!</v>
      </c>
      <c r="L714" s="137">
        <f>IF(VLOOKUP(A714,'Actual Dates'!A4:AE864,21,),'Actual Dates'!T68,"")</f>
        <v>45888</v>
      </c>
      <c r="M714" s="137">
        <f>'Date Calcs'!AF74</f>
        <v>45929</v>
      </c>
      <c r="N714" s="137" t="str">
        <f>IF(VLOOKUP(A714,'Actual Dates'!A4:AE864,27,),'Actual Dates'!AD68,"")</f>
        <v/>
      </c>
      <c r="O714" s="138" t="e">
        <f t="shared" si="78"/>
        <v>#VALUE!</v>
      </c>
      <c r="P714" s="139">
        <f t="shared" si="82"/>
        <v>13</v>
      </c>
      <c r="Q714" s="139" t="e">
        <f t="shared" si="83"/>
        <v>#VALUE!</v>
      </c>
      <c r="R714" s="170"/>
      <c r="S714" s="170"/>
    </row>
    <row r="715" spans="1:19" x14ac:dyDescent="0.25">
      <c r="A715" s="134" t="str">
        <f>'Date Calcs'!A75</f>
        <v>25-091</v>
      </c>
      <c r="B715" s="135" t="str">
        <f>'Date Calcs'!B75</f>
        <v>US Sugar</v>
      </c>
      <c r="C715" s="136">
        <f>'Date Calcs'!C75</f>
        <v>45904</v>
      </c>
      <c r="D715" s="137">
        <f t="shared" si="79"/>
        <v>45910</v>
      </c>
      <c r="E715" s="143">
        <v>44738</v>
      </c>
      <c r="F715" s="137">
        <f>'Date Calcs'!H75</f>
        <v>45911</v>
      </c>
      <c r="G715" s="137">
        <f>IF(VLOOKUP(A715,'Actual Dates'!A4:AE842,8,),'Actual Dates'!H69,"")</f>
        <v>46022</v>
      </c>
      <c r="H715" s="137" t="e">
        <f t="shared" si="80"/>
        <v>#VALUE!</v>
      </c>
      <c r="I715" s="137">
        <f>IF(VLOOKUP(A715,'Actual Dates'!A4:AE837,25,),'Actual Dates'!Z69,"")</f>
        <v>45896</v>
      </c>
      <c r="J715" s="137" t="e">
        <f t="shared" si="81"/>
        <v>#VALUE!</v>
      </c>
      <c r="K715" s="137">
        <f>IF(VLOOKUP(A715,'Actual Dates'!A4:AE865,26,),'Actual Dates'!AA69,"")</f>
        <v>45894</v>
      </c>
      <c r="L715" s="137" t="str">
        <f>IF(VLOOKUP(A715,'Actual Dates'!A4:AE865,21,),'Actual Dates'!T69,"")</f>
        <v/>
      </c>
      <c r="M715" s="137">
        <f>'Date Calcs'!AF75</f>
        <v>46046</v>
      </c>
      <c r="N715" s="137">
        <f>IF(VLOOKUP(A715,'Actual Dates'!A4:AE865,27,),'Actual Dates'!AD69,"")</f>
        <v>45895</v>
      </c>
      <c r="O715" s="138">
        <f t="shared" ref="O715:O749" si="84">N715-C715</f>
        <v>-9</v>
      </c>
      <c r="P715" s="139">
        <f t="shared" si="82"/>
        <v>-111</v>
      </c>
      <c r="Q715" s="139">
        <f t="shared" si="83"/>
        <v>151</v>
      </c>
      <c r="R715" s="170"/>
      <c r="S715" s="170"/>
    </row>
    <row r="716" spans="1:19" x14ac:dyDescent="0.25">
      <c r="A716" s="134" t="str">
        <f>'Date Calcs'!A76</f>
        <v>25-092</v>
      </c>
      <c r="B716" s="135" t="str">
        <f>'Date Calcs'!B76</f>
        <v>Symrise</v>
      </c>
      <c r="C716" s="136">
        <f>'Date Calcs'!C76</f>
        <v>45910</v>
      </c>
      <c r="D716" s="137">
        <f t="shared" si="79"/>
        <v>45937</v>
      </c>
      <c r="E716" s="143">
        <v>44739</v>
      </c>
      <c r="F716" s="137">
        <f>'Date Calcs'!H76</f>
        <v>45938</v>
      </c>
      <c r="G716" s="137">
        <f>IF(VLOOKUP(A716,'Actual Dates'!A4:AE843,8,),'Actual Dates'!H70,"")</f>
        <v>45897</v>
      </c>
      <c r="H716" s="137">
        <f t="shared" si="80"/>
        <v>45918</v>
      </c>
      <c r="I716" s="137">
        <f>IF(VLOOKUP(A716,'Actual Dates'!A4:AE838,25,),'Actual Dates'!Z70,"")</f>
        <v>45922</v>
      </c>
      <c r="J716" s="137">
        <f t="shared" si="81"/>
        <v>45919</v>
      </c>
      <c r="K716" s="137">
        <f>IF(VLOOKUP(A716,'Actual Dates'!A4:AE866,26,),'Actual Dates'!AA70,"")</f>
        <v>45922</v>
      </c>
      <c r="L716" s="137">
        <f>IF(VLOOKUP(A716,'Actual Dates'!A4:AE866,21,),'Actual Dates'!T70,"")</f>
        <v>45915</v>
      </c>
      <c r="M716" s="137">
        <f>'Date Calcs'!AF76</f>
        <v>45977</v>
      </c>
      <c r="N716" s="137">
        <f>IF(VLOOKUP(A716,'Actual Dates'!A4:AE866,27,),'Actual Dates'!AD70,"")</f>
        <v>45924</v>
      </c>
      <c r="O716" s="138">
        <f t="shared" si="84"/>
        <v>14</v>
      </c>
      <c r="P716" s="139">
        <f t="shared" si="82"/>
        <v>41</v>
      </c>
      <c r="Q716" s="139">
        <f t="shared" si="83"/>
        <v>53</v>
      </c>
      <c r="R716" s="170"/>
      <c r="S716" s="170"/>
    </row>
    <row r="717" spans="1:19" x14ac:dyDescent="0.25">
      <c r="A717" s="134" t="str">
        <f>'Date Calcs'!A77</f>
        <v>25-093</v>
      </c>
      <c r="B717" s="135" t="str">
        <f>'Date Calcs'!B77</f>
        <v>Symrise</v>
      </c>
      <c r="C717" s="136">
        <f>'Date Calcs'!C77</f>
        <v>45910</v>
      </c>
      <c r="D717" s="137">
        <f t="shared" si="79"/>
        <v>45937</v>
      </c>
      <c r="E717" s="143">
        <v>44740</v>
      </c>
      <c r="F717" s="137">
        <f>'Date Calcs'!H77</f>
        <v>45938</v>
      </c>
      <c r="G717" s="137">
        <f>IF(VLOOKUP(A717,'Actual Dates'!A4:AE844,8,),'Actual Dates'!H71,"")</f>
        <v>45903</v>
      </c>
      <c r="H717" s="137">
        <f t="shared" si="80"/>
        <v>45918</v>
      </c>
      <c r="I717" s="137">
        <f>IF(VLOOKUP(A717,'Actual Dates'!A4:AE839,25,),'Actual Dates'!Z71,"")</f>
        <v>45922</v>
      </c>
      <c r="J717" s="137">
        <f t="shared" si="81"/>
        <v>45919</v>
      </c>
      <c r="K717" s="137">
        <f>IF(VLOOKUP(A717,'Actual Dates'!A4:AE867,26,),'Actual Dates'!AA71,"")</f>
        <v>45922</v>
      </c>
      <c r="L717" s="137">
        <f>IF(VLOOKUP(A717,'Actual Dates'!A4:AE867,21,),'Actual Dates'!T71,"")</f>
        <v>45915</v>
      </c>
      <c r="M717" s="137">
        <f>'Date Calcs'!AF77</f>
        <v>45977</v>
      </c>
      <c r="N717" s="137">
        <f>IF(VLOOKUP(A717,'Actual Dates'!A4:AE867,27,),'Actual Dates'!AD71,"")</f>
        <v>45953</v>
      </c>
      <c r="O717" s="138">
        <f t="shared" si="84"/>
        <v>43</v>
      </c>
      <c r="P717" s="139">
        <f t="shared" si="82"/>
        <v>35</v>
      </c>
      <c r="Q717" s="139">
        <f t="shared" si="83"/>
        <v>24</v>
      </c>
      <c r="R717" s="170"/>
      <c r="S717" s="170"/>
    </row>
    <row r="718" spans="1:19" x14ac:dyDescent="0.25">
      <c r="A718" s="134" t="str">
        <f>'Date Calcs'!A78</f>
        <v>25-094</v>
      </c>
      <c r="B718" s="135" t="str">
        <f>'Date Calcs'!B78</f>
        <v>Kimberly Clark</v>
      </c>
      <c r="C718" s="136">
        <f>'Date Calcs'!C78</f>
        <v>45915</v>
      </c>
      <c r="D718" s="137">
        <f t="shared" si="79"/>
        <v>45933</v>
      </c>
      <c r="E718" s="143">
        <v>44741</v>
      </c>
      <c r="F718" s="137">
        <f>'Date Calcs'!H78</f>
        <v>45936</v>
      </c>
      <c r="G718" s="137">
        <f>IF(VLOOKUP(A718,'Actual Dates'!A4:AE845,8,),'Actual Dates'!H72,"")</f>
        <v>45922</v>
      </c>
      <c r="H718" s="137">
        <f t="shared" si="80"/>
        <v>46000</v>
      </c>
      <c r="I718" s="137">
        <f>IF(VLOOKUP(A718,'Actual Dates'!A4:AE840,25,),'Actual Dates'!Z72,"")</f>
        <v>46000</v>
      </c>
      <c r="J718" s="137">
        <f t="shared" si="81"/>
        <v>46001</v>
      </c>
      <c r="K718" s="137">
        <f>IF(VLOOKUP(A718,'Actual Dates'!A4:AE868,26,),'Actual Dates'!AA72,"")</f>
        <v>46002</v>
      </c>
      <c r="L718" s="137">
        <f>IF(VLOOKUP(A718,'Actual Dates'!A4:AE868,21,),'Actual Dates'!T72,"")</f>
        <v>45995</v>
      </c>
      <c r="M718" s="137">
        <f>'Date Calcs'!AF78</f>
        <v>45974</v>
      </c>
      <c r="N718" s="137">
        <f>IF(VLOOKUP(A718,'Actual Dates'!A4:AE868,27,),'Actual Dates'!AD72,"")</f>
        <v>46007</v>
      </c>
      <c r="O718" s="138">
        <f t="shared" si="84"/>
        <v>92</v>
      </c>
      <c r="P718" s="139">
        <f t="shared" si="82"/>
        <v>14</v>
      </c>
      <c r="Q718" s="139">
        <f t="shared" si="83"/>
        <v>-33</v>
      </c>
      <c r="R718" s="170"/>
      <c r="S718" s="170"/>
    </row>
    <row r="719" spans="1:19" x14ac:dyDescent="0.25">
      <c r="A719" s="134" t="str">
        <f>'Date Calcs'!A79</f>
        <v>25-095</v>
      </c>
      <c r="B719" s="135" t="str">
        <f>'Date Calcs'!B79</f>
        <v>Andritz</v>
      </c>
      <c r="C719" s="136">
        <f>'Date Calcs'!C79</f>
        <v>45919</v>
      </c>
      <c r="D719" s="137">
        <f t="shared" si="79"/>
        <v>45946</v>
      </c>
      <c r="E719" s="143">
        <v>44742</v>
      </c>
      <c r="F719" s="137">
        <f>'Date Calcs'!H79</f>
        <v>45947</v>
      </c>
      <c r="G719" s="137">
        <f>IF(VLOOKUP(A719,'Actual Dates'!A4:AE846,8,),'Actual Dates'!H73,"")</f>
        <v>45891</v>
      </c>
      <c r="H719" s="137" t="e">
        <f t="shared" si="80"/>
        <v>#VALUE!</v>
      </c>
      <c r="I719" s="137" t="str">
        <f>IF(VLOOKUP(A719,'Actual Dates'!A4:AE841,25,),'Actual Dates'!Z73,"")</f>
        <v/>
      </c>
      <c r="J719" s="137" t="e">
        <f t="shared" si="81"/>
        <v>#VALUE!</v>
      </c>
      <c r="K719" s="137" t="e">
        <f>IF(VLOOKUP(A719,'Actual Dates'!A4:AE869,26,),'Actual Dates'!AA73,"")</f>
        <v>#VALUE!</v>
      </c>
      <c r="L719" s="137" t="str">
        <f>IF(VLOOKUP(A719,'Actual Dates'!A4:AE869,21,),'Actual Dates'!T73,"")</f>
        <v/>
      </c>
      <c r="M719" s="137">
        <f>'Date Calcs'!AF79</f>
        <v>46132</v>
      </c>
      <c r="N719" s="137" t="str">
        <f>IF(VLOOKUP(A719,'Actual Dates'!A4:AE869,27,),'Actual Dates'!AD73,"")</f>
        <v/>
      </c>
      <c r="O719" s="138" t="e">
        <f t="shared" si="84"/>
        <v>#VALUE!</v>
      </c>
      <c r="P719" s="139">
        <f t="shared" si="82"/>
        <v>56</v>
      </c>
      <c r="Q719" s="139" t="e">
        <f t="shared" si="83"/>
        <v>#VALUE!</v>
      </c>
      <c r="R719" s="170"/>
      <c r="S719" s="170"/>
    </row>
    <row r="720" spans="1:19" x14ac:dyDescent="0.25">
      <c r="A720" s="134" t="str">
        <f>'Date Calcs'!A80</f>
        <v>25-096</v>
      </c>
      <c r="B720" s="135" t="str">
        <f>'Date Calcs'!B80</f>
        <v>Milliken</v>
      </c>
      <c r="C720" s="136">
        <f>'Date Calcs'!C80</f>
        <v>45922</v>
      </c>
      <c r="D720" s="137">
        <f t="shared" si="79"/>
        <v>45940</v>
      </c>
      <c r="E720" s="143">
        <v>44743</v>
      </c>
      <c r="F720" s="137">
        <f>'Date Calcs'!H80</f>
        <v>45943</v>
      </c>
      <c r="G720" s="137">
        <f>IF(VLOOKUP(A720,'Actual Dates'!A4:AE847,8,),'Actual Dates'!H74,"")</f>
        <v>46022</v>
      </c>
      <c r="H720" s="137">
        <f t="shared" si="80"/>
        <v>4</v>
      </c>
      <c r="I720" s="137">
        <f>IF(VLOOKUP(A720,'Actual Dates'!A4:AE842,25,),'Actual Dates'!Z74,"")</f>
        <v>45923</v>
      </c>
      <c r="J720" s="137">
        <f t="shared" si="81"/>
        <v>5</v>
      </c>
      <c r="K720" s="137">
        <f>IF(VLOOKUP(A720,'Actual Dates'!A4:AE870,26,),'Actual Dates'!AA74,"")</f>
        <v>45922</v>
      </c>
      <c r="L720" s="137">
        <f>IF(VLOOKUP(A720,'Actual Dates'!A4:AE870,21,),'Actual Dates'!T74,"")</f>
        <v>0</v>
      </c>
      <c r="M720" s="137">
        <f>'Date Calcs'!AF80</f>
        <v>45970</v>
      </c>
      <c r="N720" s="137">
        <f>IF(VLOOKUP(A720,'Actual Dates'!A4:AE870,27,),'Actual Dates'!AD74,"")</f>
        <v>45923</v>
      </c>
      <c r="O720" s="138">
        <f t="shared" si="84"/>
        <v>1</v>
      </c>
      <c r="P720" s="139">
        <f t="shared" si="82"/>
        <v>-79</v>
      </c>
      <c r="Q720" s="139">
        <f t="shared" si="83"/>
        <v>47</v>
      </c>
      <c r="R720" s="170"/>
      <c r="S720" s="170"/>
    </row>
    <row r="721" spans="1:19" x14ac:dyDescent="0.25">
      <c r="A721" s="134" t="str">
        <f>'Date Calcs'!A81</f>
        <v>25-097</v>
      </c>
      <c r="B721" s="135" t="str">
        <f>'Date Calcs'!B81</f>
        <v>Milliken</v>
      </c>
      <c r="C721" s="136">
        <f>'Date Calcs'!C81</f>
        <v>45922</v>
      </c>
      <c r="D721" s="137">
        <f t="shared" si="79"/>
        <v>45940</v>
      </c>
      <c r="E721" s="143">
        <v>44744</v>
      </c>
      <c r="F721" s="137">
        <f>'Date Calcs'!H81</f>
        <v>45943</v>
      </c>
      <c r="G721" s="137">
        <f>IF(VLOOKUP(A721,'Actual Dates'!A4:AE848,8,),'Actual Dates'!H75,"")</f>
        <v>45931</v>
      </c>
      <c r="H721" s="137">
        <f t="shared" si="80"/>
        <v>45960</v>
      </c>
      <c r="I721" s="137">
        <f>IF(VLOOKUP(A721,'Actual Dates'!A4:AE843,25,),'Actual Dates'!Z75,"")</f>
        <v>45979</v>
      </c>
      <c r="J721" s="137">
        <f t="shared" si="81"/>
        <v>45961</v>
      </c>
      <c r="K721" s="137">
        <f>IF(VLOOKUP(A721,'Actual Dates'!A4:AE871,26,),'Actual Dates'!AA75,"")</f>
        <v>46031</v>
      </c>
      <c r="L721" s="137">
        <f>IF(VLOOKUP(A721,'Actual Dates'!A4:AE871,21,),'Actual Dates'!T75,"")</f>
        <v>45957</v>
      </c>
      <c r="M721" s="137">
        <f>'Date Calcs'!AF81</f>
        <v>45970</v>
      </c>
      <c r="N721" s="137">
        <f>IF(VLOOKUP(A721,'Actual Dates'!A4:AE871,27,),'Actual Dates'!AD75,"")</f>
        <v>46035</v>
      </c>
      <c r="O721" s="138">
        <f t="shared" si="84"/>
        <v>113</v>
      </c>
      <c r="P721" s="139">
        <f t="shared" si="82"/>
        <v>12</v>
      </c>
      <c r="Q721" s="139">
        <f t="shared" si="83"/>
        <v>-65</v>
      </c>
      <c r="R721" s="170"/>
      <c r="S721" s="170"/>
    </row>
    <row r="722" spans="1:19" x14ac:dyDescent="0.25">
      <c r="A722" s="134" t="str">
        <f>'Date Calcs'!A82</f>
        <v>25-098</v>
      </c>
      <c r="B722" s="135" t="str">
        <f>'Date Calcs'!B82</f>
        <v>Coastal Technologies</v>
      </c>
      <c r="C722" s="136">
        <f>'Date Calcs'!C82</f>
        <v>45924</v>
      </c>
      <c r="D722" s="137">
        <f t="shared" si="79"/>
        <v>45951</v>
      </c>
      <c r="E722" s="143">
        <v>44745</v>
      </c>
      <c r="F722" s="137">
        <f>'Date Calcs'!H82</f>
        <v>45952</v>
      </c>
      <c r="G722" s="137">
        <f>IF(VLOOKUP(A722,'Actual Dates'!A4:AE849,8,),'Actual Dates'!H76,"")</f>
        <v>45931</v>
      </c>
      <c r="H722" s="137">
        <f t="shared" si="80"/>
        <v>45960</v>
      </c>
      <c r="I722" s="137">
        <f>IF(VLOOKUP(A722,'Actual Dates'!A4:AE844,25,),'Actual Dates'!Z76,"")</f>
        <v>45979</v>
      </c>
      <c r="J722" s="137">
        <f t="shared" si="81"/>
        <v>45961</v>
      </c>
      <c r="K722" s="137">
        <f>IF(VLOOKUP(A722,'Actual Dates'!A4:AE872,26,),'Actual Dates'!AA76,"")</f>
        <v>46031</v>
      </c>
      <c r="L722" s="137">
        <f>IF(VLOOKUP(A722,'Actual Dates'!A4:AE872,21,),'Actual Dates'!T76,"")</f>
        <v>45957</v>
      </c>
      <c r="M722" s="137">
        <f>'Date Calcs'!AF82</f>
        <v>46082</v>
      </c>
      <c r="N722" s="137">
        <f>IF(VLOOKUP(A722,'Actual Dates'!A4:AE872,27,),'Actual Dates'!AD76,"")</f>
        <v>46035</v>
      </c>
      <c r="O722" s="138">
        <f t="shared" si="84"/>
        <v>111</v>
      </c>
      <c r="P722" s="139">
        <f t="shared" si="82"/>
        <v>21</v>
      </c>
      <c r="Q722" s="139">
        <f t="shared" si="83"/>
        <v>47</v>
      </c>
      <c r="R722" s="170"/>
      <c r="S722" s="170"/>
    </row>
    <row r="723" spans="1:19" x14ac:dyDescent="0.25">
      <c r="A723" s="134" t="str">
        <f>'Date Calcs'!A83</f>
        <v>25-099</v>
      </c>
      <c r="B723" s="135" t="str">
        <f>'Date Calcs'!B83</f>
        <v>Burke Industrial</v>
      </c>
      <c r="C723" s="136">
        <f>'Date Calcs'!C83</f>
        <v>45932</v>
      </c>
      <c r="D723" s="137">
        <f t="shared" si="79"/>
        <v>45959</v>
      </c>
      <c r="E723" s="143">
        <v>44746</v>
      </c>
      <c r="F723" s="137">
        <f>'Date Calcs'!H83</f>
        <v>45960</v>
      </c>
      <c r="G723" s="137">
        <f>IF(VLOOKUP(A723,'Actual Dates'!A4:AE850,8,),'Actual Dates'!H77,"")</f>
        <v>45936</v>
      </c>
      <c r="H723" s="137">
        <f t="shared" si="80"/>
        <v>45982</v>
      </c>
      <c r="I723" s="137">
        <f>IF(VLOOKUP(A723,'Actual Dates'!A4:AE845,25,),'Actual Dates'!Z77,"")</f>
        <v>45982</v>
      </c>
      <c r="J723" s="137">
        <f t="shared" si="81"/>
        <v>45985</v>
      </c>
      <c r="K723" s="137">
        <f>IF(VLOOKUP(A723,'Actual Dates'!A4:AE873,26,),'Actual Dates'!AA77,"")</f>
        <v>45992</v>
      </c>
      <c r="L723" s="137">
        <f>IF(VLOOKUP(A723,'Actual Dates'!A4:AE873,21,),'Actual Dates'!T77,"")</f>
        <v>45979</v>
      </c>
      <c r="M723" s="137">
        <f>'Date Calcs'!AF83</f>
        <v>45983</v>
      </c>
      <c r="N723" s="137">
        <f>IF(VLOOKUP(A723,'Actual Dates'!A4:AE873,27,),'Actual Dates'!AD77,"")</f>
        <v>46000</v>
      </c>
      <c r="O723" s="138">
        <f t="shared" si="84"/>
        <v>68</v>
      </c>
      <c r="P723" s="139">
        <f t="shared" si="82"/>
        <v>24</v>
      </c>
      <c r="Q723" s="139">
        <f t="shared" si="83"/>
        <v>-17</v>
      </c>
      <c r="R723" s="170"/>
      <c r="S723" s="170"/>
    </row>
    <row r="724" spans="1:19" x14ac:dyDescent="0.25">
      <c r="A724" s="134" t="str">
        <f>'Date Calcs'!A84</f>
        <v>25-101</v>
      </c>
      <c r="B724" s="135" t="str">
        <f>'Date Calcs'!B84</f>
        <v>Harper Love</v>
      </c>
      <c r="C724" s="136">
        <f>'Date Calcs'!C84</f>
        <v>45954</v>
      </c>
      <c r="D724" s="137">
        <f t="shared" si="79"/>
        <v>45981</v>
      </c>
      <c r="E724" s="143">
        <v>44747</v>
      </c>
      <c r="F724" s="137">
        <f>'Date Calcs'!H84</f>
        <v>45982</v>
      </c>
      <c r="G724" s="137">
        <f>IF(VLOOKUP(A724,'Actual Dates'!A4:AE851,8,),'Actual Dates'!H78,"")</f>
        <v>45946</v>
      </c>
      <c r="H724" s="137">
        <f t="shared" si="80"/>
        <v>4</v>
      </c>
      <c r="I724" s="137" t="str">
        <f>IF(VLOOKUP(A724,'Actual Dates'!A4:AE846,25,),'Actual Dates'!Z78,"")</f>
        <v>NA</v>
      </c>
      <c r="J724" s="137">
        <f t="shared" si="81"/>
        <v>5</v>
      </c>
      <c r="K724" s="137">
        <f>IF(VLOOKUP(A724,'Actual Dates'!A4:AE874,26,),'Actual Dates'!AA78,"")</f>
        <v>0</v>
      </c>
      <c r="L724" s="137">
        <f>IF(VLOOKUP(A724,'Actual Dates'!A4:AE874,21,),'Actual Dates'!T78,"")</f>
        <v>0</v>
      </c>
      <c r="M724" s="137">
        <f>'Date Calcs'!AF84</f>
        <v>46016</v>
      </c>
      <c r="N724" s="137">
        <f>IF(VLOOKUP(A724,'Actual Dates'!A4:AE874,27,),'Actual Dates'!AD78,"")</f>
        <v>0</v>
      </c>
      <c r="O724" s="138">
        <f t="shared" si="84"/>
        <v>-45954</v>
      </c>
      <c r="P724" s="139">
        <f t="shared" si="82"/>
        <v>36</v>
      </c>
      <c r="Q724" s="139">
        <f t="shared" si="83"/>
        <v>46016</v>
      </c>
      <c r="R724" s="170"/>
      <c r="S724" s="170"/>
    </row>
    <row r="725" spans="1:19" x14ac:dyDescent="0.25">
      <c r="A725" s="134" t="str">
        <f>'Date Calcs'!A85</f>
        <v>25-102</v>
      </c>
      <c r="B725" s="135" t="str">
        <f>'Date Calcs'!B85</f>
        <v>Epic Systems</v>
      </c>
      <c r="C725" s="136">
        <f>'Date Calcs'!C85</f>
        <v>45968</v>
      </c>
      <c r="D725" s="137">
        <f t="shared" si="79"/>
        <v>46002</v>
      </c>
      <c r="E725" s="143">
        <v>44748</v>
      </c>
      <c r="F725" s="137">
        <f>'Date Calcs'!H85</f>
        <v>46003</v>
      </c>
      <c r="G725" s="137">
        <f>IF(VLOOKUP(A725,'Actual Dates'!A4:AE852,8,),'Actual Dates'!H79,"")</f>
        <v>45945</v>
      </c>
      <c r="H725" s="137">
        <f t="shared" si="80"/>
        <v>45958</v>
      </c>
      <c r="I725" s="137" t="str">
        <f>IF(VLOOKUP(A725,'Actual Dates'!A4:AE847,25,),'Actual Dates'!Z79,"")</f>
        <v/>
      </c>
      <c r="J725" s="137">
        <f t="shared" si="81"/>
        <v>45959</v>
      </c>
      <c r="K725" s="137">
        <f>IF(VLOOKUP(A725,'Actual Dates'!A4:AE875,26,),'Actual Dates'!AA79,"")</f>
        <v>45992</v>
      </c>
      <c r="L725" s="137">
        <f>IF(VLOOKUP(A725,'Actual Dates'!A4:AE875,21,),'Actual Dates'!T79,"")</f>
        <v>45953</v>
      </c>
      <c r="M725" s="137">
        <f>'Date Calcs'!AF85</f>
        <v>46096</v>
      </c>
      <c r="N725" s="137" t="str">
        <f>IF(VLOOKUP(A725,'Actual Dates'!A4:AE875,27,),'Actual Dates'!AD79,"")</f>
        <v/>
      </c>
      <c r="O725" s="138" t="e">
        <f t="shared" si="84"/>
        <v>#VALUE!</v>
      </c>
      <c r="P725" s="139">
        <f t="shared" si="82"/>
        <v>58</v>
      </c>
      <c r="Q725" s="139" t="e">
        <f t="shared" si="83"/>
        <v>#VALUE!</v>
      </c>
      <c r="R725" s="170"/>
      <c r="S725" s="170"/>
    </row>
    <row r="726" spans="1:19" x14ac:dyDescent="0.25">
      <c r="A726" s="134" t="str">
        <f>'Date Calcs'!A86</f>
        <v>25-103</v>
      </c>
      <c r="B726" s="135" t="str">
        <f>'Date Calcs'!B86</f>
        <v>Epic Systems</v>
      </c>
      <c r="C726" s="136">
        <f>'Date Calcs'!C86</f>
        <v>45968</v>
      </c>
      <c r="D726" s="137">
        <f t="shared" si="79"/>
        <v>46002</v>
      </c>
      <c r="E726" s="143">
        <v>44749</v>
      </c>
      <c r="F726" s="137">
        <f>'Date Calcs'!H86</f>
        <v>46003</v>
      </c>
      <c r="G726" s="137">
        <f>IF(VLOOKUP(A726,'Actual Dates'!A4:AE853,8,),'Actual Dates'!H80,"")</f>
        <v>45945</v>
      </c>
      <c r="H726" s="137">
        <f t="shared" si="80"/>
        <v>45958</v>
      </c>
      <c r="I726" s="137" t="str">
        <f>IF(VLOOKUP(A726,'Actual Dates'!A4:AE848,25,),'Actual Dates'!Z80,"")</f>
        <v/>
      </c>
      <c r="J726" s="137">
        <f t="shared" si="81"/>
        <v>45959</v>
      </c>
      <c r="K726" s="137">
        <f>IF(VLOOKUP(A726,'Actual Dates'!A4:AE876,26,),'Actual Dates'!AA80,"")</f>
        <v>45992</v>
      </c>
      <c r="L726" s="137">
        <f>IF(VLOOKUP(A726,'Actual Dates'!A4:AE876,21,),'Actual Dates'!T80,"")</f>
        <v>45953</v>
      </c>
      <c r="M726" s="137">
        <f>'Date Calcs'!AF86</f>
        <v>46096</v>
      </c>
      <c r="N726" s="137" t="str">
        <f>IF(VLOOKUP(A726,'Actual Dates'!A4:AE876,27,),'Actual Dates'!AD80,"")</f>
        <v/>
      </c>
      <c r="O726" s="138" t="e">
        <f t="shared" si="84"/>
        <v>#VALUE!</v>
      </c>
      <c r="P726" s="139">
        <f t="shared" si="82"/>
        <v>58</v>
      </c>
      <c r="Q726" s="139" t="e">
        <f t="shared" si="83"/>
        <v>#VALUE!</v>
      </c>
      <c r="R726" s="170"/>
      <c r="S726" s="170"/>
    </row>
    <row r="727" spans="1:19" x14ac:dyDescent="0.25">
      <c r="A727" s="134" t="str">
        <f>'Date Calcs'!A87</f>
        <v>25-104</v>
      </c>
      <c r="B727" s="135" t="str">
        <f>'Date Calcs'!B87</f>
        <v>Epic Systems</v>
      </c>
      <c r="C727" s="136">
        <f>'Date Calcs'!C87</f>
        <v>45968</v>
      </c>
      <c r="D727" s="137">
        <f t="shared" si="79"/>
        <v>46002</v>
      </c>
      <c r="E727" s="143">
        <v>44750</v>
      </c>
      <c r="F727" s="137">
        <f>'Date Calcs'!H87</f>
        <v>46003</v>
      </c>
      <c r="G727" s="137">
        <f>IF(VLOOKUP(A727,'Actual Dates'!A4:AE854,8,),'Actual Dates'!H81,"")</f>
        <v>45952</v>
      </c>
      <c r="H727" s="137">
        <f t="shared" si="80"/>
        <v>45965</v>
      </c>
      <c r="I727" s="137" t="str">
        <f>IF(VLOOKUP(A727,'Actual Dates'!A4:AE849,25,),'Actual Dates'!Z81,"")</f>
        <v/>
      </c>
      <c r="J727" s="137">
        <f t="shared" si="81"/>
        <v>45966</v>
      </c>
      <c r="K727" s="137">
        <f>IF(VLOOKUP(A727,'Actual Dates'!A4:AE877,26,),'Actual Dates'!AA81,"")</f>
        <v>46037</v>
      </c>
      <c r="L727" s="137">
        <f>IF(VLOOKUP(A727,'Actual Dates'!A4:AE877,21,),'Actual Dates'!T81,"")</f>
        <v>45960</v>
      </c>
      <c r="M727" s="137">
        <f>'Date Calcs'!AF87</f>
        <v>46096</v>
      </c>
      <c r="N727" s="137" t="str">
        <f>IF(VLOOKUP(A727,'Actual Dates'!A4:AE877,27,),'Actual Dates'!AD81,"")</f>
        <v/>
      </c>
      <c r="O727" s="138" t="e">
        <f t="shared" si="84"/>
        <v>#VALUE!</v>
      </c>
      <c r="P727" s="139">
        <f t="shared" si="82"/>
        <v>51</v>
      </c>
      <c r="Q727" s="139" t="e">
        <f t="shared" si="83"/>
        <v>#VALUE!</v>
      </c>
      <c r="R727" s="170"/>
      <c r="S727" s="170"/>
    </row>
    <row r="728" spans="1:19" x14ac:dyDescent="0.25">
      <c r="A728" s="134" t="str">
        <f>'Date Calcs'!A88</f>
        <v>25-105</v>
      </c>
      <c r="B728" s="135" t="str">
        <f>'Date Calcs'!B88</f>
        <v>Epic Systems</v>
      </c>
      <c r="C728" s="136">
        <f>'Date Calcs'!C88</f>
        <v>45968</v>
      </c>
      <c r="D728" s="137">
        <f t="shared" ref="D728:D749" si="85">WORKDAY(F728,-1,)</f>
        <v>46002</v>
      </c>
      <c r="E728" s="143">
        <v>44751</v>
      </c>
      <c r="F728" s="137">
        <f>'Date Calcs'!H88</f>
        <v>46003</v>
      </c>
      <c r="G728" s="137">
        <f>IF(VLOOKUP(A728,'Actual Dates'!A4:AE855,8,),'Actual Dates'!H82,"")</f>
        <v>45959</v>
      </c>
      <c r="H728" s="137">
        <f t="shared" si="80"/>
        <v>45971</v>
      </c>
      <c r="I728" s="137" t="str">
        <f>IF(VLOOKUP(A728,'Actual Dates'!A4:AE850,25,),'Actual Dates'!Z82,"")</f>
        <v/>
      </c>
      <c r="J728" s="137">
        <f t="shared" si="81"/>
        <v>45972</v>
      </c>
      <c r="K728" s="137">
        <f>IF(VLOOKUP(A728,'Actual Dates'!A4:AE878,26,),'Actual Dates'!AA82,"")</f>
        <v>46038</v>
      </c>
      <c r="L728" s="137">
        <f>IF(VLOOKUP(A728,'Actual Dates'!A4:AE878,21,),'Actual Dates'!T82,"")</f>
        <v>45966</v>
      </c>
      <c r="M728" s="137">
        <f>'Date Calcs'!AF88</f>
        <v>46096</v>
      </c>
      <c r="N728" s="137" t="str">
        <f>IF(VLOOKUP(A728,'Actual Dates'!A4:AE878,27,),'Actual Dates'!AD82,"")</f>
        <v/>
      </c>
      <c r="O728" s="138" t="e">
        <f t="shared" si="84"/>
        <v>#VALUE!</v>
      </c>
      <c r="P728" s="139">
        <f t="shared" si="82"/>
        <v>44</v>
      </c>
      <c r="Q728" s="139" t="e">
        <f t="shared" si="83"/>
        <v>#VALUE!</v>
      </c>
      <c r="R728" s="170"/>
      <c r="S728" s="170"/>
    </row>
    <row r="729" spans="1:19" x14ac:dyDescent="0.25">
      <c r="A729" s="134" t="str">
        <f>'Date Calcs'!A89</f>
        <v>25-106</v>
      </c>
      <c r="B729" s="135" t="str">
        <f>'Date Calcs'!B89</f>
        <v>Epic Systems</v>
      </c>
      <c r="C729" s="136">
        <f>'Date Calcs'!C89</f>
        <v>45968</v>
      </c>
      <c r="D729" s="137">
        <f t="shared" si="85"/>
        <v>46002</v>
      </c>
      <c r="E729" s="143">
        <v>44752</v>
      </c>
      <c r="F729" s="137">
        <f>'Date Calcs'!H89</f>
        <v>46003</v>
      </c>
      <c r="G729" s="137">
        <f>IF(VLOOKUP(A729,'Actual Dates'!A4:AE856,8,),'Actual Dates'!H83,"")</f>
        <v>45981</v>
      </c>
      <c r="H729" s="137">
        <f t="shared" si="80"/>
        <v>46002</v>
      </c>
      <c r="I729" s="137" t="str">
        <f>IF(VLOOKUP(A729,'Actual Dates'!A4:AE851,25,),'Actual Dates'!Z83,"")</f>
        <v/>
      </c>
      <c r="J729" s="137">
        <f t="shared" si="81"/>
        <v>46003</v>
      </c>
      <c r="K729" s="137">
        <f>IF(VLOOKUP(A729,'Actual Dates'!A4:AE879,26,),'Actual Dates'!AA83,"")</f>
        <v>46041</v>
      </c>
      <c r="L729" s="137">
        <f>IF(VLOOKUP(A729,'Actual Dates'!A4:AE879,21,),'Actual Dates'!T83,"")</f>
        <v>45999</v>
      </c>
      <c r="M729" s="137">
        <f>'Date Calcs'!AF89</f>
        <v>46096</v>
      </c>
      <c r="N729" s="137" t="str">
        <f>IF(VLOOKUP(A729,'Actual Dates'!A4:AE879,27,),'Actual Dates'!AD83,"")</f>
        <v/>
      </c>
      <c r="O729" s="138" t="e">
        <f t="shared" si="84"/>
        <v>#VALUE!</v>
      </c>
      <c r="P729" s="139">
        <f t="shared" si="82"/>
        <v>22</v>
      </c>
      <c r="Q729" s="139" t="e">
        <f t="shared" si="83"/>
        <v>#VALUE!</v>
      </c>
      <c r="R729" s="170"/>
      <c r="S729" s="170"/>
    </row>
    <row r="730" spans="1:19" x14ac:dyDescent="0.25">
      <c r="A730" s="134" t="str">
        <f>'Date Calcs'!A90</f>
        <v>25-107</v>
      </c>
      <c r="B730" s="135" t="str">
        <f>'Date Calcs'!B90</f>
        <v>Epic Systems</v>
      </c>
      <c r="C730" s="136">
        <f>'Date Calcs'!C90</f>
        <v>46055</v>
      </c>
      <c r="D730" s="137">
        <f t="shared" si="85"/>
        <v>46080</v>
      </c>
      <c r="E730" s="143">
        <v>44753</v>
      </c>
      <c r="F730" s="137">
        <f>'Date Calcs'!H90</f>
        <v>46083</v>
      </c>
      <c r="G730" s="137">
        <f>IF(VLOOKUP(A730,'Actual Dates'!A4:AE857,8,),'Actual Dates'!H84,"")</f>
        <v>46003</v>
      </c>
      <c r="H730" s="137">
        <f t="shared" si="80"/>
        <v>46080</v>
      </c>
      <c r="I730" s="137" t="str">
        <f>IF(VLOOKUP(A730,'Actual Dates'!A4:AE852,25,),'Actual Dates'!Z84,"")</f>
        <v/>
      </c>
      <c r="J730" s="137">
        <f t="shared" si="81"/>
        <v>46083</v>
      </c>
      <c r="K730" s="137" t="str">
        <f>IF(VLOOKUP(A730,'Actual Dates'!A4:AE880,26,),'Actual Dates'!AA84,"")</f>
        <v/>
      </c>
      <c r="L730" s="137">
        <f>IF(VLOOKUP(A730,'Actual Dates'!A4:AE880,21,),'Actual Dates'!T84,"")</f>
        <v>46077</v>
      </c>
      <c r="M730" s="137">
        <f>'Date Calcs'!AF90</f>
        <v>46138</v>
      </c>
      <c r="N730" s="137" t="str">
        <f>IF(VLOOKUP(A730,'Actual Dates'!A4:AE880,27,),'Actual Dates'!AD84,"")</f>
        <v/>
      </c>
      <c r="O730" s="138" t="e">
        <f t="shared" si="84"/>
        <v>#VALUE!</v>
      </c>
      <c r="P730" s="139">
        <f t="shared" si="82"/>
        <v>80</v>
      </c>
      <c r="Q730" s="139" t="e">
        <f t="shared" si="83"/>
        <v>#VALUE!</v>
      </c>
      <c r="R730" s="170"/>
      <c r="S730" s="170"/>
    </row>
    <row r="731" spans="1:19" x14ac:dyDescent="0.25">
      <c r="A731" s="134" t="str">
        <f>'Date Calcs'!A91</f>
        <v>25-108</v>
      </c>
      <c r="B731" s="135" t="str">
        <f>'Date Calcs'!B91</f>
        <v>Epic Systems</v>
      </c>
      <c r="C731" s="136">
        <f>'Date Calcs'!C91</f>
        <v>45960</v>
      </c>
      <c r="D731" s="137">
        <f t="shared" si="85"/>
        <v>45987</v>
      </c>
      <c r="E731" s="143">
        <v>44754</v>
      </c>
      <c r="F731" s="137">
        <f>'Date Calcs'!H91</f>
        <v>45988</v>
      </c>
      <c r="G731" s="137">
        <f>IF(VLOOKUP(A731,'Actual Dates'!A4:AE858,8,),'Actual Dates'!H85,"")</f>
        <v>46003</v>
      </c>
      <c r="H731" s="137" t="e">
        <f t="shared" si="80"/>
        <v>#VALUE!</v>
      </c>
      <c r="I731" s="137" t="str">
        <f>IF(VLOOKUP(A731,'Actual Dates'!A4:AE853,25,),'Actual Dates'!Z85,"")</f>
        <v/>
      </c>
      <c r="J731" s="137" t="e">
        <f t="shared" si="81"/>
        <v>#VALUE!</v>
      </c>
      <c r="K731" s="137" t="str">
        <f>IF(VLOOKUP(A731,'Actual Dates'!A4:AE881,26,),'Actual Dates'!AA85,"")</f>
        <v/>
      </c>
      <c r="L731" s="137" t="str">
        <f>IF(VLOOKUP(A731,'Actual Dates'!A4:AE881,21,),'Actual Dates'!T85,"")</f>
        <v/>
      </c>
      <c r="M731" s="137">
        <f>'Date Calcs'!AF91</f>
        <v>46138</v>
      </c>
      <c r="N731" s="137" t="str">
        <f>IF(VLOOKUP(A731,'Actual Dates'!A4:AE881,27,),'Actual Dates'!AD85,"")</f>
        <v/>
      </c>
      <c r="O731" s="138" t="e">
        <f t="shared" si="84"/>
        <v>#VALUE!</v>
      </c>
      <c r="P731" s="139">
        <f t="shared" si="82"/>
        <v>-15</v>
      </c>
      <c r="Q731" s="139" t="e">
        <f t="shared" si="83"/>
        <v>#VALUE!</v>
      </c>
      <c r="R731" s="170"/>
      <c r="S731" s="170"/>
    </row>
    <row r="732" spans="1:19" x14ac:dyDescent="0.25">
      <c r="A732" s="134" t="str">
        <f>'Date Calcs'!A92</f>
        <v>25-109</v>
      </c>
      <c r="B732" s="135" t="str">
        <f>'Date Calcs'!B92</f>
        <v>Epic Systems</v>
      </c>
      <c r="C732" s="136">
        <f>'Date Calcs'!C92</f>
        <v>45960</v>
      </c>
      <c r="D732" s="137">
        <f t="shared" si="85"/>
        <v>45987</v>
      </c>
      <c r="E732" s="143">
        <v>44755</v>
      </c>
      <c r="F732" s="137">
        <f>'Date Calcs'!H92</f>
        <v>45988</v>
      </c>
      <c r="G732" s="137">
        <f>IF(VLOOKUP(A732,'Actual Dates'!A4:AE859,8,),'Actual Dates'!H86,"")</f>
        <v>46003</v>
      </c>
      <c r="H732" s="137">
        <f t="shared" si="80"/>
        <v>46077</v>
      </c>
      <c r="I732" s="137">
        <f>IF(VLOOKUP(A732,'Actual Dates'!A4:AE854,25,),'Actual Dates'!Z86,"")</f>
        <v>46076</v>
      </c>
      <c r="J732" s="137">
        <f t="shared" si="81"/>
        <v>46078</v>
      </c>
      <c r="K732" s="137">
        <f>IF(VLOOKUP(A732,'Actual Dates'!A4:AE882,26,),'Actual Dates'!AA86,"")</f>
        <v>0</v>
      </c>
      <c r="L732" s="137">
        <f>IF(VLOOKUP(A732,'Actual Dates'!A4:AE882,21,),'Actual Dates'!T86,"")</f>
        <v>46072</v>
      </c>
      <c r="M732" s="137">
        <f>'Date Calcs'!AF92</f>
        <v>46096</v>
      </c>
      <c r="N732" s="137">
        <f>IF(VLOOKUP(A732,'Actual Dates'!A4:AE882,27,),'Actual Dates'!AD86,"")</f>
        <v>0</v>
      </c>
      <c r="O732" s="138">
        <f t="shared" si="84"/>
        <v>-45960</v>
      </c>
      <c r="P732" s="139">
        <f t="shared" si="82"/>
        <v>-15</v>
      </c>
      <c r="Q732" s="139">
        <f t="shared" si="83"/>
        <v>46096</v>
      </c>
      <c r="R732" s="170"/>
      <c r="S732" s="170"/>
    </row>
    <row r="733" spans="1:19" x14ac:dyDescent="0.25">
      <c r="A733" s="134" t="str">
        <f>'Date Calcs'!A93</f>
        <v>25-110</v>
      </c>
      <c r="B733" s="135" t="str">
        <f>'Date Calcs'!B93</f>
        <v>Epic Systems</v>
      </c>
      <c r="C733" s="136">
        <f>'Date Calcs'!C93</f>
        <v>45960</v>
      </c>
      <c r="D733" s="137">
        <f t="shared" si="85"/>
        <v>45987</v>
      </c>
      <c r="E733" s="143">
        <v>44756</v>
      </c>
      <c r="F733" s="137">
        <f>'Date Calcs'!H93</f>
        <v>45988</v>
      </c>
      <c r="G733" s="137">
        <f>IF(VLOOKUP(A733,'Actual Dates'!A4:AE860,8,),'Actual Dates'!H87,"")</f>
        <v>46003</v>
      </c>
      <c r="H733" s="137">
        <f t="shared" si="80"/>
        <v>46077</v>
      </c>
      <c r="I733" s="137">
        <f>IF(VLOOKUP(A733,'Actual Dates'!A4:AE855,25,),'Actual Dates'!Z87,"")</f>
        <v>46079</v>
      </c>
      <c r="J733" s="137">
        <f t="shared" si="81"/>
        <v>46078</v>
      </c>
      <c r="K733" s="137">
        <f>IF(VLOOKUP(A733,'Actual Dates'!A4:AE883,26,),'Actual Dates'!AA87,"")</f>
        <v>0</v>
      </c>
      <c r="L733" s="137">
        <f>IF(VLOOKUP(A733,'Actual Dates'!A4:AE883,21,),'Actual Dates'!T87,"")</f>
        <v>46072</v>
      </c>
      <c r="M733" s="137">
        <f>'Date Calcs'!AF93</f>
        <v>46069</v>
      </c>
      <c r="N733" s="137">
        <f>IF(VLOOKUP(A733,'Actual Dates'!A4:AE883,27,),'Actual Dates'!AD87,"")</f>
        <v>0</v>
      </c>
      <c r="O733" s="138">
        <f t="shared" si="84"/>
        <v>-45960</v>
      </c>
      <c r="P733" s="139">
        <f t="shared" si="82"/>
        <v>-15</v>
      </c>
      <c r="Q733" s="139">
        <f t="shared" si="83"/>
        <v>46069</v>
      </c>
      <c r="R733" s="170"/>
      <c r="S733" s="170"/>
    </row>
    <row r="734" spans="1:19" x14ac:dyDescent="0.25">
      <c r="A734" s="134" t="str">
        <f>'Date Calcs'!A94</f>
        <v>25-111</v>
      </c>
      <c r="B734" s="135" t="str">
        <f>'Date Calcs'!B94</f>
        <v>Epic Systems</v>
      </c>
      <c r="C734" s="136">
        <f>'Date Calcs'!C94</f>
        <v>45960</v>
      </c>
      <c r="D734" s="137">
        <f t="shared" si="85"/>
        <v>45987</v>
      </c>
      <c r="E734" s="143">
        <v>44757</v>
      </c>
      <c r="F734" s="137">
        <f>'Date Calcs'!H94</f>
        <v>45988</v>
      </c>
      <c r="G734" s="137">
        <f>IF(VLOOKUP(A734,'Actual Dates'!A4:AE861,8,),'Actual Dates'!H88,"")</f>
        <v>46003</v>
      </c>
      <c r="H734" s="137">
        <f t="shared" si="80"/>
        <v>46080</v>
      </c>
      <c r="I734" s="137" t="str">
        <f>IF(VLOOKUP(A734,'Actual Dates'!A4:AE856,25,),'Actual Dates'!Z88,"")</f>
        <v/>
      </c>
      <c r="J734" s="137">
        <f t="shared" si="81"/>
        <v>46083</v>
      </c>
      <c r="K734" s="137">
        <f>IF(VLOOKUP(A734,'Actual Dates'!A4:AE884,26,),'Actual Dates'!AA88,"")</f>
        <v>0</v>
      </c>
      <c r="L734" s="137">
        <f>IF(VLOOKUP(A734,'Actual Dates'!A4:AE884,21,),'Actual Dates'!T88,"")</f>
        <v>46077</v>
      </c>
      <c r="M734" s="137">
        <f>'Date Calcs'!AF94</f>
        <v>46069</v>
      </c>
      <c r="N734" s="137">
        <f>IF(VLOOKUP(A734,'Actual Dates'!A4:AE884,27,),'Actual Dates'!AD88,"")</f>
        <v>0</v>
      </c>
      <c r="O734" s="138">
        <f t="shared" si="84"/>
        <v>-45960</v>
      </c>
      <c r="P734" s="139">
        <f t="shared" si="82"/>
        <v>-15</v>
      </c>
      <c r="Q734" s="139">
        <f t="shared" si="83"/>
        <v>46069</v>
      </c>
      <c r="R734" s="170"/>
      <c r="S734" s="170"/>
    </row>
    <row r="735" spans="1:19" x14ac:dyDescent="0.25">
      <c r="A735" s="134" t="str">
        <f>'Date Calcs'!A95</f>
        <v>25-112</v>
      </c>
      <c r="B735" s="135" t="str">
        <f>'Date Calcs'!B95</f>
        <v>Epic Systems</v>
      </c>
      <c r="C735" s="136">
        <f>'Date Calcs'!C95</f>
        <v>45960</v>
      </c>
      <c r="D735" s="137">
        <f t="shared" si="85"/>
        <v>45987</v>
      </c>
      <c r="E735" s="143">
        <v>44758</v>
      </c>
      <c r="F735" s="137">
        <f>'Date Calcs'!H95</f>
        <v>45988</v>
      </c>
      <c r="G735" s="137">
        <f>IF(VLOOKUP(A735,'Actual Dates'!A4:AE862,8,),'Actual Dates'!H89,"")</f>
        <v>45987</v>
      </c>
      <c r="H735" s="137">
        <f t="shared" si="80"/>
        <v>46114</v>
      </c>
      <c r="I735" s="137" t="str">
        <f>IF(VLOOKUP(A735,'Actual Dates'!A4:AE857,25,),'Actual Dates'!Z89,"")</f>
        <v/>
      </c>
      <c r="J735" s="137">
        <f t="shared" si="81"/>
        <v>46115</v>
      </c>
      <c r="K735" s="137">
        <f>IF(VLOOKUP(A735,'Actual Dates'!A4:AE885,26,),'Actual Dates'!AA89,"")</f>
        <v>0</v>
      </c>
      <c r="L735" s="137">
        <f>IF(VLOOKUP(A735,'Actual Dates'!A4:AE885,21,),'Actual Dates'!T89,"")</f>
        <v>46111</v>
      </c>
      <c r="M735" s="137">
        <f>'Date Calcs'!AF95</f>
        <v>46069</v>
      </c>
      <c r="N735" s="137" t="str">
        <f>IF(VLOOKUP(A735,'Actual Dates'!A4:AE885,27,),'Actual Dates'!AD89,"")</f>
        <v/>
      </c>
      <c r="O735" s="138" t="e">
        <f t="shared" si="84"/>
        <v>#VALUE!</v>
      </c>
      <c r="P735" s="139">
        <f t="shared" si="82"/>
        <v>1</v>
      </c>
      <c r="Q735" s="139" t="e">
        <f t="shared" si="83"/>
        <v>#VALUE!</v>
      </c>
      <c r="R735" s="170"/>
      <c r="S735" s="170"/>
    </row>
    <row r="736" spans="1:19" x14ac:dyDescent="0.25">
      <c r="A736" s="134" t="str">
        <f>'Date Calcs'!A96</f>
        <v>25-113</v>
      </c>
      <c r="B736" s="135" t="str">
        <f>'Date Calcs'!B96</f>
        <v>Epic Systems</v>
      </c>
      <c r="C736" s="136">
        <f>'Date Calcs'!C96</f>
        <v>45975</v>
      </c>
      <c r="D736" s="137">
        <f t="shared" si="85"/>
        <v>46002</v>
      </c>
      <c r="E736" s="143">
        <v>44759</v>
      </c>
      <c r="F736" s="137">
        <f>'Date Calcs'!H96</f>
        <v>46003</v>
      </c>
      <c r="G736" s="137">
        <f>IF(VLOOKUP(A736,'Actual Dates'!A4:AE863,8,),'Actual Dates'!H90,"")</f>
        <v>45987</v>
      </c>
      <c r="H736" s="137">
        <f t="shared" si="80"/>
        <v>4</v>
      </c>
      <c r="I736" s="137" t="str">
        <f>IF(VLOOKUP(A736,'Actual Dates'!A4:AE858,25,),'Actual Dates'!Z90,"")</f>
        <v/>
      </c>
      <c r="J736" s="137">
        <f t="shared" si="81"/>
        <v>5</v>
      </c>
      <c r="K736" s="137">
        <f>IF(VLOOKUP(A736,'Actual Dates'!A4:AE886,26,),'Actual Dates'!AA90,"")</f>
        <v>0</v>
      </c>
      <c r="L736" s="137">
        <f>IF(VLOOKUP(A736,'Actual Dates'!A4:AE886,21,),'Actual Dates'!T90,"")</f>
        <v>0</v>
      </c>
      <c r="M736" s="137">
        <f>'Date Calcs'!AF96</f>
        <v>46124</v>
      </c>
      <c r="N736" s="137">
        <f>IF(VLOOKUP(A736,'Actual Dates'!A4:AE886,27,),'Actual Dates'!AD90,"")</f>
        <v>0</v>
      </c>
      <c r="O736" s="138">
        <f t="shared" si="84"/>
        <v>-45975</v>
      </c>
      <c r="P736" s="139">
        <f t="shared" si="82"/>
        <v>16</v>
      </c>
      <c r="Q736" s="139">
        <f t="shared" si="83"/>
        <v>46124</v>
      </c>
      <c r="R736" s="170"/>
      <c r="S736" s="170"/>
    </row>
    <row r="737" spans="1:19" x14ac:dyDescent="0.25">
      <c r="A737" s="134" t="str">
        <f>'Date Calcs'!A97</f>
        <v>25-115</v>
      </c>
      <c r="B737" s="135" t="str">
        <f>'Date Calcs'!B97</f>
        <v>Epic Systems</v>
      </c>
      <c r="C737" s="136">
        <f>'Date Calcs'!C97</f>
        <v>45960</v>
      </c>
      <c r="D737" s="137">
        <f t="shared" si="85"/>
        <v>45987</v>
      </c>
      <c r="E737" s="143">
        <v>44760</v>
      </c>
      <c r="F737" s="137">
        <f>'Date Calcs'!H97</f>
        <v>45988</v>
      </c>
      <c r="G737" s="137">
        <f>IF(VLOOKUP(A737,'Actual Dates'!A4:AE864,8,),'Actual Dates'!H91,"")</f>
        <v>45987</v>
      </c>
      <c r="H737" s="137">
        <f t="shared" si="80"/>
        <v>46077</v>
      </c>
      <c r="I737" s="137" t="str">
        <f>IF(VLOOKUP(A737,'Actual Dates'!A4:AE859,25,),'Actual Dates'!Z91,"")</f>
        <v/>
      </c>
      <c r="J737" s="137">
        <f t="shared" si="81"/>
        <v>46078</v>
      </c>
      <c r="K737" s="137">
        <f>IF(VLOOKUP(A737,'Actual Dates'!A4:AE887,26,),'Actual Dates'!AA91,"")</f>
        <v>46114</v>
      </c>
      <c r="L737" s="137">
        <f>IF(VLOOKUP(A737,'Actual Dates'!A4:AE887,21,),'Actual Dates'!T91,"")</f>
        <v>46072</v>
      </c>
      <c r="M737" s="137">
        <f>'Date Calcs'!AF97</f>
        <v>46096</v>
      </c>
      <c r="N737" s="137" t="str">
        <f>IF(VLOOKUP(A737,'Actual Dates'!A4:AE887,27,),'Actual Dates'!AD91,"")</f>
        <v/>
      </c>
      <c r="O737" s="138" t="e">
        <f t="shared" si="84"/>
        <v>#VALUE!</v>
      </c>
      <c r="P737" s="139">
        <f t="shared" si="82"/>
        <v>1</v>
      </c>
      <c r="Q737" s="139" t="e">
        <f t="shared" si="83"/>
        <v>#VALUE!</v>
      </c>
      <c r="R737" s="170"/>
      <c r="S737" s="170"/>
    </row>
    <row r="738" spans="1:19" x14ac:dyDescent="0.25">
      <c r="A738" s="134" t="str">
        <f>'Date Calcs'!A98</f>
        <v>25-116</v>
      </c>
      <c r="B738" s="135" t="str">
        <f>'Date Calcs'!B98</f>
        <v>Polynt</v>
      </c>
      <c r="C738" s="136">
        <f>'Date Calcs'!C98</f>
        <v>45965</v>
      </c>
      <c r="D738" s="137">
        <f t="shared" si="85"/>
        <v>45992</v>
      </c>
      <c r="E738" s="143">
        <v>44761</v>
      </c>
      <c r="F738" s="137">
        <f>'Date Calcs'!H98</f>
        <v>45993</v>
      </c>
      <c r="G738" s="137">
        <f>IF(VLOOKUP(A738,'Actual Dates'!A4:AE865,8,),'Actual Dates'!H92,"")</f>
        <v>45987</v>
      </c>
      <c r="H738" s="137" t="e">
        <f t="shared" si="80"/>
        <v>#VALUE!</v>
      </c>
      <c r="I738" s="137">
        <f>IF(VLOOKUP(A738,'Actual Dates'!A4:AE860,25,),'Actual Dates'!Z92,"")</f>
        <v>46055</v>
      </c>
      <c r="J738" s="137" t="e">
        <f t="shared" si="81"/>
        <v>#VALUE!</v>
      </c>
      <c r="K738" s="137">
        <f>IF(VLOOKUP(A738,'Actual Dates'!A4:AE888,26,),'Actual Dates'!AA92,"")</f>
        <v>46113</v>
      </c>
      <c r="L738" s="137" t="str">
        <f>IF(VLOOKUP(A738,'Actual Dates'!A4:AE888,21,),'Actual Dates'!T92,"")</f>
        <v/>
      </c>
      <c r="M738" s="137">
        <f>'Date Calcs'!AF98</f>
        <v>46128</v>
      </c>
      <c r="N738" s="137" t="str">
        <f>IF(VLOOKUP(A738,'Actual Dates'!A4:AE888,27,),'Actual Dates'!AD92,"")</f>
        <v/>
      </c>
      <c r="O738" s="138" t="e">
        <f t="shared" si="84"/>
        <v>#VALUE!</v>
      </c>
      <c r="P738" s="139">
        <f t="shared" si="82"/>
        <v>6</v>
      </c>
      <c r="Q738" s="139" t="e">
        <f t="shared" si="83"/>
        <v>#VALUE!</v>
      </c>
      <c r="R738" s="170"/>
      <c r="S738" s="170"/>
    </row>
    <row r="739" spans="1:19" x14ac:dyDescent="0.25">
      <c r="A739" s="134" t="str">
        <f>'Date Calcs'!A99</f>
        <v>25-117</v>
      </c>
      <c r="B739" s="135" t="str">
        <f>'Date Calcs'!B99</f>
        <v>Merrick</v>
      </c>
      <c r="C739" s="136">
        <f>'Date Calcs'!C99</f>
        <v>45968</v>
      </c>
      <c r="D739" s="137">
        <f t="shared" si="85"/>
        <v>46030</v>
      </c>
      <c r="E739" s="143">
        <v>44762</v>
      </c>
      <c r="F739" s="137">
        <f>'Date Calcs'!H99</f>
        <v>46031</v>
      </c>
      <c r="G739" s="137">
        <f>IF(VLOOKUP(A739,'Actual Dates'!A4:AE866,8,),'Actual Dates'!H93,"")</f>
        <v>45987</v>
      </c>
      <c r="H739" s="137">
        <f t="shared" si="80"/>
        <v>46080</v>
      </c>
      <c r="I739" s="137">
        <f>IF(VLOOKUP(A739,'Actual Dates'!A4:AE861,25,),'Actual Dates'!Z93,"")</f>
        <v>46090</v>
      </c>
      <c r="J739" s="137">
        <f t="shared" si="81"/>
        <v>46083</v>
      </c>
      <c r="K739" s="137">
        <f>IF(VLOOKUP(A739,'Actual Dates'!A4:AE889,26,),'Actual Dates'!AA93,"")</f>
        <v>46112</v>
      </c>
      <c r="L739" s="137">
        <f>IF(VLOOKUP(A739,'Actual Dates'!A4:AE889,21,),'Actual Dates'!T93,"")</f>
        <v>46077</v>
      </c>
      <c r="M739" s="137">
        <f>'Date Calcs'!AF99</f>
        <v>46079</v>
      </c>
      <c r="N739" s="137">
        <f>IF(VLOOKUP(A739,'Actual Dates'!A4:AE889,27,),'Actual Dates'!AD93,"")</f>
        <v>0</v>
      </c>
      <c r="O739" s="138">
        <f t="shared" si="84"/>
        <v>-45968</v>
      </c>
      <c r="P739" s="139">
        <f t="shared" si="82"/>
        <v>44</v>
      </c>
      <c r="Q739" s="139">
        <f t="shared" si="83"/>
        <v>46079</v>
      </c>
      <c r="R739" s="170"/>
      <c r="S739" s="170"/>
    </row>
    <row r="740" spans="1:19" x14ac:dyDescent="0.25">
      <c r="A740" s="134" t="str">
        <f>'Date Calcs'!A100</f>
        <v>25-118</v>
      </c>
      <c r="B740" s="135" t="str">
        <f>'Date Calcs'!B100</f>
        <v>Merrick</v>
      </c>
      <c r="C740" s="136">
        <f>'Date Calcs'!C100</f>
        <v>45968</v>
      </c>
      <c r="D740" s="137">
        <f t="shared" si="85"/>
        <v>46030</v>
      </c>
      <c r="E740" s="143">
        <v>44763</v>
      </c>
      <c r="F740" s="137">
        <f>'Date Calcs'!H100</f>
        <v>46031</v>
      </c>
      <c r="G740" s="137">
        <f>IF(VLOOKUP(A740,'Actual Dates'!A4:AE867,8,),'Actual Dates'!H94,"")</f>
        <v>45987</v>
      </c>
      <c r="H740" s="137">
        <f t="shared" si="80"/>
        <v>46080</v>
      </c>
      <c r="I740" s="137">
        <f>IF(VLOOKUP(A740,'Actual Dates'!A4:AE862,25,),'Actual Dates'!Z94,"")</f>
        <v>46090</v>
      </c>
      <c r="J740" s="137">
        <f t="shared" si="81"/>
        <v>46083</v>
      </c>
      <c r="K740" s="137">
        <f>IF(VLOOKUP(A740,'Actual Dates'!A4:AE890,26,),'Actual Dates'!AA94,"")</f>
        <v>0</v>
      </c>
      <c r="L740" s="137">
        <f>IF(VLOOKUP(A740,'Actual Dates'!A4:AE890,21,),'Actual Dates'!T94,"")</f>
        <v>46077</v>
      </c>
      <c r="M740" s="137">
        <f>'Date Calcs'!AF100</f>
        <v>46086</v>
      </c>
      <c r="N740" s="137">
        <f>IF(VLOOKUP(A740,'Actual Dates'!A4:AE890,27,),'Actual Dates'!AD94,"")</f>
        <v>0</v>
      </c>
      <c r="O740" s="138">
        <f t="shared" si="84"/>
        <v>-45968</v>
      </c>
      <c r="P740" s="139">
        <f t="shared" si="82"/>
        <v>44</v>
      </c>
      <c r="Q740" s="139">
        <f t="shared" si="83"/>
        <v>46086</v>
      </c>
      <c r="R740" s="170"/>
      <c r="S740" s="170"/>
    </row>
    <row r="741" spans="1:19" x14ac:dyDescent="0.25">
      <c r="A741" s="134" t="str">
        <f>'Date Calcs'!A101</f>
        <v>25-119</v>
      </c>
      <c r="B741" s="135" t="str">
        <f>'Date Calcs'!B101</f>
        <v>Vertiv</v>
      </c>
      <c r="C741" s="136">
        <f>'Date Calcs'!C101</f>
        <v>45975</v>
      </c>
      <c r="D741" s="137">
        <f t="shared" si="85"/>
        <v>45988</v>
      </c>
      <c r="E741" s="143">
        <v>44764</v>
      </c>
      <c r="F741" s="137">
        <f>'Date Calcs'!H101</f>
        <v>45989</v>
      </c>
      <c r="G741" s="137">
        <f>IF(VLOOKUP(A741,'Actual Dates'!A4:AE868,8,),'Actual Dates'!H95,"")</f>
        <v>46003</v>
      </c>
      <c r="H741" s="137">
        <f t="shared" si="80"/>
        <v>46105</v>
      </c>
      <c r="I741" s="137" t="str">
        <f>IF(VLOOKUP(A741,'Actual Dates'!A4:AE863,25,),'Actual Dates'!Z95,"")</f>
        <v/>
      </c>
      <c r="J741" s="137">
        <f t="shared" si="81"/>
        <v>46106</v>
      </c>
      <c r="K741" s="137" t="str">
        <f>IF(VLOOKUP(A741,'Actual Dates'!A4:AE891,26,),'Actual Dates'!AA95,"")</f>
        <v/>
      </c>
      <c r="L741" s="137">
        <f>IF(VLOOKUP(A741,'Actual Dates'!A4:AE891,21,),'Actual Dates'!T95,"")</f>
        <v>46100</v>
      </c>
      <c r="M741" s="137">
        <f>'Date Calcs'!AF101</f>
        <v>46018</v>
      </c>
      <c r="N741" s="137" t="str">
        <f>IF(VLOOKUP(A741,'Actual Dates'!A4:AE891,27,),'Actual Dates'!AD95,"")</f>
        <v/>
      </c>
      <c r="O741" s="138" t="e">
        <f t="shared" si="84"/>
        <v>#VALUE!</v>
      </c>
      <c r="P741" s="139">
        <f t="shared" si="82"/>
        <v>-14</v>
      </c>
      <c r="Q741" s="139" t="e">
        <f t="shared" si="83"/>
        <v>#VALUE!</v>
      </c>
      <c r="R741" s="170"/>
      <c r="S741" s="170"/>
    </row>
    <row r="742" spans="1:19" x14ac:dyDescent="0.25">
      <c r="A742" s="134" t="str">
        <f>'Date Calcs'!A102</f>
        <v>25-120</v>
      </c>
      <c r="B742" s="135" t="str">
        <f>'Date Calcs'!B102</f>
        <v>Andritz</v>
      </c>
      <c r="C742" s="136">
        <f>'Date Calcs'!C102</f>
        <v>45982</v>
      </c>
      <c r="D742" s="137">
        <f t="shared" si="85"/>
        <v>45981</v>
      </c>
      <c r="E742" s="143">
        <v>44765</v>
      </c>
      <c r="F742" s="137">
        <f>'Date Calcs'!H102</f>
        <v>45982</v>
      </c>
      <c r="G742" s="137">
        <f>IF(VLOOKUP(A742,'Actual Dates'!A4:AE869,8,),'Actual Dates'!H96,"")</f>
        <v>45987</v>
      </c>
      <c r="H742" s="137" t="e">
        <f t="shared" si="80"/>
        <v>#VALUE!</v>
      </c>
      <c r="I742" s="137" t="str">
        <f>IF(VLOOKUP(A742,'Actual Dates'!A4:AE864,25,),'Actual Dates'!Z96,"")</f>
        <v/>
      </c>
      <c r="J742" s="137" t="e">
        <f t="shared" si="81"/>
        <v>#VALUE!</v>
      </c>
      <c r="K742" s="137" t="str">
        <f>IF(VLOOKUP(A742,'Actual Dates'!A4:AE892,26,),'Actual Dates'!AA96,"")</f>
        <v/>
      </c>
      <c r="L742" s="137" t="str">
        <f>IF(VLOOKUP(A742,'Actual Dates'!A4:AE892,21,),'Actual Dates'!T96,"")</f>
        <v/>
      </c>
      <c r="M742" s="137">
        <f>'Date Calcs'!AF102</f>
        <v>46046</v>
      </c>
      <c r="N742" s="137" t="str">
        <f>IF(VLOOKUP(A742,'Actual Dates'!A4:AE892,27,),'Actual Dates'!AD96,"")</f>
        <v/>
      </c>
      <c r="O742" s="138" t="e">
        <f t="shared" si="84"/>
        <v>#VALUE!</v>
      </c>
      <c r="P742" s="139">
        <f t="shared" si="82"/>
        <v>-5</v>
      </c>
      <c r="Q742" s="139" t="e">
        <f t="shared" si="83"/>
        <v>#VALUE!</v>
      </c>
      <c r="R742" s="170"/>
      <c r="S742" s="170"/>
    </row>
    <row r="743" spans="1:19" x14ac:dyDescent="0.25">
      <c r="A743" s="134" t="str">
        <f>'Date Calcs'!A103</f>
        <v>25-121</v>
      </c>
      <c r="B743" s="135" t="str">
        <f>'Date Calcs'!B103</f>
        <v>Kimberly Clark</v>
      </c>
      <c r="C743" s="136">
        <f>'Date Calcs'!C103</f>
        <v>45995</v>
      </c>
      <c r="D743" s="137">
        <f t="shared" si="85"/>
        <v>46022</v>
      </c>
      <c r="E743" s="143">
        <v>44766</v>
      </c>
      <c r="F743" s="137">
        <f>'Date Calcs'!H103</f>
        <v>46023</v>
      </c>
      <c r="G743" s="137">
        <f>IF(VLOOKUP(A743,'Actual Dates'!A4:AE870,8,),'Actual Dates'!H97,"")</f>
        <v>46010</v>
      </c>
      <c r="H743" s="137" t="e">
        <f t="shared" si="80"/>
        <v>#VALUE!</v>
      </c>
      <c r="I743" s="137" t="str">
        <f>IF(VLOOKUP(A743,'Actual Dates'!A4:AE865,25,),'Actual Dates'!Z97,"")</f>
        <v/>
      </c>
      <c r="J743" s="137" t="e">
        <f t="shared" si="81"/>
        <v>#VALUE!</v>
      </c>
      <c r="K743" s="137" t="str">
        <f>IF(VLOOKUP(A743,'Actual Dates'!A4:AE893,26,),'Actual Dates'!AA97,"")</f>
        <v/>
      </c>
      <c r="L743" s="137" t="str">
        <f>IF(VLOOKUP(A743,'Actual Dates'!A4:AE893,21,),'Actual Dates'!T97,"")</f>
        <v/>
      </c>
      <c r="M743" s="137">
        <f>'Date Calcs'!AF103</f>
        <v>46115</v>
      </c>
      <c r="N743" s="137" t="str">
        <f>IF(VLOOKUP(A743,'Actual Dates'!A4:AE893,27,),'Actual Dates'!AD97,"")</f>
        <v/>
      </c>
      <c r="O743" s="138" t="e">
        <f t="shared" si="84"/>
        <v>#VALUE!</v>
      </c>
      <c r="P743" s="139">
        <f t="shared" si="82"/>
        <v>13</v>
      </c>
      <c r="Q743" s="139" t="e">
        <f t="shared" si="83"/>
        <v>#VALUE!</v>
      </c>
      <c r="R743" s="170"/>
      <c r="S743" s="170"/>
    </row>
    <row r="744" spans="1:19" x14ac:dyDescent="0.25">
      <c r="A744" s="134" t="str">
        <f>'Date Calcs'!A104</f>
        <v>25-122</v>
      </c>
      <c r="B744" s="135" t="str">
        <f>'Date Calcs'!B104</f>
        <v>Kimberly Clark</v>
      </c>
      <c r="C744" s="136">
        <f>'Date Calcs'!C104</f>
        <v>45995</v>
      </c>
      <c r="D744" s="137">
        <f t="shared" si="85"/>
        <v>46022</v>
      </c>
      <c r="E744" s="143">
        <v>44767</v>
      </c>
      <c r="F744" s="137">
        <f>'Date Calcs'!H104</f>
        <v>46023</v>
      </c>
      <c r="G744" s="137">
        <f>IF(VLOOKUP(A744,'Actual Dates'!A4:AE871,8,),'Actual Dates'!H98,"")</f>
        <v>46036</v>
      </c>
      <c r="H744" s="137" t="e">
        <f t="shared" si="80"/>
        <v>#VALUE!</v>
      </c>
      <c r="I744" s="137" t="str">
        <f>IF(VLOOKUP(A744,'Actual Dates'!A4:AE866,25,),'Actual Dates'!Z98,"")</f>
        <v/>
      </c>
      <c r="J744" s="137" t="e">
        <f t="shared" si="81"/>
        <v>#VALUE!</v>
      </c>
      <c r="K744" s="137" t="str">
        <f>IF(VLOOKUP(A744,'Actual Dates'!A4:AE894,26,),'Actual Dates'!AA98,"")</f>
        <v/>
      </c>
      <c r="L744" s="137" t="str">
        <f>IF(VLOOKUP(A744,'Actual Dates'!A4:AE894,21,),'Actual Dates'!T98,"")</f>
        <v/>
      </c>
      <c r="M744" s="137">
        <f>'Date Calcs'!AF104</f>
        <v>46115</v>
      </c>
      <c r="N744" s="137" t="str">
        <f>IF(VLOOKUP(A744,'Actual Dates'!A4:AE894,27,),'Actual Dates'!AD98,"")</f>
        <v/>
      </c>
      <c r="O744" s="138" t="e">
        <f t="shared" si="84"/>
        <v>#VALUE!</v>
      </c>
      <c r="P744" s="139">
        <f t="shared" si="82"/>
        <v>-13</v>
      </c>
      <c r="Q744" s="139" t="e">
        <f t="shared" si="83"/>
        <v>#VALUE!</v>
      </c>
      <c r="R744" s="170"/>
      <c r="S744" s="170"/>
    </row>
    <row r="745" spans="1:19" x14ac:dyDescent="0.25">
      <c r="A745" s="134" t="str">
        <f>'Date Calcs'!A105</f>
        <v>25-123</v>
      </c>
      <c r="B745" s="135" t="str">
        <f>'Date Calcs'!B105</f>
        <v>Kimberly Clark</v>
      </c>
      <c r="C745" s="136">
        <f>'Date Calcs'!C105</f>
        <v>45995</v>
      </c>
      <c r="D745" s="137">
        <f t="shared" si="85"/>
        <v>46022</v>
      </c>
      <c r="E745" s="143">
        <v>44768</v>
      </c>
      <c r="F745" s="137">
        <f>'Date Calcs'!H105</f>
        <v>46023</v>
      </c>
      <c r="G745" s="137">
        <f>IF(VLOOKUP(A745,'Actual Dates'!A4:AE872,8,),'Actual Dates'!H99,"")</f>
        <v>46036</v>
      </c>
      <c r="H745" s="137" t="e">
        <f t="shared" si="80"/>
        <v>#VALUE!</v>
      </c>
      <c r="I745" s="137" t="str">
        <f>IF(VLOOKUP(A745,'Actual Dates'!A4:AE867,25,),'Actual Dates'!Z99,"")</f>
        <v/>
      </c>
      <c r="J745" s="137" t="e">
        <f t="shared" si="81"/>
        <v>#VALUE!</v>
      </c>
      <c r="K745" s="137" t="str">
        <f>IF(VLOOKUP(A745,'Actual Dates'!A4:AE895,26,),'Actual Dates'!AA99,"")</f>
        <v/>
      </c>
      <c r="L745" s="137" t="str">
        <f>IF(VLOOKUP(A745,'Actual Dates'!A4:AE895,21,),'Actual Dates'!T99,"")</f>
        <v/>
      </c>
      <c r="M745" s="137">
        <f>'Date Calcs'!AF105</f>
        <v>46121</v>
      </c>
      <c r="N745" s="137" t="str">
        <f>IF(VLOOKUP(A745,'Actual Dates'!A4:AE895,27,),'Actual Dates'!AD99,"")</f>
        <v/>
      </c>
      <c r="O745" s="138" t="e">
        <f t="shared" si="84"/>
        <v>#VALUE!</v>
      </c>
      <c r="P745" s="139">
        <f t="shared" si="82"/>
        <v>-13</v>
      </c>
      <c r="Q745" s="139" t="e">
        <f t="shared" si="83"/>
        <v>#VALUE!</v>
      </c>
      <c r="R745" s="170"/>
      <c r="S745" s="170"/>
    </row>
    <row r="746" spans="1:19" x14ac:dyDescent="0.25">
      <c r="A746" s="134" t="str">
        <f>'Date Calcs'!A106</f>
        <v>25-124</v>
      </c>
      <c r="B746" s="135" t="str">
        <f>'Date Calcs'!B106</f>
        <v>Vertiv</v>
      </c>
      <c r="C746" s="136">
        <f>'Date Calcs'!C106</f>
        <v>46006</v>
      </c>
      <c r="D746" s="137">
        <f t="shared" si="85"/>
        <v>46003</v>
      </c>
      <c r="E746" s="143">
        <v>44769</v>
      </c>
      <c r="F746" s="137">
        <f>'Date Calcs'!H106</f>
        <v>46006</v>
      </c>
      <c r="G746" s="137">
        <f>IF(VLOOKUP(A746,'Actual Dates'!A4:AE873,8,),'Actual Dates'!H100,"")</f>
        <v>45985</v>
      </c>
      <c r="H746" s="137" t="e">
        <f t="shared" si="80"/>
        <v>#VALUE!</v>
      </c>
      <c r="I746" s="137" t="str">
        <f>IF(VLOOKUP(A746,'Actual Dates'!A4:AE868,25,),'Actual Dates'!Z100,"")</f>
        <v/>
      </c>
      <c r="J746" s="137" t="e">
        <f t="shared" si="81"/>
        <v>#VALUE!</v>
      </c>
      <c r="K746" s="137">
        <f>IF(VLOOKUP(A746,'Actual Dates'!A4:AE896,26,),'Actual Dates'!AA100,"")</f>
        <v>0</v>
      </c>
      <c r="L746" s="137" t="str">
        <f>IF(VLOOKUP(A746,'Actual Dates'!A4:AE896,21,),'Actual Dates'!T100,"")</f>
        <v/>
      </c>
      <c r="M746" s="137">
        <f>'Date Calcs'!AF106</f>
        <v>46046</v>
      </c>
      <c r="N746" s="137">
        <f>IF(VLOOKUP(A746,'Actual Dates'!A4:AE896,27,),'Actual Dates'!AD100,"")</f>
        <v>0</v>
      </c>
      <c r="O746" s="138">
        <f t="shared" si="84"/>
        <v>-46006</v>
      </c>
      <c r="P746" s="139">
        <f t="shared" si="82"/>
        <v>21</v>
      </c>
      <c r="Q746" s="139">
        <f t="shared" si="83"/>
        <v>46046</v>
      </c>
      <c r="R746" s="170"/>
      <c r="S746" s="170"/>
    </row>
    <row r="747" spans="1:19" x14ac:dyDescent="0.25">
      <c r="A747" s="134" t="str">
        <f>'Date Calcs'!A107</f>
        <v>25-356</v>
      </c>
      <c r="B747" s="135" t="str">
        <f>'Date Calcs'!B107</f>
        <v>Synthomer</v>
      </c>
      <c r="C747" s="136">
        <f>'Date Calcs'!C107</f>
        <v>46020</v>
      </c>
      <c r="D747" s="137">
        <f t="shared" si="85"/>
        <v>46045</v>
      </c>
      <c r="E747" s="143">
        <v>44770</v>
      </c>
      <c r="F747" s="137">
        <f>'Date Calcs'!H107</f>
        <v>46048</v>
      </c>
      <c r="G747" s="137">
        <f>IF(VLOOKUP(A747,'Actual Dates'!A4:AE874,8,),'Actual Dates'!H101,"")</f>
        <v>46022</v>
      </c>
      <c r="H747" s="137">
        <f t="shared" si="80"/>
        <v>4</v>
      </c>
      <c r="I747" s="137" t="str">
        <f>IF(VLOOKUP(A747,'Actual Dates'!A4:AE869,25,),'Actual Dates'!Z101,"")</f>
        <v/>
      </c>
      <c r="J747" s="137">
        <f t="shared" si="81"/>
        <v>5</v>
      </c>
      <c r="K747" s="137">
        <f>IF(VLOOKUP(A747,'Actual Dates'!A4:AE897,26,),'Actual Dates'!AA101,"")</f>
        <v>0</v>
      </c>
      <c r="L747" s="137">
        <f>IF(VLOOKUP(A747,'Actual Dates'!A4:AE897,21,),'Actual Dates'!T101,"")</f>
        <v>0</v>
      </c>
      <c r="M747" s="137">
        <f>'Date Calcs'!AF107</f>
        <v>46098</v>
      </c>
      <c r="N747" s="137" t="str">
        <f>IF(VLOOKUP(A747,'Actual Dates'!A4:AE897,27,),'Actual Dates'!AD101,"")</f>
        <v/>
      </c>
      <c r="O747" s="138" t="e">
        <f t="shared" si="84"/>
        <v>#VALUE!</v>
      </c>
      <c r="P747" s="139">
        <f t="shared" si="82"/>
        <v>26</v>
      </c>
      <c r="Q747" s="139" t="e">
        <f t="shared" si="83"/>
        <v>#VALUE!</v>
      </c>
      <c r="R747" s="170"/>
      <c r="S747" s="170"/>
    </row>
    <row r="748" spans="1:19" x14ac:dyDescent="0.25">
      <c r="A748" s="134" t="str">
        <f>'Date Calcs'!A108</f>
        <v>25-357</v>
      </c>
      <c r="B748" s="135" t="str">
        <f>'Date Calcs'!B108</f>
        <v>Sylvamo</v>
      </c>
      <c r="C748" s="136">
        <f>'Date Calcs'!C108</f>
        <v>46021</v>
      </c>
      <c r="D748" s="137">
        <f t="shared" si="85"/>
        <v>46048</v>
      </c>
      <c r="E748" s="143">
        <v>44771</v>
      </c>
      <c r="F748" s="137">
        <f>'Date Calcs'!H108</f>
        <v>46049</v>
      </c>
      <c r="G748" s="137">
        <f>IF(VLOOKUP(A748,'Actual Dates'!A4:AE875,8,),'Actual Dates'!H102,"")</f>
        <v>46030</v>
      </c>
      <c r="H748" s="137">
        <f t="shared" si="80"/>
        <v>4</v>
      </c>
      <c r="I748" s="137" t="str">
        <f>IF(VLOOKUP(A748,'Actual Dates'!A4:AE870,25,),'Actual Dates'!Z102,"")</f>
        <v/>
      </c>
      <c r="J748" s="137">
        <f t="shared" si="81"/>
        <v>5</v>
      </c>
      <c r="K748" s="137" t="str">
        <f>IF(VLOOKUP(A748,'Actual Dates'!A4:AE898,26,),'Actual Dates'!AA102,"")</f>
        <v/>
      </c>
      <c r="L748" s="137">
        <f>IF(VLOOKUP(A748,'Actual Dates'!A4:AE898,21,),'Actual Dates'!T102,"")</f>
        <v>0</v>
      </c>
      <c r="M748" s="137">
        <f>'Date Calcs'!AF108</f>
        <v>46131</v>
      </c>
      <c r="N748" s="137" t="str">
        <f>IF(VLOOKUP(A748,'Actual Dates'!A4:AE898,27,),'Actual Dates'!AD102,"")</f>
        <v/>
      </c>
      <c r="O748" s="138" t="e">
        <f t="shared" si="84"/>
        <v>#VALUE!</v>
      </c>
      <c r="P748" s="139">
        <f t="shared" si="82"/>
        <v>19</v>
      </c>
      <c r="Q748" s="139" t="e">
        <f t="shared" si="83"/>
        <v>#VALUE!</v>
      </c>
      <c r="R748" s="170"/>
      <c r="S748" s="170"/>
    </row>
    <row r="749" spans="1:19" x14ac:dyDescent="0.25">
      <c r="A749" s="134" t="str">
        <f>'Date Calcs'!A109</f>
        <v>25-358</v>
      </c>
      <c r="B749" s="135" t="str">
        <f>'Date Calcs'!B109</f>
        <v>Sylvamo</v>
      </c>
      <c r="C749" s="136">
        <f>'Date Calcs'!C109</f>
        <v>46021</v>
      </c>
      <c r="D749" s="137">
        <f t="shared" si="85"/>
        <v>46048</v>
      </c>
      <c r="E749" s="143">
        <v>44772</v>
      </c>
      <c r="F749" s="137">
        <f>'Date Calcs'!H109</f>
        <v>46049</v>
      </c>
      <c r="G749" s="137">
        <f>IF(VLOOKUP(A749,'Actual Dates'!A4:AE876,8,),'Actual Dates'!H103,"")</f>
        <v>46030</v>
      </c>
      <c r="H749" s="137">
        <f t="shared" si="80"/>
        <v>4</v>
      </c>
      <c r="I749" s="137" t="str">
        <f>IF(VLOOKUP(A749,'Actual Dates'!A4:AE871,25,),'Actual Dates'!Z103,"")</f>
        <v/>
      </c>
      <c r="J749" s="137">
        <f t="shared" si="81"/>
        <v>5</v>
      </c>
      <c r="K749" s="137" t="str">
        <f>IF(VLOOKUP(A749,'Actual Dates'!A4:AE899,26,),'Actual Dates'!AA103,"")</f>
        <v/>
      </c>
      <c r="L749" s="137">
        <f>IF(VLOOKUP(A749,'Actual Dates'!A4:AE899,21,),'Actual Dates'!T103,"")</f>
        <v>0</v>
      </c>
      <c r="M749" s="137">
        <f>'Date Calcs'!AF109</f>
        <v>46131</v>
      </c>
      <c r="N749" s="137" t="str">
        <f>IF(VLOOKUP(A749,'Actual Dates'!A4:AE899,27,),'Actual Dates'!AD103,"")</f>
        <v/>
      </c>
      <c r="O749" s="138" t="e">
        <f t="shared" si="84"/>
        <v>#VALUE!</v>
      </c>
      <c r="P749" s="139">
        <f t="shared" si="82"/>
        <v>19</v>
      </c>
      <c r="Q749" s="139" t="e">
        <f t="shared" si="83"/>
        <v>#VALUE!</v>
      </c>
      <c r="R749" s="170"/>
      <c r="S749" s="170"/>
    </row>
  </sheetData>
  <mergeCells count="767">
    <mergeCell ref="A1:Q1"/>
    <mergeCell ref="A3:A4"/>
    <mergeCell ref="B3:B4"/>
    <mergeCell ref="C3:C4"/>
    <mergeCell ref="D3:E3"/>
    <mergeCell ref="F3:G3"/>
    <mergeCell ref="H3:I3"/>
    <mergeCell ref="J3:K3"/>
    <mergeCell ref="L3:L4"/>
    <mergeCell ref="M3:N3"/>
    <mergeCell ref="O3:O4"/>
    <mergeCell ref="P3:P4"/>
    <mergeCell ref="Q3:Q4"/>
    <mergeCell ref="R3:S4"/>
    <mergeCell ref="AD3:AD4"/>
    <mergeCell ref="AE3:AE4"/>
    <mergeCell ref="AF3:AF4"/>
    <mergeCell ref="AG3:AG4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AD240:AD245"/>
    <mergeCell ref="AE240:AE245"/>
    <mergeCell ref="AF240:AF245"/>
    <mergeCell ref="AG240:AG245"/>
    <mergeCell ref="R241:S241"/>
    <mergeCell ref="R242:S242"/>
    <mergeCell ref="R243:S243"/>
    <mergeCell ref="R244:S244"/>
    <mergeCell ref="R245:S245"/>
    <mergeCell ref="R246:S246"/>
    <mergeCell ref="AG246:AG247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0:S390"/>
    <mergeCell ref="R391:S391"/>
    <mergeCell ref="R392:S392"/>
    <mergeCell ref="R393:S393"/>
    <mergeCell ref="R394:S394"/>
    <mergeCell ref="R395:S395"/>
    <mergeCell ref="R396:S396"/>
    <mergeCell ref="R397:S397"/>
    <mergeCell ref="R398:S398"/>
    <mergeCell ref="R399:S399"/>
    <mergeCell ref="R400:S400"/>
    <mergeCell ref="R401:S401"/>
    <mergeCell ref="R402:S402"/>
    <mergeCell ref="R403:S403"/>
    <mergeCell ref="R404:S404"/>
    <mergeCell ref="R405:S405"/>
    <mergeCell ref="R406:S406"/>
    <mergeCell ref="R407:S407"/>
    <mergeCell ref="R408:S408"/>
    <mergeCell ref="R409:S409"/>
    <mergeCell ref="R410:S410"/>
    <mergeCell ref="R411:S411"/>
    <mergeCell ref="R412:S412"/>
    <mergeCell ref="R413:S413"/>
    <mergeCell ref="R414:S414"/>
    <mergeCell ref="R415:S415"/>
    <mergeCell ref="R416:S416"/>
    <mergeCell ref="R417:S417"/>
    <mergeCell ref="R418:S418"/>
    <mergeCell ref="R419:S419"/>
    <mergeCell ref="R420:S420"/>
    <mergeCell ref="R421:S421"/>
    <mergeCell ref="R422:S422"/>
    <mergeCell ref="R423:S423"/>
    <mergeCell ref="R424:S424"/>
    <mergeCell ref="R425:S425"/>
    <mergeCell ref="R426:S426"/>
    <mergeCell ref="R427:S427"/>
    <mergeCell ref="R428:S428"/>
    <mergeCell ref="R429:S429"/>
    <mergeCell ref="R430:S430"/>
    <mergeCell ref="R431:S431"/>
    <mergeCell ref="R432:S432"/>
    <mergeCell ref="R433:S433"/>
    <mergeCell ref="R434:S434"/>
    <mergeCell ref="R435:S435"/>
    <mergeCell ref="R436:S436"/>
    <mergeCell ref="R437:S437"/>
    <mergeCell ref="R438:S438"/>
    <mergeCell ref="R439:S439"/>
    <mergeCell ref="R440:S440"/>
    <mergeCell ref="R441:S441"/>
    <mergeCell ref="R442:S442"/>
    <mergeCell ref="R443:S443"/>
    <mergeCell ref="R444:S444"/>
    <mergeCell ref="R445:S445"/>
    <mergeCell ref="R446:S446"/>
    <mergeCell ref="R447:S447"/>
    <mergeCell ref="R448:S448"/>
    <mergeCell ref="R449:S449"/>
    <mergeCell ref="R450:S450"/>
    <mergeCell ref="R451:S451"/>
    <mergeCell ref="R452:S452"/>
    <mergeCell ref="R453:S453"/>
    <mergeCell ref="R454:S454"/>
    <mergeCell ref="R455:S455"/>
    <mergeCell ref="R456:S456"/>
    <mergeCell ref="R457:S457"/>
    <mergeCell ref="R458:S458"/>
    <mergeCell ref="R459:S459"/>
    <mergeCell ref="R460:S460"/>
    <mergeCell ref="R461:S461"/>
    <mergeCell ref="R462:S462"/>
    <mergeCell ref="R463:S463"/>
    <mergeCell ref="R464:S464"/>
    <mergeCell ref="R465:S465"/>
    <mergeCell ref="R466:S466"/>
    <mergeCell ref="R467:S467"/>
    <mergeCell ref="R468:S468"/>
    <mergeCell ref="R469:S469"/>
    <mergeCell ref="R470:S470"/>
    <mergeCell ref="R471:S471"/>
    <mergeCell ref="R472:S472"/>
    <mergeCell ref="R473:S473"/>
    <mergeCell ref="R474:S474"/>
    <mergeCell ref="R475:S475"/>
    <mergeCell ref="R476:S476"/>
    <mergeCell ref="R477:S477"/>
    <mergeCell ref="R478:S478"/>
    <mergeCell ref="R479:S479"/>
    <mergeCell ref="R480:S480"/>
    <mergeCell ref="R481:S481"/>
    <mergeCell ref="R482:S482"/>
    <mergeCell ref="R483:S483"/>
    <mergeCell ref="R484:S484"/>
    <mergeCell ref="R485:S485"/>
    <mergeCell ref="R486:S486"/>
    <mergeCell ref="R487:S487"/>
    <mergeCell ref="R488:S488"/>
    <mergeCell ref="R489:S489"/>
    <mergeCell ref="R490:S490"/>
    <mergeCell ref="R491:S491"/>
    <mergeCell ref="R492:S492"/>
    <mergeCell ref="R493:S493"/>
    <mergeCell ref="R494:S494"/>
    <mergeCell ref="R495:S495"/>
    <mergeCell ref="R496:S496"/>
    <mergeCell ref="R497:S497"/>
    <mergeCell ref="R498:S498"/>
    <mergeCell ref="R499:S499"/>
    <mergeCell ref="R500:S500"/>
    <mergeCell ref="R501:S501"/>
    <mergeCell ref="R502:S502"/>
    <mergeCell ref="R503:S503"/>
    <mergeCell ref="R504:S504"/>
    <mergeCell ref="R505:S505"/>
    <mergeCell ref="R506:S506"/>
    <mergeCell ref="R507:S507"/>
    <mergeCell ref="R508:S508"/>
    <mergeCell ref="R509:S509"/>
    <mergeCell ref="R510:S510"/>
    <mergeCell ref="R511:S511"/>
    <mergeCell ref="R512:S512"/>
    <mergeCell ref="R513:S513"/>
    <mergeCell ref="R514:S514"/>
    <mergeCell ref="R515:S515"/>
    <mergeCell ref="R516:S516"/>
    <mergeCell ref="R517:S517"/>
    <mergeCell ref="R518:S518"/>
    <mergeCell ref="R519:S519"/>
    <mergeCell ref="R520:S520"/>
    <mergeCell ref="R521:S521"/>
    <mergeCell ref="R522:S522"/>
    <mergeCell ref="R523:S523"/>
    <mergeCell ref="R524:S524"/>
    <mergeCell ref="R525:S525"/>
    <mergeCell ref="R526:S526"/>
    <mergeCell ref="R527:S527"/>
    <mergeCell ref="R528:S528"/>
    <mergeCell ref="R529:S529"/>
    <mergeCell ref="R530:S530"/>
    <mergeCell ref="R531:S531"/>
    <mergeCell ref="R532:S532"/>
    <mergeCell ref="R533:S533"/>
    <mergeCell ref="R534:S534"/>
    <mergeCell ref="R535:S535"/>
    <mergeCell ref="R536:S536"/>
    <mergeCell ref="R537:S537"/>
    <mergeCell ref="R538:S538"/>
    <mergeCell ref="R539:S539"/>
    <mergeCell ref="R540:S540"/>
    <mergeCell ref="R541:S541"/>
    <mergeCell ref="R542:S542"/>
    <mergeCell ref="R543:S543"/>
    <mergeCell ref="R544:S544"/>
    <mergeCell ref="R545:S545"/>
    <mergeCell ref="R546:S546"/>
    <mergeCell ref="R547:S547"/>
    <mergeCell ref="R548:S548"/>
    <mergeCell ref="R549:S549"/>
    <mergeCell ref="R550:S550"/>
    <mergeCell ref="R551:S551"/>
    <mergeCell ref="R552:S552"/>
    <mergeCell ref="R553:S553"/>
    <mergeCell ref="R554:S554"/>
    <mergeCell ref="R555:S555"/>
    <mergeCell ref="R556:S556"/>
    <mergeCell ref="R557:S557"/>
    <mergeCell ref="R558:S558"/>
    <mergeCell ref="R559:S559"/>
    <mergeCell ref="R560:S560"/>
    <mergeCell ref="R561:S561"/>
    <mergeCell ref="R562:S562"/>
    <mergeCell ref="R563:S563"/>
    <mergeCell ref="R564:S564"/>
    <mergeCell ref="R565:S565"/>
    <mergeCell ref="R566:S566"/>
    <mergeCell ref="R567:S567"/>
    <mergeCell ref="R568:S568"/>
    <mergeCell ref="R569:S569"/>
    <mergeCell ref="R570:S570"/>
    <mergeCell ref="R571:S571"/>
    <mergeCell ref="R572:S572"/>
    <mergeCell ref="R573:S573"/>
    <mergeCell ref="R574:S574"/>
    <mergeCell ref="R575:S575"/>
    <mergeCell ref="R576:S576"/>
    <mergeCell ref="R577:S577"/>
    <mergeCell ref="R578:S578"/>
    <mergeCell ref="R579:S579"/>
    <mergeCell ref="R580:S580"/>
    <mergeCell ref="R581:S581"/>
    <mergeCell ref="R582:S582"/>
    <mergeCell ref="R583:S583"/>
    <mergeCell ref="R584:S584"/>
    <mergeCell ref="R585:S585"/>
    <mergeCell ref="R586:S586"/>
    <mergeCell ref="R587:S587"/>
    <mergeCell ref="R588:S588"/>
    <mergeCell ref="R589:S589"/>
    <mergeCell ref="R590:S590"/>
    <mergeCell ref="R591:S591"/>
    <mergeCell ref="R592:S592"/>
    <mergeCell ref="R593:S593"/>
    <mergeCell ref="R594:S594"/>
    <mergeCell ref="R595:S595"/>
    <mergeCell ref="R596:S596"/>
    <mergeCell ref="R597:S597"/>
    <mergeCell ref="R598:S598"/>
    <mergeCell ref="R599:S599"/>
    <mergeCell ref="R600:S600"/>
    <mergeCell ref="R601:S601"/>
    <mergeCell ref="R602:S602"/>
    <mergeCell ref="R603:S603"/>
    <mergeCell ref="R604:S604"/>
    <mergeCell ref="R605:S605"/>
    <mergeCell ref="R606:S606"/>
    <mergeCell ref="R607:S607"/>
    <mergeCell ref="R608:S608"/>
    <mergeCell ref="R609:S609"/>
    <mergeCell ref="R610:S610"/>
    <mergeCell ref="R611:S611"/>
    <mergeCell ref="R612:S612"/>
    <mergeCell ref="R613:S613"/>
    <mergeCell ref="R614:S614"/>
    <mergeCell ref="R615:S615"/>
    <mergeCell ref="R616:S616"/>
    <mergeCell ref="R617:S617"/>
    <mergeCell ref="R618:S618"/>
    <mergeCell ref="R619:S619"/>
    <mergeCell ref="R620:S620"/>
    <mergeCell ref="R621:S621"/>
    <mergeCell ref="R622:S622"/>
    <mergeCell ref="R623:S623"/>
    <mergeCell ref="R624:S624"/>
    <mergeCell ref="R625:S625"/>
    <mergeCell ref="R626:S626"/>
    <mergeCell ref="R627:S627"/>
    <mergeCell ref="R628:S628"/>
    <mergeCell ref="R629:S629"/>
    <mergeCell ref="R630:S630"/>
    <mergeCell ref="R631:S631"/>
    <mergeCell ref="R632:S632"/>
    <mergeCell ref="R633:S633"/>
    <mergeCell ref="R634:S634"/>
    <mergeCell ref="R635:S635"/>
    <mergeCell ref="R636:S636"/>
    <mergeCell ref="R637:S637"/>
    <mergeCell ref="R638:S638"/>
    <mergeCell ref="R639:S639"/>
    <mergeCell ref="R640:S640"/>
    <mergeCell ref="R641:S641"/>
    <mergeCell ref="R642:S642"/>
    <mergeCell ref="R643:S643"/>
    <mergeCell ref="R644:S644"/>
    <mergeCell ref="R645:S645"/>
    <mergeCell ref="R646:S646"/>
    <mergeCell ref="R647:S647"/>
    <mergeCell ref="R648:S648"/>
    <mergeCell ref="R649:S649"/>
    <mergeCell ref="R650:S650"/>
    <mergeCell ref="R651:S651"/>
    <mergeCell ref="R652:S652"/>
    <mergeCell ref="R653:S653"/>
    <mergeCell ref="R654:S654"/>
    <mergeCell ref="R655:S655"/>
    <mergeCell ref="R656:S656"/>
    <mergeCell ref="R657:S657"/>
    <mergeCell ref="R658:S658"/>
    <mergeCell ref="R659:S659"/>
    <mergeCell ref="R660:S660"/>
    <mergeCell ref="R661:S661"/>
    <mergeCell ref="R662:S662"/>
    <mergeCell ref="R663:S663"/>
    <mergeCell ref="R664:S664"/>
    <mergeCell ref="R665:S665"/>
    <mergeCell ref="R666:S666"/>
    <mergeCell ref="R667:S667"/>
    <mergeCell ref="R668:S668"/>
    <mergeCell ref="R669:S669"/>
    <mergeCell ref="R670:S670"/>
    <mergeCell ref="R671:S671"/>
    <mergeCell ref="R672:S672"/>
    <mergeCell ref="R673:S673"/>
    <mergeCell ref="R674:S674"/>
    <mergeCell ref="R675:S675"/>
    <mergeCell ref="R676:S676"/>
    <mergeCell ref="R677:S677"/>
    <mergeCell ref="R678:S678"/>
    <mergeCell ref="R679:S679"/>
    <mergeCell ref="R680:S680"/>
    <mergeCell ref="R681:S681"/>
    <mergeCell ref="R682:S682"/>
    <mergeCell ref="R683:S683"/>
    <mergeCell ref="R684:S684"/>
    <mergeCell ref="R685:S685"/>
    <mergeCell ref="R686:S686"/>
    <mergeCell ref="R687:S687"/>
    <mergeCell ref="R688:S688"/>
    <mergeCell ref="R689:S689"/>
    <mergeCell ref="R690:S690"/>
    <mergeCell ref="R691:S691"/>
    <mergeCell ref="R692:S692"/>
    <mergeCell ref="R693:S693"/>
    <mergeCell ref="R694:S694"/>
    <mergeCell ref="R695:S695"/>
    <mergeCell ref="R696:S696"/>
    <mergeCell ref="R697:S697"/>
    <mergeCell ref="R698:S698"/>
    <mergeCell ref="R699:S699"/>
    <mergeCell ref="R700:S700"/>
    <mergeCell ref="R701:S701"/>
    <mergeCell ref="R702:S702"/>
    <mergeCell ref="R703:S703"/>
    <mergeCell ref="R704:S704"/>
    <mergeCell ref="R705:S705"/>
    <mergeCell ref="R706:S706"/>
    <mergeCell ref="R707:S707"/>
    <mergeCell ref="R708:S708"/>
    <mergeCell ref="R709:S709"/>
    <mergeCell ref="R710:S710"/>
    <mergeCell ref="R711:S711"/>
    <mergeCell ref="R712:S712"/>
    <mergeCell ref="R713:S713"/>
    <mergeCell ref="R714:S714"/>
    <mergeCell ref="R715:S715"/>
    <mergeCell ref="R716:S716"/>
    <mergeCell ref="R717:S717"/>
    <mergeCell ref="R718:S718"/>
    <mergeCell ref="R719:S719"/>
    <mergeCell ref="R720:S720"/>
    <mergeCell ref="R721:S721"/>
    <mergeCell ref="R722:S722"/>
    <mergeCell ref="R723:S723"/>
    <mergeCell ref="R724:S724"/>
    <mergeCell ref="R725:S725"/>
    <mergeCell ref="R726:S726"/>
    <mergeCell ref="R727:S727"/>
    <mergeCell ref="R728:S728"/>
    <mergeCell ref="R729:S729"/>
    <mergeCell ref="R730:S730"/>
    <mergeCell ref="R731:S731"/>
    <mergeCell ref="R732:S732"/>
    <mergeCell ref="R733:S733"/>
    <mergeCell ref="R743:S743"/>
    <mergeCell ref="R744:S744"/>
    <mergeCell ref="R745:S745"/>
    <mergeCell ref="R746:S746"/>
    <mergeCell ref="R747:S747"/>
    <mergeCell ref="R748:S748"/>
    <mergeCell ref="R749:S749"/>
    <mergeCell ref="R734:S734"/>
    <mergeCell ref="R735:S735"/>
    <mergeCell ref="R736:S736"/>
    <mergeCell ref="R737:S737"/>
    <mergeCell ref="R738:S738"/>
    <mergeCell ref="R739:S739"/>
    <mergeCell ref="R740:S740"/>
    <mergeCell ref="R741:S741"/>
    <mergeCell ref="R742:S742"/>
  </mergeCells>
  <printOptions horizontalCentered="1"/>
  <pageMargins left="0.25" right="0.25" top="0.75" bottom="0.75" header="0.511811023622047" footer="0.511811023622047"/>
  <pageSetup paperSize="3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F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33" sqref="F33"/>
    </sheetView>
  </sheetViews>
  <sheetFormatPr defaultColWidth="8.7109375" defaultRowHeight="15" x14ac:dyDescent="0.25"/>
  <cols>
    <col min="2" max="2" width="12.42578125" customWidth="1"/>
    <col min="5" max="5" width="11" customWidth="1"/>
  </cols>
  <sheetData>
    <row r="3" spans="1:6" s="61" customFormat="1" ht="15" customHeight="1" x14ac:dyDescent="0.25">
      <c r="B3" s="179" t="s">
        <v>393</v>
      </c>
      <c r="C3" s="180" t="s">
        <v>394</v>
      </c>
      <c r="D3" s="179" t="s">
        <v>395</v>
      </c>
      <c r="E3" s="180" t="s">
        <v>396</v>
      </c>
      <c r="F3" s="186" t="s">
        <v>412</v>
      </c>
    </row>
    <row r="4" spans="1:6" s="59" customFormat="1" ht="15.75" customHeight="1" x14ac:dyDescent="0.25">
      <c r="B4" s="179"/>
      <c r="C4" s="180"/>
      <c r="D4" s="179"/>
      <c r="E4" s="180"/>
      <c r="F4" s="186"/>
    </row>
    <row r="5" spans="1:6" x14ac:dyDescent="0.25">
      <c r="A5" s="173">
        <v>2021</v>
      </c>
      <c r="B5" s="145" t="s">
        <v>413</v>
      </c>
      <c r="C5" s="149" t="e">
        <f>SUM('OGSM 2019'!AC240:AC245)</f>
        <v>#REF!</v>
      </c>
      <c r="D5" s="150">
        <v>6</v>
      </c>
      <c r="E5" s="146" t="e">
        <f>D5/C5</f>
        <v>#REF!</v>
      </c>
      <c r="F5" s="151">
        <v>0.95</v>
      </c>
    </row>
    <row r="6" spans="1:6" ht="15" customHeight="1" x14ac:dyDescent="0.25">
      <c r="A6" s="173"/>
      <c r="B6" s="145" t="s">
        <v>414</v>
      </c>
      <c r="C6" s="149" t="e">
        <f>'OGSM 2019'!AE246</f>
        <v>#REF!</v>
      </c>
      <c r="D6" s="150">
        <v>2</v>
      </c>
      <c r="E6" s="146" t="e">
        <f>D6/C6</f>
        <v>#REF!</v>
      </c>
      <c r="F6" s="151">
        <v>0.95</v>
      </c>
    </row>
    <row r="7" spans="1:6" x14ac:dyDescent="0.25">
      <c r="A7" s="173"/>
      <c r="B7" s="145" t="s">
        <v>415</v>
      </c>
      <c r="C7" s="149">
        <v>2</v>
      </c>
      <c r="D7" s="150">
        <v>2</v>
      </c>
      <c r="E7" s="146">
        <f>D7/C7</f>
        <v>1</v>
      </c>
      <c r="F7" s="151">
        <v>0.95</v>
      </c>
    </row>
    <row r="8" spans="1:6" x14ac:dyDescent="0.25">
      <c r="A8" s="173"/>
      <c r="B8" s="145" t="s">
        <v>416</v>
      </c>
      <c r="C8" s="149">
        <v>2</v>
      </c>
      <c r="D8" s="150">
        <v>2</v>
      </c>
      <c r="E8" s="146"/>
      <c r="F8" s="151">
        <v>0.95</v>
      </c>
    </row>
    <row r="9" spans="1:6" x14ac:dyDescent="0.25">
      <c r="A9" s="173"/>
      <c r="B9" s="145" t="s">
        <v>417</v>
      </c>
      <c r="C9" s="149">
        <v>2</v>
      </c>
      <c r="D9" s="150">
        <v>2</v>
      </c>
      <c r="E9" s="146"/>
      <c r="F9" s="151">
        <v>0.95</v>
      </c>
    </row>
    <row r="10" spans="1:6" x14ac:dyDescent="0.25">
      <c r="A10" s="173"/>
      <c r="B10" s="145" t="s">
        <v>418</v>
      </c>
      <c r="C10" s="149"/>
      <c r="D10" s="150"/>
      <c r="E10" s="146"/>
      <c r="F10" s="151">
        <v>0.95</v>
      </c>
    </row>
    <row r="11" spans="1:6" x14ac:dyDescent="0.25">
      <c r="A11" s="173"/>
      <c r="B11" s="145" t="s">
        <v>419</v>
      </c>
      <c r="C11" s="152"/>
      <c r="D11" s="153"/>
      <c r="E11" s="6"/>
      <c r="F11" s="151">
        <v>0.95</v>
      </c>
    </row>
    <row r="12" spans="1:6" x14ac:dyDescent="0.25">
      <c r="A12" s="173"/>
      <c r="B12" s="145" t="s">
        <v>420</v>
      </c>
      <c r="C12" s="152"/>
      <c r="D12" s="153"/>
      <c r="E12" s="6"/>
      <c r="F12" s="151">
        <v>0.95</v>
      </c>
    </row>
    <row r="13" spans="1:6" x14ac:dyDescent="0.25">
      <c r="A13" s="173"/>
      <c r="B13" s="145" t="s">
        <v>421</v>
      </c>
      <c r="C13" s="152"/>
      <c r="D13" s="153"/>
      <c r="E13" s="6"/>
      <c r="F13" s="151">
        <v>0.95</v>
      </c>
    </row>
    <row r="14" spans="1:6" x14ac:dyDescent="0.25">
      <c r="A14" s="173"/>
      <c r="B14" s="145" t="s">
        <v>422</v>
      </c>
      <c r="C14" s="152"/>
      <c r="D14" s="153"/>
      <c r="E14" s="6"/>
      <c r="F14" s="151">
        <v>0.95</v>
      </c>
    </row>
    <row r="15" spans="1:6" x14ac:dyDescent="0.25">
      <c r="A15" s="173"/>
      <c r="B15" s="145" t="s">
        <v>423</v>
      </c>
      <c r="C15" s="152"/>
      <c r="D15" s="153"/>
      <c r="E15" s="6"/>
      <c r="F15" s="151">
        <v>0.95</v>
      </c>
    </row>
    <row r="16" spans="1:6" x14ac:dyDescent="0.25">
      <c r="A16" s="173"/>
      <c r="B16" s="145" t="s">
        <v>424</v>
      </c>
      <c r="C16" s="152"/>
      <c r="D16" s="153"/>
      <c r="E16" s="6"/>
      <c r="F16" s="151">
        <v>0.95</v>
      </c>
    </row>
    <row r="17" spans="1:6" x14ac:dyDescent="0.25">
      <c r="A17" s="173">
        <v>2022</v>
      </c>
      <c r="B17" s="145" t="s">
        <v>413</v>
      </c>
      <c r="C17" s="152"/>
      <c r="D17" s="153"/>
      <c r="E17" s="6"/>
      <c r="F17" s="151">
        <v>0.95</v>
      </c>
    </row>
    <row r="18" spans="1:6" x14ac:dyDescent="0.25">
      <c r="A18" s="173"/>
      <c r="B18" s="145" t="s">
        <v>414</v>
      </c>
      <c r="C18" s="152"/>
      <c r="D18" s="153"/>
      <c r="E18" s="6"/>
      <c r="F18" s="151">
        <v>0.95</v>
      </c>
    </row>
    <row r="19" spans="1:6" x14ac:dyDescent="0.25">
      <c r="A19" s="173"/>
      <c r="B19" s="145" t="s">
        <v>415</v>
      </c>
      <c r="C19" s="152"/>
      <c r="D19" s="153"/>
      <c r="E19" s="6"/>
      <c r="F19" s="151">
        <v>0.95</v>
      </c>
    </row>
    <row r="20" spans="1:6" x14ac:dyDescent="0.25">
      <c r="A20" s="173"/>
      <c r="B20" s="145" t="s">
        <v>416</v>
      </c>
      <c r="C20" s="152"/>
      <c r="D20" s="153"/>
      <c r="E20" s="6"/>
      <c r="F20" s="151">
        <v>0.95</v>
      </c>
    </row>
    <row r="21" spans="1:6" x14ac:dyDescent="0.25">
      <c r="A21" s="173"/>
      <c r="B21" s="145" t="s">
        <v>417</v>
      </c>
      <c r="C21" s="152"/>
      <c r="D21" s="21"/>
      <c r="E21" s="6"/>
      <c r="F21" s="151">
        <v>0.95</v>
      </c>
    </row>
    <row r="22" spans="1:6" x14ac:dyDescent="0.25">
      <c r="A22" s="173"/>
      <c r="B22" s="145" t="s">
        <v>418</v>
      </c>
      <c r="C22" s="152"/>
      <c r="D22" s="21"/>
      <c r="E22" s="6"/>
      <c r="F22" s="151">
        <v>0.95</v>
      </c>
    </row>
    <row r="23" spans="1:6" x14ac:dyDescent="0.25">
      <c r="A23" s="173"/>
      <c r="B23" s="145" t="s">
        <v>419</v>
      </c>
      <c r="C23" s="152"/>
      <c r="D23" s="21"/>
      <c r="E23" s="6"/>
      <c r="F23" s="151">
        <v>0.95</v>
      </c>
    </row>
    <row r="24" spans="1:6" x14ac:dyDescent="0.25">
      <c r="A24" s="173"/>
      <c r="B24" s="145" t="s">
        <v>420</v>
      </c>
      <c r="C24" s="152"/>
      <c r="D24" s="21"/>
      <c r="E24" s="6"/>
      <c r="F24" s="151">
        <v>0.95</v>
      </c>
    </row>
    <row r="25" spans="1:6" x14ac:dyDescent="0.25">
      <c r="A25" s="173"/>
      <c r="B25" s="145" t="s">
        <v>421</v>
      </c>
      <c r="C25" s="152"/>
      <c r="D25" s="21"/>
      <c r="E25" s="6"/>
      <c r="F25" s="151">
        <v>0.95</v>
      </c>
    </row>
    <row r="26" spans="1:6" x14ac:dyDescent="0.25">
      <c r="A26" s="173"/>
      <c r="B26" s="145" t="s">
        <v>422</v>
      </c>
      <c r="C26" s="152"/>
      <c r="D26" s="21"/>
      <c r="E26" s="6"/>
      <c r="F26" s="151">
        <v>0.95</v>
      </c>
    </row>
    <row r="27" spans="1:6" x14ac:dyDescent="0.25">
      <c r="A27" s="173"/>
      <c r="B27" s="145" t="s">
        <v>423</v>
      </c>
      <c r="C27" s="152"/>
      <c r="D27" s="21"/>
      <c r="E27" s="6"/>
      <c r="F27" s="151">
        <v>0.95</v>
      </c>
    </row>
    <row r="28" spans="1:6" x14ac:dyDescent="0.25">
      <c r="A28" s="173"/>
      <c r="B28" s="145" t="s">
        <v>424</v>
      </c>
      <c r="C28" s="152"/>
      <c r="D28" s="21"/>
      <c r="E28" s="6"/>
      <c r="F28" s="151">
        <v>0.95</v>
      </c>
    </row>
  </sheetData>
  <mergeCells count="7">
    <mergeCell ref="E3:E4"/>
    <mergeCell ref="F3:F4"/>
    <mergeCell ref="A5:A16"/>
    <mergeCell ref="A17:A28"/>
    <mergeCell ref="B3:B4"/>
    <mergeCell ref="C3:C4"/>
    <mergeCell ref="D3:D4"/>
  </mergeCells>
  <printOptions horizontalCentered="1"/>
  <pageMargins left="0.25" right="0.25" top="0.75" bottom="0.75" header="0.511811023622047" footer="0.511811023622047"/>
  <pageSetup paperSize="3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Drawing Submittal</vt:lpstr>
      <vt:lpstr>Cust Dwg Return</vt:lpstr>
      <vt:lpstr>RTR v2</vt:lpstr>
      <vt:lpstr>Actual Dates</vt:lpstr>
      <vt:lpstr>Change Order (3)</vt:lpstr>
      <vt:lpstr>Date</vt:lpstr>
      <vt:lpstr>Date Calcs</vt:lpstr>
      <vt:lpstr>Ship Date</vt:lpstr>
      <vt:lpstr>Shipment Checklist</vt:lpstr>
      <vt:lpstr>OGSM 2019</vt:lpstr>
      <vt:lpstr>DRAWING EFFICIENCY</vt:lpstr>
      <vt:lpstr>Dates</vt:lpstr>
      <vt:lpstr>Jobs</vt:lpstr>
      <vt:lpstr>'Cust Dwg Return'!Print_Area</vt:lpstr>
      <vt:lpstr>'Drawing Submittal'!Print_Area</vt:lpstr>
      <vt:lpstr>'OGSM 2019'!Print_Area</vt:lpstr>
      <vt:lpstr>'RTR v2'!Print_Area</vt:lpstr>
      <vt:lpstr>'Actual Dates'!Print_Titles</vt:lpstr>
      <vt:lpstr>'Drawing Submittal'!Print_Titles</vt:lpstr>
      <vt:lpstr>'RTR v2'!Print_Titles</vt:lpstr>
      <vt:lpstr>'Shipment Checklist'!Print_Titles</vt:lpstr>
      <vt:lpstr>'Ship Date'!Ship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Onachilla</dc:creator>
  <dc:description/>
  <cp:lastModifiedBy>Rutang Shah</cp:lastModifiedBy>
  <cp:revision>1</cp:revision>
  <cp:lastPrinted>2026-04-02T20:42:40Z</cp:lastPrinted>
  <dcterms:created xsi:type="dcterms:W3CDTF">2015-07-27T12:47:56Z</dcterms:created>
  <dcterms:modified xsi:type="dcterms:W3CDTF">2026-04-03T13:31:23Z</dcterms:modified>
  <dc:language>en-US</dc:language>
</cp:coreProperties>
</file>