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"/>
    </mc:Choice>
  </mc:AlternateContent>
  <xr:revisionPtr revIDLastSave="0" documentId="13_ncr:1_{66302442-70D1-4C8B-81E2-B292BCAA8944}" xr6:coauthVersionLast="47" xr6:coauthVersionMax="47" xr10:uidLastSave="{00000000-0000-0000-0000-000000000000}"/>
  <bookViews>
    <workbookView xWindow="-120" yWindow="-120" windowWidth="29040" windowHeight="15840" xr2:uid="{667C8A58-231E-4E30-A2F0-76A7CF517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I51" i="1" s="1"/>
  <c r="I50" i="1"/>
  <c r="C50" i="1"/>
  <c r="C65" i="1"/>
  <c r="C51" i="1"/>
  <c r="I52" i="1" l="1"/>
  <c r="C53" i="1"/>
  <c r="C67" i="1" s="1"/>
  <c r="I54" i="1" l="1"/>
  <c r="I53" i="1"/>
</calcChain>
</file>

<file path=xl/sharedStrings.xml><?xml version="1.0" encoding="utf-8"?>
<sst xmlns="http://schemas.openxmlformats.org/spreadsheetml/2006/main" count="65" uniqueCount="61">
  <si>
    <t>Pre Fab</t>
  </si>
  <si>
    <t>Scott Shuman</t>
  </si>
  <si>
    <t>Arthur Morrison</t>
  </si>
  <si>
    <t>Kevin Free</t>
  </si>
  <si>
    <t>Chris Lapp "CNC Operator #2"</t>
  </si>
  <si>
    <t>Maurice Sellars</t>
  </si>
  <si>
    <t>Cody Moose</t>
  </si>
  <si>
    <t>Cory Shuman</t>
  </si>
  <si>
    <t>Brittany Mock "Cobot Operator"</t>
  </si>
  <si>
    <t>Jeremy Bland</t>
  </si>
  <si>
    <t>Joseph Fahey</t>
  </si>
  <si>
    <t>Fabrication</t>
  </si>
  <si>
    <t>Sammy Chavis</t>
  </si>
  <si>
    <t>Shelbi Foltyn</t>
  </si>
  <si>
    <t>Kevin McMoore</t>
  </si>
  <si>
    <t>Randall Shuman</t>
  </si>
  <si>
    <t xml:space="preserve">Chris Allen </t>
  </si>
  <si>
    <t>Jason Batchelor</t>
  </si>
  <si>
    <t>Steven Lewis</t>
  </si>
  <si>
    <t>Wes Benoit</t>
  </si>
  <si>
    <t xml:space="preserve">Clean/ Test </t>
  </si>
  <si>
    <t>Julian Adkins - Supervisor</t>
  </si>
  <si>
    <t>Jacquelle Leeks</t>
  </si>
  <si>
    <t>Robert Moore</t>
  </si>
  <si>
    <t>Lotoro Grant</t>
  </si>
  <si>
    <t>.</t>
  </si>
  <si>
    <t>Supervision / Overhead</t>
  </si>
  <si>
    <t>Scott</t>
  </si>
  <si>
    <t>Sammy</t>
  </si>
  <si>
    <t>Keith Shuman</t>
  </si>
  <si>
    <t>2nd Maintenance Tech</t>
  </si>
  <si>
    <t>Blake - Receiving &amp; Inventory Clerk</t>
  </si>
  <si>
    <t>Arthur</t>
  </si>
  <si>
    <t>Albert</t>
  </si>
  <si>
    <t>2nd QC Inspector</t>
  </si>
  <si>
    <t>Total Direct</t>
  </si>
  <si>
    <t>Total Indirect</t>
  </si>
  <si>
    <t>Total</t>
  </si>
  <si>
    <t>Office</t>
  </si>
  <si>
    <t>Nick</t>
  </si>
  <si>
    <t>Rutang</t>
  </si>
  <si>
    <t>Sherri</t>
  </si>
  <si>
    <t>Chris</t>
  </si>
  <si>
    <t>Production Manager</t>
  </si>
  <si>
    <t>John</t>
  </si>
  <si>
    <t>Dustin</t>
  </si>
  <si>
    <t>David</t>
  </si>
  <si>
    <t>Total Headcount</t>
  </si>
  <si>
    <t>Justin Mcamis</t>
  </si>
  <si>
    <t>Total OverHead Hours</t>
  </si>
  <si>
    <t>Total Direct Hours</t>
  </si>
  <si>
    <t>Cleanup Hours (3 hrs) per employee</t>
  </si>
  <si>
    <t>Total weekly hours</t>
  </si>
  <si>
    <t>Percent of Direct</t>
  </si>
  <si>
    <t>Percent of Overhead</t>
  </si>
  <si>
    <t>Small Tank Production Shop</t>
  </si>
  <si>
    <t>Replacement for Shelbi</t>
  </si>
  <si>
    <t xml:space="preserve">Replacement for Jason </t>
  </si>
  <si>
    <t>Welder</t>
  </si>
  <si>
    <t>Plate Roller / Pre-Fab</t>
  </si>
  <si>
    <t>Tank Cleaner /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</si>
</sst>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7CCA-C03C-4D46-89D8-D44021D30F34}">
  <sheetPr>
    <pageSetUpPr fitToPage="1"/>
  </sheetPr>
  <dimension ref="A1:I68"/>
  <sheetViews>
    <sheetView tabSelected="1" workbookViewId="0">
      <selection activeCell="D49" sqref="D49"/>
    </sheetView>
  </sheetViews>
  <sheetFormatPr defaultRowHeight="15" x14ac:dyDescent="0.25"/>
  <cols>
    <col min="1" max="1" width="30.42578125" bestFit="1" customWidth="1"/>
  </cols>
  <sheetData>
    <row r="1" spans="1:4" x14ac:dyDescent="0.25">
      <c r="A1" s="1" t="s">
        <v>0</v>
      </c>
      <c r="B1" s="2"/>
      <c r="C1" s="2"/>
      <c r="D1" s="3"/>
    </row>
    <row r="2" spans="1:4" x14ac:dyDescent="0.25">
      <c r="A2" s="4" t="s">
        <v>1</v>
      </c>
      <c r="B2" s="5"/>
      <c r="C2" s="6">
        <v>0.5</v>
      </c>
      <c r="D2" s="6">
        <v>25</v>
      </c>
    </row>
    <row r="3" spans="1:4" x14ac:dyDescent="0.25">
      <c r="A3" s="4" t="s">
        <v>2</v>
      </c>
      <c r="B3" s="5"/>
      <c r="C3" s="6">
        <v>0.5</v>
      </c>
      <c r="D3" s="6">
        <v>15</v>
      </c>
    </row>
    <row r="4" spans="1:4" x14ac:dyDescent="0.25">
      <c r="A4" s="4" t="s">
        <v>3</v>
      </c>
      <c r="B4" s="5"/>
      <c r="C4" s="5">
        <v>1</v>
      </c>
      <c r="D4" s="5">
        <v>45</v>
      </c>
    </row>
    <row r="5" spans="1:4" x14ac:dyDescent="0.25">
      <c r="A5" s="4" t="s">
        <v>4</v>
      </c>
      <c r="B5" s="5"/>
      <c r="C5" s="5">
        <v>1</v>
      </c>
      <c r="D5" s="5">
        <v>45</v>
      </c>
    </row>
    <row r="6" spans="1:4" x14ac:dyDescent="0.25">
      <c r="A6" s="4" t="s">
        <v>5</v>
      </c>
      <c r="B6" s="5"/>
      <c r="C6" s="5">
        <v>1</v>
      </c>
      <c r="D6" s="5">
        <v>45</v>
      </c>
    </row>
    <row r="7" spans="1:4" x14ac:dyDescent="0.25">
      <c r="A7" s="4" t="s">
        <v>6</v>
      </c>
      <c r="B7" s="5"/>
      <c r="C7" s="5">
        <v>1</v>
      </c>
      <c r="D7" s="5">
        <v>45</v>
      </c>
    </row>
    <row r="8" spans="1:4" x14ac:dyDescent="0.25">
      <c r="A8" s="4" t="s">
        <v>7</v>
      </c>
      <c r="B8" s="5"/>
      <c r="C8" s="5">
        <v>1</v>
      </c>
      <c r="D8" s="5">
        <v>45</v>
      </c>
    </row>
    <row r="9" spans="1:4" x14ac:dyDescent="0.25">
      <c r="A9" s="4" t="s">
        <v>8</v>
      </c>
      <c r="B9" s="5"/>
      <c r="C9" s="5">
        <v>1</v>
      </c>
      <c r="D9" s="5">
        <v>45</v>
      </c>
    </row>
    <row r="10" spans="1:4" x14ac:dyDescent="0.25">
      <c r="A10" s="4" t="s">
        <v>9</v>
      </c>
      <c r="B10" s="5"/>
      <c r="C10" s="5">
        <v>1</v>
      </c>
      <c r="D10" s="5">
        <v>45</v>
      </c>
    </row>
    <row r="11" spans="1:4" x14ac:dyDescent="0.25">
      <c r="A11" s="4" t="s">
        <v>10</v>
      </c>
      <c r="B11" s="5"/>
      <c r="C11" s="5">
        <v>1</v>
      </c>
      <c r="D11" s="5">
        <v>45</v>
      </c>
    </row>
    <row r="12" spans="1:4" x14ac:dyDescent="0.25">
      <c r="A12" s="4"/>
      <c r="B12" s="5"/>
      <c r="C12" s="5"/>
      <c r="D12" s="5"/>
    </row>
    <row r="13" spans="1:4" x14ac:dyDescent="0.25">
      <c r="A13" s="1" t="s">
        <v>11</v>
      </c>
      <c r="B13" s="2"/>
      <c r="C13" s="2"/>
      <c r="D13" s="3"/>
    </row>
    <row r="14" spans="1:4" x14ac:dyDescent="0.25">
      <c r="A14" s="4" t="s">
        <v>12</v>
      </c>
      <c r="B14" s="5"/>
      <c r="C14" s="6">
        <v>0</v>
      </c>
      <c r="D14" s="6"/>
    </row>
    <row r="15" spans="1:4" x14ac:dyDescent="0.25">
      <c r="A15" s="4" t="s">
        <v>56</v>
      </c>
      <c r="B15" s="5"/>
      <c r="C15" s="5">
        <v>1</v>
      </c>
      <c r="D15" s="5">
        <v>45</v>
      </c>
    </row>
    <row r="16" spans="1:4" x14ac:dyDescent="0.25">
      <c r="A16" s="4" t="s">
        <v>57</v>
      </c>
      <c r="B16" s="5"/>
      <c r="C16" s="5">
        <v>1</v>
      </c>
      <c r="D16" s="5">
        <v>45</v>
      </c>
    </row>
    <row r="17" spans="1:4" x14ac:dyDescent="0.25">
      <c r="A17" s="4" t="s">
        <v>14</v>
      </c>
      <c r="B17" s="5"/>
      <c r="C17" s="5">
        <v>1</v>
      </c>
      <c r="D17" s="5">
        <v>45</v>
      </c>
    </row>
    <row r="18" spans="1:4" x14ac:dyDescent="0.25">
      <c r="A18" s="4" t="s">
        <v>15</v>
      </c>
      <c r="B18" s="5"/>
      <c r="C18" s="5">
        <v>1</v>
      </c>
      <c r="D18" s="5">
        <v>45</v>
      </c>
    </row>
    <row r="19" spans="1:4" x14ac:dyDescent="0.25">
      <c r="A19" s="4" t="s">
        <v>16</v>
      </c>
      <c r="B19" s="5"/>
      <c r="C19" s="5">
        <v>1</v>
      </c>
      <c r="D19" s="5">
        <v>45</v>
      </c>
    </row>
    <row r="20" spans="1:4" x14ac:dyDescent="0.25">
      <c r="A20" s="4" t="s">
        <v>18</v>
      </c>
      <c r="B20" s="5"/>
      <c r="C20" s="5">
        <v>1</v>
      </c>
      <c r="D20" s="5">
        <v>45</v>
      </c>
    </row>
    <row r="21" spans="1:4" x14ac:dyDescent="0.25">
      <c r="A21" s="4" t="s">
        <v>19</v>
      </c>
      <c r="B21" s="5"/>
      <c r="C21" s="5">
        <v>1</v>
      </c>
      <c r="D21" s="5">
        <v>45</v>
      </c>
    </row>
    <row r="22" spans="1:4" x14ac:dyDescent="0.25">
      <c r="A22" s="4" t="s">
        <v>48</v>
      </c>
      <c r="B22" s="5"/>
      <c r="C22" s="5">
        <v>1</v>
      </c>
      <c r="D22" s="5">
        <v>45</v>
      </c>
    </row>
    <row r="23" spans="1:4" x14ac:dyDescent="0.25">
      <c r="A23" s="1" t="s">
        <v>55</v>
      </c>
      <c r="B23" s="2"/>
      <c r="C23" s="2"/>
      <c r="D23" s="3"/>
    </row>
    <row r="24" spans="1:4" x14ac:dyDescent="0.25">
      <c r="A24" s="4" t="s">
        <v>17</v>
      </c>
      <c r="B24" s="5"/>
      <c r="C24" s="5">
        <v>1</v>
      </c>
      <c r="D24" s="5">
        <v>45</v>
      </c>
    </row>
    <row r="25" spans="1:4" x14ac:dyDescent="0.25">
      <c r="A25" s="4" t="s">
        <v>13</v>
      </c>
      <c r="B25" s="5"/>
      <c r="C25" s="5">
        <v>1</v>
      </c>
      <c r="D25" s="5">
        <v>45</v>
      </c>
    </row>
    <row r="26" spans="1:4" x14ac:dyDescent="0.25">
      <c r="A26" s="4" t="s">
        <v>58</v>
      </c>
      <c r="B26" s="5"/>
      <c r="C26" s="5">
        <v>1</v>
      </c>
      <c r="D26" s="5">
        <v>45</v>
      </c>
    </row>
    <row r="27" spans="1:4" x14ac:dyDescent="0.25">
      <c r="A27" s="4" t="s">
        <v>58</v>
      </c>
      <c r="B27" s="5"/>
      <c r="C27" s="5">
        <v>1</v>
      </c>
      <c r="D27" s="5">
        <v>45</v>
      </c>
    </row>
    <row r="28" spans="1:4" x14ac:dyDescent="0.25">
      <c r="A28" s="4" t="s">
        <v>58</v>
      </c>
      <c r="B28" s="5"/>
      <c r="C28" s="5">
        <v>1</v>
      </c>
      <c r="D28" s="5">
        <v>45</v>
      </c>
    </row>
    <row r="29" spans="1:4" x14ac:dyDescent="0.25">
      <c r="A29" s="4" t="s">
        <v>59</v>
      </c>
      <c r="B29" s="5"/>
      <c r="C29" s="5">
        <v>1</v>
      </c>
      <c r="D29" s="5">
        <v>45</v>
      </c>
    </row>
    <row r="30" spans="1:4" x14ac:dyDescent="0.25">
      <c r="A30" s="4" t="s">
        <v>60</v>
      </c>
      <c r="B30" s="5"/>
      <c r="C30" s="5">
        <v>1</v>
      </c>
      <c r="D30" s="5">
        <v>45</v>
      </c>
    </row>
    <row r="31" spans="1:4" x14ac:dyDescent="0.25">
      <c r="A31" s="4"/>
      <c r="B31" s="5"/>
      <c r="C31" s="5"/>
      <c r="D31" s="5"/>
    </row>
    <row r="32" spans="1:4" x14ac:dyDescent="0.25">
      <c r="A32" s="1" t="s">
        <v>20</v>
      </c>
      <c r="B32" s="2"/>
      <c r="C32" s="2"/>
      <c r="D32" s="3"/>
    </row>
    <row r="33" spans="1:9" x14ac:dyDescent="0.25">
      <c r="A33" s="4" t="s">
        <v>21</v>
      </c>
      <c r="B33" s="5"/>
      <c r="C33" s="6">
        <v>0.5</v>
      </c>
      <c r="D33" s="6">
        <v>20</v>
      </c>
    </row>
    <row r="34" spans="1:9" x14ac:dyDescent="0.25">
      <c r="A34" s="4" t="s">
        <v>22</v>
      </c>
      <c r="B34" s="5"/>
      <c r="C34" s="5">
        <v>1</v>
      </c>
      <c r="D34" s="5">
        <v>45</v>
      </c>
    </row>
    <row r="35" spans="1:9" x14ac:dyDescent="0.25">
      <c r="A35" s="4" t="s">
        <v>23</v>
      </c>
      <c r="B35" s="5"/>
      <c r="C35" s="5">
        <v>1</v>
      </c>
      <c r="D35" s="5">
        <v>45</v>
      </c>
    </row>
    <row r="36" spans="1:9" x14ac:dyDescent="0.25">
      <c r="A36" s="4" t="s">
        <v>24</v>
      </c>
      <c r="B36" s="5"/>
      <c r="C36" s="5">
        <v>1</v>
      </c>
      <c r="D36" s="5">
        <v>45</v>
      </c>
    </row>
    <row r="37" spans="1:9" x14ac:dyDescent="0.25">
      <c r="A37" s="4" t="s">
        <v>25</v>
      </c>
      <c r="B37" s="5"/>
      <c r="C37" s="5"/>
      <c r="D37" s="5"/>
    </row>
    <row r="38" spans="1:9" x14ac:dyDescent="0.25">
      <c r="A38" s="1" t="s">
        <v>26</v>
      </c>
      <c r="B38" s="2"/>
      <c r="C38" s="2"/>
      <c r="D38" s="3"/>
    </row>
    <row r="39" spans="1:9" x14ac:dyDescent="0.25">
      <c r="A39" s="4" t="s">
        <v>27</v>
      </c>
      <c r="B39" s="5"/>
      <c r="C39" s="6">
        <v>0.5</v>
      </c>
      <c r="D39" s="6">
        <v>25</v>
      </c>
      <c r="F39" s="7"/>
      <c r="G39" s="7"/>
      <c r="H39" s="7"/>
      <c r="I39" s="8"/>
    </row>
    <row r="40" spans="1:9" x14ac:dyDescent="0.25">
      <c r="A40" s="4" t="s">
        <v>21</v>
      </c>
      <c r="B40" s="5"/>
      <c r="C40" s="6">
        <v>0.5</v>
      </c>
      <c r="D40" s="6">
        <v>25</v>
      </c>
    </row>
    <row r="41" spans="1:9" x14ac:dyDescent="0.25">
      <c r="A41" s="4" t="s">
        <v>28</v>
      </c>
      <c r="B41" s="5"/>
      <c r="C41" s="6">
        <v>1</v>
      </c>
      <c r="D41" s="6">
        <v>50</v>
      </c>
    </row>
    <row r="42" spans="1:9" x14ac:dyDescent="0.25">
      <c r="A42" s="4" t="s">
        <v>29</v>
      </c>
      <c r="B42" s="5"/>
      <c r="C42" s="5">
        <v>1</v>
      </c>
      <c r="D42" s="5">
        <v>45</v>
      </c>
    </row>
    <row r="43" spans="1:9" x14ac:dyDescent="0.25">
      <c r="A43" s="4" t="s">
        <v>30</v>
      </c>
      <c r="B43" s="5"/>
      <c r="C43" s="5">
        <v>1</v>
      </c>
      <c r="D43" s="5">
        <v>45</v>
      </c>
    </row>
    <row r="44" spans="1:9" x14ac:dyDescent="0.25">
      <c r="A44" s="4" t="s">
        <v>31</v>
      </c>
      <c r="B44" s="5"/>
      <c r="C44" s="5">
        <v>1</v>
      </c>
      <c r="D44" s="5">
        <v>40</v>
      </c>
    </row>
    <row r="45" spans="1:9" x14ac:dyDescent="0.25">
      <c r="A45" s="4" t="s">
        <v>32</v>
      </c>
      <c r="B45" s="5"/>
      <c r="C45" s="6">
        <v>0.5</v>
      </c>
      <c r="D45" s="6">
        <v>30</v>
      </c>
    </row>
    <row r="46" spans="1:9" x14ac:dyDescent="0.25">
      <c r="A46" s="4" t="s">
        <v>33</v>
      </c>
      <c r="B46" s="5"/>
      <c r="C46" s="6">
        <v>1</v>
      </c>
      <c r="D46" s="6">
        <v>40</v>
      </c>
    </row>
    <row r="47" spans="1:9" x14ac:dyDescent="0.25">
      <c r="A47" s="4" t="s">
        <v>34</v>
      </c>
      <c r="B47" s="5"/>
      <c r="C47" s="6">
        <v>1</v>
      </c>
      <c r="D47" s="6">
        <v>40</v>
      </c>
    </row>
    <row r="48" spans="1:9" x14ac:dyDescent="0.25">
      <c r="A48" s="4" t="s">
        <v>51</v>
      </c>
      <c r="B48" s="5"/>
      <c r="C48" s="5"/>
      <c r="D48" s="5">
        <f>3*26</f>
        <v>78</v>
      </c>
    </row>
    <row r="49" spans="1:9" x14ac:dyDescent="0.25">
      <c r="A49" s="4"/>
      <c r="B49" s="5"/>
      <c r="C49" s="5"/>
      <c r="D49" s="5"/>
    </row>
    <row r="50" spans="1:9" x14ac:dyDescent="0.25">
      <c r="A50" s="4" t="s">
        <v>35</v>
      </c>
      <c r="B50" s="5"/>
      <c r="C50" s="6">
        <f>SUM(C2:C37)</f>
        <v>27.5</v>
      </c>
      <c r="D50" s="6"/>
      <c r="F50" s="7" t="s">
        <v>50</v>
      </c>
      <c r="G50" s="7"/>
      <c r="H50" s="7"/>
      <c r="I50" s="8">
        <f>SUM(D2:D11,D15:D22,D24:D30,D33:D36)</f>
        <v>1230</v>
      </c>
    </row>
    <row r="51" spans="1:9" x14ac:dyDescent="0.25">
      <c r="A51" s="4" t="s">
        <v>36</v>
      </c>
      <c r="B51" s="5"/>
      <c r="C51" s="6">
        <f>SUM(C39:C48)</f>
        <v>7.5</v>
      </c>
      <c r="D51" s="6"/>
      <c r="F51" s="7" t="s">
        <v>49</v>
      </c>
      <c r="G51" s="7"/>
      <c r="H51" s="7"/>
      <c r="I51" s="8">
        <f>SUM(D39:D48)</f>
        <v>418</v>
      </c>
    </row>
    <row r="52" spans="1:9" x14ac:dyDescent="0.25">
      <c r="A52" s="4"/>
      <c r="B52" s="5"/>
      <c r="C52" s="5"/>
      <c r="D52" s="5"/>
      <c r="F52" s="7" t="s">
        <v>52</v>
      </c>
      <c r="G52" s="7"/>
      <c r="H52" s="7"/>
      <c r="I52" s="8">
        <f>SUM(I50:I51)</f>
        <v>1648</v>
      </c>
    </row>
    <row r="53" spans="1:9" x14ac:dyDescent="0.25">
      <c r="A53" s="4" t="s">
        <v>37</v>
      </c>
      <c r="B53" s="5"/>
      <c r="C53" s="5">
        <f>SUM(C50:C51)</f>
        <v>35</v>
      </c>
      <c r="D53" s="5"/>
      <c r="F53" t="s">
        <v>53</v>
      </c>
      <c r="I53" s="9">
        <f>I50/I52</f>
        <v>0.74635922330097082</v>
      </c>
    </row>
    <row r="54" spans="1:9" x14ac:dyDescent="0.25">
      <c r="A54" s="4"/>
      <c r="B54" s="5"/>
      <c r="C54" s="5"/>
      <c r="D54" s="5"/>
      <c r="F54" t="s">
        <v>54</v>
      </c>
      <c r="I54" s="9">
        <f>I51/I52</f>
        <v>0.25364077669902912</v>
      </c>
    </row>
    <row r="55" spans="1:9" x14ac:dyDescent="0.25">
      <c r="A55" s="1" t="s">
        <v>38</v>
      </c>
      <c r="B55" s="2"/>
      <c r="C55" s="2"/>
      <c r="D55" s="3"/>
    </row>
    <row r="56" spans="1:9" x14ac:dyDescent="0.25">
      <c r="A56" s="4" t="s">
        <v>39</v>
      </c>
      <c r="B56" s="5"/>
      <c r="C56" s="5">
        <v>1</v>
      </c>
      <c r="D56" s="5"/>
    </row>
    <row r="57" spans="1:9" x14ac:dyDescent="0.25">
      <c r="A57" s="4" t="s">
        <v>40</v>
      </c>
      <c r="B57" s="5"/>
      <c r="C57" s="5">
        <v>1</v>
      </c>
      <c r="D57" s="5"/>
    </row>
    <row r="58" spans="1:9" x14ac:dyDescent="0.25">
      <c r="A58" s="4" t="s">
        <v>41</v>
      </c>
      <c r="B58" s="5"/>
      <c r="C58" s="5">
        <v>1</v>
      </c>
      <c r="D58" s="5"/>
    </row>
    <row r="59" spans="1:9" x14ac:dyDescent="0.25">
      <c r="A59" s="4" t="s">
        <v>42</v>
      </c>
      <c r="B59" s="5"/>
      <c r="C59" s="5">
        <v>1</v>
      </c>
      <c r="D59" s="5"/>
    </row>
    <row r="60" spans="1:9" x14ac:dyDescent="0.25">
      <c r="A60" s="4" t="s">
        <v>43</v>
      </c>
      <c r="B60" s="5"/>
      <c r="C60" s="5">
        <v>0</v>
      </c>
      <c r="D60" s="5"/>
    </row>
    <row r="61" spans="1:9" x14ac:dyDescent="0.25">
      <c r="A61" s="4" t="s">
        <v>44</v>
      </c>
      <c r="B61" s="5"/>
      <c r="C61" s="5">
        <v>1</v>
      </c>
      <c r="D61" s="5"/>
    </row>
    <row r="62" spans="1:9" x14ac:dyDescent="0.25">
      <c r="A62" s="4" t="s">
        <v>45</v>
      </c>
      <c r="B62" s="5"/>
      <c r="C62" s="5">
        <v>1</v>
      </c>
      <c r="D62" s="5"/>
    </row>
    <row r="63" spans="1:9" x14ac:dyDescent="0.25">
      <c r="A63" s="4" t="s">
        <v>46</v>
      </c>
      <c r="B63" s="5"/>
      <c r="C63" s="5">
        <v>1</v>
      </c>
      <c r="D63" s="5"/>
    </row>
    <row r="64" spans="1:9" x14ac:dyDescent="0.25">
      <c r="A64" s="4"/>
      <c r="B64" s="5"/>
      <c r="C64" s="5"/>
      <c r="D64" s="5"/>
    </row>
    <row r="65" spans="1:4" x14ac:dyDescent="0.25">
      <c r="A65" s="4" t="s">
        <v>38</v>
      </c>
      <c r="B65" s="5"/>
      <c r="C65" s="5">
        <f>SUM(C55:C64)</f>
        <v>7</v>
      </c>
      <c r="D65" s="5"/>
    </row>
    <row r="66" spans="1:4" x14ac:dyDescent="0.25">
      <c r="A66" s="4"/>
      <c r="B66" s="5"/>
      <c r="C66" s="5"/>
      <c r="D66" s="5"/>
    </row>
    <row r="67" spans="1:4" x14ac:dyDescent="0.25">
      <c r="A67" s="4" t="s">
        <v>47</v>
      </c>
      <c r="B67" s="5"/>
      <c r="C67" s="5">
        <f>C53+C65</f>
        <v>42</v>
      </c>
      <c r="D67" s="5"/>
    </row>
    <row r="68" spans="1:4" x14ac:dyDescent="0.25">
      <c r="A68" s="4"/>
      <c r="B68" s="5"/>
      <c r="C68" s="5"/>
      <c r="D68" s="5"/>
    </row>
  </sheetData>
  <mergeCells count="10">
    <mergeCell ref="A1:D1"/>
    <mergeCell ref="A13:D13"/>
    <mergeCell ref="A32:D32"/>
    <mergeCell ref="A38:D38"/>
    <mergeCell ref="A55:D55"/>
    <mergeCell ref="F39:H39"/>
    <mergeCell ref="F51:H51"/>
    <mergeCell ref="F50:H50"/>
    <mergeCell ref="F52:H52"/>
    <mergeCell ref="A23:D2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2026-01-27T18:29:48Z</cp:lastPrinted>
  <dcterms:created xsi:type="dcterms:W3CDTF">2026-01-27T18:02:24Z</dcterms:created>
  <dcterms:modified xsi:type="dcterms:W3CDTF">2026-01-27T18:29:55Z</dcterms:modified>
</cp:coreProperties>
</file>